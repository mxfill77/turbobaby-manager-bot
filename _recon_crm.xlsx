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иенты" sheetId="1" r:id="rId5"/>
    <sheet state="hidden" name="Лист28" sheetId="2" r:id="rId6"/>
    <sheet state="visible" name="Календарь бронирования" sheetId="3" r:id="rId7"/>
    <sheet state="hidden" name="учет байков" sheetId="4" r:id="rId8"/>
    <sheet state="visible" name="цены альт" sheetId="5" r:id="rId9"/>
    <sheet state="visible" name="список мото" sheetId="6" r:id="rId10"/>
    <sheet state="visible" name="памятка" sheetId="7" r:id="rId11"/>
    <sheet state="visible" name="Ответы на форму (3)" sheetId="8" r:id="rId12"/>
    <sheet state="hidden" name="Ответы на форму (4) не актуальн" sheetId="9" r:id="rId13"/>
  </sheets>
  <definedNames>
    <definedName name="Всебайки1">#REF!</definedName>
    <definedName name="проданныебайки">'список мото'!$F$3:$F$100</definedName>
    <definedName name="Всемото">'список мото'!$A:$A</definedName>
    <definedName hidden="1" localSheetId="0" name="_xlnm._FilterDatabase">'клиенты'!$A$1:$AM$706</definedName>
    <definedName hidden="1" localSheetId="3" name="_xlnm._FilterDatabase">'учет байков'!$A$1:$S$45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0">
      <text>
        <t xml:space="preserve">Полностью оплачено переводом</t>
      </text>
    </comment>
    <comment authorId="0" ref="I455">
      <text>
        <t xml:space="preserve">7*363=2541</t>
      </text>
    </comment>
    <comment authorId="0" ref="A926">
      <text>
        <t xml:space="preserve">5000 бат внесена предоплата 
Предварительно 2 шлема, но может купят свои новые 
Доставка вечером, ждём контакт кто сможет принять раньше, возможно 30ого </t>
      </text>
    </comment>
    <comment authorId="0" ref="A885">
      <text>
        <t xml:space="preserve">Оплатил аренду, остался депозит самовывоз с бангтао 
</t>
      </text>
    </comment>
    <comment authorId="0" ref="A563">
      <text>
        <t xml:space="preserve">бесплатно доставка laya resort деп не берем оплатит переводом скорее всего</t>
      </text>
    </comment>
    <comment authorId="0" ref="K315">
      <text>
        <t xml:space="preserve">
</t>
      </text>
    </comment>
    <comment authorId="0" ref="A910">
      <text>
        <t xml:space="preserve">привезет клиента в офис сам</t>
      </text>
    </comment>
    <comment authorId="0" ref="A902">
      <text>
        <t xml:space="preserve">2 шлема, оплата батами при получении, к 11 утра доставка </t>
      </text>
    </comment>
    <comment authorId="0" ref="I844">
      <text>
        <t xml:space="preserve">2200 бат</t>
      </text>
    </comment>
    <comment authorId="0" ref="A960">
      <text>
        <t xml:space="preserve">Один большой и средний шлем </t>
      </text>
    </comment>
    <comment authorId="0" ref="A927">
      <text>
        <t xml:space="preserve">из 14744 аренды внес 7407 депозит не оплачен 2 шлема один маленький 
</t>
      </text>
    </comment>
    <comment authorId="0" ref="I1158">
      <text>
        <t xml:space="preserve">долг за 9 дней 6300</t>
      </text>
    </comment>
    <comment authorId="0" ref="A886">
      <text>
        <t xml:space="preserve">шлема свои
самостоятельный забор из послелка. сделана  оплата только аренды</t>
      </text>
    </comment>
    <comment authorId="0" ref="A564">
      <text>
        <t xml:space="preserve">Оплачено 27280бат. Кофр бесплатно </t>
      </text>
    </comment>
    <comment authorId="0" ref="A531">
      <text>
        <t xml:space="preserve">11 193 оплачена аренда. не оплачена депозит и доставка
2 хороших шлема М и Ж</t>
      </text>
    </comment>
    <comment authorId="0" ref="K795">
      <text>
        <t xml:space="preserve">1500 бат от дениса для клиента 12900</t>
      </text>
    </comment>
    <comment authorId="0" ref="A911">
      <text>
        <t xml:space="preserve">3174 оплачено пред то ли сам заберет то ли доставка хз пока</t>
      </text>
    </comment>
    <comment authorId="0" ref="A936">
      <text>
        <t xml:space="preserve">Детский шлем 2 взрослых ПОСТАВИТЬ кофр! тотл сумма с кофром 
</t>
      </text>
    </comment>
    <comment authorId="0" ref="A895">
      <text>
        <t xml:space="preserve">оплатил 3470 еще 4530 должен депозит и 590 аэропорт
</t>
      </text>
    </comment>
    <comment authorId="0" ref="F895">
      <text>
        <t xml:space="preserve">возврат вечером 17ого сам привезет</t>
      </text>
    </comment>
    <comment authorId="0" ref="A565">
      <text>
        <t xml:space="preserve">Оплачено 16.160бат. Кофр бесплатно </t>
      </text>
    </comment>
    <comment authorId="0" ref="A1077">
      <text>
        <t xml:space="preserve">Наличка</t>
      </text>
    </comment>
    <comment authorId="0" ref="K1118">
      <text>
        <t xml:space="preserve">9874 оплатил комишка</t>
      </text>
    </comment>
    <comment authorId="0" ref="A1234">
      <text>
        <t xml:space="preserve">Стм 3000 thb already payd</t>
      </text>
    </comment>
    <comment authorId="0" ref="A945">
      <text>
        <t xml:space="preserve">3150р внесена предоплата </t>
      </text>
    </comment>
    <comment authorId="0" ref="A912">
      <text>
        <t xml:space="preserve">Оплачена аренда,  но не оплачена доставкк290 и депозит 5000
</t>
      </text>
    </comment>
    <comment authorId="0" ref="A879">
      <text>
        <t xml:space="preserve">без оплаты</t>
      </text>
    </comment>
    <comment authorId="0" ref="L185">
      <text>
        <t xml:space="preserve">1 месяц 9 остальные 10</t>
      </text>
    </comment>
    <comment authorId="0" ref="A937">
      <text>
        <t xml:space="preserve">Оплатили в юсдт полностью </t>
      </text>
    </comment>
    <comment authorId="0" ref="A549">
      <text>
        <t xml:space="preserve">Предоплата 5к бат</t>
      </text>
    </comment>
    <comment authorId="0" ref="A962">
      <text>
        <t xml:space="preserve">5208 бат за адв 150 + 3000 депозит внесена, обмен на хмакс учесть при оплате</t>
      </text>
    </comment>
    <comment authorId="0" ref="A541">
      <text>
        <t xml:space="preserve"> 6542 бат к доплате, 23к деп к доплате</t>
      </text>
    </comment>
    <comment authorId="0" ref="E95">
      <text>
        <t xml:space="preserve">с29 числа</t>
      </text>
    </comment>
    <comment authorId="0" ref="S1003">
      <text>
        <t xml:space="preserve">за кофр 1000 высел было 7к</t>
      </text>
    </comment>
    <comment authorId="0" ref="A599">
      <text>
        <t xml:space="preserve">оплатил за ранее месяц в январе 14 000 vip</t>
      </text>
    </comment>
    <comment authorId="0" ref="A1111">
      <text>
        <t xml:space="preserve">Наличные, депозит доллары</t>
      </text>
    </comment>
    <comment authorId="0" ref="A533">
      <text>
        <t xml:space="preserve">не предопалено и не берем депозит делать контракт</t>
      </text>
    </comment>
    <comment authorId="0" ref="A979">
      <text>
        <t xml:space="preserve">1 детский 2 взрослых</t>
      </text>
    </comment>
    <comment authorId="0" ref="A946">
      <text>
        <t xml:space="preserve">от марата</t>
      </text>
    </comment>
    <comment authorId="0" ref="A913">
      <text>
        <t xml:space="preserve">Оплачена аренда,  но не оплачена доставкк290 и депозит 5000</t>
      </text>
    </comment>
    <comment authorId="0" ref="A525">
      <text>
        <t xml:space="preserve">Stm со своим контрактом</t>
      </text>
    </comment>
    <comment authorId="0" ref="A971">
      <text>
        <t xml:space="preserve">Один большой и средний шлем </t>
      </text>
    </comment>
    <comment authorId="0" ref="A938">
      <text>
        <t xml:space="preserve">Полностью оплатили </t>
      </text>
    </comment>
    <comment authorId="0" ref="A905">
      <text>
        <t xml:space="preserve">не оплачена бронь и доставка</t>
      </text>
    </comment>
    <comment authorId="0" ref="A963">
      <text>
        <t xml:space="preserve">1 детский шлем</t>
      </text>
    </comment>
    <comment authorId="0" ref="A930">
      <text>
        <t xml:space="preserve">2 шлема л и хл получше</t>
      </text>
    </comment>
    <comment authorId="0" ref="A897">
      <text>
        <t xml:space="preserve">Скинул оплату за аренду без депозита и доставки</t>
      </text>
    </comment>
    <comment authorId="0" ref="A575">
      <text>
        <t xml:space="preserve">кофр включен деп не берем доставка бесплатно, приятель просто оплатит предоплата скорее всего доставка в kamala falls</t>
      </text>
    </comment>
    <comment authorId="0" ref="K393">
      <text>
        <t xml:space="preserve">февраль и комиссии
7900-8500
март 7000-7500
апрель 6000-6500
май 6000-6500
июнь 5000-5500</t>
      </text>
    </comment>
    <comment authorId="0" ref="S1169">
      <text>
        <t xml:space="preserve">у стм</t>
      </text>
    </comment>
    <comment authorId="0" ref="K707">
      <text>
        <t xml:space="preserve">на 15.04 долг 
был как напмсано в ячейке и даллее считаем тут:
23000
дал 9000
из них 4 к пошли на аренду и 5 списали
того долг 18к
500 бат еще дал 21.05
17500 остается
остается 
07.07 -5000 долг
и остается 
12500</t>
      </text>
    </comment>
    <comment authorId="0" ref="A567">
      <text>
        <t xml:space="preserve">кофр ставить, держатель хороший и 1 новый шлем размер S</t>
      </text>
    </comment>
    <comment authorId="0" ref="A980">
      <text>
        <t xml:space="preserve">25.000 бат внесена предоплата</t>
      </text>
    </comment>
    <comment authorId="0" ref="A947">
      <text>
        <t xml:space="preserve">оплачен деп и аренда</t>
      </text>
    </comment>
    <comment authorId="0" ref="A559">
      <text>
        <t xml:space="preserve">13174 бат предоплата</t>
      </text>
    </comment>
    <comment authorId="0" ref="A526">
      <text>
        <t xml:space="preserve">Предоплата 20000 бат</t>
      </text>
    </comment>
    <comment authorId="0" ref="I1137">
      <text>
        <t xml:space="preserve">долг 1000</t>
      </text>
    </comment>
    <comment authorId="0" ref="A964">
      <text>
        <t xml:space="preserve">2 детских 2 взрослых шлема, переводом на карту, расчет в переписке 
Позвонить на вотсапп </t>
      </text>
    </comment>
    <comment authorId="0" ref="A931">
      <text>
        <t xml:space="preserve">оплачен только деп шлема свои и должен быть кофр</t>
      </text>
    </comment>
    <comment authorId="0" ref="A898">
      <text>
        <t xml:space="preserve">Неоплачена аренда и доставка депозит не берем отель мида</t>
      </text>
    </comment>
    <comment authorId="0" ref="K295">
      <text>
        <t xml:space="preserve">2160 с учетом доставки</t>
      </text>
    </comment>
    <comment authorId="0" ref="A923">
      <text>
        <t xml:space="preserve">2 взрослых шлема, 1 детский 
Наличными в батах </t>
      </text>
    </comment>
    <comment authorId="0" ref="A948">
      <text>
        <t xml:space="preserve">25.12 позвонит часов в 14 для уточнения доставки, предварительно 16:30 
2 шлема </t>
      </text>
    </comment>
    <comment authorId="0" ref="A915">
      <text>
        <t xml:space="preserve">2 взрослых шлема 1 детский </t>
      </text>
    </comment>
    <comment authorId="0" ref="A527">
      <text>
        <t xml:space="preserve">Предоплата 20000 бат</t>
      </text>
    </comment>
    <comment authorId="0" ref="S1088">
      <text>
        <t xml:space="preserve">200 бат забор из ката</t>
      </text>
    </comment>
    <comment authorId="0" ref="A907">
      <text>
        <t xml:space="preserve">Шлема поновее, 2шт. 
Наличными в батах</t>
      </text>
    </comment>
    <comment authorId="0" ref="A998">
      <text>
        <t xml:space="preserve">оплачен деп и аренда</t>
      </text>
    </comment>
    <comment authorId="0" ref="A1221">
      <text>
        <t xml:space="preserve">стмовский
</t>
      </text>
    </comment>
    <comment authorId="0" ref="A932">
      <text>
        <t xml:space="preserve">1 шлем для девушки S размер</t>
      </text>
    </comment>
    <comment authorId="0" ref="A899">
      <text>
        <t xml:space="preserve">Неоплачена аренда и доставка депозит не берем отель мида</t>
      </text>
    </comment>
    <comment authorId="0" ref="S1171">
      <text>
        <t xml:space="preserve">байбит</t>
      </text>
    </comment>
    <comment authorId="0" ref="A891">
      <text>
        <t xml:space="preserve">постоянник без предоплаты 7000 мес уточнить доставку 
</t>
      </text>
    </comment>
    <comment authorId="0" ref="A858">
      <text>
        <t xml:space="preserve">внесен только предоплата 2000 бат
нужны 2 новых шлема 1 поменьше для девушки
к опалте остаток по аренде
депозит и доставка</t>
      </text>
    </comment>
    <comment authorId="0" ref="A602">
      <text>
        <t xml:space="preserve">Полностью оплачен</t>
      </text>
    </comment>
    <comment authorId="0" ref="A1114">
      <text>
        <t xml:space="preserve">Доставка в рублях, аренда баты, залог 100$</t>
      </text>
    </comment>
    <comment authorId="0" ref="A982">
      <text>
        <t xml:space="preserve">от марата</t>
      </text>
    </comment>
    <comment authorId="0" ref="K412">
      <text>
        <t xml:space="preserve">650 должен за оба</t>
      </text>
    </comment>
    <comment authorId="0" ref="F371">
      <text>
        <t xml:space="preserve">до 15ого</t>
      </text>
    </comment>
    <comment authorId="0" ref="A1222">
      <text>
        <t xml:space="preserve">Оплачено</t>
      </text>
    </comment>
    <comment authorId="0" ref="I1164">
      <text>
        <t xml:space="preserve">7000 бат долг
-2700 из баланса 08.07
4300 долг тут
-1000 наличными
3300 долг тут
-1000 из баланса 5 авг
2300 долг тут
-500 12.08
1700 долг тут</t>
      </text>
    </comment>
    <comment authorId="0" ref="A867">
      <text>
        <t xml:space="preserve">Ничего не оплачено. </t>
      </text>
    </comment>
    <comment authorId="0" ref="K396">
      <text>
        <t xml:space="preserve">артем должен мне 50 дол
</t>
      </text>
    </comment>
    <comment authorId="0" ref="I454">
      <text>
        <t xml:space="preserve">4*167=668</t>
      </text>
    </comment>
    <comment authorId="0" ref="A925">
      <text>
        <t xml:space="preserve">2 взрослых шлема 1 новый с прошлой доставки </t>
      </text>
    </comment>
    <comment authorId="0" ref="A537">
      <text>
        <t xml:space="preserve">Оплачено 16.160бат. Кофр бесплатно </t>
      </text>
    </comment>
    <comment authorId="0" ref="A950">
      <text>
        <t xml:space="preserve">1 детский шлем</t>
      </text>
    </comment>
    <comment authorId="0" ref="A661">
      <text>
        <t xml:space="preserve">оплачено</t>
      </text>
    </comment>
    <comment authorId="0" ref="A917">
      <text>
        <t xml:space="preserve">25.12 позвонит часов в 14 для уточнения доставки, предварительно 16:30 
2 шлема </t>
      </text>
    </comment>
    <comment authorId="0" ref="A595">
      <text>
        <t xml:space="preserve">2100 бат предоплата</t>
      </text>
    </comment>
    <comment authorId="0" ref="K413">
      <text>
        <t xml:space="preserve">650 должен за оба</t>
      </text>
    </comment>
    <comment authorId="0" ref="K859">
      <text>
        <t xml:space="preserve">-390 забрать за доставку из депозита
</t>
      </text>
    </comment>
    <comment authorId="0" ref="A942">
      <text>
        <t xml:space="preserve">3000 бат. внесена предоплата
Остальное наличными в батах</t>
      </text>
    </comment>
    <comment authorId="0" ref="A876">
      <text>
        <t xml:space="preserve">ДОЛГ 900 батт 
</t>
      </text>
    </comment>
    <comment authorId="0" ref="A554">
      <text>
        <t xml:space="preserve">Предоплата 5к бат</t>
      </text>
    </comment>
    <comment authorId="0" ref="K50">
      <text>
        <t xml:space="preserve">был перенос</t>
      </text>
    </comment>
    <comment authorId="0" ref="A901">
      <text>
        <t xml:space="preserve">3 шлема уточнить каких кофр. И оплачено досиавка и аренда. Не оплачен депозит Пацанам 12 лет. Один взрослый два детских. Это пацанам, не дочкам.</t>
      </text>
    </comment>
    <comment authorId="0" ref="A546">
      <text>
        <t xml:space="preserve">Предоплата 5к бат
не оплачен весь срок за форзу и надо вернуть депозит</t>
      </text>
    </comment>
  </commentList>
</comments>
</file>

<file path=xl/sharedStrings.xml><?xml version="1.0" encoding="utf-8"?>
<sst xmlns="http://schemas.openxmlformats.org/spreadsheetml/2006/main" count="18483" uniqueCount="5168">
  <si>
    <t xml:space="preserve"> </t>
  </si>
  <si>
    <t>AUTO CNCL</t>
  </si>
  <si>
    <t>Название мото</t>
  </si>
  <si>
    <t>Имя</t>
  </si>
  <si>
    <t>Дата начала</t>
  </si>
  <si>
    <t>Дата завершения</t>
  </si>
  <si>
    <t>Срок</t>
  </si>
  <si>
    <t>Платеж в день</t>
  </si>
  <si>
    <t>Долг</t>
  </si>
  <si>
    <t>К оплате на данный момент</t>
  </si>
  <si>
    <t>Оплачено</t>
  </si>
  <si>
    <t>Платеж в месяц (для скрипта)</t>
  </si>
  <si>
    <t>Платеж в день (для скрипта)</t>
  </si>
  <si>
    <t>Пробег на момент сдачи</t>
  </si>
  <si>
    <t>Последняя замена масла</t>
  </si>
  <si>
    <t>После последней замены масла</t>
  </si>
  <si>
    <t>Текущий пробег с датой</t>
  </si>
  <si>
    <t>Дата отметки текущего пробега</t>
  </si>
  <si>
    <t>Залог</t>
  </si>
  <si>
    <t>Шлем</t>
  </si>
  <si>
    <t>Контакты</t>
  </si>
  <si>
    <t>Примечание</t>
  </si>
  <si>
    <t>Для скрипта и проверки</t>
  </si>
  <si>
    <t>Тип для скрипта</t>
  </si>
  <si>
    <t>Завершена</t>
  </si>
  <si>
    <t>OFF</t>
  </si>
  <si>
    <t>PCX 150CC GREY PHUKET 778</t>
  </si>
  <si>
    <t xml:space="preserve">Рената  </t>
  </si>
  <si>
    <t>коцки низа</t>
  </si>
  <si>
    <t>500 вычел</t>
  </si>
  <si>
    <t>@Arreeonelove +918767219725</t>
  </si>
  <si>
    <t>пьяненькая неуверненная</t>
  </si>
  <si>
    <t>XMAX 300CC GREY PHUKET 4246</t>
  </si>
  <si>
    <t xml:space="preserve">Сергей </t>
  </si>
  <si>
    <t>-</t>
  </si>
  <si>
    <t>@penytwice +66617412035</t>
  </si>
  <si>
    <t>вроде опытный живет в тае</t>
  </si>
  <si>
    <t>FORZA 300CC GREY PHUKET 4234</t>
  </si>
  <si>
    <t xml:space="preserve">Андрей  </t>
  </si>
  <si>
    <t>@marbok 943375719</t>
  </si>
  <si>
    <t>гуд мотоджимхана</t>
  </si>
  <si>
    <t xml:space="preserve">Никита Моисеев  </t>
  </si>
  <si>
    <t>@spacegilly +79958803610</t>
  </si>
  <si>
    <t>Мутный Арбитражник возможно скамер</t>
  </si>
  <si>
    <t>NMAX 155CC GREEN-B PHUKET 4957</t>
  </si>
  <si>
    <t>Andrei   друг</t>
  </si>
  <si>
    <t>@Maskellanear +6695291890</t>
  </si>
  <si>
    <t>молодой но вроде опыт есть</t>
  </si>
  <si>
    <t>NMAX 155CC BLACK GREEN PHUKET 4253</t>
  </si>
  <si>
    <t xml:space="preserve">Дарья </t>
  </si>
  <si>
    <t xml:space="preserve">@daria2dare </t>
  </si>
  <si>
    <t>на вид ок</t>
  </si>
  <si>
    <t>CLICK 125CC PHUKET 5580</t>
  </si>
  <si>
    <t xml:space="preserve">Дима </t>
  </si>
  <si>
    <t xml:space="preserve">@dimanetesov </t>
  </si>
  <si>
    <t>опыта нет вроде норм чел с другом @egorovcrz</t>
  </si>
  <si>
    <t>NMAX 155CC BLACK GOLD-2 PHUKET 4685</t>
  </si>
  <si>
    <t xml:space="preserve">Тарас </t>
  </si>
  <si>
    <t xml:space="preserve">@Danin_12 </t>
  </si>
  <si>
    <t>укр гуд ребята опытные</t>
  </si>
  <si>
    <t>FORZA 300CC RED PHUKET 4244</t>
  </si>
  <si>
    <t xml:space="preserve">Алексей </t>
  </si>
  <si>
    <t xml:space="preserve">@egorovcrz </t>
  </si>
  <si>
    <t>опыт есть вроде норм чел с другом @dimanesterov</t>
  </si>
  <si>
    <t>XMAX 300CC GREEN PHUKET 4248</t>
  </si>
  <si>
    <t xml:space="preserve">Анатолий </t>
  </si>
  <si>
    <t xml:space="preserve">@proxwian </t>
  </si>
  <si>
    <t>прогер не очень опытный но норм</t>
  </si>
  <si>
    <t>NMAX 155CC BLACK GOLD PHUKET 4255</t>
  </si>
  <si>
    <t xml:space="preserve">Павел </t>
  </si>
  <si>
    <t xml:space="preserve">@TarasovPS </t>
  </si>
  <si>
    <t>странный неопытный</t>
  </si>
  <si>
    <t>@spacegilly +79958803611</t>
  </si>
  <si>
    <t>NMAX 155CC BLACK GOLD-3 PHUKET 7530</t>
  </si>
  <si>
    <t xml:space="preserve">Максим </t>
  </si>
  <si>
    <t xml:space="preserve">@Maxmironov </t>
  </si>
  <si>
    <t>приличный небольшой опыт есть</t>
  </si>
  <si>
    <t>NMAX 155CC GREY PHUKET 5960</t>
  </si>
  <si>
    <t xml:space="preserve">Дмитрий Чуканов </t>
  </si>
  <si>
    <t xml:space="preserve">@Dmitry_Tch </t>
  </si>
  <si>
    <t>старнный какойто</t>
  </si>
  <si>
    <t>NMAX 155CC YCONNECT BKK</t>
  </si>
  <si>
    <t xml:space="preserve">Евгений </t>
  </si>
  <si>
    <t xml:space="preserve">@adler_love </t>
  </si>
  <si>
    <t>норм чел привел много</t>
  </si>
  <si>
    <t xml:space="preserve"> Ramil</t>
  </si>
  <si>
    <t xml:space="preserve">@Ra_boss111 </t>
  </si>
  <si>
    <t>Взрослый ровный чел</t>
  </si>
  <si>
    <t>NMAX 155CC GREY MATT PHUKET 7527</t>
  </si>
  <si>
    <t xml:space="preserve">Александр Ильин </t>
  </si>
  <si>
    <t xml:space="preserve">@Alex_hetzer </t>
  </si>
  <si>
    <t>немного странный но ок опыт не большой</t>
  </si>
  <si>
    <t>XMAX 300CC BLUE PHUKET 5773</t>
  </si>
  <si>
    <t xml:space="preserve">@eallend </t>
  </si>
  <si>
    <t>приятный с большим опытом</t>
  </si>
  <si>
    <t xml:space="preserve">Николай </t>
  </si>
  <si>
    <t xml:space="preserve">@npekshuev </t>
  </si>
  <si>
    <t>Ник др Артем</t>
  </si>
  <si>
    <t>NMAX 155CC GREY GOLD PHUKET 6908</t>
  </si>
  <si>
    <t xml:space="preserve">Roman </t>
  </si>
  <si>
    <t xml:space="preserve">@futuroman </t>
  </si>
  <si>
    <t>украинец резкий но норм</t>
  </si>
  <si>
    <t>CBR 650R PHUKET 4505</t>
  </si>
  <si>
    <t xml:space="preserve">Артем Тимофеев </t>
  </si>
  <si>
    <t xml:space="preserve"> +79138112101</t>
  </si>
  <si>
    <t>вроде опытный здоровяк</t>
  </si>
  <si>
    <t>NMAX 155CC RACE PHUKET 7532</t>
  </si>
  <si>
    <t xml:space="preserve">Антон </t>
  </si>
  <si>
    <t>хочет на год</t>
  </si>
  <si>
    <t xml:space="preserve">@rebmalad </t>
  </si>
  <si>
    <t>добрый казах</t>
  </si>
  <si>
    <t xml:space="preserve">@d_kryzhko </t>
  </si>
  <si>
    <t>опытный пара адекватных:)))))))</t>
  </si>
  <si>
    <t>XMAX 300CC 2020 BLACKGOLD PHUKET 3163</t>
  </si>
  <si>
    <t>NMAX 155CC RED WHITE PHUKET 9548</t>
  </si>
  <si>
    <t xml:space="preserve">Сева и Аня  </t>
  </si>
  <si>
    <t xml:space="preserve">@vnjutv </t>
  </si>
  <si>
    <t>1 ый раз катаются</t>
  </si>
  <si>
    <t xml:space="preserve">Svetlana  </t>
  </si>
  <si>
    <t xml:space="preserve">@schvetko </t>
  </si>
  <si>
    <t>норм ребята пара</t>
  </si>
  <si>
    <t>NMAX 155CC GREEN MATT PHUKET 6901</t>
  </si>
  <si>
    <t xml:space="preserve">Альберт </t>
  </si>
  <si>
    <t xml:space="preserve">@KabirovAA </t>
  </si>
  <si>
    <t>ОКР</t>
  </si>
  <si>
    <t>NMAX 155CC GREEN MATT-2 PHUKET 7639</t>
  </si>
  <si>
    <t xml:space="preserve">Константин </t>
  </si>
  <si>
    <t xml:space="preserve">@fansyl </t>
  </si>
  <si>
    <t>толпа из 4 человек намудрили с паспортом не опытные</t>
  </si>
  <si>
    <t xml:space="preserve">Владимир  </t>
  </si>
  <si>
    <t xml:space="preserve">@VoV51 </t>
  </si>
  <si>
    <t>гуд на спорте</t>
  </si>
  <si>
    <t>NMAX 155CC GREY NOSMART PHUKET 5508</t>
  </si>
  <si>
    <t xml:space="preserve">Дмитрий </t>
  </si>
  <si>
    <t xml:space="preserve">@Valdman </t>
  </si>
  <si>
    <t>Дима из компании артема</t>
  </si>
  <si>
    <t xml:space="preserve">Александр Степанов </t>
  </si>
  <si>
    <t xml:space="preserve">@fomLeyb </t>
  </si>
  <si>
    <t>опытный скромный</t>
  </si>
  <si>
    <t xml:space="preserve">Алина Галеева </t>
  </si>
  <si>
    <t xml:space="preserve">@alinochf </t>
  </si>
  <si>
    <t>медленная опыта не много</t>
  </si>
  <si>
    <t>XMAX 300CC Y-CON</t>
  </si>
  <si>
    <t>Дмитрий Чепурной</t>
  </si>
  <si>
    <t>здоровый сахалин</t>
  </si>
  <si>
    <t xml:space="preserve">Рашид от адлер лав </t>
  </si>
  <si>
    <t xml:space="preserve"> 080-354-0112</t>
  </si>
  <si>
    <t>хз резкий компания из трех</t>
  </si>
  <si>
    <t xml:space="preserve">Petr Lerman </t>
  </si>
  <si>
    <t xml:space="preserve">@m1333333333 </t>
  </si>
  <si>
    <t>интересный чел при деньгах</t>
  </si>
  <si>
    <t>NMAX 155CC BLACK PHUKET 8952</t>
  </si>
  <si>
    <t xml:space="preserve">Timur Agliev </t>
  </si>
  <si>
    <t xml:space="preserve">@tech_nar </t>
  </si>
  <si>
    <t>Пиздательный бабла гоняльщик</t>
  </si>
  <si>
    <t>XMAX 300CC RED MATT PHUKET 8943</t>
  </si>
  <si>
    <t xml:space="preserve">Всеволод Головин </t>
  </si>
  <si>
    <t xml:space="preserve">@housezz </t>
  </si>
  <si>
    <t>втроем с ребенком но хорошие</t>
  </si>
  <si>
    <t>NMAX 155CC BLACK-2 PHUKET 9561</t>
  </si>
  <si>
    <t xml:space="preserve">Илья Стойков </t>
  </si>
  <si>
    <t xml:space="preserve">@stojkovD </t>
  </si>
  <si>
    <t>беларус машенник с ботом</t>
  </si>
  <si>
    <t xml:space="preserve">Tigran Bogaov </t>
  </si>
  <si>
    <t xml:space="preserve">@kseniirose </t>
  </si>
  <si>
    <t>спокойный норм чел</t>
  </si>
  <si>
    <t>NMAX 155CC GREEN BLACK</t>
  </si>
  <si>
    <t xml:space="preserve">Олег Николаенко  </t>
  </si>
  <si>
    <t>@failedtruth +79035654455</t>
  </si>
  <si>
    <t>вроде норм чел</t>
  </si>
  <si>
    <t xml:space="preserve">Stanislav sudakov </t>
  </si>
  <si>
    <t xml:space="preserve">@dndmeplz </t>
  </si>
  <si>
    <t>адекват</t>
  </si>
  <si>
    <t>XSR 155СС BLACK PHUKET 8949</t>
  </si>
  <si>
    <t xml:space="preserve">Alexandre Valery Etiene </t>
  </si>
  <si>
    <t>7320 2 марта</t>
  </si>
  <si>
    <t xml:space="preserve">@cannaiseur </t>
  </si>
  <si>
    <t>очень старный тип хочет в вагнер</t>
  </si>
  <si>
    <t>Kirill Fedorenko</t>
  </si>
  <si>
    <t>турист друг соседа</t>
  </si>
  <si>
    <t>Юлия даширбаданова</t>
  </si>
  <si>
    <t>подруга павла</t>
  </si>
  <si>
    <t xml:space="preserve">Вячеслав Сербин тг света сербина </t>
  </si>
  <si>
    <t xml:space="preserve"> 89226553805 0637729363(8)</t>
  </si>
  <si>
    <t>4 человека 2 детей</t>
  </si>
  <si>
    <t>ADV 150CC PHUKET 7497</t>
  </si>
  <si>
    <t>смена на синий иксмакс</t>
  </si>
  <si>
    <t xml:space="preserve">Sergey Smirnov </t>
  </si>
  <si>
    <t xml:space="preserve">@sergeysmlab </t>
  </si>
  <si>
    <t>Сергей Смирнов @sergeysmlab</t>
  </si>
  <si>
    <t xml:space="preserve">Egeniy Shumskikh </t>
  </si>
  <si>
    <t xml:space="preserve">@purple_noise </t>
  </si>
  <si>
    <t>нормальная пара</t>
  </si>
  <si>
    <t>XSR 155СС GREY PHUKET 6946</t>
  </si>
  <si>
    <t xml:space="preserve">Roman Shevin </t>
  </si>
  <si>
    <t xml:space="preserve">@Dobbrii_vechor </t>
  </si>
  <si>
    <t>опытный нормальный чел</t>
  </si>
  <si>
    <t>вроде норм чел для друга взял не на долго</t>
  </si>
  <si>
    <t>XMAX 300CC RED PHUKET 6947</t>
  </si>
  <si>
    <t xml:space="preserve">Fedorov Konstantin </t>
  </si>
  <si>
    <t xml:space="preserve">@rjcnzy86 </t>
  </si>
  <si>
    <t>норм семья 1 ребенок</t>
  </si>
  <si>
    <t>FORZA 300CC WHITE PHUKET 8950</t>
  </si>
  <si>
    <t xml:space="preserve">Nikolay Mareev </t>
  </si>
  <si>
    <t xml:space="preserve"> +79912430104</t>
  </si>
  <si>
    <t>не опытный гуляка</t>
  </si>
  <si>
    <t xml:space="preserve">DMITRII Kuzmenko </t>
  </si>
  <si>
    <t>залог остался до приезда</t>
  </si>
  <si>
    <t xml:space="preserve"> +79944178986</t>
  </si>
  <si>
    <t>не понятный чел взял в слепую возможно не опытный</t>
  </si>
  <si>
    <t xml:space="preserve">Илья Фролов </t>
  </si>
  <si>
    <t xml:space="preserve">@foryourcash </t>
  </si>
  <si>
    <t>СОсед константин</t>
  </si>
  <si>
    <t>кантемир компани</t>
  </si>
  <si>
    <t>Александр Кашко alexandrk15</t>
  </si>
  <si>
    <t>чел не очень опытный но норм</t>
  </si>
  <si>
    <t>NMAX 155CC BLUE YELLOW 2020</t>
  </si>
  <si>
    <t>Nikita Kovalevskii</t>
  </si>
  <si>
    <t>@Nord_horse</t>
  </si>
  <si>
    <t xml:space="preserve">Denis Odinokov whats </t>
  </si>
  <si>
    <t xml:space="preserve"> +79172002515</t>
  </si>
  <si>
    <t>норм чел опыт не большой</t>
  </si>
  <si>
    <t xml:space="preserve">Андрей васильков </t>
  </si>
  <si>
    <t xml:space="preserve">@Andy_PCO </t>
  </si>
  <si>
    <t>друг соседа егора</t>
  </si>
  <si>
    <t xml:space="preserve">Alekxey Rykov </t>
  </si>
  <si>
    <t xml:space="preserve"> +79267191322</t>
  </si>
  <si>
    <t>норм пара</t>
  </si>
  <si>
    <t xml:space="preserve">Nikita Avtaneev </t>
  </si>
  <si>
    <t xml:space="preserve">@avtaneev </t>
  </si>
  <si>
    <t>норм чел есть опыт снимал у ильи</t>
  </si>
  <si>
    <t xml:space="preserve">Ivan Rochev </t>
  </si>
  <si>
    <t xml:space="preserve">@ivanro4ev </t>
  </si>
  <si>
    <t>милая молодая пара</t>
  </si>
  <si>
    <t xml:space="preserve">Evgenii Prkofev </t>
  </si>
  <si>
    <t>3 шлема</t>
  </si>
  <si>
    <t xml:space="preserve">@Evgeniy_Parfumerov </t>
  </si>
  <si>
    <t>2 чела ок не очень пытный с ребенком</t>
  </si>
  <si>
    <t xml:space="preserve">Марат Салихов </t>
  </si>
  <si>
    <t xml:space="preserve">@vezhevich </t>
  </si>
  <si>
    <t>перепутал цену взял пока на неделю</t>
  </si>
  <si>
    <t>Valeriy Russanevich</t>
  </si>
  <si>
    <t>взрослый чел интересный поэт</t>
  </si>
  <si>
    <t xml:space="preserve">Bogdan Borvinok </t>
  </si>
  <si>
    <t xml:space="preserve">@gromovgram </t>
  </si>
  <si>
    <t>челы с бали на понте :)</t>
  </si>
  <si>
    <t>норм чел не норм друг</t>
  </si>
  <si>
    <t>Dmitrii Boitcov</t>
  </si>
  <si>
    <t>как будто зэки</t>
  </si>
  <si>
    <t xml:space="preserve">Dmitry Trofimov </t>
  </si>
  <si>
    <t xml:space="preserve">@d1mausername </t>
  </si>
  <si>
    <t>норм чел молодой строитель нет опытана механике</t>
  </si>
  <si>
    <t xml:space="preserve">Bogdan Gerbzomer </t>
  </si>
  <si>
    <t xml:space="preserve"> +79240030368</t>
  </si>
  <si>
    <t>норм</t>
  </si>
  <si>
    <t xml:space="preserve">PAvel Nikulin </t>
  </si>
  <si>
    <t>сделал скидку теперь по 7000 с мая</t>
  </si>
  <si>
    <t xml:space="preserve">@ipaul3277 </t>
  </si>
  <si>
    <t>норм чел найхарн</t>
  </si>
  <si>
    <t>Irina Oksanichenko</t>
  </si>
  <si>
    <t>сто дол</t>
  </si>
  <si>
    <t xml:space="preserve"> 3 девушки патонг</t>
  </si>
  <si>
    <t>Tatiana Kievskaya</t>
  </si>
  <si>
    <t xml:space="preserve">Aleksei Lebed </t>
  </si>
  <si>
    <t xml:space="preserve"> +79219102662</t>
  </si>
  <si>
    <t>нормальная семья</t>
  </si>
  <si>
    <t xml:space="preserve">Aleksandr Sochkov </t>
  </si>
  <si>
    <t xml:space="preserve"> +79266030314</t>
  </si>
  <si>
    <t>большой адекватный парень</t>
  </si>
  <si>
    <t xml:space="preserve">Anatolii Goncharuk </t>
  </si>
  <si>
    <t xml:space="preserve"> +79031047916</t>
  </si>
  <si>
    <t>семейный эксперт</t>
  </si>
  <si>
    <t>паспорт</t>
  </si>
  <si>
    <t xml:space="preserve">Nikolay Zhidov </t>
  </si>
  <si>
    <t xml:space="preserve"> +79602587889</t>
  </si>
  <si>
    <t>через ватсап на 6 дней патонг</t>
  </si>
  <si>
    <t xml:space="preserve">Svatoslav Sobolev </t>
  </si>
  <si>
    <t xml:space="preserve">@rislingexplorer </t>
  </si>
  <si>
    <t>не видел его но опытный с потонга</t>
  </si>
  <si>
    <t>XSR 155СС GREEN</t>
  </si>
  <si>
    <t>полбака возврат</t>
  </si>
  <si>
    <t xml:space="preserve">Denis Timofeenko  </t>
  </si>
  <si>
    <t xml:space="preserve"> +79692006918</t>
  </si>
  <si>
    <t xml:space="preserve">Guzel sobolevskaya </t>
  </si>
  <si>
    <t xml:space="preserve">@sobolevskayag </t>
  </si>
  <si>
    <t>на долго по льготной цене</t>
  </si>
  <si>
    <t>XSR 155СС GREY-2 PHUKET 1024</t>
  </si>
  <si>
    <t xml:space="preserve">Ruslan Khasanov </t>
  </si>
  <si>
    <t xml:space="preserve"> +79870070002</t>
  </si>
  <si>
    <t>лютый чувак из уфы</t>
  </si>
  <si>
    <t xml:space="preserve">Aidar Karimov </t>
  </si>
  <si>
    <t xml:space="preserve"> +79173913620</t>
  </si>
  <si>
    <t>адекватный парень кажется</t>
  </si>
  <si>
    <t xml:space="preserve">Aleksandr Nastevich </t>
  </si>
  <si>
    <t xml:space="preserve"> +66951971150</t>
  </si>
  <si>
    <t xml:space="preserve">Vitalii Khrystenko </t>
  </si>
  <si>
    <t xml:space="preserve"> +79147902783</t>
  </si>
  <si>
    <t>сосед старичек</t>
  </si>
  <si>
    <t xml:space="preserve">Oleg Gerasimov </t>
  </si>
  <si>
    <t xml:space="preserve">@GerasimovOleg </t>
  </si>
  <si>
    <t>норм чел</t>
  </si>
  <si>
    <t xml:space="preserve">Roman Sukhorukov  </t>
  </si>
  <si>
    <t>@MisterBuy +79959042749</t>
  </si>
  <si>
    <t>большой такой решительный молодой</t>
  </si>
  <si>
    <t xml:space="preserve">Andrei Kuzmin  </t>
  </si>
  <si>
    <t>@thatsmeandrew +79999870435</t>
  </si>
  <si>
    <t>такой себе</t>
  </si>
  <si>
    <t>???</t>
  </si>
  <si>
    <t>без комментов друзья вовы</t>
  </si>
  <si>
    <t>проблема с тормозным цилиндром</t>
  </si>
  <si>
    <t>Sergey Zubrilkin</t>
  </si>
  <si>
    <t>норм чел с семьей</t>
  </si>
  <si>
    <t xml:space="preserve">Vladislav Pomogov </t>
  </si>
  <si>
    <t xml:space="preserve">@pandystar </t>
  </si>
  <si>
    <t>2 пары ном от димы зкейп</t>
  </si>
  <si>
    <t xml:space="preserve">Andrey Kapitonenko </t>
  </si>
  <si>
    <t xml:space="preserve">Ivan Karimov </t>
  </si>
  <si>
    <t xml:space="preserve">@VanMska </t>
  </si>
  <si>
    <t>почти сосед</t>
  </si>
  <si>
    <t>Maksym Medyanka</t>
  </si>
  <si>
    <t>Пара Украинец и Русская</t>
  </si>
  <si>
    <t>XSR 900СС PHUKET 5630</t>
  </si>
  <si>
    <t>артем должен 225</t>
  </si>
  <si>
    <t xml:space="preserve">Ivan Limarev </t>
  </si>
  <si>
    <t xml:space="preserve">@ivanlimarev </t>
  </si>
  <si>
    <t>инфоциган</t>
  </si>
  <si>
    <t xml:space="preserve">Anastasia Ageeva </t>
  </si>
  <si>
    <t xml:space="preserve">@nastageeva </t>
  </si>
  <si>
    <t>девушка качевник</t>
  </si>
  <si>
    <t xml:space="preserve">Aleksandra Rogova </t>
  </si>
  <si>
    <t xml:space="preserve">@vrolf </t>
  </si>
  <si>
    <t>норм девушка</t>
  </si>
  <si>
    <t>тайцы</t>
  </si>
  <si>
    <t>соседи</t>
  </si>
  <si>
    <t xml:space="preserve">AISEN Maksimov </t>
  </si>
  <si>
    <t xml:space="preserve">@pokpoke </t>
  </si>
  <si>
    <t xml:space="preserve">German Komlev whatapp </t>
  </si>
  <si>
    <t xml:space="preserve"> +79999853649</t>
  </si>
  <si>
    <t>норм чел с бали</t>
  </si>
  <si>
    <t>хороший чел</t>
  </si>
  <si>
    <t xml:space="preserve">Artem Degtiarev </t>
  </si>
  <si>
    <t xml:space="preserve">@arted25 </t>
  </si>
  <si>
    <t>мало опыта</t>
  </si>
  <si>
    <t xml:space="preserve">Светлана Малеева </t>
  </si>
  <si>
    <t xml:space="preserve">@shaanti_sveta </t>
  </si>
  <si>
    <t>ок девушка</t>
  </si>
  <si>
    <t>9 дней сохраняем так как вернул раньше</t>
  </si>
  <si>
    <t>1 ый раз катаются на иксмаксе</t>
  </si>
  <si>
    <t>акока</t>
  </si>
  <si>
    <t>бесплатно</t>
  </si>
  <si>
    <t>руслан от парпл нойз</t>
  </si>
  <si>
    <t>ебануться</t>
  </si>
  <si>
    <t xml:space="preserve">Guseva IANA </t>
  </si>
  <si>
    <t>24001 km, 28.06.2023</t>
  </si>
  <si>
    <t xml:space="preserve">@yanell_hair </t>
  </si>
  <si>
    <t>кажется очень странной</t>
  </si>
  <si>
    <t xml:space="preserve">ZAkhar trofimov </t>
  </si>
  <si>
    <t>3 дня в запасе</t>
  </si>
  <si>
    <t>582 usdt</t>
  </si>
  <si>
    <t xml:space="preserve">@unnamed_ua </t>
  </si>
  <si>
    <t>много опыта</t>
  </si>
  <si>
    <t>24800 Km, 18.09.2023</t>
  </si>
  <si>
    <t>Olesia Faleeva</t>
  </si>
  <si>
    <t>покаталась немного и просит рачтет обратно</t>
  </si>
  <si>
    <t>инфоциган гуд чел</t>
  </si>
  <si>
    <t xml:space="preserve">Eduard Filbger </t>
  </si>
  <si>
    <t>Блогер Норм чел</t>
  </si>
  <si>
    <t>32300 Km, 28.04.2023</t>
  </si>
  <si>
    <t>Kirill Afanasev</t>
  </si>
  <si>
    <t>я артему дожен 1825 с учетом бонуса за доставку и минус долг за обсуживание 225</t>
  </si>
  <si>
    <t>Александр Фомин</t>
  </si>
  <si>
    <t>шлйомы</t>
  </si>
  <si>
    <t>Nikolay Sharov</t>
  </si>
  <si>
    <t>от маши кривлеевой</t>
  </si>
  <si>
    <t>Антон Парфененка</t>
  </si>
  <si>
    <t>ремонт абс 2300 и того артему= - замена масла</t>
  </si>
  <si>
    <t>белорус</t>
  </si>
  <si>
    <t xml:space="preserve">Eduard Esaulov </t>
  </si>
  <si>
    <t xml:space="preserve">@dino_qwerty </t>
  </si>
  <si>
    <t>норм не видел</t>
  </si>
  <si>
    <t>31002 Km, 28.04.2023</t>
  </si>
  <si>
    <t xml:space="preserve">Dmitrii Derenko </t>
  </si>
  <si>
    <t xml:space="preserve"> +79155879488</t>
  </si>
  <si>
    <t>русский англичанин норм чел</t>
  </si>
  <si>
    <t>заполнить</t>
  </si>
  <si>
    <t>-мойка и доставка</t>
  </si>
  <si>
    <t>руб 62500</t>
  </si>
  <si>
    <t>Vlas Maksimov (FB)</t>
  </si>
  <si>
    <t>девушка не опытная будет ездить</t>
  </si>
  <si>
    <t>28000 Km, 28.09.2023</t>
  </si>
  <si>
    <t xml:space="preserve">Sofia Larina </t>
  </si>
  <si>
    <t xml:space="preserve">@larinkir </t>
  </si>
  <si>
    <t xml:space="preserve">Maksim Tatarinkov </t>
  </si>
  <si>
    <t>24002 km, 28.06.2023</t>
  </si>
  <si>
    <t xml:space="preserve">@RootTT36 </t>
  </si>
  <si>
    <t>ребята с бали взяли два в наклейках</t>
  </si>
  <si>
    <t xml:space="preserve">German Root </t>
  </si>
  <si>
    <t>24004 km, 28.06.2023</t>
  </si>
  <si>
    <t>парни пара с бали</t>
  </si>
  <si>
    <t xml:space="preserve">Konstantin Kotomski </t>
  </si>
  <si>
    <t>19000 Km, 06.07.2023</t>
  </si>
  <si>
    <t xml:space="preserve">@tuburn27 </t>
  </si>
  <si>
    <t>c бали молодой</t>
  </si>
  <si>
    <t xml:space="preserve">Vlas Maksimov </t>
  </si>
  <si>
    <t xml:space="preserve">@Maximov_vlas </t>
  </si>
  <si>
    <t>ищет байк себе мало опыта</t>
  </si>
  <si>
    <t>Vladislav Filatov (FB)</t>
  </si>
  <si>
    <t>опыта 0 на сцеплении</t>
  </si>
  <si>
    <t>R3 300СС</t>
  </si>
  <si>
    <t xml:space="preserve">Evgenii Belousov </t>
  </si>
  <si>
    <t xml:space="preserve">@bvjenia </t>
  </si>
  <si>
    <t>не стабильный вел кажется</t>
  </si>
  <si>
    <t xml:space="preserve">Nikita Parfenov </t>
  </si>
  <si>
    <t xml:space="preserve">@wniks </t>
  </si>
  <si>
    <t>новичек на мото</t>
  </si>
  <si>
    <t xml:space="preserve">Vlad Grek </t>
  </si>
  <si>
    <t>31001 Km, 28.04.2023</t>
  </si>
  <si>
    <t xml:space="preserve">@GrekRND </t>
  </si>
  <si>
    <t>вроде ок</t>
  </si>
  <si>
    <t xml:space="preserve">Sergey Bykov </t>
  </si>
  <si>
    <t>24003 km, 28.06.2023</t>
  </si>
  <si>
    <t xml:space="preserve">@jesusis_0 </t>
  </si>
  <si>
    <t>от марата с опытом</t>
  </si>
  <si>
    <t>MT-03 300СС RED 5887</t>
  </si>
  <si>
    <t xml:space="preserve">Mikhail Miaev </t>
  </si>
  <si>
    <t xml:space="preserve">@Mihail1234567890 </t>
  </si>
  <si>
    <t>супер эконом</t>
  </si>
  <si>
    <t>REBEL 300СС PHUKET 7884</t>
  </si>
  <si>
    <t>Heinz Guenter Kircher (FB)</t>
  </si>
  <si>
    <t>швейцария</t>
  </si>
  <si>
    <t>passport</t>
  </si>
  <si>
    <t>Eil Zehavil</t>
  </si>
  <si>
    <t>ISR</t>
  </si>
  <si>
    <t>Harry Paul Mondryk</t>
  </si>
  <si>
    <t>GBR</t>
  </si>
  <si>
    <t xml:space="preserve">Grigorii Mikhailov </t>
  </si>
  <si>
    <t xml:space="preserve">@gregmichelz </t>
  </si>
  <si>
    <t>норм чел оплатит за ранее</t>
  </si>
  <si>
    <t>NINJA 400СС PHUKET 6334</t>
  </si>
  <si>
    <t>12750 Km, 12.00.2023</t>
  </si>
  <si>
    <t>не стабильный чел кажется</t>
  </si>
  <si>
    <t>James Scott Antony</t>
  </si>
  <si>
    <t>100 дол</t>
  </si>
  <si>
    <t xml:space="preserve"> +79163824633</t>
  </si>
  <si>
    <t>чел с самуи проездом</t>
  </si>
  <si>
    <t>Garmazhap Dorzhiev</t>
  </si>
  <si>
    <t>19861 Km, 18.10.2023</t>
  </si>
  <si>
    <t>tg garmazhap7</t>
  </si>
  <si>
    <t>друг жени</t>
  </si>
  <si>
    <t>Ramil Vagapov</t>
  </si>
  <si>
    <t>800 IMX</t>
  </si>
  <si>
    <t xml:space="preserve">RA, , </t>
  </si>
  <si>
    <t>cool</t>
  </si>
  <si>
    <t>Vitaliy Nedelku</t>
  </si>
  <si>
    <t>вроде норм хочет купить</t>
  </si>
  <si>
    <t>Sergey Tvorogov</t>
  </si>
  <si>
    <t>200 дол</t>
  </si>
  <si>
    <t>чел из фб не опытный</t>
  </si>
  <si>
    <t>Denisov Iaroslav</t>
  </si>
  <si>
    <t xml:space="preserve"> 099146059, tg @tonycooper_62</t>
  </si>
  <si>
    <t>вроде опытный</t>
  </si>
  <si>
    <t>CB 300CC R 9011</t>
  </si>
  <si>
    <t>SHPAKOVSKIY Anton</t>
  </si>
  <si>
    <t xml:space="preserve">, +79994951703, </t>
  </si>
  <si>
    <t>EFIMOV Aleksandr</t>
  </si>
  <si>
    <t>14510 Km, 19.08.2023</t>
  </si>
  <si>
    <t xml:space="preserve">Tg @Alex_Efimov, +660809209152, </t>
  </si>
  <si>
    <t>NA</t>
  </si>
  <si>
    <t>MT-03 300СС BLUE PHUKET 5068</t>
  </si>
  <si>
    <t>Usmanov Amal</t>
  </si>
  <si>
    <t xml:space="preserve">@sau00, +66 80-551-6013, </t>
  </si>
  <si>
    <t>Сосед культурный</t>
  </si>
  <si>
    <t>R3 RED MATT 5992</t>
  </si>
  <si>
    <t>Bernikov Danil</t>
  </si>
  <si>
    <t>11000 THB</t>
  </si>
  <si>
    <t xml:space="preserve">tg @Danbeijing, 0622265537, </t>
  </si>
  <si>
    <t>опытный</t>
  </si>
  <si>
    <t>Meshcheriakov Valentin</t>
  </si>
  <si>
    <t xml:space="preserve">, 0953703325, </t>
  </si>
  <si>
    <t>чел и з бангтао живет на самуи</t>
  </si>
  <si>
    <t>Midianka Maksym</t>
  </si>
  <si>
    <t>Паспорт</t>
  </si>
  <si>
    <t>15900 Km, 18.09.2023</t>
  </si>
  <si>
    <t>VULCAN 650CC S PHUKET 5065</t>
  </si>
  <si>
    <t>Шер</t>
  </si>
  <si>
    <t xml:space="preserve">@Sher_35, , </t>
  </si>
  <si>
    <t>друг сережи виты</t>
  </si>
  <si>
    <t>Degtiarev Ivan</t>
  </si>
  <si>
    <t>, , 081-687-7121</t>
  </si>
  <si>
    <t>Сосед</t>
  </si>
  <si>
    <t>Shpakovskiy Anton</t>
  </si>
  <si>
    <t>11261 Km, 28.10.2023</t>
  </si>
  <si>
    <t>Tsipotan Mikhail</t>
  </si>
  <si>
    <t>10000 rub + passport</t>
  </si>
  <si>
    <t xml:space="preserve">@xorrer, 0661384095, </t>
  </si>
  <si>
    <t>Опыт 1 сезон</t>
  </si>
  <si>
    <t>Kolpakov Dmitry</t>
  </si>
  <si>
    <t xml:space="preserve">, 0814806085, </t>
  </si>
  <si>
    <t>Не далеко живёт</t>
  </si>
  <si>
    <t>Chakmazov Armen</t>
  </si>
  <si>
    <t xml:space="preserve">@atch2022, +1-786-284-2977, </t>
  </si>
  <si>
    <t>Нахуй нужОн этот шлем ваш</t>
  </si>
  <si>
    <t>Druzhinin Denis</t>
  </si>
  <si>
    <t xml:space="preserve">@BiophilicMan, +1-786-284-2977, </t>
  </si>
  <si>
    <t>В гости позвали</t>
  </si>
  <si>
    <t>Suslov Artem</t>
  </si>
  <si>
    <t xml:space="preserve">@art_ew, +660993189037, </t>
  </si>
  <si>
    <t>Efimov Aleksandr</t>
  </si>
  <si>
    <t>20900 Km, 24.09.2023</t>
  </si>
  <si>
    <t xml:space="preserve">@Alex_Efimov, , </t>
  </si>
  <si>
    <t>На ребеле откатал</t>
  </si>
  <si>
    <t>Vivchar Vitaly</t>
  </si>
  <si>
    <t xml:space="preserve">@vivchar, , </t>
  </si>
  <si>
    <t>От Антона</t>
  </si>
  <si>
    <t>Lisenkov Eduard</t>
  </si>
  <si>
    <t>Passport</t>
  </si>
  <si>
    <t xml:space="preserve">, , </t>
  </si>
  <si>
    <t>Из фэйсбук</t>
  </si>
  <si>
    <t>24500 Km, 18.10.2023</t>
  </si>
  <si>
    <t>Sedova Svetlana</t>
  </si>
  <si>
    <t xml:space="preserve">@svet_peresvet, 066709421222, </t>
  </si>
  <si>
    <t>мало опыта делает видео</t>
  </si>
  <si>
    <t>Kardashin Nikita</t>
  </si>
  <si>
    <t xml:space="preserve">Tg +79123694993, 0963858663, </t>
  </si>
  <si>
    <t>От кого то пришел</t>
  </si>
  <si>
    <t xml:space="preserve">@svet_peresvet, 0809421222, </t>
  </si>
  <si>
    <t>Guseva Iana</t>
  </si>
  <si>
    <t>19100 Km, 28.10.2023</t>
  </si>
  <si>
    <t xml:space="preserve">@yanell_hair, , </t>
  </si>
  <si>
    <t>Яна...</t>
  </si>
  <si>
    <t>Sidorin Evgeny</t>
  </si>
  <si>
    <t xml:space="preserve">, +6287862796404, </t>
  </si>
  <si>
    <t>Будет на пангане</t>
  </si>
  <si>
    <t xml:space="preserve">@Vaka163, , </t>
  </si>
  <si>
    <t>Сосед уже был аккуратный</t>
  </si>
  <si>
    <t>Ivontev Kirill</t>
  </si>
  <si>
    <t>@kirillivontev, 0642468181, +79251576815</t>
  </si>
  <si>
    <t>Адекватный чел</t>
  </si>
  <si>
    <t>Ahmed saif ali</t>
  </si>
  <si>
    <t xml:space="preserve">0931248406, 0107916325, </t>
  </si>
  <si>
    <t>индия</t>
  </si>
  <si>
    <t>Уже был</t>
  </si>
  <si>
    <t>Plotvinov Aleksandr</t>
  </si>
  <si>
    <t xml:space="preserve">@takoy_sasha, 0961502348, </t>
  </si>
  <si>
    <t>из англии</t>
  </si>
  <si>
    <t>Erneev Eldar</t>
  </si>
  <si>
    <t xml:space="preserve">@flexfun, +6285933574421, </t>
  </si>
  <si>
    <t>Нужен был новый байк</t>
  </si>
  <si>
    <t>Iashchenko Vladimir</t>
  </si>
  <si>
    <t xml:space="preserve">@vv044, 0945259938, </t>
  </si>
  <si>
    <t>Vorontsov Valeriy</t>
  </si>
  <si>
    <t xml:space="preserve">@VorontsovVV, +79659090909, </t>
  </si>
  <si>
    <t>Borisov Mikhail</t>
  </si>
  <si>
    <t xml:space="preserve">@GIGIGIGIGIGIGG, +66626938381, </t>
  </si>
  <si>
    <t>Нашел по картам</t>
  </si>
  <si>
    <t>Diakov Dmitrii</t>
  </si>
  <si>
    <t xml:space="preserve">@westkanye, , </t>
  </si>
  <si>
    <t>Сосед вроде норм</t>
  </si>
  <si>
    <t>Dashkevich Nikolay</t>
  </si>
  <si>
    <t xml:space="preserve">@Nikvaldash, 0957213119, </t>
  </si>
  <si>
    <t>С гугл мэпс</t>
  </si>
  <si>
    <t>Khromov Vladimir</t>
  </si>
  <si>
    <t>Fb stereotipniu, +79852921569, @Arkhetyp</t>
  </si>
  <si>
    <t>Из фб</t>
  </si>
  <si>
    <t>Postnov Valentin</t>
  </si>
  <si>
    <t>21240 Km, 11.12.2023</t>
  </si>
  <si>
    <t xml:space="preserve">@valpostnov, +79873909149, </t>
  </si>
  <si>
    <t>Уже был норм</t>
  </si>
  <si>
    <t>Magomedov Alexander</t>
  </si>
  <si>
    <t xml:space="preserve">, 0999321482, </t>
  </si>
  <si>
    <t>Kikosh Denis</t>
  </si>
  <si>
    <t xml:space="preserve">@outcast_25, 0631244494, </t>
  </si>
  <si>
    <t xml:space="preserve">Компания из трёх </t>
  </si>
  <si>
    <t>Chalabov Konstantin</t>
  </si>
  <si>
    <t xml:space="preserve">@chalabov_kostya, , </t>
  </si>
  <si>
    <t>Казах</t>
  </si>
  <si>
    <t xml:space="preserve">@art_ew, , </t>
  </si>
  <si>
    <t>Bogachev Leonid</t>
  </si>
  <si>
    <t xml:space="preserve">@Luxxxxxxxxxxxxxxxxxx, , </t>
  </si>
  <si>
    <t>Sukhval Aleksandr</t>
  </si>
  <si>
    <t>@updated_reality, ,  +66 90 210 2221</t>
  </si>
  <si>
    <t>Gatsev Ilia</t>
  </si>
  <si>
    <t xml:space="preserve">@playtime_777, , </t>
  </si>
  <si>
    <t>Kulyk Ihor</t>
  </si>
  <si>
    <t xml:space="preserve">@Andreiiiiao, 0969430001, </t>
  </si>
  <si>
    <t>Lozovyi Yaroslav</t>
  </si>
  <si>
    <t>Ярик</t>
  </si>
  <si>
    <t>Shavenko Aleksandr</t>
  </si>
  <si>
    <t xml:space="preserve">@hhpz51, 0835035444, </t>
  </si>
  <si>
    <t>Отихор</t>
  </si>
  <si>
    <t>Chuvashov Danil</t>
  </si>
  <si>
    <t xml:space="preserve">@Danilcus, +66804546339, </t>
  </si>
  <si>
    <t>30700 Km, 01.02.2024</t>
  </si>
  <si>
    <t xml:space="preserve">@updated_reality, , </t>
  </si>
  <si>
    <t xml:space="preserve">Был уже учится </t>
  </si>
  <si>
    <t>Koloskov Roman</t>
  </si>
  <si>
    <t xml:space="preserve">+7 913 126 4580, 0889946237, </t>
  </si>
  <si>
    <t>Спросил двухиестный ли мот</t>
  </si>
  <si>
    <t>Pugachyov Maxim</t>
  </si>
  <si>
    <t>Wa , 0828436431, 0828437781</t>
  </si>
  <si>
    <t xml:space="preserve">Passport </t>
  </si>
  <si>
    <t xml:space="preserve">@hhpz51, , </t>
  </si>
  <si>
    <t>Petukhov Konstantin</t>
  </si>
  <si>
    <t xml:space="preserve">@avki2001, 89994108998, </t>
  </si>
  <si>
    <t>Чел знает чего хочет</t>
  </si>
  <si>
    <t>Angelina</t>
  </si>
  <si>
    <t>31616 Km, 30.01.2024</t>
  </si>
  <si>
    <t xml:space="preserve">@rebmalad, , </t>
  </si>
  <si>
    <t>Aksenov Ilya</t>
  </si>
  <si>
    <t>Passprt</t>
  </si>
  <si>
    <t xml:space="preserve">, +7 926 574-47-97, </t>
  </si>
  <si>
    <t xml:space="preserve">От Михаила Форбс </t>
  </si>
  <si>
    <t>Kaiianen Vladislav</t>
  </si>
  <si>
    <t xml:space="preserve">@kayyanen, , </t>
  </si>
  <si>
    <t>Вроде знакомый</t>
  </si>
  <si>
    <t>Zmiliaev Vladislav</t>
  </si>
  <si>
    <t xml:space="preserve">@asya_meow, +7926 666 76 00, </t>
  </si>
  <si>
    <t>150 usdt</t>
  </si>
  <si>
    <t xml:space="preserve">@Andreiiiiao, , </t>
  </si>
  <si>
    <t>Сосед Игорь уже был</t>
  </si>
  <si>
    <t xml:space="preserve">@avki2001, , </t>
  </si>
  <si>
    <t>Lebedev Vladislav</t>
  </si>
  <si>
    <t xml:space="preserve">@warriorheaart, 0838892422, </t>
  </si>
  <si>
    <t>Ivchenko Aleksei</t>
  </si>
  <si>
    <t xml:space="preserve">@alex_sleekest, 0963852561, </t>
  </si>
  <si>
    <t>Брали 2</t>
  </si>
  <si>
    <t>Взяли 2</t>
  </si>
  <si>
    <t>30000 rub 100$</t>
  </si>
  <si>
    <t>Garipov Renat</t>
  </si>
  <si>
    <t xml:space="preserve">@garipovrenat, , </t>
  </si>
  <si>
    <t>Nikitin Kirill</t>
  </si>
  <si>
    <t xml:space="preserve">1744, +62 813‑2538‑6074, </t>
  </si>
  <si>
    <t>100$ и 2000 бат</t>
  </si>
  <si>
    <t>Saveliev Davyd</t>
  </si>
  <si>
    <t>84 usdt</t>
  </si>
  <si>
    <t xml:space="preserve">@louisboy, , </t>
  </si>
  <si>
    <t>Вдвоем сняли по денгьгам ок</t>
  </si>
  <si>
    <t>Varpakhovskiy Alexey</t>
  </si>
  <si>
    <t xml:space="preserve">@yamaha600fzs, 0815651477, </t>
  </si>
  <si>
    <t>Пасспорт</t>
  </si>
  <si>
    <t>Polovnikov Pavel</t>
  </si>
  <si>
    <t xml:space="preserve">@pavelpol26, , </t>
  </si>
  <si>
    <t>Krutov Denis</t>
  </si>
  <si>
    <t xml:space="preserve">@anyamuy, , </t>
  </si>
  <si>
    <t>Pashkov Andrei</t>
  </si>
  <si>
    <t xml:space="preserve">@andrenjoy, 0987120406, </t>
  </si>
  <si>
    <t>Golenko Kirill</t>
  </si>
  <si>
    <t>200$ 1000 thb</t>
  </si>
  <si>
    <t xml:space="preserve">+7 924 491-13-13, , </t>
  </si>
  <si>
    <t xml:space="preserve">+7 913 126 4580, , </t>
  </si>
  <si>
    <t>Belov Ilia</t>
  </si>
  <si>
    <t xml:space="preserve">@Kirill_GS_main, ‎ +66 63 129 3870, </t>
  </si>
  <si>
    <t>Четкий чел</t>
  </si>
  <si>
    <t>Nikolaev Nikita</t>
  </si>
  <si>
    <t xml:space="preserve">@nklv_n, 0629688827, </t>
  </si>
  <si>
    <t>Ponomarev Vitalii</t>
  </si>
  <si>
    <t xml:space="preserve">0821056210, , </t>
  </si>
  <si>
    <t>Zavistovskii Roman</t>
  </si>
  <si>
    <t xml:space="preserve">@kseden86, 89227681777, </t>
  </si>
  <si>
    <t>Vardanian Aleksandr</t>
  </si>
  <si>
    <t xml:space="preserve">@Torchez420, , </t>
  </si>
  <si>
    <t>Антон ремб</t>
  </si>
  <si>
    <t>Vostrikov Dmitrii</t>
  </si>
  <si>
    <t>8000 RUB-540 за бенз</t>
  </si>
  <si>
    <t xml:space="preserve">@voss3k, +7 965 900-00-60, </t>
  </si>
  <si>
    <t>Ponomarenko Artem</t>
  </si>
  <si>
    <t>От Миши клиент</t>
  </si>
  <si>
    <t>Sergeev Daniel</t>
  </si>
  <si>
    <t xml:space="preserve">@densvr, +79110195440, </t>
  </si>
  <si>
    <t>Адекват летит из бангкока</t>
  </si>
  <si>
    <t>Dubovoi Iaroslav</t>
  </si>
  <si>
    <t xml:space="preserve">@cha1vdvoem, +66948204917, </t>
  </si>
  <si>
    <t>Из аккаунта btc!!</t>
  </si>
  <si>
    <t>Titov Artur</t>
  </si>
  <si>
    <t>100$ 200 бат</t>
  </si>
  <si>
    <t xml:space="preserve">@arturtit, , </t>
  </si>
  <si>
    <t>Вдвоем взяли</t>
  </si>
  <si>
    <t>Avakian Sargis</t>
  </si>
  <si>
    <t xml:space="preserve">@sarkison7, , </t>
  </si>
  <si>
    <t>Вдвоем</t>
  </si>
  <si>
    <t>Morini Matteo</t>
  </si>
  <si>
    <t xml:space="preserve">+33636058650, +33636058650, </t>
  </si>
  <si>
    <t>Из ватса итальянец дайвер</t>
  </si>
  <si>
    <t>Martin Timothée</t>
  </si>
  <si>
    <t xml:space="preserve">, 0610481060, </t>
  </si>
  <si>
    <t>Péna Raphaël</t>
  </si>
  <si>
    <t xml:space="preserve">@, +33652224021, </t>
  </si>
  <si>
    <t>$200 1900thb ₽20k</t>
  </si>
  <si>
    <t>Уже брали</t>
  </si>
  <si>
    <t>Luzhbin Aleksei</t>
  </si>
  <si>
    <t>Rudakov Artem</t>
  </si>
  <si>
    <t>Dantsev Evgenii</t>
  </si>
  <si>
    <t>Vishniakov Nikolai</t>
  </si>
  <si>
    <t>8100руб</t>
  </si>
  <si>
    <t xml:space="preserve">@alakius, +79268791890, </t>
  </si>
  <si>
    <t>passort</t>
  </si>
  <si>
    <t>19000 Km, 03.03.2024</t>
  </si>
  <si>
    <t>Lerman Petr</t>
  </si>
  <si>
    <t xml:space="preserve">@usd13m, , </t>
  </si>
  <si>
    <t>Петр лерман</t>
  </si>
  <si>
    <t>Krylov Ivan</t>
  </si>
  <si>
    <t>13500rub</t>
  </si>
  <si>
    <t xml:space="preserve">@M_S_K_go, +79665559999, </t>
  </si>
  <si>
    <t>Aksenov Aleksandr</t>
  </si>
  <si>
    <t>Нет</t>
  </si>
  <si>
    <t xml:space="preserve">@ddss13, , </t>
  </si>
  <si>
    <t>Novikov Denis</t>
  </si>
  <si>
    <t xml:space="preserve">@f33Denis, +79258928009, </t>
  </si>
  <si>
    <t>Zlobin Andrey</t>
  </si>
  <si>
    <t xml:space="preserve">@AndreZlobin, 0635262920, </t>
  </si>
  <si>
    <t>Ermolin Aleksei</t>
  </si>
  <si>
    <t>Уже брали 5 чел от Михаила</t>
  </si>
  <si>
    <t>Chernov Andrei</t>
  </si>
  <si>
    <t xml:space="preserve">@drey_bay, 0823621739, </t>
  </si>
  <si>
    <t>Сосед на опыте</t>
  </si>
  <si>
    <t>Iuldashev Bakhtiiar</t>
  </si>
  <si>
    <t xml:space="preserve">+79371127540, , </t>
  </si>
  <si>
    <t>18950 Km, 01.02.2024</t>
  </si>
  <si>
    <t>Sidorenko Nikolai</t>
  </si>
  <si>
    <t xml:space="preserve">TG: +79142036695, +79142036695, </t>
  </si>
  <si>
    <t>Искать по номеру телефона</t>
  </si>
  <si>
    <t>Shutov Aleksandr</t>
  </si>
  <si>
    <t xml:space="preserve">@MILLIONERINVESTOR, 89114484106, </t>
  </si>
  <si>
    <t>Sidirenko nikolay</t>
  </si>
  <si>
    <t>торгашь ребел</t>
  </si>
  <si>
    <t>Savetsov Sergei</t>
  </si>
  <si>
    <t xml:space="preserve">Sergei Shvetsov, , </t>
  </si>
  <si>
    <t>Maniakhin Maksim</t>
  </si>
  <si>
    <t xml:space="preserve">Максим, 89645720090, </t>
  </si>
  <si>
    <t>Kim Aleksei</t>
  </si>
  <si>
    <t>@aleksei_k1m, 89501110511, 0909020053</t>
  </si>
  <si>
    <t>Rochev Ivan</t>
  </si>
  <si>
    <t xml:space="preserve">@ivanro4ev, , </t>
  </si>
  <si>
    <t>Petukhov Mikhail</t>
  </si>
  <si>
    <t xml:space="preserve">@sk_medved, 0910340429, </t>
  </si>
  <si>
    <t>Shadrunov Artem</t>
  </si>
  <si>
    <t xml:space="preserve">@Vidyaykina, 0950095690, </t>
  </si>
  <si>
    <t>Antonov Sergey</t>
  </si>
  <si>
    <t xml:space="preserve">@Sergio_Antoneli, +79035437760, </t>
  </si>
  <si>
    <t>Rita Tarakanova</t>
  </si>
  <si>
    <t>Filbger Eduard</t>
  </si>
  <si>
    <t xml:space="preserve">Eduard, , </t>
  </si>
  <si>
    <t>Эдуард :)</t>
  </si>
  <si>
    <t>Shcherbakov Dmitrii</t>
  </si>
  <si>
    <t xml:space="preserve">@Diman1707, +7937201477, </t>
  </si>
  <si>
    <t>Pronin Fedor</t>
  </si>
  <si>
    <t xml:space="preserve">+7 910 478-19-91, , </t>
  </si>
  <si>
    <t>Fomin Oleksandr</t>
  </si>
  <si>
    <t xml:space="preserve">Inst Oleksandr Fomin, , </t>
  </si>
  <si>
    <t>Нужен с кофром</t>
  </si>
  <si>
    <t>XMAX 300CC PHUKET 8358</t>
  </si>
  <si>
    <t xml:space="preserve">, 0635262920, </t>
  </si>
  <si>
    <t>Sireev Bogdan</t>
  </si>
  <si>
    <t>8000 thb</t>
  </si>
  <si>
    <t xml:space="preserve">@bsireev, 0959785178, </t>
  </si>
  <si>
    <t>Savchuk Ulian</t>
  </si>
  <si>
    <t xml:space="preserve">@ulianspace, , </t>
  </si>
  <si>
    <t>Ульян парень Насти</t>
  </si>
  <si>
    <t>Borodin Dzhamal</t>
  </si>
  <si>
    <t xml:space="preserve">@borodin_info, +79822151555, </t>
  </si>
  <si>
    <t>Ivaniuk Mykyta</t>
  </si>
  <si>
    <t xml:space="preserve">Nikita avaniuk, +380979530946, </t>
  </si>
  <si>
    <t>Viniankou Albert</t>
  </si>
  <si>
    <t xml:space="preserve">@phiketscrow, , </t>
  </si>
  <si>
    <t>Нет телефона</t>
  </si>
  <si>
    <t>Fedak Anatolii</t>
  </si>
  <si>
    <t>8100 р</t>
  </si>
  <si>
    <t xml:space="preserve">@Nastya_Tapatun, , </t>
  </si>
  <si>
    <t>Cherkashchenko Anton</t>
  </si>
  <si>
    <t xml:space="preserve">@kebett, +66 9 9080 0146, </t>
  </si>
  <si>
    <t>Gladkov Igor</t>
  </si>
  <si>
    <t xml:space="preserve">@vandam354, +79888999104, </t>
  </si>
  <si>
    <t>Brindeev Grigorii</t>
  </si>
  <si>
    <t>Iakovlev Ivan</t>
  </si>
  <si>
    <t xml:space="preserve">+7 903 133-13-92, , </t>
  </si>
  <si>
    <t>40500р</t>
  </si>
  <si>
    <t xml:space="preserve">+7 903 133-13-92, +7 903 133-13-92, </t>
  </si>
  <si>
    <t>Молодой</t>
  </si>
  <si>
    <t>XMAX 300CC 2017 8358</t>
  </si>
  <si>
    <t>Maksi mov Vlas</t>
  </si>
  <si>
    <t>Rubanov Vitalii</t>
  </si>
  <si>
    <t xml:space="preserve">+7 921 939-27-77, , </t>
  </si>
  <si>
    <t>От @AutoMotoTh</t>
  </si>
  <si>
    <t>Rumenko Leonid</t>
  </si>
  <si>
    <t xml:space="preserve">@leonid_rr, , </t>
  </si>
  <si>
    <t>Kirsanov Dmitrii</t>
  </si>
  <si>
    <t xml:space="preserve">@Dima_k85, , </t>
  </si>
  <si>
    <t>Kuznetsov Lev</t>
  </si>
  <si>
    <t xml:space="preserve">@aiowoi, +66996071124, </t>
  </si>
  <si>
    <t>Лйова проф чоперист</t>
  </si>
  <si>
    <t>Slavskii Sergei</t>
  </si>
  <si>
    <t xml:space="preserve">+7 985 347-01-47, , </t>
  </si>
  <si>
    <t>Пришли живут рядом</t>
  </si>
  <si>
    <t>сосед</t>
  </si>
  <si>
    <t>Dvoenko Natalia</t>
  </si>
  <si>
    <t>40500rub</t>
  </si>
  <si>
    <t>@dvoenko, , +79217628949</t>
  </si>
  <si>
    <t>Wiegurd Lars Peder</t>
  </si>
  <si>
    <t xml:space="preserve">, +46708454946, </t>
  </si>
  <si>
    <t>Polishchúk Mikhail</t>
  </si>
  <si>
    <t xml:space="preserve">@michaelpol, , </t>
  </si>
  <si>
    <t>! Nikita</t>
  </si>
  <si>
    <t xml:space="preserve">+7 902 924-97-98, , </t>
  </si>
  <si>
    <t>Rozov Mikhail</t>
  </si>
  <si>
    <t>14090 Km, 30.01.2024</t>
  </si>
  <si>
    <t xml:space="preserve">+79673651202, , </t>
  </si>
  <si>
    <t>Компания из трёх</t>
  </si>
  <si>
    <t>Rakhimov Dadozhon</t>
  </si>
  <si>
    <t xml:space="preserve">@Dadajon111, , </t>
  </si>
  <si>
    <t>Petkin Viacheslav</t>
  </si>
  <si>
    <t xml:space="preserve">79676094848, , </t>
  </si>
  <si>
    <t>Utkin Pavel</t>
  </si>
  <si>
    <t xml:space="preserve">@moto_lina, +79264082848, </t>
  </si>
  <si>
    <t>От менеджера тг контакт ее</t>
  </si>
  <si>
    <t>1 М</t>
  </si>
  <si>
    <t>мото</t>
  </si>
  <si>
    <t>Evdokimov Kirill</t>
  </si>
  <si>
    <t xml:space="preserve">@up765, , </t>
  </si>
  <si>
    <t>Demin Alexey</t>
  </si>
  <si>
    <t xml:space="preserve">, +79299598458, </t>
  </si>
  <si>
    <t>A от Nic</t>
  </si>
  <si>
    <t>Gimadeev Amirkhan</t>
  </si>
  <si>
    <t xml:space="preserve">@doublec_c, 0964171248, </t>
  </si>
  <si>
    <t>Buikliskii Vladimir</t>
  </si>
  <si>
    <t xml:space="preserve">@VladimirBuik, +79898333740, </t>
  </si>
  <si>
    <t>На 2 дня говорит</t>
  </si>
  <si>
    <t>Vratskikh Ivan</t>
  </si>
  <si>
    <t>От ивана</t>
  </si>
  <si>
    <t>Kolesnikov Andrei</t>
  </si>
  <si>
    <t xml:space="preserve">+7 903 500-34-55, , </t>
  </si>
  <si>
    <t>От Михаила</t>
  </si>
  <si>
    <t>Chepurov Igor</t>
  </si>
  <si>
    <t xml:space="preserve">+7 922 878-27-95, +7 996 853-16-24, </t>
  </si>
  <si>
    <t>Zubrilkin Sergey</t>
  </si>
  <si>
    <t xml:space="preserve">+7 913 941-45-50, , </t>
  </si>
  <si>
    <t>Был уже</t>
  </si>
  <si>
    <t>Bakunin Fedor</t>
  </si>
  <si>
    <t xml:space="preserve">@hdrpncs, +7 930 808-22-50, </t>
  </si>
  <si>
    <t>Houston Kevin William</t>
  </si>
  <si>
    <t>Nikulin Pavel</t>
  </si>
  <si>
    <t xml:space="preserve">@ipaul3277, +79111428096, </t>
  </si>
  <si>
    <t>Sofonov Denis</t>
  </si>
  <si>
    <t>21000 Km, 01.02.2024</t>
  </si>
  <si>
    <t>8100rub</t>
  </si>
  <si>
    <t xml:space="preserve">@povar_denis_sofonov, +79872127465, </t>
  </si>
  <si>
    <t>19000 Km, 01.02.2024</t>
  </si>
  <si>
    <t>Popov Ivan</t>
  </si>
  <si>
    <t xml:space="preserve">@dev1919popov, 0837560370, </t>
  </si>
  <si>
    <t>Nikitinskii Sergei</t>
  </si>
  <si>
    <t xml:space="preserve">+185692560609, , </t>
  </si>
  <si>
    <t>2 икса</t>
  </si>
  <si>
    <t>Shevtsov Valeriy</t>
  </si>
  <si>
    <t>34800 Km, 17.02.2024</t>
  </si>
  <si>
    <t xml:space="preserve">@Valeriy_VSh, +66934433051, </t>
  </si>
  <si>
    <t>Vakhrameev Nikita</t>
  </si>
  <si>
    <t xml:space="preserve">@nikita_vakhrameev, 0992203707, </t>
  </si>
  <si>
    <t>Samitov Iskander</t>
  </si>
  <si>
    <t>, , +995599869326</t>
  </si>
  <si>
    <t>От агента девушки</t>
  </si>
  <si>
    <t>Boev Pavel</t>
  </si>
  <si>
    <t>23400 Km, 01.02.2024</t>
  </si>
  <si>
    <t>8000rub</t>
  </si>
  <si>
    <t xml:space="preserve">@pb_serm, , </t>
  </si>
  <si>
    <t>Rizvanov Emil</t>
  </si>
  <si>
    <t>@emilrizvanov, 0824703108, 0815123819</t>
  </si>
  <si>
    <t xml:space="preserve">Вдвоём </t>
  </si>
  <si>
    <t>Andreev Anton</t>
  </si>
  <si>
    <t xml:space="preserve">+79262771198, , </t>
  </si>
  <si>
    <t>Krestenko Anatolii</t>
  </si>
  <si>
    <t xml:space="preserve">@likeblood, +79775563746, </t>
  </si>
  <si>
    <t>Grigorian Marat</t>
  </si>
  <si>
    <t xml:space="preserve">+7 915 006-09-99, , </t>
  </si>
  <si>
    <t>Semochkin Alexey</t>
  </si>
  <si>
    <t>Rybkin Ivan</t>
  </si>
  <si>
    <t>100евро</t>
  </si>
  <si>
    <t>От Жени агентки</t>
  </si>
  <si>
    <t>Rykov Aleksei</t>
  </si>
  <si>
    <t xml:space="preserve">+79267191322, , </t>
  </si>
  <si>
    <t>Chepurnoi Dmitrii</t>
  </si>
  <si>
    <t xml:space="preserve">+79147053332, , </t>
  </si>
  <si>
    <t xml:space="preserve">+7 924 790-97-88, , </t>
  </si>
  <si>
    <t>Rulev Evgeny</t>
  </si>
  <si>
    <t>@ejrule, 0991299132, +79031337371</t>
  </si>
  <si>
    <t>Biriukov Aleksei</t>
  </si>
  <si>
    <t>Boitsov Dmitrii</t>
  </si>
  <si>
    <t>Filipenko Volodymyr</t>
  </si>
  <si>
    <t xml:space="preserve">@allworld911, +66660349722, </t>
  </si>
  <si>
    <t>@ALEKHANIN5756, 0969709670, 89994955756</t>
  </si>
  <si>
    <t>Ivanov Kirill</t>
  </si>
  <si>
    <t>СHАКАЕV TURPAL-ALI</t>
  </si>
  <si>
    <t xml:space="preserve">@D222RK, +90 543 103 94 95, </t>
  </si>
  <si>
    <t>Мустафа mustafa Nail</t>
  </si>
  <si>
    <t xml:space="preserve">@brvnz, 0843939509, </t>
  </si>
  <si>
    <t>Polekhin Dmitrii</t>
  </si>
  <si>
    <t xml:space="preserve">@dmitrii138, 0837147594, </t>
  </si>
  <si>
    <t>Karimova Renata</t>
  </si>
  <si>
    <t>25000 THB</t>
  </si>
  <si>
    <t>Igitian Rudolf</t>
  </si>
  <si>
    <t>, +995579403258, +7 916 790-90-01</t>
  </si>
  <si>
    <t>Yahya, Nawaf Abdullah Y</t>
  </si>
  <si>
    <t xml:space="preserve">, +966506629834, </t>
  </si>
  <si>
    <t>Basharaheel, Ali Talal A</t>
  </si>
  <si>
    <t xml:space="preserve">, +966592222639, </t>
  </si>
  <si>
    <t>Karmatskada Sharlotta</t>
  </si>
  <si>
    <t xml:space="preserve">+79996384440, , </t>
  </si>
  <si>
    <t>Pakulov Aleksandr</t>
  </si>
  <si>
    <t>@aleks_raaa, 89243056005, 89626770707</t>
  </si>
  <si>
    <t>Trandushkin Maksim</t>
  </si>
  <si>
    <t xml:space="preserve">89999398001, 89999398001, </t>
  </si>
  <si>
    <t>Bondarev Evgenii</t>
  </si>
  <si>
    <t xml:space="preserve">89270630487, , </t>
  </si>
  <si>
    <t>Kotova Ksenia</t>
  </si>
  <si>
    <t>100$</t>
  </si>
  <si>
    <t xml:space="preserve">‪+7 929 643‑78‑28‬, ‪+7 929 643‑78‑28‬, </t>
  </si>
  <si>
    <t>XADV 750CC GREY BKK 2478</t>
  </si>
  <si>
    <t>Oleksandr from Igor</t>
  </si>
  <si>
    <t>CB 650R BLACK PHUKET 3503</t>
  </si>
  <si>
    <t>Evgeniy</t>
  </si>
  <si>
    <t xml:space="preserve">, 79141757988, </t>
  </si>
  <si>
    <t>Dashkevich Aleksandr</t>
  </si>
  <si>
    <t xml:space="preserve">, +821075363748, </t>
  </si>
  <si>
    <t>Ilinov Mykyta</t>
  </si>
  <si>
    <t xml:space="preserve">, +82 10 4614 0455, </t>
  </si>
  <si>
    <t>ADV 350CC DARK GREY BANGKOK 6895</t>
  </si>
  <si>
    <t>Zhdanovich Artur</t>
  </si>
  <si>
    <t xml:space="preserve">+79529425523, , </t>
  </si>
  <si>
    <t>Chulkov Aleksandr</t>
  </si>
  <si>
    <t xml:space="preserve">@Aleksandr_Pattaya, +66660677895, </t>
  </si>
  <si>
    <t>XMAX 300CC NEW BLACK PHUKET 8969</t>
  </si>
  <si>
    <t>Ushinskii Anton</t>
  </si>
  <si>
    <t xml:space="preserve">@Spanker17, +233204050956, </t>
  </si>
  <si>
    <t>Nikolaev Igor</t>
  </si>
  <si>
    <t xml:space="preserve">+995 511 493 534, , </t>
  </si>
  <si>
    <t>Kiumarsi Erfan</t>
  </si>
  <si>
    <t xml:space="preserve">, +16476078877, </t>
  </si>
  <si>
    <t>?</t>
  </si>
  <si>
    <t>депозит 6000 на март -1200 икср -1500 икср900 -100 бенз -200 шлем</t>
  </si>
  <si>
    <t>вип</t>
  </si>
  <si>
    <t>Mirzorakhmatov Mukhammadjon</t>
  </si>
  <si>
    <t xml:space="preserve">@mirzorakhmatov_m, +79823686659, </t>
  </si>
  <si>
    <t xml:space="preserve">, 79819378661, </t>
  </si>
  <si>
    <t>ADV 350CC BLACK PHUKET 5849</t>
  </si>
  <si>
    <t>Golubiatnikov Igor</t>
  </si>
  <si>
    <t>Riasnoi Ilia</t>
  </si>
  <si>
    <t xml:space="preserve">@stas5732, +79645208012, </t>
  </si>
  <si>
    <t>Lazarev Stanislav</t>
  </si>
  <si>
    <t>XMAX 300CC NEW RED GLOSS 2 PHUKET 4729</t>
  </si>
  <si>
    <t>Silchenkov Anton</t>
  </si>
  <si>
    <t>ADV 350CC GREY BKK 798</t>
  </si>
  <si>
    <t>Streltsov Dmitrii</t>
  </si>
  <si>
    <t xml:space="preserve">, +79116621665, </t>
  </si>
  <si>
    <t>XMAX 300CC NEW BLUE PHUKET 1813</t>
  </si>
  <si>
    <t xml:space="preserve">+ 7 911 662‑16‑65‬, , </t>
  </si>
  <si>
    <t>Ziablitsev Anton</t>
  </si>
  <si>
    <t>, +7929-22-44-666, +7982-656-46-16</t>
  </si>
  <si>
    <t>Merino
maldonado Joaquin</t>
  </si>
  <si>
    <t xml:space="preserve">, +34648710361, </t>
  </si>
  <si>
    <t>Cividanes
lago David</t>
  </si>
  <si>
    <t>Eldashev Kudrat</t>
  </si>
  <si>
    <t xml:space="preserve">@Yuriy_Orlov_1, 89518809974, </t>
  </si>
  <si>
    <t>XMAX 300CC NEW BLUE-3 PHUKET 4724</t>
  </si>
  <si>
    <t>Skorobogatov Evgeny</t>
  </si>
  <si>
    <t xml:space="preserve">, 79851671010, </t>
  </si>
  <si>
    <t>Lesyk Andriy</t>
  </si>
  <si>
    <t xml:space="preserve">+971 58 587 2193, , </t>
  </si>
  <si>
    <t>Galiakhmetov Timur</t>
  </si>
  <si>
    <t xml:space="preserve">@NInsomnia, 0626433383, </t>
  </si>
  <si>
    <t>XADV 750CC BLACK BKK 3902</t>
  </si>
  <si>
    <t>Evgen Bro</t>
  </si>
  <si>
    <t>Broussaud Cyrielle, Joanne</t>
  </si>
  <si>
    <t xml:space="preserve">, +33619068236, </t>
  </si>
  <si>
    <t>XMAX 300CC NEW BLUE-2 PHUKET 4725</t>
  </si>
  <si>
    <t>Barseghyan Arsen</t>
  </si>
  <si>
    <t xml:space="preserve">@Arsen_Barseghyan, +79671370441, </t>
  </si>
  <si>
    <t>XMAX 300CC NEW BROWN BANGKOK 9315</t>
  </si>
  <si>
    <t>Divanyan Bagrat</t>
  </si>
  <si>
    <t>Mikayelyan Karen</t>
  </si>
  <si>
    <t xml:space="preserve">, 89220000494, </t>
  </si>
  <si>
    <t xml:space="preserve">@nklv_n, +995599014984, </t>
  </si>
  <si>
    <t>ADV 350CC LIGHT GREY HKT 6004</t>
  </si>
  <si>
    <t>Shatskii Kirill</t>
  </si>
  <si>
    <t>ADV 350CC BLACK GOLD PHUKET 372</t>
  </si>
  <si>
    <t>Shatskii Nikolai</t>
  </si>
  <si>
    <t>Chana Aaron Singh</t>
  </si>
  <si>
    <t xml:space="preserve">, ‪+44 7960 000839‬, </t>
  </si>
  <si>
    <t>200$</t>
  </si>
  <si>
    <t>@vladilebedev, 89817933210, 89117437101</t>
  </si>
  <si>
    <t>Sotnikova Daria</t>
  </si>
  <si>
    <t xml:space="preserve">, 89773618141, </t>
  </si>
  <si>
    <t>Mikheev Aleksandr</t>
  </si>
  <si>
    <t>@Mihey14, 89199030506, 89828159793</t>
  </si>
  <si>
    <t>Kryuchkov Mikhail</t>
  </si>
  <si>
    <t>Safonov Maksim</t>
  </si>
  <si>
    <t>@MaxSafonov, 89151148877, 89168698944</t>
  </si>
  <si>
    <t>Podgorskii Anton</t>
  </si>
  <si>
    <t xml:space="preserve">, +79114009140, </t>
  </si>
  <si>
    <t>Petrenko Konstantin</t>
  </si>
  <si>
    <t>Zubkov Maksim</t>
  </si>
  <si>
    <t xml:space="preserve">, 89086137700, </t>
  </si>
  <si>
    <t>Firsov Evgenii</t>
  </si>
  <si>
    <t xml:space="preserve">, 89381122681, </t>
  </si>
  <si>
    <t>Novikov Aleksandr</t>
  </si>
  <si>
    <t xml:space="preserve">@AleksNovikov78, +79153599945, </t>
  </si>
  <si>
    <t>Drozdkov Igor</t>
  </si>
  <si>
    <t xml:space="preserve">, +66945159372, </t>
  </si>
  <si>
    <t>Tkachev Igor</t>
  </si>
  <si>
    <t xml:space="preserve">@IgaSan18, , </t>
  </si>
  <si>
    <t>Laptev Dmitrii</t>
  </si>
  <si>
    <t xml:space="preserve">@masterx888, +994504272489, </t>
  </si>
  <si>
    <t>Novikov Pavel</t>
  </si>
  <si>
    <t>@xSVONx, 89209593690, 89966173193</t>
  </si>
  <si>
    <t>Mazurenka Yauheni</t>
  </si>
  <si>
    <t>, ‪+375 25 528‑22‑14‬, +66966787306</t>
  </si>
  <si>
    <t xml:space="preserve">@M_S_K_go, , </t>
  </si>
  <si>
    <t>Kuleshov Ivan</t>
  </si>
  <si>
    <t xml:space="preserve">, 89888680382, </t>
  </si>
  <si>
    <t>Iakupov Ravil</t>
  </si>
  <si>
    <t xml:space="preserve">@yakupov_marketolog, , </t>
  </si>
  <si>
    <t>Kurakulov Maksim</t>
  </si>
  <si>
    <t xml:space="preserve">+79139851951, +79139851951, </t>
  </si>
  <si>
    <t>рубли 5000  бат</t>
  </si>
  <si>
    <t>18620 rub</t>
  </si>
  <si>
    <t>Iskhakov Ramil</t>
  </si>
  <si>
    <t xml:space="preserve">@ramilohohoh, , </t>
  </si>
  <si>
    <t>Aleinikov Stanislav</t>
  </si>
  <si>
    <t xml:space="preserve">‪+7 931 335‑16‑79‬, , </t>
  </si>
  <si>
    <t>Nilov Kirill</t>
  </si>
  <si>
    <t>, 89112969206, 89167046679</t>
  </si>
  <si>
    <t>XMAX 300CC NEW RED GLOSS BKK 5709</t>
  </si>
  <si>
    <t>Abramov Maksim</t>
  </si>
  <si>
    <t xml:space="preserve">@abrowist, 79297080348, </t>
  </si>
  <si>
    <t>Krylov Kirill</t>
  </si>
  <si>
    <t xml:space="preserve">@karl_karlov1996, 89037525592, </t>
  </si>
  <si>
    <t>Prozorov Egor</t>
  </si>
  <si>
    <t>, +79242008434, +79242016415</t>
  </si>
  <si>
    <t>53400 руб</t>
  </si>
  <si>
    <t xml:space="preserve">‪+7 916 704‑66‑79‬, ‪+7 916 704‑66‑79‬, </t>
  </si>
  <si>
    <t>Zefirov Mikhail</t>
  </si>
  <si>
    <t xml:space="preserve">‪+7 952 221‑21‑46‬, +66 80-583-3899, </t>
  </si>
  <si>
    <t xml:space="preserve">@yakupov_marketolog, +79177862964, </t>
  </si>
  <si>
    <t>Inglin- Jordan Pe-</t>
  </si>
  <si>
    <t xml:space="preserve">, +41 77 498 87 93, </t>
  </si>
  <si>
    <t>Gulieva Leila</t>
  </si>
  <si>
    <t>@Leeylochkaa, 89158274548, 89806893269</t>
  </si>
  <si>
    <t>Sapargel'dyev Anatoly</t>
  </si>
  <si>
    <t xml:space="preserve">+7 993 944-42-14, , </t>
  </si>
  <si>
    <t>Berdinskikh Alexey</t>
  </si>
  <si>
    <t xml:space="preserve">@Alexey_Berdinskikh, , </t>
  </si>
  <si>
    <t>Gilmetov Aidar</t>
  </si>
  <si>
    <t>8250руб</t>
  </si>
  <si>
    <t xml:space="preserve">, 89124125869, </t>
  </si>
  <si>
    <t xml:space="preserve">, 0963218105, </t>
  </si>
  <si>
    <t>Kuhta Jurijs</t>
  </si>
  <si>
    <t xml:space="preserve">Jk, +358400298588, </t>
  </si>
  <si>
    <t>Kandov Sherafgan</t>
  </si>
  <si>
    <t xml:space="preserve">, ‪+7 999 155‑94‑43‬, </t>
  </si>
  <si>
    <t>Igor</t>
  </si>
  <si>
    <t>Pan, Shun</t>
  </si>
  <si>
    <t xml:space="preserve">, +66944757466, </t>
  </si>
  <si>
    <t>Kozikhanov Aleksandr</t>
  </si>
  <si>
    <t xml:space="preserve">, 79143320203, </t>
  </si>
  <si>
    <t>Xah
khan Nazar</t>
  </si>
  <si>
    <t>Tereshchenko Valerii</t>
  </si>
  <si>
    <t>Dyshkant Sergei</t>
  </si>
  <si>
    <t xml:space="preserve">@Sergei_dyshkant, +79222474175, </t>
  </si>
  <si>
    <t>ADV 350CC RED BKK 9890</t>
  </si>
  <si>
    <t>Zakomolkin Daniil</t>
  </si>
  <si>
    <t xml:space="preserve">@Danil20111, , </t>
  </si>
  <si>
    <t>Zagorskii Vladislav</t>
  </si>
  <si>
    <t xml:space="preserve">@ATC_Roy, 89673473556, </t>
  </si>
  <si>
    <t>Guzii Irina</t>
  </si>
  <si>
    <t xml:space="preserve">@irin_guzii, 628 1226982991, </t>
  </si>
  <si>
    <t>,+972537160438</t>
  </si>
  <si>
    <t>Kozhevnikov Dmitrii</t>
  </si>
  <si>
    <t>, +66 92 903 4365, +79500260099</t>
  </si>
  <si>
    <t>Andreevskii Konstantin</t>
  </si>
  <si>
    <t xml:space="preserve">, +66 92 903 4217, </t>
  </si>
  <si>
    <t>Vakhtina Marina</t>
  </si>
  <si>
    <t xml:space="preserve">@business_assistant_v, , </t>
  </si>
  <si>
    <t>Petrov Mikhail</t>
  </si>
  <si>
    <t xml:space="preserve">, 79039690330, </t>
  </si>
  <si>
    <t>Gurgenidze Aleksei</t>
  </si>
  <si>
    <t xml:space="preserve">@alexgurg, 0823902531, </t>
  </si>
  <si>
    <t>Ocoman Stanislav</t>
  </si>
  <si>
    <t>@stanislav_oko, +6282313570439, +35796663992</t>
  </si>
  <si>
    <t>Rabotiagov Aleksei</t>
  </si>
  <si>
    <t>@leha_San, 89825106009, 0929366576</t>
  </si>
  <si>
    <t>Khomenko Petr</t>
  </si>
  <si>
    <t xml:space="preserve">@Nolimitexp, 89084554722, </t>
  </si>
  <si>
    <t>Orlov Danila</t>
  </si>
  <si>
    <t xml:space="preserve">@danila_orlov, , </t>
  </si>
  <si>
    <t>Shevikov Sergei</t>
  </si>
  <si>
    <t xml:space="preserve">@shevikovsergey, +66959240095, </t>
  </si>
  <si>
    <t>Shadrin Sergei</t>
  </si>
  <si>
    <t>@Victoria_Steshenko, +79999600666, +79153858880</t>
  </si>
  <si>
    <t>Lenskikh Oleg</t>
  </si>
  <si>
    <t xml:space="preserve">, +7 914 927-51-62, </t>
  </si>
  <si>
    <t>Bobin Vladimir</t>
  </si>
  <si>
    <t xml:space="preserve">@Alexpiterhh, +7 921 937-98-04, </t>
  </si>
  <si>
    <t>Gerbin Anatolii</t>
  </si>
  <si>
    <t xml:space="preserve">@AGerbin, , </t>
  </si>
  <si>
    <t>Sorochinskii Anton</t>
  </si>
  <si>
    <t xml:space="preserve">@Alexpiterhh, +7 921 933-13-43, </t>
  </si>
  <si>
    <t>Siraev Artur</t>
  </si>
  <si>
    <t xml:space="preserve">@tatiko123, , </t>
  </si>
  <si>
    <t>Fedorov Artem</t>
  </si>
  <si>
    <t>Shokurov Anton</t>
  </si>
  <si>
    <t xml:space="preserve">Whats, +7 966 666-55-55, </t>
  </si>
  <si>
    <t>Vildavskii Aleksandr</t>
  </si>
  <si>
    <t xml:space="preserve">@Alexpiterhh, +971543992400, </t>
  </si>
  <si>
    <t>Myasoedov Oleg</t>
  </si>
  <si>
    <t xml:space="preserve">@maleggg, +669568712462, </t>
  </si>
  <si>
    <t>Kovalev Petr</t>
  </si>
  <si>
    <t xml:space="preserve">@Petry4io, +46729164175, </t>
  </si>
  <si>
    <t>Sokolov Alexey</t>
  </si>
  <si>
    <t>200euro</t>
  </si>
  <si>
    <t>Zinovev Sergei</t>
  </si>
  <si>
    <t>Ivanov Aleksei</t>
  </si>
  <si>
    <t xml:space="preserve">+7 903 366 8797, , </t>
  </si>
  <si>
    <t>Stm</t>
  </si>
  <si>
    <t>Firsov Aleksandr</t>
  </si>
  <si>
    <t xml:space="preserve">, ‪+7 996 386‑07‑50‬, </t>
  </si>
  <si>
    <t>Chebotkov Denis</t>
  </si>
  <si>
    <t xml:space="preserve">@bro_828, 89274092855, </t>
  </si>
  <si>
    <t>Zhdanov Pavel</t>
  </si>
  <si>
    <t>Arutiunov Albert</t>
  </si>
  <si>
    <t>Orlov Georgii
georgii Orlov</t>
  </si>
  <si>
    <t>The Title Legendary Bang-Tao, , от Guy yanpolskiy</t>
  </si>
  <si>
    <t>Burdukov Igor</t>
  </si>
  <si>
    <t xml:space="preserve">89658241994, , </t>
  </si>
  <si>
    <t>Baranov Ivan</t>
  </si>
  <si>
    <t xml:space="preserve">@troysdor, 8 928 855 30 19, </t>
  </si>
  <si>
    <t>Avdeev Maksim</t>
  </si>
  <si>
    <t xml:space="preserve">+7 927 562-12-67, , </t>
  </si>
  <si>
    <t>Sumovskij Robert</t>
  </si>
  <si>
    <t xml:space="preserve">, ‪+44 7946 070798‬, </t>
  </si>
  <si>
    <t>Levenkov Nikita</t>
  </si>
  <si>
    <t>@levenkoov, +79196600132, +79933343878</t>
  </si>
  <si>
    <t>Iakushenkov Pavel</t>
  </si>
  <si>
    <t>Ekhin Igor</t>
  </si>
  <si>
    <t>100eur</t>
  </si>
  <si>
    <t xml:space="preserve">@igor2telegram, , </t>
  </si>
  <si>
    <t xml:space="preserve">‪+7 914 705‑33‑32‬, ‪+7 914 705‑33‑32‬, </t>
  </si>
  <si>
    <t>Dunets Vitalii</t>
  </si>
  <si>
    <t>Torgashinov Nikita</t>
  </si>
  <si>
    <t>@Nikc3, 79951147696, 0981955650</t>
  </si>
  <si>
    <t>, +79112969206, +79167046679</t>
  </si>
  <si>
    <t>Forsythe Liam Edward Dennis</t>
  </si>
  <si>
    <t xml:space="preserve">, ‪+64 27 962 1410‬, </t>
  </si>
  <si>
    <t>Bulkanov Aleksandr</t>
  </si>
  <si>
    <t xml:space="preserve">, +79842635000, </t>
  </si>
  <si>
    <t>@Nikc3, 0981955650, 79951147696</t>
  </si>
  <si>
    <t>Albannai Abdullah A A N A</t>
  </si>
  <si>
    <t xml:space="preserve">, 0096550588699, </t>
  </si>
  <si>
    <t>Kirakosian Dmitrii</t>
  </si>
  <si>
    <t xml:space="preserve">, +84364830792, </t>
  </si>
  <si>
    <t>Smirnov Valeri</t>
  </si>
  <si>
    <t>pasha</t>
  </si>
  <si>
    <t>Poliakova Viktoriia</t>
  </si>
  <si>
    <t>Badusov Aleksei</t>
  </si>
  <si>
    <t xml:space="preserve">, +79170802830, </t>
  </si>
  <si>
    <t>Strashenko Gleb</t>
  </si>
  <si>
    <t>99usdt</t>
  </si>
  <si>
    <t xml:space="preserve">@Chefsweber, 89503242257, </t>
  </si>
  <si>
    <t>Maleev Evgenii</t>
  </si>
  <si>
    <t xml:space="preserve">@maleev_evgeniy, +79166306309, </t>
  </si>
  <si>
    <t>Dos santos William,anderson,alexanders</t>
  </si>
  <si>
    <t xml:space="preserve">, +33 7 76 46 80 45, </t>
  </si>
  <si>
    <t>Olenych Viacheslav</t>
  </si>
  <si>
    <t xml:space="preserve">971554962638, 971554962638, </t>
  </si>
  <si>
    <t>Iskanderov Salavat</t>
  </si>
  <si>
    <t xml:space="preserve">, 8 (903) 392-71-22, </t>
  </si>
  <si>
    <t>Kushpil Ahtoh</t>
  </si>
  <si>
    <t xml:space="preserve">@T0NY_Y, , </t>
  </si>
  <si>
    <t>Afafe Malik</t>
  </si>
  <si>
    <t>Rasskazov Stanislav</t>
  </si>
  <si>
    <t xml:space="preserve">@vozmojno777, +79308888062, </t>
  </si>
  <si>
    <t>Konstantinova Iuliia</t>
  </si>
  <si>
    <t xml:space="preserve">@Julia_Konstanta27, +7 902 909 1093, </t>
  </si>
  <si>
    <t>Ioffe Mark</t>
  </si>
  <si>
    <t xml:space="preserve">@Marchek111, , </t>
  </si>
  <si>
    <t>Nikitina Mariia</t>
  </si>
  <si>
    <t xml:space="preserve">@handeln_wie_hayvan, +79144710130, </t>
  </si>
  <si>
    <t>Gimaziev Ramis</t>
  </si>
  <si>
    <t xml:space="preserve">@Ramis_Gimaziev, 89120155860, </t>
  </si>
  <si>
    <t xml:space="preserve">@sau00, 89268795652, </t>
  </si>
  <si>
    <t>Chubar Daniil</t>
  </si>
  <si>
    <t>@xeniks, 8-909-922-24-22, 8-966-066-66-34</t>
  </si>
  <si>
    <t>Osmanov Ramazan</t>
  </si>
  <si>
    <t xml:space="preserve">‪+90 536 338 31 72‬, ‪+90 536 338 31 72‬, </t>
  </si>
  <si>
    <t>Osmanov Nariman</t>
  </si>
  <si>
    <t>Osmanov Suleiman</t>
  </si>
  <si>
    <t>Osmanov Sufian</t>
  </si>
  <si>
    <t>Tsaturova Elena</t>
  </si>
  <si>
    <t xml:space="preserve">@Elena_Tsaturova, +7 968 903 6791, </t>
  </si>
  <si>
    <t>Atkinson Marc Ormerod</t>
  </si>
  <si>
    <t xml:space="preserve">‪+44 7973 152930‬, ‪+44 7973 152930‬, </t>
  </si>
  <si>
    <t>Rusanov Aleksei</t>
  </si>
  <si>
    <t>Alex Gt, 89162214900, +66 6-5210 5876</t>
  </si>
  <si>
    <t>Dzeranov Georgiy</t>
  </si>
  <si>
    <t xml:space="preserve">‪+7 778 705 4656‬, ‪+7 778 705 4656‬, </t>
  </si>
  <si>
    <t>Cherniaev Sergei</t>
  </si>
  <si>
    <t>@Nadezhda_Sopotsinskaya, +79032878838, +7951070283</t>
  </si>
  <si>
    <t xml:space="preserve">@Elena_Tsaturova, , </t>
  </si>
  <si>
    <t>Aitov Eduard</t>
  </si>
  <si>
    <t xml:space="preserve">‪+7 983 507‑22‑21‬, ‪+7 983 507‑22‑21‬, </t>
  </si>
  <si>
    <t>Kolomiets Olesia</t>
  </si>
  <si>
    <t xml:space="preserve">@alisaplastic23, 89052653993, </t>
  </si>
  <si>
    <t xml:space="preserve">@sau00, , </t>
  </si>
  <si>
    <t xml:space="preserve">, +7 964 572 0090, </t>
  </si>
  <si>
    <t>Кофр</t>
  </si>
  <si>
    <t>Dudarev Leonid</t>
  </si>
  <si>
    <t xml:space="preserve">@LeonidDudarev, 89224120174, </t>
  </si>
  <si>
    <t>Hukasau Aliaksandr</t>
  </si>
  <si>
    <t xml:space="preserve">+971 54 591 0707, , </t>
  </si>
  <si>
    <t>Belostotskaiá Mariia</t>
  </si>
  <si>
    <t xml:space="preserve">, 89232803253, </t>
  </si>
  <si>
    <t>Kolomiets Denis</t>
  </si>
  <si>
    <t xml:space="preserve">@benchcc, 89052653993, </t>
  </si>
  <si>
    <t>Savrasova Anastasia</t>
  </si>
  <si>
    <t xml:space="preserve">@nastya_savr, +7(916)995-57-95, </t>
  </si>
  <si>
    <t xml:space="preserve">‪+7 914 705‑33‑32‬, , </t>
  </si>
  <si>
    <t>Gumarov Rinat</t>
  </si>
  <si>
    <t xml:space="preserve">, ‪+62 877‑0070‑4130‬, </t>
  </si>
  <si>
    <t>Endovitškaia Iuliia</t>
  </si>
  <si>
    <t xml:space="preserve">+7 926 865‑64‑35, +7 926 865‑64‑35, </t>
  </si>
  <si>
    <t xml:space="preserve">+79268656435, +79268656435, </t>
  </si>
  <si>
    <t>Koriakovskii Vladislav</t>
  </si>
  <si>
    <t xml:space="preserve">@onettk, 89250177623, </t>
  </si>
  <si>
    <t>Dudareva Anzhela</t>
  </si>
  <si>
    <t>Ivanov Nikita</t>
  </si>
  <si>
    <t>, 89029249798, 89504083543</t>
  </si>
  <si>
    <t>Ushanev Dmitrii</t>
  </si>
  <si>
    <t xml:space="preserve">@dr_dentists136, , </t>
  </si>
  <si>
    <t xml:space="preserve">, ‪ ‪+7 914 705‑33‑32‬, </t>
  </si>
  <si>
    <t>Faidrov Aidar</t>
  </si>
  <si>
    <t xml:space="preserve">89521339999,margo jeggi , </t>
  </si>
  <si>
    <t>Fokin Artem</t>
  </si>
  <si>
    <t xml:space="preserve">+7 915 310-03-81, , </t>
  </si>
  <si>
    <t>Plekhanov Aleksei</t>
  </si>
  <si>
    <t>Obukhov Aleksandr</t>
  </si>
  <si>
    <t xml:space="preserve">+7 977 361-81-41, , </t>
  </si>
  <si>
    <t>Akhmedianov Raian</t>
  </si>
  <si>
    <t xml:space="preserve">@RayanMedla, +79175675672, </t>
  </si>
  <si>
    <t>Bamouhand Amin</t>
  </si>
  <si>
    <t xml:space="preserve">, ‪+31 6 47660246‬, </t>
  </si>
  <si>
    <t>Janssen Jacobus Gerardus Jacoba Jurgen</t>
  </si>
  <si>
    <t xml:space="preserve">‪+31 6 25036120‬, ‪+31 6 25036120‬, </t>
  </si>
  <si>
    <t>Crosby Canice Jude</t>
  </si>
  <si>
    <t xml:space="preserve">‪+353 83 041 2611‬, ‪+353 83 041 2611‬, </t>
  </si>
  <si>
    <t xml:space="preserve">‪+971 54 591 0707‬, ‪+971 54 591 0707‬, </t>
  </si>
  <si>
    <t xml:space="preserve">, + 971 54 591 0707‬, </t>
  </si>
  <si>
    <t>Sukharev Sergei</t>
  </si>
  <si>
    <t xml:space="preserve">+7 921 687 1858, +7 921 687 1858, </t>
  </si>
  <si>
    <t>Nikolova Yuliia</t>
  </si>
  <si>
    <t xml:space="preserve">@totally_gray, , </t>
  </si>
  <si>
    <t>Amirov Ildar</t>
  </si>
  <si>
    <t xml:space="preserve">@iamirov, +66 94-462-2257, </t>
  </si>
  <si>
    <t>Kulikov Maksim</t>
  </si>
  <si>
    <t xml:space="preserve">+79678579447, +79678579447, </t>
  </si>
  <si>
    <t xml:space="preserve">+33 6 52 22 40 21, +33 6 52 22 40 21, </t>
  </si>
  <si>
    <t>Stoianov Valentin</t>
  </si>
  <si>
    <t>, +79299937295, +79039724152</t>
  </si>
  <si>
    <t>Alidari Ahmed Heider Imad</t>
  </si>
  <si>
    <t xml:space="preserve">‪+47 466 53 621‬, ‪+47 466 53 621‬, </t>
  </si>
  <si>
    <t>Papashvili Aleksandr</t>
  </si>
  <si>
    <t xml:space="preserve">‪+7 914 792‑78‑80‬, ‪+7 914 792‑78‑80‬, </t>
  </si>
  <si>
    <t xml:space="preserve">@masterx888, +994 50 427 2489, </t>
  </si>
  <si>
    <t>Wetzlaugk Andrej</t>
  </si>
  <si>
    <t xml:space="preserve">‪+49 176 45612977‬, ‪+49 176 45612977‬, </t>
  </si>
  <si>
    <t xml:space="preserve">‪+971 55 496 2638‬, ‪+971 55 496 2638‬, </t>
  </si>
  <si>
    <t xml:space="preserve">+44 7960 000839, , </t>
  </si>
  <si>
    <t>Basiladze Giorgi</t>
  </si>
  <si>
    <t xml:space="preserve">@GB_Finance, +66808135527, </t>
  </si>
  <si>
    <t>Ermolov Pavel</t>
  </si>
  <si>
    <t>@ermolov_pavel, 79024438592, 79122972153</t>
  </si>
  <si>
    <t>Zabroda Aptem</t>
  </si>
  <si>
    <t xml:space="preserve">@Spanker17, +7 903 442 0946, </t>
  </si>
  <si>
    <t xml:space="preserve">@onettk, , </t>
  </si>
  <si>
    <t xml:space="preserve">
100$</t>
  </si>
  <si>
    <t>Moiseeva Ksenia</t>
  </si>
  <si>
    <t xml:space="preserve">‪+7 929 513‑48‑28‬, ‪+7 929 513‑48‑28‬, </t>
  </si>
  <si>
    <t>Dahhany Marouan</t>
  </si>
  <si>
    <t xml:space="preserve">‪+31 6 29767381‬, ‪+31 6 29767381‬, </t>
  </si>
  <si>
    <t>Ponomarev Egor</t>
  </si>
  <si>
    <t xml:space="preserve">@ermolov_pavel, 79012012530, </t>
  </si>
  <si>
    <t>Romanov Oleg</t>
  </si>
  <si>
    <t xml:space="preserve">@Portobello001, , </t>
  </si>
  <si>
    <t>Rzaev Stanislav</t>
  </si>
  <si>
    <t xml:space="preserve">, ‪+7 968 844‑44‑40‬, </t>
  </si>
  <si>
    <t>Yildirim Emre</t>
  </si>
  <si>
    <t xml:space="preserve">+31 6 28478282, , </t>
  </si>
  <si>
    <t>Fatullaev Rinad</t>
  </si>
  <si>
    <t xml:space="preserve">‪+971 58 879 6424‬, ‪+971 58 879 6424‬, </t>
  </si>
  <si>
    <t xml:space="preserve">valerismirnov25, , </t>
  </si>
  <si>
    <t>Bolatchiev Rustam</t>
  </si>
  <si>
    <t xml:space="preserve">+90 507 864 11 98, +90 507 864 11 98, </t>
  </si>
  <si>
    <t>Zakharov Ilia</t>
  </si>
  <si>
    <t xml:space="preserve">@redlly_r, , </t>
  </si>
  <si>
    <t xml:space="preserve">Eduard inst, +972537160438, </t>
  </si>
  <si>
    <t>Chernov Aleksandr</t>
  </si>
  <si>
    <t xml:space="preserve">, +7 995 996-99-33, </t>
  </si>
  <si>
    <t>Satsko Vladislav</t>
  </si>
  <si>
    <t xml:space="preserve">@hexoq, 0617681850, </t>
  </si>
  <si>
    <t>Kryklia Roman</t>
  </si>
  <si>
    <t xml:space="preserve">, +375 33 660-06-55, </t>
  </si>
  <si>
    <t>Gamza Konstantin</t>
  </si>
  <si>
    <t xml:space="preserve">@Egor_blg_28, +7 914 616 2789, </t>
  </si>
  <si>
    <t>Moroz Rostyslav</t>
  </si>
  <si>
    <t xml:space="preserve">, ‪+380 98 006 2394‬, </t>
  </si>
  <si>
    <t>Fedchenko Valentin</t>
  </si>
  <si>
    <t xml:space="preserve">‪+7 911 148‑84‑87‬, ‪+7 911 148‑84‑87‬, </t>
  </si>
  <si>
    <t>В аренде</t>
  </si>
  <si>
    <t>Allazov Chingiz</t>
  </si>
  <si>
    <t xml:space="preserve">, +971 54 591 0707‬, </t>
  </si>
  <si>
    <t>Salcedo
roca Alexandre Maxime</t>
  </si>
  <si>
    <t xml:space="preserve">‪+34 674 20 02 19‬, +13053397575, </t>
  </si>
  <si>
    <t>Grin Ilia</t>
  </si>
  <si>
    <t xml:space="preserve">@Seengman2, +66 9 1049 7743, </t>
  </si>
  <si>
    <t>DonKhun Dima</t>
  </si>
  <si>
    <t>Ershov Pavel</t>
  </si>
  <si>
    <t xml:space="preserve">, ‪+7 926 980‑03‑44‬, </t>
  </si>
  <si>
    <t>Igor Golubyatnikov</t>
  </si>
  <si>
    <t>De libasic Amor</t>
  </si>
  <si>
    <t xml:space="preserve">‪+61 416 552 064‬, ‪+61 416 552 064‬, </t>
  </si>
  <si>
    <t>Søstrand Mia Regine Ravin</t>
  </si>
  <si>
    <t>García
cuenda Pol</t>
  </si>
  <si>
    <t xml:space="preserve">, ‪+34 637 13 65 10‬, </t>
  </si>
  <si>
    <t>jack</t>
  </si>
  <si>
    <t>долг</t>
  </si>
  <si>
    <t>Chuvychelova Anastasiia</t>
  </si>
  <si>
    <t>Timofeev Iaroslav</t>
  </si>
  <si>
    <t xml:space="preserve">@itim38, +79119664760, </t>
  </si>
  <si>
    <t>Perov Artemii</t>
  </si>
  <si>
    <t xml:space="preserve">+7 985 418-85-44, , </t>
  </si>
  <si>
    <t>Olennikov Evgenii</t>
  </si>
  <si>
    <t>@Im_stone_e, +66986433526, +79243911800</t>
  </si>
  <si>
    <t>Trofimenko Igor</t>
  </si>
  <si>
    <t xml:space="preserve">+79037992126, , </t>
  </si>
  <si>
    <t>M'tair Wassyl</t>
  </si>
  <si>
    <t xml:space="preserve">+33 6 67 74 46 53, , </t>
  </si>
  <si>
    <t>Kartuzekov Nikita</t>
  </si>
  <si>
    <t xml:space="preserve">@Roxengk, +79087761775, </t>
  </si>
  <si>
    <t>Vereshchinskii Artemii</t>
  </si>
  <si>
    <t xml:space="preserve">@onepx, +995595508474, </t>
  </si>
  <si>
    <t>Virchik Iaroslav</t>
  </si>
  <si>
    <t xml:space="preserve">@virchik, +66 6-4346-6435, </t>
  </si>
  <si>
    <t>Smirnov Artem</t>
  </si>
  <si>
    <t xml:space="preserve">89960622979, , </t>
  </si>
  <si>
    <t>Друг Влада</t>
  </si>
  <si>
    <t>Kobzarev Denis</t>
  </si>
  <si>
    <t xml:space="preserve">+7 965 109-96-99, +7 965 109-96-99, </t>
  </si>
  <si>
    <t>от тани</t>
  </si>
  <si>
    <t xml:space="preserve">+7 929 224-46-66, , </t>
  </si>
  <si>
    <t>Hyland Harry Patrick</t>
  </si>
  <si>
    <t xml:space="preserve">+353873686607, , </t>
  </si>
  <si>
    <t>Nikonov Ivan</t>
  </si>
  <si>
    <t xml:space="preserve">@vanywk4, 89213547311, </t>
  </si>
  <si>
    <t>Khayretdinov Maxim</t>
  </si>
  <si>
    <t>Kurdiumov Dmitrii</t>
  </si>
  <si>
    <t xml:space="preserve">+7 916 863-84-91, , </t>
  </si>
  <si>
    <t>я должен 400 бат</t>
  </si>
  <si>
    <t>Galimov Radmir</t>
  </si>
  <si>
    <t xml:space="preserve">@rambler67, 0813070092, </t>
  </si>
  <si>
    <t>23000 Km, 05.05.2024</t>
  </si>
  <si>
    <t>Lialikhov Aleksandr</t>
  </si>
  <si>
    <t xml:space="preserve">@alexlway, +79206826314, </t>
  </si>
  <si>
    <t>Vasilev Ivan</t>
  </si>
  <si>
    <t>Honda wave</t>
  </si>
  <si>
    <t xml:space="preserve">@John_Vasilini, , </t>
  </si>
  <si>
    <t>Lonshakov Denis</t>
  </si>
  <si>
    <t xml:space="preserve">@Chisur888, , </t>
  </si>
  <si>
    <t>Mikhin Mikhail</t>
  </si>
  <si>
    <t xml:space="preserve">@Jeberrs, 0984843856, </t>
  </si>
  <si>
    <t>Chesalin Nikolai</t>
  </si>
  <si>
    <t xml:space="preserve">@Sergeevich_TM, , </t>
  </si>
  <si>
    <t>Koveshnikov Vladimir</t>
  </si>
  <si>
    <t xml:space="preserve">@snowhedgehog, , </t>
  </si>
  <si>
    <t>Mksim Arutinyan</t>
  </si>
  <si>
    <t>22500 Km, 03.06.2024</t>
  </si>
  <si>
    <t xml:space="preserve">+79673651202, Evilpvnk666, </t>
  </si>
  <si>
    <t>Orlik Viktoriia</t>
  </si>
  <si>
    <t xml:space="preserve">@viktoria_orlik, +79855559257, </t>
  </si>
  <si>
    <t>akoka</t>
  </si>
  <si>
    <t>pasha akoka</t>
  </si>
  <si>
    <t>Mursalov Samir</t>
  </si>
  <si>
    <t xml:space="preserve">@suzukigsxs1, 0805711556, </t>
  </si>
  <si>
    <t>Nikolskii Dmitrii</t>
  </si>
  <si>
    <t>15000 thb</t>
  </si>
  <si>
    <t xml:space="preserve">@K0raJev, +66992657523, </t>
  </si>
  <si>
    <t>Medianka Maksim</t>
  </si>
  <si>
    <t>ЗНАЧЕН(ИНДЕКС(РАЗБИЕНИЕ(СЖПРОБЕЛЫ('клиенты'!E2);"."; FALSE);2));</t>
  </si>
  <si>
    <t>Dmitrii Valdman</t>
  </si>
  <si>
    <t>Kuznetsov Aleksandr</t>
  </si>
  <si>
    <t xml:space="preserve">+79105002222, +79105002222, </t>
  </si>
  <si>
    <t>Быдло</t>
  </si>
  <si>
    <t>Iakubov Roman</t>
  </si>
  <si>
    <t xml:space="preserve">@RomaRmn, +79777790740, </t>
  </si>
  <si>
    <t>Krasiuk Aleksandr</t>
  </si>
  <si>
    <t xml:space="preserve">@krasyuk, +79992102030, </t>
  </si>
  <si>
    <t>Shaikhaidarov Fidii</t>
  </si>
  <si>
    <t xml:space="preserve">@elise_savina_photo, +77770353747, </t>
  </si>
  <si>
    <t>Ogorodnikov Andrei</t>
  </si>
  <si>
    <t xml:space="preserve">@FIDIYbinance, +77770353747, </t>
  </si>
  <si>
    <t>Gordukov Pavel</t>
  </si>
  <si>
    <t>@elise_savina_photo, 89854565557, 89269407179</t>
  </si>
  <si>
    <t>ЗНАЧЕН(ИНДЕКС(РАЗБИЕНИЕ(СЖПРОБЕЛЫ('клиенты'!E2);"."; FALSE);1));</t>
  </si>
  <si>
    <t>Sokolov Ivan</t>
  </si>
  <si>
    <t xml:space="preserve">@goodnght, 89778684106, </t>
  </si>
  <si>
    <t>32700 Km, 01.02.2024</t>
  </si>
  <si>
    <t>Андрей Нижний</t>
  </si>
  <si>
    <t>от димы</t>
  </si>
  <si>
    <t>)</t>
  </si>
  <si>
    <t>20700 Km, 03.04.2024</t>
  </si>
  <si>
    <t>Krivda Ivan</t>
  </si>
  <si>
    <t>5000thb</t>
  </si>
  <si>
    <t xml:space="preserve">@old_irish, , </t>
  </si>
  <si>
    <t>Allenov Evgenii</t>
  </si>
  <si>
    <t xml:space="preserve">@eallend, +79261811113, </t>
  </si>
  <si>
    <t>ЗНАЧЕН(ИНДЕКС(РАЗБИЕНИЕ(СЖПРОБЕЛЫ('клиенты'!E2);"."; FALSE);3))</t>
  </si>
  <si>
    <t>Mikhaylov Alexey</t>
  </si>
  <si>
    <t xml:space="preserve">@AV_Mikhaylov, , </t>
  </si>
  <si>
    <t>Sokolov Aleksei</t>
  </si>
  <si>
    <t>От нижнего</t>
  </si>
  <si>
    <t>Bukreev Denis</t>
  </si>
  <si>
    <t xml:space="preserve">@denisbookreev, , </t>
  </si>
  <si>
    <t>Kovtunenko Alena</t>
  </si>
  <si>
    <t xml:space="preserve">@alena_supremelegal, 0819792240, </t>
  </si>
  <si>
    <t>Bobrov Hikita</t>
  </si>
  <si>
    <t xml:space="preserve">@guccimanefreestyle, +66 82 053 8838, </t>
  </si>
  <si>
    <t>Kartsev Egor</t>
  </si>
  <si>
    <t xml:space="preserve">@guccimanefreestyle, 79000801842, </t>
  </si>
  <si>
    <t>Retroy Lev</t>
  </si>
  <si>
    <t xml:space="preserve">@guccimanefreestyle, 79505563498, </t>
  </si>
  <si>
    <t>Skrabko Anton</t>
  </si>
  <si>
    <t xml:space="preserve">+33 6 38 90 09 29, , </t>
  </si>
  <si>
    <t>Ryzhkov Konstantin</t>
  </si>
  <si>
    <t xml:space="preserve">@fansyl, , </t>
  </si>
  <si>
    <t>Demina Ekaterina</t>
  </si>
  <si>
    <t xml:space="preserve">@malenkaybogina, 89152244469, </t>
  </si>
  <si>
    <t>Mistiukov Denis</t>
  </si>
  <si>
    <t xml:space="preserve">0947563424, , </t>
  </si>
  <si>
    <t>Mahnabi Mohammed Abdullah</t>
  </si>
  <si>
    <t xml:space="preserve">, +17087373368, </t>
  </si>
  <si>
    <t>Sharov Nikolai</t>
  </si>
  <si>
    <t xml:space="preserve">+79685359062, , </t>
  </si>
  <si>
    <t>Volkhonskii Sergei</t>
  </si>
  <si>
    <t xml:space="preserve">@Funny_Money_01, 89853853440, </t>
  </si>
  <si>
    <t>Giudice Andrea</t>
  </si>
  <si>
    <t xml:space="preserve">, +39 349 053 2268, </t>
  </si>
  <si>
    <t>Kubyshkin Dmitrii</t>
  </si>
  <si>
    <t>3000thb</t>
  </si>
  <si>
    <t xml:space="preserve">@dmitrii_forman, , </t>
  </si>
  <si>
    <t xml:space="preserve">, +79852921569, </t>
  </si>
  <si>
    <t>Starostenko Yurii</t>
  </si>
  <si>
    <t xml:space="preserve">, +358 400298588, </t>
  </si>
  <si>
    <t>Bond Egor Sergeevich</t>
  </si>
  <si>
    <t xml:space="preserve">, +12023907168, </t>
  </si>
  <si>
    <t>Kumunzhiev Evgeny</t>
  </si>
  <si>
    <t xml:space="preserve">, +7 909 917 5000, </t>
  </si>
  <si>
    <t>Skrinnik Igor</t>
  </si>
  <si>
    <t>, 89055595461, @SKRigor</t>
  </si>
  <si>
    <t>Kurbatov Evgeny</t>
  </si>
  <si>
    <t xml:space="preserve">, +7 910 404-59-67, </t>
  </si>
  <si>
    <t>Kotov Aleksandr</t>
  </si>
  <si>
    <t xml:space="preserve">, 9684777779, </t>
  </si>
  <si>
    <t xml:space="preserve">+7 967 857-94-47, +7 967 857-94-47, </t>
  </si>
  <si>
    <t>шибари геля</t>
  </si>
  <si>
    <t>Makarevich Vladimir</t>
  </si>
  <si>
    <t xml:space="preserve">@vavonvavo, +66652392056, </t>
  </si>
  <si>
    <t>White Aaron</t>
  </si>
  <si>
    <t>, +66 0641948802, +44 7455 382667</t>
  </si>
  <si>
    <t>Lewandowska Paulina Renata</t>
  </si>
  <si>
    <t xml:space="preserve">, +48733931058, </t>
  </si>
  <si>
    <t xml:space="preserve">, +62 813‑2538‑6074, </t>
  </si>
  <si>
    <t>Shaparova Elena</t>
  </si>
  <si>
    <t>Bartashevich Igor</t>
  </si>
  <si>
    <t xml:space="preserve">+7 913 575-51-51, , </t>
  </si>
  <si>
    <t>Petrov Vladislav</t>
  </si>
  <si>
    <t>Khotsinskii Aleksandr</t>
  </si>
  <si>
    <t xml:space="preserve">@motosprint, , </t>
  </si>
  <si>
    <t>ANGADPREET SINGH</t>
  </si>
  <si>
    <t xml:space="preserve">@jamesjones66, 0875057810, </t>
  </si>
  <si>
    <t>Phil Vorontsov</t>
  </si>
  <si>
    <t>@axule</t>
  </si>
  <si>
    <t>Pavliukov Ivan</t>
  </si>
  <si>
    <t xml:space="preserve">@MostRentManager, +79224763118, </t>
  </si>
  <si>
    <t>34700 Km, 01.08.2024</t>
  </si>
  <si>
    <t>Zolotukhin Iurii</t>
  </si>
  <si>
    <t xml:space="preserve">+79515688666, , </t>
  </si>
  <si>
    <t>Kiaran</t>
  </si>
  <si>
    <t>Mukhachev Danil</t>
  </si>
  <si>
    <t>@advocatemukhachoff, 89112251432, 89062561285</t>
  </si>
  <si>
    <t>Gordeiko Ilia</t>
  </si>
  <si>
    <t>81 usdt</t>
  </si>
  <si>
    <t xml:space="preserve">+34 670 93 45 05, , </t>
  </si>
  <si>
    <t>Valuev Denis</t>
  </si>
  <si>
    <t>@dendolphin, +79037203015, +79055667727</t>
  </si>
  <si>
    <t>Sintsov Andrei</t>
  </si>
  <si>
    <t xml:space="preserve">@Blazing24, 89029121807, </t>
  </si>
  <si>
    <t>Yar</t>
  </si>
  <si>
    <t>Kokhan Semen</t>
  </si>
  <si>
    <t xml:space="preserve">passport </t>
  </si>
  <si>
    <t>Gamil Gabriel</t>
  </si>
  <si>
    <t xml:space="preserve">@ga_app, , </t>
  </si>
  <si>
    <t>От eugen</t>
  </si>
  <si>
    <t>Đukić Miloš</t>
  </si>
  <si>
    <t xml:space="preserve">, +381 62 774117, </t>
  </si>
  <si>
    <t>Richards Liam Andrew</t>
  </si>
  <si>
    <t xml:space="preserve">, +61 457 685 495, </t>
  </si>
  <si>
    <t>Arutiunian Maksim</t>
  </si>
  <si>
    <t xml:space="preserve">, +9998004580, </t>
  </si>
  <si>
    <t>R7 700CC WHITE PHUKET 4743</t>
  </si>
  <si>
    <t>Kravchenko Artem</t>
  </si>
  <si>
    <t xml:space="preserve">+7 916 778-85-98, , </t>
  </si>
  <si>
    <t>Kovalevskiy Sergey</t>
  </si>
  <si>
    <t xml:space="preserve">Cassia hotel, +6281246196200, </t>
  </si>
  <si>
    <t>Shangina Anna</t>
  </si>
  <si>
    <t>@kotyaanya, 0613161858, 0613274258</t>
  </si>
  <si>
    <t>16000 Km, 22.04.2025</t>
  </si>
  <si>
    <t>Milongo Eric-valery Rodrigue</t>
  </si>
  <si>
    <t xml:space="preserve">, +31 6 11347290, </t>
  </si>
  <si>
    <t>Maksim Arutinyan</t>
  </si>
  <si>
    <t>27200 Km, 22.10.2024</t>
  </si>
  <si>
    <t>Shchukov Aleksei</t>
  </si>
  <si>
    <t>@Alex_Fitpike, +79684296633, +79688655777</t>
  </si>
  <si>
    <t>Tarakin Igor</t>
  </si>
  <si>
    <t>15000 руб</t>
  </si>
  <si>
    <t>, +66642653188, +7 913 007-09-09</t>
  </si>
  <si>
    <t>Kopyl German</t>
  </si>
  <si>
    <t>Cross Kody Steven</t>
  </si>
  <si>
    <t>Kucherenko Ahtoh</t>
  </si>
  <si>
    <t>Ermakov Alexander</t>
  </si>
  <si>
    <t>@AlexErmakovChef,    +7 910 403-25-81, 89263994612</t>
  </si>
  <si>
    <t>Atyashkin Vladimir</t>
  </si>
  <si>
    <t xml:space="preserve">+7 916 590-41-86, , </t>
  </si>
  <si>
    <t xml:space="preserve">@valpostnov, +79955051717, </t>
  </si>
  <si>
    <t>Lebed Aleksei</t>
  </si>
  <si>
    <t xml:space="preserve">+7 921 910-26-62, , </t>
  </si>
  <si>
    <t>Kiselev Maksim</t>
  </si>
  <si>
    <t>Tabachkov Aleksandr</t>
  </si>
  <si>
    <t>Mateos
sanchez Pablo Francisco</t>
  </si>
  <si>
    <t xml:space="preserve">, +34699657314, </t>
  </si>
  <si>
    <t>Mikhalev Evgeni I</t>
  </si>
  <si>
    <t xml:space="preserve">@MihalevEV, , </t>
  </si>
  <si>
    <t>Valera Karetin</t>
  </si>
  <si>
    <t>Myshonkov Oleg</t>
  </si>
  <si>
    <t xml:space="preserve">, ‪+7 925 377‑79‑98‬, </t>
  </si>
  <si>
    <t>Isachenko Iaroslav</t>
  </si>
  <si>
    <t>От Лео</t>
  </si>
  <si>
    <t xml:space="preserve">VIP от Михаила </t>
  </si>
  <si>
    <t>Khalchenko Vitalii</t>
  </si>
  <si>
    <t xml:space="preserve">@vetmc, +66950418529, </t>
  </si>
  <si>
    <t>Morozov Sergei</t>
  </si>
  <si>
    <t xml:space="preserve">@nestea111, +79150773173, </t>
  </si>
  <si>
    <t>от стм</t>
  </si>
  <si>
    <t>Ogorodnyi Vladimir</t>
  </si>
  <si>
    <t xml:space="preserve">@psihogym, +66802766700, </t>
  </si>
  <si>
    <t>Zhukovets Dmitrii</t>
  </si>
  <si>
    <t>@tankograin, +6697332359, +66 96-561-5802</t>
  </si>
  <si>
    <t xml:space="preserve">andreagiudice1525@gmail.com, +393490532268, </t>
  </si>
  <si>
    <t>Haririan Yves Bijan</t>
  </si>
  <si>
    <t xml:space="preserve">, +4915237334462, </t>
  </si>
  <si>
    <t xml:space="preserve">valerismirnov25, +37256949052, </t>
  </si>
  <si>
    <t xml:space="preserve">andreagiudice1525@gmail.com, +39 349 053 2268, </t>
  </si>
  <si>
    <t xml:space="preserve">@kayyanen, 89112975033, </t>
  </si>
  <si>
    <t>Игорь Криштал</t>
  </si>
  <si>
    <t xml:space="preserve">, +66 94 758 0781, </t>
  </si>
  <si>
    <t>Tomanov Evgenii</t>
  </si>
  <si>
    <t xml:space="preserve">, 89046305183, </t>
  </si>
  <si>
    <t>Mirfayziev Rustem</t>
  </si>
  <si>
    <t xml:space="preserve">@Gentleman777_999, , </t>
  </si>
  <si>
    <t>Peshcherkin Evgenii</t>
  </si>
  <si>
    <t xml:space="preserve">, ‪+7 903 955‑77‑86‬, </t>
  </si>
  <si>
    <t xml:space="preserve">+33 6 10 48 10 60, +33 6 10 48 10 60, </t>
  </si>
  <si>
    <t xml:space="preserve">@Valeriy_VSh, 0934433051, </t>
  </si>
  <si>
    <t>Filinov Ilia</t>
  </si>
  <si>
    <t xml:space="preserve">@jamesfranko96, +79858838363, </t>
  </si>
  <si>
    <t>92 usdt</t>
  </si>
  <si>
    <t xml:space="preserve">@k1m_a1, 89501110511, </t>
  </si>
  <si>
    <t>Chakaev Turpal -ali</t>
  </si>
  <si>
    <t xml:space="preserve">, 79299895050, </t>
  </si>
  <si>
    <t>Shamonin Grigorii</t>
  </si>
  <si>
    <t>21000 RUB</t>
  </si>
  <si>
    <t xml:space="preserve">, +7 904 511-31-50, </t>
  </si>
  <si>
    <t>Schneider Viktor</t>
  </si>
  <si>
    <t xml:space="preserve">, +4917655211983, </t>
  </si>
  <si>
    <t>Siew Shui Onn</t>
  </si>
  <si>
    <t xml:space="preserve">@shuionn, +65 81890183, </t>
  </si>
  <si>
    <t>Viktorov Aleksei</t>
  </si>
  <si>
    <t xml:space="preserve">@viktorov17, +66962680109, </t>
  </si>
  <si>
    <t xml:space="preserve">, ‪+7 902 924‑97‑98‬, </t>
  </si>
  <si>
    <t xml:space="preserve">Eduadr Filbger, , </t>
  </si>
  <si>
    <t>Kurbanov Ramazan</t>
  </si>
  <si>
    <t xml:space="preserve">@Rammmazzz, -, </t>
  </si>
  <si>
    <t xml:space="preserve">+7 903 969-03-30, , </t>
  </si>
  <si>
    <t>Lukin Ilia</t>
  </si>
  <si>
    <t xml:space="preserve">@lookincrm, +79257771100, </t>
  </si>
  <si>
    <t xml:space="preserve">@davidIouis, +380737771619, </t>
  </si>
  <si>
    <t>Shvydkyi Sergei</t>
  </si>
  <si>
    <t xml:space="preserve">, +79991332919, </t>
  </si>
  <si>
    <t>Chekalov Oleg</t>
  </si>
  <si>
    <t xml:space="preserve">@Gelocheck, +79115134549, </t>
  </si>
  <si>
    <t>Limarev Ivan</t>
  </si>
  <si>
    <t xml:space="preserve">@Ivanlimarev, 89227026536, </t>
  </si>
  <si>
    <t>Kudriavtsev Egor</t>
  </si>
  <si>
    <t>Khabibullin Emil</t>
  </si>
  <si>
    <t xml:space="preserve">+7 967 365 1202, +7 (958) 620-70-02, </t>
  </si>
  <si>
    <t>Gribovskii Maksim</t>
  </si>
  <si>
    <t xml:space="preserve">@Krocko1, 89269726284, </t>
  </si>
  <si>
    <t>Winter Alexander</t>
  </si>
  <si>
    <t xml:space="preserve">@sasch7777, 89952237728, </t>
  </si>
  <si>
    <t>Zabaturin Maksim</t>
  </si>
  <si>
    <t xml:space="preserve">, +79241593334, </t>
  </si>
  <si>
    <t>Mostriukova Margarita</t>
  </si>
  <si>
    <t xml:space="preserve">@sun9631, 79030182545, </t>
  </si>
  <si>
    <t>Vildavskiy Alexander</t>
  </si>
  <si>
    <t>150euro</t>
  </si>
  <si>
    <t xml:space="preserve">@Alexpiterhh, +491624180000, </t>
  </si>
  <si>
    <t>Ovchinnikov Sergei</t>
  </si>
  <si>
    <t xml:space="preserve">@osadrum, 89043985144, </t>
  </si>
  <si>
    <t>Nasrallah Ahmad</t>
  </si>
  <si>
    <t xml:space="preserve">@ahmdnss, +373 787 84 309, </t>
  </si>
  <si>
    <t>Kelly Oliver James</t>
  </si>
  <si>
    <t xml:space="preserve">oliverkellyproductions@gmail.com, +65 9004 4139, </t>
  </si>
  <si>
    <t>Gerbin Anatol Ii</t>
  </si>
  <si>
    <t>@AGerbin, +7-925-867-38-52, +7-977-881-61-72</t>
  </si>
  <si>
    <t>anton sosed</t>
  </si>
  <si>
    <t xml:space="preserve">, 89644511044, </t>
  </si>
  <si>
    <t>Abdullin Viacheslav</t>
  </si>
  <si>
    <t xml:space="preserve">, +7 909 663-59-73, </t>
  </si>
  <si>
    <t>Tsaturov Vladislav</t>
  </si>
  <si>
    <t>100 000 руб</t>
  </si>
  <si>
    <t xml:space="preserve">@tsaturov, +79857778923, </t>
  </si>
  <si>
    <t>600 дол</t>
  </si>
  <si>
    <t xml:space="preserve">, +7 951 568 8666, </t>
  </si>
  <si>
    <t xml:space="preserve">+7 913 941-45-50 whats, , </t>
  </si>
  <si>
    <t>Berdnichenko Bohdan</t>
  </si>
  <si>
    <t xml:space="preserve">, 66 6-2747-0038 , </t>
  </si>
  <si>
    <t>Karamutdinov Radik</t>
  </si>
  <si>
    <t>@Rad_1982, , +79174433191</t>
  </si>
  <si>
    <t>21000 rub</t>
  </si>
  <si>
    <t>, 89158880212, 89265358353</t>
  </si>
  <si>
    <t>Butenko Vladislav</t>
  </si>
  <si>
    <t xml:space="preserve">, +79255409307, </t>
  </si>
  <si>
    <t>Kozlov Georgii</t>
  </si>
  <si>
    <t xml:space="preserve">@Sgk_gk, , </t>
  </si>
  <si>
    <t>Korobeinikov KonstantIn</t>
  </si>
  <si>
    <t xml:space="preserve">, +79630272353, </t>
  </si>
  <si>
    <t>Malukhin Aleksandr</t>
  </si>
  <si>
    <t xml:space="preserve">, +79257620404, </t>
  </si>
  <si>
    <t>Komutkov Ilia</t>
  </si>
  <si>
    <t xml:space="preserve">@ilya_km, +66842712078, </t>
  </si>
  <si>
    <t xml:space="preserve">@likeblood, 0840751979, </t>
  </si>
  <si>
    <t>Tukhfatullin Ainur</t>
  </si>
  <si>
    <t xml:space="preserve">@ainur_thf, +79047649611, </t>
  </si>
  <si>
    <t>Griboedov Sergei</t>
  </si>
  <si>
    <t xml:space="preserve">@s_gry, +79220437788, </t>
  </si>
  <si>
    <t xml:space="preserve">, +79959969933, </t>
  </si>
  <si>
    <t>Shiriaeva Ekaterina</t>
  </si>
  <si>
    <t xml:space="preserve">@ket36rin, 89258654420, </t>
  </si>
  <si>
    <t>Pichugin Aleksei</t>
  </si>
  <si>
    <t xml:space="preserve">@alekseypi, +79644458485, </t>
  </si>
  <si>
    <t>Mailin Askhat</t>
  </si>
  <si>
    <t xml:space="preserve">@askmai, , </t>
  </si>
  <si>
    <t>Zubarev Roman</t>
  </si>
  <si>
    <t>, +79175254156, +79167779501</t>
  </si>
  <si>
    <t>Proskurnyi-korsakov Aleksei</t>
  </si>
  <si>
    <t>Bogomolov Andrey</t>
  </si>
  <si>
    <t>@latelier_bali, +79653884427, +6281237724099</t>
  </si>
  <si>
    <t>Alfasi Ariel</t>
  </si>
  <si>
    <t xml:space="preserve">+972502722238, , </t>
  </si>
  <si>
    <t>Nikitinskiy Sergei</t>
  </si>
  <si>
    <t xml:space="preserve">, +185692560609, </t>
  </si>
  <si>
    <t xml:space="preserve">89220000494, , </t>
  </si>
  <si>
    <t>Michalski Mariusz Lech</t>
  </si>
  <si>
    <t xml:space="preserve">, ‪+48 723 351 191‬, </t>
  </si>
  <si>
    <t xml:space="preserve">, +79160787777, </t>
  </si>
  <si>
    <t>7000, 41000 rub</t>
  </si>
  <si>
    <t>Diltaev Roman</t>
  </si>
  <si>
    <t xml:space="preserve">@romandil, +79259997099, </t>
  </si>
  <si>
    <t>Stukalin Ivan</t>
  </si>
  <si>
    <t>@ivanstukalin, +660624805897, +79251284243</t>
  </si>
  <si>
    <t>Sukhoruchenko Andrei</t>
  </si>
  <si>
    <t>600usd</t>
  </si>
  <si>
    <t xml:space="preserve">, +79999859697, </t>
  </si>
  <si>
    <t xml:space="preserve">, ‪+7 916 078‑77‑77‬, </t>
  </si>
  <si>
    <t xml:space="preserve">@borodin_info, +7 982 215 1555, </t>
  </si>
  <si>
    <t>Butko Roman</t>
  </si>
  <si>
    <t xml:space="preserve">@Romalesko, 89372046751, </t>
  </si>
  <si>
    <t>Butov Mikhail</t>
  </si>
  <si>
    <t xml:space="preserve">@d3rivative, +79653805181, </t>
  </si>
  <si>
    <t>Makarov Vladimir</t>
  </si>
  <si>
    <t xml:space="preserve">@vlmkrv, +79602835803, </t>
  </si>
  <si>
    <t>Samykin Konstantin</t>
  </si>
  <si>
    <t>Kovynev Aleksandr</t>
  </si>
  <si>
    <t xml:space="preserve">@AlexKov12, +7 983 322 5461, </t>
  </si>
  <si>
    <t>Brezhniev Vitalii</t>
  </si>
  <si>
    <t xml:space="preserve">, 0962123229, </t>
  </si>
  <si>
    <t xml:space="preserve">, ‪+7 931 335‑16‑79‬, </t>
  </si>
  <si>
    <t>Walklate Luke</t>
  </si>
  <si>
    <t xml:space="preserve">66943763258, , </t>
  </si>
  <si>
    <t>Syromolotov Igor</t>
  </si>
  <si>
    <t xml:space="preserve">, ‪+7 915 458‑53‑48‬, </t>
  </si>
  <si>
    <t>Badalov Shadiman</t>
  </si>
  <si>
    <t xml:space="preserve">@Shadikson, +77019583395, </t>
  </si>
  <si>
    <t>Uriadov Maksim</t>
  </si>
  <si>
    <t xml:space="preserve">@rzaeqn, 89151579690, </t>
  </si>
  <si>
    <t>Kuznetsov Sergei</t>
  </si>
  <si>
    <t xml:space="preserve">, +79196773899, </t>
  </si>
  <si>
    <t>, +7 (926) 277-11-98, 79250971323</t>
  </si>
  <si>
    <t>50000руб+100$-2000 бат-30000 руб+паспорт</t>
  </si>
  <si>
    <t xml:space="preserve">@Torchez420, 89857426966, </t>
  </si>
  <si>
    <t>Sargsian Levon</t>
  </si>
  <si>
    <t xml:space="preserve">@leva7u, 79803819577, </t>
  </si>
  <si>
    <t>Pytailo Viacheslav</t>
  </si>
  <si>
    <t xml:space="preserve">@SL11leon, +66 81-074-7798, </t>
  </si>
  <si>
    <t>Dorchenkov Artem</t>
  </si>
  <si>
    <t xml:space="preserve">@LamAll, +7 910 727 8612, </t>
  </si>
  <si>
    <t>Bogatyrev Aleksei</t>
  </si>
  <si>
    <t xml:space="preserve">@ivanaleksandrovicha, , </t>
  </si>
  <si>
    <t>Sazonov Nikita</t>
  </si>
  <si>
    <t xml:space="preserve">, 7 919 887 59 88, </t>
  </si>
  <si>
    <t>Gurbanov Ruslan</t>
  </si>
  <si>
    <t xml:space="preserve">@fansyl, +79036450413, </t>
  </si>
  <si>
    <t>Ivchenkova Irina</t>
  </si>
  <si>
    <t xml:space="preserve">@Irina_Ivch, +66 80-428-3043, </t>
  </si>
  <si>
    <t>Chakal Amrane</t>
  </si>
  <si>
    <t xml:space="preserve">, 66 64 815 9447, </t>
  </si>
  <si>
    <t>Ahammout Yassine</t>
  </si>
  <si>
    <t xml:space="preserve">, ‪+66 64 815 9447‬, </t>
  </si>
  <si>
    <t>Ouarghi Smain</t>
  </si>
  <si>
    <t>Allaoui Sofiane,zoher</t>
  </si>
  <si>
    <t>Vulcan Andreea-georgiana</t>
  </si>
  <si>
    <t xml:space="preserve">+91 98194 98870, , </t>
  </si>
  <si>
    <t>Suvorov Vasilii</t>
  </si>
  <si>
    <t xml:space="preserve">+7 910 146-08-41, , </t>
  </si>
  <si>
    <t>Beliaev Roman</t>
  </si>
  <si>
    <t xml:space="preserve">@RrR674, +79369995171, </t>
  </si>
  <si>
    <t>Osipova Mariia</t>
  </si>
  <si>
    <t xml:space="preserve">, 79111902845, </t>
  </si>
  <si>
    <t>Datchenko Oleksandr</t>
  </si>
  <si>
    <t>@beatboyua, +380632435446, +380 (63) 528 40 11</t>
  </si>
  <si>
    <t>Sedunov Viacheslav</t>
  </si>
  <si>
    <t xml:space="preserve">, +79626897647, </t>
  </si>
  <si>
    <t>Endovitskaia Iuliia</t>
  </si>
  <si>
    <t>, +79268656435, 0909269844</t>
  </si>
  <si>
    <t xml:space="preserve">@benchcc, +79052653993, </t>
  </si>
  <si>
    <t>Podboronov Roman</t>
  </si>
  <si>
    <t>@Mr_Ylitka89, 89154952983, 89998754251</t>
  </si>
  <si>
    <t>Khasanbekov Vadim</t>
  </si>
  <si>
    <t xml:space="preserve">@Haidarrrrrrrrrrr, 89191596222, </t>
  </si>
  <si>
    <t>Razumovskii Fedor</t>
  </si>
  <si>
    <t>60000 Rub</t>
  </si>
  <si>
    <t xml:space="preserve">+7 900 224-45-01, , </t>
  </si>
  <si>
    <t xml:space="preserve">+7 985 167-10-10, , </t>
  </si>
  <si>
    <t>, +79153100381, +79854016484</t>
  </si>
  <si>
    <t>Volosevich Aleksandr</t>
  </si>
  <si>
    <t>@phaton_prodvizh, +79522236749, +79214335600</t>
  </si>
  <si>
    <t xml:space="preserve">@Killianser, +79534579842, </t>
  </si>
  <si>
    <t>Storms James Ryan</t>
  </si>
  <si>
    <t xml:space="preserve">, +1 516 723 1476, </t>
  </si>
  <si>
    <t>Kadyrov Lenar</t>
  </si>
  <si>
    <t xml:space="preserve">, 89876243168, </t>
  </si>
  <si>
    <t>Bolanos-cobos Azarel Esau</t>
  </si>
  <si>
    <t>Nedelku Vitalii</t>
  </si>
  <si>
    <t xml:space="preserve">, 79299707070, </t>
  </si>
  <si>
    <t>@Fart_FartM, +7 903 314 2828, +79046638005</t>
  </si>
  <si>
    <t xml:space="preserve">@MottoTorro, , </t>
  </si>
  <si>
    <t>Kislov Vitaly</t>
  </si>
  <si>
    <t xml:space="preserve">Isayarada apаrtment, +79857763319, </t>
  </si>
  <si>
    <t>гера ниндзя</t>
  </si>
  <si>
    <t>Imangulov Ruslan</t>
  </si>
  <si>
    <t xml:space="preserve">+79969006006, ,@Fart_FartM, +7 903 314 2828, +79046638005 </t>
  </si>
  <si>
    <t>3000т</t>
  </si>
  <si>
    <t>60000р</t>
  </si>
  <si>
    <t xml:space="preserve">@igor_gladkov_alex, , </t>
  </si>
  <si>
    <t>Rogozhnikov Anatoly</t>
  </si>
  <si>
    <t xml:space="preserve">@im_aa_bro, +79218565857, </t>
  </si>
  <si>
    <t>Khotynets Iurii</t>
  </si>
  <si>
    <t>, 89277777555, +66819644234</t>
  </si>
  <si>
    <t>Novoselov Stanislav</t>
  </si>
  <si>
    <t>, +66 943644793, +7916 632 3747</t>
  </si>
  <si>
    <t>Kolbin Dmitrii</t>
  </si>
  <si>
    <t>, 79530549907, +66 6 3460 2249</t>
  </si>
  <si>
    <t>Zhironkin Iurii</t>
  </si>
  <si>
    <t>@zhironkin1, +79630545476, +66660427604</t>
  </si>
  <si>
    <t xml:space="preserve">@sau00, 89150005008, </t>
  </si>
  <si>
    <t>Ladycin Aleksandr</t>
  </si>
  <si>
    <t>15000руб</t>
  </si>
  <si>
    <t xml:space="preserve">, 79504238440, </t>
  </si>
  <si>
    <t>Shmukhametov Evgenii</t>
  </si>
  <si>
    <t xml:space="preserve">@id528197972, 89114037272, </t>
  </si>
  <si>
    <t>Ananev Artem</t>
  </si>
  <si>
    <t xml:space="preserve">+79537018501, , </t>
  </si>
  <si>
    <t>Rogozin Roman</t>
  </si>
  <si>
    <t xml:space="preserve">+79029243594, +79029243594, </t>
  </si>
  <si>
    <t>Tiutiunnikov Vitalii</t>
  </si>
  <si>
    <t xml:space="preserve">@sergeevanatasha74, +79517707777, </t>
  </si>
  <si>
    <t>Kazantcev Ivan</t>
  </si>
  <si>
    <t xml:space="preserve">@i1kazantsev, +79777017895, </t>
  </si>
  <si>
    <t>Zapevalin Aleksandr</t>
  </si>
  <si>
    <t xml:space="preserve">, 79503123346, </t>
  </si>
  <si>
    <t>Sun, Xuefeng</t>
  </si>
  <si>
    <t xml:space="preserve">+86 139 1812 5044, , </t>
  </si>
  <si>
    <t xml:space="preserve">, 79257620404, </t>
  </si>
  <si>
    <t>Shabanov Pavel</t>
  </si>
  <si>
    <t xml:space="preserve">, +7 910 909-42-22, </t>
  </si>
  <si>
    <t>Bondarenko Vladislav</t>
  </si>
  <si>
    <t xml:space="preserve">@bond7707, 89164807771, </t>
  </si>
  <si>
    <t>Zubankoy Vladimir</t>
  </si>
  <si>
    <t xml:space="preserve">, 79773618141, </t>
  </si>
  <si>
    <t xml:space="preserve">, 79150060999, </t>
  </si>
  <si>
    <t>, 89224391090 , 89224120174</t>
  </si>
  <si>
    <t xml:space="preserve">, +65 89504005, </t>
  </si>
  <si>
    <t>Velci Matteo Paul Pono</t>
  </si>
  <si>
    <t>Aitkulov Rustam</t>
  </si>
  <si>
    <t xml:space="preserve">+7 977 574-54-71, , </t>
  </si>
  <si>
    <t>Rashitov Marsel</t>
  </si>
  <si>
    <t xml:space="preserve">@dimoney89, +79199166157, </t>
  </si>
  <si>
    <t>Karelin Dmitrii</t>
  </si>
  <si>
    <t xml:space="preserve">@dimoney89, +7 (912) 856-60-00, </t>
  </si>
  <si>
    <t>Power Ashleigh</t>
  </si>
  <si>
    <t>15900т</t>
  </si>
  <si>
    <t xml:space="preserve">, +44 7555594574, </t>
  </si>
  <si>
    <t>Shchepko Igor</t>
  </si>
  <si>
    <t xml:space="preserve">, ‪+7 983 156‑65‑99‬, </t>
  </si>
  <si>
    <t>Oreshin Viacheslav</t>
  </si>
  <si>
    <t>, 79831566599, +7 950 050-84-40</t>
  </si>
  <si>
    <t>Nikolenko Artem</t>
  </si>
  <si>
    <t xml:space="preserve">, 79996859998, </t>
  </si>
  <si>
    <t>Golyshev Andrey</t>
  </si>
  <si>
    <t xml:space="preserve">@AndreyKobra, +7 707 311 11 69, </t>
  </si>
  <si>
    <t>Koniukhov Aleksei</t>
  </si>
  <si>
    <t>@eugen_fed, +79037519196, @alex_211212</t>
  </si>
  <si>
    <t>Bulgakov Vitalii</t>
  </si>
  <si>
    <t xml:space="preserve">@eugen_fed, +79037519196, </t>
  </si>
  <si>
    <t>Dash Surya Prakash</t>
  </si>
  <si>
    <t xml:space="preserve">@seekow13, 634593266, </t>
  </si>
  <si>
    <t>Maltsev Miroslav</t>
  </si>
  <si>
    <t xml:space="preserve">@miromir_music, , </t>
  </si>
  <si>
    <t>Baburin Aleksei</t>
  </si>
  <si>
    <t>@ababurin2112, +79639752476, +660626839848</t>
  </si>
  <si>
    <t>Seidimbek Ayan</t>
  </si>
  <si>
    <t xml:space="preserve">, +7 707 329 8210, </t>
  </si>
  <si>
    <t>Koroteev Egor</t>
  </si>
  <si>
    <t>@yegorka_kinch, +79509700301, +79235702524</t>
  </si>
  <si>
    <t>Yatsuk Aliaksandr</t>
  </si>
  <si>
    <t xml:space="preserve">+375292326686, , </t>
  </si>
  <si>
    <t>Suhak Markel</t>
  </si>
  <si>
    <t>Maltseva Anastasiia</t>
  </si>
  <si>
    <t xml:space="preserve">@llc_ifl, +79115385757, </t>
  </si>
  <si>
    <t>1000usdt</t>
  </si>
  <si>
    <t xml:space="preserve">@miomeet, +669568712462, </t>
  </si>
  <si>
    <t>Bober Vladimir</t>
  </si>
  <si>
    <t xml:space="preserve">@baberva, +79774268724, </t>
  </si>
  <si>
    <t>Kulbatskii Andrei</t>
  </si>
  <si>
    <t xml:space="preserve">@BPA488, +79199166157, </t>
  </si>
  <si>
    <t>Korolkov Vitalii</t>
  </si>
  <si>
    <t xml:space="preserve">@vitaly_korolkov, 0660911747, </t>
  </si>
  <si>
    <t>Perzylo Michael</t>
  </si>
  <si>
    <t xml:space="preserve">, +17806166111, </t>
  </si>
  <si>
    <t>Erokhin Andrei</t>
  </si>
  <si>
    <t xml:space="preserve">@vilkoyi_v_glaz, +971567148814, </t>
  </si>
  <si>
    <t>Kunin Vladislav</t>
  </si>
  <si>
    <t>, +7 911 919-72-95, 79959969933</t>
  </si>
  <si>
    <t>Mittelberg Simon</t>
  </si>
  <si>
    <t xml:space="preserve">, +66800048915, </t>
  </si>
  <si>
    <t xml:space="preserve">, +31681838538, </t>
  </si>
  <si>
    <t>Melnikova Aleksandra</t>
  </si>
  <si>
    <t xml:space="preserve">@dzenshena, +7 909 799 0079, </t>
  </si>
  <si>
    <t>Gronshtein Igor</t>
  </si>
  <si>
    <t>+66644572491, 79117 633623, 0000</t>
  </si>
  <si>
    <t>Гуд</t>
  </si>
  <si>
    <t xml:space="preserve">, +393490532268, </t>
  </si>
  <si>
    <t>Kib Lizaveta</t>
  </si>
  <si>
    <t xml:space="preserve">@ElizavetaKib, +375292351377, </t>
  </si>
  <si>
    <t>Vlasov Maksim</t>
  </si>
  <si>
    <t xml:space="preserve">+79663532602, +79031067098, </t>
  </si>
  <si>
    <t>600eur</t>
  </si>
  <si>
    <t>Pedrajas
trucharte Eduardo</t>
  </si>
  <si>
    <t>Rodriguez
piedra Miguel</t>
  </si>
  <si>
    <t>Alvarez
gonzalez Diego</t>
  </si>
  <si>
    <t>Gómez
dios Ignacio</t>
  </si>
  <si>
    <t>Stalchenko Liubov</t>
  </si>
  <si>
    <t xml:space="preserve">@Stalchenko23, 0652358760, </t>
  </si>
  <si>
    <t>And</t>
  </si>
  <si>
    <t>Savinov Viktor</t>
  </si>
  <si>
    <t xml:space="preserve">, +7 987 254-02-09, </t>
  </si>
  <si>
    <t>Frolov Nikolai</t>
  </si>
  <si>
    <t xml:space="preserve">, 79645854114, </t>
  </si>
  <si>
    <t>Grigorev Anton</t>
  </si>
  <si>
    <t>Egiazarian Zaven</t>
  </si>
  <si>
    <t xml:space="preserve">@chetakslozhnoo, 89213451101, </t>
  </si>
  <si>
    <t xml:space="preserve">, +79678579447, </t>
  </si>
  <si>
    <t xml:space="preserve">+7 915 458-53-48, , </t>
  </si>
  <si>
    <t>Sukhorukov Pavel</t>
  </si>
  <si>
    <t xml:space="preserve">+66 80-748-5548, +66 80-748-5548, </t>
  </si>
  <si>
    <t>Mukanov Alfat</t>
  </si>
  <si>
    <t xml:space="preserve">@baksterSpb, 0814879870, </t>
  </si>
  <si>
    <t>Klimenko Aleksandr</t>
  </si>
  <si>
    <t xml:space="preserve">@Roge995, 66952136530, </t>
  </si>
  <si>
    <t xml:space="preserve">@AlexNomernoy, 89802431844, </t>
  </si>
  <si>
    <t>Tee Yong Siong</t>
  </si>
  <si>
    <t xml:space="preserve">+65 82225454, , </t>
  </si>
  <si>
    <t>Kazakova Anastasiia</t>
  </si>
  <si>
    <t xml:space="preserve">, 8-927-801-45-42, </t>
  </si>
  <si>
    <t>Ingingmalov Denis</t>
  </si>
  <si>
    <t>Друг сережи</t>
  </si>
  <si>
    <t>Salamat Alisher</t>
  </si>
  <si>
    <t>@BORZ01, 87478418898, 87716336666</t>
  </si>
  <si>
    <t>Fomina Daria</t>
  </si>
  <si>
    <t>@darmf, 8965 087 50 00, 8999 030 28 18</t>
  </si>
  <si>
    <t>Vozniuk Konstantin</t>
  </si>
  <si>
    <t xml:space="preserve">+7 903 912-67-99, , </t>
  </si>
  <si>
    <t>Kim Pavel</t>
  </si>
  <si>
    <t xml:space="preserve">@pablo_ki, +79069170099, </t>
  </si>
  <si>
    <t>Makhaev Anatolii</t>
  </si>
  <si>
    <t xml:space="preserve">, ‪+7 950 411‑00‑92‬, </t>
  </si>
  <si>
    <t>Ivanov Aleksandr</t>
  </si>
  <si>
    <t>Armstrong Dean William</t>
  </si>
  <si>
    <t xml:space="preserve">+44 7459 422025, , </t>
  </si>
  <si>
    <t>Asriev Oleg</t>
  </si>
  <si>
    <t xml:space="preserve">@aceowner, +79005518586, </t>
  </si>
  <si>
    <t>Horváth Zsolt</t>
  </si>
  <si>
    <t xml:space="preserve">+36 30 567 6577, , </t>
  </si>
  <si>
    <t>@Nikc3, 0981955650 , 79951147696</t>
  </si>
  <si>
    <t>Tyrganov Timur</t>
  </si>
  <si>
    <t xml:space="preserve">+7 983 387-22-97, , </t>
  </si>
  <si>
    <t>Shelkovoy Lev</t>
  </si>
  <si>
    <t xml:space="preserve">@lshelkovoy, +79639978684, </t>
  </si>
  <si>
    <t xml:space="preserve">, +37256949052, </t>
  </si>
  <si>
    <t xml:space="preserve">, 79139851951, </t>
  </si>
  <si>
    <t>Nikodimov Ilia</t>
  </si>
  <si>
    <t xml:space="preserve">@Suggar_boys, +79657585425, </t>
  </si>
  <si>
    <t>Novokreshchenov Pavel</t>
  </si>
  <si>
    <t xml:space="preserve">@axuennnnna, +86 18825005909, </t>
  </si>
  <si>
    <t xml:space="preserve">Oleksandr_fomin_ukraine_, , </t>
  </si>
  <si>
    <t xml:space="preserve">@Suggar_boys,  +79657585425, </t>
  </si>
  <si>
    <t>Mundoli Hamdi Beeran</t>
  </si>
  <si>
    <t xml:space="preserve">+91 90660 90000, , </t>
  </si>
  <si>
    <t>Kapustin Vladislav</t>
  </si>
  <si>
    <t xml:space="preserve">@vlad_kapustin, 89247719100, </t>
  </si>
  <si>
    <t>Bayanov Anton</t>
  </si>
  <si>
    <t xml:space="preserve">+7 950 272-72-70, +7 950 272-72-70, </t>
  </si>
  <si>
    <t>Marcus</t>
  </si>
  <si>
    <t>Shchigorev Mikhail</t>
  </si>
  <si>
    <t>, 89529403849, 89537986761</t>
  </si>
  <si>
    <t xml:space="preserve">, 79502727270, </t>
  </si>
  <si>
    <t>Bobylev Nikita</t>
  </si>
  <si>
    <t xml:space="preserve">@Sensei_Soul, , </t>
  </si>
  <si>
    <t>Kaiumov Timur</t>
  </si>
  <si>
    <t xml:space="preserve">@Timkayum, 0954879820, </t>
  </si>
  <si>
    <t>Sokolov Igor</t>
  </si>
  <si>
    <t xml:space="preserve">, 79118353560, </t>
  </si>
  <si>
    <t>Glizin Igor</t>
  </si>
  <si>
    <t>1,5 ltc</t>
  </si>
  <si>
    <t>Nikitin Dmitrii</t>
  </si>
  <si>
    <t xml:space="preserve">@Raketa_rent, , </t>
  </si>
  <si>
    <t>Paimulin Dmitrii</t>
  </si>
  <si>
    <t>Buryanenko Alexander</t>
  </si>
  <si>
    <t xml:space="preserve">@Nishtyakkk, 096-294-5129, </t>
  </si>
  <si>
    <t>Anisimov Dmytro</t>
  </si>
  <si>
    <t xml:space="preserve">@Annuushkt, +48576466259, </t>
  </si>
  <si>
    <t>Zheburtovich Kirill</t>
  </si>
  <si>
    <t xml:space="preserve">@Kiriizb, +7 923 436 3885, </t>
  </si>
  <si>
    <t>Vyacheslav Makarov</t>
  </si>
  <si>
    <t>гера</t>
  </si>
  <si>
    <t>Maslov Viacheslav</t>
  </si>
  <si>
    <t>@Viacheslav_devino100, 89502858870, 89940178257</t>
  </si>
  <si>
    <t>aaron.sc_, ‪+44 7960 000839‬,  90 237 8068</t>
  </si>
  <si>
    <t>Prusov Andrei</t>
  </si>
  <si>
    <t>, 0621382842, 79992343233</t>
  </si>
  <si>
    <t>Kostya Sever</t>
  </si>
  <si>
    <t>Adutskevich Arseni</t>
  </si>
  <si>
    <t>Fedorova Anna</t>
  </si>
  <si>
    <t xml:space="preserve">@Anna15551, , </t>
  </si>
  <si>
    <t>Hernandez bustos Angela Maria</t>
  </si>
  <si>
    <t xml:space="preserve">+61405982647, , </t>
  </si>
  <si>
    <t>Matyskina Iuliia</t>
  </si>
  <si>
    <t>600$</t>
  </si>
  <si>
    <t xml:space="preserve">@El4Julia, +79117778932, </t>
  </si>
  <si>
    <t>Makarov Vladislav</t>
  </si>
  <si>
    <t xml:space="preserve">+7 915 175-81-31, , </t>
  </si>
  <si>
    <t>Ilin Pavel</t>
  </si>
  <si>
    <t xml:space="preserve">@kohchangy, 0821741815, </t>
  </si>
  <si>
    <t xml:space="preserve">, +79881625700, </t>
  </si>
  <si>
    <t xml:space="preserve">@kitkatkitkatkitkatkitkit1, , </t>
  </si>
  <si>
    <t>Frolenko Konstantin</t>
  </si>
  <si>
    <t xml:space="preserve">, 79069235919, </t>
  </si>
  <si>
    <t>Klimtseva Daria</t>
  </si>
  <si>
    <t xml:space="preserve">@dashaklimtseva, +66805267783, </t>
  </si>
  <si>
    <t>Kondratev Nikita</t>
  </si>
  <si>
    <t>Cherkesov Artem</t>
  </si>
  <si>
    <t xml:space="preserve">@tomkroft, 89236116134, </t>
  </si>
  <si>
    <t>Krasnov Iaroslav</t>
  </si>
  <si>
    <t xml:space="preserve">, +79053880909, </t>
  </si>
  <si>
    <t>Aakash Arivalagan</t>
  </si>
  <si>
    <t xml:space="preserve">, +447402051933, </t>
  </si>
  <si>
    <t>Salehalmosawy Mohammad Ahmed</t>
  </si>
  <si>
    <t>Abdulhafiz, Roaa Talal S</t>
  </si>
  <si>
    <t xml:space="preserve">, ‪+971 50 295 5375‬, </t>
  </si>
  <si>
    <t>Ashmawi, Abdulrahman Abdulelah M</t>
  </si>
  <si>
    <t xml:space="preserve">‪+966 50 367 1273‬, , </t>
  </si>
  <si>
    <t>Ashmawi, Waleed Abdulelah M</t>
  </si>
  <si>
    <t>Ashmawi, Faisal Abdulelah M</t>
  </si>
  <si>
    <t>Eshmawi, Ahmed Abdulmajeed M</t>
  </si>
  <si>
    <t>Ashmawi, Mohammed Abdulelah M</t>
  </si>
  <si>
    <t>Eshmawie, Alaa Ali M</t>
  </si>
  <si>
    <t>Nawez Danial Muhammad</t>
  </si>
  <si>
    <t xml:space="preserve">, +66984368352, </t>
  </si>
  <si>
    <t>Matselis Georgios</t>
  </si>
  <si>
    <t xml:space="preserve">+30 693 282 8872, +30 693 282 8872, </t>
  </si>
  <si>
    <t>Sakkas Ioannis</t>
  </si>
  <si>
    <t xml:space="preserve">‪+30 693 282 8872‬, , </t>
  </si>
  <si>
    <t>Ghoneim Talal Amer</t>
  </si>
  <si>
    <t xml:space="preserve">, +971528856585, </t>
  </si>
  <si>
    <t xml:space="preserve">‪+7 778 705 4656‬, , </t>
  </si>
  <si>
    <t>Laitman Oliviia</t>
  </si>
  <si>
    <t xml:space="preserve">@privetpapapes, 89516894410, </t>
  </si>
  <si>
    <t>Ivanova Anastasiia</t>
  </si>
  <si>
    <t xml:space="preserve">@privetpapapes, 0839703230, </t>
  </si>
  <si>
    <t xml:space="preserve">, +996503671273, </t>
  </si>
  <si>
    <t>Kutuzov Iurii</t>
  </si>
  <si>
    <t xml:space="preserve">, +79513083955, </t>
  </si>
  <si>
    <t xml:space="preserve">@tatatsdi, 89151579690, </t>
  </si>
  <si>
    <t>Zhuravlov Vadym</t>
  </si>
  <si>
    <t xml:space="preserve">@vadym_de, +49 162 1730462, </t>
  </si>
  <si>
    <t xml:space="preserve">+919066090000, +66824608660, </t>
  </si>
  <si>
    <t>Glyzin Igor</t>
  </si>
  <si>
    <t>1ltc</t>
  </si>
  <si>
    <t>Pausgaard Marcello Kryger</t>
  </si>
  <si>
    <t xml:space="preserve">, +66 956183278, </t>
  </si>
  <si>
    <t>Vakin Maksim</t>
  </si>
  <si>
    <t xml:space="preserve">@MarcusMMA360, , </t>
  </si>
  <si>
    <t>Kulak Petr</t>
  </si>
  <si>
    <t xml:space="preserve">@peterkulak, +79185431783, </t>
  </si>
  <si>
    <t>Dzhanbaev Artur</t>
  </si>
  <si>
    <t>@loonycaine, +66 61 246 6277, 0952069574</t>
  </si>
  <si>
    <t>Siki Yassine</t>
  </si>
  <si>
    <t xml:space="preserve">, +971585903539, </t>
  </si>
  <si>
    <t xml:space="preserve">‪+7 919 677‑38‑99‬, , </t>
  </si>
  <si>
    <t>Pletenevskii Vladislav</t>
  </si>
  <si>
    <t xml:space="preserve">+79199644348, , </t>
  </si>
  <si>
    <t>Sendé Joseph, Junior</t>
  </si>
  <si>
    <t xml:space="preserve">+33 6 35 50 29 06, , </t>
  </si>
  <si>
    <t xml:space="preserve">, +233505898541, </t>
  </si>
  <si>
    <t>Salabutin Valerii</t>
  </si>
  <si>
    <t xml:space="preserve">+7 977 604-98-30, , </t>
  </si>
  <si>
    <t>Bolduev Roman</t>
  </si>
  <si>
    <t>, 89295607977, +698972905837</t>
  </si>
  <si>
    <t>Levinkov Gleb</t>
  </si>
  <si>
    <t xml:space="preserve">@bigman3110, +79626764147, </t>
  </si>
  <si>
    <t>Badrutdinov Marsel</t>
  </si>
  <si>
    <t xml:space="preserve">@MBadrutdinov, 89178728354, </t>
  </si>
  <si>
    <t>Romanov Anton</t>
  </si>
  <si>
    <t xml:space="preserve">@logistx7, +79090150445, </t>
  </si>
  <si>
    <t>??</t>
  </si>
  <si>
    <t>+60172775877</t>
  </si>
  <si>
    <t>Novoseltsev Gleb</t>
  </si>
  <si>
    <t xml:space="preserve">@glebbiz, 79993791840, </t>
  </si>
  <si>
    <t>rus</t>
  </si>
  <si>
    <t>Smilianskii Denis</t>
  </si>
  <si>
    <t xml:space="preserve">@ilikevladislav, +7 (977) 297-01-01, </t>
  </si>
  <si>
    <t>Smirnov Dmitrii</t>
  </si>
  <si>
    <t xml:space="preserve">‪+7 999 822‑58‑05‬, ‪+7 999 822‑58‑05‬, </t>
  </si>
  <si>
    <t xml:space="preserve">@iHosty, 89806893269, </t>
  </si>
  <si>
    <t>Vovchuk Ilia</t>
  </si>
  <si>
    <t xml:space="preserve">@Nikc3, +66 96-838-4045, </t>
  </si>
  <si>
    <t>Afanasev Sergei</t>
  </si>
  <si>
    <t xml:space="preserve">, +79094098083, </t>
  </si>
  <si>
    <t>Shapkin Dmitrii</t>
  </si>
  <si>
    <t xml:space="preserve">@dishapa, +79152368860, </t>
  </si>
  <si>
    <t>Candela Vincent, David, Francois</t>
  </si>
  <si>
    <t>‪+33 6 49 26 61 81‬, 0649266181, 0627816087</t>
  </si>
  <si>
    <t xml:space="preserve">@Niko_diva, +79657585425, </t>
  </si>
  <si>
    <t>600euro</t>
  </si>
  <si>
    <t xml:space="preserve">@ATC_Roy, +7 967 347 3556, </t>
  </si>
  <si>
    <t>Iqbal Ali Faraz</t>
  </si>
  <si>
    <t xml:space="preserve">01717777780,, </t>
  </si>
  <si>
    <t>Bakar Khaled</t>
  </si>
  <si>
    <t xml:space="preserve">01717777780, , </t>
  </si>
  <si>
    <t>Biktimirov Bulat</t>
  </si>
  <si>
    <t xml:space="preserve">@Anastasia_Ishalina, 89527119944, </t>
  </si>
  <si>
    <t>Asil Türkay Üzeyir</t>
  </si>
  <si>
    <t xml:space="preserve">‪+31 6 28478282‬, ‪+31 6 28478282‬, </t>
  </si>
  <si>
    <t xml:space="preserve">@PaulGoff, , </t>
  </si>
  <si>
    <t>Galbraith Nicola Jane</t>
  </si>
  <si>
    <t xml:space="preserve">‪+66 92 812 8028‬, ‪+66 92 812 8028‬, </t>
  </si>
  <si>
    <t>Pedrosa
gonzalez Jordi</t>
  </si>
  <si>
    <t xml:space="preserve">‪+34 673 74 79 78‬, ‪+34 673 74 79 78‬, </t>
  </si>
  <si>
    <t xml:space="preserve">+7 985 774-46-00, , </t>
  </si>
  <si>
    <t>Demin Kirill</t>
  </si>
  <si>
    <t xml:space="preserve">@kirill_demin, +79261157479, </t>
  </si>
  <si>
    <t>Ignatenko Valentin</t>
  </si>
  <si>
    <t xml:space="preserve">@superguberr, , </t>
  </si>
  <si>
    <t>Yang Seungho</t>
  </si>
  <si>
    <t xml:space="preserve">+821032962347, +821032962347, </t>
  </si>
  <si>
    <t>Almejbel Hamad A H A A</t>
  </si>
  <si>
    <t xml:space="preserve">, ‪+965 515 83367‬, </t>
  </si>
  <si>
    <t>Baranov Aleksei</t>
  </si>
  <si>
    <t xml:space="preserve">‪+7 905 459‑45‑55‬, ‪+7 905 459‑45‑55‬, </t>
  </si>
  <si>
    <t>Shvab Evgenii</t>
  </si>
  <si>
    <t xml:space="preserve">+7 983 150 3175, +7 983 150 3175, </t>
  </si>
  <si>
    <t xml:space="preserve">@Nikc3, , </t>
  </si>
  <si>
    <t>Iusufov Kazim</t>
  </si>
  <si>
    <t xml:space="preserve">‪+7 925 166‑81‑01‬, , </t>
  </si>
  <si>
    <t xml:space="preserve">, ‪+7 925 166‑81‑01‬, </t>
  </si>
  <si>
    <t>Даты и срок</t>
  </si>
  <si>
    <t>Глобальная скидка</t>
  </si>
  <si>
    <t>Дней</t>
  </si>
  <si>
    <t>Моты 1</t>
  </si>
  <si>
    <t>Моты 2</t>
  </si>
  <si>
    <t>Скутеры</t>
  </si>
  <si>
    <t>Статус</t>
  </si>
  <si>
    <t>Назване</t>
  </si>
  <si>
    <t>Год вып</t>
  </si>
  <si>
    <t>ТО оил</t>
  </si>
  <si>
    <t>Gear</t>
  </si>
  <si>
    <t>abs</t>
  </si>
  <si>
    <t>filter</t>
  </si>
  <si>
    <t>учет</t>
  </si>
  <si>
    <t>key</t>
  </si>
  <si>
    <t>recover</t>
  </si>
  <si>
    <t>ins tax</t>
  </si>
  <si>
    <t>примечание</t>
  </si>
  <si>
    <t>статус</t>
  </si>
  <si>
    <t>у кого</t>
  </si>
  <si>
    <t>срок</t>
  </si>
  <si>
    <t>до</t>
  </si>
  <si>
    <t>в день</t>
  </si>
  <si>
    <t>Мотоциклы 1</t>
  </si>
  <si>
    <t>Discount</t>
  </si>
  <si>
    <t>Fixed Period</t>
  </si>
  <si>
    <t>Random period (days)</t>
  </si>
  <si>
    <t>Deposit THB</t>
  </si>
  <si>
    <t>1 day</t>
  </si>
  <si>
    <t>1 week</t>
  </si>
  <si>
    <t>2 week</t>
  </si>
  <si>
    <t>1 month</t>
  </si>
  <si>
    <t>для сайта</t>
  </si>
  <si>
    <t>YAMAHA XSR 155</t>
  </si>
  <si>
    <t>HONDA CB 300R</t>
  </si>
  <si>
    <t>HONDA REBEL 300</t>
  </si>
  <si>
    <t xml:space="preserve">  </t>
  </si>
  <si>
    <t>YAMAHA MT-03 300</t>
  </si>
  <si>
    <t>KAWASAKI NINJA 400</t>
  </si>
  <si>
    <t>Мотоциклы 2</t>
  </si>
  <si>
    <t>KAWA VULCAN 650S</t>
  </si>
  <si>
    <t>HONDA CBR 650R</t>
  </si>
  <si>
    <t>HONDA CB 650R</t>
  </si>
  <si>
    <t>YAMAHA XSR 900</t>
  </si>
  <si>
    <t>YAMAHA R7</t>
  </si>
  <si>
    <t>HONDA CLICK 125</t>
  </si>
  <si>
    <t>HONDA PCX150</t>
  </si>
  <si>
    <t>HONDA ADV 150</t>
  </si>
  <si>
    <t>YAMAHA NMAX 155</t>
  </si>
  <si>
    <t>HONDA PCX 160</t>
  </si>
  <si>
    <t>HONDA ADV 160</t>
  </si>
  <si>
    <t>HONDA FORZA 300</t>
  </si>
  <si>
    <t>YAMAHA XMAX300 2020-2022</t>
  </si>
  <si>
    <t>YAMAHA XMAX 300 NEW 2023-</t>
  </si>
  <si>
    <t>HONDA ADV 350</t>
  </si>
  <si>
    <t>HONDA XADV 750</t>
  </si>
  <si>
    <t>🏍 Памятка до 31 октября (цены низкого сезона)</t>
  </si>
  <si>
    <t>Низкий сезон — действует до 31 октября</t>
  </si>
  <si>
    <t>📌 Основные правила</t>
  </si>
  <si>
    <t>• Если клиент берёт месяц — сразу называем месячную цену по памятке ниже.</t>
  </si>
  <si>
    <t>• Если аренда планируется на 2–3 недели или больше, также можно предложить месячную ставку.</t>
  </si>
  <si>
    <t>• После 31 октября это ограничение снимается, и действуют обычные цены из основной таблицы.</t>
  </si>
  <si>
    <t>💰 Месячные цены на низкий сезон</t>
  </si>
  <si>
    <t>XSR155 6 490</t>
  </si>
  <si>
    <t>Honda CB300 9 900</t>
  </si>
  <si>
    <t>Yamaha MT-03 10 990</t>
  </si>
  <si>
    <t>Kawasaki Ninja 400 11 900</t>
  </si>
  <si>
    <t>Honda CB650 / CBR 650/ 19 900</t>
  </si>
  <si>
    <t>Kawasaki Vulcan 19 900</t>
  </si>
  <si>
    <t>Yamaha NMAX 5 000</t>
  </si>
  <si>
    <t>Yamaha XMAX300 (OLD) 8 900</t>
  </si>
  <si>
    <t>Yamaha XMAX300 (NEW) 9 900</t>
  </si>
  <si>
    <t>Honda ADV350 10 900</t>
  </si>
  <si>
    <t>Honda Forza300 7 900</t>
  </si>
  <si>
    <t>⚠ Важно:</t>
  </si>
  <si>
    <t>• Эти ставки и правила действуют только до 31 октября.</t>
  </si>
  <si>
    <t>Отметка времени</t>
  </si>
  <si>
    <t>Date</t>
  </si>
  <si>
    <t>Social contact</t>
  </si>
  <si>
    <t>Address in Phuket</t>
  </si>
  <si>
    <t>Tel.1</t>
  </si>
  <si>
    <t>Tel.2</t>
  </si>
  <si>
    <t>Deposit</t>
  </si>
  <si>
    <t>Cost of hire per day</t>
  </si>
  <si>
    <t>Cost of hire per month</t>
  </si>
  <si>
    <t>Pickup address</t>
  </si>
  <si>
    <t>Return address</t>
  </si>
  <si>
    <t>Model CC Registration</t>
  </si>
  <si>
    <t>Cost of vehicle</t>
  </si>
  <si>
    <t>KM reading</t>
  </si>
  <si>
    <t>Fuel level</t>
  </si>
  <si>
    <t>Helmets</t>
  </si>
  <si>
    <t>Pick up date</t>
  </si>
  <si>
    <t>Pick up and return time</t>
  </si>
  <si>
    <t>Return by date</t>
  </si>
  <si>
    <t>Delivery Fee</t>
  </si>
  <si>
    <t>Note</t>
  </si>
  <si>
    <t>https://drive.google.com/open?id=1vOj9unx0bo16BivomRKsysn2E5JJRiq6</t>
  </si>
  <si>
    <t>https://drive.google.com/open?id=1UWM5gyn-EX0J3DF5jw-gkoWz7A-B0eo-</t>
  </si>
  <si>
    <t>Eastbangtaoville Phuket</t>
  </si>
  <si>
    <t>FULL</t>
  </si>
  <si>
    <t>20:00</t>
  </si>
  <si>
    <t>https://drive.google.com/open?id=1WqbUGvohkFhfdOLuWQqcG0l81Vi7IYE4</t>
  </si>
  <si>
    <t>https://drive.google.com/open?id=1jyvX7YgiY9ZNESCbRZzW-kA41rbZl_J6</t>
  </si>
  <si>
    <t>@advocatemukhachoff</t>
  </si>
  <si>
    <t>Chanalai hillside resort</t>
  </si>
  <si>
    <t>kamala</t>
  </si>
  <si>
    <t>17:00</t>
  </si>
  <si>
    <t>https://drive.google.com/open?id=1-ho61K6WINKWsqdRqLNkAGN8OTubq2w2</t>
  </si>
  <si>
    <t>+34 670 93 45 05</t>
  </si>
  <si>
    <t>Seastone Private Pool Villas</t>
  </si>
  <si>
    <t>Seastone Private Pool Villas ซีสโตน พูลวิลล่า</t>
  </si>
  <si>
    <t>NMAX 155CC BLUE PHUKET 4957</t>
  </si>
  <si>
    <t>14:00</t>
  </si>
  <si>
    <t>https://drive.google.com/open?id=1-14CcAT931sUfIXs03PdyLa8wZeMGbXs</t>
  </si>
  <si>
    <t>@dendolphin</t>
  </si>
  <si>
    <t>Kamala Hills Estate</t>
  </si>
  <si>
    <t>+79037203015</t>
  </si>
  <si>
    <t>+79055667727</t>
  </si>
  <si>
    <t>■■■■■</t>
  </si>
  <si>
    <t>https://drive.google.com/open?id=1tq4X-1TSneayEHeFXPiF6pw8oiEc-GFl</t>
  </si>
  <si>
    <t>@Blazing24</t>
  </si>
  <si>
    <t>The natural resort  Patong</t>
  </si>
  <si>
    <t>16:00</t>
  </si>
  <si>
    <t>https://drive.google.com/open?id=1dMPxZMrfnPk7CRGn59Yt85LP-iRRajVV</t>
  </si>
  <si>
    <t>Hibiscus 23/111, Soi Naya, Rawai</t>
  </si>
  <si>
    <t>+62 813‑2538‑6074</t>
  </si>
  <si>
    <t>15:00</t>
  </si>
  <si>
    <t>https://drive.google.com/open?id=1IBI29fgLG99bl58z4PvD2HGNDzR5F8eu</t>
  </si>
  <si>
    <t xml:space="preserve">Hibiscus 23/111, Soi Naya, Rawai </t>
  </si>
  <si>
    <t>https://drive.google.com/open?id=1zSwGIE0N-eYFtE7dHrVUGY-DHD_VkH9l</t>
  </si>
  <si>
    <t>@ga_app</t>
  </si>
  <si>
    <t>Homa bangtao</t>
  </si>
  <si>
    <t>XMAX 300СС RED GLOSS BKK 8946</t>
  </si>
  <si>
    <t>■</t>
  </si>
  <si>
    <t>https://drive.google.com/open?id=1wDklUShbzPqzZwP4hkLkK0lGfNdzTJA3</t>
  </si>
  <si>
    <t>La green hotel</t>
  </si>
  <si>
    <t>+381 62 774117</t>
  </si>
  <si>
    <t>18:00</t>
  </si>
  <si>
    <t>https://drive.google.com/open?id=1OkDVRXIWcddXFHLIA0EiSVKHU7LX4yTw</t>
  </si>
  <si>
    <t>Training Muay Thai at Revolution gym.</t>
  </si>
  <si>
    <t>+61 457 685 495</t>
  </si>
  <si>
    <t>19:00</t>
  </si>
  <si>
    <t>https://drive.google.com/open?id=1y4Xbnlv0r_OKoTaqymfeCymD9_qwWcSz</t>
  </si>
  <si>
    <t>Phanasan patk village</t>
  </si>
  <si>
    <t>+9998004580</t>
  </si>
  <si>
    <t>https://drive.google.com/open?id=1ARwiDo_4YK6SPFh_MzFVAlKujKAidNaU</t>
  </si>
  <si>
    <t>+7 916 778-85-98</t>
  </si>
  <si>
    <t xml:space="preserve">Eastbangtaoville </t>
  </si>
  <si>
    <t>https://drive.google.com/open?id=1b50jdYl71slQcplKzbLu_rtvg3xlJaLo</t>
  </si>
  <si>
    <t>Cassia hotel</t>
  </si>
  <si>
    <t>+6281246196200</t>
  </si>
  <si>
    <t xml:space="preserve">Namad bangtao </t>
  </si>
  <si>
    <t>Namad bangtao</t>
  </si>
  <si>
    <t>10:00</t>
  </si>
  <si>
    <t>https://drive.google.com/open?id=1FFfSCROEYA5A6Q1Zn0OefO9TnwK7SNVY</t>
  </si>
  <si>
    <t>MT-03 300СС RED</t>
  </si>
  <si>
    <t>12:00</t>
  </si>
  <si>
    <t>https://drive.google.com/open?id=1o_i3XDxPbQUhfSVPdBOoKJmEvFql1g3T</t>
  </si>
  <si>
    <t>Res</t>
  </si>
  <si>
    <t>Try</t>
  </si>
  <si>
    <t>Kamala Office</t>
  </si>
  <si>
    <t>■■■■</t>
  </si>
  <si>
    <t>ret</t>
  </si>
  <si>
    <t>hom</t>
  </si>
  <si>
    <t>■■■■■■</t>
  </si>
  <si>
    <t>good</t>
  </si>
  <si>
    <t>https://drive.google.com/open?id=1IlArLl7ZqWpRhZi9Oh2m6gOyX6bQkY9t</t>
  </si>
  <si>
    <t>tetris</t>
  </si>
  <si>
    <t>farm</t>
  </si>
  <si>
    <t>088888</t>
  </si>
  <si>
    <t>■■■</t>
  </si>
  <si>
    <t>https://drive.google.com/open?id=1exkwH59kKGzZeeWPRiCJM7QQqq-YNjw8</t>
  </si>
  <si>
    <t>@kotyaanya</t>
  </si>
  <si>
    <t>10 Patak Rd</t>
  </si>
  <si>
    <t>0613161858</t>
  </si>
  <si>
    <t>0613274258</t>
  </si>
  <si>
    <t>https://drive.google.com/open?id=1DifImxwl4jflybT2KoHGqlCgD0oEwH97</t>
  </si>
  <si>
    <t>https://drive.google.com/open?id=1KFU8XoNpyiXZQJdXrYwc4UoAao2yMlDe</t>
  </si>
  <si>
    <t>https://drive.google.com/open?id=1nfe1owxUEX9wqIBeKFaL65akxzM3fw96</t>
  </si>
  <si>
    <t>https://drive.google.com/open?id=1y97oXnF0r_lSxj5rfx0UCR9zZ5SYAI0N</t>
  </si>
  <si>
    <t>https://drive.google.com/open?id=1A3NYpvAPUO5MUssC4b0Ca2Co2sWhFjv4</t>
  </si>
  <si>
    <t>https://drive.google.com/open?id=1oBxq2kMguSMxcWQS1v-JOzWsP3puIcm5</t>
  </si>
  <si>
    <t>пппп</t>
  </si>
  <si>
    <t>https://drive.google.com/open?id=102Cl7lf32k5yMY2C68EDUHKMrNizSXKi</t>
  </si>
  <si>
    <t>Tha Ruea Residence</t>
  </si>
  <si>
    <t>+31 6 11347290</t>
  </si>
  <si>
    <t>https://drive.google.com/open?id=1PgXgafzYHldYfaXqC3qvDz7neG__GgHh</t>
  </si>
  <si>
    <t>@Alex_Fitpike</t>
  </si>
  <si>
    <t>Thavorn Beach Village Resort 5*, PHUKET-KAMALA</t>
  </si>
  <si>
    <t>+79684296633</t>
  </si>
  <si>
    <t>+79688655777</t>
  </si>
  <si>
    <t>09:00</t>
  </si>
  <si>
    <t>https://drive.google.com/open?id=1spg6r88YFpCJSs8spJoTDVvUqGNabwaF</t>
  </si>
  <si>
    <t xml:space="preserve">Akra Collection Layan  Villa 6 </t>
  </si>
  <si>
    <t>+66642653188</t>
  </si>
  <si>
    <t>+7 913 007-09-09</t>
  </si>
  <si>
    <t>15000р</t>
  </si>
  <si>
    <t>https://drive.google.com/open?id=1Zb7QNG21zews3RkS04pvjOUjnf5qF4-e</t>
  </si>
  <si>
    <t>https://drive.google.com/open?id=1Rf7EJj0jDv9M75MpdVMSasnfj4DNcwy0</t>
  </si>
  <si>
    <t>66/26 Moo 7 Soi Chaofah 59</t>
  </si>
  <si>
    <t>https://drive.google.com/open?id=1z0Ev-9RkkCSW18KQ0jj3We5O-VuMwz6O</t>
  </si>
  <si>
    <t>https://drive.google.com/open?id=1U7tui3tLH5SPl6rgtJ59v36eJ9a8kKGj</t>
  </si>
  <si>
    <t>@westkanye</t>
  </si>
  <si>
    <t>Cassia</t>
  </si>
  <si>
    <t>XMAX300CC NEW BLACK PHUKET 8969</t>
  </si>
  <si>
    <t>https://drive.google.com/open?id=11bF7WIsS2zGeMKDi_LoQlDfBSjHRq0fa</t>
  </si>
  <si>
    <t>https://drive.google.com/open?id=18OvFf4U0yxUC4FPy5Krp3ATmE560umBx</t>
  </si>
  <si>
    <t>@AlexErmakovChef</t>
  </si>
  <si>
    <t>JW Marriott Phuket Resort &amp; SPA 5</t>
  </si>
  <si>
    <t xml:space="preserve">   +7 910 403-25-81</t>
  </si>
  <si>
    <t>https://drive.google.com/open?id=1wQEWg5o67ws4dXfARyw5LiMzTHE8lxeU</t>
  </si>
  <si>
    <t>■■</t>
  </si>
  <si>
    <t>https://drive.google.com/open?id=1A0DmidR0DbfMRT6QdEJswNEZdL0NMyn8</t>
  </si>
  <si>
    <t>+7 916 590-41-86</t>
  </si>
  <si>
    <t>Ocean Palms Villa Bang Tao Phuket</t>
  </si>
  <si>
    <t>11:00</t>
  </si>
  <si>
    <t>https://drive.google.com/open?id=1YnZOjfKj4zx7nSl5dk_P5O3qCBESpE5q</t>
  </si>
  <si>
    <t>https://drive.google.com/open?id=11VDZze5dboUlR6EYffoPm550GDsbs0dc</t>
  </si>
  <si>
    <t>@valpostnov</t>
  </si>
  <si>
    <t>Saturdays Residence by Brown Starling</t>
  </si>
  <si>
    <t>+79955051717</t>
  </si>
  <si>
    <t>13:00</t>
  </si>
  <si>
    <t>https://drive.google.com/open?id=1Ox57E79d5LwHCjYtM-BrqvLVr61hcwTM</t>
  </si>
  <si>
    <t>+7 921 910-26-62</t>
  </si>
  <si>
    <t>Le meridian</t>
  </si>
  <si>
    <t>https://drive.google.com/open?id=1HZmRYL_7d5TCkC0568JzTF1p1GfYlEvB</t>
  </si>
  <si>
    <t>+7 929 224-46-66</t>
  </si>
  <si>
    <t>Laguna Villa Residence 8, Gate D</t>
  </si>
  <si>
    <t>https://drive.google.com/open?id=1fHDrVRrpEWcFg6sKP1WT83zmbmobprL_</t>
  </si>
  <si>
    <t>+7 903 969-03-30</t>
  </si>
  <si>
    <t>angsana villas</t>
  </si>
  <si>
    <t>3 шлема уточнить каких кофр. И оплачено досиавка и аренда. Не оплачен депозит Пацанам 12 лет. Один взрослый два детских. Это пацанам, не дочкам.</t>
  </si>
  <si>
    <t>https://drive.google.com/open?id=1arPJKom2MAP8So27cCKYuYAjannRH_51</t>
  </si>
  <si>
    <t>Eduadr Filbger</t>
  </si>
  <si>
    <t>Mida surin</t>
  </si>
  <si>
    <t>Неоплачено</t>
  </si>
  <si>
    <t>https://drive.google.com/open?id=1lEkPL9OLLtz_BsCkeDSkF4H-D8xeCP30</t>
  </si>
  <si>
    <t>Aristo 2</t>
  </si>
  <si>
    <t>https://drive.google.com/open?id=1JGuYboGzd5fZFEqgNOxeDpENeTPqMAHQ</t>
  </si>
  <si>
    <t>@Krocko1</t>
  </si>
  <si>
    <t>Andakira Hotel</t>
  </si>
  <si>
    <t>Оплачена аренда,  но не оплачена доставкк290 и депозит 5000</t>
  </si>
  <si>
    <t>https://drive.google.com/open?id=1vp8dE0hlSDfC6h3dleFcSmEwRcQlbv7Y</t>
  </si>
  <si>
    <t>Оплачена аренда, но не оплачена доставка и депозит 3000</t>
  </si>
  <si>
    <t>https://drive.google.com/open?id=1Rm29iYgohzV8WKdAQtyGscMBJsbzYZP7</t>
  </si>
  <si>
    <t>Hotel ikon phuket</t>
  </si>
  <si>
    <t>Ничего не оплачено. От Лео</t>
  </si>
  <si>
    <t>https://drive.google.com/open?id=15EBDWr63G1TOU7zVOS1spAJdoUHcMwFS</t>
  </si>
  <si>
    <t xml:space="preserve">Le meridian </t>
  </si>
  <si>
    <t>‪+7 921 910‑26‑62‬</t>
  </si>
  <si>
    <t>https://drive.google.com/open?id=1SRogFkZBKMcsW850WY26XXH2GuGHdba_</t>
  </si>
  <si>
    <t>Pacific Club Resort - Sha Extra Plus 4</t>
  </si>
  <si>
    <t>10/24/0024</t>
  </si>
  <si>
    <t>https://drive.google.com/open?id=1RfDrIFEQ6b23E4o0vBIFCP7PaoGc6_ZH</t>
  </si>
  <si>
    <t>Laemsingh Villa 1 60/7 Moo 3 T. Cherngtalay, A. Thalang</t>
  </si>
  <si>
    <t>https://drive.google.com/open?id=1d0QxxUYPxfpMarPLx_xl-eI5ngn_N60M</t>
  </si>
  <si>
    <t>@MihalevEV</t>
  </si>
  <si>
    <t>https://drive.google.com/open?id=1gfZuq9Bvc_J4_G6tQJN7nALIso7-dY_J</t>
  </si>
  <si>
    <t xml:space="preserve">Pacific Club Resort </t>
  </si>
  <si>
    <t xml:space="preserve">Pacific Club Resort - Sha Extra Plus </t>
  </si>
  <si>
    <t>https://drive.google.com/open?id=1ZA9AmCrip5rtJrgdrTsREfFO_eITD8wE</t>
  </si>
  <si>
    <t>https://drive.google.com/open?id=1ZelYG0X8xl4t0rgWDFbRoF5fxvebOUBY</t>
  </si>
  <si>
    <t>Pacific Club Resort - Sha Extra Plus 4*</t>
  </si>
  <si>
    <t>https://drive.google.com/open?id=1hDi_F582eLhlZukNijBm44JSZ0-azQgS</t>
  </si>
  <si>
    <t>The kiri villas</t>
  </si>
  <si>
    <t>+34699657314</t>
  </si>
  <si>
    <t>PCX 150CC 150 GREY PHUKET 778</t>
  </si>
  <si>
    <t>https://drive.google.com/open?id=1G2LJwI5diRFq5wHZnHGt7fFVVfTSCaUq</t>
  </si>
  <si>
    <t>Le Meridien</t>
  </si>
  <si>
    <t>‪+7 925 377‑79‑98‬</t>
  </si>
  <si>
    <t>https://drive.google.com/open?id=1ghNDlsArncBAltLjHqUWKDj6YVILYPxs</t>
  </si>
  <si>
    <t>‪+7 902 924‑97‑98‬</t>
  </si>
  <si>
    <t>https://drive.google.com/open?id=1eDnx3lF9-oSsUVI6jYuoK8mTKo9w56ZA</t>
  </si>
  <si>
    <t>valerismirnov25</t>
  </si>
  <si>
    <t>6th Avenue Surin Beach</t>
  </si>
  <si>
    <t>+37256949052</t>
  </si>
  <si>
    <t>https://drive.google.com/open?id=1rx_beS7RDCQWGzsNfeTO9tZs8Ug86BKz</t>
  </si>
  <si>
    <t>Laem sign</t>
  </si>
  <si>
    <t>Laemsingh Villa 1</t>
  </si>
  <si>
    <t>https://drive.google.com/open?id=19uRVSc3RfI312Z1NsrZ-gfXGxttQNK0a</t>
  </si>
  <si>
    <t>@Bezbatchenko</t>
  </si>
  <si>
    <t>Nouveau Guesthouse</t>
  </si>
  <si>
    <t>08:00</t>
  </si>
  <si>
    <t>https://drive.google.com/open?id=1fQd8tAr1uOdt8BLTHJ5PQ-muWIA99tGX</t>
  </si>
  <si>
    <t>https://drive.google.com/open?id=1zbn_NWH-glFBkaaorhj3MLr9JccDc834</t>
  </si>
  <si>
    <t>@vetmc</t>
  </si>
  <si>
    <t>Lagreen 617</t>
  </si>
  <si>
    <t>+66950418529</t>
  </si>
  <si>
    <t>https://drive.google.com/open?id=1c8bYgZ8WqQsYHWSyzz4FGScLmGRGG34b</t>
  </si>
  <si>
    <t>@nestea111</t>
  </si>
  <si>
    <t>Cassia Residences Laguna Phuket</t>
  </si>
  <si>
    <t>+79150773173</t>
  </si>
  <si>
    <t>https://drive.google.com/open?id=1KLfLSi4Av3-uPctDWPDkdwx-t1Jgn0Le</t>
  </si>
  <si>
    <t xml:space="preserve"> Laguna Villa Residence 8, Gate D</t>
  </si>
  <si>
    <t>XMAX 300СС RED GLOSS BKK 5709</t>
  </si>
  <si>
    <t>https://drive.google.com/open?id=18_X8yJ2nI3vYHlq9r7JXgxGqe52wBFva</t>
  </si>
  <si>
    <t>@psihogym</t>
  </si>
  <si>
    <t>B6 Wallaya Villas Harmony</t>
  </si>
  <si>
    <t>+66802766700</t>
  </si>
  <si>
    <t>https://drive.google.com/open?id=1K-v3ftU1VU0V9UZmPmy9n3N4-ZX6TrFg</t>
  </si>
  <si>
    <t>@tankograin</t>
  </si>
  <si>
    <t>Ang Pao hotel</t>
  </si>
  <si>
    <t>+6697332359</t>
  </si>
  <si>
    <t>+66 96-561-5802</t>
  </si>
  <si>
    <t>https://drive.google.com/open?id=18YyJ7Vqdt3DN35xr1XKSpcp3wCUq9Jc0</t>
  </si>
  <si>
    <t>andreagiudice1525@gmail.com</t>
  </si>
  <si>
    <t>+393490532268</t>
  </si>
  <si>
    <t>https://drive.google.com/open?id=1mNW48brCPfqiAXa9RAORuXjlGdzQ9D2N</t>
  </si>
  <si>
    <t>Banyan Tree</t>
  </si>
  <si>
    <t>+79257620404</t>
  </si>
  <si>
    <t>https://drive.google.com/open?id=1w3lgVAU6n6LE6M2dZtccoV9f75o3jXtg</t>
  </si>
  <si>
    <t xml:space="preserve">NaMara the Residences </t>
  </si>
  <si>
    <t>+4915237334462</t>
  </si>
  <si>
    <t>https://drive.google.com/open?id=1d2rUYlp2GEwgl2gH-iJO1Zt1Jf3exbSV</t>
  </si>
  <si>
    <t>Airport Resort Phuket</t>
  </si>
  <si>
    <t>‪+7 903 955‑77‑86‬</t>
  </si>
  <si>
    <t>https://drive.google.com/open?id=1jPhS03R6hbnAKYxSec5U659lWQ381-2G</t>
  </si>
  <si>
    <t>+39 349 053 2268</t>
  </si>
  <si>
    <t>icon kamala</t>
  </si>
  <si>
    <t>https://drive.google.com/open?id=1BS0uutCxuRvZ3O-E0I-YEqlzvEHhIPMp</t>
  </si>
  <si>
    <t>@shuionn</t>
  </si>
  <si>
    <t>+65 81890183</t>
  </si>
  <si>
    <t xml:space="preserve">airport </t>
  </si>
  <si>
    <t>https://drive.google.com/open?id=1loBvrjHlY0FnpH5nRKAMbjyjqe0HfoSW</t>
  </si>
  <si>
    <t>@kayyanen</t>
  </si>
  <si>
    <t>The Nature Phuket</t>
  </si>
  <si>
    <t>https://drive.google.com/open?id=148UIhQrtm3zFhbuLxMVmQD5GC1kqZGXs</t>
  </si>
  <si>
    <t>Modern life</t>
  </si>
  <si>
    <t>‪+66 94 758 0781‬</t>
  </si>
  <si>
    <t>https://drive.google.com/open?id=1x_rMGyTiOcgZkAMAgxRkRBm-cablpi-t</t>
  </si>
  <si>
    <t>https://drive.google.com/open?id=1Z2lFJM2cCCWiK1_tWDF3DB6zmTADol1U</t>
  </si>
  <si>
    <t>+66 94 758 0781</t>
  </si>
  <si>
    <t>https://drive.google.com/open?id=1LKudmCv7Az0DkukEbCltkYcsBo3Rs2UR</t>
  </si>
  <si>
    <t>Splash Beach Resort</t>
  </si>
  <si>
    <t>https://drive.google.com/open?id=1sq5C5F9Xg2NWIW2suhs1U25VwFDQASax</t>
  </si>
  <si>
    <t>@Gentleman777_999</t>
  </si>
  <si>
    <t>Cocoon Apk Resort &amp; Spa 3*</t>
  </si>
  <si>
    <t>https://drive.google.com/open?id=1b-PbrnWgNZ7T9c9rWQAzNar8OFLcsM_x</t>
  </si>
  <si>
    <t>+7 951 568 8666</t>
  </si>
  <si>
    <t>https://drive.google.com/open?id=1VDJr0jSNeU2l3rCz0BWOZu8stpHdhJ17</t>
  </si>
  <si>
    <t>Maimorn Resort Phuket</t>
  </si>
  <si>
    <t>https://drive.google.com/open?id=1ZCCddnukSrPR1fuLwZv0ts-Yyo47gdCx</t>
  </si>
  <si>
    <t>+33 6 10 48 10 60</t>
  </si>
  <si>
    <t>99 Kamala Soi 8, Tambon Kamala</t>
  </si>
  <si>
    <t>https://drive.google.com/open?id=1nhOGjnppeJkh4HgrWhrk338_jTWSQB4Z</t>
  </si>
  <si>
    <t>@Valeriy_VSh</t>
  </si>
  <si>
    <t>Villa Versace Residence N9</t>
  </si>
  <si>
    <t>0934433051</t>
  </si>
  <si>
    <t>https://drive.google.com/open?id=1wMLKDrAZCT8YN1wyx_oVz7bue8Sm_OQW</t>
  </si>
  <si>
    <t>@jamesfranko96</t>
  </si>
  <si>
    <t xml:space="preserve">Pavilions villa villa 2 </t>
  </si>
  <si>
    <t>+79858838363</t>
  </si>
  <si>
    <t>https://drive.google.com/open?id=14d4d3tk2uu4YQFH8jL0F8U2DyOkZZc5t</t>
  </si>
  <si>
    <t>Pavilions Villa Villa 2</t>
  </si>
  <si>
    <t>https://drive.google.com/open?id=1TLB8B49CCiii2AEiVYDFVCuCMp4Sl5-U</t>
  </si>
  <si>
    <t>@k1m_a1</t>
  </si>
  <si>
    <t>Naihar Beach Condominium</t>
  </si>
  <si>
    <t>https://drive.google.com/open?id=1X1Kdjb_U6Z-DLqSNPvT0zHZasSp8ciwh</t>
  </si>
  <si>
    <t>Natural resort patong</t>
  </si>
  <si>
    <t>https://drive.google.com/open?id=1xNw-yKtEg3Xo-ectiVmbb2htwwyXq0M8</t>
  </si>
  <si>
    <t>+4917655211983</t>
  </si>
  <si>
    <t>21:00</t>
  </si>
  <si>
    <t>https://drive.google.com/open?id=1wQBYyL8cu78IoLm-FglK1aXfRI_af4CM</t>
  </si>
  <si>
    <t>Tittle residents naiang</t>
  </si>
  <si>
    <t>https://drive.google.com/open?id=1BlErPmaZAgQVY-xANCgBq-AaAAIz9Je6</t>
  </si>
  <si>
    <t xml:space="preserve">The Marin Phuket </t>
  </si>
  <si>
    <t>+7 904 511-31-50</t>
  </si>
  <si>
    <t xml:space="preserve">the marine </t>
  </si>
  <si>
    <t>the marine</t>
  </si>
  <si>
    <t>https://drive.google.com/open?id=1KVHJbW3D4qGXzGzqOaVoiSwmoGIEtK1M</t>
  </si>
  <si>
    <t>@sun9631</t>
  </si>
  <si>
    <t>Zcape Condotel</t>
  </si>
  <si>
    <t>https://drive.google.com/open?id=1szr2dihCtdagqzaH7k6-YT27kV8dOaP0</t>
  </si>
  <si>
    <t>@viktorov17</t>
  </si>
  <si>
    <t xml:space="preserve">Relife apartments </t>
  </si>
  <si>
    <t>+66962680109</t>
  </si>
  <si>
    <t>https://drive.google.com/open?id=1K-TVvWAIpP3-PSEIPl9dtWAiN9p7GOG7</t>
  </si>
  <si>
    <t>https://drive.google.com/open?id=1y1V0Mvo1RteLxXYvaLGLfMiOBt67vhgi</t>
  </si>
  <si>
    <t>+7 967 365 1202</t>
  </si>
  <si>
    <t>Hill View Central</t>
  </si>
  <si>
    <t>+7 (958) 620-70-02</t>
  </si>
  <si>
    <t>https://drive.google.com/open?id=1j1Yj9zzvsRczeqntzOhNvf4xfvqPtE4H</t>
  </si>
  <si>
    <t>@Ivanlimarev</t>
  </si>
  <si>
    <t>Villa Lang-Amara</t>
  </si>
  <si>
    <t>https://drive.google.com/open?id=1VN7Ilc8jF-5ISGiM0w41ZtJAYVIFomIx</t>
  </si>
  <si>
    <t>https://drive.google.com/open?id=1gTF1yC9NhmExG0s08vKjtSLhjs2vbOle</t>
  </si>
  <si>
    <t>Villa Lang -Amara</t>
  </si>
  <si>
    <t>https://drive.google.com/open?id=1G4UlPypam1h5qhZhxBPOv09_XuE4UKJ_</t>
  </si>
  <si>
    <t>https://drive.google.com/open?id=1JXWy2JQNrAkkBE_HrFzKlJdBFdfLyYVO</t>
  </si>
  <si>
    <t>@Rammmazzz</t>
  </si>
  <si>
    <t>Par Phuket</t>
  </si>
  <si>
    <t>https://drive.google.com/open?id=1YRP1aslF--Vl2q90z6UxhVjHKfb5okxN</t>
  </si>
  <si>
    <t xml:space="preserve">Mida Grande Resort Phuket </t>
  </si>
  <si>
    <t>+79991332919</t>
  </si>
  <si>
    <t>https://drive.google.com/open?id=1gvIplrn-a3NFB6T1MPqW8DoFxac0ePvT</t>
  </si>
  <si>
    <t>Chanali garden resort</t>
  </si>
  <si>
    <t>0963218105</t>
  </si>
  <si>
    <t>https://drive.google.com/open?id=1iDhf5Fedk2xkHL91ldO95fbgObHwCoZ0</t>
  </si>
  <si>
    <t>@Alexpiterhh</t>
  </si>
  <si>
    <t xml:space="preserve">Sky park </t>
  </si>
  <si>
    <t>+491624180000</t>
  </si>
  <si>
    <t>Sky Park</t>
  </si>
  <si>
    <t>https://drive.google.com/open?id=1CKhlOkhW-DuODFjUd-A4Ad1gcaZDTkW0</t>
  </si>
  <si>
    <t>@lookincrm</t>
  </si>
  <si>
    <t>Diamond resort Phuket</t>
  </si>
  <si>
    <t>+79257771100</t>
  </si>
  <si>
    <t>https://drive.google.com/open?id=1Ti5s5QHApU7C91cVC4KBe4Hhdf8mG5NA</t>
  </si>
  <si>
    <t>@tsaturov</t>
  </si>
  <si>
    <t>The Pavilions Hotel</t>
  </si>
  <si>
    <t>+79857778923</t>
  </si>
  <si>
    <t>https://drive.google.com/open?id=1sKd_gfMCvCQ3x90hbhKCEQENhfQ8mKTq</t>
  </si>
  <si>
    <t>@davidIouis</t>
  </si>
  <si>
    <t>Nid’s Rawai House</t>
  </si>
  <si>
    <t>+380737771619</t>
  </si>
  <si>
    <t>https://drive.google.com/open?id=12NuDEsGQKHIfM21jbLln77WHJQeK_iRU</t>
  </si>
  <si>
    <t>https://drive.google.com/open?id=1rokMm96BPYhe9HazG-nmPMZQL1GU9Dgw</t>
  </si>
  <si>
    <t>Andaman Seaview Hotel</t>
  </si>
  <si>
    <t>+79614393005</t>
  </si>
  <si>
    <t>https://drive.google.com/open?id=1pUx8qiwYTfajtdeODi3rHawzX3kgxES_</t>
  </si>
  <si>
    <t>@stas5732</t>
  </si>
  <si>
    <t>andaman cannacia resort</t>
  </si>
  <si>
    <t>+79645208012</t>
  </si>
  <si>
    <t>https://drive.google.com/open?id=1B04_m63_95K1Y2SHlz4D5LObBsjgcGzn</t>
  </si>
  <si>
    <t>@Gelocheck</t>
  </si>
  <si>
    <t>Mida Grande Resort Phuket</t>
  </si>
  <si>
    <t>+79115134549</t>
  </si>
  <si>
    <t>https://drive.google.com/open?id=1imznow5J7lKupn5IXrXALZJyaX78POEt</t>
  </si>
  <si>
    <t>+79255409307</t>
  </si>
  <si>
    <t>https://drive.google.com/open?id=12kty3nMFwrsQwB52Yw3LXdsz2Msw9M9c</t>
  </si>
  <si>
    <t>Be Live Residence</t>
  </si>
  <si>
    <t>+79175254156</t>
  </si>
  <si>
    <t>+79167779501</t>
  </si>
  <si>
    <t>https://drive.google.com/open?id=1wHkyVnXJrXZk-eTlrPhYA4kTJzkXFV7d</t>
  </si>
  <si>
    <t>@sasch7777</t>
  </si>
  <si>
    <t>Plus Condominium 2</t>
  </si>
  <si>
    <t>https://drive.google.com/open?id=1E7M_gZavWHDyLgqi76nYXBBvlpxQDavH</t>
  </si>
  <si>
    <t>@AGerbin</t>
  </si>
  <si>
    <t xml:space="preserve">The Great Patong Hotel </t>
  </si>
  <si>
    <t>+7-925-867-38-52</t>
  </si>
  <si>
    <t>+7-977-881-61-72</t>
  </si>
  <si>
    <t>The Great Patong Hotel</t>
  </si>
  <si>
    <t>https://drive.google.com/open?id=1mSI9ulEXd3pIqg7hEq4cLHwuasxlcYz2</t>
  </si>
  <si>
    <t>veloche group</t>
  </si>
  <si>
    <t>+79241593334</t>
  </si>
  <si>
    <t>https://drive.google.com/open?id=1UKfbj5Kb_HqjByO-i-PXm1ZU-uyjgDJu</t>
  </si>
  <si>
    <t>https://drive.google.com/open?id=1LaGwPzi5-D-lm8AOFYED1qyhgbt6Hjbt</t>
  </si>
  <si>
    <t>angsana beachfront residences</t>
  </si>
  <si>
    <t>https://drive.google.com/open?id=15dxGjzZcB9r8VP9klm8CYlZI2PgaF6Wm</t>
  </si>
  <si>
    <t xml:space="preserve"> Patong Voyage Place</t>
  </si>
  <si>
    <t>+79086437873</t>
  </si>
  <si>
    <t>+79148854401</t>
  </si>
  <si>
    <t>Patong Voyage Place</t>
  </si>
  <si>
    <t>https://drive.google.com/open?id=1iKxOsB0zyH0BqHyExsjdS_egL9CvFOuR</t>
  </si>
  <si>
    <t>@Torchez420</t>
  </si>
  <si>
    <t>https://drive.google.com/open?id=1fGvST32DsvYwL3Lp5zg1nElSM05hQcMF</t>
  </si>
  <si>
    <t>@blakcate0989</t>
  </si>
  <si>
    <t>The Aristo Resort</t>
  </si>
  <si>
    <t>https://drive.google.com/open?id=1ZT6U08CgNqVuO8F6qwneDIN3ytygYZiP</t>
  </si>
  <si>
    <t>@osadrum</t>
  </si>
  <si>
    <t>Slumber party hostel</t>
  </si>
  <si>
    <t>https://drive.google.com/open?id=1e29dBZS0Pjjxxa9thjirs050HfCMpKEM</t>
  </si>
  <si>
    <t>@s_gry</t>
  </si>
  <si>
    <t>+79220437788</t>
  </si>
  <si>
    <t>https://drive.google.com/open?id=1DmL6rmGlmvZNcVdrn3Cznt1nErKev-oU</t>
  </si>
  <si>
    <t>@ahmdnss</t>
  </si>
  <si>
    <t>Twinpalms bangtao tented resort</t>
  </si>
  <si>
    <t>+373 787 84 309</t>
  </si>
  <si>
    <t>https://drive.google.com/open?id=1x4kfevZ9vmvhMmmT_wiXgF0QMBfW5bgC</t>
  </si>
  <si>
    <t>oliverkellyproductions@gmail.com</t>
  </si>
  <si>
    <t>+65 9004 4139</t>
  </si>
  <si>
    <t>https://drive.google.com/open?id=1v56Bu2uebrgiRC63FN5dDEnakfGkMVhc</t>
  </si>
  <si>
    <t>Naiharn Beach Condo</t>
  </si>
  <si>
    <t>https://drive.google.com/open?id=1YVycnTGcMmnp1kd22tdSxosbXDAb4o2h</t>
  </si>
  <si>
    <t>Movenpick Myth</t>
  </si>
  <si>
    <t>+79959969933</t>
  </si>
  <si>
    <t xml:space="preserve">Angasana Laguna </t>
  </si>
  <si>
    <t>https://drive.google.com/open?id=1-mNpD711a3npDwv1DOnCKvKQTeJUFyDt</t>
  </si>
  <si>
    <t>Sugar Palm Grand</t>
  </si>
  <si>
    <t>+7 909 663-59-73</t>
  </si>
  <si>
    <t>https://drive.google.com/open?id=1Cawbr0GWWBd59JJ2Z3WQ7ZQL6HcceXjw</t>
  </si>
  <si>
    <t>The Thara Villa Surin Beach</t>
  </si>
  <si>
    <t>+375 44 558 7004</t>
  </si>
  <si>
    <t>https://drive.google.com/open?id=1jJOY1UfgPbV2F9NRHh6L7n1veLc63qzy</t>
  </si>
  <si>
    <t>https://drive.google.com/open?id=1zrPDI5yIR3-jlsaxti9qBTMYVsW_QeiL</t>
  </si>
  <si>
    <t>https://drive.google.com/open?id=1fDHqKsTxT9lidJXgZu8vU12BshL_5XAx</t>
  </si>
  <si>
    <t>@Rad_1982</t>
  </si>
  <si>
    <t>Pamookkoo Resort</t>
  </si>
  <si>
    <t>https://drive.google.com/open?id=14CzIOxy7KgN-vDSKrgiGb0jBECxrt0HC</t>
  </si>
  <si>
    <t xml:space="preserve"> Passorn Kathu</t>
  </si>
  <si>
    <t xml:space="preserve">66 6-2747-0038 </t>
  </si>
  <si>
    <t>https://drive.google.com/open?id=19bussw3kJ3haazNlnti-NYQBMj78mh5N</t>
  </si>
  <si>
    <t>+7 913 941-45-50 whats</t>
  </si>
  <si>
    <t>Baan.mai khao</t>
  </si>
  <si>
    <t>500$</t>
  </si>
  <si>
    <t>https://drive.google.com/open?id=1QEZCNQ9Q1v0N3DCGJpFZ49qbpDoXj8-J</t>
  </si>
  <si>
    <t>@Sgk_gk</t>
  </si>
  <si>
    <t>https://drive.google.com/open?id=1Hua2t7gtfHVOQnEx5EhuuQOH6NHiz1XP</t>
  </si>
  <si>
    <t>Kata Sea Breeze Resort</t>
  </si>
  <si>
    <t>+79630272353</t>
  </si>
  <si>
    <t>https://drive.google.com/open?id=1yN-C1zIeqFFf76aioKjhv1b4B0nLj90M</t>
  </si>
  <si>
    <t>@ilya_km</t>
  </si>
  <si>
    <t>Z&amp;Z House</t>
  </si>
  <si>
    <t>+66842712078</t>
  </si>
  <si>
    <t>https://drive.google.com/open?id=1x0J-OA6Ve8bXJZWSBiUDQj5ulPN3gXmY</t>
  </si>
  <si>
    <t>@likeblood</t>
  </si>
  <si>
    <t>Cosmic Temple Vibes HQ</t>
  </si>
  <si>
    <t>0840751979</t>
  </si>
  <si>
    <t>https://drive.google.com/open?id=168d33glezxe4q20fgUWZU-LaZuXsLlML</t>
  </si>
  <si>
    <t>@ainur_thf</t>
  </si>
  <si>
    <t>Ban Ao Makham Health Care Center</t>
  </si>
  <si>
    <t>+79047649611</t>
  </si>
  <si>
    <t>https://drive.google.com/open?id=1eKDJP0dqdUu4SeL3ZAYDG3895eSO8P4O</t>
  </si>
  <si>
    <t>@mirzorakhmatov_m</t>
  </si>
  <si>
    <t>The aim Patong hotel 608</t>
  </si>
  <si>
    <t>+79823686659</t>
  </si>
  <si>
    <t>https://drive.google.com/open?id=1o1qxkMXKnunE2jg2HOOJnsC0wMgBjJi1</t>
  </si>
  <si>
    <t>@the_emms</t>
  </si>
  <si>
    <t xml:space="preserve">The blue pearl kata </t>
  </si>
  <si>
    <t>+79273366692</t>
  </si>
  <si>
    <t>+79037406603</t>
  </si>
  <si>
    <t>https://drive.google.com/open?id=12WJomhIaXBGQnvLggsBT71ONajEQb8zR</t>
  </si>
  <si>
    <t>@alekseypi</t>
  </si>
  <si>
    <t>Kata Sea Breeze resort</t>
  </si>
  <si>
    <t>+79644458485</t>
  </si>
  <si>
    <t>https://drive.google.com/open?id=1it2kJy-hRElpoSvHQH8czZvXT5_4HpJ-</t>
  </si>
  <si>
    <t>@askmai</t>
  </si>
  <si>
    <t>Holiday Inn Resort Phuket Karon Beach</t>
  </si>
  <si>
    <t>https://drive.google.com/open?id=1q3qVYSayGbhcyJukEMOpEVhr0G6939ib</t>
  </si>
  <si>
    <t>@mind_bloowing</t>
  </si>
  <si>
    <t>The Nai Harn</t>
  </si>
  <si>
    <t>https://drive.google.com/open?id=1eTLisX99RUWaSrZ1_kvS9X995oF5dV_r</t>
  </si>
  <si>
    <t>@ket36rin</t>
  </si>
  <si>
    <t>The natural resort</t>
  </si>
  <si>
    <t>https://drive.google.com/open?id=1AQXjCC4d7TLFNprtUZHXF1DQjAOKfoGr</t>
  </si>
  <si>
    <t>@latelier_bali</t>
  </si>
  <si>
    <t>PPhouse (Boutique House Kohkaew)</t>
  </si>
  <si>
    <t>+79653884427</t>
  </si>
  <si>
    <t>+6281237724099</t>
  </si>
  <si>
    <t>https://drive.google.com/open?id=1bbUlTkd3fR5PyrG312H59AHvxA2j2QDP</t>
  </si>
  <si>
    <t>The Charm Resort Phuket</t>
  </si>
  <si>
    <t>+185692560609</t>
  </si>
  <si>
    <t>https://drive.google.com/open?id=1FZjtf0e4uds6jFygQ7EezHubHefZR5sk</t>
  </si>
  <si>
    <t>https://drive.google.com/open?id=1uFmmlcw7k3hOGAkAsSrAJ5OegyZy42M2</t>
  </si>
  <si>
    <t>+972502722238</t>
  </si>
  <si>
    <t>Seeka hotel</t>
  </si>
  <si>
    <t>600 $</t>
  </si>
  <si>
    <t>https://drive.google.com/open?id=1VrGAX_krLK96x582y7sxZhsM-XWyEAbE</t>
  </si>
  <si>
    <t>https://drive.google.com/open?id=1pKJhj47wQcHA29Uy5xzmelHEr_t1oFiZ</t>
  </si>
  <si>
    <t xml:space="preserve">Metadee Resort &amp; Villas </t>
  </si>
  <si>
    <t>Metadee Resort &amp; Villas</t>
  </si>
  <si>
    <t>https://drive.google.com/open?id=17mv8y3N1Fr8rX1IcNxBukGJmeLCXjMOU</t>
  </si>
  <si>
    <t xml:space="preserve">Amora beach resort </t>
  </si>
  <si>
    <t>+79160787777</t>
  </si>
  <si>
    <t>https://drive.google.com/open?id=1N1o5TIFVtoEt2b097sqX8VmnCtOLqzmy</t>
  </si>
  <si>
    <t xml:space="preserve">The charm resort </t>
  </si>
  <si>
    <t>https://drive.google.com/open?id=1967D_cCas2yy-WMOo7D_JCBueTqZquJ0</t>
  </si>
  <si>
    <t>https://drive.google.com/open?id=1iuwpqKF6AiQHcX867Bd8p85vVYqJyqBF</t>
  </si>
  <si>
    <t>Pruksa Ville</t>
  </si>
  <si>
    <t>‪+48 723 351 191‬</t>
  </si>
  <si>
    <t>https://drive.google.com/open?id=1mMNqEbHMmMJ-0-8WXl47bN32MAw8x-jS</t>
  </si>
  <si>
    <t>Amora Beach Resort</t>
  </si>
  <si>
    <t>‪+7 916 078‑77‑77‬</t>
  </si>
  <si>
    <t>https://drive.google.com/open?id=15pmg3DVlgvvTVHO1jaKhjdjHXNmbS31j</t>
  </si>
  <si>
    <t>@tema_ultra</t>
  </si>
  <si>
    <t xml:space="preserve">La green hotel </t>
  </si>
  <si>
    <t>+380632090679</t>
  </si>
  <si>
    <t>https://drive.google.com/open?id=1O-kS8BnwghffxRKgYSWyjJy-TbMqShA4</t>
  </si>
  <si>
    <t>@romandil</t>
  </si>
  <si>
    <t>The surin</t>
  </si>
  <si>
    <t>+79259997099</t>
  </si>
  <si>
    <t>https://drive.google.com/open?id=12LVSb5DArYhFIJXwsOhtQz4ieGkDb3pt</t>
  </si>
  <si>
    <t>@ivanstukalin</t>
  </si>
  <si>
    <t xml:space="preserve">Rich Villas Palai  </t>
  </si>
  <si>
    <t>+660624805897</t>
  </si>
  <si>
    <t>+79251284243</t>
  </si>
  <si>
    <t>https://drive.google.com/open?id=1_fUhjoBI9Go9LGITRgag6jUUBpIVt7bg</t>
  </si>
  <si>
    <t>@borodin_info</t>
  </si>
  <si>
    <t>Novotel Phuket Vintage Park</t>
  </si>
  <si>
    <t>+7 982 215 1555</t>
  </si>
  <si>
    <t>https://drive.google.com/open?id=17PD_7PAjjaMgxEOuVigGXHb5D1VAcBav</t>
  </si>
  <si>
    <t>@vlmkrv</t>
  </si>
  <si>
    <t>WOW PHUKET</t>
  </si>
  <si>
    <t>+79602835803</t>
  </si>
  <si>
    <t>https://drive.google.com/open?id=1gfNzPhQ0o7aIhFfzSN6VFgRfp7Umx3Gc</t>
  </si>
  <si>
    <t>Hotel intercontinental</t>
  </si>
  <si>
    <t>https://drive.google.com/open?id=1btvJun1ozCxZu9PAfAxEQh_MtINclmWY</t>
  </si>
  <si>
    <t>Pullman karon beach room 355</t>
  </si>
  <si>
    <t>+79999859697</t>
  </si>
  <si>
    <t>https://drive.google.com/open?id=1TN_9oXnbR9jc1ZpUbPUs41eWn8tbBWQH</t>
  </si>
  <si>
    <t>@Romalesko</t>
  </si>
  <si>
    <t>Pamookkoo</t>
  </si>
  <si>
    <t>https://drive.google.com/open?id=1WWnNhebUZacb6IQhDBl2YIvduAZ5seWQ</t>
  </si>
  <si>
    <t>@april010203</t>
  </si>
  <si>
    <t xml:space="preserve">Jaranya Hotel Patong </t>
  </si>
  <si>
    <t>https://drive.google.com/open?id=11hwm5bVDtUki1WiO9TYbHhuIaE_ibfGc</t>
  </si>
  <si>
    <t>@d3rivative</t>
  </si>
  <si>
    <t>Peace Blue Naiharn Naturist Resort Phuket</t>
  </si>
  <si>
    <t>+79653805181</t>
  </si>
  <si>
    <t>https://drive.google.com/open?id=1TrbhZtxxdXnooW-H2xELFWat6tOtypJh</t>
  </si>
  <si>
    <t>@AlexKov12</t>
  </si>
  <si>
    <t>Soi happy home 76/130</t>
  </si>
  <si>
    <t>+7 983 322 5461</t>
  </si>
  <si>
    <t>W83M+7Q Kathu District</t>
  </si>
  <si>
    <t>https://drive.google.com/open?id=1tfX9QhC_TqINl4cdBBJBUr2cA6FqF-04</t>
  </si>
  <si>
    <t xml:space="preserve">Kamala resort </t>
  </si>
  <si>
    <t>https://drive.google.com/open?id=1is4UQNzQBNrnbNhdLoYQBLAp6h4m8BbH</t>
  </si>
  <si>
    <t>Thalang house 4/17</t>
  </si>
  <si>
    <t>‪+7 931 335‑16‑79‬</t>
  </si>
  <si>
    <t>https://drive.google.com/open?id=1G7bSsFoiIGKrUm9OjbQnHnXLOaiX72cs</t>
  </si>
  <si>
    <t>Poolrada boutique hotel</t>
  </si>
  <si>
    <t>0962123229</t>
  </si>
  <si>
    <t>https://drive.google.com/open?id=1XLBtJYtHiGD2FY8d6aTzFrHxA-XZxMw7</t>
  </si>
  <si>
    <t>@Shadikson</t>
  </si>
  <si>
    <t>+77019583395</t>
  </si>
  <si>
    <t>https://drive.google.com/open?id=11m-QIkdshn8ykywCtqrSWRNLi2ah0_m2</t>
  </si>
  <si>
    <t>2/34 regent villas</t>
  </si>
  <si>
    <t>https://drive.google.com/open?id=1yavfBNexDU8MN-oznUPWvn0zUNYKa_cq</t>
  </si>
  <si>
    <t>Uncle Toy Home</t>
  </si>
  <si>
    <t>‪+7 915 458‑53‑48‬</t>
  </si>
  <si>
    <t>https://drive.google.com/open?id=1Ub5E-t7NG9GLSXBY_NJL9df9jbe_D4OL</t>
  </si>
  <si>
    <t>https://drive.google.com/open?id=16dPcuwCqZ88_KJ_igiMiuT6tA2OuklTV</t>
  </si>
  <si>
    <t>The view Ramada resort and spa 4</t>
  </si>
  <si>
    <t>+7 (926) 277-11-98</t>
  </si>
  <si>
    <t>https://drive.google.com/open?id=107_-4N5Qe_TsdisWNvmKr2u4JdUdL9yc</t>
  </si>
  <si>
    <t>La Green Hotel and Residence</t>
  </si>
  <si>
    <t>+79196773899</t>
  </si>
  <si>
    <t>https://drive.google.com/open?id=13fQ2MFjL4EDG0rZIONaFA4sa4YrPvGEM</t>
  </si>
  <si>
    <t>@rzaeqn</t>
  </si>
  <si>
    <t xml:space="preserve">V72W+3GR </t>
  </si>
  <si>
    <t>https://drive.google.com/open?id=1DC8P33cKg9SRdFpkK84Jz_ziZIBq-LYp</t>
  </si>
  <si>
    <t>V72W+4G7</t>
  </si>
  <si>
    <t>https://drive.google.com/open?id=1ZthQpDbnSBNQvAMkrQIhAHYK0v5mpy5d</t>
  </si>
  <si>
    <t>@leva7u</t>
  </si>
  <si>
    <t>Villa momo</t>
  </si>
  <si>
    <t>https://drive.google.com/open?id=1E5m25aXY7rjFELNbVdrgnHJJJRVG9srT</t>
  </si>
  <si>
    <t>@beatboyua</t>
  </si>
  <si>
    <t>THE BASE Height Phuket</t>
  </si>
  <si>
    <t>+380632435446</t>
  </si>
  <si>
    <t>+380 (63) 528 40 11</t>
  </si>
  <si>
    <t>https://drive.google.com/open?id=1MBKJ-X-rMh9Ix8l0CiAIL08KeCDSYLjh</t>
  </si>
  <si>
    <t>@SL11leon</t>
  </si>
  <si>
    <t>Layan green park</t>
  </si>
  <si>
    <t>+66 81-074-7798</t>
  </si>
  <si>
    <t>https://drive.google.com/open?id=1RV3wEos05T1HitEsZQSY5vhMd7L4TK7u</t>
  </si>
  <si>
    <t>@ivanaleksandrovicha</t>
  </si>
  <si>
    <t>Pullman Phuket karon beach resort</t>
  </si>
  <si>
    <t>https://drive.google.com/open?id=1C__qySEu0uXy9VIxOGEQ5lKw8OOGfmkN</t>
  </si>
  <si>
    <t>@LamAll</t>
  </si>
  <si>
    <t>Citygate kamala</t>
  </si>
  <si>
    <t>+7 910 727 8612</t>
  </si>
  <si>
    <t>https://drive.google.com/open?id=1kTz0E2ZB6KpuHmr-2qabc4AtxE91UJKz</t>
  </si>
  <si>
    <t>@fansyl</t>
  </si>
  <si>
    <t>Phoenix Grand Hotel Patong</t>
  </si>
  <si>
    <t>+79036450413</t>
  </si>
  <si>
    <t>https://drive.google.com/open?id=1mJgXmOW1ArkkFtGh34zlcABbkiBcCV0F</t>
  </si>
  <si>
    <t>Marina Gallery Resort Kacha Kalim Bay 5</t>
  </si>
  <si>
    <t>https://drive.google.com/open?id=1Fa9Y2kwgtHa11pz7amp8mTtpQdHyf_lN</t>
  </si>
  <si>
    <t>@Irina_Ivch</t>
  </si>
  <si>
    <t xml:space="preserve">Rawai Grand House </t>
  </si>
  <si>
    <t>+66 80-428-3043</t>
  </si>
  <si>
    <t>https://drive.google.com/open?id=1785yCpa0BuRCTKDljDOvhA-wwhoY-k3-</t>
  </si>
  <si>
    <t>+66 64 815 9447</t>
  </si>
  <si>
    <t>Best western patong</t>
  </si>
  <si>
    <t>https://drive.google.com/open?id=1YmAAPQ-ZZXZf_JMvlD1e17bDiZxTRbXZ</t>
  </si>
  <si>
    <t>@kachubej</t>
  </si>
  <si>
    <t>Nanachartmansion</t>
  </si>
  <si>
    <t>+7 913 152 15 86</t>
  </si>
  <si>
    <t>https://drive.google.com/open?id=1VqH2V5V4xXLbs6rWOxiSbNpUUDFfFG-O</t>
  </si>
  <si>
    <t>‪+66 64 815 9447‬</t>
  </si>
  <si>
    <t>https://drive.google.com/open?id=1ZTg5i3qqAcivzUvB0lU3P_GO6BHjQtow</t>
  </si>
  <si>
    <t>https://drive.google.com/open?id=1J96QfeM8Mxjq_TRTYgpjEN3cloxHlXld</t>
  </si>
  <si>
    <t>https://drive.google.com/open?id=1lalVHu1LajqAcAQH0jeV1Y7W_vjeY0wU</t>
  </si>
  <si>
    <t>+91 98194 98870</t>
  </si>
  <si>
    <t>Oceania resort</t>
  </si>
  <si>
    <t>https://drive.google.com/open?id=1YroOQs5fuZNvmG1XVKOyGoPQPjbTk5mR</t>
  </si>
  <si>
    <t>https://drive.google.com/open?id=1p2aox62GLQ1fR_aHyMZFvqOr9gXrEfxx</t>
  </si>
  <si>
    <t>https://drive.google.com/open?id=1d9AqAvPWTUnK5oKUj9yaq3imsD9Dxjxh</t>
  </si>
  <si>
    <t>Best Western phuket</t>
  </si>
  <si>
    <t>https://drive.google.com/open?id=1nzRAOQmSgOJYj2aEjK0LBDajb3htpZdd</t>
  </si>
  <si>
    <t>+7 910 146-08-41</t>
  </si>
  <si>
    <t>Phant@Thalang Service Apartment</t>
  </si>
  <si>
    <t>https://drive.google.com/open?id=1-awNf2tj66PhNzhELJYUMVTtwiSW5rmK</t>
  </si>
  <si>
    <t>https://drive.google.com/open?id=1Q1ATfbB25v5jRYFQ0bvEv3So-L4QbT7H</t>
  </si>
  <si>
    <t>@RrR674</t>
  </si>
  <si>
    <t>+79369995171</t>
  </si>
  <si>
    <t>https://drive.google.com/open?id=1DXDcOHaqr_Oz4-nm9aLIsaU0XUy-xb7D</t>
  </si>
  <si>
    <t>Be live residence</t>
  </si>
  <si>
    <t>https://drive.google.com/open?id=1o9siarLxxNzP7cUNyc01ciGcvxSHBK2M</t>
  </si>
  <si>
    <t>Dara Hotel</t>
  </si>
  <si>
    <t>+7 977 523 8841</t>
  </si>
  <si>
    <t>https://drive.google.com/open?id=1xgZNRQ14amuDZFZLqlfVR87-GkwzdV06</t>
  </si>
  <si>
    <t>Chic condominium</t>
  </si>
  <si>
    <t>+79626897647</t>
  </si>
  <si>
    <t>https://drive.google.com/open?id=1s-XlsXUxocAVfsRAU_5bHqfGJmZXtifK</t>
  </si>
  <si>
    <t>Layantara resorts</t>
  </si>
  <si>
    <t>+79268656435</t>
  </si>
  <si>
    <t>0909269844</t>
  </si>
  <si>
    <t>Layantara resorts villa 16</t>
  </si>
  <si>
    <t>https://drive.google.com/open?id=19kMgWurmqSZWRqYI4CG581e2iXbzlOzx</t>
  </si>
  <si>
    <t>https://drive.google.com/open?id=1hmcsPUwahljuz1xWdFloXOMhFE680hZ6</t>
  </si>
  <si>
    <t>@benchcc</t>
  </si>
  <si>
    <t>Orchid hotel and spa</t>
  </si>
  <si>
    <t>+79052653993</t>
  </si>
  <si>
    <t>https://drive.google.com/open?id=10-DU8X4J7huIh96vQttEKUopDdcaxKBh</t>
  </si>
  <si>
    <t>https://drive.google.com/open?id=1wB0O6Dm47SOvegHa2orKtywbQ6_q2EaN</t>
  </si>
  <si>
    <t xml:space="preserve">Hyatt regency </t>
  </si>
  <si>
    <t>https://drive.google.com/open?id=1HfIyFJNJRKbedcWrN7SEf6XHtnW61X1n</t>
  </si>
  <si>
    <t>@Mr_Ylitka89</t>
  </si>
  <si>
    <t>Hilton Garden Inn</t>
  </si>
  <si>
    <t>https://drive.google.com/open?id=1IHCmUi4dikzgdY8CjN1VEsn4z9hJqYBU</t>
  </si>
  <si>
    <t>https://drive.google.com/open?id=1ecnjngHSOgM6AT2lpjz0qg0D4E8TmE4w</t>
  </si>
  <si>
    <t>+7 985 167-10-10</t>
  </si>
  <si>
    <t>Dusit Thani</t>
  </si>
  <si>
    <t>Dusit thani</t>
  </si>
  <si>
    <t>https://drive.google.com/open?id=1IHWr9TGm5AFZDqgB77J832HZdpWaPnoN</t>
  </si>
  <si>
    <t>East BangTaoVille, 309/7</t>
  </si>
  <si>
    <t>+79153100381</t>
  </si>
  <si>
    <t>+79854016484</t>
  </si>
  <si>
    <t>https://drive.google.com/open?id=1Ef85UVFU_hgbq9dRUzObwH-h_nSFyoGm</t>
  </si>
  <si>
    <t>@Haidarrrrrrrrrrr</t>
  </si>
  <si>
    <t>PR Patong Residence</t>
  </si>
  <si>
    <t>https://drive.google.com/open?id=1m6Vo56JpXzaqPGeOj8vuVfeEu4L5NkYX</t>
  </si>
  <si>
    <t>+7 900 224-45-01</t>
  </si>
  <si>
    <t>Trichada breeze</t>
  </si>
  <si>
    <t>https://drive.google.com/open?id=1_05uwxzLnqToqO92JM-lVoQEGmd2zIjC</t>
  </si>
  <si>
    <t xml:space="preserve">Alexey Union </t>
  </si>
  <si>
    <t>The Oceanic Sportel Phuket</t>
  </si>
  <si>
    <t>8965-057-60-50</t>
  </si>
  <si>
    <t>https://drive.google.com/open?id=1a9IVamoiVVjEyR0e4V4j3yowqOavpu77</t>
  </si>
  <si>
    <t>@Fart_FartM</t>
  </si>
  <si>
    <t xml:space="preserve">Recenta Suite Phuket Suanluang </t>
  </si>
  <si>
    <t>+7 903 314 2828</t>
  </si>
  <si>
    <t>+79046638005</t>
  </si>
  <si>
    <t>https://drive.google.com/open?id=1Inn0kVhcZYAxKRdlCrI2C6dDpspGY2t1</t>
  </si>
  <si>
    <t>https://drive.google.com/open?id=1bed8qI2eCu8NKSpRaSDED7WE_D7uGlG6</t>
  </si>
  <si>
    <t>Recenta Suite Phuket Suanluang</t>
  </si>
  <si>
    <t>https://drive.google.com/open?id=133yL_rXIjHsKB0cdxaBE9-dpXwv1QF2I</t>
  </si>
  <si>
    <t xml:space="preserve">Chalong Marina Bay view phuket </t>
  </si>
  <si>
    <t>https://drive.google.com/open?id=1NRhORuuamDvcwR0-6sS7xhgapADA3bTA</t>
  </si>
  <si>
    <t>@phaton_prodvizh</t>
  </si>
  <si>
    <t>La Green hotel Номер A413</t>
  </si>
  <si>
    <t>+79522236749</t>
  </si>
  <si>
    <t>+79214335600</t>
  </si>
  <si>
    <t>@Killianser</t>
  </si>
  <si>
    <t>Sugar Marina Hotel</t>
  </si>
  <si>
    <t>+79534579842</t>
  </si>
  <si>
    <t>https://drive.google.com/open?id=1_bWz241zrGx4OfWfXDMVeXiAsN_Xz0uf</t>
  </si>
  <si>
    <t>https://drive.google.com/open?id=184R9CL1rk5dbgeBjoXWz9aB3KGUr5uRO</t>
  </si>
  <si>
    <t>https://drive.google.com/open?id=11M0tLlGS8IjvfzUrbBxUjd4e7Pf9wDBB</t>
  </si>
  <si>
    <t>PS HILL RESORT PHUKET PATONG 3*</t>
  </si>
  <si>
    <t>+66 943644793</t>
  </si>
  <si>
    <t>+7916 632 3747</t>
  </si>
  <si>
    <t>https://drive.google.com/open?id=12XHkLtYJrLG_SMQKGY4C_ASQxCGiKVsY</t>
  </si>
  <si>
    <t>@Serega898989</t>
  </si>
  <si>
    <t>Русский бар «KVARTIRA»</t>
  </si>
  <si>
    <t>+79057820134</t>
  </si>
  <si>
    <t>https://drive.google.com/open?id=1pD0lnKaBS0SChHGeL1ZTzaq0aktKMt37</t>
  </si>
  <si>
    <t>Thanyapura Sports Hotel</t>
  </si>
  <si>
    <t>+1 516 723 1476</t>
  </si>
  <si>
    <t>https://drive.google.com/open?id=15ujPg-fOtXta-1Euak9RzqbINblbaeQo</t>
  </si>
  <si>
    <t xml:space="preserve">PR PATONG RESIDENCE </t>
  </si>
  <si>
    <t>https://drive.google.com/open?id=1haDAwy2XsMRmPaBVx7IGRzzXQWmE9X_d</t>
  </si>
  <si>
    <t>@MottoTorro</t>
  </si>
  <si>
    <t>The Par Phuket, 91/155 หมู่ 7 Kathu District, Phuket 83120, Thailand</t>
  </si>
  <si>
    <t>https://drive.google.com/open?id=1H8MOrlpm1sgyD0yo9OfTXqlYBx3zyx1l</t>
  </si>
  <si>
    <t>https://drive.google.com/open?id=1ThJTtkK4Nbh_blfXDWo5VHCDdVxReNvC</t>
  </si>
  <si>
    <t>https://drive.google.com/open?id=14F2Bw9UvGx6_WsxtRusCd_pFiUtPpkvi</t>
  </si>
  <si>
    <t>https://drive.google.com/open?id=1E_Q1UKN2bOS4djd6Olcy6wx1zSMrwSxO</t>
  </si>
  <si>
    <t>Recenta Phuket Suanluang</t>
  </si>
  <si>
    <t>https://drive.google.com/open?id=14T6_Jz2UgXAI2t4tpcGwtVz7-fp_9PQQ</t>
  </si>
  <si>
    <t>https://drive.google.com/open?id=14mS-OEwJBxCP_okynljZSYyLys39P-Iz</t>
  </si>
  <si>
    <t>+79969006006</t>
  </si>
  <si>
    <t>Корон виЕв резорт</t>
  </si>
  <si>
    <t>https://drive.google.com/open?id=1xx7OHhq40f2OvyA9eLPcoRROFuNwUszS</t>
  </si>
  <si>
    <t>Isayarada apаrtment</t>
  </si>
  <si>
    <t>+79857763319</t>
  </si>
  <si>
    <t>https://drive.google.com/open?id=1AV39Nq3WsMDHy1KwcoXFuGBgTdVxwhaF</t>
  </si>
  <si>
    <t>@igor_gladkov_alex</t>
  </si>
  <si>
    <t>Supicha Pool Access Hotel</t>
  </si>
  <si>
    <t>https://drive.google.com/open?id=1Vfa7PB-nArMLWLDDxnNDt7IpkzWzFw5U</t>
  </si>
  <si>
    <t>@im_aa_bro</t>
  </si>
  <si>
    <t>Kora Beach Resort Phuket</t>
  </si>
  <si>
    <t>+79218565857</t>
  </si>
  <si>
    <t>https://drive.google.com/open?id=1kwX_mhFY-uSw5TuGki7ybqW-oSYcSAih</t>
  </si>
  <si>
    <t>WOOVOO PATONG</t>
  </si>
  <si>
    <t>+66819644234</t>
  </si>
  <si>
    <t>https://drive.google.com/open?id=13Gc9ajcwcc_7gs5w5KR4y70UrsqnMDCV</t>
  </si>
  <si>
    <t>Movenpick Phuket bangtao</t>
  </si>
  <si>
    <t>https://drive.google.com/open?id=1Dqcleap23tFiTkwGUV73aRe3Ko6Ei3Pz</t>
  </si>
  <si>
    <t>Lotus Gardens</t>
  </si>
  <si>
    <t>https://drive.google.com/open?id=1SAkWulHl8ZVlwhdrMKKZSouw0Lwj746Y</t>
  </si>
  <si>
    <t>PapaCrab Residence</t>
  </si>
  <si>
    <t>+66 6 3460 2249</t>
  </si>
  <si>
    <t>https://drive.google.com/open?id=1aD2CkrxeRxIqq6Br5WQ7Y04WZQc9GRqt</t>
  </si>
  <si>
    <t>@sau00</t>
  </si>
  <si>
    <t>Angsana Laguna Phuket</t>
  </si>
  <si>
    <t>https://drive.google.com/open?id=1bDGEMyvfqX256fm2XiZFK7Pbz6O2HBWT</t>
  </si>
  <si>
    <t>@zhironkin1</t>
  </si>
  <si>
    <t>Huating Holiday</t>
  </si>
  <si>
    <t>+79630545476</t>
  </si>
  <si>
    <t>+66660427604</t>
  </si>
  <si>
    <t>https://drive.google.com/open?id=1dOSFR_s98HGJbnFBYYoCR6UaIDfeFF8Q</t>
  </si>
  <si>
    <t>@id528197972</t>
  </si>
  <si>
    <t>https://drive.google.com/open?id=1Y8qVXpcDJbsYTtpozjJhs7X298TU0qpK</t>
  </si>
  <si>
    <t>+79537018501</t>
  </si>
  <si>
    <t>The rubber</t>
  </si>
  <si>
    <t>https://drive.google.com/open?id=13nbJ9dOlE403FSetWOqhzgWyQdPagazW</t>
  </si>
  <si>
    <t>+79029243594</t>
  </si>
  <si>
    <t>Hotel krib patong</t>
  </si>
  <si>
    <t>Krib patong</t>
  </si>
  <si>
    <t>https://drive.google.com/open?id=1fT52y4Bycc70Bd5MbjUZIG1NWp3dgm-M</t>
  </si>
  <si>
    <t>2/23/0225</t>
  </si>
  <si>
    <t>@i1kazantsev</t>
  </si>
  <si>
    <t>Utopia Naiharm</t>
  </si>
  <si>
    <t>+79777017895</t>
  </si>
  <si>
    <t>https://drive.google.com/open?id=1KPegDquZeVX2sX1mdfGrz1UsbN5Temv1</t>
  </si>
  <si>
    <t>@sergeevanatasha74</t>
  </si>
  <si>
    <t>Icon park</t>
  </si>
  <si>
    <t>+79517707777</t>
  </si>
  <si>
    <t>https://drive.google.com/open?id=1ufg9f9K1SvWq0xzaCXoxPa7b7sXmPPzo</t>
  </si>
  <si>
    <t>@Shamsudin1</t>
  </si>
  <si>
    <t>The Langstan suites</t>
  </si>
  <si>
    <t>+66815628038</t>
  </si>
  <si>
    <t>https://drive.google.com/open?id=1jMj2eBTqD3_Ay209A_FpqAQAm5PIoL-j</t>
  </si>
  <si>
    <t>+86 139 1812 5044</t>
  </si>
  <si>
    <t>The plant</t>
  </si>
  <si>
    <t>https://drive.google.com/open?id=1g1W5N1-EEIm8nYH8RuaRFrCgHNe7V_QE</t>
  </si>
  <si>
    <t>The rabbit hotel</t>
  </si>
  <si>
    <t>https://drive.google.com/open?id=1wMLsIW56jbLs7-wvIXUoKu2AOrETjNBu</t>
  </si>
  <si>
    <t>Laguna villa residence 8</t>
  </si>
  <si>
    <t>+7929-22-44-666</t>
  </si>
  <si>
    <t>+7982-656-46-16</t>
  </si>
  <si>
    <t>https://drive.google.com/open?id=1gKKY1tdlmy3Hv9ymjepFTADiqxM0vsS7</t>
  </si>
  <si>
    <t>@bond7707</t>
  </si>
  <si>
    <t>Melia Phuket Mai Khao</t>
  </si>
  <si>
    <t xml:space="preserve">Airport </t>
  </si>
  <si>
    <t>https://drive.google.com/open?id=15OjNs2zp5HQwsam2uM8-1hIYZcozQwXK</t>
  </si>
  <si>
    <t>Layan lucky villas</t>
  </si>
  <si>
    <t>+7 910 909-42-22</t>
  </si>
  <si>
    <t>https://drive.google.com/open?id=1dtStzcLsVDaG1sBSki4a0heMfbeyYvp5</t>
  </si>
  <si>
    <t>https://drive.google.com/open?id=1TjqOd6Sp3ghgzLPrEeMn3emiYZKfHQZC</t>
  </si>
  <si>
    <t>Poolrada Boutique Hotel</t>
  </si>
  <si>
    <t>https://drive.google.com/open?id=18iXgcZwQVKN5TsICJ31T6-zRnGgfAwA2</t>
  </si>
  <si>
    <t>https://drive.google.com/open?id=1YlD1gJ94d0kZyiooHFn-NICF-RA1o2ef</t>
  </si>
  <si>
    <t>https://drive.google.com/open?id=1J-dKDMwwuGPhF1OW0m5qeWjyMl6Wn7jE</t>
  </si>
  <si>
    <t>Laya Resort Phuket Island</t>
  </si>
  <si>
    <t>https://drive.google.com/open?id=1uAqn2ZOsbfxgZwUFU44nv5N2rYmd0qO9</t>
  </si>
  <si>
    <t>+65 89504005</t>
  </si>
  <si>
    <t>https://drive.google.com/open?id=18h_cTEqenMepj02BWkQcchKEoYa2vELZ</t>
  </si>
  <si>
    <t>https://drive.google.com/open?id=1DaAZtY4F367Sog2mqpzSgqr1V366k4ly</t>
  </si>
  <si>
    <t>Best Western patong beach</t>
  </si>
  <si>
    <t>https://drive.google.com/open?id=18kkfcA9p5msQ64DA5fR4KPsLJRMVZ-Ta</t>
  </si>
  <si>
    <t>+7 977 574-54-71</t>
  </si>
  <si>
    <t>Hyaat Kamala</t>
  </si>
  <si>
    <t>1000$</t>
  </si>
  <si>
    <t>https://drive.google.com/open?id=1ljEqU9Uy5ZXjBYHz1e8jqDZOorHFK_cb</t>
  </si>
  <si>
    <t>@dimoney89</t>
  </si>
  <si>
    <t>Icheck in central patong</t>
  </si>
  <si>
    <t>+79199166157</t>
  </si>
  <si>
    <t>Central patong</t>
  </si>
  <si>
    <t>https://drive.google.com/open?id=1d2Rs12De1Sc9KXEJWIHZOwlxNrPoyagI</t>
  </si>
  <si>
    <t>+7 (912) 856-60-00</t>
  </si>
  <si>
    <t>https://drive.google.com/open?id=1ZPxo1rH4ZdxEh6pRDE8Nv2Yfl6XYTUdq</t>
  </si>
  <si>
    <t xml:space="preserve">Iris pool Villa 133 Soi Phatthana Phuket </t>
  </si>
  <si>
    <t>+44 7555594574</t>
  </si>
  <si>
    <t xml:space="preserve">Iris pool Villa   </t>
  </si>
  <si>
    <t>https://drive.google.com/open?id=19TrTqZvR5WXIY7P9Rg3UsVCmKjpXyZio</t>
  </si>
  <si>
    <t>villa_phuket 508</t>
  </si>
  <si>
    <t>‪+7 983 156‑65‑99‬</t>
  </si>
  <si>
    <t>https://drive.google.com/open?id=1RKg1ORY9VACvtrHXNJpCg0Twk_Ij55HM</t>
  </si>
  <si>
    <t>https://drive.google.com/open?id=1XHuz7HBvR0EGwMIzAdlqx_CGvLNSIamv</t>
  </si>
  <si>
    <t>Villa Phuket 508</t>
  </si>
  <si>
    <t>https://drive.google.com/open?id=1ZPDjPjsafNEYKKU6qRanjeLlMEV25TQz</t>
  </si>
  <si>
    <t>@organvoprosov</t>
  </si>
  <si>
    <t>https://drive.google.com/open?id=1aVtLhXQNO_WtDpJOEpDid0AeUCqLZy1m</t>
  </si>
  <si>
    <t>https://drive.google.com/open?id=12mSM-f76xf2Jf1DgNU-EUoNbWZs5p8VD</t>
  </si>
  <si>
    <t xml:space="preserve">Rubber hotel </t>
  </si>
  <si>
    <t>https://drive.google.com/open?id=1bKkXw3S2tCNgyhvi_wKTOT5OleIfQdbq</t>
  </si>
  <si>
    <t>@eugen_fed</t>
  </si>
  <si>
    <t>Ideo Phuket</t>
  </si>
  <si>
    <t>+79037519196</t>
  </si>
  <si>
    <t>https://drive.google.com/open?id=1NzIaYF0-6oWNHOKRkX5Lg9oHx24grpVD</t>
  </si>
  <si>
    <t>https://drive.google.com/open?id=1X9Iuvws_lmP5FiIMWLbH4To_HsksE7Zf</t>
  </si>
  <si>
    <t>@AndreyKobra</t>
  </si>
  <si>
    <t xml:space="preserve">Red Planet Phuket Parong </t>
  </si>
  <si>
    <t>+7 707 311 11 69</t>
  </si>
  <si>
    <t>https://drive.google.com/open?id=1v5U4VojikHe63AKnVksriq-8mBfPfwaE</t>
  </si>
  <si>
    <t>@lAleksandr0</t>
  </si>
  <si>
    <t>https://drive.google.com/open?id=15jb3pY2FX4OlVO4tzqaAKvA7-FPeVrKb</t>
  </si>
  <si>
    <t>@seekow13</t>
  </si>
  <si>
    <t>APK Resort Patong</t>
  </si>
  <si>
    <t>https://drive.google.com/open?id=1S6YFbmLbSVrovX6UiSlBn1dl3KlYA1xE</t>
  </si>
  <si>
    <t>APK Resort Патонг</t>
  </si>
  <si>
    <t>https://drive.google.com/open?id=1ugJ926T_ZZfDglU-H5iLlDNCuqIdE6r5</t>
  </si>
  <si>
    <t>@masterx888</t>
  </si>
  <si>
    <t>Pullman Phuket Karon Beach Resort</t>
  </si>
  <si>
    <t>+994 50 427 2489</t>
  </si>
  <si>
    <t>https://drive.google.com/open?id=1OOKf2TYzC6pXxCMiD1MXt9-oHVcrvqa3</t>
  </si>
  <si>
    <t>@miromir_music</t>
  </si>
  <si>
    <t>BUA NAKA Residence</t>
  </si>
  <si>
    <t>https://drive.google.com/open?id=1Y4MySk-8Q0h95B0If-CRY422TeDSs1Oc</t>
  </si>
  <si>
    <t>@ababurin2112</t>
  </si>
  <si>
    <t>East bangtao ville 309/306</t>
  </si>
  <si>
    <t>+79639752476</t>
  </si>
  <si>
    <t>+660626839848</t>
  </si>
  <si>
    <t>https://drive.google.com/open?id=1ucsMMLOFW19uLwjesZsK1pAQq-UvtXVS</t>
  </si>
  <si>
    <t>@yegorka_kinch</t>
  </si>
  <si>
    <t>+79509700301</t>
  </si>
  <si>
    <t>+79235702524</t>
  </si>
  <si>
    <t>+7 707 329 8210</t>
  </si>
  <si>
    <t>Asherah Villas</t>
  </si>
  <si>
    <t>https://drive.google.com/open?id=16DejLedm-SYZPBMaEiIL9d8edrpussyR</t>
  </si>
  <si>
    <t>Asherah Villas 99-17</t>
  </si>
  <si>
    <t>https://drive.google.com/open?id=1fOQXq1ctGfowaU9bSFnyqMfHWaZI0Sek</t>
  </si>
  <si>
    <t>@llc_ifl</t>
  </si>
  <si>
    <t xml:space="preserve">Naiyang seaview place resort  </t>
  </si>
  <si>
    <t>+79115385757</t>
  </si>
  <si>
    <t>https://drive.google.com/open?id=1F7gFGOh7impFQ0vjPV4ef9z6JpjMiRE7</t>
  </si>
  <si>
    <t>Naiyang seaview place resort</t>
  </si>
  <si>
    <t>https://drive.google.com/open?id=1pa0P7Wb3GqRAI3_4eHk0_VX0InXVEubf</t>
  </si>
  <si>
    <t>+375292326686</t>
  </si>
  <si>
    <t>La green</t>
  </si>
  <si>
    <t>https://drive.google.com/open?id=1Vq6wNCVJN96DzDuzAxqEDJLMcYMvxmjW</t>
  </si>
  <si>
    <t>https://drive.google.com/open?id=1N4amBsk_EvlhqAZlaJ8-DvkU6EsiSeKC</t>
  </si>
  <si>
    <t>https://drive.google.com/open?id=15HdMHCRSBJjBAbB5WmJ61mhTjntWrkf7</t>
  </si>
  <si>
    <t>https://drive.google.com/open?id=1H1vzmwUGVE7xHtpdB9KLD0xL6JAhxC2i</t>
  </si>
  <si>
    <t>https://drive.google.com/open?id=14ine3ISsvkm1o9-50EKX315y09cOQ72z</t>
  </si>
  <si>
    <t>Layan Akra Collection hotel</t>
  </si>
  <si>
    <t>‪+45 26 20 51 66‬</t>
  </si>
  <si>
    <t>https://drive.google.com/open?id=1i8TNQQ4kUaN60Evi6Zf1GNPEyeiMau6R</t>
  </si>
  <si>
    <t>@miomeet</t>
  </si>
  <si>
    <t>Anchan Villas 35/21</t>
  </si>
  <si>
    <t>+669568712462</t>
  </si>
  <si>
    <t>https://drive.google.com/open?id=1_adyqkInWmT1NW6th0lOJCKmQL61HjR0</t>
  </si>
  <si>
    <t>Grand Kata vip</t>
  </si>
  <si>
    <t>https://drive.google.com/open?id=1-BpFDyD7fRasOg44pioxchl8XPJEZPMp</t>
  </si>
  <si>
    <t>@baberva</t>
  </si>
  <si>
    <t>Lа green</t>
  </si>
  <si>
    <t>+79774268724</t>
  </si>
  <si>
    <t xml:space="preserve">La green </t>
  </si>
  <si>
    <t>https://drive.google.com/open?id=1oj--Gx9aqj7wjswwHWxnDP0a1PdlXWuu</t>
  </si>
  <si>
    <t>@BPA488</t>
  </si>
  <si>
    <t xml:space="preserve">Residence Patong Kathu District </t>
  </si>
  <si>
    <t>https://drive.google.com/open?id=1dt9lKPsbItvI3xgJLPB7Hrtk8KaND7-Z</t>
  </si>
  <si>
    <t>@vitaly_korolkov</t>
  </si>
  <si>
    <t xml:space="preserve">Patong buri resort </t>
  </si>
  <si>
    <t>0660911747</t>
  </si>
  <si>
    <t>https://drive.google.com/open?id=1BGVqnJZbEPpAZ8khM6o-gEAYnshncdq6</t>
  </si>
  <si>
    <t xml:space="preserve">Thep Krasatti Thalang District </t>
  </si>
  <si>
    <t>+17806166111</t>
  </si>
  <si>
    <t>https://drive.google.com/open?id=1MnahZlnSoXZ5DbGTwJKiAqRH0JAGs8jt</t>
  </si>
  <si>
    <t>@vilkoyi_v_glaz</t>
  </si>
  <si>
    <t xml:space="preserve">Kora beach resort Phuket </t>
  </si>
  <si>
    <t>+971567148814</t>
  </si>
  <si>
    <t>https://drive.google.com/open?id=1dijKhkpeA_Tn_wh1o83ZYQS-9DRcuckf</t>
  </si>
  <si>
    <t>AURICO KATA RESORT &amp; SPA</t>
  </si>
  <si>
    <t>+7 911 919-72-95</t>
  </si>
  <si>
    <t>https://drive.google.com/open?id=1RdyDD3lhRyHKbcu8pIzyCYwpnTCjgo3B</t>
  </si>
  <si>
    <t>@Roge995</t>
  </si>
  <si>
    <t>Novotel Phuket Kamala beach</t>
  </si>
  <si>
    <t>https://drive.google.com/open?id=1YPTqBWBQ3UeuBn0GlULdDsZNUfpXxn_A</t>
  </si>
  <si>
    <t>@darmf</t>
  </si>
  <si>
    <t xml:space="preserve">PHOENIX HOTEL KARON BEACH </t>
  </si>
  <si>
    <t>PHOENIX HOTEL KARON BEACH</t>
  </si>
  <si>
    <t>https://drive.google.com/open?id=1GpV88z5WrBhhwlktkDqMoStAomjwFudw</t>
  </si>
  <si>
    <t>https://drive.google.com/open?id=15X_mzJpd886eOVDMTPoQuV8Lgi7R_u0d</t>
  </si>
  <si>
    <t xml:space="preserve">Twinpalm Hotel Surin </t>
  </si>
  <si>
    <t>https://drive.google.com/open?id=10AQoox0-yszUUifv7VSPH3ueRnqxye9L</t>
  </si>
  <si>
    <t>6th Avenue Surin Condominium</t>
  </si>
  <si>
    <t>https://drive.google.com/open?id=1C3gSEaDUXdBg-GG7gHD42HPKIMBr3mQL</t>
  </si>
  <si>
    <t>+66800048915</t>
  </si>
  <si>
    <t>https://drive.google.com/open?id=1nOOzn9vKSl1HnmwRgA_-UU67-j9CDeHk</t>
  </si>
  <si>
    <t>https://drive.google.com/open?id=1k53nzUuhqW5GL8Y4RztapDJa93Ep44SI</t>
  </si>
  <si>
    <t>@dzenshena</t>
  </si>
  <si>
    <t>Ongsa House</t>
  </si>
  <si>
    <t>+7 909 799 0079</t>
  </si>
  <si>
    <t>https://drive.google.com/open?id=1FSUMEESk5_Tg-euqo6yHcrCxc2pv2SJG</t>
  </si>
  <si>
    <t>https://drive.google.com/open?id=1QYm2s5OwPPcUtecYCjMFcWLKBqt7xpOp</t>
  </si>
  <si>
    <t>The kiri pool villas resort</t>
  </si>
  <si>
    <t>https://drive.google.com/open?id=1C7Y2PdjW4KVbWsO6qx65mczR5eFzvUEW</t>
  </si>
  <si>
    <t>+31681838538</t>
  </si>
  <si>
    <t>https://drive.google.com/open?id=1RQC2agN0axwl2U-8ZQg29KsZwb6uhsZH</t>
  </si>
  <si>
    <t>https://drive.google.com/open?id=1wm7o3BVfU-ClJMYbOC2J3kcNrRxM10du</t>
  </si>
  <si>
    <t>Alisse Stay Phu</t>
  </si>
  <si>
    <t>+66644572491</t>
  </si>
  <si>
    <t>https://drive.google.com/open?id=1PRyG4Wc9NQYnh6eUkXSikQ3jJ4Y0VEq0</t>
  </si>
  <si>
    <t>https://drive.google.com/open?id=1rZhevldzFjyQvp47r2bDyZNgolEznowc</t>
  </si>
  <si>
    <t>https://drive.google.com/open?id=1KOme3yR5uCQsXfSgw2YivDcao_ELT2BA</t>
  </si>
  <si>
    <t>0000</t>
  </si>
  <si>
    <t>https://drive.google.com/open?id=19_DmD4U2u-IeM0xi7K4SX3MXiLxO-fU0</t>
  </si>
  <si>
    <t>@ElizavetaKib</t>
  </si>
  <si>
    <t xml:space="preserve">The Yama Hotel Phuket </t>
  </si>
  <si>
    <t>+375292351377</t>
  </si>
  <si>
    <t>https://drive.google.com/open?id=1DpRcg5nA-M5zzGxJH9j-YAaFlRXRp7_B</t>
  </si>
  <si>
    <t>+79663532602</t>
  </si>
  <si>
    <t>Maikhao Beach Condo (MBC)</t>
  </si>
  <si>
    <t>+79031067098</t>
  </si>
  <si>
    <t>https://drive.google.com/open?id=15z5edUlo6czl98cU6BBu7AnQi2641ps-</t>
  </si>
  <si>
    <t>@Stalchenko23</t>
  </si>
  <si>
    <t>Little loft hotel</t>
  </si>
  <si>
    <t>0652358760</t>
  </si>
  <si>
    <t>https://drive.google.com/open?id=1AHAhtolwzQW_hnxbdG3hwAkYiUOFgHdc</t>
  </si>
  <si>
    <t>Chaan Talley Resort and Villas Villa E</t>
  </si>
  <si>
    <t>+34648710361</t>
  </si>
  <si>
    <t>https://drive.google.com/open?id=1W2w6lSl_FgQlAzARNOevH-wrCH29C5oy</t>
  </si>
  <si>
    <t>Chaan Talley Reaort and Villas Villa E</t>
  </si>
  <si>
    <t>https://drive.google.com/open?id=12Qs39Yr8qNTH-8vVJFDOCmd8s8lRElRE</t>
  </si>
  <si>
    <t>Chaan Talay Resort and Villas Villa E</t>
  </si>
  <si>
    <t>https://drive.google.com/open?id=1NbIMXU5C3DiiXHwS1rkfoODKbegUNFBB</t>
  </si>
  <si>
    <t>https://drive.google.com/open?id=1hat16DZmgRLCrF62cMet59raF0gTb4He</t>
  </si>
  <si>
    <t>https://drive.google.com/open?id=1bQbLt9VmDVpvAa5SagSN0idyEl-fj6vf</t>
  </si>
  <si>
    <t>https://drive.google.com/open?id=1DkOygTThuvhxyiFrNeuSTSt60gDYjU5K</t>
  </si>
  <si>
    <t>Pullman Phuket Arcadia Naithon Beach</t>
  </si>
  <si>
    <t>700$</t>
  </si>
  <si>
    <t>https://drive.google.com/open?id=1uFuH7uiNLlcvEYVLciYGrrj7jIGtrKwS</t>
  </si>
  <si>
    <t>+7 987 254-02-09</t>
  </si>
  <si>
    <t>https://drive.google.com/open?id=1Zh1ifoYaoaJB02OVezWey0wCtqLC4rew</t>
  </si>
  <si>
    <t>23:00</t>
  </si>
  <si>
    <t>https://drive.google.com/open?id=1qk_im3BM9G3gK13-FIg4QQtmdub7GAri</t>
  </si>
  <si>
    <t>@chetakslozhnoo</t>
  </si>
  <si>
    <t>COCOON APK RESORT AND SPA</t>
  </si>
  <si>
    <t>https://drive.google.com/open?id=1HdUSFtIOhS_8ZOBnCS68nIlwkZLyl2oK</t>
  </si>
  <si>
    <t>9 moo 4, Tambon Sakhu, Amphur Thalang, Phuket, 83140</t>
  </si>
  <si>
    <t>+79678579447</t>
  </si>
  <si>
    <t>https://drive.google.com/open?id=1oN5n0Dlnm4gWcVfscGTufUMPv6BrqPvR</t>
  </si>
  <si>
    <t>+7 915 458-53-48</t>
  </si>
  <si>
    <t>Uncle's Toy Home</t>
  </si>
  <si>
    <t>https://drive.google.com/open?id=1TS1Gfq9BuSImGiBOtwJpTM2NlrAclQV0</t>
  </si>
  <si>
    <t>+66 80-748-5548</t>
  </si>
  <si>
    <t>https://drive.google.com/open?id=1Pxj_4ivcpo47MCMuPk_lAZqlRmWE6UxC</t>
  </si>
  <si>
    <t>@baksterSpb</t>
  </si>
  <si>
    <t xml:space="preserve">D condo creek </t>
  </si>
  <si>
    <t>0814879870</t>
  </si>
  <si>
    <t>D condo creek</t>
  </si>
  <si>
    <t>https://drive.google.com/open?id=1lcRWGcjUHXuvoCm04rwTjpYInvzdg-p1</t>
  </si>
  <si>
    <t>@Yuriy_Orlov_1</t>
  </si>
  <si>
    <t>Andaman White Beach Resort</t>
  </si>
  <si>
    <t>https://drive.google.com/open?id=1MywTIscLLfRoucolDBzCSJQAibcnlEBM</t>
  </si>
  <si>
    <t>Phuvaree Resort</t>
  </si>
  <si>
    <t>8-927-801-45-42</t>
  </si>
  <si>
    <t>https://drive.google.com/open?id=1sZvcMfpnGswgIX96DO4S-mcAUIv7sQCY</t>
  </si>
  <si>
    <t>@AlexNomernoy</t>
  </si>
  <si>
    <t>Proud Phuket Hotel</t>
  </si>
  <si>
    <t>https://drive.google.com/open?id=13Q2fMsYq_9-Z8vlGIe3f6ro_0ibwhY6S</t>
  </si>
  <si>
    <t>+65 8222 5454</t>
  </si>
  <si>
    <t>The Viridian resort</t>
  </si>
  <si>
    <t>https://drive.google.com/open?id=1NPYhUdxTdEaHmRbkiNpUt85whSxPC4u9</t>
  </si>
  <si>
    <t>@axuennnnna</t>
  </si>
  <si>
    <t xml:space="preserve">Memory Karon Resort </t>
  </si>
  <si>
    <t>+86 18825005909</t>
  </si>
  <si>
    <t>https://drive.google.com/open?id=11HscyacUtQRgtsUqb0lOjXz_TBNYYsOl</t>
  </si>
  <si>
    <t>+65 82225454</t>
  </si>
  <si>
    <t>Viridian resort</t>
  </si>
  <si>
    <t>https://drive.google.com/open?id=1UPt6LHXb6twnZVmpZv-L-D-lF22WeAth</t>
  </si>
  <si>
    <t>@BORZ01</t>
  </si>
  <si>
    <t>Sun Shine Patong</t>
  </si>
  <si>
    <t>https://drive.google.com/open?id=1HR46WlCZpoqUZ2DbiapvW-CTj7FY2pno</t>
  </si>
  <si>
    <t>+7 903 912-67-99</t>
  </si>
  <si>
    <t>Ma Doo Bua</t>
  </si>
  <si>
    <t>https://drive.google.com/open?id=1PFYWQMoXJKP3KOjTI_gGwB7n3enEKDry</t>
  </si>
  <si>
    <t>@pablo_ki</t>
  </si>
  <si>
    <t>Outdoor Inn &amp; Restaurant</t>
  </si>
  <si>
    <t>+79069170099</t>
  </si>
  <si>
    <t>https://drive.google.com/open?id=1-7pEpb70qO9WL13W_homZSC2KSlBiDra</t>
  </si>
  <si>
    <t>@aceowner</t>
  </si>
  <si>
    <t>+79005518586</t>
  </si>
  <si>
    <t>https://drive.google.com/open?id=1Yk58FNmWZLA0uSom6S0_sqUDLk_6SsMt</t>
  </si>
  <si>
    <t>‪+7 950 411‑00‑92‬</t>
  </si>
  <si>
    <t>EMPTY</t>
  </si>
  <si>
    <t>https://drive.google.com/open?id=1B3Yn5_EUlH75T7aDmUBkxxVOoQ6MflR8</t>
  </si>
  <si>
    <t>+44 7459 422025</t>
  </si>
  <si>
    <t>https://drive.google.com/open?id=1202Qk1d6P37ItLGjuuIBAA4Lm_wfzNE3</t>
  </si>
  <si>
    <t>https://drive.google.com/open?id=1sI2D7ZSszmS6gmEbj_Z2rpKHDWQ1E_5b</t>
  </si>
  <si>
    <t>+36 30 567 6577</t>
  </si>
  <si>
    <t>Vichuda Hills Villa A</t>
  </si>
  <si>
    <t>https://drive.google.com/open?id=15Z6N5P-KcFoi-f8yfZYZf-WucWDAL99y</t>
  </si>
  <si>
    <t>@Nikc3</t>
  </si>
  <si>
    <t>The bell condo (Chalong)</t>
  </si>
  <si>
    <t>https://drive.google.com/open?id=1Wc0iSzn7D16Hw8KsXpqRilCAx2weTqXj</t>
  </si>
  <si>
    <t>https://drive.google.com/open?id=1sXGoyWuXS1aP0Tc9FF7qL8Zx-bSx1uDh</t>
  </si>
  <si>
    <t>Oleksandr_fomin_ukraine_</t>
  </si>
  <si>
    <t>https://drive.google.com/open?id=138t3yNM6mlIOCepT__pYrwkxZxy7M72K</t>
  </si>
  <si>
    <t>https://drive.google.com/file/d/11tifNmnLW_n_zyPxhG3dp9t-nSJjgNNy/view?usp=drive_link</t>
  </si>
  <si>
    <t>+7 983 387-22-97</t>
  </si>
  <si>
    <t>https://drive.google.com/open?id=1P_G5xxM-OzSf30-PGP766o9lSbLj3qMX</t>
  </si>
  <si>
    <t>https://drive.google.com/open?id=1hiQfKB_9bop6xUCGojGqWA-6DBMRgb4C</t>
  </si>
  <si>
    <t>@lshelkovoy</t>
  </si>
  <si>
    <t>Twinpalms Montezure Kamala, apartments 712</t>
  </si>
  <si>
    <t>+79639978684</t>
  </si>
  <si>
    <t>https://drive.google.com/open?id=1BhqArq-IadOIO1nNwuid4pJ9ioZVnFua</t>
  </si>
  <si>
    <t>https://drive.google.com/open?id=1dhT_PKu76KypSBeJKOPFLS7PZlR2YBnb</t>
  </si>
  <si>
    <t>Citygate Kamala Resort &amp; Residence</t>
  </si>
  <si>
    <t>https://drive.google.com/open?id=1aVffSt6cAHdW3LKbBypW23eniudgILI4</t>
  </si>
  <si>
    <t xml:space="preserve">The bell condo </t>
  </si>
  <si>
    <t>0981955650</t>
  </si>
  <si>
    <t>https://drive.google.com/open?id=1Nx3-fd0V_P_KyHk_QJG_4JM3YZL2_Yd8</t>
  </si>
  <si>
    <t>@Suggar_boys</t>
  </si>
  <si>
    <t>Hotel Yama Phuket 1</t>
  </si>
  <si>
    <t>+79657585425</t>
  </si>
  <si>
    <t>https://drive.google.com/open?id=132W7iSanvviJXsA9VobNKVr-rZi8S_8L</t>
  </si>
  <si>
    <t xml:space="preserve"> Hotel Yama Phuket 1</t>
  </si>
  <si>
    <t>https://drive.google.com/open?id=1gASoLiLaL_JZmosLVVwEC_bBnK1xemqJ</t>
  </si>
  <si>
    <t xml:space="preserve">Hotel Yama Phuket </t>
  </si>
  <si>
    <t>https://drive.google.com/open?id=1Bu8Z74Mi_J2wU4aSpGgREOX03ulTlmKl</t>
  </si>
  <si>
    <t>22:00</t>
  </si>
  <si>
    <t>https://drive.google.com/open?id=1GAlpJFemc3SZY0Oy_2V1BGRRC3NAUDHp</t>
  </si>
  <si>
    <t>+91 90660 90000</t>
  </si>
  <si>
    <t>Tanyapura phuket</t>
  </si>
  <si>
    <t>https://drive.google.com/open?id=1b_GAAJCmg6U9wBJYAoXRkXxDkqaVwhdc</t>
  </si>
  <si>
    <t>@vlad_kapustin</t>
  </si>
  <si>
    <t>https://drive.google.com/open?id=10PhmYcbHXw_oQQ-9q7CpVi7ydy46_yTY</t>
  </si>
  <si>
    <t>+6282144795346</t>
  </si>
  <si>
    <t>https://drive.google.com/open?id=1zlv2WC7xIZRQ7P2WymxDtj36IndV-w9I</t>
  </si>
  <si>
    <t>+7 950 272-72-70</t>
  </si>
  <si>
    <t xml:space="preserve">International kamala </t>
  </si>
  <si>
    <t>https://drive.google.com/open?id=1wOSxW_pw6h4hdofo-Fwh-qFgMXdRx0H5</t>
  </si>
  <si>
    <t>aaron.sc_</t>
  </si>
  <si>
    <t xml:space="preserve">Semicolon Cafe </t>
  </si>
  <si>
    <t>‪+44 7960 000839‬</t>
  </si>
  <si>
    <t>Semicolon Cafe and Bistro</t>
  </si>
  <si>
    <t>https://drive.google.com/open?id=19nth9WsZiPfc1U4ZFtxyJUqSM4bw_Cxi</t>
  </si>
  <si>
    <t>Tuana hotels</t>
  </si>
  <si>
    <t>https://drive.google.com/open?id=1FMz7XhDQaMYgwgCrq0nvw70y20ku_3qy</t>
  </si>
  <si>
    <t>Intercontinental resort</t>
  </si>
  <si>
    <t>https://drive.google.com/open?id=1c4tptaFr6EyPyXGkg6luQEK1UYN9wUNW</t>
  </si>
  <si>
    <t>@Sensei_Soul</t>
  </si>
  <si>
    <t>Sunrise Villa</t>
  </si>
  <si>
    <t>https://drive.google.com/open?id=1WYTZ8teO0Eq0vpKKnmRosv6gbDpbZXll</t>
  </si>
  <si>
    <t>Outrigger Surin Beach Resort - SHA Extra Plus</t>
  </si>
  <si>
    <t>https://drive.google.com/open?id=18TcUPfgOC5ZRERuHrPB3Z5rd3wje7cTk</t>
  </si>
  <si>
    <t>https://drive.google.com/open?id=1lSaSDe68JCNemdgeIP-Pa1UiqJAEEhYe</t>
  </si>
  <si>
    <t>@Timkayum</t>
  </si>
  <si>
    <t>Patong Bay Residence 73/6 Phrabarami Road, Patong, Kathu, Phuket 83150 Thailand</t>
  </si>
  <si>
    <t>0954879820</t>
  </si>
  <si>
    <t>https://drive.google.com/open?id=1fkUV1sj9ZBzHb1Byt5oPb7dNlGk6U_kD</t>
  </si>
  <si>
    <t>https://drive.google.com/open?id=1C4MOXGzbBrSTCILe7W4N7Q2fPzeOVTw-</t>
  </si>
  <si>
    <t>BT17 by Villacarte</t>
  </si>
  <si>
    <t>+79112969206</t>
  </si>
  <si>
    <t>+79167046679</t>
  </si>
  <si>
    <t>https://drive.google.com/open?id=1EugZy9feHugRWHOEDSx-9nz0JMudNExS</t>
  </si>
  <si>
    <t>https://drive.google.com/open?id=1GC6GHCKZ2sQX4A7cC1e1i51MGvaXgOEA</t>
  </si>
  <si>
    <t>@Raketa_rent</t>
  </si>
  <si>
    <t>https://drive.google.com/open?id=1t5hPVtkKberk83qhMb_OOwR0nh2JzAfi</t>
  </si>
  <si>
    <t>https://drive.google.com/open?id=1PTvtwUeU-UtioKLMkBQp953WO2yMH74h</t>
  </si>
  <si>
    <t>Fantasea condo</t>
  </si>
  <si>
    <t>https://drive.google.com/open?id=1rgU9mamYepp6IEOexqi3e2V4Ydh45j3n</t>
  </si>
  <si>
    <t>@Annuushkt</t>
  </si>
  <si>
    <t>Best Western Premier Bangtao Beach Resort &amp; Spa</t>
  </si>
  <si>
    <t>+48576466259</t>
  </si>
  <si>
    <t>https://drive.google.com/open?id=1-GZiP-DNymahOHcBmTzDUy2oRi5XcPsI</t>
  </si>
  <si>
    <t>@Nishtyakkk</t>
  </si>
  <si>
    <t>13/13 moo 6 tambon kamala Amphur krathu. Krajok house 13/3 • กมลา/ Kamala, 83150, กะทู้/ Kathu, ภูเก็ต/ Phuket</t>
  </si>
  <si>
    <t>096-294-5129</t>
  </si>
  <si>
    <t>https://drive.google.com/open?id=1275K_KuCbesWF8TqBqM0QhBbHlmU-JuZ</t>
  </si>
  <si>
    <t>@Kiriizb</t>
  </si>
  <si>
    <t>Kalim resort</t>
  </si>
  <si>
    <t>+7 923 436 3885</t>
  </si>
  <si>
    <t>https://drive.google.com/open?id=1IftHpvs0k3o5l4-3iBq5qLNOEjX1XYzP</t>
  </si>
  <si>
    <t>@Viacheslav_devino100</t>
  </si>
  <si>
    <t>Saii laguna</t>
  </si>
  <si>
    <t xml:space="preserve">Saii Laguna </t>
  </si>
  <si>
    <t>https://drive.google.com/open?id=1-AiGzjxIjixKCFeuWER4Qtxdll_YCdoz</t>
  </si>
  <si>
    <t>‪+64 27 962 1410‬</t>
  </si>
  <si>
    <t>https://drive.google.com/open?id=1vccj4rpU5OhQ8yXKDHRRVRsZDtJIOMR2</t>
  </si>
  <si>
    <t>https://drive.google.com/open?id=1hM3vCOK5rz8yIGOEFkXXkPXb8HENBe5c</t>
  </si>
  <si>
    <t>Solara Stays Phuket</t>
  </si>
  <si>
    <t>+79842635000</t>
  </si>
  <si>
    <t>https://drive.google.com/open?id=1VUzSt2s6-eBriiUPMhwwbiijlB9z9lhV</t>
  </si>
  <si>
    <t>East Bangtaoville 309/46</t>
  </si>
  <si>
    <t>0621382842</t>
  </si>
  <si>
    <t>https://drive.google.com/open?id=1oxVbEoMKRg3aKLKWg1bahWHNR_bPSFCr</t>
  </si>
  <si>
    <t>@Spanker17</t>
  </si>
  <si>
    <t>Erdem Tropical Villas</t>
  </si>
  <si>
    <t>+233204050956</t>
  </si>
  <si>
    <t>https://drive.google.com/open?id=1JtHTACItF9LZ9qw7o84XSb_-B6Q9TH0Y</t>
  </si>
  <si>
    <t>https://drive.google.com/open?id=1OhP91X9UFq-v3Tohm0zQlBD0DlWb7PZP</t>
  </si>
  <si>
    <t>The bell Condo</t>
  </si>
  <si>
    <t>https://drive.google.com/open?id=1eYYulsTD3o6anTFGj5dHBiTecFKcH7sJ</t>
  </si>
  <si>
    <t>@Anna15551</t>
  </si>
  <si>
    <t>Diamond Cottage Resort &amp; Spa</t>
  </si>
  <si>
    <t>https://drive.google.com/open?id=1clej3-qLXie_pMmLoh2w8cXpr14xp9qX</t>
  </si>
  <si>
    <t xml:space="preserve">Diamond Cottage Resort &amp; Spa </t>
  </si>
  <si>
    <t>https://drive.google.com/open?id=11MbBbLZWaY5NSdOLwXExgAIF_bwqYmkz</t>
  </si>
  <si>
    <t>@vadym_de</t>
  </si>
  <si>
    <t>Panora Surin</t>
  </si>
  <si>
    <t>+49 162 1730462</t>
  </si>
  <si>
    <t>https://drive.google.com/open?id=15ckOGZuruwT8VchJTlXp8Iq8KgmB0OhA</t>
  </si>
  <si>
    <t>The bell condo</t>
  </si>
  <si>
    <t>https://drive.google.com/open?id=1HGCdSOMAR1lXzqIYLucIvn7Rb2Vgvhd0</t>
  </si>
  <si>
    <t>+61405982647</t>
  </si>
  <si>
    <t>The skylights villas. Number 64</t>
  </si>
  <si>
    <t>https://drive.google.com/open?id=1sT8uGZ7_Rnz9p09Ne3y_N80-yM2SIdu4</t>
  </si>
  <si>
    <t>@El4Julia</t>
  </si>
  <si>
    <t>16/7 Patak road</t>
  </si>
  <si>
    <t>+79117778932</t>
  </si>
  <si>
    <t>Chalong, Mueang Phuket District, Phuket 83130</t>
  </si>
  <si>
    <t>https://drive.google.com/open?id=1K7dA_wDwXM7C-NB40qoes6uKo2dtQg5y</t>
  </si>
  <si>
    <t>+7 915 175-81-31</t>
  </si>
  <si>
    <t>28HR+XCV Thep Krasatti, Thalang District</t>
  </si>
  <si>
    <t>https://drive.google.com/open?id=1HfoQcR7rASmsHTyILnvh79AacdazWR3w</t>
  </si>
  <si>
    <t>@kohchangy</t>
  </si>
  <si>
    <t>Pruksa ville 365/129</t>
  </si>
  <si>
    <t>0821741815</t>
  </si>
  <si>
    <t>https://drive.google.com/open?id=16YNi1uDNc4NGyaSKyWxZO4RerisgHzlk</t>
  </si>
  <si>
    <t>The Marin Phuket</t>
  </si>
  <si>
    <t>+79881625700</t>
  </si>
  <si>
    <t>https://drive.google.com/open?id=1QUxyxPLccBobroVqX96dHQprOHd2cj3T</t>
  </si>
  <si>
    <t>https://drive.google.com/open?id=1j89t63dXyxkZCrC-rvZjFQkhEiqDWKN8</t>
  </si>
  <si>
    <t>@kitkatkitkatkitkatkitkit1</t>
  </si>
  <si>
    <t>https://drive.google.com/open?id=14sWjS4dEdU25p-LWCf6v-qFQb5DWlKhr</t>
  </si>
  <si>
    <t xml:space="preserve">Trichada sky </t>
  </si>
  <si>
    <t>https://drive.google.com/open?id=1khZvmCH8UVODsVcUjN93_Ex0fl1Y22-g</t>
  </si>
  <si>
    <t>https://drive.google.com/open?id=1Nd_ad4_wwSrCJWiOQiY5wIiTUzVIIjQw</t>
  </si>
  <si>
    <t>https://drive.google.com/open?id=1yL9wHi3RDuHFqc49Jd0eID3xEvTcNxXR</t>
  </si>
  <si>
    <t>@tomkroft</t>
  </si>
  <si>
    <t>Soi Sai Namyen, Chalong, Mueang Phuket District, Phuket 83000</t>
  </si>
  <si>
    <t>Maya Phuket Hotel</t>
  </si>
  <si>
    <t>https://drive.google.com/open?id=1xzzub_mbemfoguzVLfJdABVdCizFMD_x</t>
  </si>
  <si>
    <t>+79053880909</t>
  </si>
  <si>
    <t>https://drive.google.com/open?id=1kgzFFAGi23RM9rduDT3CSLqzdqpiNAQ1</t>
  </si>
  <si>
    <t>Laguna park 3</t>
  </si>
  <si>
    <t>+447402051933</t>
  </si>
  <si>
    <t>https://drive.google.com/open?id=1CGtflYyzIl6Qkku23dfEZ7it2GXkq6Xk</t>
  </si>
  <si>
    <t>https://drive.google.com/open?id=1NMeL53Lwrm3v3TSsLTRITG_rD0zMjKBT</t>
  </si>
  <si>
    <t>28 27, Kamala, Thalang District, Phuket 83110</t>
  </si>
  <si>
    <t>‪+971 50 295 5375‬</t>
  </si>
  <si>
    <t>https://drive.google.com/open?id=1VXVXQFCdr17vg0KgH1ksO4nx2Lb_Ztoh</t>
  </si>
  <si>
    <t>‪+966 50 367 1273‬</t>
  </si>
  <si>
    <t>The Element by Wallaya Villas</t>
  </si>
  <si>
    <t>https://drive.google.com/open?id=1GbOg48q12BBWpmnHXYbWqrIjf67nmubX</t>
  </si>
  <si>
    <t>https://drive.google.com/open?id=1fbcCkSAKP9IZLtpW3xUBImUzfEA5Kmgw</t>
  </si>
  <si>
    <t>https://drive.google.com/open?id=16AyNDDdr3FTVRIjE1W8txbFjL40pXgWy</t>
  </si>
  <si>
    <t>https://drive.google.com/open?id=1UCcc6KI3PfXf7GHXa-p1BQiGI8FjeMdy</t>
  </si>
  <si>
    <t>https://drive.google.com/open?id=1_SmXTgp1r9F-THavr7Yt5Y2WYkdslhLf</t>
  </si>
  <si>
    <t>https://drive.google.com/open?id=16rRhEk7WSyszcyQgT6XzV4NHhlvbeKeB</t>
  </si>
  <si>
    <t>https://drive.google.com/open?id=1n_5gy-a4zLLBA3q1SoEAjYQq3WC4ozml</t>
  </si>
  <si>
    <t>https://drive.google.com/open?id=16ocTGCjRuuxzANVrjuBGIpWlYcqDXSIw</t>
  </si>
  <si>
    <t>https://drive.google.com/open?id=1P5U5_hzofzmRYMqpuaGSDTtXCxn86Lsl</t>
  </si>
  <si>
    <t>https://drive.google.com/open?id=1PNx-sU6F8azRNKnzXtrWz5qhzyhCAoO0</t>
  </si>
  <si>
    <t>@dashaklimtseva</t>
  </si>
  <si>
    <t>+66805267783</t>
  </si>
  <si>
    <t>https://drive.google.com/open?id=1lyMX8E4r6HdEXCiYhmbPTJECVJb7MIpS</t>
  </si>
  <si>
    <t xml:space="preserve">Citygate Kamala, room 510 </t>
  </si>
  <si>
    <t>+66984368352</t>
  </si>
  <si>
    <t>https://drive.google.com/open?id=1mIaryheChS53id2JYhbeMk27jbyxpNcY</t>
  </si>
  <si>
    <t>+30 693 282 8872</t>
  </si>
  <si>
    <t>Icon kamala</t>
  </si>
  <si>
    <t>https://drive.google.com/open?id=17N84PoAfGE3FrmlhmNQUKsSpSgQEiB9i</t>
  </si>
  <si>
    <t>‪+30 693 282 8872‬</t>
  </si>
  <si>
    <t>Apartments ICON Kamala</t>
  </si>
  <si>
    <t>https://drive.google.com/open?id=1wfSISBjFy4Gai6n_ulp6mkE3TtP3yDRD</t>
  </si>
  <si>
    <t>Icon Kamala</t>
  </si>
  <si>
    <t>+971528856585</t>
  </si>
  <si>
    <t>https://drive.google.com/open?id=1HJpmyyEThXnw_VUICsPsb2lBlB58mYsu</t>
  </si>
  <si>
    <t>‪+7 778 705 4656‬</t>
  </si>
  <si>
    <t>La Green Hotel</t>
  </si>
  <si>
    <t>https://drive.google.com/open?id=1S_-p8pZRAl1-KPbJvLtgbg9-ATqL9uCi</t>
  </si>
  <si>
    <t>+7 903 442 0946</t>
  </si>
  <si>
    <t>https://drive.google.com/open?id=1k1J-POHEGIw1RmNtxCWubn60rAaR8Kgc</t>
  </si>
  <si>
    <t>@privetpapapes</t>
  </si>
  <si>
    <t>Boutique Hotel, 6, 1 ถนน กะรน, Karon, Mueang Phuket District, 83100</t>
  </si>
  <si>
    <t>0839703230</t>
  </si>
  <si>
    <t>https://drive.google.com/open?id=1G2nSrO_FL4xrGK9VoHuB-ecRqBWDLZkG</t>
  </si>
  <si>
    <t>https://drive.google.com/open?id=1FSkz-B7yFzOQcU-h2MF-o6_TPQvsu0ru</t>
  </si>
  <si>
    <t>X8XG+46X Si Sunthon, Thalang District</t>
  </si>
  <si>
    <t>+996503671273</t>
  </si>
  <si>
    <t>https://drive.google.com/open?id=1KIvUNcFjk026I7c9pml-T96QmxiGnmpZ</t>
  </si>
  <si>
    <t>+79041212120</t>
  </si>
  <si>
    <t xml:space="preserve"> Baan karon resort</t>
  </si>
  <si>
    <t>https://drive.google.com/open?id=1jIu_HhmKkHzdGZnKtedgnEx4nlmr9Id-</t>
  </si>
  <si>
    <t xml:space="preserve">Homa bang Tao </t>
  </si>
  <si>
    <t>+79513083955</t>
  </si>
  <si>
    <t>https://drive.google.com/open?id=1MkTEZDC1fLveFcEyhSXYxaUjFtS2Ms5s</t>
  </si>
  <si>
    <t>@tatatsdi</t>
  </si>
  <si>
    <t>Soi Thean Thong, Rawai, Mueang Phuket District, Phuket 83100</t>
  </si>
  <si>
    <t>https://drive.google.com/open?id=1vegGFTWYnOmj04wWDyge7W8nuSoJDn-8</t>
  </si>
  <si>
    <t>https://drive.google.com/open?id=1T5WJfVk1J1Ey1N_zvClr0ppXYL1_qbvk</t>
  </si>
  <si>
    <t>+919066090000</t>
  </si>
  <si>
    <t>Jp house phuket</t>
  </si>
  <si>
    <t>+66824608660</t>
  </si>
  <si>
    <t>https://drive.google.com/open?id=17do7vcQircom1m4lp76-BCdqhhaV-1eI</t>
  </si>
  <si>
    <t>100usdt</t>
  </si>
  <si>
    <t>https://drive.google.com/open?id=1r0DCR3VKb2frtFLCqopc-Y2W6hYzaF8F</t>
  </si>
  <si>
    <t>Diamond resort  Room 5612</t>
  </si>
  <si>
    <t>+66 956183278</t>
  </si>
  <si>
    <t>https://drive.google.com/open?id=1Oj94-msXI9sdPMCKIpBLWVaQo9Q2Wk2_</t>
  </si>
  <si>
    <t>@MarcusMMA360</t>
  </si>
  <si>
    <t>Chic Condominium Juristic Person</t>
  </si>
  <si>
    <t>https://drive.google.com/open?id=1GT2qEYVeg91riWd47T6fPB-fRwjNlbpf</t>
  </si>
  <si>
    <t>@peterkulak</t>
  </si>
  <si>
    <t>Na Kamala Hotel</t>
  </si>
  <si>
    <t>+79185431783</t>
  </si>
  <si>
    <t>https://drive.google.com/open?id=1h8RiZltvO2t029yfsIKNEoTezjmXKApu</t>
  </si>
  <si>
    <t>6/33 moo 6, Kamala-Patong Rd., Kamala Beach, 83150</t>
  </si>
  <si>
    <t>0096550588699</t>
  </si>
  <si>
    <t>https://drive.google.com/open?id=1Tx1POpn71HSv5FTWMr4V2EiqvpfQvX4H</t>
  </si>
  <si>
    <t>Icon park phuket Condo by owner</t>
  </si>
  <si>
    <t>+84364830792</t>
  </si>
  <si>
    <t>https://drive.google.com/open?id=1nOuuUvEqrvnEY8MOx9mdVB-TGppppB2S</t>
  </si>
  <si>
    <t>Eastbangtaoville Phiket</t>
  </si>
  <si>
    <t>https://drive.google.com/open?id=1_Qg9O69pmT2ZoBx89e69_EJQPi9G19mW</t>
  </si>
  <si>
    <t>@loonycaine</t>
  </si>
  <si>
    <t>The 8 Pool Villa</t>
  </si>
  <si>
    <t>+66 61 246 6277</t>
  </si>
  <si>
    <t>0952069574</t>
  </si>
  <si>
    <t>https://drive.google.com/open?id=19iH7tqPUC-7YrD5IZvOJ_8FoSHaureTX</t>
  </si>
  <si>
    <t>Siam jewels villa</t>
  </si>
  <si>
    <t>+971585903539</t>
  </si>
  <si>
    <t>https://drive.google.com/open?id=18ucTjPmmPNeW3Z8xwgSM2zIVY1Dy47Dp</t>
  </si>
  <si>
    <t>https://drive.google.com/open?id=1giHBrb6hQtGzxA7NujhuNV4sosqtaUm_</t>
  </si>
  <si>
    <t>‪+7 919 677‑38‑99‬</t>
  </si>
  <si>
    <t>Sugar Marina Resort – Nautical – Kata Beach</t>
  </si>
  <si>
    <t>https://drive.google.com/open?id=1cMaBELcj5ccGBjwEx2hy4C2p1dUJo3wR</t>
  </si>
  <si>
    <t>+79199644348</t>
  </si>
  <si>
    <t>Cape Panwa โรงแรมเคปพันวา</t>
  </si>
  <si>
    <t>https://drive.google.com/open?id=1Jz4DE6b1Hg5bosKbgVy585FghQNTCnkJ</t>
  </si>
  <si>
    <t>+33 6 35 50 29 06</t>
  </si>
  <si>
    <t>Icon park phuket Condo</t>
  </si>
  <si>
    <t>https://drive.google.com/open?id=1PLHOXHLSBUEfprBtdsHzDef3E4m2vMu_</t>
  </si>
  <si>
    <t>Trichada Sky</t>
  </si>
  <si>
    <t>https://drive.google.com/open?id=1Cp9zT5q6YIFV3FVL0Rit2xyIZMvGG6ms</t>
  </si>
  <si>
    <t>+233505898541</t>
  </si>
  <si>
    <t>https://drive.google.com/open?id=12vNwkWAcZQXXO-BJPEMXvblMl3SYcQ6r</t>
  </si>
  <si>
    <t>Villa Mai Mee Pan Ha, 34/5 Soi Trongmong 2, Moo 2, Ban Sakhu, Thalang, 83110 PHUKET</t>
  </si>
  <si>
    <t>+33619068236</t>
  </si>
  <si>
    <t>https://drive.google.com/open?id=19r3jnkEj5CFULIBly6jQibDNcFjlREdx</t>
  </si>
  <si>
    <t xml:space="preserve">Icon park </t>
  </si>
  <si>
    <t>+966506629834</t>
  </si>
  <si>
    <t>https://drive.google.com/open?id=17HQhqdLRySncOXcbKY-TpZBpqoOCccW9</t>
  </si>
  <si>
    <t>+966592222639</t>
  </si>
  <si>
    <t>https://drive.google.com/open?id=1K65EDHfHongWQ2u4NoYVJOfVrpjp8y-z</t>
  </si>
  <si>
    <t>+79996384440</t>
  </si>
  <si>
    <t>Amari Phuket</t>
  </si>
  <si>
    <t>https://drive.google.com/open?id=1SLoUM-p_QKlCJIYFL1Do_1-z6sFaF6ke</t>
  </si>
  <si>
    <t>@aleks_raaa</t>
  </si>
  <si>
    <t>Mida Grand Resort</t>
  </si>
  <si>
    <t>https://drive.google.com/open?id=1HooKzPQGsQotIvT3RDnrpkPfJXBxXrQ2</t>
  </si>
  <si>
    <t>Trend Kamala</t>
  </si>
  <si>
    <t>https://drive.google.com/open?id=1L6PGtpMz1thJxBLHOnQh5--TPplxZKhO</t>
  </si>
  <si>
    <t>https://drive.google.com/open?id=18GbTSWGtmgfNTADsV0aCbSbFG79xX6Hx</t>
  </si>
  <si>
    <t>la green hotel and residence</t>
  </si>
  <si>
    <t>https://drive.google.com/open?id=1kIB4_SrrTzInOPuwyK0g1vMYsnfNZ8kc</t>
  </si>
  <si>
    <t>+995 511 493 534</t>
  </si>
  <si>
    <t xml:space="preserve">Cap mansion </t>
  </si>
  <si>
    <t>https://drive.google.com/open?id=1O8gfj8JCLTk9IsvykTI8ZYhnckOX6-p-</t>
  </si>
  <si>
    <t>Kiri pool villas</t>
  </si>
  <si>
    <t>https://drive.google.com/open?id=1-C5pDyvpOJ5Aj7_4-h5ter_l2TA4F7t1</t>
  </si>
  <si>
    <t>+79641055566</t>
  </si>
  <si>
    <t>https://drive.google.com/open?id=1FHayA2gv93fn5HMg4ftAsmTyKFqScnM0</t>
  </si>
  <si>
    <t>+16476078877</t>
  </si>
  <si>
    <t>https://drive.google.com/open?id=1qd0IQrZZSOLxgHr7ohPk08X3wmiTTktZ</t>
  </si>
  <si>
    <t>+79529425523</t>
  </si>
  <si>
    <t>Tuana Hotels Casa Del Sol</t>
  </si>
  <si>
    <t>https://drive.google.com/open?id=1tm3oY5gO4Mh40PGgve3_SQJKHyaD0oeY</t>
  </si>
  <si>
    <t>https://drive.google.com/open?id=1xhWBGsB4HVLkxNyPtZWC3Ki8Util9RHF</t>
  </si>
  <si>
    <t>https://drive.google.com/open?id=158Y0u-LZ0mAeak51_R_ONZ3unc1VLzIZ</t>
  </si>
  <si>
    <t>+79522709966</t>
  </si>
  <si>
    <t>https://drive.google.com/open?id=1BVNqLtSBjur6SEkSHZp0U3zMwaNqxx_N</t>
  </si>
  <si>
    <t>https://drive.google.com/open?id=1OzoGVM-kAgbZuZz45i8AOzsywkVmsRpK</t>
  </si>
  <si>
    <t>Sunsuri Phuket resort 5*</t>
  </si>
  <si>
    <t>https://drive.google.com/open?id=103ER1-GD7uSO0TmSlUEbBqwzlCVNnR2e</t>
  </si>
  <si>
    <t>https://drive.google.com/open?id=1TTOQJebRHj8SbOr7MFPEh9PfsHV1uNrv</t>
  </si>
  <si>
    <t xml:space="preserve">Soi Muban Laguna Village </t>
  </si>
  <si>
    <t>Soi Muban Laguna Village</t>
  </si>
  <si>
    <t>https://drive.google.com/open?id=1U0fPSVfh2uPD9HYbEEWMG6FXWtWJIRS0</t>
  </si>
  <si>
    <t>https://drive.google.com/open?id=1OJvUxiMjSYhVpuWo8OFc0CW4vhqyURB8</t>
  </si>
  <si>
    <t>@AleksNovikov78</t>
  </si>
  <si>
    <t>Sole Mio Boutique Hotel &amp; Wellness</t>
  </si>
  <si>
    <t>+79153599945</t>
  </si>
  <si>
    <t>https://drive.google.com/open?id=1Wt0kV7Juc9d02T7gwBRxio2ZqhaOFGaY</t>
  </si>
  <si>
    <t>@vladilebedev</t>
  </si>
  <si>
    <t>Bangtao Village Resort</t>
  </si>
  <si>
    <t>https://drive.google.com/open?id=1aTyjFYhSJxeay-aHFvHzUat2MURld-QV</t>
  </si>
  <si>
    <t>‪+7 929 643‑78‑28‬</t>
  </si>
  <si>
    <t xml:space="preserve">La green hotel and residence </t>
  </si>
  <si>
    <t>https://drive.google.com/open?id=1bcyYow0m0LF5nioXe1oUM9yIC5U_7cSc</t>
  </si>
  <si>
    <t>Di yana patagon</t>
  </si>
  <si>
    <t>‪+7 962 254‑99‑94‬</t>
  </si>
  <si>
    <t>https://drive.google.com/open?id=1QOmfRHtPk0487q0vtTaxRgsEBGqsAUfr</t>
  </si>
  <si>
    <t>+821075363748</t>
  </si>
  <si>
    <t>https://drive.google.com/open?id=1QjtOaRVhU6O4ZxAyuJe83QU5kQ4TAWXX</t>
  </si>
  <si>
    <t>Trichada Sky Villa#2</t>
  </si>
  <si>
    <t>https://drive.google.com/open?id=1i57ZEL1139HUVuephxu-8P8xnP7Bk8Qy</t>
  </si>
  <si>
    <t>+82 10 4614 0455</t>
  </si>
  <si>
    <t>https://drive.google.com/open?id=1909lZ5NHKD4wNMYwtjbuxhIq5ertzPgm</t>
  </si>
  <si>
    <t>@Ches4eke</t>
  </si>
  <si>
    <t>Baan Yin Dee Boutique Resort</t>
  </si>
  <si>
    <t>+66946876905</t>
  </si>
  <si>
    <t>https://drive.google.com/open?id=1sCBoXQwZ0vcHYCaya_-XxzmRr1JtbrPb</t>
  </si>
  <si>
    <t>https://drive.google.com/open?id=1rkFhpfWITJC5kYUSZn7s2yYGXg7v8FW1</t>
  </si>
  <si>
    <t>@Aleksandr_Pattaya</t>
  </si>
  <si>
    <t>Cape Sienna Gourmet Hotel &amp; Villas</t>
  </si>
  <si>
    <t>+66660677895</t>
  </si>
  <si>
    <t>https://drive.google.com/open?id=1AoeUscuvKZKDUufMG3_zVqz-DqbprJ0b</t>
  </si>
  <si>
    <t>https://drive.google.com/open?id=1yzlF4WdrkSi9NNL7gopUlHARnS3Qtxwr</t>
  </si>
  <si>
    <t>https://drive.google.com/open?id=1deNzwVr-pUo2usDeZ3ndbhZXuSaE51kv</t>
  </si>
  <si>
    <t>https://drive.google.com/open?id=1NO_wpExitJvmTQHbAm0c-ZQEtNOHIPzY</t>
  </si>
  <si>
    <t>https://drive.google.com/open?id=1n7A_dO04g6UYterwf8rUnZQspD23lQB2</t>
  </si>
  <si>
    <t xml:space="preserve">The boathouse Phuket </t>
  </si>
  <si>
    <t>https://drive.google.com/open?id=1cS40c6It70MhqkSmx9ivXGMufuVhXO4q</t>
  </si>
  <si>
    <t>@yakupov_marketolog</t>
  </si>
  <si>
    <t>Utopia Naiharn Serviced Residence</t>
  </si>
  <si>
    <t>+79177862964</t>
  </si>
  <si>
    <t>https://drive.google.com/open?id=1t_ZHYcRozbKV--uQfyci2rVS2wZ-FZFN</t>
  </si>
  <si>
    <t>@Arsen_Barseghyan</t>
  </si>
  <si>
    <t>Soi Pasak 8</t>
  </si>
  <si>
    <t>+79671370441</t>
  </si>
  <si>
    <t>https://drive.google.com/open?id=1d59q0ONDp1X0NfNLiAdiARQW_ew2VVl9</t>
  </si>
  <si>
    <t>Soi Posak 8</t>
  </si>
  <si>
    <t>https://drive.google.com/open?id=1DquJJOVHdQsdw2IMiP5mHrqIEboNSgX0</t>
  </si>
  <si>
    <t>https://drive.google.com/open?id=1W8UQtbvXmP5phiPq_ysCkb3qdTlOY1Ul</t>
  </si>
  <si>
    <t>Soi Pasak 13</t>
  </si>
  <si>
    <t>+79116621665</t>
  </si>
  <si>
    <t>https://drive.google.com/open?id=1yQEcOvBDe1OVxXEVLr_oNoxB-TlnHHTr</t>
  </si>
  <si>
    <t>+971 58 587 2193</t>
  </si>
  <si>
    <t>Ocean Stone apart 213</t>
  </si>
  <si>
    <t>https://drive.google.com/open?id=1qy86qYcPcyiTK0RTzOSw81-HbGGR-f52</t>
  </si>
  <si>
    <t>https://drive.google.com/open?id=1rg-hH5LrzcLIZ9aTgWLvcVdYD3lWt-3I</t>
  </si>
  <si>
    <t>https://drive.google.com/open?id=1U5iSO06HLOsNeA7iIQPsrC99LLxnsQbT</t>
  </si>
  <si>
    <t>‪+7 911 662‑16‑65‬</t>
  </si>
  <si>
    <t>https://drive.google.com/open?id=11fgan7vOXG4zVWROZIgtYtPMGNvnG9IR</t>
  </si>
  <si>
    <t>+ 7 911 662‑16‑65‬</t>
  </si>
  <si>
    <t>https://drive.google.com/open?id=1n_YHkPv59j-d-RP7Z9Shrxbg1j-jHZt6</t>
  </si>
  <si>
    <t>https://drive.google.com/open?id=1UGidcOFNqQuldypOMoiXBh3waWh4Up4V</t>
  </si>
  <si>
    <t>https://drive.google.com/open?id=15A3lSFFG7nW1HgUwz9SsewIhq6D_Tf6x</t>
  </si>
  <si>
    <t>@NInsomnia</t>
  </si>
  <si>
    <t>ESME‘ HILL VILLA PAKLOK</t>
  </si>
  <si>
    <t>0626433383</t>
  </si>
  <si>
    <t>https://drive.google.com/open?id=1X5It5o8bcXzkDmtrx6P6i28GuvS5IShj</t>
  </si>
  <si>
    <t>@nklv_n</t>
  </si>
  <si>
    <t>Phuket Sea Resort</t>
  </si>
  <si>
    <t>+995599014984</t>
  </si>
  <si>
    <t>https://drive.google.com/open?id=1tbyuAy-UVqTFg2Tvd0_c_wn0NbEEMSeO</t>
  </si>
  <si>
    <t>@Mihey14</t>
  </si>
  <si>
    <t>https://drive.google.com/open?id=1wokfA3I32fX7q08KJJtzYYHLL-MtsHsk</t>
  </si>
  <si>
    <t>Aspery Hotel Patong</t>
  </si>
  <si>
    <t>+79170802830</t>
  </si>
  <si>
    <t>https://drive.google.com/open?id=1ct82B7JjwQlbWw54Vr4wquv41y9drWeC</t>
  </si>
  <si>
    <t>the pavilions, room 303</t>
  </si>
  <si>
    <t>+698972905837</t>
  </si>
  <si>
    <t>https://drive.google.com/open?id=1P01KoXVnsFxT9Mw0rNkIbM182vFqP9Um</t>
  </si>
  <si>
    <t>Hilton Phuket</t>
  </si>
  <si>
    <t>https://drive.google.com/open?id=10PVeN0v-6PP5J-xYE5plgK0A4iP6wHAZ</t>
  </si>
  <si>
    <t>Sunrise Resort &amp; Fitness Club</t>
  </si>
  <si>
    <t>https://drive.google.com/open?id=1nK0Vbys_Kypsa14n0UAw-xrooWjBEwIY</t>
  </si>
  <si>
    <t>Aurora 105 Skypark</t>
  </si>
  <si>
    <t>https://drive.google.com/open?id=1Ar0DzQbPf1hu-Z1HChhebvdOK-xrmfVp</t>
  </si>
  <si>
    <t>A.Z. Sunrise Resort &amp; Fitness Club</t>
  </si>
  <si>
    <t>https://drive.google.com/open?id=1REo3qyPUasrx2y0-NGBAGm-F9ZFiU1lg</t>
  </si>
  <si>
    <t xml:space="preserve">Pullman Phuket Karon Beach Resort </t>
  </si>
  <si>
    <t>https://drive.google.com/open?id=17M00nJNkr1jhm8MZEAIT_ohAwZH1BKdC</t>
  </si>
  <si>
    <t>https://drive.google.com/open?id=1HDU8YroH_hDiyb5SYE8pqwDxSv2a8e1H</t>
  </si>
  <si>
    <t>Phuket Airport Inn</t>
  </si>
  <si>
    <t>https://drive.google.com/open?id=1CiRRu-qUGBfgg9kVMv_xHLyoSd9isDgj</t>
  </si>
  <si>
    <t>@IgaSan18</t>
  </si>
  <si>
    <t xml:space="preserve">Kalim Beach </t>
  </si>
  <si>
    <t>5 Soi Phrabarami 6, Tambon Patong, Chang Wat Phuket 83150, Thailand</t>
  </si>
  <si>
    <t>https://drive.google.com/open?id=1BShOp6unjb77hN5LrIb-Uway_hSX2U5_</t>
  </si>
  <si>
    <t>@ATC_Roy</t>
  </si>
  <si>
    <t>Novotel Phuket Vintage Park 4*, PHUKET-PATONG</t>
  </si>
  <si>
    <t>https://drive.google.com/open?id=1O0jbyQSJtQwiRLD9lBl2G2dDvGIKN-J5</t>
  </si>
  <si>
    <t>Space Cherngtalay Condominium</t>
  </si>
  <si>
    <t>+79114009140</t>
  </si>
  <si>
    <t>https://drive.google.com/open?id=1HpCCQH3mryvq05DCHZ53XyQrdLhdQOYl</t>
  </si>
  <si>
    <t>@bigman3110</t>
  </si>
  <si>
    <t>The ozone group</t>
  </si>
  <si>
    <t>+79626764147</t>
  </si>
  <si>
    <t>https://drive.google.com/open?id=1OKkSuf9XZL0rAAZ02O2jY5VUvfrOxcj4</t>
  </si>
  <si>
    <t>@idg17</t>
  </si>
  <si>
    <t>+66945159372</t>
  </si>
  <si>
    <t>Chanalai Flora Resort, Kata Beach - Phuket โรงแรมชนาลัย ฟลอร่า รีสอร์ท</t>
  </si>
  <si>
    <t>https://drive.google.com/open?id=1xPdTX-IePYro9Y6Ayv5cjOHSUmjhLWVH</t>
  </si>
  <si>
    <t>@MBadrutdinov</t>
  </si>
  <si>
    <t>https://drive.google.com/open?id=1s-md94AiLWOwbe6qLuvopPYM9ObsvHn1</t>
  </si>
  <si>
    <t>@MaxSafonov</t>
  </si>
  <si>
    <t>Sunsuri Phuket</t>
  </si>
  <si>
    <t>https://drive.google.com/open?id=1Ta1Mcm-c1RFIxcGrQwLR6nafn6mLDmQj</t>
  </si>
  <si>
    <t>https://drive.google.com/open?id=1DxqQYTHEAFx1qw-iItzJ4S7AYYQnKqvZ</t>
  </si>
  <si>
    <t>https://drive.google.com/open?id=10oBqcsF8J9D6ARKiQZAUQB7LALO-JOcJ</t>
  </si>
  <si>
    <t>https://drive.google.com/open?id=1pBxNEG_8k6HKqDFQ-HIrNgEFjpk9U9SZ</t>
  </si>
  <si>
    <t>Villasnpao 169/1</t>
  </si>
  <si>
    <t>https://drive.google.com/open?id=1iBhIF2idqMEwHsL0EVP264d1szDL5abm</t>
  </si>
  <si>
    <t>Thanyapura Sports &amp; Health Resort ธัญญปุระ สปอร์ต แอนด์ เฮลท์ รีสอร์ท</t>
  </si>
  <si>
    <t>+447896133614</t>
  </si>
  <si>
    <t>0946217729</t>
  </si>
  <si>
    <t>https://drive.google.com/open?id=1CRvHHw8CIpoM4anJv9wQydb2kJOzMGle</t>
  </si>
  <si>
    <t>https://drive.google.com/open?id=1tcPnnUoLxBiqekHtsSAus2lmLXhVAEeu</t>
  </si>
  <si>
    <t>Luminous Villa By Areca Phuket</t>
  </si>
  <si>
    <t>https://drive.google.com/open?id=1VhJq36ikt4FihspFpVlQWRc91NDy8c8-</t>
  </si>
  <si>
    <t>Royal Phawadee Village รอยัลภาวดีวิลเลจ</t>
  </si>
  <si>
    <t>+905350364795</t>
  </si>
  <si>
    <t>https://drive.google.com/open?id=1NZ_cyyxzbNaantB6AmukJyddOPA0nT5U</t>
  </si>
  <si>
    <t>https://drive.google.com/open?id=1yZBesC7HjKzoQ3XfrA7JPw4vDlMOP7Oe</t>
  </si>
  <si>
    <t>@xSVONx</t>
  </si>
  <si>
    <t>Phuket Graceland Resort and Spa ภูเก็ต เกรซแลนด์ รีสอร์ท แอนด์ สปา</t>
  </si>
  <si>
    <t>https://drive.google.com/open?id=10E4MH7ACCx1FCnF8dbEn7WUI32bNuLok</t>
  </si>
  <si>
    <t>@densvr</t>
  </si>
  <si>
    <t>Eden Beach Khao Lak Resort &amp; Spa</t>
  </si>
  <si>
    <t>+79110195440</t>
  </si>
  <si>
    <t>https://drive.google.com/open?id=1Sr3QrsA7Xiffmmn52ICRq5zFEyYY69Rh</t>
  </si>
  <si>
    <t>Pullman Phuket Karon Beach Resort พูลแมน ภูเก็ต กะรนบีช รีสอร์ต</t>
  </si>
  <si>
    <t>+994504272489</t>
  </si>
  <si>
    <t>https://drive.google.com/open?id=1tEfSSVy95Bq3s2y_izhKHTrs8BigQzSO</t>
  </si>
  <si>
    <t>https://drive.google.com/open?id=1pK4kIJPWsC6_3OYSnITsbvuOfd95FszE</t>
  </si>
  <si>
    <t xml:space="preserve">Poolrada boutique hotel </t>
  </si>
  <si>
    <t>https://drive.google.com/open?id=1xYADupuVQVQH3RoB6EuLExI3T2_cpZaZ</t>
  </si>
  <si>
    <t>Wyndham La Vita Phuket โรงแรมวินด์แฮม ลาวิต้า ภูเก็ต</t>
  </si>
  <si>
    <t>+79139851951</t>
  </si>
  <si>
    <t>https://drive.google.com/open?id=1XsiQFR32tAO8Eh9OdHxSaUfnQw06rris</t>
  </si>
  <si>
    <t>Wyndham la Vita Phuket Rawai.</t>
  </si>
  <si>
    <t>https://drive.google.com/open?id=1CJbclqsZlsYjMv9Ichv-Oo5Qjbh00S88</t>
  </si>
  <si>
    <t>Baan Bua P28</t>
  </si>
  <si>
    <t xml:space="preserve">Baan Bua Villa </t>
  </si>
  <si>
    <t>https://drive.google.com/open?id=1AtPY1E1JIbSRf01LMjznQok9017GNnvA</t>
  </si>
  <si>
    <t>@M_S_K_go</t>
  </si>
  <si>
    <t>Katatani Phuket beach resort property</t>
  </si>
  <si>
    <t>https://drive.google.com/open?id=1wab8sPKaB03P_iL0YRw10JyGhnsYUP3y</t>
  </si>
  <si>
    <t>47/10 Moo 3 the 8 pool villa, Soi Palai Taladyai Chalong Mueang Phuket</t>
  </si>
  <si>
    <t xml:space="preserve">STM </t>
  </si>
  <si>
    <t>STM</t>
  </si>
  <si>
    <t>https://drive.google.com/open?id=1M_6l70B4TtUIuL4pScS_Gxuohs_cZC2c</t>
  </si>
  <si>
    <t>City gate condo , p107</t>
  </si>
  <si>
    <t>‪+375 25 528‑22‑14‬</t>
  </si>
  <si>
    <t>+66966787306</t>
  </si>
  <si>
    <t>https://drive.google.com/open?id=1MGSNSeWgC9PyxJVsYz0zEwuRuyrNvROw</t>
  </si>
  <si>
    <t>https://drive.google.com/open?id=19Bl14n64Mu0Smi7LI1dJr3i2AsyP-YqC</t>
  </si>
  <si>
    <t>@abrowist</t>
  </si>
  <si>
    <t>IKON Phuket</t>
  </si>
  <si>
    <t>https://drive.google.com/open?id=1qx-Ysl6g9mb-lrLemLb3oPda3iWReujb</t>
  </si>
  <si>
    <t>@karl_karlov1996</t>
  </si>
  <si>
    <t>Ocean beachfront patong</t>
  </si>
  <si>
    <t>Oceanfront Beach Resort</t>
  </si>
  <si>
    <t>https://drive.google.com/open?id=1ULR7IFCraEQnYahBz4ii465pTmrVvov9</t>
  </si>
  <si>
    <t>Kamala falls</t>
  </si>
  <si>
    <t>https://drive.google.com/open?id=1Ff0iLpcTq0Gj35EIjks_4Oupe9GKwo7Y</t>
  </si>
  <si>
    <t>@ramilohohoh</t>
  </si>
  <si>
    <t>Amora Beach Resort Phuket โรงแรมอโมรา บีช รีสอร์ท ภูเก็ต</t>
  </si>
  <si>
    <t>https://drive.google.com/open?id=14OJTB02o6RQtMVa-ZbL8_b_7r6XLvt3I</t>
  </si>
  <si>
    <t>Icon park Apartment</t>
  </si>
  <si>
    <t>+41 77 498 87 93</t>
  </si>
  <si>
    <t>https://drive.google.com/open?id=1HOKf0H1fhLqS2f_D0dfsgzLpRe5Qetre</t>
  </si>
  <si>
    <t>https://drive.google.com/open?id=1hlSduVrggzVz40zKfAhArXQopFD8xL28</t>
  </si>
  <si>
    <t>https://drive.google.com/open?id=1qit6Y2hq-xWMqBXfYc8SdEnrwQ1HACUm</t>
  </si>
  <si>
    <t>+79242008434</t>
  </si>
  <si>
    <t>+79242016415</t>
  </si>
  <si>
    <t>https://drive.google.com/open?id=1Cktk61RQEOyNs_-9lnnRU-SPl3LnXXv5</t>
  </si>
  <si>
    <t>‪+7 952 221‑21‑46‬</t>
  </si>
  <si>
    <t>Отель Lalynn Resort &amp; Villas</t>
  </si>
  <si>
    <t>+66 80-583-3899</t>
  </si>
  <si>
    <t>https://drive.google.com/open?id=1cMyUXm72wXGhMIpLuyuXrLsA8GDX1OQN</t>
  </si>
  <si>
    <t>‪+7 914 705‑33‑32‬</t>
  </si>
  <si>
    <t>Mono Pool Villa Pasak</t>
  </si>
  <si>
    <t>https://drive.google.com/open?id=1--oHXeUqssgt_q0icka4PLVBEwvevvPu</t>
  </si>
  <si>
    <t>@Leeylochkaa</t>
  </si>
  <si>
    <t>https://drive.google.com/open?id=1M5rL61pdMyjzmF5qJVJFBDBr-pyc9Ux5</t>
  </si>
  <si>
    <t>‪+7 916 704‑66‑79‬</t>
  </si>
  <si>
    <t>https://drive.google.com/open?id=1b2yaeiXKveVIO97oVsCpHV8_V4pT6LJj</t>
  </si>
  <si>
    <t>@danila_orlov</t>
  </si>
  <si>
    <t>Z cape 3 condominium</t>
  </si>
  <si>
    <t>https://drive.google.com/open?id=1FHIPH-7KPjmiNyBMlwAxIGPMAWUp098V</t>
  </si>
  <si>
    <t>https://drive.google.com/open?id=1p1yrjDMrXBEFOWQapIRU0g6zZ3PeDbtj</t>
  </si>
  <si>
    <t>Kata Lovely Rest bed and breakfast</t>
  </si>
  <si>
    <t>‪+7 999 155‑94‑43‬</t>
  </si>
  <si>
    <t>https://drive.google.com/open?id=1VTX7Z07a8sZgugpsk1uLBgJweHM8ij-t</t>
  </si>
  <si>
    <t>@Elena_Tsaturova</t>
  </si>
  <si>
    <t>+7 968 903 6791</t>
  </si>
  <si>
    <t>https://drive.google.com/open?id=1DbqfAFBicD4Xe-TWu6lUs1_JUIMPD7Sm</t>
  </si>
  <si>
    <t>@business_assistant_v</t>
  </si>
  <si>
    <t>https://drive.google.com/open?id=1OKhCG9j39snmvB-sX0gsVv1oM5mdI3H3</t>
  </si>
  <si>
    <t>@bro_828</t>
  </si>
  <si>
    <t>https://drive.google.com/open?id=1ldocYmNkeHLbIh-KbsKCjIi8k5_sAcyZ</t>
  </si>
  <si>
    <t>@Alexey_Berdinskikh</t>
  </si>
  <si>
    <t>Dusit Thani Laguna Phuket</t>
  </si>
  <si>
    <t>https://drive.google.com/open?id=1g0M1FVyWrYALP23rQqEEZqCybeB2EfiH</t>
  </si>
  <si>
    <t>BOTANICA Modern Loft II</t>
  </si>
  <si>
    <t>https://drive.google.com/open?id=1R3MTaHjwRIGG-B6YwbPgj9r18H37ai9q</t>
  </si>
  <si>
    <t>+7 993 944-42-14</t>
  </si>
  <si>
    <t>https://drive.google.com/open?id=1OfSxpqyDV4FRUUfAhp6BizRmNUzxUig1</t>
  </si>
  <si>
    <t>https://drive.google.com/open?id=1qyBbJmmLGWjWPAVo5w-nCRDIIHcLnkKD</t>
  </si>
  <si>
    <t>Jk</t>
  </si>
  <si>
    <t>The Regent Bangtao</t>
  </si>
  <si>
    <t>+358400298588</t>
  </si>
  <si>
    <t>https://drive.google.com/open?id=1FkKPttOzy3G8_6qnMdpe8WzMzHbPRpyM</t>
  </si>
  <si>
    <t>Laya Resort Phuket</t>
  </si>
  <si>
    <t>https://drive.google.com/open?id=1RcYZ-B6WczS23YVWYhE_IafgSS2VJKad</t>
  </si>
  <si>
    <t>@leha_San</t>
  </si>
  <si>
    <t>Chalong Miracle Lakeview</t>
  </si>
  <si>
    <t>0929366576</t>
  </si>
  <si>
    <t>https://drive.google.com/open?id=1le-H1m-B2-acZPhdinWyRVBrpf7ueQu-</t>
  </si>
  <si>
    <t>Bang Tao Chalet resort</t>
  </si>
  <si>
    <t>https://drive.google.com/open?id=1nBjogG3j3AOSp5g0vO63y93Ms1flOc_0</t>
  </si>
  <si>
    <t>Thaiya Villa 2</t>
  </si>
  <si>
    <t>+66944757466</t>
  </si>
  <si>
    <t xml:space="preserve">Stm </t>
  </si>
  <si>
    <t>https://drive.google.com/open?id=14sDAYZhNe296F8jQNuUS3i59enYCmFa0</t>
  </si>
  <si>
    <t>Baan Bua Main Entrance 1 (ทางเข้า1 โครงการในหานบ้านบัว) Baan Bua Villa Main Entrance บริษัท ในหานบ้านบัว จำกัด</t>
  </si>
  <si>
    <t>https://drive.google.com/open?id=1Ksi8ZlaUQCxBdmMHVChFnMy9eym-wDh-</t>
  </si>
  <si>
    <t>@Sergei_dyshkant</t>
  </si>
  <si>
    <t>Sunset hotel</t>
  </si>
  <si>
    <t>+79222474175</t>
  </si>
  <si>
    <t>https://drive.google.com/open?id=1x5lWCNg_VMxb-0Um4_f5lI_ViB2YoJtL</t>
  </si>
  <si>
    <t>+7 977 604-98-30</t>
  </si>
  <si>
    <t>Relife the Windy by Villacarte, 15/230, soi 1, Rawai, Mueang, Phuket Mueang, Rawai, Phuket 83130</t>
  </si>
  <si>
    <t>https://drive.google.com/open?id=1X3Q5OuCRVJEToo_SiA2damhbb7yy8-Or</t>
  </si>
  <si>
    <t>@Danil20111</t>
  </si>
  <si>
    <t>pavilion</t>
  </si>
  <si>
    <t>https://drive.google.com/open?id=1B4ziHrvK2KGg15TA4q_jl_1w1XZuVo6f</t>
  </si>
  <si>
    <t>https://drive.google.com/open?id=1m5eRdt59EW5fYAcKkT4cZSlloTZTOmgn</t>
  </si>
  <si>
    <t>@irin_guzii</t>
  </si>
  <si>
    <t xml:space="preserve">Soi Naiyang </t>
  </si>
  <si>
    <t>https://drive.google.com/open?id=1PX53kKPRiL3JL4BfdpelykmUUSUVGL4F</t>
  </si>
  <si>
    <t xml:space="preserve">Home Phuket </t>
  </si>
  <si>
    <t>+971543992400</t>
  </si>
  <si>
    <t>https://drive.google.com/open?id=17u7XvFjVyRRYX3pIUK324S5leTmDf5ZX</t>
  </si>
  <si>
    <t xml:space="preserve">Homa Phuket </t>
  </si>
  <si>
    <t>+7 921 933-13-43</t>
  </si>
  <si>
    <t>https://drive.google.com/open?id=1vIBhP4yzHQCKH1D3NT2Q99AJg6aGHUx5</t>
  </si>
  <si>
    <t>@Artem4ik1988</t>
  </si>
  <si>
    <t>THE AIM PATONG 3</t>
  </si>
  <si>
    <t>https://drive.google.com/open?id=18llqDLQHpMIK9Bfsac8Qu8S2TaVnqNJX</t>
  </si>
  <si>
    <t>@Nolimitexp</t>
  </si>
  <si>
    <t>Laguna Lakeside Residences by My Home Phuket</t>
  </si>
  <si>
    <t>https://drive.google.com/open?id=1y8mVHBANxxT-bZc1BmIEeL6TePj5EeSW</t>
  </si>
  <si>
    <t>https://drive.google.com/open?id=1ExSCO0mgpeW1ZMtDQJXkHdubTQ7mSUtP</t>
  </si>
  <si>
    <t>https://drive.google.com/open?id=1O5CMlSkz28nOSBkkoTS--KAfi2ousZ9a</t>
  </si>
  <si>
    <t>https://drive.google.com/open?id=1D9ld18mvrmCxzJGmiH0EEvAPg1DAIOZl</t>
  </si>
  <si>
    <t>+7 921 937-98-04</t>
  </si>
  <si>
    <t>https://drive.google.com/open?id=1zjBeoyKS1p6-LPHviO82aiDnBuQdw5RE</t>
  </si>
  <si>
    <t>SKY LOFTS PHUKET</t>
  </si>
  <si>
    <t>+66 92 903 4217</t>
  </si>
  <si>
    <t>https://drive.google.com/open?id=1HpYQMfRKlm4dw387FDQ-xcTgLGR7L251</t>
  </si>
  <si>
    <t>+66 92 903 4365</t>
  </si>
  <si>
    <t>https://drive.google.com/open?id=1spyPoN_38KE33nd7MAEaHe5zO7q6uWsm</t>
  </si>
  <si>
    <t>+7 903 366 8797</t>
  </si>
  <si>
    <t>https://drive.google.com/open?id=1GYPH18T_ucOQ_PHdnpi_20OqWbvf_k30</t>
  </si>
  <si>
    <t>@maleggg</t>
  </si>
  <si>
    <t>Allamanda 1 Condominium</t>
  </si>
  <si>
    <t>https://drive.google.com/open?id=14UwXnbnu-urc0l0A9-Wj_-c-OA-O_LIk</t>
  </si>
  <si>
    <t>+7 914 927-51-62</t>
  </si>
  <si>
    <t>https://drive.google.com/open?id=1q6xWOJW6ea-KZxmFVAq00sYHi1c1PPTI</t>
  </si>
  <si>
    <t>@stanislav_oko</t>
  </si>
  <si>
    <t>La Colline</t>
  </si>
  <si>
    <t>+6282313570439</t>
  </si>
  <si>
    <t>+35796663992</t>
  </si>
  <si>
    <t>https://drive.google.com/open?id=1lfIj1bj2-DFSaSycYoZ8Veueypn7vkhu</t>
  </si>
  <si>
    <t>https://drive.google.com/open?id=1koxXakvtasSIAJObJjbMEZ6kanadjj2v</t>
  </si>
  <si>
    <t>Live@loft Apartelle The Rubber Hotel - Sha Extra Plus</t>
  </si>
  <si>
    <t>+79963860750</t>
  </si>
  <si>
    <t xml:space="preserve">Live@loft Apartelle The Rubber Hotel </t>
  </si>
  <si>
    <t>https://drive.google.com/open?id=1p6e1p74vUqcAJMKnJ6KRT7pGhACImUck</t>
  </si>
  <si>
    <t>HOMA Cherngtalay</t>
  </si>
  <si>
    <t>https://drive.google.com/open?id=1VTev84aWpaxUAtfLk81jN3z7OzJosK2X</t>
  </si>
  <si>
    <t>Live@loft Apartelle The Rubber Hotel</t>
  </si>
  <si>
    <t>‪+7 996 386‑07‑50‬</t>
  </si>
  <si>
    <t>https://drive.google.com/open?id=14eDHE2LictwwqcEoFuczf4fXTD5AmGsa</t>
  </si>
  <si>
    <t>villa laguna residence 8</t>
  </si>
  <si>
    <t>https://drive.google.com/open?id=1vUt676T8l7yfvRuogs0jejBsHV3WrT3K</t>
  </si>
  <si>
    <t>@shevikovsergey</t>
  </si>
  <si>
    <t>Rock Hill Place Patong</t>
  </si>
  <si>
    <t>+66959240095</t>
  </si>
  <si>
    <t>https://drive.google.com/open?id=1bDsqhOcIGWbwvqJZQhRd3FW2ewGYwlsO</t>
  </si>
  <si>
    <t>@Victoria_Steshenko</t>
  </si>
  <si>
    <t>+79999600666</t>
  </si>
  <si>
    <t>+79153858880</t>
  </si>
  <si>
    <t>https://drive.google.com/open?id=1IWPJ4eWVwkVC_zqTQNnTJDvX7Gdv87O0</t>
  </si>
  <si>
    <t>@alexgurg</t>
  </si>
  <si>
    <t>Sugar palm residence</t>
  </si>
  <si>
    <t>0823902531</t>
  </si>
  <si>
    <t>https://drive.google.com/open?id=1HUuZyJIpnxrjc60Yn1j_bwxDYHtFSvGp</t>
  </si>
  <si>
    <t>The Title Legendary Bang-Tao</t>
  </si>
  <si>
    <t>https://drive.google.com/open?id=1FX1npWeqROQhLt2QR73CazbRXW-oZlam</t>
  </si>
  <si>
    <t>@tatiko123</t>
  </si>
  <si>
    <t>Townhouse Svista Life</t>
  </si>
  <si>
    <t>https://drive.google.com/open?id=1EYFS4qyss1GiWn-dkYlZTRgM6S794QA4</t>
  </si>
  <si>
    <t>https://drive.google.com/open?id=1FZiNY_ghbT_kU-SFaiAKENmOXe5yY1kE</t>
  </si>
  <si>
    <t>Wings Phuket Villa by Two Villas HOLIDAY</t>
  </si>
  <si>
    <t>https://drive.google.com/open?id=1VDV9j7a2A3NG7XDU2Cuc85MHKCNxL4f1</t>
  </si>
  <si>
    <t>https://drive.google.com/open?id=1iNenV8Jo1NXo3b3cmY4U3z7ae1oV1dQX</t>
  </si>
  <si>
    <t>@T0NY_Y</t>
  </si>
  <si>
    <t>Lexis Residence &amp; Bar</t>
  </si>
  <si>
    <t>https://drive.google.com/open?id=1tK58PJNPrw8qR0-InRydO-406gETsUNU</t>
  </si>
  <si>
    <t>Whats</t>
  </si>
  <si>
    <t>Kora</t>
  </si>
  <si>
    <t>+7 966 666-55-55</t>
  </si>
  <si>
    <t>https://drive.google.com/open?id=1Vh09tpovMkOxx6vEExHP5Xyz1Hc8ru6F</t>
  </si>
  <si>
    <t>@Semafor1</t>
  </si>
  <si>
    <t>https://drive.google.com/open?id=1b-mqF_Awt4n0lQ-rcZ8G4blbGq76jPrh</t>
  </si>
  <si>
    <t>Sun Suri hotel nai harn</t>
  </si>
  <si>
    <t>https://drive.google.com/open?id=1cyvfqxIWtMs9W-rmjqJUj6VQ3uhJoOJt</t>
  </si>
  <si>
    <t>Lotus Villas Baan Khunyaphat Residences Mandala Residences by Baan Khunyaphat</t>
  </si>
  <si>
    <t>https://drive.google.com/open?id=1r-yxjAN2yLPlK3TYb7CuOtJA8RBrZ2wq</t>
  </si>
  <si>
    <t>@Petry4io</t>
  </si>
  <si>
    <t>Chanalai Garden Resort</t>
  </si>
  <si>
    <t>+46729164175</t>
  </si>
  <si>
    <t>https://drive.google.com/open?id=1hIfE4irDVm_ySwgGLcggI8UMrPSz5ZFg</t>
  </si>
  <si>
    <t>https://drive.google.com/open?id=16NUrBo4Juftx1EmrQP1ewbX_fLuCyG3Y</t>
  </si>
  <si>
    <t>@logistx7</t>
  </si>
  <si>
    <t>Mono villas 48/8</t>
  </si>
  <si>
    <t>+79090150445</t>
  </si>
  <si>
    <t>The Luna Hostel</t>
  </si>
  <si>
    <t>https://drive.google.com/open?id=15r_KbLsWRkc-8KGJ6f4Vxm7cEtD68bQO</t>
  </si>
  <si>
    <t>@alisaplastic23</t>
  </si>
  <si>
    <t>https://drive.google.com/open?id=1dedijyB4ggvpm8HjKIljIsor5CX3aRBw</t>
  </si>
  <si>
    <t>+79299937295</t>
  </si>
  <si>
    <t>+79039724152</t>
  </si>
  <si>
    <t>https://drive.google.com/open?id=1Iph2B_76aDmosoyjrxQ2Ne5QaisFE7NK</t>
  </si>
  <si>
    <t>Patong bay hill room n106</t>
  </si>
  <si>
    <t>+33 7 76 46 80 45</t>
  </si>
  <si>
    <t>https://drive.google.com/open?id=1Ox59shZHOo2x0Ry7zO3Fw0_ViaHjchSH</t>
  </si>
  <si>
    <t>https://drive.google.com/open?id=1YG1CEdOOotXa19WIgMzCQvl8MqWhMYNh</t>
  </si>
  <si>
    <t>@troysdor</t>
  </si>
  <si>
    <t>TREERAT BANGTAO HOUSE</t>
  </si>
  <si>
    <t>https://drive.google.com/open?id=1pV9qpFZ3Amy9_QsFa3HLGn7MkH2vBy2Y</t>
  </si>
  <si>
    <t>Lux pride 2 villa by warm plus</t>
  </si>
  <si>
    <t>https://drive.google.com/open?id=1jeTgHJpglJbaaI_nRDRqK-Q-zxjVhpUe</t>
  </si>
  <si>
    <t>@glebbiz</t>
  </si>
  <si>
    <t>Renaissance Phuket Resort &amp; Spa เรเนซองส์ ภูเก็ต รีสอร์ท แอนด์ สปา</t>
  </si>
  <si>
    <t>Cape Sienna</t>
  </si>
  <si>
    <t>https://drive.google.com/open?id=1jVOaMu5VEXBn5zRamrgtBmosWDnEsDch</t>
  </si>
  <si>
    <t>@igor2telegram</t>
  </si>
  <si>
    <t>https://drive.google.com/open?id=1n0KD2UMT4r4DS78hPkUxfFkp_AlLHB2p</t>
  </si>
  <si>
    <t>Jasmine Village</t>
  </si>
  <si>
    <t>https://drive.google.com/open?id=1gxpmiU0rVwnl7LE7jaQC_tg7-w-Xf55u</t>
  </si>
  <si>
    <t>Naithon Seaview Hotel</t>
  </si>
  <si>
    <t>‪+44 7946 070798‬</t>
  </si>
  <si>
    <t>https://drive.google.com/open?id=1d2irVogDLLeZsugTVnRoRp0TQAhuZhnh</t>
  </si>
  <si>
    <t>+7 927 562-12-67</t>
  </si>
  <si>
    <t>Ibis hotel</t>
  </si>
  <si>
    <t>https://drive.google.com/open?id=1W6LCnlbZ8LhvQcGdHJPLoV8NGaBy4kz1</t>
  </si>
  <si>
    <t>Shambala Sol Villas</t>
  </si>
  <si>
    <t>‪+31 6 47660246‬</t>
  </si>
  <si>
    <t>https://drive.google.com/open?id=1co6_Prj9PEvDL0sOpiErynXWTNSvyZD-</t>
  </si>
  <si>
    <t>@levenkoov</t>
  </si>
  <si>
    <t>The SIS Kata</t>
  </si>
  <si>
    <t>+79196600132</t>
  </si>
  <si>
    <t>+79933343878</t>
  </si>
  <si>
    <t>https://drive.google.com/open?id=1c77lbuGdgRiXyJ6aqePhAW6FtbbRPGX4</t>
  </si>
  <si>
    <t>Be Leaf Resort</t>
  </si>
  <si>
    <t>https://drive.google.com/open?id=1qROg_lL6DlAwByCw0lXuphPTQfAyTvUX</t>
  </si>
  <si>
    <t>@Chefsweber</t>
  </si>
  <si>
    <t>Utopia loft naiharn</t>
  </si>
  <si>
    <t>https://drive.google.com/open?id=1pe2DbUAZ9UEwgWzEMerd6Y38MgAvEata</t>
  </si>
  <si>
    <t>Thavorn Beach Village and Spa ถาวร บีช วิลเลจ รีสอร์ท แอนด์ สปา</t>
  </si>
  <si>
    <t>https://drive.google.com/open?id=19o1Mc4MAcJPuvm0fzELUnz81XrMWSouV</t>
  </si>
  <si>
    <t>saii laguna phuket</t>
  </si>
  <si>
    <t>+7 964 572 0090</t>
  </si>
  <si>
    <t>https://drive.google.com/open?id=1i4VnyDR2Pj1fTYSmtkil5C1RGqW7qyaC</t>
  </si>
  <si>
    <t>@ilikevladislav</t>
  </si>
  <si>
    <t>Ton Mai Bungalows</t>
  </si>
  <si>
    <t>+7 (977) 297-01-01</t>
  </si>
  <si>
    <t>https://drive.google.com/open?id=1qGSjnoRTAnU-4TWDmkBd39DfKmRtU0FP</t>
  </si>
  <si>
    <t>Waterfront Suites Phuket by Centara</t>
  </si>
  <si>
    <t>8 (903) 392-71-22</t>
  </si>
  <si>
    <t>https://drive.google.com/open?id=10QYIwsdFlNYH-MGElPLT6joS8cPOLtRO</t>
  </si>
  <si>
    <t>@maleev_evgeniy</t>
  </si>
  <si>
    <t>Bellevue Lagoon Phuket</t>
  </si>
  <si>
    <t>+79166306309</t>
  </si>
  <si>
    <t>https://drive.google.com/open?id=1MH8bEJWb5UqCkFHNQOfrHo-m23GsTMIy</t>
  </si>
  <si>
    <t>+44 7960 000839</t>
  </si>
  <si>
    <t>sumalee boxing gym</t>
  </si>
  <si>
    <t>https://drive.google.com/open?id=1qbf91BHzkH1hEaiYffPSkPkQjUOPeLQD</t>
  </si>
  <si>
    <t>@handeln_wie_hayvan</t>
  </si>
  <si>
    <t>Aristo 1</t>
  </si>
  <si>
    <t>+79144710130</t>
  </si>
  <si>
    <t>Aristo1</t>
  </si>
  <si>
    <t>https://drive.google.com/open?id=1cWZYK1KNNpaZwhDN4zPL0nuJg95hdOqA</t>
  </si>
  <si>
    <t>‪+90 536 338 31 72‬</t>
  </si>
  <si>
    <t>Asherah Villa 99-24</t>
  </si>
  <si>
    <t>https://drive.google.com/open?id=1ij6nFPvbJd2DzKxSO47VaK9me762wBLX</t>
  </si>
  <si>
    <t>https://drive.google.com/open?id=15n7xGOgWLWWxgDSbp_dhjL_Soxtk9c4T</t>
  </si>
  <si>
    <t>https://drive.google.com/open?id=1c8kzHeuRe4uqV8C696ycLxNtQURi0G6A</t>
  </si>
  <si>
    <t>https://drive.google.com/open?id=1hJaI7N9qaoXIxfufbIxryqaM9P4qTten</t>
  </si>
  <si>
    <t>@Julia_Konstanta27</t>
  </si>
  <si>
    <t>Milo’s House</t>
  </si>
  <si>
    <t>+7 902 909 1093</t>
  </si>
  <si>
    <t>https://drive.google.com/open?id=1C_4dzw9YtvN_HLOeCmDDAxXc3HavfhNE</t>
  </si>
  <si>
    <t>Laguna Lakeside Residences by My Home Phuket ลากูน่า เลคไซด์ เรสซิเดนท์</t>
  </si>
  <si>
    <t>https://drive.google.com/open?id=1R5seUvzeYkwm6ISdgxgHmGBr7flZ-vDX</t>
  </si>
  <si>
    <t>‪+7 999 822‑58‑05‬</t>
  </si>
  <si>
    <t xml:space="preserve">Tambon Thep Krassati </t>
  </si>
  <si>
    <t>https://drive.google.com/open?id=1WB6rf2qvND-yXMlA23q-QdR6lfAlgCC7</t>
  </si>
  <si>
    <t>‪+7 983 507‑22‑21‬</t>
  </si>
  <si>
    <t>https://drive.google.com/open?id=1GX5doCQOHgSwypVXm2TfskcYW-ibGga-</t>
  </si>
  <si>
    <t>@Marchek111</t>
  </si>
  <si>
    <t>https://drive.google.com/open?id=1YS3zgqABSRPhlQzmAdymoWKFLo-ZLS1H</t>
  </si>
  <si>
    <t>@iHosty</t>
  </si>
  <si>
    <t>https://drive.google.com/open?id=1oifW7y2qgTiDnMgBF_HtJ8okkq7MWHPP</t>
  </si>
  <si>
    <t>@vozmojno777</t>
  </si>
  <si>
    <t>The View Rawada Phuket Resort เดอะวิว ราวาด้า ภูเก็ต รีสอร์ท</t>
  </si>
  <si>
    <t>+79308888062</t>
  </si>
  <si>
    <t>https://drive.google.com/open?id=1bUQC6_IW-gWaeBiarOBJOQDqYltYpGuT</t>
  </si>
  <si>
    <t>https://drive.google.com/open?id=1jqn5mpG_vMjaAnh-rdXFoc25sJan5JN_</t>
  </si>
  <si>
    <t>https://drive.google.com/open?id=14o8RtPTwY_F1Jl8wFF0NjUELr11ZG1fz</t>
  </si>
  <si>
    <t>@Ramis_Gimaziev</t>
  </si>
  <si>
    <t>Marina House MUAYTHAI Ta-iad Phuket</t>
  </si>
  <si>
    <t>https://drive.google.com/open?id=18HPZ711ysOtL8hNEhmKIQKohCMeatS2f</t>
  </si>
  <si>
    <t>‪+44 7973 152930‬</t>
  </si>
  <si>
    <t>https://drive.google.com/open?id=1shLx7FiEVHc9rcygisOMXsLsenEB17SN</t>
  </si>
  <si>
    <t>@Nadezhda_Sopotsinskaya</t>
  </si>
  <si>
    <t>Naithonburi Beach Resort ในทอน บุรี บีช รีสอร์ท</t>
  </si>
  <si>
    <t>+79032878838</t>
  </si>
  <si>
    <t>+7951070283</t>
  </si>
  <si>
    <t>https://drive.google.com/open?id=1LyydIR3_vSOb2M1wgQQCx6-od3Pce7z-</t>
  </si>
  <si>
    <t>Alex Gt</t>
  </si>
  <si>
    <t>Asherah Villas Phase 3</t>
  </si>
  <si>
    <t>+66 6-5210 5876</t>
  </si>
  <si>
    <t>https://drive.google.com/open?id=1HHIpnP5TXlxYPTyA603MnmNM7g-B0-Hl</t>
  </si>
  <si>
    <t>@xeniks</t>
  </si>
  <si>
    <t>ASHLEE Plaza Patong Hotel &amp; Spa</t>
  </si>
  <si>
    <t>8-909-922-24-22</t>
  </si>
  <si>
    <t>8-966-066-66-34</t>
  </si>
  <si>
    <t>https://drive.google.com/open?id=1JLuzVkRS0j2Yx_D2S6Df6WhYs4kmBTL4</t>
  </si>
  <si>
    <t>https://drive.google.com/open?id=12MCVwMAco7idTrdA-JJit1YhWXtCpt9J</t>
  </si>
  <si>
    <t>Скай Парк</t>
  </si>
  <si>
    <t>https://drive.google.com/open?id=1VtCC8RdLeP4XGRB6E9THqqH7boMqeooK</t>
  </si>
  <si>
    <t>3bdr townhouse</t>
  </si>
  <si>
    <t>https://drive.google.com/open?id=1_7fzCR1RUbT-oAMe05ZhN5iLYhlhBmrE</t>
  </si>
  <si>
    <t>Tambon rawai</t>
  </si>
  <si>
    <t>‪+62 877‑0070‑4130‬</t>
  </si>
  <si>
    <t>Phuket International Airport.</t>
  </si>
  <si>
    <t>https://drive.google.com/open?id=1kP9EATNKwz8a_OgYJmuX_tjPBvPtXB9G</t>
  </si>
  <si>
    <t>@mark_devops</t>
  </si>
  <si>
    <t>Pearl Hotel Phuket โรงแรมเพิร์ล</t>
  </si>
  <si>
    <t>+7 (964) 798-65-39</t>
  </si>
  <si>
    <t>+7 (965) 128-71-31</t>
  </si>
  <si>
    <t>https://drive.google.com/open?id=1Dlnph6ldrxg7K6hANlwQWKVNl0mo2By-</t>
  </si>
  <si>
    <t>https://drive.google.com/open?id=1EU9vSKGqP-OkZPon4LEY4AmgNvWeYqK_</t>
  </si>
  <si>
    <t>+66 96-838-4045</t>
  </si>
  <si>
    <t>https://drive.google.com/open?id=10mZYm85uYKAEDnfZMDWFIsnHFSHEhvs1</t>
  </si>
  <si>
    <t>+7 926 865‑64‑35</t>
  </si>
  <si>
    <t>Layantara Villas ลายันธารา รีสอร์ท</t>
  </si>
  <si>
    <t>https://drive.google.com/open?id=1tpVUtdMVTGxPBDBSJBuNXjqD_2DUFNIT</t>
  </si>
  <si>
    <t>https://drive.google.com/open?id=1rhcUpRLUAIHWTrk2pN33PBzY5ACedyE6</t>
  </si>
  <si>
    <t>+971 54 591 0707</t>
  </si>
  <si>
    <t>Ozone 88/55</t>
  </si>
  <si>
    <t>https://drive.google.com/open?id=1cN8MqHnb5q2KvWhabjDendINQAyL19s5</t>
  </si>
  <si>
    <t>https://drive.google.com/open?id=1CpV4BcYFJZWrZthvvbacLpmVefrxN3Ws</t>
  </si>
  <si>
    <t>@nastya_savr</t>
  </si>
  <si>
    <t>Sawaddi Patong Resort โรงแรม สวัสดีป่าตอง รีสอร์ท แอนด์ สปา</t>
  </si>
  <si>
    <t>+7(916)995-57-95</t>
  </si>
  <si>
    <t>https://drive.google.com/open?id=1ys5mQTRJRpcovzk3KdbEh5U-2NfxZk5A</t>
  </si>
  <si>
    <t>@LeonidDudarev</t>
  </si>
  <si>
    <t>https://drive.google.com/open?id=1jUYSm2LIChiOu_vpDcJRQz93LbabjMug</t>
  </si>
  <si>
    <t>https://drive.google.com/open?id=1sv59APXw8r2bO6YJDJhcK1XRyAzt406m</t>
  </si>
  <si>
    <t xml:space="preserve">Novotel Phuket Vintage park </t>
  </si>
  <si>
    <t>https://drive.google.com/open?id=1gB-wje593o-96EzkCXx425f-CgfYnYiO</t>
  </si>
  <si>
    <t>+7 915 310-03-81</t>
  </si>
  <si>
    <t>https://drive.google.com/open?id=1dl8Xk_uuyr5yNueJI5fChM74vlAIn528</t>
  </si>
  <si>
    <t>‪+47 466 53 621‬</t>
  </si>
  <si>
    <t>kora beach resort</t>
  </si>
  <si>
    <t>https://drive.google.com/open?id=1Tzj-ZCPsNJC1oJeYDWERVOEmCh8Sl5Nx</t>
  </si>
  <si>
    <t>@onettk</t>
  </si>
  <si>
    <t>Laguna park, 65/215</t>
  </si>
  <si>
    <t>https://drive.google.com/open?id=15YwXMgskpIr3La9JHe9hXVOgvz44Hp6t</t>
  </si>
  <si>
    <t>@RayanMedla</t>
  </si>
  <si>
    <t>Palmyrah Surin Beach</t>
  </si>
  <si>
    <t>+79175675672</t>
  </si>
  <si>
    <t>https://drive.google.com/open?id=1sp0AE0GpPSkcBNvvyQOZTJSlrALhZlC3</t>
  </si>
  <si>
    <t>The Aristo Resort 1</t>
  </si>
  <si>
    <t>https://drive.google.com/open?id=1fDYoZKSgi1gfrbAitAYuJKPlemWV5uvC</t>
  </si>
  <si>
    <t>https://drive.google.com/open?id=1W6UUH2A27BP5w844n-uskOKG6ghkQnsB</t>
  </si>
  <si>
    <t>@dr_dentists136</t>
  </si>
  <si>
    <t>AtEase Phuket Patong</t>
  </si>
  <si>
    <t>https://drive.google.com/open?id=1h1086Lrx8zrEE7hG56fEkfwSdL9dPcJ0</t>
  </si>
  <si>
    <t>+7 921 687 1858</t>
  </si>
  <si>
    <t>Andaman Embrace Resort &amp; Spa</t>
  </si>
  <si>
    <t>https://drive.google.com/open?id=1FBvcg3FdBbL7ByivtEOqFd2vyr-F2FU1</t>
  </si>
  <si>
    <t>Ocean House, Best of Laguna</t>
  </si>
  <si>
    <t>https://drive.google.com/open?id=1iLBBlOuG48Mmy4q1XiMFGp17UNko5e7e</t>
  </si>
  <si>
    <t>Phuket Emerald Beach Resort โรงแรมภูเก็ต เอมเมอรัล</t>
  </si>
  <si>
    <t>+79094098083</t>
  </si>
  <si>
    <t>https://drive.google.com/open?id=19h-D0IBarpU1FsaO-jZFf9IyxCZ04uzQ</t>
  </si>
  <si>
    <t>@dishapa</t>
  </si>
  <si>
    <t>+79152368860</t>
  </si>
  <si>
    <t>https://drive.google.com/open?id=1MuLpLKO--FceBb5xi4alLB8rtj5VW442</t>
  </si>
  <si>
    <t>‪+33 6 49 26 61 81‬</t>
  </si>
  <si>
    <t>Oceana Resort</t>
  </si>
  <si>
    <t>0649266181</t>
  </si>
  <si>
    <t>0627816087</t>
  </si>
  <si>
    <t>https://drive.google.com/open?id=1U_79-5W2VC-jRgNC0i2pf7iI89muvp-X</t>
  </si>
  <si>
    <t>https://drive.google.com/open?id=1zBou3OZEL-44mai9aIP1pM7Nbar38IKf</t>
  </si>
  <si>
    <t>‪+7 977 361‑81‑41‬</t>
  </si>
  <si>
    <t>https://drive.google.com/open?id=1HIRd9fyxS3q7aQiymZJJPV5BY-9uPFdc</t>
  </si>
  <si>
    <t>+7 977 361-81-41</t>
  </si>
  <si>
    <t>https://drive.google.com/open?id=1GF5aC7NIL011rNMA5g2oVK7Vcsf0x0Qx</t>
  </si>
  <si>
    <t>‪+971 54 591 0707‬</t>
  </si>
  <si>
    <t>https://drive.google.com/open?id=1WTp0Vf0EeUt75KgpbruvvRxwZOPT6tWD</t>
  </si>
  <si>
    <t>‪ ‪+7 914 705‑33‑32‬</t>
  </si>
  <si>
    <t>https://drive.google.com/open?id=1Xo6Dwi6hq6S6B52lo4Tqwnrqo7s1DKbT</t>
  </si>
  <si>
    <t>+ 971 54 591 0707‬</t>
  </si>
  <si>
    <t>https://drive.google.com/open?id=18ugYFGSGvza8aDNEr2A8a019Io7BNkXJ</t>
  </si>
  <si>
    <t>‪+31 6 25036120‬</t>
  </si>
  <si>
    <t>5/144 Thep Krasattri</t>
  </si>
  <si>
    <t>5/144 Thep Krasattri,</t>
  </si>
  <si>
    <t>https://drive.google.com/open?id=1vjYsnms-AI85RzggPujJSExdlVW4R2nK</t>
  </si>
  <si>
    <t>@Niko_diva</t>
  </si>
  <si>
    <t>Hotel Yama Phuket</t>
  </si>
  <si>
    <t>https://drive.google.com/open?id=1ZwxXnlfWL2rwQ7Cvq0I_d8NM2QRbKmGR</t>
  </si>
  <si>
    <t>‪+353 83 041 2611‬</t>
  </si>
  <si>
    <t>https://drive.google.com/open?id=15u7CHqNDdptwv4zcofwczXAcy9DWBlTS</t>
  </si>
  <si>
    <t>Mouana Residence Ko Kaeo</t>
  </si>
  <si>
    <t>https://drive.google.com/open?id=1HjIG0N2GtKakxD08YW1GAk3OmYR--Kza</t>
  </si>
  <si>
    <t>@totally_gray</t>
  </si>
  <si>
    <t>Zcape2</t>
  </si>
  <si>
    <t>https://drive.google.com/open?id=1inTsDaUX-daxs-pERa4eoMN3Su-lalD3</t>
  </si>
  <si>
    <t>https://drive.google.com/open?id=1hTXH5H-unA8vn47Stk_QIiMbqr4-i0UB</t>
  </si>
  <si>
    <t>@iamirov</t>
  </si>
  <si>
    <t>bandalo boutique hotel patong</t>
  </si>
  <si>
    <t>+66 94-462-2257</t>
  </si>
  <si>
    <t>https://drive.google.com/open?id=1rqAB2ZhtZ4aCnVupT6t9ozY-KkGhOaiE</t>
  </si>
  <si>
    <t>‪+7 914 792‑78‑80‬</t>
  </si>
  <si>
    <t>La Green Hotel and Residence ลา กรีนโฮเทล แอนด์ เรสซิเดนซ์</t>
  </si>
  <si>
    <t>https://drive.google.com/open?id=1g-F65O6vgYZlNYniAvf5PXHi_2_QnYJe</t>
  </si>
  <si>
    <t>+33 6 52 22 40 21</t>
  </si>
  <si>
    <t>Botanica Zen</t>
  </si>
  <si>
    <t>https://drive.google.com/open?id=1f704zCRG7xEtvPmDsX-CX-0-C1W00Rp2</t>
  </si>
  <si>
    <t>+7 967 347 3556</t>
  </si>
  <si>
    <t>https://drive.google.com/open?id=1NBgAotpZwq94aKeJcNOe7TD_4rFllX0f</t>
  </si>
  <si>
    <t>01717777780</t>
  </si>
  <si>
    <t>Icon park kamala</t>
  </si>
  <si>
    <t>https://drive.google.com/open?id=13mlGY4QRskuOHf_yFkpaWCIv2VgswJw-</t>
  </si>
  <si>
    <t>https://drive.google.com/open?id=1DeoDRir1G7DrwS6fJKgT3mm2DDPMO30P</t>
  </si>
  <si>
    <t>@Anastasia_Ishalina</t>
  </si>
  <si>
    <t xml:space="preserve">Kalim resort </t>
  </si>
  <si>
    <t>https://drive.google.com/open?id=1h9fQA242Konw-MCBa4AcngEakRjZr85h</t>
  </si>
  <si>
    <t>‪+31 6 29767381‬</t>
  </si>
  <si>
    <t>The Oceanic Sportel</t>
  </si>
  <si>
    <t>https://drive.google.com/open?id=1oG-R6p5G45D2bMXgGKhk_euRoGu7bQw2</t>
  </si>
  <si>
    <t>https://drive.google.com/open?id=1MjAS9cZY3g-wt7PSU6adNKx_iNfboPvO</t>
  </si>
  <si>
    <t>https://drive.google.com/open?id=1wFvJYR34MdHLDBHp5vrtLom2MGMssuO8</t>
  </si>
  <si>
    <t>‪+971 55 496 2638‬</t>
  </si>
  <si>
    <t>https://drive.google.com/open?id=1D6sCI7Q-72I3XP2JzA140LMHOr_W7Ito</t>
  </si>
  <si>
    <t>@ermolov_pavel</t>
  </si>
  <si>
    <t>Isayarada Apartment</t>
  </si>
  <si>
    <t>https://drive.google.com/open?id=1DkCvGBn7gQ72kfU_z05ORMwEIyCmwIW7</t>
  </si>
  <si>
    <t>@Dadajon111</t>
  </si>
  <si>
    <t>Wyndham Grand Nai Harn Beach Phuket วินแดม แกรนด์ ในหาน บีช ภูเก็ต</t>
  </si>
  <si>
    <t>https://drive.google.com/open?id=1kDUm9S-i4GnGrylK99MNygV6h7JvKpJI</t>
  </si>
  <si>
    <t>MustSea hotel Hotel Phuket</t>
  </si>
  <si>
    <t>https://drive.google.com/open?id=1MVo_sq8eicYy2j_FHB4oy1gnN71ZSEnE</t>
  </si>
  <si>
    <t>@GB_Finance</t>
  </si>
  <si>
    <t>Ozone Condominium</t>
  </si>
  <si>
    <t>+66808135527</t>
  </si>
  <si>
    <t>Ozone Condominium by InDreams</t>
  </si>
  <si>
    <t>https://drive.google.com/open?id=1oZw1gMihSXTdmlElRwplms3st3e7ESvr</t>
  </si>
  <si>
    <t>‪+49 176 45612977‬</t>
  </si>
  <si>
    <t>Journey Hub Hotel Phuket เมอร์เคียว ภูเก็ต ป่าตอง เจอร์นี่ย์ฮับ</t>
  </si>
  <si>
    <t>https://drive.google.com/open?id=1w8OjL5-85kDhESzqMzInkS9gzVsX5xpO</t>
  </si>
  <si>
    <t>@Portobello001</t>
  </si>
  <si>
    <t>Paramontra pool villa</t>
  </si>
  <si>
    <t>https://drive.google.com/open?id=1Nmy3MPMszB_C8ux2ZI304ThnnEXsein9</t>
  </si>
  <si>
    <t>HOMA Cherngtalay โฮม่า เชิงทะเล</t>
  </si>
  <si>
    <t>https://drive.google.com/open?id=16HjEYR77vlYGC5TkU7lxzLRi_1WMNtpN</t>
  </si>
  <si>
    <t>‪+7 929 513‑48‑28‬</t>
  </si>
  <si>
    <t>The Coco Villa by Escape Villas</t>
  </si>
  <si>
    <t>https://drive.google.com/open?id=1ZYrsFXdg0PUcsisVexJi2w8DTST7IhGT</t>
  </si>
  <si>
    <t>@redlly_r</t>
  </si>
  <si>
    <t>Utopia Dream Max</t>
  </si>
  <si>
    <t>https://drive.google.com/open?id=1drCbLXT9XhdePsJBNndUsgRmdOsdXEii</t>
  </si>
  <si>
    <t>https://drive.google.com/open?id=1oWDg22E3RggM_Hub1lzfwlFQPwfbG93i</t>
  </si>
  <si>
    <t>+31 6 28478282</t>
  </si>
  <si>
    <t>https://drive.google.com/open?id=1ss5yTQ6G_UM5mdfl3utzWePd00XLOjpl</t>
  </si>
  <si>
    <t>‪+31 6 28478282‬</t>
  </si>
  <si>
    <t>https://drive.google.com/open?id=1nnJfjZko0tx5TlQLDzDq6c8w1Bonp4Q-</t>
  </si>
  <si>
    <t>@PaulGoff</t>
  </si>
  <si>
    <t xml:space="preserve"> Melissa Kata Beach Resort (PHUKET KATA)</t>
  </si>
  <si>
    <t>Melissa Kata Beach Resort (PHUKET KATA)</t>
  </si>
  <si>
    <t>https://drive.google.com/open?id=1jy78pHT_GOXwYFz3AEz9KBkKIAvgbsWJ</t>
  </si>
  <si>
    <t>https://drive.google.com/open?id=1mZKwMoIsW5V2DBocaCW4gxab2UBzGhw6</t>
  </si>
  <si>
    <t>‪+66 92 812 8028‬</t>
  </si>
  <si>
    <t>Capri residence  Bang tao</t>
  </si>
  <si>
    <t>https://drive.google.com/open?id=1wOG7HVPU4nxrfzviMIlFjLaU4QY29Xjh</t>
  </si>
  <si>
    <t>@hexoq</t>
  </si>
  <si>
    <t>The Scene Condo</t>
  </si>
  <si>
    <t>0617681850</t>
  </si>
  <si>
    <t>https://drive.google.com/open?id=1fDhKwV5S8lSe9UjvI12Ru978MbHITpE_</t>
  </si>
  <si>
    <t>‪+34 673 74 79 78‬</t>
  </si>
  <si>
    <t>Wilawan 251/10</t>
  </si>
  <si>
    <t>https://drive.google.com/open?id=1VXoViig1nAwGIPYNCry1rCRpB_9mcMk5</t>
  </si>
  <si>
    <t>Eduard inst</t>
  </si>
  <si>
    <t>Twin palms surin</t>
  </si>
  <si>
    <t>+972537160438</t>
  </si>
  <si>
    <t>180 000</t>
  </si>
  <si>
    <t>https://drive.google.com/open?id=1yLjkGmnZYaQ_OpEp4ASPfBIksaFRJ5OE</t>
  </si>
  <si>
    <t>6th Avenue Surin Beach – Official Account</t>
  </si>
  <si>
    <t>https://drive.google.com/open?id=1XcPGrWX8_eXavbuV2AcfbfWkYWz3JKfJ</t>
  </si>
  <si>
    <t>Amora Bang Tao</t>
  </si>
  <si>
    <t>+7 995 996-99-33</t>
  </si>
  <si>
    <t>https://drive.google.com/open?id=1787fESyeDfAJwoN7ZqTG1A-r3TWf0FpA</t>
  </si>
  <si>
    <t>Bangtao Glass House 3</t>
  </si>
  <si>
    <t>+375 33 660-06-55</t>
  </si>
  <si>
    <t>https://drive.google.com/open?id=1G11cAe1Tclz6wHapEjyyaxz-LQ4dXeJu</t>
  </si>
  <si>
    <t>nbc building p</t>
  </si>
  <si>
    <t>https://drive.google.com/open?id=1Au7NdSs4O3jPC0aBL1-cKk0V7kR-Qb3S</t>
  </si>
  <si>
    <t>‪+7 968 844‑44‑40‬</t>
  </si>
  <si>
    <t>Casuarina Shores Apart Hotel</t>
  </si>
  <si>
    <t>https://drive.google.com/open?id=1lxoR9VifwUQhwexFC74Sv8Nff1bjQZGc</t>
  </si>
  <si>
    <t>+7 985 774-46-00</t>
  </si>
  <si>
    <t>Legendary</t>
  </si>
  <si>
    <t xml:space="preserve">Legendary </t>
  </si>
  <si>
    <t>https://drive.google.com/open?id=1xK4Zh0J0YYntPobwh7L-sk-Ulzj_zOPD</t>
  </si>
  <si>
    <t>‪+971 58 879 6424‬</t>
  </si>
  <si>
    <t>Amanpuri อมันปุรี</t>
  </si>
  <si>
    <t>https://drive.google.com/open?id=1_0ZsxxK3-WfyRpxVTloEz33LXKN1q7Yi</t>
  </si>
  <si>
    <t>https://drive.google.com/open?id=1VZRIPMtkiO9TlBT7mLUlJav22cZYU5Hn</t>
  </si>
  <si>
    <t>6th avenue Surin Beach</t>
  </si>
  <si>
    <t>https://drive.google.com/open?id=1gK_X7VRwPRfN5lQKQmdoZquhLQPSnSeT</t>
  </si>
  <si>
    <t>@kirill_demin</t>
  </si>
  <si>
    <t>Thanthip Beach Resort Patong โรงแรมฐานทิพย์ บีช รีสอร์ท</t>
  </si>
  <si>
    <t>+79261157479</t>
  </si>
  <si>
    <t>https://drive.google.com/open?id=1WKER7vEUx_4l8wD02mi0aFccNo8YFs6A</t>
  </si>
  <si>
    <t>+358 400298588</t>
  </si>
  <si>
    <t>https://drive.google.com/open?id=1x1GbEIzNBU4gJ9tK9raNHjbkW0NOz4-e</t>
  </si>
  <si>
    <t>+90 507 864 11 98</t>
  </si>
  <si>
    <t>https://drive.google.com/open?id=157Ezr7Jx9MknGGjhqXs_K8Wm8ihF11Ef</t>
  </si>
  <si>
    <t>La Green Hotel Residence</t>
  </si>
  <si>
    <t>https://drive.google.com/open?id=1fh032CA6EY5pt5blVXzPW9ORdYH8i6wZ</t>
  </si>
  <si>
    <t>+971 54 591 0707‬</t>
  </si>
  <si>
    <t>https://drive.google.com/open?id=1L7JS-YEGFHMCFcAmxeae14KyHkwRJ50S</t>
  </si>
  <si>
    <t>@superguberr</t>
  </si>
  <si>
    <t>https://drive.google.com/open?id=1Fqy5KrgiTrh3qjWjdjHDNE9DYSnQ9TlY</t>
  </si>
  <si>
    <t>+821032962347</t>
  </si>
  <si>
    <t>Villa Sunrise Garden (Utopia Thalang), Villa14, 99/14, Moo.9 Thepkrasattri Road, Thalang District, Phuket Province 83110</t>
  </si>
  <si>
    <t>https://drive.google.com/open?id=1pO6sr1wxF_9--oTTPPqBVfMaYd6e4S0r</t>
  </si>
  <si>
    <t>Amala Grand Bleu Resort Hilltops</t>
  </si>
  <si>
    <t>‪+965 515 83367‬</t>
  </si>
  <si>
    <t>https://drive.google.com/open?id=178YnbFJOB5zyh9_l-QzJDNKLRZ-iLcxx</t>
  </si>
  <si>
    <t>‪+7 905 459‑45‑55‬</t>
  </si>
  <si>
    <t>https://drive.google.com/open?id=1Iy2g1GoZcYFVrYZSars-NvUx_RaZgkpc</t>
  </si>
  <si>
    <t>‪+7 911 148‑84‑87‬</t>
  </si>
  <si>
    <t>KANA TRIPLE L HOTEL กาน่าสา</t>
  </si>
  <si>
    <t>https://drive.google.com/open?id=1OWbvKwIpoRob_1NfnlxqM0NUt0kI46kz</t>
  </si>
  <si>
    <t>‪+34 674 20 02 19‬</t>
  </si>
  <si>
    <t>Kora Beach resort</t>
  </si>
  <si>
    <t>+13053397575</t>
  </si>
  <si>
    <t>https://drive.google.com/open?id=1yTucDZI2kHJALN47cVKcBIVC6baHv66m</t>
  </si>
  <si>
    <t>@Egor_blg_28</t>
  </si>
  <si>
    <t>+7 914 616 2789</t>
  </si>
  <si>
    <t>https://drive.google.com/open?id=1f5i60Ov5uqxhOQJxvNry-TTPO5uISoWz</t>
  </si>
  <si>
    <t>‪+61 416 552 064‬</t>
  </si>
  <si>
    <t>https://drive.google.com/open?id=1g143tYFRiXgBcAqE-AtR21V7iTv_qC9o</t>
  </si>
  <si>
    <t>https://drive.google.com/open?id=1mAs_fYTWKpK_dzRN5EWBFtB9FrdoETog</t>
  </si>
  <si>
    <t>‪+34 637 13 65 10‬</t>
  </si>
  <si>
    <t>https://drive.google.com/open?id=1ip0dCAlfienVDeIUGog--4jPdQYgUPKW</t>
  </si>
  <si>
    <t>Central Phuket</t>
  </si>
  <si>
    <t>https://drive.google.com/open?id=1aHszoavm65DZEDJe4qgf5QopHnmNG_TZ</t>
  </si>
  <si>
    <t>+7 983 150 3175</t>
  </si>
  <si>
    <t>https://drive.google.com/open?id=1qL4WBiVXNjtCYC0cJ2CEomafx0-iub8D</t>
  </si>
  <si>
    <t>Icon park phuket Condo by owner 9 Kamala</t>
  </si>
  <si>
    <t>‪+380 98 006 2394‬</t>
  </si>
  <si>
    <t>https://drive.google.com/open?id=1w5LZq3a4-apBYMH926_X4r487mqeasWA</t>
  </si>
  <si>
    <t>https://drive.google.com/open?id=14GUrOSwBFi9DABBR3yuwNVviNYRkINTn</t>
  </si>
  <si>
    <t>Tour de Phuket</t>
  </si>
  <si>
    <t>‪+7 926 980‑03‑44‬</t>
  </si>
  <si>
    <t>https://drive.google.com/open?id=1XuEUC0DVpFCh2DQN95VdeRDBUo8IM5dB</t>
  </si>
  <si>
    <t>‪+7 925 166‑81‑01‬</t>
  </si>
  <si>
    <t>*Ocean View 4BR w/ Private Pool &amp; Rooftop V179</t>
  </si>
  <si>
    <t>https://drive.google.com/open?id=1QUEDBCHnVno3XAcl_KHoRA1Cj-Ev936W</t>
  </si>
  <si>
    <t>https://drive.google.com/open?id=1DZygDpbQC-m918jG2IXOdSQPcyf6Iw8X</t>
  </si>
  <si>
    <t>@Seengman2</t>
  </si>
  <si>
    <t>+66 9 1049 7743</t>
  </si>
  <si>
    <t>Homa</t>
  </si>
  <si>
    <t>Country</t>
  </si>
  <si>
    <t>Nationality</t>
  </si>
  <si>
    <t>Hirer's full name</t>
  </si>
  <si>
    <t>Passport No.</t>
  </si>
  <si>
    <t>Date of birth</t>
  </si>
  <si>
    <t>Expiry date</t>
  </si>
  <si>
    <t>Cost of hire (per month)</t>
  </si>
  <si>
    <t>Initial Payment</t>
  </si>
  <si>
    <t>Return by time</t>
  </si>
  <si>
    <t/>
  </si>
  <si>
    <t>Price 1day</t>
  </si>
  <si>
    <t>RUS</t>
  </si>
  <si>
    <t>fil</t>
  </si>
  <si>
    <t>• MT-03 300СС</t>
  </si>
  <si>
    <t>Filipp Vorobev</t>
  </si>
  <si>
    <t>inst turbobaby</t>
  </si>
  <si>
    <t>Eastbangtao</t>
  </si>
  <si>
    <t>0661012079</t>
  </si>
  <si>
    <t>3000 day</t>
  </si>
  <si>
    <t>• NMAX 155CC GREY MATT PHUKET 7527</t>
  </si>
  <si>
    <t>ваня</t>
  </si>
  <si>
    <t>• CLICK 125CC PHUKET 5580</t>
  </si>
  <si>
    <t>• FORZA 300CC RED PHUKET 4244</t>
  </si>
  <si>
    <t>а</t>
  </si>
  <si>
    <t>• NMAX 155CC BLACK GOLD-2 PHUKET 4685</t>
  </si>
  <si>
    <t>• NMAX 155CC BLACK GOLD PHUKET 4255</t>
  </si>
  <si>
    <t>• XMAX 300CC Y-CON</t>
  </si>
  <si>
    <t>s</t>
  </si>
  <si>
    <t>fg</t>
  </si>
  <si>
    <t>e</t>
  </si>
  <si>
    <t>Inst turbobaby</t>
  </si>
  <si>
    <t>Saii</t>
  </si>
  <si>
    <t>300 per day</t>
  </si>
  <si>
    <t>• XSR 155СС GREY-2 PHUKET 1024</t>
  </si>
  <si>
    <t>tg: @123456</t>
  </si>
  <si>
    <t>Laguna of devils</t>
  </si>
  <si>
    <t>+79251480884</t>
  </si>
  <si>
    <t>5000 THB</t>
  </si>
  <si>
    <t>kapnKRUP</t>
  </si>
  <si>
    <t>Filipp Voynov</t>
  </si>
  <si>
    <t>My home 1</t>
  </si>
  <si>
    <t>красивая пара</t>
  </si>
  <si>
    <t>Ivan huev</t>
  </si>
  <si>
    <t>biker</t>
  </si>
  <si>
    <t>moscow</t>
  </si>
  <si>
    <t>huy</t>
  </si>
  <si>
    <t>tg biker</t>
  </si>
  <si>
    <t>Homa Pheket</t>
  </si>
  <si>
    <t>house men</t>
  </si>
  <si>
    <t>f</t>
  </si>
  <si>
    <t>ggg</t>
  </si>
  <si>
    <t>4ort huyev</t>
  </si>
  <si>
    <t>tg 4ort</t>
  </si>
  <si>
    <t>bye baby</t>
  </si>
  <si>
    <t>gfhdfhjdj</t>
  </si>
  <si>
    <t>4/4/0044</t>
  </si>
  <si>
    <t>https://drive.google.com/open?id=1310J3KlJAnEkrR3LqfqW62pmZ6uZK2LU</t>
  </si>
  <si>
    <t>https://drive.google.com/open?id=18F2sG36Sdf9jJ1aHj4bOF7JaIftGNZAh</t>
  </si>
  <si>
    <t>https://drive.google.com/open?id=17Gp6648L4XsAQ8abzVMl5IoBIOa96ryg</t>
  </si>
  <si>
    <t>https://drive.google.com/open?id=1O33SfTzupwgLWdYkeJGQ47xS5aGHpz4Z</t>
  </si>
  <si>
    <t>https://drive.google.com/open?id=1z2IJgeaCDEP5fgaIwrT8c6lYJKVFBYar</t>
  </si>
  <si>
    <t>https://drive.google.com/open?id=14SsxiZEj-kb6MDg5b6coXjtIILM-gx5z</t>
  </si>
  <si>
    <t>ашот</t>
  </si>
  <si>
    <t>рварва</t>
  </si>
  <si>
    <t>https://drive.google.com/open?id=1ird2YOCfo9rVNC02s4iLl6IlMSq6jGLV</t>
  </si>
  <si>
    <t>https://drive.google.com/open?id=15KSTqbY4O1dUcaFv9ii5EV2vqrglqdRV</t>
  </si>
  <si>
    <t>https://drive.google.com/open?id=1uuYRTVqYkYf0kmzoBA70k-L4wA2RljfR</t>
  </si>
  <si>
    <t>https://drive.google.com/open?id=142wzW7eyr5JQo4HeoXai6GrUG0ejFM3G</t>
  </si>
  <si>
    <t>паоавпр</t>
  </si>
  <si>
    <t>авправпр</t>
  </si>
  <si>
    <t>https://drive.google.com/open?id=1o0Kim33P847c_k2XlcHbWlqsv9sbNRye</t>
  </si>
  <si>
    <t>ham</t>
  </si>
  <si>
    <t>https://drive.google.com/open?id=18CvQD4rJO2Wa50qVjVrhdUTkYSZrR7vu</t>
  </si>
  <si>
    <t>https://drive.google.com/open?id=19GVitXU4j_nHu78_aMJqRt6jYdBdtOLf</t>
  </si>
  <si>
    <t>https://drive.google.com/open?id=1IXZxgP6K6n9N4Jidsis-ZfbcxVUuaHuB</t>
  </si>
  <si>
    <t>https://drive.google.com/open?id=1svOwhWUMRmNymRSuXHK08wXhaX8mqDQy</t>
  </si>
  <si>
    <t>https://drive.google.com/open?id=1sEvRgGMTcAMEuPZdtimKcv-TgmW6LWxo</t>
  </si>
  <si>
    <t>https://drive.google.com/open?id=1zvu-FT5-zg-NPAztaoYUcenMS1QA837N</t>
  </si>
  <si>
    <t>https://drive.google.com/open?id=1FtLfZxNLiYbXSI6-_WDLnSESMSO0dj_3</t>
  </si>
  <si>
    <t>https://drive.google.com/open?id=1bmqZL5xmnsWX3Tlbo8Zg6ic4W1pijQJr</t>
  </si>
  <si>
    <t>https://drive.google.com/open?id=1A2d8cQkMID8IR-4fgR5fELA2n9gmdugS</t>
  </si>
  <si>
    <t>fill</t>
  </si>
  <si>
    <t>her</t>
  </si>
  <si>
    <t>hyyyy</t>
  </si>
  <si>
    <t>ddhd</t>
  </si>
  <si>
    <t>https://drive.google.com/open?id=1oEJvHUes7DGX5Ncb-21ApASEPjVtroeP</t>
  </si>
  <si>
    <t>https://drive.google.com/open?id=1o-aGQw6GduEQTjXPYQr24el4qXWxqj9j</t>
  </si>
  <si>
    <t>https://drive.google.com/open?id=1goYPdiRW29MWWwHeGFRwsrAIXNonWLrT</t>
  </si>
  <si>
    <t>https://drive.google.com/open?id=1Km6cFFxRLJIMNBEFU9sKfbBuawlQQN8E</t>
  </si>
  <si>
    <t>https://drive.google.com/open?id=1aQziiIhjuaWA2_IqW2IjTAVNDYRitx-l</t>
  </si>
  <si>
    <t>https://drive.google.com/open?id=1pjlLCsRo_uklCXRbu2bG26BidvnOydqx</t>
  </si>
  <si>
    <t>https://drive.google.com/open?id=1jVt9jfOAUXtHBdv3CIqQP2WRw8iFQ-yi</t>
  </si>
  <si>
    <t>https://drive.google.com/open?id=1xuGz0xvuf2_YaeqJS904pTmO0lCwuhIT</t>
  </si>
  <si>
    <t>https://drive.google.com/open?id=1h17-_wHbliUdbR-x0_lHlWMj7nIi4FXL</t>
  </si>
  <si>
    <t>https://drive.google.com/open?id=1Q5zTkDiDmTEqYSfPMASQFG6ee0mNEIaz</t>
  </si>
  <si>
    <t>https://drive.google.com/open?id=1c21m_mUQfpp4Q_jGa5mxh6uDs3HeDDG5</t>
  </si>
  <si>
    <t>https://drive.google.com/open?id=1cFJkbCPyIJ6rR66LEiJMRkFcQebeqetU</t>
  </si>
  <si>
    <t>https://drive.google.com/open?id=1yDcCDYZMK-DVl61xUdS7j82C00NAQ1_3</t>
  </si>
  <si>
    <t>https://drive.google.com/open?id=1n8FPLBXm9gjzCcmU2o3PjQtPZK3n_t--</t>
  </si>
  <si>
    <t>https://drive.google.com/open?id=16KbP41FyG_mj0xyY2nUHwBgcG0B_w-Rn</t>
  </si>
  <si>
    <t>https://drive.google.com/open?id=1l63PZ_eRawPuZB3f1uqjl-1n3OboXVKH</t>
  </si>
  <si>
    <t>https://drive.google.com/open?id=1qKhZZ0J8MkHJQdWaGLVXYYMvTDFTuQct</t>
  </si>
  <si>
    <t>https://drive.google.com/open?id=15ue3hnZDDfpZCK9jLIWDZ7ZkTpfubNVo</t>
  </si>
  <si>
    <t>https://drive.google.com/open?id=1rnotAcAt-lUa4bqcGFqikX77mJQeNKhy</t>
  </si>
  <si>
    <t>https://drive.google.com/open?id=12kQLOaTch02glMSk3RSW-WlrUG25iJii</t>
  </si>
  <si>
    <t>https://drive.google.com/open?id=1PHxhIXOk1GfC6rPQAWDwFeYxsh6ZGnfx</t>
  </si>
  <si>
    <t>https://drive.google.com/open?id=1mOG4c8kKtqI6x5A_zd_BfgkIG3v1dWLA</t>
  </si>
  <si>
    <t>https://drive.google.com/open?id=1ellQH-vg-enOb9Gl9SMXevEXIk7ljVUE</t>
  </si>
  <si>
    <t>https://drive.google.com/open?id=1NvSw-bbS0LY-6MTrL3wOak9V40p9bbYS</t>
  </si>
  <si>
    <t>https://drive.google.com/open?id=1wOhD4xg3M2avP-kCcgui_Jwm9EmIcjUe</t>
  </si>
  <si>
    <t>@jjfdfg</t>
  </si>
  <si>
    <t>fghdfhd</t>
  </si>
  <si>
    <t>https://drive.google.com/open?id=1T-Cr0lGlkk0BMjifI3yYN0ZFiCUX-w5J</t>
  </si>
  <si>
    <t>https://drive.google.com/open?id=1LIvxuChIYwf0BsxzXk_LhuxN9Vs0m40G</t>
  </si>
  <si>
    <t>+7925932423</t>
  </si>
  <si>
    <t>ahuy</t>
  </si>
  <si>
    <t>https://drive.google.com/open?id=1uXoGzMcwf87Q9VScmEh9baXNMAWbSDx2</t>
  </si>
  <si>
    <t>https://drive.google.com/open?id=18n0bpno3n6O3zfUcvW-Vz1ZX7xWjuBq1</t>
  </si>
  <si>
    <t>впкв53</t>
  </si>
  <si>
    <t>кенкуеркер</t>
  </si>
  <si>
    <t>https://drive.google.com/open?id=19FYE3fEDKbpqAwAUJDZoWjui1gcNn4t7</t>
  </si>
  <si>
    <t>https://drive.google.com/open?id=1swwY8rHvzplyn369OCGPWuu_p88nffO6</t>
  </si>
  <si>
    <t>https://drive.google.com/open?id=1f74Wm4EoD3DnCqI2I7_-uYahRzsm-NDF</t>
  </si>
  <si>
    <t>dhdhtrh</t>
  </si>
  <si>
    <t>4etyrty</t>
  </si>
  <si>
    <t>+79874556719</t>
  </si>
  <si>
    <t>https://drive.google.com/open?id=1X1qVFb-5mE0XXIXPIy87leiEZLBSd0hN</t>
  </si>
  <si>
    <t>1JGHjPIgqtz2k_H5oP7Z-_P6ZnZKSJDJ8kxR-IjEgd5I</t>
  </si>
  <si>
    <t>1z06YrC6ruszgMbLVSqVSfWpfrmCxGC6H7wUgIeFj_Rc</t>
  </si>
  <si>
    <t>https://drive.google.com/open?id=1CyNG9Cg7xYiOy1JOOHb6upHnVCZUQLz7</t>
  </si>
  <si>
    <t>1VGltQ1NBQMR1fKF7OkvEMQs7qKHmk9C2LX0JPlxfXvs</t>
  </si>
  <si>
    <t>16n-pUEJZty0TvTsFXjkysRjKxoLU4dNr4XNdjeEu0Oc</t>
  </si>
  <si>
    <t>rrrr</t>
  </si>
  <si>
    <t>1R0GtCpCwEEp4sXamyc_i1jfuVflNSD7FdxWnbRRycog</t>
  </si>
  <si>
    <t>https://drive.google.com/open?id=1kCGkpwCgZ44V0ig_NkIwA6AeZ0OV6FNY</t>
  </si>
  <si>
    <t>peppa</t>
  </si>
  <si>
    <t>peppa2</t>
  </si>
  <si>
    <t>https://drive.google.com/open?id=1-qn3pz6jESHqCjBZRGZrCpS_WMmxBKXS</t>
  </si>
  <si>
    <t>huyeppa</t>
  </si>
  <si>
    <t>https://drive.google.com/open?id=1yE7sKzfRnkzZ0fLl7qeqC2dwswNIC3eY</t>
  </si>
  <si>
    <t>https://drive.google.com/open?id=1PGL8Ofesu3KAsuEAPkDr2aScAY87QOgO</t>
  </si>
  <si>
    <t>fyjtyjtrykrtk</t>
  </si>
  <si>
    <t>tg samhold</t>
  </si>
  <si>
    <t>wegergergegr</t>
  </si>
  <si>
    <t>dhrtjuklyot8o56utyh</t>
  </si>
  <si>
    <t>ewtretert</t>
  </si>
  <si>
    <t>https://drive.google.com/open?id=1QRbATtsy4J7941oRa1V5raLectFe8NE_</t>
  </si>
  <si>
    <t>Pavel Volya</t>
  </si>
  <si>
    <t>Humos</t>
  </si>
  <si>
    <t>3634gfherhy4e5hy4</t>
  </si>
  <si>
    <t>+79251489884</t>
  </si>
  <si>
    <t>gjtkytokugiom</t>
  </si>
  <si>
    <t>https://drive.google.com/open?id=1yS-grce0T-OzxiXdBvFldHU4Ab8YkDEq</t>
  </si>
  <si>
    <t>ывыпывп</t>
  </si>
  <si>
    <t>Pilimm Catery</t>
  </si>
  <si>
    <t>tg @samhold</t>
  </si>
  <si>
    <t>dfhrtjytekjtykgyhktydk</t>
  </si>
  <si>
    <t>https://drive.google.com/open?id=10HweCjoFt_3hpQiER3l4tFHZUa2GUwQ3</t>
  </si>
  <si>
    <t>RA</t>
  </si>
  <si>
    <t>https://drive.google.com/open?id=1wNhnC7GKxWgDlffQQa0tP9gsswfIFqYa</t>
  </si>
  <si>
    <t>https://drive.google.com/open?id=17S5zRyQvKFaG8O8gg0g0jPG6dXlTLvHg</t>
  </si>
  <si>
    <t>https://drive.google.com/open?id=1jwVMj7xk-e7y-j7S7pN-4dZdAebyhk3y</t>
  </si>
  <si>
    <t>pissya</t>
  </si>
  <si>
    <t>https://drive.google.com/open?id=1zoopZJPf7q5YwvO3hbxQmuLAD3_crG6p</t>
  </si>
  <si>
    <t>https://drive.google.com/open?id=1vMdQkgKxBudd5BCAnnmy3RV3vvpn0WIM</t>
  </si>
  <si>
    <t>The view Condo</t>
  </si>
  <si>
    <t>Друг Жени</t>
  </si>
  <si>
    <t>https://drive.google.com/open?id=1HjX1mq9ALxkUsvtzG9W211l2eLpaEOKI</t>
  </si>
  <si>
    <t>Mark Yakov</t>
  </si>
  <si>
    <t>tg mitya</t>
  </si>
  <si>
    <t>sihgidfigbdfhbds</t>
  </si>
  <si>
    <t>fghbrtyjtyj</t>
  </si>
  <si>
    <t>https://drive.google.com/open?id=17Aq4OXMEVjAI9PKzDuTvPPSXgF_ZZRDP</t>
  </si>
  <si>
    <t>+79994951703</t>
  </si>
  <si>
    <t>Ok</t>
  </si>
  <si>
    <t>https://drive.google.com/open?id=1Tnx0vRqhUmr9vIXQ4wUyJICQzzS1aiMn</t>
  </si>
  <si>
    <t>https://drive.google.com/open?id=1KHkimx0b7-y19yMqDpTLycfWMRa42LUD</t>
  </si>
  <si>
    <t>Tg @Alex_Efimov</t>
  </si>
  <si>
    <t>4, 84 Soi King Suksan 4 Rawai, Mueang Phuket District, Phuket 83100</t>
  </si>
  <si>
    <t>+660809209152</t>
  </si>
  <si>
    <t>https://drive.google.com/open?id=1NMQQZkdOckPHcT4V6H-z1Ob74Zy0VK1-</t>
  </si>
  <si>
    <t>Eastbangtaoville</t>
  </si>
  <si>
    <t>+66 80-551-6013</t>
  </si>
  <si>
    <t>MT-03 300СС</t>
  </si>
  <si>
    <t>https://drive.google.com/open?id=1Bn6NxPRDqthAo87Y0tOWMkmUc861FYeV</t>
  </si>
  <si>
    <t>https://drive.google.com/open?id=15EXAQhjA-fQ-tgMIUhWnY_U2YMyoX15v</t>
  </si>
  <si>
    <t>amal</t>
  </si>
  <si>
    <t>https://drive.google.com/open?id=11-bxtkCvVN6DX5sGqxZzvQE6Mll_lMkw</t>
  </si>
  <si>
    <t>https://drive.google.com/open?id=1Zw_WW_6su7IKk2RDm1d2sf9fl9qEVBRg</t>
  </si>
  <si>
    <t>https://drive.google.com/open?id=16z2u88pTxKa3tsYxti_uHB2il2bSLukf</t>
  </si>
  <si>
    <t>https://drive.google.com/open?id=1SMPcombUe9cGuac7120mLzOZKsisfAkr</t>
  </si>
  <si>
    <t>https://drive.google.com/open?id=1bcz68-Jn_RxxjEEqoC_Cyk3Lr8jjkkLN</t>
  </si>
  <si>
    <t>ьшлу фящм</t>
  </si>
  <si>
    <t>fb</t>
  </si>
  <si>
    <t>живет много тут</t>
  </si>
  <si>
    <t>https://drive.google.com/open?id=1P9pQsCRkJZMgdUinSaTX-DluEa0ETL9x</t>
  </si>
  <si>
    <t>https://drive.google.com/open?id=1atwiNeatvmrALHT8z4mLzUr_CH9Au3e0</t>
  </si>
  <si>
    <t>2858+3GR Choeng Thale, Thalang District, Пхукет</t>
  </si>
  <si>
    <t>0953703325</t>
  </si>
  <si>
    <t>https://drive.google.com/open?id=1c0RCAFe2lc2LmrbePPAdmnd57zvvvfQx</t>
  </si>
  <si>
    <t>062</t>
  </si>
  <si>
    <t>tg @Danbeijing</t>
  </si>
  <si>
    <t>Dcondo creek</t>
  </si>
  <si>
    <t>0622265537</t>
  </si>
  <si>
    <t>11000 thb</t>
  </si>
  <si>
    <t>https://drive.google.com/open?id=1QP9S5FyEDWjg4IaH5BqHe1C-buVqDK8g</t>
  </si>
  <si>
    <t>dcondo creek</t>
  </si>
  <si>
    <t>https://drive.google.com/open?id=1uioGz5yqvLxg0bSbq8f7C69awrwUtDjx</t>
  </si>
  <si>
    <t>https://drive.google.com/open?id=1W5iCyPsQckYNDQNU9RU5hWQeUTHH02yo</t>
  </si>
  <si>
    <t>https://drive.google.com/open?id=1WbecmOwLRnXDEHTcoTuCYV3yn9EOV5Rj</t>
  </si>
  <si>
    <t>@Sher_35</t>
  </si>
  <si>
    <t>друг сережи</t>
  </si>
  <si>
    <t>https://drive.google.com/open?id=16RFn6vn67kq9_WJY5oK0B_pAXdpmpQy_</t>
  </si>
  <si>
    <t>https://drive.google.com/open?id=1KAoYGeBwfgaD1bHabEAmIaCU_1ieLQpH</t>
  </si>
  <si>
    <t>081-687-7121</t>
  </si>
  <si>
    <t>100 $</t>
  </si>
  <si>
    <t>https://drive.google.com/open?id=1hY24VDZObHwwtPI6ikeMaC-SIKuvZ_wJ</t>
  </si>
  <si>
    <t>https://drive.google.com/open?id=16wq6RJftH2HEzA0v_VqAlSfyy_rOnZJ8</t>
  </si>
  <si>
    <t>@xorrer</t>
  </si>
  <si>
    <t>Saturday Residence</t>
  </si>
  <si>
    <t>0661384095</t>
  </si>
  <si>
    <t>10000 thb</t>
  </si>
  <si>
    <t>Soi passak 3 villa 11/53</t>
  </si>
  <si>
    <t>0814806085</t>
  </si>
  <si>
    <t>7500 THB</t>
  </si>
  <si>
    <t>https://drive.google.com/open?id=1TPwmwN6fXmRO9ATRAiUGXXjwDOsPdje9</t>
  </si>
  <si>
    <t>@atch2022</t>
  </si>
  <si>
    <t>97/33 Moo 7 Saiyuan Soi 9, Rawai, Muang, Phuket, 83130</t>
  </si>
  <si>
    <t>+1-786-284-2977</t>
  </si>
  <si>
    <t>300$</t>
  </si>
  <si>
    <t>https://drive.google.com/open?id=1VkA5QvH-laBlW4s7uK_vVPYyh04OhbxK</t>
  </si>
  <si>
    <t>@BiophilicMan</t>
  </si>
  <si>
    <t>https://drive.google.com/open?id=12GSS34bUgwld-3Q3xZ_xmJe3ALyWoASi</t>
  </si>
  <si>
    <t>Норм с самуи</t>
  </si>
  <si>
    <t>https://drive.google.com/open?id=1XsRq7CoEpDdN9vs_Fk2OunEXQd581Z1q</t>
  </si>
  <si>
    <t>@art_ew</t>
  </si>
  <si>
    <t>+660993189037</t>
  </si>
  <si>
    <t>https://drive.google.com/open?id=1a146BDkKnORB3S2k3EwKkd_pesy7qUAW</t>
  </si>
  <si>
    <t>Норм чел катался на ребеле</t>
  </si>
  <si>
    <t>https://drive.google.com/open?id=1sjXxus5PxfNveKqutSrAniZf3I7trABL</t>
  </si>
  <si>
    <t>@Alex_Efimov</t>
  </si>
  <si>
    <t>https://drive.google.com/open?id=102JlCJPEVsNewPysjHPbwhndLa36eMwC</t>
  </si>
  <si>
    <t>@vivchar</t>
  </si>
  <si>
    <t>Homa Phuket</t>
  </si>
  <si>
    <t>https://drive.google.com/open?id=1bKV3T9uQ8eh9IHF-szt3jkfsB9mfpJSV</t>
  </si>
  <si>
    <t>https://drive.google.com/open?id=11tBbPO70iBuKe9RNQ-L7aCRgVZYODSHA</t>
  </si>
  <si>
    <t>MT-03 300СС BLUE 7139</t>
  </si>
  <si>
    <t>@svet_peresvet</t>
  </si>
  <si>
    <t>Youayen residence</t>
  </si>
  <si>
    <t>066709421222</t>
  </si>
  <si>
    <t>Светлана :)</t>
  </si>
  <si>
    <t>https://drive.google.com/open?id=1OPX-yR1kjfZgoAis_U-6OtHYtPKn2DBW</t>
  </si>
  <si>
    <t>Tg +79123694993</t>
  </si>
  <si>
    <t>Icon</t>
  </si>
  <si>
    <t>0963858663</t>
  </si>
  <si>
    <t>Icon Phuket</t>
  </si>
  <si>
    <t>https://drive.google.com/open?id=15jmssQop6AmAZ9GBgQ6dnNT-R_6fyKUt</t>
  </si>
  <si>
    <t>https://drive.google.com/open?id=14PKKfAWMQ8sKEsINcvIMEF7Ztphihc1t</t>
  </si>
  <si>
    <t>@yanell_hair</t>
  </si>
  <si>
    <t>https://drive.google.com/open?id=1X7_lGxGn4ce7vlrcl_e9Xo3OFNplyOlo</t>
  </si>
  <si>
    <t xml:space="preserve">Koh Phangan </t>
  </si>
  <si>
    <t>+6287862796404</t>
  </si>
  <si>
    <t>Airport Phuket</t>
  </si>
  <si>
    <t>https://drive.google.com/open?id=1fTgxg6b--OEFjs4P4CJnkA2v9mWJru-N</t>
  </si>
  <si>
    <t>@Vaka163</t>
  </si>
  <si>
    <t>https://drive.google.com/open?id=1mEGj_cv1OD3V31bfrl8o4xEUP74xl5II</t>
  </si>
  <si>
    <t>Inst Oleksandr Fomin</t>
  </si>
  <si>
    <t>https://drive.google.com/open?id=1dAt_quffFFVUqasMdd39aqcaLHXnr5DG</t>
  </si>
  <si>
    <t>@kirillivontev</t>
  </si>
  <si>
    <t>Utopia Kathu</t>
  </si>
  <si>
    <t>0642468181</t>
  </si>
  <si>
    <t>+79251576815</t>
  </si>
  <si>
    <t>Utopia</t>
  </si>
  <si>
    <t>https://drive.google.com/open?id=1Jkeymc0k7YGIdVkRtQJPgtrm-cAY_jv0</t>
  </si>
  <si>
    <t>IND</t>
  </si>
  <si>
    <t>0107916325</t>
  </si>
  <si>
    <t>z6614368</t>
  </si>
  <si>
    <t>@Danbeijing</t>
  </si>
  <si>
    <t>https://drive.google.com/open?id=1qpQKM-OQCLSUfVIl5e2US7O74xQCHXYH</t>
  </si>
  <si>
    <t>https://drive.google.com/open?id=1znW0iMI67FdDu3M6scdAsYojJ7DWk_D7</t>
  </si>
  <si>
    <t>Был</t>
  </si>
  <si>
    <t>https://drive.google.com/file/d/1xGuNNY8jiODD9fQDZ52nTNoSOl8XvoK5</t>
  </si>
  <si>
    <t>@takoy_sasha</t>
  </si>
  <si>
    <t xml:space="preserve"> Q Conzept</t>
  </si>
  <si>
    <t>0961502348</t>
  </si>
  <si>
    <t>Q Conzept</t>
  </si>
  <si>
    <t>Решительный чел</t>
  </si>
  <si>
    <t>https://drive.google.com/file/d/1eheLiFiwJfkc5ZKDrDG7toz16ViDQKz9/view?usp=drive_link</t>
  </si>
  <si>
    <t>Homa town</t>
  </si>
  <si>
    <t>https://drive.google.com/open?id=1N0flWFxhntI3aJNYIafmDNo3KwMsIxAz</t>
  </si>
  <si>
    <t>@flexfun</t>
  </si>
  <si>
    <t>Chanalai Romantic resort</t>
  </si>
  <si>
    <t>+6285933574421</t>
  </si>
  <si>
    <t xml:space="preserve"> Chanalai Romantic resort</t>
  </si>
  <si>
    <t>https://drive.google.com/open?id=1Xc9FMK-XJmIaMDWgM5GEes3WlEvsLHlM</t>
  </si>
  <si>
    <t>@vv044</t>
  </si>
  <si>
    <t>0945259938</t>
  </si>
  <si>
    <t>https://drive.google.com/open?id=1eD57Hj7L4S768YsDSCi5dqa-okdsKLSq</t>
  </si>
  <si>
    <t>@VorontsovVV</t>
  </si>
  <si>
    <t>6 Avenue 203</t>
  </si>
  <si>
    <t>+79659090909</t>
  </si>
  <si>
    <t>https://drive.google.com/open?id=1HpWc7ZeMc0lu3jCHqnbN0klqiXC7UIrd</t>
  </si>
  <si>
    <t>@GIGIGIGIGIGIGG</t>
  </si>
  <si>
    <t>Villa Sunrise Garden  72</t>
  </si>
  <si>
    <t>+66626938381</t>
  </si>
  <si>
    <t>https://drive.google.com/open?id=1fp6yrPVx2xyPp4n5YJUeaJY7zZXOYYOG</t>
  </si>
  <si>
    <t>https://drive.google.com/open?id=1AUpUhDcWfo_b2awjwapoZjHZr8iY-tF1</t>
  </si>
  <si>
    <t>Casa Bella</t>
  </si>
  <si>
    <t>+79873909149</t>
  </si>
  <si>
    <t>https://drive.google.com/open?id=1mYsvORzVN4vHZW3Zw9fhAMZ1kDEQA7no</t>
  </si>
  <si>
    <t>Fb stereotipniu</t>
  </si>
  <si>
    <t>Palmyrah surin</t>
  </si>
  <si>
    <t>+79852921569</t>
  </si>
  <si>
    <t>250$</t>
  </si>
  <si>
    <t>Palmyrah</t>
  </si>
  <si>
    <t>https://drive.google.com/open?id=11ymUvca5PVcnyZNPehBY8OTLR3Gl1ees</t>
  </si>
  <si>
    <t>@Nikvaldash</t>
  </si>
  <si>
    <t>0957213119</t>
  </si>
  <si>
    <t>150$</t>
  </si>
  <si>
    <t>https://drive.google.com/open?id=1ElGQgXlHSWOlN20BHVBJpNHs5iarEQf_</t>
  </si>
  <si>
    <t>https://drive.google.com/open?id=12pCrxGGSxKF_onSf02imwRmNRZrNiz4c</t>
  </si>
  <si>
    <t>0999321482</t>
  </si>
  <si>
    <t>https://drive.google.com/open?id=17kEPXyKS2s4M-t3ctNm8J0ednK-IswbM</t>
  </si>
  <si>
    <t>@outcast_25</t>
  </si>
  <si>
    <t>Palmyrah Surin Beach Residences</t>
  </si>
  <si>
    <t>0631244494</t>
  </si>
  <si>
    <t>https://drive.google.com/open?id=13QsCbdVcWgyBCft0T9VNyTSnk7Um2sNg</t>
  </si>
  <si>
    <t>@chalabov_kostya</t>
  </si>
  <si>
    <t>Tanyapura</t>
  </si>
  <si>
    <t>https://drive.google.com/open?id=1ty-kxOZ4tHnLxpKe7WML1Qfx2RK3h5zi</t>
  </si>
  <si>
    <t>@Luxxxxxxxxxxxxxxxxxx</t>
  </si>
  <si>
    <t>https://drive.google.com/open?id=1tPZSk8L1COM_KnBNDjCEnJrJ-l8Lfrg7</t>
  </si>
  <si>
    <t>00:00</t>
  </si>
  <si>
    <t>https://drive.google.com/open?id=1Mvhvz8gSweJ5InbRwF8WrZ3AA3mTIKGC</t>
  </si>
  <si>
    <t>@updated_reality</t>
  </si>
  <si>
    <t>The reagent bang tao</t>
  </si>
  <si>
    <t>https://drive.google.com/open?id=1Mns_RG3YsCj87J-55_AopmzMlMJSNeiL</t>
  </si>
  <si>
    <t>@Andreiiiiao</t>
  </si>
  <si>
    <t>Residents villa 13</t>
  </si>
  <si>
    <t>0969430001</t>
  </si>
  <si>
    <t>138$</t>
  </si>
  <si>
    <t>https://drive.google.com/open?id=1ody_FkcsyOqxJPYN7QtgvbImooP_96NC</t>
  </si>
  <si>
    <t>@playtime_777</t>
  </si>
  <si>
    <t>https://drive.google.com/open?id=1Z_76bRnFpTPJ5S-dkyL5lQi7jOc8eJQ4</t>
  </si>
  <si>
    <t>@hhpz51</t>
  </si>
  <si>
    <t>Villa residents 13</t>
  </si>
  <si>
    <t>0835035444</t>
  </si>
  <si>
    <t>https://drive.google.com/open?id=1IVBRdjiCbe5lUwPng749OHFRx4j84RkJ</t>
  </si>
  <si>
    <t>TG: +79142036695</t>
  </si>
  <si>
    <t>Patong Heritage Hotel</t>
  </si>
  <si>
    <t>+79142036695</t>
  </si>
  <si>
    <t>https://drive.google.com/open?id=1mcQfsz_ZrWfVNHl_o4BftJ-LHDumm5-F</t>
  </si>
  <si>
    <t>https://drive.google.com/open?id=1Jtb0IzSnQBTHa8FR-aLBODltvX9Y3pw1</t>
  </si>
  <si>
    <t>https://drive.google.com/open?id=17kjIHim74MXeBWWn5EnI_I-PRcXOfFuY</t>
  </si>
  <si>
    <t>https://drive.google.com/open?id=1C2FsqiryflvDov7ZdnPH9dx3RGf36MmW</t>
  </si>
  <si>
    <t>https://drive.google.com/open?id=1T6mfxB5fDh7501Byy1mNvP7O6f-SEi67</t>
  </si>
  <si>
    <t>@Danilcus</t>
  </si>
  <si>
    <t>Chaofan garden home 3</t>
  </si>
  <si>
    <t>+66804546339</t>
  </si>
  <si>
    <t>https://drive.google.com/open?id=1pSHSvGHS380PB3woLdFW-aMl9rOuYlwl</t>
  </si>
  <si>
    <t>400$</t>
  </si>
  <si>
    <t>https://drive.google.com/open?id=1c9YIKeYdmDDPK0RQt7J5sNAbl8B9PSBO</t>
  </si>
  <si>
    <t>550$</t>
  </si>
  <si>
    <t>https://drive.google.com/open?id=1nTN6ewpkrNWf-K16zf95Al0bhmWfdBVQ</t>
  </si>
  <si>
    <t>https://drive.google.com/open?id=1clkmzAMtxWQgo3FFoZrCUA-rzT0kQBLB</t>
  </si>
  <si>
    <t>https://drive.google.com/open?id=1E3toFzjJyapNm8wVRPHF3Dgq4dZVLPwb</t>
  </si>
  <si>
    <t>HOMA PHUKET</t>
  </si>
  <si>
    <t>https://drive.google.com/open?id=124Oqyw_MahRpRkHQ9eP5KYNbZPDZ8qB4</t>
  </si>
  <si>
    <t>https://drive.google.com/open?id=1jAWqdGF665UIEDeC7JAPLJqDv-ay3JAi</t>
  </si>
  <si>
    <t>+7 913 126 4580</t>
  </si>
  <si>
    <t>intercontinental на kamala</t>
  </si>
  <si>
    <t>0889946237</t>
  </si>
  <si>
    <t>https://drive.google.com/open?id=1eoj_d0M-e5B_2Hf2auXhVCs9gzlbgNxe</t>
  </si>
  <si>
    <t xml:space="preserve">Wa </t>
  </si>
  <si>
    <t>0828436431</t>
  </si>
  <si>
    <t>0828437781</t>
  </si>
  <si>
    <t>https://drive.google.com/open?id=1IFBjzIl5FoLX-TNyunphr8HlsalSi89p</t>
  </si>
  <si>
    <t>https://drive.google.com/open?id=1-ikDDgwL5GraIlspLuYWZzpLNWIE-wKQ</t>
  </si>
  <si>
    <t>@avki2001</t>
  </si>
  <si>
    <t>The marin Phuket</t>
  </si>
  <si>
    <t>https://drive.google.com/open?id=1ZnzP-Ua_XjftUvEIlPWI2VHoRsQd0R9C</t>
  </si>
  <si>
    <t>Villa Laemsingh 1</t>
  </si>
  <si>
    <t>+7 926 574-47-97</t>
  </si>
  <si>
    <t xml:space="preserve"> Laemsingh 1</t>
  </si>
  <si>
    <t>https://drive.google.com/open?id=1aCnYpe9aQsSMSZ9Jnv6RLTVKE1j04on4</t>
  </si>
  <si>
    <t>Yama</t>
  </si>
  <si>
    <t>https://drive.google.com/open?id=1qZWnSzE1l3grQ3z4GrxiWIybrmilXrTa</t>
  </si>
  <si>
    <t>@asya_meow</t>
  </si>
  <si>
    <t>Laguna holiday club Phuket resort</t>
  </si>
  <si>
    <t>+7926 666 76 00</t>
  </si>
  <si>
    <t>https://drive.google.com/open?id=16PzzY92p2SDBeWLKu6kQfF2kVivKasKf</t>
  </si>
  <si>
    <t>The Marin</t>
  </si>
  <si>
    <t>https://drive.google.com/open?id=1lC655h4AcP_d90ChS01_dRLO1VVcAtFB</t>
  </si>
  <si>
    <t>https://drive.google.com/open?id=1kAgKHKpvCG7gy4jf3GN_qu-2dKzR5pjn</t>
  </si>
  <si>
    <t>@alex_sleekest</t>
  </si>
  <si>
    <t>Kata sea blue</t>
  </si>
  <si>
    <t>0963852561</t>
  </si>
  <si>
    <t>75$</t>
  </si>
  <si>
    <t>https://drive.google.com/open?id=1wMmdmzboXmNQtI1DKntfi3dq_FRIxX-x</t>
  </si>
  <si>
    <t>https://drive.google.com/open?id=1Z0PoAfIJkmOi26H0iTcrVeO_oh1rT_nN</t>
  </si>
  <si>
    <t>@warriorheaart</t>
  </si>
  <si>
    <t>Mida</t>
  </si>
  <si>
    <t>0838892422</t>
  </si>
  <si>
    <t>https://drive.google.com/open?id=1lKYe837UQKdFFf7voyToI8ORqymerDSi</t>
  </si>
  <si>
    <t>+17472726724</t>
  </si>
  <si>
    <t>Grand kamala falls</t>
  </si>
  <si>
    <t>Уже был казино</t>
  </si>
  <si>
    <t>https://drive.google.com/open?id=1dPwXDmihgTTRR35FnSQIFOUmQWYjWe8L</t>
  </si>
  <si>
    <t>https://drive.google.com/open?id=1xzNf-jkuL6BjFQ_yjQaSHeCPO25EqfVg</t>
  </si>
  <si>
    <t>@garipovrenat</t>
  </si>
  <si>
    <t>Katathani Beach Resort</t>
  </si>
  <si>
    <t>https://drive.google.com/open?id=1jZg8LDNC-vNGPABqVVcYPjDEIwUypaVG</t>
  </si>
  <si>
    <t xml:space="preserve">villa 12/61  Q8PG+53V Rawai, Mueang Phuket </t>
  </si>
  <si>
    <t xml:space="preserve">villa 12/61 </t>
  </si>
  <si>
    <t>https://drive.google.com/open?id=1tc9yvUhRUI6ZvdtkYkstO17Y9ENQhSJW</t>
  </si>
  <si>
    <t>https://drive.google.com/open?id=1RzyStGg6gCwgzDwmc14j_YXk3kPNyis3</t>
  </si>
  <si>
    <t>@louisboy</t>
  </si>
  <si>
    <t>villa 12/61 rawai</t>
  </si>
  <si>
    <t>https://drive.google.com/open?id=1QdOPAr4PrScBR50RnaBXGmwop3d69ssl</t>
  </si>
  <si>
    <t>Wa +7 925 126-16-46</t>
  </si>
  <si>
    <t>Maikhao hotel managed</t>
  </si>
  <si>
    <t>https://drive.google.com/open?id=19sazx1sImRY0_pnqEcrU4CtmN3AVjmqE</t>
  </si>
  <si>
    <t>https://drive.google.com/open?id=1hnYbkPeb6h6t0NXPiH1yEX-Da1gG2BWk</t>
  </si>
  <si>
    <t>@yamaha600fzs</t>
  </si>
  <si>
    <t xml:space="preserve">AURICO KATA RESORT &amp; SPA </t>
  </si>
  <si>
    <t>0815651477</t>
  </si>
  <si>
    <t>https://drive.google.com/open?id=1KKChbSPXDdQNCB1E750RARm6PlhGf-9x</t>
  </si>
  <si>
    <t>@pavelpol26</t>
  </si>
  <si>
    <t>Novotel avista</t>
  </si>
  <si>
    <t>https://drive.google.com/open?id=1TncNhoSxPMdjjxVHb7VApI9hzT6YVcNJ</t>
  </si>
  <si>
    <t>https://drive.google.com/open?id=1T-YHqp__-xnBQM6zx1Fhw-ghtX61Ram2</t>
  </si>
  <si>
    <t>@anyamuy</t>
  </si>
  <si>
    <t xml:space="preserve">Seabed grand hotel </t>
  </si>
  <si>
    <t>https://drive.google.com/open?id=159KsGij0DT8m-pzrZxHcMT6BuazAF5ZW</t>
  </si>
  <si>
    <t>+7 924 491-13-13</t>
  </si>
  <si>
    <t xml:space="preserve">Gold sheriot </t>
  </si>
  <si>
    <t>https://drive.google.com/open?id=1eLcfMWHaDv-wRPsySp9zbi3XG6Uz-xgk</t>
  </si>
  <si>
    <t>@andrenjoy</t>
  </si>
  <si>
    <t>0987120406</t>
  </si>
  <si>
    <t>https://drive.google.com/open?id=1eQi8KqwqOsQc0OyWZDumHBa-d2LNMxjS</t>
  </si>
  <si>
    <t>Classic home</t>
  </si>
  <si>
    <t>https://drive.google.com/open?id=1BMAZER9kbU7bG8yrNgkkYKnISUpQ07JQ</t>
  </si>
  <si>
    <t>+79062056283</t>
  </si>
  <si>
    <t xml:space="preserve">Mussuwan house 338 Karon </t>
  </si>
  <si>
    <t>Massuwan house , 338, moo 3</t>
  </si>
  <si>
    <t>https://drive.google.com/open?id=1jVwZVuuALFjP-iA-Un3W3zE-UiDsyRMS</t>
  </si>
  <si>
    <t>Club22 hotel</t>
  </si>
  <si>
    <t>https://drive.google.com/open?id=1kQmrjBWurlzwayiJ1uKb1Pu1Xv9KOLKX</t>
  </si>
  <si>
    <t>@Kirill_GS_main</t>
  </si>
  <si>
    <t>The Base Downtown Condominium</t>
  </si>
  <si>
    <t>‎ +66 63 129 3870</t>
  </si>
  <si>
    <t>https://drive.google.com/open?id=1IeZAVsP8lZvFm8MU1Lrijp7KvVE9H2EH</t>
  </si>
  <si>
    <t>Centrio condo</t>
  </si>
  <si>
    <t>0629688827</t>
  </si>
  <si>
    <t>https://drive.google.com/open?id=17PXWcbKFFgXEQ_DD_ZXBvtGvIqmJXJzS</t>
  </si>
  <si>
    <t>Club 22</t>
  </si>
  <si>
    <t>https://drive.google.com/open?id=1UgZBBkFQ7KcJICfMIPrpRK4fJKf-2Po0</t>
  </si>
  <si>
    <t>0821056210</t>
  </si>
  <si>
    <t>Oceana resort, tower B</t>
  </si>
  <si>
    <t>https://drive.google.com/open?id=1tVlG7H2vq7BmGbgYQeiHGB3uQg1HTxdR</t>
  </si>
  <si>
    <t>@kseden86</t>
  </si>
  <si>
    <t xml:space="preserve">Room actually </t>
  </si>
  <si>
    <t>Room actually</t>
  </si>
  <si>
    <t>https://drive.google.com/open?id=11j8Yh2AUJ25PUCaG1EpfNY3DYO3H78gC</t>
  </si>
  <si>
    <t xml:space="preserve">Phuket airport </t>
  </si>
  <si>
    <t>Phuket airport</t>
  </si>
  <si>
    <t>https://drive.google.com/open?id=1vpD9ragZoXJwBU0MRXYBgT1MsnupWlAZ</t>
  </si>
  <si>
    <t>https://drive.google.com/open?id=14yDN5FVzxEEtEiU_55DpfS__fVTALSKt</t>
  </si>
  <si>
    <t>Kata boutique</t>
  </si>
  <si>
    <t>https://drive.google.com/open?id=13zumJYft_sii7BDHbN8HfzdoHM7nVhLG</t>
  </si>
  <si>
    <t>@voss3k</t>
  </si>
  <si>
    <t>Nature Pine Residence.</t>
  </si>
  <si>
    <t>+7 965 900-00-60</t>
  </si>
  <si>
    <t>8000 RUB</t>
  </si>
  <si>
    <t>https://drive.google.com/open?id=1qULBGFKn2ZKzzMOHRss1gCG-hv7D6npx</t>
  </si>
  <si>
    <t>Surin beach residence</t>
  </si>
  <si>
    <t>https://drive.google.com/open?id=1jkPOi5-2Y-KQmHSGQF4PQnUM5azKRVWX</t>
  </si>
  <si>
    <t>@cha1vdvoem</t>
  </si>
  <si>
    <t xml:space="preserve">Woovo hotel </t>
  </si>
  <si>
    <t>+66948204917</t>
  </si>
  <si>
    <t>Kamala office</t>
  </si>
  <si>
    <t>https://drive.google.com/open?id=1mwe2oHrWeuatDBIrYRQqNT69SXxcgvwo</t>
  </si>
  <si>
    <t>@Maximov_Vlas</t>
  </si>
  <si>
    <t>https://drive.google.com/open?id=1TKHwMAFziT6rnyXomRczl1bX8wt6yvM4</t>
  </si>
  <si>
    <t>@arturtit</t>
  </si>
  <si>
    <t>The Woods natural park</t>
  </si>
  <si>
    <t>https://drive.google.com/open?id=1zeF1qYgWVY81xX7_Ed1IQuTXHd8AKJtc</t>
  </si>
  <si>
    <t>@sarkison7</t>
  </si>
  <si>
    <t>https://drive.google.com/open?id=1B5ONcPJ8xOuQqBfX8hPTX5r5TqwTM1e8</t>
  </si>
  <si>
    <t>+33636058650</t>
  </si>
  <si>
    <t>Baan Chaylay Resort</t>
  </si>
  <si>
    <t>https://drive.google.com/open?id=1eoEUfbWpdCMnEa_uaC1Q_Hu-40d-Eh9E</t>
  </si>
  <si>
    <t>0610481060</t>
  </si>
  <si>
    <t>https://drive.google.com/open?id=1cLxzKQvYayWmwRpy45wDkl4XU_OGxGBD</t>
  </si>
  <si>
    <t>https://drive.google.com/open?id=1XPMJBrRA-2gHG8sMOcOKcggcm61zPVk_</t>
  </si>
  <si>
    <t>@</t>
  </si>
  <si>
    <t>+33652224021</t>
  </si>
  <si>
    <t>https://drive.google.com/open?id=1eYgL477pwb-e0uNEEWNFqud89SHSmgOO</t>
  </si>
  <si>
    <t>Patong Bay Hill 4*</t>
  </si>
  <si>
    <t>https://drive.google.com/open?id=1b9OYpg0wLKvZjPVYO6Ewa7q9M75Tgorf</t>
  </si>
  <si>
    <t>https://drive.google.com/open?id=1CVeFZ3m9ER3r4QxYdYetYyBndVn4isNX</t>
  </si>
  <si>
    <t>https://drive.google.com/open?id=1Ou3_-wIkcHjhAzzKFA3MzPEPOwq6IGlU</t>
  </si>
  <si>
    <t>https://drive.google.com/open?id=1RD55qdZnn_VdSfmE1_6-a5H9rg-UDxge</t>
  </si>
  <si>
    <t>TURBOBABY KAMALA</t>
  </si>
  <si>
    <t>https://drive.google.com/open?id=1O5AgXxxgWYyPnjcc8zwFLyEbeNI9aKbd</t>
  </si>
  <si>
    <t>KAZ</t>
  </si>
  <si>
    <t>@alakius</t>
  </si>
  <si>
    <t>Baan kata maytha</t>
  </si>
  <si>
    <t>+79268791890</t>
  </si>
  <si>
    <t>https://drive.google.com/open?id=1olC1C-tWMeDcbTk0KQtqJ7pJsUC84Hd2</t>
  </si>
  <si>
    <t>https://drive.google.com/open?id=1mxSSy4p1QEU8MyG9LjtHoIw5W3BNR2fd</t>
  </si>
  <si>
    <t>@rebmalad</t>
  </si>
  <si>
    <t>https://drive.google.com/open?id=1fhupZ7ydw9ild31LYwMCEX8E1HQEKOMD</t>
  </si>
  <si>
    <t>Thavorn</t>
  </si>
  <si>
    <t>+79665559999</t>
  </si>
  <si>
    <t xml:space="preserve">Thavorn </t>
  </si>
  <si>
    <t>https://drive.google.com/open?id=1ZIWMnAjon8LBgjNi60jub1YAfXswaL26</t>
  </si>
  <si>
    <t>@usd13m</t>
  </si>
  <si>
    <t>https://drive.google.com/open?id=1GisAf6tFahQsuXfZ-aW_eKVYITaHukX-</t>
  </si>
  <si>
    <t>@ddss13</t>
  </si>
  <si>
    <t>https://drive.google.com/open?id=1CT6ozJJ2h5-Mxa6ozGArDqNeopz4b71Z</t>
  </si>
  <si>
    <t>@f33Denis</t>
  </si>
  <si>
    <t>Homm Suites Laguna</t>
  </si>
  <si>
    <t>+79258928009</t>
  </si>
  <si>
    <t>https://drive.google.com/open?id=1rJoo15M3NkCPDOHGZyIb6u6PwqywXJho</t>
  </si>
  <si>
    <t>@AndreZlobin</t>
  </si>
  <si>
    <t>PaSak villa 6/12</t>
  </si>
  <si>
    <t>0635262920</t>
  </si>
  <si>
    <t>Pasak villa</t>
  </si>
  <si>
    <t>https://drive.google.com/open?id=1tfkKMFbAe8iYCpb_3HSni4jR80LZAWQa</t>
  </si>
  <si>
    <t>Patong bay hill</t>
  </si>
  <si>
    <t>https://drive.google.com/open?id=1TnPUnyLFGR7V5pYxfFP5iseoj1KDB3Zh</t>
  </si>
  <si>
    <t>@drey_bay</t>
  </si>
  <si>
    <t>0823621739</t>
  </si>
  <si>
    <t>https://drive.google.com/open?id=1VZ4E2kpUxnj-B1ZWMYMfQD9IfFvpvW9t</t>
  </si>
  <si>
    <t>+79371127540</t>
  </si>
  <si>
    <t xml:space="preserve">Patong bay residence </t>
  </si>
  <si>
    <t>https://drive.google.com/open?id=18RPv7LKdNOWe2drfBf15DWSk8Aw7e5_i</t>
  </si>
  <si>
    <t>@MILLIONERINVESTOR</t>
  </si>
  <si>
    <t>One World One Home Naiharn Hotel</t>
  </si>
  <si>
    <t>https://drive.google.com/open?id=1oXdtt0SC3CUvSn4ZX9Tqs-GnfJ7fGmfZ</t>
  </si>
  <si>
    <t>@Codiaqs</t>
  </si>
  <si>
    <t>Wekata luxury</t>
  </si>
  <si>
    <t>https://drive.google.com/open?id=1sc_c3gkopJ-rn60WS4EwCljiVX8AHRMJ</t>
  </si>
  <si>
    <t>Уже был вроде норм аэропон</t>
  </si>
  <si>
    <t>https://drive.google.com/open?id=1s5Dfg_HznZMnHR56k1kdYyPBrfhQ0NTk</t>
  </si>
  <si>
    <t>Sergei Shvetsov</t>
  </si>
  <si>
    <t>Four points Sheraton</t>
  </si>
  <si>
    <t>https://drive.google.com/open?id=1VVuw0va8JeI-cjszTQJJzv_7HrTV4WN6</t>
  </si>
  <si>
    <t>@zanyalmoeimya</t>
  </si>
  <si>
    <t>Tk residence</t>
  </si>
  <si>
    <t xml:space="preserve">Kamala turbobaby </t>
  </si>
  <si>
    <t>Kamala turbobaby</t>
  </si>
  <si>
    <t>https://drive.google.com/open?id=1gkwQe5FsxPMlzETK0k46F236Y5FR5Qmj</t>
  </si>
  <si>
    <t>@aleksei_k1m</t>
  </si>
  <si>
    <t>The nature Phuket 5405</t>
  </si>
  <si>
    <t>0909020053</t>
  </si>
  <si>
    <t>https://drive.google.com/open?id=1Ccm7ZJUeInPgAXy-MpfqXDNWLjLcSpET</t>
  </si>
  <si>
    <t>Максим</t>
  </si>
  <si>
    <t>Le meridian mai khao</t>
  </si>
  <si>
    <t>https://drive.google.com/open?id=16D-whbTtjqmA4D37S9NKT__xAh5Oum0p</t>
  </si>
  <si>
    <t>@sk_medved</t>
  </si>
  <si>
    <t>0910340429</t>
  </si>
  <si>
    <t>https://drive.google.com/open?id=1qrUgWjQsL34HotxLJKvl5hkAYopSOF1L</t>
  </si>
  <si>
    <t>@Vidyaykina</t>
  </si>
  <si>
    <t xml:space="preserve">Base downtown </t>
  </si>
  <si>
    <t>0950095690</t>
  </si>
  <si>
    <t>https://drive.google.com/open?id=1asf83xIbD0Gu5sa510zmsuBPSylRmVnE</t>
  </si>
  <si>
    <t>@ivanro4ev</t>
  </si>
  <si>
    <t>https://drive.google.com/open?id=1lZVnoFaR7GX15e0CPm3HFUMNLtw2fWsI</t>
  </si>
  <si>
    <t>@Sergio_Antoneli</t>
  </si>
  <si>
    <t>Club Bomboo</t>
  </si>
  <si>
    <t>+79035437760</t>
  </si>
  <si>
    <t>https://drive.google.com/open?id=1E8OtKcI3orrQkN9-dLP09Xi6myxO-bf5</t>
  </si>
  <si>
    <t>Eduard</t>
  </si>
  <si>
    <t>Kamala ICON</t>
  </si>
  <si>
    <t>https://drive.google.com/open?id=1UCWZbnUB9g2uWNoVt29vENjhE5UFXq2L</t>
  </si>
  <si>
    <t>@Diman1707</t>
  </si>
  <si>
    <t>+7937201477</t>
  </si>
  <si>
    <t>https://drive.google.com/open?id=1AEACQcOn5M-fkA1W0XSFEqSpZ_yVXWol</t>
  </si>
  <si>
    <t>+7 910 478-19-91</t>
  </si>
  <si>
    <t>karon village</t>
  </si>
  <si>
    <t>https://drive.google.com/open?id=1OdBvZxPfWkz853VfVz5Y_6CG-Qfs_RD7</t>
  </si>
  <si>
    <t>https://drive.google.com/open?id=1DYgGQEOhcMzs6T6prllMHUiXumkzJSKO</t>
  </si>
  <si>
    <t>@bsireev</t>
  </si>
  <si>
    <t>88/158 The Rich Palai Village, Village No. 5</t>
  </si>
  <si>
    <t>0959785178</t>
  </si>
  <si>
    <t>https://drive.google.com/open?id=1Sua5u31gCDECeZ3H9JB71Ejdu7PHVrkq</t>
  </si>
  <si>
    <t>https://drive.google.com/open?id=1FryQDTXnEpv2NXNO1JrCf_zIpSawmMnz</t>
  </si>
  <si>
    <t>@ulianspace</t>
  </si>
  <si>
    <t>Utopia central</t>
  </si>
  <si>
    <t>https://drive.google.com/open?id=1joU1V0tmwwCamTPc4r6UaGv-NIdlkeec</t>
  </si>
  <si>
    <t>Amora</t>
  </si>
  <si>
    <t>+79822151555</t>
  </si>
  <si>
    <t>https://drive.google.com/open?id=1i09YKfvGhQAkmh3Z-VDHUTmytgvrJaiA</t>
  </si>
  <si>
    <t>Nikita avaniuk</t>
  </si>
  <si>
    <t>Secret cliff</t>
  </si>
  <si>
    <t>+380979530946</t>
  </si>
  <si>
    <t>https://drive.google.com/open?id=13E-9cn3nIEH0_eYRZqZqOi9puye1StyG</t>
  </si>
  <si>
    <t>@Nastya_Tapatun</t>
  </si>
  <si>
    <t>Sino Mayson</t>
  </si>
  <si>
    <t>https://drive.google.com/open?id=1EZiwwrMcN2q6lDaWlrzwWXDpUXASs9Yx</t>
  </si>
  <si>
    <t>@phiketscrow</t>
  </si>
  <si>
    <t>Re Life nai harn</t>
  </si>
  <si>
    <t>https://drive.google.com/open?id=1zxoItJa8ChZhSrNcxhatYitOQ9HEqY0t</t>
  </si>
  <si>
    <t>@kebett</t>
  </si>
  <si>
    <t>baan karon resort</t>
  </si>
  <si>
    <t>+66 9 9080 0146</t>
  </si>
  <si>
    <t>https://drive.google.com/open?id=1bl1HHJQrHtZZzmoMRo6sLJtMcv1Iug5a</t>
  </si>
  <si>
    <t>I dee hotel patong</t>
  </si>
  <si>
    <t>https://drive.google.com/open?id=1ziOOiFghn9m01o0eBZl7k8Ggjzb6fLOp</t>
  </si>
  <si>
    <t>@vandam354</t>
  </si>
  <si>
    <t>little loft hotel</t>
  </si>
  <si>
    <t>+79888999104</t>
  </si>
  <si>
    <t>https://drive.google.com/open?id=1t0k2yoY2-qGiXBnDEwx9Vk_u9O-hkH_O</t>
  </si>
  <si>
    <t>+7 903 133-13-92</t>
  </si>
  <si>
    <t xml:space="preserve">Mida grande </t>
  </si>
  <si>
    <t>Mida grande</t>
  </si>
  <si>
    <t>https://drive.google.com/open?id=10Wb_hQ98wrk9og1J2Rv9-4F_CjnqbpUP</t>
  </si>
  <si>
    <t>https://drive.google.com/open?id=1FkosFOOwkI_BMtyJ111SXfa_R3zoPiht</t>
  </si>
  <si>
    <t>+7 921 939-27-77</t>
  </si>
  <si>
    <t>Sansuri naiharn верно</t>
  </si>
  <si>
    <t>https://drive.google.com/open?id=1dptKtY9fcGMw9mXl8I3_tfRQnPRb3rGz</t>
  </si>
  <si>
    <t>https://drive.google.com/open?id=1207Im9mLTicv96_HUEOxa2DpyH_4llpr</t>
  </si>
  <si>
    <t>@Dima_k85</t>
  </si>
  <si>
    <t>https://drive.google.com/open?id=1IAzcI6xYSHbIBXsHvU8uiVjKNdthPDcS</t>
  </si>
  <si>
    <t>@leonid_rr</t>
  </si>
  <si>
    <t>https://drive.google.com/open?id=1ZrXaHb3ajPaFkB--It0plwrpthJkB8VS</t>
  </si>
  <si>
    <t>+7 985 347-01-47</t>
  </si>
  <si>
    <t xml:space="preserve">Be live residence </t>
  </si>
  <si>
    <t>https://drive.google.com/open?id=1-XApLyMM1vfV__btaYtbR7lwpx1p1CSr</t>
  </si>
  <si>
    <t>@aiowoi</t>
  </si>
  <si>
    <t>The trees residence  Tower 1, 123</t>
  </si>
  <si>
    <t>+66996071124</t>
  </si>
  <si>
    <t>https://drive.google.com/open?id=1QAJBce4SPEIuEYcWgUaxZy5Btzz-iEc7</t>
  </si>
  <si>
    <t>@dvoenko</t>
  </si>
  <si>
    <t>+79217628949</t>
  </si>
  <si>
    <t>https://drive.google.com/open?id=13k3Y9VB8X58PBiLT6_gJFsl-VMFfxZcr</t>
  </si>
  <si>
    <t>https://drive.google.com/open?id=1U5qt4iBn7V0dFP3z26LAOxZ-P2vfAdwo</t>
  </si>
  <si>
    <t>+7 902 924-97-98</t>
  </si>
  <si>
    <t>Pool rada butic hotel</t>
  </si>
  <si>
    <t>https://drive.google.com/open?id=1V9xIAy_-5FJ4pczgyrToDtRJ8Hfd_GJ6</t>
  </si>
  <si>
    <t>@michaelpol</t>
  </si>
  <si>
    <t>Sugar palm grand hillside</t>
  </si>
  <si>
    <t>https://drive.google.com/open?id=10LQbMsKz5QpPlgBuwpnq8XxZvGPCPzEX</t>
  </si>
  <si>
    <t>Baan lamai patong</t>
  </si>
  <si>
    <t>+46708454946</t>
  </si>
  <si>
    <t>https://drive.google.com/open?id=1ELFs-nYDsyAVREvwMVM51Ft-dZQ_DdkJ</t>
  </si>
  <si>
    <t>+79673651202</t>
  </si>
  <si>
    <t>https://drive.google.com/open?id=1PJb-kZht1on8uk9G9A5KcoMe3_gE58Z_</t>
  </si>
  <si>
    <t>https://drive.google.com/open?id=1zclJAxDQQJkMHeMMxyNjwxsU20OYQ6jQ</t>
  </si>
  <si>
    <t>https://drive.google.com/open?id=1TwHDF_Jdt8gpSFC-htV9o6ILNGLGgv7-</t>
  </si>
  <si>
    <t>BAAN LAIMAI BEACH RESORT &amp; SPA</t>
  </si>
  <si>
    <t>https://drive.google.com/open?id=1zFCdrTH8MZ6x1_Fs0jXuUHZfmYG_at0a</t>
  </si>
  <si>
    <t>@moto_lina</t>
  </si>
  <si>
    <t>Tittle Rawai</t>
  </si>
  <si>
    <t>+79264082848</t>
  </si>
  <si>
    <t>https://drive.google.com/open?id=1criS5qaTiOX3KTv4r1RBi1XUxylj0_xL</t>
  </si>
  <si>
    <t>@up765</t>
  </si>
  <si>
    <t xml:space="preserve">Pp house boutique </t>
  </si>
  <si>
    <t>https://drive.google.com/open?id=1w8aDa70WMCxikRVwO3yd3YF4II9_4xhZ</t>
  </si>
  <si>
    <t>+79299598458</t>
  </si>
  <si>
    <t>https://drive.google.com/open?id=1IVPg8J4VeSUaBlSrHcBC27pXlKTFGseU</t>
  </si>
  <si>
    <t>@doublec_c</t>
  </si>
  <si>
    <t>Greenleaf hostel, 411</t>
  </si>
  <si>
    <t>0964171248</t>
  </si>
  <si>
    <t>https://drive.google.com/open?id=1FQj6pJApyNQq6W2gWzbT7ba6qvaohG2W</t>
  </si>
  <si>
    <t>+7 903 500-34-55</t>
  </si>
  <si>
    <t>https://drive.google.com/open?id=15u633kZm6sWz-Owb9SM54_1whRkKKOpD</t>
  </si>
  <si>
    <t>https://drive.google.com/open?id=1t6bKrjr6nztBVw1R_kIDrBdJqNeISpSb</t>
  </si>
  <si>
    <t>@VladimirBuik</t>
  </si>
  <si>
    <t>Villoft Zen Living , номер s-4</t>
  </si>
  <si>
    <t>+79898333740</t>
  </si>
  <si>
    <t>https://drive.google.com/open?id=1xMYfSNZKscmy0sIja1aU4BDrmsYlXRhR</t>
  </si>
  <si>
    <t>+7 922 878-27-95</t>
  </si>
  <si>
    <t>Phant</t>
  </si>
  <si>
    <t>+7 996 853-16-24</t>
  </si>
  <si>
    <t>https://drive.google.com/open?id=1081hZMGU_CQlhjJx2CqURQQw-pNBZY9A</t>
  </si>
  <si>
    <t>+7 913 941-45-50</t>
  </si>
  <si>
    <t>Baan mi khao</t>
  </si>
  <si>
    <t>https://drive.google.com/open?id=1Ak4K2dapRpgacy0IgcJx-zmD5NkMBoTm</t>
  </si>
  <si>
    <t>@asergeev001</t>
  </si>
  <si>
    <t>Forty winks Phuket</t>
  </si>
  <si>
    <t>https://drive.google.com/open?id=1DCALctXUEUPc0qSzCeRBuBiM4Zbi8CWu</t>
  </si>
  <si>
    <t>@hdrpncs</t>
  </si>
  <si>
    <t>Patong Lodge Hotel</t>
  </si>
  <si>
    <t>+7 930 808-22-50</t>
  </si>
  <si>
    <t>https://drive.google.com/open?id=17w7S94VfGWcPRhSlNFbiN1MZ_axQKbGI</t>
  </si>
  <si>
    <t>@povar_denis_sofonov</t>
  </si>
  <si>
    <t>simplitel hotel</t>
  </si>
  <si>
    <t>+79872127465</t>
  </si>
  <si>
    <t>https://drive.google.com/open?id=18lHwQaUHtUOcq628X9zEWmqgeEt5C0WC</t>
  </si>
  <si>
    <t>@ipaul3277</t>
  </si>
  <si>
    <t>May House Karon Beach</t>
  </si>
  <si>
    <t>+79111428096</t>
  </si>
  <si>
    <t>https://drive.google.com/open?id=12o4ODjR2cEcpeBCmU4dEtUuS5vUD_6xY</t>
  </si>
  <si>
    <t>https://drive.google.com/open?id=1nIJd7tBCo3BK_eiYOpX-XEmoebYj_rBy</t>
  </si>
  <si>
    <t>DCodo Creek, кв 75/144</t>
  </si>
  <si>
    <t>+66934433051</t>
  </si>
  <si>
    <t>Office Kamala</t>
  </si>
  <si>
    <t xml:space="preserve">Office Kamala </t>
  </si>
  <si>
    <t>https://drive.google.com/open?id=1icIiO1xX4-dbENCLwdHC7jyoSL9LEgB6</t>
  </si>
  <si>
    <t>@dev1919popov</t>
  </si>
  <si>
    <t>Indigo</t>
  </si>
  <si>
    <t>0837560370</t>
  </si>
  <si>
    <t>https://drive.google.com/open?id=1Ig9zeZinICsHnv-bF6D9tPATpg2Cby_H</t>
  </si>
  <si>
    <t>https://drive.google.com/open?id=1w2tDkWKHMrF5n31v7m0HORvxym_0bu_A</t>
  </si>
  <si>
    <t>+995599869326</t>
  </si>
  <si>
    <t>Klaveness Townhouse</t>
  </si>
  <si>
    <t>8500*</t>
  </si>
  <si>
    <t>https://drive.google.com/open?id=1DWnFk133PVoydQvKzKpaxDe1dSJHsOEX</t>
  </si>
  <si>
    <t>@nikita_vakhrameev</t>
  </si>
  <si>
    <t>NOON Village - Tower 2 Condominium</t>
  </si>
  <si>
    <t>0992203707</t>
  </si>
  <si>
    <t>https://drive.google.com/open?id=18TIqHS4zd51cYUMRdmDJsZcDzFNLGfZn</t>
  </si>
  <si>
    <t>@pb_serm</t>
  </si>
  <si>
    <t xml:space="preserve">Kamala office </t>
  </si>
  <si>
    <t>https://drive.google.com/open?id=1gEN2dUd7SjfC0niHE0a9ladNdPt7LSDL</t>
  </si>
  <si>
    <t>+79778396722</t>
  </si>
  <si>
    <t>С кофром</t>
  </si>
  <si>
    <t>https://drive.google.com/open?id=1QOxqJAzAIuoJ0UFtiMHmlderd3hefaqI</t>
  </si>
  <si>
    <t>@emilrizvanov</t>
  </si>
  <si>
    <t>The base</t>
  </si>
  <si>
    <t>0824703108</t>
  </si>
  <si>
    <t>0815123819</t>
  </si>
  <si>
    <t>https://drive.google.com/open?id=13I0izyDYrxthYIYBZ9OxOu2rvo6WLuGh</t>
  </si>
  <si>
    <t>+79775563746</t>
  </si>
  <si>
    <t>https://drive.google.com/open?id=1-iVK7In7q8pQ4CEGRuK81CroPVWjBEjk</t>
  </si>
  <si>
    <t>+79262771198</t>
  </si>
  <si>
    <t>Rawai Grand House</t>
  </si>
  <si>
    <t>https://drive.google.com/open?id=1q3RSEThSKRZTqshZPlXrMjUodkqYvFn1</t>
  </si>
  <si>
    <t>+7 915 006-09-99</t>
  </si>
  <si>
    <t>Ma doo</t>
  </si>
  <si>
    <t>https://drive.google.com/open?id=1ALghy5fMCmbshBZLbwrc3YTC1eh5x25j</t>
  </si>
  <si>
    <t>https://drive.google.com/open?id=1WjNwySIq0nCwRnCuu6kicFzJb9X8wU65</t>
  </si>
  <si>
    <t>DLUX Condominium</t>
  </si>
  <si>
    <t>https://drive.google.com/open?id=1X-NQ2QvVCeG6ZK1u6aqaPzMI6J9OF4cz</t>
  </si>
  <si>
    <t>+79267191322</t>
  </si>
  <si>
    <t>Tann Anda Resort</t>
  </si>
  <si>
    <t>Maya Mai khao</t>
  </si>
  <si>
    <t>https://drive.google.com/open?id=1FE1MofhXRW70x5Nj17jpDm8Yrn9uYqHX</t>
  </si>
  <si>
    <t>+79147053332</t>
  </si>
  <si>
    <t>Villa Sunpao</t>
  </si>
  <si>
    <t>https://drive.google.com/open?id=1_oP_M5IcZZVjTYEbYxgAjChSLoL3O0q6</t>
  </si>
  <si>
    <t>@ejrule</t>
  </si>
  <si>
    <t>m social</t>
  </si>
  <si>
    <t>0991299132</t>
  </si>
  <si>
    <t>+79031337371</t>
  </si>
  <si>
    <t xml:space="preserve">m social </t>
  </si>
  <si>
    <t>https://drive.google.com/open?id=1Oi03v3XEiU1035abKjQq0J9MvPN0MlL-</t>
  </si>
  <si>
    <t>+7 924 790-97-88</t>
  </si>
  <si>
    <t>Laguna sky park</t>
  </si>
  <si>
    <t>https://drive.google.com/open?id=1Rm894IDb1CzCW9yR49G5j7pcuvSPuZSn</t>
  </si>
  <si>
    <t>@allworld911</t>
  </si>
  <si>
    <t>SBAC collage hotel</t>
  </si>
  <si>
    <t>+66660349722</t>
  </si>
  <si>
    <t>https://drive.google.com/open?id=1N4NhqAGjG2dB70ZXyuvLl-mW6sf2IOcJ</t>
  </si>
  <si>
    <t>@ALEKHANIN5756</t>
  </si>
  <si>
    <t>0969709670</t>
  </si>
  <si>
    <t>https://drive.google.com/open?id=1cyrQyMyIv662_HX7ezkv0o4G35WxVcdv</t>
  </si>
  <si>
    <t>https://drive.google.com/open?id=1lZLNjENu0MhnzRkteF4_B8OCf0_phyUp</t>
  </si>
  <si>
    <t>Movenpick</t>
  </si>
  <si>
    <t xml:space="preserve">Movenpick </t>
  </si>
  <si>
    <t>https://drive.google.com/open?id=13TUM7UWhgTjOFruV7KuKB6i2CnnQI68w</t>
  </si>
  <si>
    <t>@D222RK</t>
  </si>
  <si>
    <t>Novotel Phuket</t>
  </si>
  <si>
    <t xml:space="preserve">Novotel Phuket </t>
  </si>
  <si>
    <t>https://drive.google.com/open?id=1waZuxrqTps9o9Bb_t2oeMQJMOAkEoca7</t>
  </si>
  <si>
    <t>+90 543 103 94 95</t>
  </si>
  <si>
    <t>@dmitrii138</t>
  </si>
  <si>
    <t>Holiday Inn Resort Phuket Surin Beach 1306</t>
  </si>
  <si>
    <t>0837147594</t>
  </si>
  <si>
    <t>Holiday Inn Resort Phuket Surin Beach, an IHG Hotel</t>
  </si>
  <si>
    <t>https://drive.google.com/open?id=15aOISNyK4h63shYyoFEVal6tpkrEiil1</t>
  </si>
  <si>
    <t>@brvnz</t>
  </si>
  <si>
    <t>Bandon village 196/186, Cherntalay</t>
  </si>
  <si>
    <t>0843939509</t>
  </si>
  <si>
    <t>https://drive.google.com/open?id=1yoBlA0HUUNaX9piBgaMLWyjAvDYYlwY8</t>
  </si>
  <si>
    <t>The oceanic sportel</t>
  </si>
  <si>
    <t>https://drive.google.com/open?id=1qKZPoIpo6vk0VIltGLCE7VMdo3N1kbxq</t>
  </si>
  <si>
    <t>65N9525704</t>
  </si>
  <si>
    <t>@fil_dja</t>
  </si>
  <si>
    <t>Villa Sunrise Garden</t>
  </si>
  <si>
    <t>9000rub</t>
  </si>
  <si>
    <t>https://drive.google.com/open?id=1tCpQF3jdptNXb8yuHbo87jqza9jBxJlU</t>
  </si>
  <si>
    <t>+995579403258</t>
  </si>
  <si>
    <t>+7 916 790-90-01</t>
  </si>
  <si>
    <t>https://drive.google.com/open?id=1zPveS3yYGXPpLTr3YyQ_Od3xgQfDXtZP</t>
  </si>
  <si>
    <t>@itim38</t>
  </si>
  <si>
    <t>Ratana Hotel</t>
  </si>
  <si>
    <t>+79119664760</t>
  </si>
  <si>
    <t>https://drive.google.com/open?id=1rBNMR9DSpA1AiRpR_NEdX44HICYpKdoX</t>
  </si>
  <si>
    <t>+7 985 418-85-44</t>
  </si>
  <si>
    <t>Layan Tara</t>
  </si>
  <si>
    <t>https://drive.google.com/open?id=1JIdmTRo2CrqztId130u9Og4KnEFYIu97</t>
  </si>
  <si>
    <t>@Im_stone_e</t>
  </si>
  <si>
    <t>Live@loft Apartelle The Rubber</t>
  </si>
  <si>
    <t>+66986433526</t>
  </si>
  <si>
    <t>+79243911800</t>
  </si>
  <si>
    <t>https://drive.google.com/open?id=1OIJsTtjJMJJbGE1is8tDKMPuEGiTNJnP</t>
  </si>
  <si>
    <t>https://drive.google.com/open?id=1Ucqk1_K-I6atCBVXXZLU2HW6F5piln16</t>
  </si>
  <si>
    <t>+79037992126</t>
  </si>
  <si>
    <t>Yaya B By Briza Group</t>
  </si>
  <si>
    <t>https://drive.google.com/open?id=1KrEwxQ95QuHpdWVSEpocz_BWfMro_k3R</t>
  </si>
  <si>
    <t>@Roxengk</t>
  </si>
  <si>
    <t>Baan Boa Guest House</t>
  </si>
  <si>
    <t>+79087761775</t>
  </si>
  <si>
    <t>https://drive.google.com/open?id=1KmHrnj7I9b3TD59rYswgHM4TKFJh6Gek</t>
  </si>
  <si>
    <t>+33 6 67 74 46 53</t>
  </si>
  <si>
    <t>Naka resort</t>
  </si>
  <si>
    <t>https://drive.google.com/open?id=1BqjMBibm9tmi8C2_MvRakArbIVs28q3D</t>
  </si>
  <si>
    <t>@viktoria_orlik</t>
  </si>
  <si>
    <t>+79855559257</t>
  </si>
  <si>
    <t>https://drive.google.com/open?id=1avi1M4640J34kTZynkgyuq-xu6x-ekfH</t>
  </si>
  <si>
    <t>@virchik</t>
  </si>
  <si>
    <t>Title residence Nai Yang</t>
  </si>
  <si>
    <t>+66 6-4346-6435</t>
  </si>
  <si>
    <t>https://drive.google.com/open?id=14RKPCpHMBRVa16kNTgCU6S3ojf8EdSbf</t>
  </si>
  <si>
    <t>@onepx</t>
  </si>
  <si>
    <t>+995595508474</t>
  </si>
  <si>
    <t>https://drive.google.com/open?id=1psmgz0hsL7nGU4GGROrzjP5cA2k5Fm3O</t>
  </si>
  <si>
    <t>Ananta</t>
  </si>
  <si>
    <t>https://drive.google.com/open?id=1oN9JzgcQ5p0hJw7pJm1in0t_ylPHPGMl</t>
  </si>
  <si>
    <t>+7 965 109-96-99</t>
  </si>
  <si>
    <t>Diamond bangtao</t>
  </si>
  <si>
    <t>https://drive.google.com/open?id=1QaHRhX6pLr_uUPUZ6g9OVx0UHdFTi8nf</t>
  </si>
  <si>
    <t>https://drive.google.com/open?id=1C7vDmSuQTDHpipN1XJK6ZQZtKBQNd9n6</t>
  </si>
  <si>
    <t>@vanywk4</t>
  </si>
  <si>
    <t>7.785672, 98.326869</t>
  </si>
  <si>
    <t>https://drive.google.com/open?id=1F-sdcQqNvOlHzr1vKMaofR42-MLfO89B</t>
  </si>
  <si>
    <t>+353873686607</t>
  </si>
  <si>
    <t>https://drive.google.com/open?id=1V4oP0D9WLLBDg2D-POJXl1GgdbXAT4Iq</t>
  </si>
  <si>
    <t>+7 916 863-84-91</t>
  </si>
  <si>
    <t>Regent Condo</t>
  </si>
  <si>
    <t>https://drive.google.com/open?id=1dKUZUCP5ukgV4Nh-w3VvUB_BN7Ec3pTq</t>
  </si>
  <si>
    <t>@rambler67</t>
  </si>
  <si>
    <t>Wyndham Garden Naithon Phuket</t>
  </si>
  <si>
    <t>0813070092</t>
  </si>
  <si>
    <t>https://drive.google.com/open?id=1FTEYKfwFhmsrTCsSPG3v6rfqcDDp5I22</t>
  </si>
  <si>
    <t>@alexlway</t>
  </si>
  <si>
    <t>Habitia Koh Keaw</t>
  </si>
  <si>
    <t>+79206826314</t>
  </si>
  <si>
    <t>https://drive.google.com/open?id=18Bz80NcPl1y82LqdiFvRH21BXyZSZ28A</t>
  </si>
  <si>
    <t>@Chisur888</t>
  </si>
  <si>
    <t>THE OceAnIC SPOrTEL</t>
  </si>
  <si>
    <t>https://drive.google.com/open?id=1XSOncpV_8sqPvchpXD83N7Uo0cS6drnc</t>
  </si>
  <si>
    <t>@John_Vasilini</t>
  </si>
  <si>
    <t>Leda</t>
  </si>
  <si>
    <t>https://drive.google.com/open?id=1lGQv1zHXJ6BGVXc3UiKniSFjOIcOKEfe</t>
  </si>
  <si>
    <t>@Jeberrs</t>
  </si>
  <si>
    <t>0984843856</t>
  </si>
  <si>
    <t>https://drive.google.com/open?id=14tDUl-zk88KZOX1vsjwNkqMWnnNxdzwN</t>
  </si>
  <si>
    <t>@snowhedgehog</t>
  </si>
  <si>
    <t>777 Beach Condotel</t>
  </si>
  <si>
    <t>https://drive.google.com/open?id=1PKi_5FzVdHshBcqYdbQLrpCNSzqAyeUk</t>
  </si>
  <si>
    <t>@Sergeevich_TM</t>
  </si>
  <si>
    <t>Odin Andaman Hotel</t>
  </si>
  <si>
    <t>https://drive.google.com/open?id=1-hcM3uNxDqs4-SU6SlkmiM_uqqfoXSGa</t>
  </si>
  <si>
    <t>@K0raJev</t>
  </si>
  <si>
    <t>Hi villas</t>
  </si>
  <si>
    <t>+66992657523</t>
  </si>
  <si>
    <t>https://drive.google.com/open?id=1QyueVuFK1YfocAmQGRwyXuQagleOSjmL</t>
  </si>
  <si>
    <t>@suzukigsxs1</t>
  </si>
  <si>
    <t>Wings villa</t>
  </si>
  <si>
    <t>0805711556</t>
  </si>
  <si>
    <t>https://drive.google.com/open?id=1UPfDOu14Yz7GYGGB1-PJ8WmQYk8-lA6q</t>
  </si>
  <si>
    <t>@punktrue</t>
  </si>
  <si>
    <t>Vipa House Chalong</t>
  </si>
  <si>
    <t>https://drive.google.com/open?id=1bSU1zXRjksRfFN3zQO9CRgCNxjsc8J7K</t>
  </si>
  <si>
    <t>+79105002222</t>
  </si>
  <si>
    <t>PRINCESS KAMALA</t>
  </si>
  <si>
    <t>https://drive.google.com/open?id=1OBHaDcqft0PQ_MF-ZBosylpUa4-fEeZm</t>
  </si>
  <si>
    <t>@RomaRmn</t>
  </si>
  <si>
    <t>The Yama Hotel Phuket</t>
  </si>
  <si>
    <t>+79777790740</t>
  </si>
  <si>
    <t>https://drive.google.com/open?id=1SQ2iR_UXhENqwj2FBDGAaGzB4AMLFxJc</t>
  </si>
  <si>
    <t>@krasyuk</t>
  </si>
  <si>
    <t>Zcape 2</t>
  </si>
  <si>
    <t>+79992102030</t>
  </si>
  <si>
    <t>https://drive.google.com/open?id=1pxzd2h_6Ko2kNhCGyNF2-ror4ECF6XhJ</t>
  </si>
  <si>
    <t>@elise_savina_photo</t>
  </si>
  <si>
    <t>https://drive.google.com/open?id=1ge-DZ-X3MvfWOjJlIFLIQW3UhK381oue</t>
  </si>
  <si>
    <t>Peranakan House</t>
  </si>
  <si>
    <t>+77770353747</t>
  </si>
  <si>
    <t>https://drive.google.com/open?id=1hyLK1EEx0kclninW-1gH15RMwa1WsMBg</t>
  </si>
  <si>
    <t>@FIDIYbinance</t>
  </si>
  <si>
    <t>https://drive.google.com/open?id=1VT1sMHS2y7xczcJwMrAgAXsfUTcNVDBk</t>
  </si>
  <si>
    <t>@goodnght</t>
  </si>
  <si>
    <t>Aristo 2 room 705</t>
  </si>
  <si>
    <t>https://drive.google.com/open?id=1VZs-uNEuIHyoTduxND69lvt48s5HNTFu</t>
  </si>
  <si>
    <t>@old_irish</t>
  </si>
  <si>
    <t>https://drive.google.com/open?id=1iBQxLyJ8vaYmfYTqa_rlwX9JPoZhIm2e</t>
  </si>
  <si>
    <t>@AV_Mikhaylov</t>
  </si>
  <si>
    <t>CA Hotel and Residence</t>
  </si>
  <si>
    <t>https://drive.google.com/open?id=1xpbCxH561uDRgY7iZR3Rr-BLsYMs8ij8</t>
  </si>
  <si>
    <t>@eallend</t>
  </si>
  <si>
    <t>+79261811113</t>
  </si>
  <si>
    <t>https://drive.google.com/open?id=15FxsxkCJ0Tc3L4wVgUWMyx3pdAcIiAQ0</t>
  </si>
  <si>
    <t>XMAX RED GLOSS 8946 BKK</t>
  </si>
  <si>
    <t>https://drive.google.com/open?id=1d4_g6QfSdlClAUbyLv5R1iBK4AyQFt59</t>
  </si>
  <si>
    <t>@denisbookreev</t>
  </si>
  <si>
    <t>The Title V (Rawai-Phuket)</t>
  </si>
  <si>
    <t>https://drive.google.com/open?id=1tJZoaK8PX-Kii-C7bq2niXaQ-IRcT-tI</t>
  </si>
  <si>
    <t>https://drive.google.com/open?id=1q3_hlcKigs_0bcocTnLEVTWDsLfyXZum</t>
  </si>
  <si>
    <t>@alena_supremelegal</t>
  </si>
  <si>
    <t>0819792240</t>
  </si>
  <si>
    <t>https://drive.google.com/open?id=1cjDI9Z5V7yJXU7_j-QdmksDv9BTXAd6j</t>
  </si>
  <si>
    <t>@Bvreet</t>
  </si>
  <si>
    <t>The base central</t>
  </si>
  <si>
    <t>+79833324492</t>
  </si>
  <si>
    <t>https://drive.google.com/open?id=101C_Za2OMpwU8jdqh8_9WMvsfWbKHrUL</t>
  </si>
  <si>
    <t>@guccimanefreestyle</t>
  </si>
  <si>
    <t>Ban Don Holiday Home</t>
  </si>
  <si>
    <t>+66 82 053 8838</t>
  </si>
  <si>
    <t>https://drive.google.com/open?id=1u3sf7Tep1wlSG9wwa2Bg0wKSaGZHpn3F</t>
  </si>
  <si>
    <t>Ban don Holiday home</t>
  </si>
  <si>
    <t>https://drive.google.com/open?id=1rKmY3DHI8o1t6fhxTxcLQwOxrr7xWszL</t>
  </si>
  <si>
    <t>https://drive.google.com/open?id=13PFj1qQJcpp-_U6vAYWSsSS4qLaIDCgh</t>
  </si>
  <si>
    <t>+33 6 38 90 09 29</t>
  </si>
  <si>
    <t>Villa sunshine</t>
  </si>
  <si>
    <t>https://drive.google.com/open?id=1ZlN5uaJ6zx3H_RR-9ZgtazW2nfFEpXwH</t>
  </si>
  <si>
    <t>XMAX 300СС NEW RED GLOSS BKK 5709</t>
  </si>
  <si>
    <t>Casa Del M Phuket</t>
  </si>
  <si>
    <t xml:space="preserve">Casa Del M Phuket </t>
  </si>
  <si>
    <t>https://drive.google.com/open?id=1tNhqjiUtI_5Wjlnub4_-28lWwX9f0lCU</t>
  </si>
  <si>
    <t>@malenkaybogina</t>
  </si>
  <si>
    <t>https://drive.google.com/open?id=1VctT3p0yTZKZsjaWPiNlS-K5VUDx7abz</t>
  </si>
  <si>
    <t>@Yura_Phuket</t>
  </si>
  <si>
    <t>The sixteenth Surin</t>
  </si>
  <si>
    <t>0810388919</t>
  </si>
  <si>
    <t>https://drive.google.com/open?id=1i6vNf8-qmVhBJJyPz8IZ0GOWAxIUqDs_</t>
  </si>
  <si>
    <t>0947563424</t>
  </si>
  <si>
    <t>https://drive.google.com/open?id=1LtIm_3hezKAweGUAwjw7-bqIvLE03FPV</t>
  </si>
  <si>
    <t>+79685359062</t>
  </si>
  <si>
    <t>https://drive.google.com/open?id=1bq76WWnLkO70U8DHihm50Ia-czmt360-</t>
  </si>
  <si>
    <t>Zenmaya hotel</t>
  </si>
  <si>
    <t>+17087373368</t>
  </si>
  <si>
    <t>https://drive.google.com/open?id=1ur1ZDIH6KYyrflVBBGf05Fy2ml__6bk_</t>
  </si>
  <si>
    <t>@Funny_Money_01</t>
  </si>
  <si>
    <t>Patong Bay Residence</t>
  </si>
  <si>
    <t>https://drive.google.com/open?id=1OjiaIpYgwuprskzmZyhkoZs1PThI8oxN</t>
  </si>
  <si>
    <t>https://drive.google.com/open?id=1YQv1y6OlqXj6mwhNkXS6rZCmaqLufVnC</t>
  </si>
  <si>
    <t>Rawai</t>
  </si>
  <si>
    <t>https://drive.google.com/open?id=1FVQe-cN8ZVeZIjzzUxj9iqRjPyzaMp6Y</t>
  </si>
  <si>
    <t>@dmitrii_forman</t>
  </si>
  <si>
    <t>cassia residences, room 2107</t>
  </si>
  <si>
    <t>5900thb</t>
  </si>
  <si>
    <t>cassia residences</t>
  </si>
  <si>
    <t>70000thb</t>
  </si>
  <si>
    <t>https://drive.google.com/open?id=1k3tGAOoEK1_hNwNnDjEyR1xJ819P_n_v</t>
  </si>
  <si>
    <t>Mida Grande Resort</t>
  </si>
  <si>
    <t>4/26/0024</t>
  </si>
  <si>
    <t>5/2/0024</t>
  </si>
  <si>
    <t>https://drive.google.com/open?id=1sMy7r-j1Mf1xC6-z4jG7Mxdnv1MNEo9f</t>
  </si>
  <si>
    <t>Mida Grande Resort Phuket ( Surin )</t>
  </si>
  <si>
    <t>https://drive.google.com/open?id=19dCbCDtyR8aQ-191GxVC0Z_Uba0BMHg2</t>
  </si>
  <si>
    <t>Mida grande resort, building 7, apartment 7212</t>
  </si>
  <si>
    <t>+12023907168</t>
  </si>
  <si>
    <t>https://drive.google.com/open?id=1DZNb3FvbQ7sYWlpg7FbrlP2bYCTcYAYR</t>
  </si>
  <si>
    <t xml:space="preserve">5 olives </t>
  </si>
  <si>
    <t>5 olives</t>
  </si>
  <si>
    <t>https://drive.google.com/open?id=17_OxaPHFCsoS60MY6UrbgFcQeW7u36-P</t>
  </si>
  <si>
    <t>THE MARIN PHUKET</t>
  </si>
  <si>
    <t>https://drive.google.com/open?id=1MAu2ai6mc5c1aVFM8CvMc30DCUvKVipF</t>
  </si>
  <si>
    <t>Surin Park</t>
  </si>
  <si>
    <t>+7 910 404-59-67</t>
  </si>
  <si>
    <t>https://drive.google.com/open?id=1j6gMN5opSlQpfvz0H63w-0lbr23Fy2Bq</t>
  </si>
  <si>
    <t>+7 909 917 5000</t>
  </si>
  <si>
    <t>https://drive.google.com/open?id=1Gsvoiemmin9i5O_ifwAh2TBzivmUJZle</t>
  </si>
  <si>
    <t>+7 967 857-94-47</t>
  </si>
  <si>
    <t>Naithonburi</t>
  </si>
  <si>
    <t>https://drive.google.com/open?id=1NMKHunjBq-vRsyxhfNEq_AMl4DCoepjc</t>
  </si>
  <si>
    <t>@vavonvavo</t>
  </si>
  <si>
    <t>Soi Tonpho 65/44</t>
  </si>
  <si>
    <t>+66652392056</t>
  </si>
  <si>
    <t>https://drive.google.com/open?id=1RKkiJ6GEE6WGe74RCwf10N81OkCa1gNW</t>
  </si>
  <si>
    <t>Icon Park Phuket Condo by Owner, building C, floor 6, room 52</t>
  </si>
  <si>
    <t>+66 0641948802</t>
  </si>
  <si>
    <t>+44 7455 382667</t>
  </si>
  <si>
    <t>Kammala</t>
  </si>
  <si>
    <t>https://drive.google.com/open?id=1IM0z64_PhwymJk2IsIotVEjYQtWooRnu</t>
  </si>
  <si>
    <t>the Pavilions Phuket, room 0323</t>
  </si>
  <si>
    <t>+48733931058</t>
  </si>
  <si>
    <t>the Pavilions Phuket</t>
  </si>
  <si>
    <t>https://drive.google.com/open?id=1vlM1m4YVSpEO_2lg1hfR_Iu4g-lNRZ-r</t>
  </si>
  <si>
    <t>Hibiscus 23/111, Soi Naya, Rawai subdistrict</t>
  </si>
  <si>
    <t>https://drive.google.com/open?id=1vN96ccPHsKNp33DRqfo0IOQBVvZU9KGB</t>
  </si>
  <si>
    <t>https://drive.google.com/open?id=1dq-zEI91k4Y6smRJnOp00_lw7fE_LeAf</t>
  </si>
  <si>
    <t>https://drive.google.com/open?id=1xv1l4d8iP2qryY-bmGlNiM3M9Z-4G8AP</t>
  </si>
  <si>
    <t>+7 913 575-51-51</t>
  </si>
  <si>
    <t>Andaman Beach Hotel</t>
  </si>
  <si>
    <t>https://drive.google.com/open?id=1q7NA_9V6_HCHbV3_LsGm-kQDK41m9AQH</t>
  </si>
  <si>
    <t>https://drive.google.com/open?id=12H9pvjjLdglQLt4DSmrWyD6wMYmW7i_U</t>
  </si>
  <si>
    <t>+7 925 229-08-39</t>
  </si>
  <si>
    <t>Daily Monthly Accommodation</t>
  </si>
  <si>
    <t>https://drive.google.com/open?id=10fCg9hJzC4ainkGIvrfPMg7xclLoNoTd</t>
  </si>
  <si>
    <t>https://drive.google.com/file/d/1-XApLyMM1vfV__btaYtbR7lwpx1p1CSr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</si>
</sst>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[$฿]#,##0"/>
    <numFmt numFmtId="165" formatCode="###0"/>
    <numFmt numFmtId="166" formatCode="# ##0 &quot;Km&quot;"/>
    <numFmt numFmtId="167" formatCode="dd.MM.yyyy"/>
    <numFmt numFmtId="168" formatCode="dd&quot;.&quot;mm&quot;.&quot;yyyy&quot; , &quot;h&quot;:&quot;mm"/>
    <numFmt numFmtId="169" formatCode="dd.mm.yyyy"/>
    <numFmt numFmtId="170" formatCode="d.m.yyyy"/>
    <numFmt numFmtId="171" formatCode="dd.mm.yyyy h:mm:ss"/>
    <numFmt numFmtId="172" formatCode="d.m.yyyy h:mm:ss"/>
    <numFmt numFmtId="173" formatCode="d.m"/>
    <numFmt numFmtId="174" formatCode="dd.mm"/>
    <numFmt numFmtId="175" formatCode="dd.mm.yy"/>
    <numFmt numFmtId="176" formatCode="m/d/yyyy h:mm:ss"/>
    <numFmt numFmtId="177" formatCode="#,##0&quot;€&quot;"/>
    <numFmt numFmtId="178" formatCode="#,##0&quot;₽&quot;"/>
    <numFmt numFmtId="179" formatCode="&quot;₽&quot;#,##0"/>
  </numFmts>
  <fonts count="19">
    <font>
      <sz val="10.0"/>
      <color rgb="FF000000"/>
      <name val="Verdana"/>
      <scheme val="minor"/>
    </font>
    <font>
      <b/>
      <color rgb="FF233A44"/>
      <name val="Arial"/>
    </font>
    <font>
      <color theme="1"/>
      <name val="Arial"/>
    </font>
    <font>
      <b/>
      <color theme="1"/>
      <name val="Arial"/>
    </font>
    <font>
      <color rgb="FF233A44"/>
      <name val="Arial"/>
    </font>
    <font>
      <color theme="1"/>
      <name val="Verdana"/>
    </font>
    <font>
      <sz val="9.0"/>
      <color rgb="FF000000"/>
      <name val="&quot;Google Sans Mono&quot;"/>
    </font>
    <font>
      <color theme="1"/>
      <name val="Verdana"/>
      <scheme val="minor"/>
    </font>
    <font>
      <b/>
      <color rgb="FF000000"/>
      <name val="Arial"/>
    </font>
    <font>
      <color rgb="FFFFF2CC"/>
      <name val="Arial"/>
    </font>
    <font>
      <color rgb="FFFFFFFF"/>
      <name val="Arial"/>
    </font>
    <font>
      <b/>
      <color theme="1"/>
      <name val="Verdana"/>
      <scheme val="minor"/>
    </font>
    <font/>
    <font>
      <u/>
      <color rgb="FF0000FF"/>
    </font>
    <font>
      <sz val="9.0"/>
      <color rgb="FF008000"/>
      <name val="&quot;Google Sans Mono&quot;"/>
    </font>
    <font>
      <sz val="9.0"/>
      <color theme="1"/>
      <name val="Google Sans Mono"/>
    </font>
    <font>
      <u/>
      <color rgb="FF0000FF"/>
    </font>
    <font>
      <u/>
      <color rgb="FF3D4594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0" fillId="2" fontId="3" numFmtId="164" xfId="0" applyAlignment="1" applyFont="1" applyNumberFormat="1">
      <alignment horizontal="center" readingOrder="0" shrinkToFit="0" vertical="center" wrapText="1"/>
    </xf>
    <xf borderId="0" fillId="2" fontId="3" numFmtId="3" xfId="0" applyAlignment="1" applyFont="1" applyNumberFormat="1">
      <alignment horizontal="center" shrinkToFit="0" vertical="center" wrapText="1"/>
    </xf>
    <xf borderId="0" fillId="2" fontId="3" numFmtId="165" xfId="0" applyAlignment="1" applyFont="1" applyNumberFormat="1">
      <alignment horizontal="center" shrinkToFit="0" vertical="center" wrapText="1"/>
    </xf>
    <xf borderId="0" fillId="2" fontId="3" numFmtId="165" xfId="0" applyAlignment="1" applyFont="1" applyNumberFormat="1">
      <alignment horizontal="center" readingOrder="0" shrinkToFit="0" vertical="center" wrapText="1"/>
    </xf>
    <xf borderId="0" fillId="2" fontId="3" numFmtId="166" xfId="0" applyAlignment="1" applyFont="1" applyNumberFormat="1">
      <alignment horizontal="center" shrinkToFit="0" vertical="center" wrapText="1"/>
    </xf>
    <xf borderId="0" fillId="2" fontId="3" numFmtId="166" xfId="0" applyAlignment="1" applyFont="1" applyNumberFormat="1">
      <alignment horizontal="center" readingOrder="0" shrinkToFit="0" vertical="center" wrapText="1"/>
    </xf>
    <xf borderId="0" fillId="2" fontId="3" numFmtId="164" xfId="0" applyAlignment="1" applyFont="1" applyNumberForma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2" numFmtId="167" xfId="0" applyAlignment="1" applyFont="1" applyNumberFormat="1">
      <alignment horizontal="center" shrinkToFit="0" vertical="center" wrapText="1"/>
    </xf>
    <xf borderId="0" fillId="3" fontId="2" numFmtId="168" xfId="0" applyAlignment="1" applyFont="1" applyNumberForma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  <xf borderId="0" fillId="3" fontId="2" numFmtId="3" xfId="0" applyAlignment="1" applyFont="1" applyNumberFormat="1">
      <alignment horizontal="center" shrinkToFit="0" vertical="center" wrapText="1"/>
    </xf>
    <xf borderId="0" fillId="3" fontId="2" numFmtId="165" xfId="0" applyAlignment="1" applyFont="1" applyNumberFormat="1">
      <alignment horizontal="center" shrinkToFit="0" vertical="center" wrapText="1"/>
    </xf>
    <xf borderId="0" fillId="3" fontId="2" numFmtId="166" xfId="0" applyAlignment="1" applyFont="1" applyNumberFormat="1">
      <alignment horizontal="center" shrinkToFit="0" vertical="center" wrapText="1"/>
    </xf>
    <xf borderId="0" fillId="3" fontId="2" numFmtId="166" xfId="0" applyAlignment="1" applyFont="1" applyNumberFormat="1">
      <alignment horizontal="center" shrinkToFit="0" vertical="center" wrapText="1"/>
    </xf>
    <xf borderId="0" fillId="3" fontId="2" numFmtId="165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3" numFmtId="3" xfId="0" applyAlignment="1" applyFont="1" applyNumberForma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4" fontId="2" numFmtId="167" xfId="0" applyAlignment="1" applyFont="1" applyNumberFormat="1">
      <alignment horizontal="center" shrinkToFit="0" vertical="center" wrapText="1"/>
    </xf>
    <xf borderId="0" fillId="4" fontId="2" numFmtId="168" xfId="0" applyAlignment="1" applyFont="1" applyNumberFormat="1">
      <alignment horizontal="center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4" fontId="2" numFmtId="164" xfId="0" applyAlignment="1" applyFont="1" applyNumberFormat="1">
      <alignment horizontal="center" shrinkToFit="0" vertical="center" wrapText="1"/>
    </xf>
    <xf borderId="0" fillId="4" fontId="2" numFmtId="3" xfId="0" applyAlignment="1" applyFont="1" applyNumberFormat="1">
      <alignment horizontal="center" shrinkToFit="0" vertical="center" wrapText="1"/>
    </xf>
    <xf borderId="0" fillId="4" fontId="2" numFmtId="165" xfId="0" applyAlignment="1" applyFont="1" applyNumberFormat="1">
      <alignment horizontal="center" shrinkToFit="0" vertical="center" wrapText="1"/>
    </xf>
    <xf borderId="0" fillId="4" fontId="2" numFmtId="166" xfId="0" applyAlignment="1" applyFont="1" applyNumberFormat="1">
      <alignment horizontal="center" shrinkToFit="0" vertical="center" wrapText="1"/>
    </xf>
    <xf borderId="0" fillId="4" fontId="2" numFmtId="166" xfId="0" applyAlignment="1" applyFont="1" applyNumberFormat="1">
      <alignment horizontal="center" shrinkToFit="0" vertical="center" wrapText="1"/>
    </xf>
    <xf borderId="0" fillId="4" fontId="2" numFmtId="165" xfId="0" applyAlignment="1" applyFont="1" applyNumberForma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3" fontId="2" numFmtId="168" xfId="0" applyAlignment="1" applyFont="1" applyNumberFormat="1">
      <alignment horizontal="center" readingOrder="0" shrinkToFit="0" vertical="center" wrapText="1"/>
    </xf>
    <xf borderId="0" fillId="4" fontId="2" numFmtId="168" xfId="0" applyAlignment="1" applyFont="1" applyNumberFormat="1">
      <alignment horizontal="center" readingOrder="0" shrinkToFit="0" vertical="center" wrapText="1"/>
    </xf>
    <xf borderId="0" fillId="4" fontId="2" numFmtId="164" xfId="0" applyAlignment="1" applyFont="1" applyNumberForma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2" numFmtId="167" xfId="0" applyAlignment="1" applyFont="1" applyNumberFormat="1">
      <alignment horizontal="center" readingOrder="0" shrinkToFit="0" vertical="center" wrapText="1"/>
    </xf>
    <xf borderId="0" fillId="4" fontId="2" numFmtId="166" xfId="0" applyAlignment="1" applyFont="1" applyNumberFormat="1">
      <alignment horizontal="center" readingOrder="0" shrinkToFit="0" vertical="center" wrapText="1"/>
    </xf>
    <xf borderId="0" fillId="4" fontId="2" numFmtId="3" xfId="0" applyAlignment="1" applyFont="1" applyNumberForma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3" fontId="3" numFmtId="3" xfId="0" applyAlignment="1" applyFont="1" applyNumberFormat="1">
      <alignment horizontal="center" readingOrder="0" shrinkToFit="0" vertical="center" wrapText="1"/>
    </xf>
    <xf borderId="0" fillId="3" fontId="2" numFmtId="167" xfId="0" applyAlignment="1" applyFont="1" applyNumberFormat="1">
      <alignment horizontal="center" readingOrder="0" shrinkToFit="0" vertical="center" wrapText="1"/>
    </xf>
    <xf borderId="0" fillId="3" fontId="2" numFmtId="166" xfId="0" applyAlignment="1" applyFont="1" applyNumberFormat="1">
      <alignment horizontal="center" readingOrder="0" shrinkToFit="0" vertical="center" wrapText="1"/>
    </xf>
    <xf borderId="0" fillId="3" fontId="2" numFmtId="3" xfId="0" applyAlignment="1" applyFont="1" applyNumberFormat="1">
      <alignment horizontal="center" readingOrder="0" shrinkToFit="0" vertical="center" wrapText="1"/>
    </xf>
    <xf borderId="0" fillId="4" fontId="4" numFmtId="169" xfId="0" applyAlignment="1" applyFont="1" applyNumberForma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4" numFmtId="165" xfId="0" applyAlignment="1" applyFont="1" applyNumberForma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2" numFmtId="49" xfId="0" applyAlignment="1" applyFont="1" applyNumberFormat="1">
      <alignment horizontal="center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3" fontId="4" numFmtId="168" xfId="0" applyAlignment="1" applyFont="1" applyNumberFormat="1">
      <alignment horizontal="center" readingOrder="0" shrinkToFit="0" vertical="center" wrapText="1"/>
    </xf>
    <xf borderId="0" fillId="4" fontId="4" numFmtId="165" xfId="0" applyAlignment="1" applyFont="1" applyNumberFormat="1">
      <alignment horizontal="center" readingOrder="0" shrinkToFit="0" vertical="center" wrapText="1"/>
    </xf>
    <xf borderId="0" fillId="4" fontId="2" numFmtId="169" xfId="0" applyAlignment="1" applyFont="1" applyNumberFormat="1">
      <alignment horizontal="center" readingOrder="0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3" fontId="2" numFmtId="170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5" numFmtId="165" xfId="0" applyAlignment="1" applyFont="1" applyNumberFormat="1">
      <alignment horizontal="center" readingOrder="0" shrinkToFit="0" vertical="center" wrapText="1"/>
    </xf>
    <xf borderId="0" fillId="3" fontId="5" numFmtId="165" xfId="0" applyAlignment="1" applyFont="1" applyNumberForma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quotePrefix="1" borderId="0" fillId="3" fontId="2" numFmtId="0" xfId="0" applyAlignment="1" applyFont="1">
      <alignment horizontal="center" readingOrder="0" shrinkToFit="0" vertical="center" wrapText="1"/>
    </xf>
    <xf borderId="0" fillId="4" fontId="5" numFmtId="165" xfId="0" applyAlignment="1" applyFont="1" applyNumberFormat="1">
      <alignment horizontal="center" shrinkToFit="0" vertical="center" wrapText="1"/>
    </xf>
    <xf quotePrefix="1" borderId="0" fillId="4" fontId="2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4" fontId="2" numFmtId="170" xfId="0" applyAlignment="1" applyFont="1" applyNumberFormat="1">
      <alignment horizontal="center" readingOrder="0" shrinkToFit="0" vertical="center" wrapText="1"/>
    </xf>
    <xf quotePrefix="1" borderId="0" fillId="4" fontId="2" numFmtId="0" xfId="0" applyAlignment="1" applyFont="1">
      <alignment horizontal="center" readingOrder="0" shrinkToFit="0" vertical="center" wrapText="1"/>
    </xf>
    <xf borderId="0" fillId="3" fontId="2" numFmtId="171" xfId="0" applyAlignment="1" applyFont="1" applyNumberFormat="1">
      <alignment horizontal="center" readingOrder="0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4" fontId="5" numFmtId="3" xfId="0" applyAlignment="1" applyFont="1" applyNumberForma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4" fontId="6" numFmtId="165" xfId="0" applyAlignment="1" applyFont="1" applyNumberFormat="1">
      <alignment horizontal="center" shrinkToFit="0" vertical="center" wrapText="1"/>
    </xf>
    <xf borderId="0" fillId="4" fontId="5" numFmtId="165" xfId="0" applyAlignment="1" applyFont="1" applyNumberFormat="1">
      <alignment shrinkToFit="0" vertical="center" wrapText="1"/>
    </xf>
    <xf borderId="0" fillId="4" fontId="5" numFmtId="0" xfId="0" applyAlignment="1" applyFont="1">
      <alignment shrinkToFit="0" vertical="center" wrapText="1"/>
    </xf>
    <xf borderId="0" fillId="4" fontId="5" numFmtId="0" xfId="0" applyAlignment="1" applyFont="1">
      <alignment shrinkToFit="0" vertical="center" wrapText="1"/>
    </xf>
    <xf borderId="0" fillId="3" fontId="5" numFmtId="3" xfId="0" applyAlignment="1" applyFont="1" applyNumberFormat="1">
      <alignment horizontal="center" shrinkToFit="0" vertical="center" wrapText="1"/>
    </xf>
    <xf borderId="0" fillId="4" fontId="7" numFmtId="0" xfId="0" applyAlignment="1" applyFont="1">
      <alignment readingOrder="0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4" fontId="5" numFmtId="3" xfId="0" applyAlignment="1" applyFont="1" applyNumberFormat="1">
      <alignment horizontal="center" vertical="center"/>
    </xf>
    <xf borderId="0" fillId="4" fontId="5" numFmtId="165" xfId="0" applyAlignment="1" applyFont="1" applyNumberFormat="1">
      <alignment horizontal="center" vertical="center"/>
    </xf>
    <xf borderId="0" fillId="4" fontId="5" numFmtId="165" xfId="0" applyAlignment="1" applyFont="1" applyNumberFormat="1">
      <alignment horizontal="center" readingOrder="0" vertical="center"/>
    </xf>
    <xf borderId="0" fillId="4" fontId="5" numFmtId="0" xfId="0" applyAlignment="1" applyFont="1">
      <alignment horizontal="center" vertical="center"/>
    </xf>
    <xf borderId="0" fillId="3" fontId="2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shrinkToFit="0" wrapText="1"/>
    </xf>
    <xf borderId="0" fillId="3" fontId="2" numFmtId="164" xfId="0" applyAlignment="1" applyFont="1" applyNumberFormat="1">
      <alignment horizontal="center" shrinkToFit="0" wrapText="1"/>
    </xf>
    <xf borderId="0" fillId="3" fontId="5" numFmtId="3" xfId="0" applyAlignment="1" applyFont="1" applyNumberFormat="1">
      <alignment horizontal="center" vertical="center"/>
    </xf>
    <xf borderId="0" fillId="3" fontId="5" numFmtId="165" xfId="0" applyAlignment="1" applyFont="1" applyNumberFormat="1">
      <alignment horizontal="center" vertical="center"/>
    </xf>
    <xf borderId="0" fillId="3" fontId="2" numFmtId="165" xfId="0" applyAlignment="1" applyFont="1" applyNumberFormat="1">
      <alignment horizontal="center" readingOrder="0" shrinkToFit="0" wrapText="1"/>
    </xf>
    <xf borderId="0" fillId="3" fontId="2" numFmtId="165" xfId="0" applyAlignment="1" applyFont="1" applyNumberFormat="1">
      <alignment horizontal="center" shrinkToFit="0" wrapText="1"/>
    </xf>
    <xf borderId="0" fillId="3" fontId="5" numFmtId="166" xfId="0" applyFont="1" applyNumberFormat="1"/>
    <xf borderId="0" fillId="3" fontId="2" numFmtId="166" xfId="0" applyAlignment="1" applyFont="1" applyNumberFormat="1">
      <alignment horizontal="center" shrinkToFit="0" wrapText="1"/>
    </xf>
    <xf borderId="0" fillId="3" fontId="5" numFmtId="165" xfId="0" applyFont="1" applyNumberFormat="1"/>
    <xf borderId="0" fillId="3" fontId="2" numFmtId="0" xfId="0" applyAlignment="1" applyFont="1">
      <alignment horizontal="center" shrinkToFit="0" wrapText="1"/>
    </xf>
    <xf borderId="0" fillId="3" fontId="5" numFmtId="0" xfId="0" applyFont="1"/>
    <xf borderId="0" fillId="3" fontId="2" numFmtId="0" xfId="0" applyAlignment="1" applyFont="1">
      <alignment horizontal="center" shrinkToFit="0" wrapText="1"/>
    </xf>
    <xf borderId="0" fillId="3" fontId="5" numFmtId="0" xfId="0" applyFont="1"/>
    <xf borderId="0" fillId="3" fontId="4" numFmtId="169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shrinkToFit="0" wrapText="1"/>
    </xf>
    <xf borderId="0" fillId="3" fontId="2" numFmtId="164" xfId="0" applyAlignment="1" applyFont="1" applyNumberFormat="1">
      <alignment horizontal="center" readingOrder="0" shrinkToFit="0" wrapText="1"/>
    </xf>
    <xf borderId="0" fillId="3" fontId="3" numFmtId="0" xfId="0" applyAlignment="1" applyFont="1">
      <alignment horizontal="center" shrinkToFit="0" vertical="center" wrapText="1"/>
    </xf>
    <xf borderId="0" fillId="3" fontId="5" numFmtId="165" xfId="0" applyAlignment="1" applyFont="1" applyNumberFormat="1">
      <alignment horizontal="center" readingOrder="0" vertical="center"/>
    </xf>
    <xf borderId="0" fillId="3" fontId="5" numFmtId="0" xfId="0" applyAlignment="1" applyFont="1">
      <alignment horizontal="center" vertical="center"/>
    </xf>
    <xf borderId="0" fillId="4" fontId="5" numFmtId="165" xfId="0" applyAlignment="1" applyFont="1" applyNumberFormat="1">
      <alignment horizontal="center" readingOrder="0" shrinkToFit="0" vertical="center" wrapText="1"/>
    </xf>
    <xf borderId="0" fillId="3" fontId="5" numFmtId="166" xfId="0" applyAlignment="1" applyFont="1" applyNumberFormat="1">
      <alignment horizontal="center" shrinkToFit="0" vertical="center" wrapText="1"/>
    </xf>
    <xf borderId="0" fillId="4" fontId="5" numFmtId="166" xfId="0" applyAlignment="1" applyFont="1" applyNumberFormat="1">
      <alignment horizontal="center" shrinkToFit="0" vertical="center" wrapText="1"/>
    </xf>
    <xf borderId="0" fillId="4" fontId="2" numFmtId="0" xfId="0" applyAlignment="1" applyFont="1">
      <alignment horizontal="center" readingOrder="0" shrinkToFit="0" wrapText="1"/>
    </xf>
    <xf borderId="0" fillId="4" fontId="3" numFmtId="0" xfId="0" applyAlignment="1" applyFont="1">
      <alignment horizontal="center" readingOrder="0" shrinkToFit="0" wrapText="1"/>
    </xf>
    <xf borderId="0" fillId="4" fontId="8" numFmtId="0" xfId="0" applyAlignment="1" applyFont="1">
      <alignment horizontal="center" readingOrder="0" shrinkToFit="0" wrapText="1"/>
    </xf>
    <xf borderId="0" fillId="4" fontId="3" numFmtId="0" xfId="0" applyAlignment="1" applyFont="1">
      <alignment horizontal="center" shrinkToFit="0" wrapText="1"/>
    </xf>
    <xf borderId="0" fillId="4" fontId="2" numFmtId="0" xfId="0" applyAlignment="1" applyFont="1">
      <alignment horizontal="center" shrinkToFit="0" wrapText="1"/>
    </xf>
    <xf borderId="0" fillId="4" fontId="2" numFmtId="164" xfId="0" applyAlignment="1" applyFont="1" applyNumberFormat="1">
      <alignment horizontal="center" shrinkToFit="0" wrapText="1"/>
    </xf>
    <xf borderId="0" fillId="4" fontId="5" numFmtId="165" xfId="0" applyFont="1" applyNumberFormat="1"/>
    <xf borderId="0" fillId="4" fontId="2" numFmtId="165" xfId="0" applyAlignment="1" applyFont="1" applyNumberFormat="1">
      <alignment horizontal="center" readingOrder="0" shrinkToFit="0" wrapText="1"/>
    </xf>
    <xf borderId="0" fillId="4" fontId="2" numFmtId="166" xfId="0" applyAlignment="1" applyFont="1" applyNumberFormat="1">
      <alignment horizontal="center" shrinkToFit="0" wrapText="1"/>
    </xf>
    <xf borderId="0" fillId="4" fontId="2" numFmtId="166" xfId="0" applyAlignment="1" applyFont="1" applyNumberFormat="1">
      <alignment horizontal="center" shrinkToFit="0" wrapText="1"/>
    </xf>
    <xf borderId="0" fillId="4" fontId="2" numFmtId="165" xfId="0" applyAlignment="1" applyFont="1" applyNumberFormat="1">
      <alignment horizontal="center" shrinkToFit="0" wrapText="1"/>
    </xf>
    <xf borderId="0" fillId="4" fontId="2" numFmtId="0" xfId="0" applyAlignment="1" applyFont="1">
      <alignment horizontal="center" shrinkToFit="0" wrapText="1"/>
    </xf>
    <xf borderId="0" fillId="4" fontId="5" numFmtId="0" xfId="0" applyFont="1"/>
    <xf borderId="0" fillId="4" fontId="2" numFmtId="0" xfId="0" applyAlignment="1" applyFont="1">
      <alignment horizontal="center" shrinkToFit="0" wrapText="1"/>
    </xf>
    <xf borderId="0" fillId="4" fontId="5" numFmtId="0" xfId="0" applyFont="1"/>
    <xf borderId="0" fillId="3" fontId="2" numFmtId="166" xfId="0" applyAlignment="1" applyFont="1" applyNumberFormat="1">
      <alignment horizontal="center" shrinkToFit="0" wrapText="1"/>
    </xf>
    <xf borderId="0" fillId="3" fontId="2" numFmtId="3" xfId="0" applyAlignment="1" applyFont="1" applyNumberFormat="1">
      <alignment horizontal="center" shrinkToFit="0" wrapText="1"/>
    </xf>
    <xf borderId="0" fillId="3" fontId="2" numFmtId="0" xfId="0" applyAlignment="1" applyFont="1">
      <alignment horizontal="center" readingOrder="0" shrinkToFit="0" vertical="bottom" wrapText="1"/>
    </xf>
    <xf borderId="0" fillId="3" fontId="3" numFmtId="0" xfId="0" applyAlignment="1" applyFont="1">
      <alignment horizontal="center" readingOrder="0" shrinkToFit="0" vertical="bottom" wrapText="1"/>
    </xf>
    <xf borderId="0" fillId="3" fontId="9" numFmtId="168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bottom" wrapText="1"/>
    </xf>
    <xf borderId="0" fillId="3" fontId="2" numFmtId="164" xfId="0" applyAlignment="1" applyFont="1" applyNumberFormat="1">
      <alignment horizontal="center" shrinkToFit="0" vertical="bottom" wrapText="1"/>
    </xf>
    <xf borderId="0" fillId="3" fontId="5" numFmtId="3" xfId="0" applyAlignment="1" applyFont="1" applyNumberFormat="1">
      <alignment vertical="bottom"/>
    </xf>
    <xf borderId="0" fillId="3" fontId="2" numFmtId="165" xfId="0" applyAlignment="1" applyFont="1" applyNumberFormat="1">
      <alignment horizontal="center" readingOrder="0" shrinkToFit="0" vertical="bottom" wrapText="1"/>
    </xf>
    <xf borderId="0" fillId="3" fontId="2" numFmtId="165" xfId="0" applyAlignment="1" applyFont="1" applyNumberFormat="1">
      <alignment horizontal="center" shrinkToFit="0" vertical="bottom" wrapText="1"/>
    </xf>
    <xf borderId="0" fillId="3" fontId="5" numFmtId="165" xfId="0" applyAlignment="1" applyFont="1" applyNumberFormat="1">
      <alignment readingOrder="0" vertical="bottom"/>
    </xf>
    <xf borderId="0" fillId="3" fontId="5" numFmtId="166" xfId="0" applyAlignment="1" applyFont="1" applyNumberFormat="1">
      <alignment vertical="bottom"/>
    </xf>
    <xf borderId="0" fillId="3" fontId="2" numFmtId="166" xfId="0" applyAlignment="1" applyFont="1" applyNumberFormat="1">
      <alignment horizontal="center" shrinkToFit="0" vertical="bottom" wrapText="1"/>
    </xf>
    <xf borderId="0" fillId="3" fontId="5" numFmtId="165" xfId="0" applyAlignment="1" applyFont="1" applyNumberFormat="1">
      <alignment vertical="bottom"/>
    </xf>
    <xf borderId="0" fillId="3" fontId="2" numFmtId="0" xfId="0" applyAlignment="1" applyFont="1">
      <alignment horizontal="center" shrinkToFit="0" vertical="bottom" wrapText="1"/>
    </xf>
    <xf borderId="0" fillId="3" fontId="5" numFmtId="0" xfId="0" applyAlignment="1" applyFont="1">
      <alignment vertical="bottom"/>
    </xf>
    <xf borderId="0" fillId="3" fontId="2" numFmtId="0" xfId="0" applyAlignment="1" applyFont="1">
      <alignment horizontal="center" shrinkToFit="0" vertical="bottom" wrapText="1"/>
    </xf>
    <xf borderId="0" fillId="3" fontId="5" numFmtId="0" xfId="0" applyAlignment="1" applyFont="1">
      <alignment vertical="bottom"/>
    </xf>
    <xf borderId="0" fillId="3" fontId="3" numFmtId="0" xfId="0" applyAlignment="1" applyFont="1">
      <alignment horizontal="center" shrinkToFit="0" wrapText="1"/>
    </xf>
    <xf borderId="0" fillId="3" fontId="2" numFmtId="167" xfId="0" applyAlignment="1" applyFont="1" applyNumberFormat="1">
      <alignment horizontal="center" readingOrder="0" shrinkToFit="0" wrapText="1"/>
    </xf>
    <xf borderId="0" fillId="3" fontId="2" numFmtId="168" xfId="0" applyAlignment="1" applyFont="1" applyNumberFormat="1">
      <alignment horizontal="center" shrinkToFit="0" wrapText="1"/>
    </xf>
    <xf borderId="0" fillId="4" fontId="2" numFmtId="167" xfId="0" applyAlignment="1" applyFont="1" applyNumberFormat="1">
      <alignment horizontal="center" readingOrder="0" shrinkToFit="0" wrapText="1"/>
    </xf>
    <xf borderId="0" fillId="4" fontId="2" numFmtId="168" xfId="0" applyAlignment="1" applyFont="1" applyNumberFormat="1">
      <alignment horizontal="center" readingOrder="0" shrinkToFit="0" wrapText="1"/>
    </xf>
    <xf borderId="0" fillId="4" fontId="2" numFmtId="3" xfId="0" applyAlignment="1" applyFont="1" applyNumberFormat="1">
      <alignment horizontal="center" shrinkToFit="0" wrapText="1"/>
    </xf>
    <xf borderId="0" fillId="4" fontId="5" numFmtId="166" xfId="0" applyFont="1" applyNumberFormat="1"/>
    <xf borderId="0" fillId="4" fontId="5" numFmtId="166" xfId="0" applyFont="1" applyNumberFormat="1"/>
    <xf borderId="0" fillId="3" fontId="5" numFmtId="165" xfId="0" applyAlignment="1" applyFont="1" applyNumberFormat="1">
      <alignment shrinkToFit="0" vertical="center" wrapText="1"/>
    </xf>
    <xf borderId="0" fillId="3" fontId="5" numFmtId="0" xfId="0" applyAlignment="1" applyFont="1">
      <alignment shrinkToFit="0" vertical="center" wrapText="1"/>
    </xf>
    <xf borderId="0" fillId="3" fontId="5" numFmtId="0" xfId="0" applyAlignment="1" applyFont="1">
      <alignment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3" fontId="4" numFmtId="167" xfId="0" applyAlignment="1" applyFont="1" applyNumberFormat="1">
      <alignment horizontal="center" readingOrder="0" shrinkToFit="0" vertical="center" wrapText="1"/>
    </xf>
    <xf borderId="0" fillId="3" fontId="10" numFmtId="166" xfId="0" applyAlignment="1" applyFont="1" applyNumberFormat="1">
      <alignment horizontal="center" shrinkToFit="0" vertical="center" wrapText="1"/>
    </xf>
    <xf borderId="0" fillId="3" fontId="9" numFmtId="168" xfId="0" applyAlignment="1" applyFont="1" applyNumberFormat="1">
      <alignment horizontal="center" shrinkToFit="0" vertical="center" wrapText="1"/>
    </xf>
    <xf quotePrefix="1" borderId="0" fillId="3" fontId="2" numFmtId="0" xfId="0" applyAlignment="1" applyFont="1">
      <alignment horizontal="center" shrinkToFit="0" vertical="center" wrapText="1"/>
    </xf>
    <xf quotePrefix="1" borderId="0" fillId="3" fontId="2" numFmtId="0" xfId="0" applyAlignment="1" applyFont="1">
      <alignment horizontal="center" shrinkToFit="0" vertical="center" wrapText="1"/>
    </xf>
    <xf borderId="0" fillId="3" fontId="5" numFmtId="165" xfId="0" applyAlignment="1" applyFont="1" applyNumberFormat="1">
      <alignment horizontal="center" readingOrder="0"/>
    </xf>
    <xf borderId="0" fillId="3" fontId="2" numFmtId="166" xfId="0" applyAlignment="1" applyFont="1" applyNumberFormat="1">
      <alignment horizontal="center" readingOrder="0" shrinkToFit="0" wrapText="1"/>
    </xf>
    <xf borderId="0" fillId="3" fontId="2" numFmtId="172" xfId="0" applyAlignment="1" applyFont="1" applyNumberFormat="1">
      <alignment horizontal="center" readingOrder="0" shrinkToFit="0" vertical="center" wrapText="1"/>
    </xf>
    <xf borderId="0" fillId="4" fontId="5" numFmtId="165" xfId="0" applyAlignment="1" applyFont="1" applyNumberFormat="1">
      <alignment horizontal="center"/>
    </xf>
    <xf borderId="0" fillId="4" fontId="2" numFmtId="166" xfId="0" applyAlignment="1" applyFont="1" applyNumberFormat="1">
      <alignment horizontal="center" readingOrder="0" shrinkToFit="0" wrapText="1"/>
    </xf>
    <xf borderId="0" fillId="3" fontId="8" numFmtId="0" xfId="0" applyAlignment="1" applyFont="1">
      <alignment horizontal="center" readingOrder="0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vertical="center"/>
    </xf>
    <xf borderId="0" fillId="3" fontId="5" numFmtId="166" xfId="0" applyAlignment="1" applyFont="1" applyNumberFormat="1">
      <alignment horizontal="center" shrinkToFit="0" vertical="center" wrapText="1"/>
    </xf>
    <xf borderId="0" fillId="3" fontId="5" numFmtId="166" xfId="0" applyAlignment="1" applyFont="1" applyNumberFormat="1">
      <alignment readingOrder="0" shrinkToFit="0" vertical="center" wrapText="1"/>
    </xf>
    <xf borderId="0" fillId="3" fontId="5" numFmtId="166" xfId="0" applyAlignment="1" applyFont="1" applyNumberFormat="1">
      <alignment horizontal="center" readingOrder="0" vertical="center"/>
    </xf>
    <xf borderId="0" fillId="4" fontId="2" numFmtId="164" xfId="0" applyAlignment="1" applyFont="1" applyNumberFormat="1">
      <alignment horizontal="center" readingOrder="0" shrinkToFit="0" wrapText="1"/>
    </xf>
    <xf borderId="0" fillId="3" fontId="3" numFmtId="0" xfId="0" applyAlignment="1" applyFont="1">
      <alignment horizontal="center" shrinkToFit="0" vertical="bottom" wrapText="1"/>
    </xf>
    <xf borderId="0" fillId="3" fontId="2" numFmtId="164" xfId="0" applyAlignment="1" applyFont="1" applyNumberFormat="1">
      <alignment horizontal="center" readingOrder="0" shrinkToFit="0" vertical="bottom" wrapText="1"/>
    </xf>
    <xf borderId="0" fillId="3" fontId="5" numFmtId="165" xfId="0" applyAlignment="1" applyFont="1" applyNumberFormat="1">
      <alignment horizontal="center" vertical="bottom"/>
    </xf>
    <xf borderId="0" fillId="3" fontId="2" numFmtId="166" xfId="0" applyAlignment="1" applyFont="1" applyNumberFormat="1">
      <alignment horizontal="center" shrinkToFit="0" vertical="bottom" wrapText="1"/>
    </xf>
    <xf borderId="0" fillId="4" fontId="7" numFmtId="0" xfId="0" applyAlignment="1" applyFont="1">
      <alignment readingOrder="0"/>
    </xf>
    <xf borderId="0" fillId="3" fontId="6" numFmtId="0" xfId="0" applyAlignment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2" fillId="0" fontId="12" numFmtId="0" xfId="0" applyBorder="1" applyFont="1"/>
    <xf borderId="3" fillId="0" fontId="11" numFmtId="0" xfId="0" applyAlignment="1" applyBorder="1" applyFont="1">
      <alignment horizontal="center" readingOrder="0" shrinkToFit="0" vertical="center" wrapText="1"/>
    </xf>
    <xf borderId="3" fillId="0" fontId="12" numFmtId="0" xfId="0" applyBorder="1" applyFont="1"/>
    <xf borderId="4" fillId="0" fontId="12" numFmtId="0" xfId="0" applyBorder="1" applyFont="1"/>
    <xf borderId="0" fillId="0" fontId="7" numFmtId="0" xfId="0" applyAlignment="1" applyFont="1">
      <alignment shrinkToFit="0" wrapText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1"/>
    </xf>
    <xf borderId="5" fillId="0" fontId="7" numFmtId="173" xfId="0" applyAlignment="1" applyBorder="1" applyFont="1" applyNumberForma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0"/>
    </xf>
    <xf borderId="7" fillId="0" fontId="7" numFmtId="0" xfId="0" applyAlignment="1" applyBorder="1" applyFont="1">
      <alignment horizontal="center" shrinkToFit="0" vertical="center" wrapText="1"/>
    </xf>
    <xf borderId="8" fillId="0" fontId="7" numFmtId="9" xfId="0" applyAlignment="1" applyBorder="1" applyFont="1" applyNumberFormat="1">
      <alignment horizontal="center" readingOrder="0" shrinkToFit="0" wrapText="1"/>
    </xf>
    <xf borderId="7" fillId="0" fontId="7" numFmtId="9" xfId="0" applyAlignment="1" applyBorder="1" applyFont="1" applyNumberFormat="1">
      <alignment horizontal="center" readingOrder="0" shrinkToFit="0" wrapText="0"/>
    </xf>
    <xf borderId="0" fillId="0" fontId="7" numFmtId="14" xfId="0" applyAlignment="1" applyFont="1" applyNumberFormat="1">
      <alignment horizontal="center" readingOrder="0" shrinkToFit="0" vertical="center" wrapText="1"/>
    </xf>
    <xf borderId="0" fillId="0" fontId="7" numFmtId="14" xfId="0" applyAlignment="1" applyFont="1" applyNumberFormat="1">
      <alignment horizontal="center" readingOrder="0" shrinkToFit="0" vertical="center" wrapText="0"/>
    </xf>
    <xf borderId="0" fillId="3" fontId="6" numFmtId="0" xfId="0" applyAlignment="1" applyFont="1">
      <alignment horizontal="left"/>
    </xf>
    <xf borderId="0" fillId="0" fontId="7" numFmtId="167" xfId="0" applyFont="1" applyNumberFormat="1"/>
    <xf borderId="0" fillId="0" fontId="7" numFmtId="0" xfId="0" applyFont="1"/>
    <xf borderId="0" fillId="0" fontId="7" numFmtId="4" xfId="0" applyFont="1" applyNumberFormat="1"/>
    <xf borderId="0" fillId="0" fontId="7" numFmtId="169" xfId="0" applyAlignment="1" applyFont="1" applyNumberFormat="1">
      <alignment readingOrder="0"/>
    </xf>
    <xf borderId="0" fillId="0" fontId="13" numFmtId="0" xfId="0" applyFont="1"/>
    <xf borderId="0" fillId="3" fontId="14" numFmtId="0" xfId="0" applyAlignment="1" applyFont="1">
      <alignment horizontal="left" readingOrder="0" shrinkToFit="0" wrapText="0"/>
    </xf>
    <xf borderId="0" fillId="0" fontId="7" numFmtId="174" xfId="0" applyAlignment="1" applyFont="1" applyNumberFormat="1">
      <alignment readingOrder="0" shrinkToFit="0" wrapText="0"/>
    </xf>
    <xf borderId="0" fillId="0" fontId="11" numFmtId="0" xfId="0" applyAlignment="1" applyFont="1">
      <alignment horizontal="center" readingOrder="0" vertical="center"/>
    </xf>
    <xf borderId="0" fillId="0" fontId="11" numFmtId="49" xfId="0" applyAlignment="1" applyFont="1" applyNumberFormat="1">
      <alignment horizontal="center" readingOrder="0" vertical="center"/>
    </xf>
    <xf borderId="0" fillId="0" fontId="11" numFmtId="3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49" xfId="0" applyAlignment="1" applyFont="1" applyNumberFormat="1">
      <alignment horizontal="center" vertical="center"/>
    </xf>
    <xf borderId="0" fillId="0" fontId="7" numFmtId="3" xfId="0" applyAlignment="1" applyFont="1" applyNumberFormat="1">
      <alignment horizontal="center" vertical="center"/>
    </xf>
    <xf borderId="0" fillId="0" fontId="7" numFmtId="175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9" fillId="0" fontId="11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wrapText="1"/>
    </xf>
    <xf borderId="10" fillId="0" fontId="7" numFmtId="0" xfId="0" applyAlignment="1" applyBorder="1" applyFont="1">
      <alignment shrinkToFit="0" wrapText="1"/>
    </xf>
    <xf borderId="10" fillId="0" fontId="12" numFmtId="0" xfId="0" applyBorder="1" applyFont="1"/>
    <xf borderId="11" fillId="0" fontId="7" numFmtId="3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 shrinkToFit="0" wrapText="1"/>
    </xf>
    <xf borderId="12" fillId="0" fontId="12" numFmtId="0" xfId="0" applyBorder="1" applyFont="1"/>
    <xf borderId="8" fillId="0" fontId="7" numFmtId="3" xfId="0" applyAlignment="1" applyBorder="1" applyFont="1" applyNumberFormat="1">
      <alignment horizontal="center" readingOrder="0" shrinkToFit="0" wrapText="1"/>
    </xf>
    <xf borderId="8" fillId="0" fontId="7" numFmtId="0" xfId="0" applyAlignment="1" applyBorder="1" applyFont="1">
      <alignment horizontal="center" readingOrder="0" shrinkToFit="0" wrapText="1"/>
    </xf>
    <xf borderId="7" fillId="0" fontId="7" numFmtId="0" xfId="0" applyAlignment="1" applyBorder="1" applyFont="1">
      <alignment horizontal="center" readingOrder="0" shrinkToFit="0" wrapText="1"/>
    </xf>
    <xf borderId="7" fillId="0" fontId="7" numFmtId="0" xfId="0" applyAlignment="1" applyBorder="1" applyFont="1">
      <alignment horizontal="center" readingOrder="0" shrinkToFit="0" vertical="center" wrapText="1"/>
    </xf>
    <xf borderId="13" fillId="0" fontId="12" numFmtId="0" xfId="0" applyBorder="1" applyFont="1"/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7" numFmtId="3" xfId="0" applyAlignment="1" applyFont="1" applyNumberFormat="1">
      <alignment horizontal="center" readingOrder="0" shrinkToFit="0" wrapText="1"/>
    </xf>
    <xf borderId="0" fillId="0" fontId="7" numFmtId="3" xfId="0" applyAlignment="1" applyFont="1" applyNumberFormat="1">
      <alignment horizontal="center" shrinkToFit="0" wrapText="1"/>
    </xf>
    <xf borderId="0" fillId="0" fontId="15" numFmtId="0" xfId="0" applyAlignment="1" applyFont="1">
      <alignment horizontal="center" readingOrder="0" shrinkToFit="0" wrapText="1"/>
    </xf>
    <xf borderId="6" fillId="0" fontId="15" numFmtId="1" xfId="0" applyAlignment="1" applyBorder="1" applyFont="1" applyNumberFormat="1">
      <alignment horizontal="center" readingOrder="0" shrinkToFit="0" wrapText="1"/>
    </xf>
    <xf borderId="6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wrapText="1"/>
    </xf>
    <xf borderId="8" fillId="0" fontId="7" numFmtId="0" xfId="0" applyAlignment="1" applyBorder="1" applyFont="1">
      <alignment horizontal="left" readingOrder="0" shrinkToFit="0" wrapText="1"/>
    </xf>
    <xf borderId="14" fillId="0" fontId="7" numFmtId="3" xfId="0" applyAlignment="1" applyBorder="1" applyFont="1" applyNumberFormat="1">
      <alignment horizontal="center" readingOrder="0" shrinkToFit="0" vertical="center" wrapText="1"/>
    </xf>
    <xf borderId="8" fillId="0" fontId="7" numFmtId="0" xfId="0" applyAlignment="1" applyBorder="1" applyFont="1">
      <alignment horizontal="left" readingOrder="0" shrinkToFit="0" vertical="center" wrapText="1"/>
    </xf>
    <xf borderId="8" fillId="0" fontId="7" numFmtId="3" xfId="0" applyAlignment="1" applyBorder="1" applyFont="1" applyNumberFormat="1">
      <alignment horizontal="center" readingOrder="0" shrinkToFit="0" vertical="center" wrapText="1"/>
    </xf>
    <xf borderId="8" fillId="0" fontId="7" numFmtId="3" xfId="0" applyAlignment="1" applyBorder="1" applyFont="1" applyNumberFormat="1">
      <alignment horizontal="center" shrinkToFit="0" vertical="center" wrapText="1"/>
    </xf>
    <xf borderId="8" fillId="0" fontId="15" numFmtId="0" xfId="0" applyAlignment="1" applyBorder="1" applyFont="1">
      <alignment horizontal="center" readingOrder="0" shrinkToFit="0" vertical="center" wrapText="1"/>
    </xf>
    <xf borderId="7" fillId="0" fontId="15" numFmtId="1" xfId="0" applyAlignment="1" applyBorder="1" applyFont="1" applyNumberFormat="1">
      <alignment horizontal="center" readingOrder="0" shrinkToFit="0" vertical="center" wrapText="1"/>
    </xf>
    <xf borderId="13" fillId="0" fontId="7" numFmtId="3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shrinkToFit="0" wrapText="1"/>
    </xf>
    <xf borderId="8" fillId="0" fontId="7" numFmtId="3" xfId="0" applyAlignment="1" applyBorder="1" applyFont="1" applyNumberFormat="1">
      <alignment horizontal="center" shrinkToFit="0" wrapText="1"/>
    </xf>
    <xf borderId="8" fillId="0" fontId="15" numFmtId="0" xfId="0" applyAlignment="1" applyBorder="1" applyFont="1">
      <alignment horizontal="center" readingOrder="0" shrinkToFit="0" wrapText="1"/>
    </xf>
    <xf borderId="9" fillId="0" fontId="7" numFmtId="0" xfId="0" applyAlignment="1" applyBorder="1" applyFont="1">
      <alignment horizontal="left" readingOrder="0" shrinkToFit="0" wrapText="1"/>
    </xf>
    <xf borderId="6" fillId="0" fontId="15" numFmtId="0" xfId="0" applyAlignment="1" applyBorder="1" applyFont="1">
      <alignment horizontal="center" readingOrder="0" shrinkToFit="0" wrapText="1"/>
    </xf>
    <xf borderId="11" fillId="0" fontId="7" numFmtId="0" xfId="0" applyAlignment="1" applyBorder="1" applyFont="1">
      <alignment horizontal="center" readingOrder="0" shrinkToFit="0" wrapText="1"/>
    </xf>
    <xf borderId="6" fillId="0" fontId="7" numFmtId="3" xfId="0" applyAlignment="1" applyBorder="1" applyFont="1" applyNumberFormat="1">
      <alignment horizontal="center" readingOrder="0" shrinkToFit="0" wrapText="1"/>
    </xf>
    <xf borderId="11" fillId="0" fontId="7" numFmtId="3" xfId="0" applyAlignment="1" applyBorder="1" applyFont="1" applyNumberFormat="1">
      <alignment horizontal="center" readingOrder="0" shrinkToFit="0" wrapText="1"/>
    </xf>
    <xf borderId="7" fillId="0" fontId="15" numFmtId="0" xfId="0" applyAlignment="1" applyBorder="1" applyFont="1">
      <alignment horizontal="center" readingOrder="0" shrinkToFit="0" wrapText="1"/>
    </xf>
    <xf borderId="13" fillId="0" fontId="7" numFmtId="0" xfId="0" applyAlignment="1" applyBorder="1" applyFont="1">
      <alignment horizontal="center" readingOrder="0" shrinkToFit="0" wrapText="1"/>
    </xf>
    <xf borderId="13" fillId="0" fontId="7" numFmtId="3" xfId="0" applyAlignment="1" applyBorder="1" applyFont="1" applyNumberFormat="1">
      <alignment horizontal="center" readingOrder="0" shrinkToFit="0" wrapText="1"/>
    </xf>
    <xf borderId="8" fillId="0" fontId="7" numFmtId="0" xfId="0" applyAlignment="1" applyBorder="1" applyFont="1">
      <alignment shrinkToFit="0" wrapText="1"/>
    </xf>
    <xf borderId="8" fillId="0" fontId="7" numFmtId="0" xfId="0" applyAlignment="1" applyBorder="1" applyFont="1">
      <alignment horizontal="center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176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7" numFmtId="14" xfId="0" applyAlignment="1" applyFont="1" applyNumberFormat="1">
      <alignment readingOrder="0"/>
    </xf>
    <xf quotePrefix="1" borderId="0" fillId="0" fontId="7" numFmtId="0" xfId="0" applyAlignment="1" applyFont="1">
      <alignment readingOrder="0"/>
    </xf>
    <xf borderId="0" fillId="0" fontId="7" numFmtId="177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7" numFmtId="178" xfId="0" applyAlignment="1" applyFont="1" applyNumberForma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19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179" xfId="0" applyAlignment="1" applyFont="1" applyNumberFormat="1">
      <alignment readingOrder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b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>
        <color rgb="FFFFF2CC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>
        <color rgb="FFFFFFFF"/>
      </font>
      <fill>
        <patternFill patternType="solid">
          <fgColor rgb="FF990000"/>
          <bgColor rgb="FF990000"/>
        </patternFill>
      </fill>
      <border/>
    </dxf>
    <dxf>
      <font>
        <color rgb="FFFFFFFF"/>
      </font>
      <fill>
        <patternFill patternType="solid">
          <fgColor rgb="FF4A86E8"/>
          <bgColor rgb="FF4A86E8"/>
        </patternFill>
      </fill>
      <border/>
    </dxf>
    <dxf>
      <font>
        <strike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hlgdRRWZT52ap7v-QMKUAeEodiR3K7qB?usp=drive_link" TargetMode="External"/><Relationship Id="rId22" Type="http://schemas.openxmlformats.org/officeDocument/2006/relationships/hyperlink" Target="https://drive.google.com/drive/folders/1hj-iusk4WiiztTWZWKRVvEsjKRqNH3EP?usp=drive_link" TargetMode="External"/><Relationship Id="rId21" Type="http://schemas.openxmlformats.org/officeDocument/2006/relationships/hyperlink" Target="https://drive.google.com/drive/u/1/folders/19muU8juQ_DLp22aZm_e74-IowukiKK1T" TargetMode="External"/><Relationship Id="rId24" Type="http://schemas.openxmlformats.org/officeDocument/2006/relationships/hyperlink" Target="https://drive.google.com/drive/folders/1rc4snks63YPgECl1ROsBmGFpaiNaf5lE?usp=drive_link" TargetMode="External"/><Relationship Id="rId23" Type="http://schemas.openxmlformats.org/officeDocument/2006/relationships/hyperlink" Target="https://drive.google.com/drive/folders/1VkHhqJWUbCjbK_z2UbWpnBi8mcMTfZox?usp=drive_link" TargetMode="External"/><Relationship Id="rId1" Type="http://schemas.openxmlformats.org/officeDocument/2006/relationships/hyperlink" Target="https://drive.google.com/drive/folders/1S4h-787x1tmjgQ82-JWh6cpzV3onwZVT?usp=drive_link" TargetMode="External"/><Relationship Id="rId2" Type="http://schemas.openxmlformats.org/officeDocument/2006/relationships/hyperlink" Target="https://drive.google.com/drive/folders/1Qnhw6Lr2ydTHlIc3AVthH6QGzyRjjzE_?usp=drive_link" TargetMode="External"/><Relationship Id="rId3" Type="http://schemas.openxmlformats.org/officeDocument/2006/relationships/hyperlink" Target="https://drive.google.com/drive/folders/1Qnhw6Lr2ydTHlIc3AVthH6QGzyRjjzE_?usp=drive_link" TargetMode="External"/><Relationship Id="rId4" Type="http://schemas.openxmlformats.org/officeDocument/2006/relationships/hyperlink" Target="https://drive.google.com/drive/folders/1TGcnHNraDsPDxcU74Td_uXO2S9UGsmjS?usp=drive_link" TargetMode="External"/><Relationship Id="rId9" Type="http://schemas.openxmlformats.org/officeDocument/2006/relationships/hyperlink" Target="https://drive.google.com/drive/folders/1hveowxaVyTDkn6FNsrBLooqBoph3Nwmd?usp=drive_link" TargetMode="External"/><Relationship Id="rId26" Type="http://schemas.openxmlformats.org/officeDocument/2006/relationships/hyperlink" Target="https://drive.google.com/drive/u/1/folders/1VkHhqJWUbCjbK_z2UbWpnBi8mcMTfZox" TargetMode="External"/><Relationship Id="rId25" Type="http://schemas.openxmlformats.org/officeDocument/2006/relationships/hyperlink" Target="https://drive.google.com/drive/folders/1Wb3Qg33N1AD-OIX-bhx0TH8k4Zce0dbO?usp=drive_link" TargetMode="External"/><Relationship Id="rId28" Type="http://schemas.openxmlformats.org/officeDocument/2006/relationships/hyperlink" Target="https://drive.google.com/drive/folders/1BTPC5D28UlD77rH7aQ5zTcIVk5lZ_vUV?usp=drive_link" TargetMode="External"/><Relationship Id="rId27" Type="http://schemas.openxmlformats.org/officeDocument/2006/relationships/hyperlink" Target="https://drive.google.com/drive/folders/1cUZMJb_fdcWrHPj1yrZlRDjHh3alZbnI?usp=drive_link" TargetMode="External"/><Relationship Id="rId5" Type="http://schemas.openxmlformats.org/officeDocument/2006/relationships/hyperlink" Target="https://drive.google.com/drive/folders/1hveowxaVyTDkn6FNsrBLooqBoph3Nwmd?usp=drive_link" TargetMode="External"/><Relationship Id="rId6" Type="http://schemas.openxmlformats.org/officeDocument/2006/relationships/hyperlink" Target="https://drive.google.com/drive/folders/1ep8fmkyWjW6CiC4p5rk_B8NxsrvZBdY2?usp=drive_link" TargetMode="External"/><Relationship Id="rId29" Type="http://schemas.openxmlformats.org/officeDocument/2006/relationships/hyperlink" Target="https://drive.google.com/drive/folders/1hlgdRRWZT52ap7v-QMKUAeEodiR3K7qB?usp=drive_link" TargetMode="External"/><Relationship Id="rId7" Type="http://schemas.openxmlformats.org/officeDocument/2006/relationships/hyperlink" Target="https://drive.google.com/drive/folders/1hveowxaVyTDkn6FNsrBLooqBoph3Nwmd?usp=drive_link" TargetMode="External"/><Relationship Id="rId8" Type="http://schemas.openxmlformats.org/officeDocument/2006/relationships/hyperlink" Target="https://drive.google.com/drive/folders/1CQwCzJOHRQzSbWu1v0DaWCwqT6oBIuXB?usp=drive_link" TargetMode="External"/><Relationship Id="rId31" Type="http://schemas.openxmlformats.org/officeDocument/2006/relationships/hyperlink" Target="https://drive.google.com/drive/folders/1hj-iusk4WiiztTWZWKRVvEsjKRqNH3EP?usp=drive_link" TargetMode="External"/><Relationship Id="rId30" Type="http://schemas.openxmlformats.org/officeDocument/2006/relationships/hyperlink" Target="https://drive.google.com/drive/folders/12zMgpDra-YiMjgNkZrxSesfLNn2ZiGZF?usp=drive_link" TargetMode="External"/><Relationship Id="rId11" Type="http://schemas.openxmlformats.org/officeDocument/2006/relationships/hyperlink" Target="https://drive.google.com/drive/folders/1hveowxaVyTDkn6FNsrBLooqBoph3Nwmd?usp=drive_link" TargetMode="External"/><Relationship Id="rId33" Type="http://schemas.openxmlformats.org/officeDocument/2006/relationships/hyperlink" Target="https://drive.google.com/drive/u/1/folders/1VkHhqJWUbCjbK_z2UbWpnBi8mcMTfZox" TargetMode="External"/><Relationship Id="rId10" Type="http://schemas.openxmlformats.org/officeDocument/2006/relationships/hyperlink" Target="https://drive.google.com/drive/folders/1TGcnHNraDsPDxcU74Td_uXO2S9UGsmjS?usp=drive_link" TargetMode="External"/><Relationship Id="rId32" Type="http://schemas.openxmlformats.org/officeDocument/2006/relationships/hyperlink" Target="https://drive.google.com/drive/folders/1rc4snks63YPgECl1ROsBmGFpaiNaf5lE?usp=drive_link" TargetMode="External"/><Relationship Id="rId13" Type="http://schemas.openxmlformats.org/officeDocument/2006/relationships/hyperlink" Target="https://drive.google.com/drive/u/1/folders/19muU8juQ_DLp22aZm_e74-IowukiKK1T" TargetMode="External"/><Relationship Id="rId35" Type="http://schemas.openxmlformats.org/officeDocument/2006/relationships/hyperlink" Target="https://drive.google.com/drive/folders/12zMgpDra-YiMjgNkZrxSesfLNn2ZiGZF?usp=drive_link" TargetMode="External"/><Relationship Id="rId12" Type="http://schemas.openxmlformats.org/officeDocument/2006/relationships/hyperlink" Target="https://drive.google.com/drive/folders/1hveowxaVyTDkn6FNsrBLooqBoph3Nwmd?usp=drive_link" TargetMode="External"/><Relationship Id="rId34" Type="http://schemas.openxmlformats.org/officeDocument/2006/relationships/hyperlink" Target="https://drive.google.com/drive/folders/1BTPC5D28UlD77rH7aQ5zTcIVk5lZ_vUV?usp=drive_link" TargetMode="External"/><Relationship Id="rId15" Type="http://schemas.openxmlformats.org/officeDocument/2006/relationships/hyperlink" Target="https://drive.google.com/drive/folders/1hveowxaVyTDkn6FNsrBLooqBoph3Nwmd?usp=drive_link" TargetMode="External"/><Relationship Id="rId14" Type="http://schemas.openxmlformats.org/officeDocument/2006/relationships/hyperlink" Target="https://drive.google.com/drive/folders/1hveowxaVyTDkn6FNsrBLooqBoph3Nwmd?usp=drive_link" TargetMode="External"/><Relationship Id="rId36" Type="http://schemas.openxmlformats.org/officeDocument/2006/relationships/drawing" Target="../drawings/drawing3.xml"/><Relationship Id="rId17" Type="http://schemas.openxmlformats.org/officeDocument/2006/relationships/hyperlink" Target="https://drive.google.com/drive/folders/15izHpqup489ZOyVxg_DixAozS9v2gsFe?usp=drive_link" TargetMode="External"/><Relationship Id="rId16" Type="http://schemas.openxmlformats.org/officeDocument/2006/relationships/hyperlink" Target="https://drive.google.com/drive/folders/1Wb3Qg33N1AD-OIX-bhx0TH8k4Zce0dbO?usp=drive_link" TargetMode="External"/><Relationship Id="rId19" Type="http://schemas.openxmlformats.org/officeDocument/2006/relationships/hyperlink" Target="https://drive.google.com/drive/folders/1hveowxaVyTDkn6FNsrBLooqBoph3Nwmd?usp=drive_link" TargetMode="External"/><Relationship Id="rId18" Type="http://schemas.openxmlformats.org/officeDocument/2006/relationships/hyperlink" Target="https://drive.google.com/drive/folders/1cUZMJb_fdcWrHPj1yrZlRDjHh3alZbnI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2zMgpDra-YiMjgNkZrxSesfLNn2ZiGZF?usp=drive_link" TargetMode="External"/><Relationship Id="rId21" Type="http://schemas.openxmlformats.org/officeDocument/2006/relationships/drawing" Target="../drawings/drawing6.xml"/><Relationship Id="rId1" Type="http://schemas.openxmlformats.org/officeDocument/2006/relationships/hyperlink" Target="https://drive.google.com/drive/folders/1S4h-787x1tmjgQ82-JWh6cpzV3onwZVT?usp=drive_link" TargetMode="External"/><Relationship Id="rId2" Type="http://schemas.openxmlformats.org/officeDocument/2006/relationships/hyperlink" Target="https://drive.google.com/drive/folders/1Qnhw6Lr2ydTHlIc3AVthH6QGzyRjjzE_?usp=drive_link" TargetMode="External"/><Relationship Id="rId3" Type="http://schemas.openxmlformats.org/officeDocument/2006/relationships/hyperlink" Target="https://drive.google.com/drive/folders/1ep8fmkyWjW6CiC4p5rk_B8NxsrvZBdY2?usp=drive_link" TargetMode="External"/><Relationship Id="rId4" Type="http://schemas.openxmlformats.org/officeDocument/2006/relationships/hyperlink" Target="https://drive.google.com/drive/folders/1CQwCzJOHRQzSbWu1v0DaWCwqT6oBIuXB?usp=drive_link" TargetMode="External"/><Relationship Id="rId9" Type="http://schemas.openxmlformats.org/officeDocument/2006/relationships/hyperlink" Target="https://drive.google.com/drive/folders/15izHpqup489ZOyVxg_DixAozS9v2gsFe?usp=drive_link" TargetMode="External"/><Relationship Id="rId5" Type="http://schemas.openxmlformats.org/officeDocument/2006/relationships/hyperlink" Target="https://drive.google.com/drive/folders/1TGcnHNraDsPDxcU74Td_uXO2S9UGsmjS?usp=drive_link" TargetMode="External"/><Relationship Id="rId6" Type="http://schemas.openxmlformats.org/officeDocument/2006/relationships/hyperlink" Target="https://drive.google.com/drive/folders/1hveowxaVyTDkn6FNsrBLooqBoph3Nwmd?usp=drive_link" TargetMode="External"/><Relationship Id="rId7" Type="http://schemas.openxmlformats.org/officeDocument/2006/relationships/hyperlink" Target="https://drive.google.com/drive/folders/1hveowxaVyTDkn6FNsrBLooqBoph3Nwmd?usp=drive_link" TargetMode="External"/><Relationship Id="rId8" Type="http://schemas.openxmlformats.org/officeDocument/2006/relationships/hyperlink" Target="https://drive.google.com/drive/folders/1hveowxaVyTDkn6FNsrBLooqBoph3Nwmd?usp=drive_link" TargetMode="External"/><Relationship Id="rId11" Type="http://schemas.openxmlformats.org/officeDocument/2006/relationships/hyperlink" Target="https://drive.google.com/drive/u/1/folders/19muU8juQ_DLp22aZm_e74-IowukiKK1T" TargetMode="External"/><Relationship Id="rId10" Type="http://schemas.openxmlformats.org/officeDocument/2006/relationships/hyperlink" Target="https://drive.google.com/drive/folders/1hveowxaVyTDkn6FNsrBLooqBoph3Nwmd?usp=drive_link" TargetMode="External"/><Relationship Id="rId13" Type="http://schemas.openxmlformats.org/officeDocument/2006/relationships/hyperlink" Target="https://drive.google.com/drive/folders/1Wb3Qg33N1AD-OIX-bhx0TH8k4Zce0dbO?usp=drive_link" TargetMode="External"/><Relationship Id="rId12" Type="http://schemas.openxmlformats.org/officeDocument/2006/relationships/hyperlink" Target="https://drive.google.com/drive/folders/1VkHhqJWUbCjbK_z2UbWpnBi8mcMTfZox?usp=drive_link" TargetMode="External"/><Relationship Id="rId15" Type="http://schemas.openxmlformats.org/officeDocument/2006/relationships/hyperlink" Target="https://drive.google.com/drive/folders/1hlgdRRWZT52ap7v-QMKUAeEodiR3K7qB?usp=drive_link" TargetMode="External"/><Relationship Id="rId14" Type="http://schemas.openxmlformats.org/officeDocument/2006/relationships/hyperlink" Target="https://drive.google.com/drive/folders/1cUZMJb_fdcWrHPj1yrZlRDjHh3alZbnI?usp=drive_link" TargetMode="External"/><Relationship Id="rId17" Type="http://schemas.openxmlformats.org/officeDocument/2006/relationships/hyperlink" Target="https://drive.google.com/drive/folders/1rc4snks63YPgECl1ROsBmGFpaiNaf5lE?usp=drive_link" TargetMode="External"/><Relationship Id="rId16" Type="http://schemas.openxmlformats.org/officeDocument/2006/relationships/hyperlink" Target="https://drive.google.com/drive/folders/1hj-iusk4WiiztTWZWKRVvEsjKRqNH3EP?usp=drive_link" TargetMode="External"/><Relationship Id="rId19" Type="http://schemas.openxmlformats.org/officeDocument/2006/relationships/hyperlink" Target="https://drive.google.com/drive/folders/1BTPC5D28UlD77rH7aQ5zTcIVk5lZ_vUV?usp=drive_link" TargetMode="External"/><Relationship Id="rId18" Type="http://schemas.openxmlformats.org/officeDocument/2006/relationships/hyperlink" Target="https://drive.google.com/drive/u/1/folders/1VkHhqJWUbCjbK_z2UbWpnBi8mcMTfZox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p2aox62GLQ1fR_aHyMZFvqOr9gXrEfxx" TargetMode="External"/><Relationship Id="rId194" Type="http://schemas.openxmlformats.org/officeDocument/2006/relationships/hyperlink" Target="https://drive.google.com/open?id=1Q1ATfbB25v5jRYFQ0bvEv3So-L4QbT7H" TargetMode="External"/><Relationship Id="rId193" Type="http://schemas.openxmlformats.org/officeDocument/2006/relationships/hyperlink" Target="https://drive.google.com/open?id=1-awNf2tj66PhNzhELJYUMVTtwiSW5rmK" TargetMode="External"/><Relationship Id="rId192" Type="http://schemas.openxmlformats.org/officeDocument/2006/relationships/hyperlink" Target="https://drive.google.com/open?id=1nzRAOQmSgOJYj2aEjK0LBDajb3htpZdd" TargetMode="External"/><Relationship Id="rId191" Type="http://schemas.openxmlformats.org/officeDocument/2006/relationships/hyperlink" Target="https://drive.google.com/open?id=1d9AqAvPWTUnK5oKUj9yaq3imsD9Dxjxh" TargetMode="External"/><Relationship Id="rId187" Type="http://schemas.openxmlformats.org/officeDocument/2006/relationships/hyperlink" Target="https://drive.google.com/open?id=1J96QfeM8Mxjq_TRTYgpjEN3cloxHlXld" TargetMode="External"/><Relationship Id="rId186" Type="http://schemas.openxmlformats.org/officeDocument/2006/relationships/hyperlink" Target="https://drive.google.com/open?id=1ZTg5i3qqAcivzUvB0lU3P_GO6BHjQtow" TargetMode="External"/><Relationship Id="rId185" Type="http://schemas.openxmlformats.org/officeDocument/2006/relationships/hyperlink" Target="https://drive.google.com/open?id=1VqH2V5V4xXLbs6rWOxiSbNpUUDFfFG-O" TargetMode="External"/><Relationship Id="rId184" Type="http://schemas.openxmlformats.org/officeDocument/2006/relationships/hyperlink" Target="https://drive.google.com/open?id=1YmAAPQ-ZZXZf_JMvlD1e17bDiZxTRbXZ" TargetMode="External"/><Relationship Id="rId189" Type="http://schemas.openxmlformats.org/officeDocument/2006/relationships/hyperlink" Target="https://drive.google.com/open?id=1YroOQs5fuZNvmG1XVKOyGoPQPjbTk5mR" TargetMode="External"/><Relationship Id="rId188" Type="http://schemas.openxmlformats.org/officeDocument/2006/relationships/hyperlink" Target="https://drive.google.com/open?id=1lalVHu1LajqAcAQH0jeV1Y7W_vjeY0wU" TargetMode="External"/><Relationship Id="rId183" Type="http://schemas.openxmlformats.org/officeDocument/2006/relationships/hyperlink" Target="https://drive.google.com/open?id=1785yCpa0BuRCTKDljDOvhA-wwhoY-k3-" TargetMode="External"/><Relationship Id="rId182" Type="http://schemas.openxmlformats.org/officeDocument/2006/relationships/hyperlink" Target="https://drive.google.com/open?id=1Fa9Y2kwgtHa11pz7amp8mTtpQdHyf_lN" TargetMode="External"/><Relationship Id="rId181" Type="http://schemas.openxmlformats.org/officeDocument/2006/relationships/hyperlink" Target="https://drive.google.com/open?id=1mJgXmOW1ArkkFtGh34zlcABbkiBcCV0F" TargetMode="External"/><Relationship Id="rId180" Type="http://schemas.openxmlformats.org/officeDocument/2006/relationships/hyperlink" Target="https://drive.google.com/open?id=1kTz0E2ZB6KpuHmr-2qabc4AtxE91UJKz" TargetMode="External"/><Relationship Id="rId176" Type="http://schemas.openxmlformats.org/officeDocument/2006/relationships/hyperlink" Target="https://drive.google.com/open?id=1E5m25aXY7rjFELNbVdrgnHJJJRVG9srT" TargetMode="External"/><Relationship Id="rId297" Type="http://schemas.openxmlformats.org/officeDocument/2006/relationships/hyperlink" Target="https://drive.google.com/open?id=10AQoox0-yszUUifv7VSPH3ueRnqxye9L" TargetMode="External"/><Relationship Id="rId175" Type="http://schemas.openxmlformats.org/officeDocument/2006/relationships/hyperlink" Target="https://drive.google.com/open?id=1ZthQpDbnSBNQvAMkrQIhAHYK0v5mpy5d" TargetMode="External"/><Relationship Id="rId296" Type="http://schemas.openxmlformats.org/officeDocument/2006/relationships/hyperlink" Target="https://drive.google.com/open?id=15X_mzJpd886eOVDMTPoQuV8Lgi7R_u0d" TargetMode="External"/><Relationship Id="rId174" Type="http://schemas.openxmlformats.org/officeDocument/2006/relationships/hyperlink" Target="https://drive.google.com/open?id=1DC8P33cKg9SRdFpkK84Jz_ziZIBq-LYp" TargetMode="External"/><Relationship Id="rId295" Type="http://schemas.openxmlformats.org/officeDocument/2006/relationships/hyperlink" Target="https://drive.google.com/open?id=1GpV88z5WrBhhwlktkDqMoStAomjwFudw" TargetMode="External"/><Relationship Id="rId173" Type="http://schemas.openxmlformats.org/officeDocument/2006/relationships/hyperlink" Target="https://drive.google.com/open?id=13fQ2MFjL4EDG0rZIONaFA4sa4YrPvGEM" TargetMode="External"/><Relationship Id="rId294" Type="http://schemas.openxmlformats.org/officeDocument/2006/relationships/hyperlink" Target="https://drive.google.com/open?id=1YPTqBWBQ3UeuBn0GlULdDsZNUfpXxn_A" TargetMode="External"/><Relationship Id="rId179" Type="http://schemas.openxmlformats.org/officeDocument/2006/relationships/hyperlink" Target="https://drive.google.com/open?id=1C__qySEu0uXy9VIxOGEQ5lKw8OOGfmkN" TargetMode="External"/><Relationship Id="rId178" Type="http://schemas.openxmlformats.org/officeDocument/2006/relationships/hyperlink" Target="https://drive.google.com/open?id=1RV3wEos05T1HitEsZQSY5vhMd7L4TK7u" TargetMode="External"/><Relationship Id="rId299" Type="http://schemas.openxmlformats.org/officeDocument/2006/relationships/hyperlink" Target="https://drive.google.com/open?id=1nOOzn9vKSl1HnmwRgA_-UU67-j9CDeHk" TargetMode="External"/><Relationship Id="rId177" Type="http://schemas.openxmlformats.org/officeDocument/2006/relationships/hyperlink" Target="https://drive.google.com/open?id=1MBKJ-X-rMh9Ix8l0CiAIL08KeCDSYLjh" TargetMode="External"/><Relationship Id="rId298" Type="http://schemas.openxmlformats.org/officeDocument/2006/relationships/hyperlink" Target="https://drive.google.com/open?id=1C3gSEaDUXdBg-GG7gHD42HPKIMBr3mQL" TargetMode="External"/><Relationship Id="rId198" Type="http://schemas.openxmlformats.org/officeDocument/2006/relationships/hyperlink" Target="https://drive.google.com/open?id=1s-XlsXUxocAVfsRAU_5bHqfGJmZXtifK" TargetMode="External"/><Relationship Id="rId197" Type="http://schemas.openxmlformats.org/officeDocument/2006/relationships/hyperlink" Target="https://drive.google.com/open?id=1xgZNRQ14amuDZFZLqlfVR87-GkwzdV06" TargetMode="External"/><Relationship Id="rId196" Type="http://schemas.openxmlformats.org/officeDocument/2006/relationships/hyperlink" Target="https://drive.google.com/open?id=1o9siarLxxNzP7cUNyc01ciGcvxSHBK2M" TargetMode="External"/><Relationship Id="rId195" Type="http://schemas.openxmlformats.org/officeDocument/2006/relationships/hyperlink" Target="https://drive.google.com/open?id=1DXDcOHaqr_Oz4-nm9aLIsaU0XUy-xb7D" TargetMode="External"/><Relationship Id="rId199" Type="http://schemas.openxmlformats.org/officeDocument/2006/relationships/hyperlink" Target="https://drive.google.com/open?id=19kMgWurmqSZWRqYI4CG581e2iXbzlOzx" TargetMode="External"/><Relationship Id="rId150" Type="http://schemas.openxmlformats.org/officeDocument/2006/relationships/hyperlink" Target="https://drive.google.com/open?id=1967D_cCas2yy-WMOo7D_JCBueTqZquJ0" TargetMode="External"/><Relationship Id="rId271" Type="http://schemas.openxmlformats.org/officeDocument/2006/relationships/hyperlink" Target="https://drive.google.com/open?id=1S6YFbmLbSVrovX6UiSlBn1dl3KlYA1xE" TargetMode="External"/><Relationship Id="rId392" Type="http://schemas.openxmlformats.org/officeDocument/2006/relationships/hyperlink" Target="https://drive.google.com/open?id=1j89t63dXyxkZCrC-rvZjFQkhEiqDWKN8" TargetMode="External"/><Relationship Id="rId270" Type="http://schemas.openxmlformats.org/officeDocument/2006/relationships/hyperlink" Target="https://drive.google.com/open?id=15jb3pY2FX4OlVO4tzqaAKvA7-FPeVrKb" TargetMode="External"/><Relationship Id="rId391" Type="http://schemas.openxmlformats.org/officeDocument/2006/relationships/hyperlink" Target="https://drive.google.com/open?id=1QUxyxPLccBobroVqX96dHQprOHd2cj3T" TargetMode="External"/><Relationship Id="rId390" Type="http://schemas.openxmlformats.org/officeDocument/2006/relationships/hyperlink" Target="https://drive.google.com/open?id=16YNi1uDNc4NGyaSKyWxZO4RerisgHzlk" TargetMode="External"/><Relationship Id="rId1" Type="http://schemas.openxmlformats.org/officeDocument/2006/relationships/hyperlink" Target="https://drive.google.com/open?id=1vOj9unx0bo16BivomRKsysn2E5JJRiq6" TargetMode="External"/><Relationship Id="rId2" Type="http://schemas.openxmlformats.org/officeDocument/2006/relationships/hyperlink" Target="https://drive.google.com/open?id=1UWM5gyn-EX0J3DF5jw-gkoWz7A-B0eo-" TargetMode="External"/><Relationship Id="rId3" Type="http://schemas.openxmlformats.org/officeDocument/2006/relationships/hyperlink" Target="https://drive.google.com/open?id=1WqbUGvohkFhfdOLuWQqcG0l81Vi7IYE4" TargetMode="External"/><Relationship Id="rId149" Type="http://schemas.openxmlformats.org/officeDocument/2006/relationships/hyperlink" Target="https://drive.google.com/open?id=1N1o5TIFVtoEt2b097sqX8VmnCtOLqzmy" TargetMode="External"/><Relationship Id="rId4" Type="http://schemas.openxmlformats.org/officeDocument/2006/relationships/hyperlink" Target="https://drive.google.com/open?id=1jyvX7YgiY9ZNESCbRZzW-kA41rbZl_J6" TargetMode="External"/><Relationship Id="rId148" Type="http://schemas.openxmlformats.org/officeDocument/2006/relationships/hyperlink" Target="https://drive.google.com/open?id=17mv8y3N1Fr8rX1IcNxBukGJmeLCXjMOU" TargetMode="External"/><Relationship Id="rId269" Type="http://schemas.openxmlformats.org/officeDocument/2006/relationships/hyperlink" Target="https://drive.google.com/open?id=1v5U4VojikHe63AKnVksriq-8mBfPfwaE" TargetMode="External"/><Relationship Id="rId9" Type="http://schemas.openxmlformats.org/officeDocument/2006/relationships/hyperlink" Target="https://drive.google.com/open?id=1IBI29fgLG99bl58z4PvD2HGNDzR5F8eu" TargetMode="External"/><Relationship Id="rId143" Type="http://schemas.openxmlformats.org/officeDocument/2006/relationships/hyperlink" Target="https://drive.google.com/open?id=1bbUlTkd3fR5PyrG312H59AHvxA2j2QDP" TargetMode="External"/><Relationship Id="rId264" Type="http://schemas.openxmlformats.org/officeDocument/2006/relationships/hyperlink" Target="https://drive.google.com/open?id=1aVtLhXQNO_WtDpJOEpDid0AeUCqLZy1m" TargetMode="External"/><Relationship Id="rId385" Type="http://schemas.openxmlformats.org/officeDocument/2006/relationships/hyperlink" Target="https://drive.google.com/open?id=15ckOGZuruwT8VchJTlXp8Iq8KgmB0OhA" TargetMode="External"/><Relationship Id="rId142" Type="http://schemas.openxmlformats.org/officeDocument/2006/relationships/hyperlink" Target="https://drive.google.com/open?id=1AQXjCC4d7TLFNprtUZHXF1DQjAOKfoGr" TargetMode="External"/><Relationship Id="rId263" Type="http://schemas.openxmlformats.org/officeDocument/2006/relationships/hyperlink" Target="https://drive.google.com/open?id=1ZPDjPjsafNEYKKU6qRanjeLlMEV25TQz" TargetMode="External"/><Relationship Id="rId384" Type="http://schemas.openxmlformats.org/officeDocument/2006/relationships/hyperlink" Target="https://drive.google.com/open?id=11MbBbLZWaY5NSdOLwXExgAIF_bwqYmkz" TargetMode="External"/><Relationship Id="rId141" Type="http://schemas.openxmlformats.org/officeDocument/2006/relationships/hyperlink" Target="https://drive.google.com/open?id=1eTLisX99RUWaSrZ1_kvS9X995oF5dV_r" TargetMode="External"/><Relationship Id="rId262" Type="http://schemas.openxmlformats.org/officeDocument/2006/relationships/hyperlink" Target="https://drive.google.com/open?id=1XHuz7HBvR0EGwMIzAdlqx_CGvLNSIamv" TargetMode="External"/><Relationship Id="rId383" Type="http://schemas.openxmlformats.org/officeDocument/2006/relationships/hyperlink" Target="https://drive.google.com/open?id=1clej3-qLXie_pMmLoh2w8cXpr14xp9qX" TargetMode="External"/><Relationship Id="rId140" Type="http://schemas.openxmlformats.org/officeDocument/2006/relationships/hyperlink" Target="https://drive.google.com/open?id=1q3qVYSayGbhcyJukEMOpEVhr0G6939ib" TargetMode="External"/><Relationship Id="rId261" Type="http://schemas.openxmlformats.org/officeDocument/2006/relationships/hyperlink" Target="https://drive.google.com/open?id=1RKg1ORY9VACvtrHXNJpCg0Twk_Ij55HM" TargetMode="External"/><Relationship Id="rId382" Type="http://schemas.openxmlformats.org/officeDocument/2006/relationships/hyperlink" Target="https://drive.google.com/open?id=1eYYulsTD3o6anTFGj5dHBiTecFKcH7sJ" TargetMode="External"/><Relationship Id="rId5" Type="http://schemas.openxmlformats.org/officeDocument/2006/relationships/hyperlink" Target="https://drive.google.com/open?id=1-ho61K6WINKWsqdRqLNkAGN8OTubq2w2" TargetMode="External"/><Relationship Id="rId147" Type="http://schemas.openxmlformats.org/officeDocument/2006/relationships/hyperlink" Target="https://drive.google.com/open?id=1pKJhj47wQcHA29Uy5xzmelHEr_t1oFiZ" TargetMode="External"/><Relationship Id="rId268" Type="http://schemas.openxmlformats.org/officeDocument/2006/relationships/hyperlink" Target="https://drive.google.com/open?id=1X9Iuvws_lmP5FiIMWLbH4To_HsksE7Zf" TargetMode="External"/><Relationship Id="rId389" Type="http://schemas.openxmlformats.org/officeDocument/2006/relationships/hyperlink" Target="https://drive.google.com/open?id=1HfoQcR7rASmsHTyILnvh79AacdazWR3w" TargetMode="External"/><Relationship Id="rId6" Type="http://schemas.openxmlformats.org/officeDocument/2006/relationships/hyperlink" Target="https://drive.google.com/open?id=1-14CcAT931sUfIXs03PdyLa8wZeMGbXs" TargetMode="External"/><Relationship Id="rId146" Type="http://schemas.openxmlformats.org/officeDocument/2006/relationships/hyperlink" Target="https://drive.google.com/open?id=1VrGAX_krLK96x582y7sxZhsM-XWyEAbE" TargetMode="External"/><Relationship Id="rId267" Type="http://schemas.openxmlformats.org/officeDocument/2006/relationships/hyperlink" Target="https://drive.google.com/open?id=1NzIaYF0-6oWNHOKRkX5Lg9oHx24grpVD" TargetMode="External"/><Relationship Id="rId388" Type="http://schemas.openxmlformats.org/officeDocument/2006/relationships/hyperlink" Target="https://drive.google.com/open?id=1K7dA_wDwXM7C-NB40qoes6uKo2dtQg5y" TargetMode="External"/><Relationship Id="rId7" Type="http://schemas.openxmlformats.org/officeDocument/2006/relationships/hyperlink" Target="https://drive.google.com/open?id=1tq4X-1TSneayEHeFXPiF6pw8oiEc-GFl" TargetMode="External"/><Relationship Id="rId145" Type="http://schemas.openxmlformats.org/officeDocument/2006/relationships/hyperlink" Target="https://drive.google.com/open?id=1uFmmlcw7k3hOGAkAsSrAJ5OegyZy42M2" TargetMode="External"/><Relationship Id="rId266" Type="http://schemas.openxmlformats.org/officeDocument/2006/relationships/hyperlink" Target="https://drive.google.com/open?id=1bKkXw3S2tCNgyhvi_wKTOT5OleIfQdbq" TargetMode="External"/><Relationship Id="rId387" Type="http://schemas.openxmlformats.org/officeDocument/2006/relationships/hyperlink" Target="https://drive.google.com/open?id=1sT8uGZ7_Rnz9p09Ne3y_N80-yM2SIdu4" TargetMode="External"/><Relationship Id="rId8" Type="http://schemas.openxmlformats.org/officeDocument/2006/relationships/hyperlink" Target="https://drive.google.com/open?id=1dMPxZMrfnPk7CRGn59Yt85LP-iRRajVV" TargetMode="External"/><Relationship Id="rId144" Type="http://schemas.openxmlformats.org/officeDocument/2006/relationships/hyperlink" Target="https://drive.google.com/open?id=1FZjtf0e4uds6jFygQ7EezHubHefZR5sk" TargetMode="External"/><Relationship Id="rId265" Type="http://schemas.openxmlformats.org/officeDocument/2006/relationships/hyperlink" Target="https://drive.google.com/open?id=12mSM-f76xf2Jf1DgNU-EUoNbWZs5p8VD" TargetMode="External"/><Relationship Id="rId386" Type="http://schemas.openxmlformats.org/officeDocument/2006/relationships/hyperlink" Target="https://drive.google.com/open?id=1HGCdSOMAR1lXzqIYLucIvn7Rb2Vgvhd0" TargetMode="External"/><Relationship Id="rId260" Type="http://schemas.openxmlformats.org/officeDocument/2006/relationships/hyperlink" Target="https://drive.google.com/open?id=19TrTqZvR5WXIY7P9Rg3UsVCmKjpXyZio" TargetMode="External"/><Relationship Id="rId381" Type="http://schemas.openxmlformats.org/officeDocument/2006/relationships/hyperlink" Target="https://drive.google.com/open?id=1OhP91X9UFq-v3Tohm0zQlBD0DlWb7PZP" TargetMode="External"/><Relationship Id="rId380" Type="http://schemas.openxmlformats.org/officeDocument/2006/relationships/hyperlink" Target="https://drive.google.com/open?id=1JtHTACItF9LZ9qw7o84XSb_-B6Q9TH0Y" TargetMode="External"/><Relationship Id="rId139" Type="http://schemas.openxmlformats.org/officeDocument/2006/relationships/hyperlink" Target="https://drive.google.com/open?id=1it2kJy-hRElpoSvHQH8czZvXT5_4HpJ-" TargetMode="External"/><Relationship Id="rId138" Type="http://schemas.openxmlformats.org/officeDocument/2006/relationships/hyperlink" Target="https://drive.google.com/open?id=12WJomhIaXBGQnvLggsBT71ONajEQb8zR" TargetMode="External"/><Relationship Id="rId259" Type="http://schemas.openxmlformats.org/officeDocument/2006/relationships/hyperlink" Target="https://drive.google.com/open?id=1ZPxo1rH4ZdxEh6pRDE8Nv2Yfl6XYTUdq" TargetMode="External"/><Relationship Id="rId137" Type="http://schemas.openxmlformats.org/officeDocument/2006/relationships/hyperlink" Target="https://drive.google.com/open?id=1o1qxkMXKnunE2jg2HOOJnsC0wMgBjJi1" TargetMode="External"/><Relationship Id="rId258" Type="http://schemas.openxmlformats.org/officeDocument/2006/relationships/hyperlink" Target="https://drive.google.com/open?id=1d2Rs12De1Sc9KXEJWIHZOwlxNrPoyagI" TargetMode="External"/><Relationship Id="rId379" Type="http://schemas.openxmlformats.org/officeDocument/2006/relationships/hyperlink" Target="https://drive.google.com/open?id=1oxVbEoMKRg3aKLKWg1bahWHNR_bPSFCr" TargetMode="External"/><Relationship Id="rId132" Type="http://schemas.openxmlformats.org/officeDocument/2006/relationships/hyperlink" Target="https://drive.google.com/open?id=1Hua2t7gtfHVOQnEx5EhuuQOH6NHiz1XP" TargetMode="External"/><Relationship Id="rId253" Type="http://schemas.openxmlformats.org/officeDocument/2006/relationships/hyperlink" Target="https://drive.google.com/open?id=1uAqn2ZOsbfxgZwUFU44nv5N2rYmd0qO9" TargetMode="External"/><Relationship Id="rId374" Type="http://schemas.openxmlformats.org/officeDocument/2006/relationships/hyperlink" Target="https://drive.google.com/open?id=1IftHpvs0k3o5l4-3iBq5qLNOEjX1XYzP" TargetMode="External"/><Relationship Id="rId495" Type="http://schemas.openxmlformats.org/officeDocument/2006/relationships/hyperlink" Target="https://drive.google.com/open?id=10PVeN0v-6PP5J-xYE5plgK0A4iP6wHAZ" TargetMode="External"/><Relationship Id="rId131" Type="http://schemas.openxmlformats.org/officeDocument/2006/relationships/hyperlink" Target="https://drive.google.com/open?id=1QEZCNQ9Q1v0N3DCGJpFZ49qbpDoXj8-J" TargetMode="External"/><Relationship Id="rId252" Type="http://schemas.openxmlformats.org/officeDocument/2006/relationships/hyperlink" Target="https://drive.google.com/open?id=1J-dKDMwwuGPhF1OW0m5qeWjyMl6Wn7jE" TargetMode="External"/><Relationship Id="rId373" Type="http://schemas.openxmlformats.org/officeDocument/2006/relationships/hyperlink" Target="https://drive.google.com/open?id=1275K_KuCbesWF8TqBqM0QhBbHlmU-JuZ" TargetMode="External"/><Relationship Id="rId494" Type="http://schemas.openxmlformats.org/officeDocument/2006/relationships/hyperlink" Target="https://drive.google.com/open?id=1P01KoXVnsFxT9Mw0rNkIbM182vFqP9Um" TargetMode="External"/><Relationship Id="rId130" Type="http://schemas.openxmlformats.org/officeDocument/2006/relationships/hyperlink" Target="https://drive.google.com/open?id=19bussw3kJ3haazNlnti-NYQBMj78mh5N" TargetMode="External"/><Relationship Id="rId251" Type="http://schemas.openxmlformats.org/officeDocument/2006/relationships/hyperlink" Target="https://drive.google.com/open?id=1YlD1gJ94d0kZyiooHFn-NICF-RA1o2ef" TargetMode="External"/><Relationship Id="rId372" Type="http://schemas.openxmlformats.org/officeDocument/2006/relationships/hyperlink" Target="https://drive.google.com/open?id=1-GZiP-DNymahOHcBmTzDUy2oRi5XcPsI" TargetMode="External"/><Relationship Id="rId493" Type="http://schemas.openxmlformats.org/officeDocument/2006/relationships/hyperlink" Target="https://drive.google.com/open?id=1ct82B7JjwQlbWw54Vr4wquv41y9drWeC" TargetMode="External"/><Relationship Id="rId250" Type="http://schemas.openxmlformats.org/officeDocument/2006/relationships/hyperlink" Target="https://drive.google.com/open?id=18iXgcZwQVKN5TsICJ31T6-zRnGgfAwA2" TargetMode="External"/><Relationship Id="rId371" Type="http://schemas.openxmlformats.org/officeDocument/2006/relationships/hyperlink" Target="https://drive.google.com/open?id=1rgU9mamYepp6IEOexqi3e2V4Ydh45j3n" TargetMode="External"/><Relationship Id="rId492" Type="http://schemas.openxmlformats.org/officeDocument/2006/relationships/hyperlink" Target="https://drive.google.com/open?id=1wokfA3I32fX7q08KJJtzYYHLL-MtsHsk" TargetMode="External"/><Relationship Id="rId136" Type="http://schemas.openxmlformats.org/officeDocument/2006/relationships/hyperlink" Target="https://drive.google.com/open?id=1eKDJP0dqdUu4SeL3ZAYDG3895eSO8P4O" TargetMode="External"/><Relationship Id="rId257" Type="http://schemas.openxmlformats.org/officeDocument/2006/relationships/hyperlink" Target="https://drive.google.com/open?id=1ljEqU9Uy5ZXjBYHz1e8jqDZOorHFK_cb" TargetMode="External"/><Relationship Id="rId378" Type="http://schemas.openxmlformats.org/officeDocument/2006/relationships/hyperlink" Target="https://drive.google.com/open?id=1VUzSt2s6-eBriiUPMhwwbiijlB9z9lhV" TargetMode="External"/><Relationship Id="rId499" Type="http://schemas.openxmlformats.org/officeDocument/2006/relationships/hyperlink" Target="https://drive.google.com/open?id=17M00nJNkr1jhm8MZEAIT_ohAwZH1BKdC" TargetMode="External"/><Relationship Id="rId135" Type="http://schemas.openxmlformats.org/officeDocument/2006/relationships/hyperlink" Target="https://drive.google.com/open?id=168d33glezxe4q20fgUWZU-LaZuXsLlML" TargetMode="External"/><Relationship Id="rId256" Type="http://schemas.openxmlformats.org/officeDocument/2006/relationships/hyperlink" Target="https://drive.google.com/open?id=18kkfcA9p5msQ64DA5fR4KPsLJRMVZ-Ta" TargetMode="External"/><Relationship Id="rId377" Type="http://schemas.openxmlformats.org/officeDocument/2006/relationships/hyperlink" Target="https://drive.google.com/open?id=1hM3vCOK5rz8yIGOEFkXXkPXb8HENBe5c" TargetMode="External"/><Relationship Id="rId498" Type="http://schemas.openxmlformats.org/officeDocument/2006/relationships/hyperlink" Target="https://drive.google.com/open?id=1REo3qyPUasrx2y0-NGBAGm-F9ZFiU1lg" TargetMode="External"/><Relationship Id="rId134" Type="http://schemas.openxmlformats.org/officeDocument/2006/relationships/hyperlink" Target="https://drive.google.com/open?id=1x0J-OA6Ve8bXJZWSBiUDQj5ulPN3gXmY" TargetMode="External"/><Relationship Id="rId255" Type="http://schemas.openxmlformats.org/officeDocument/2006/relationships/hyperlink" Target="https://drive.google.com/open?id=1DaAZtY4F367Sog2mqpzSgqr1V366k4ly" TargetMode="External"/><Relationship Id="rId376" Type="http://schemas.openxmlformats.org/officeDocument/2006/relationships/hyperlink" Target="https://drive.google.com/open?id=1vccj4rpU5OhQ8yXKDHRRVRsZDtJIOMR2" TargetMode="External"/><Relationship Id="rId497" Type="http://schemas.openxmlformats.org/officeDocument/2006/relationships/hyperlink" Target="https://drive.google.com/open?id=1Ar0DzQbPf1hu-Z1HChhebvdOK-xrmfVp" TargetMode="External"/><Relationship Id="rId133" Type="http://schemas.openxmlformats.org/officeDocument/2006/relationships/hyperlink" Target="https://drive.google.com/open?id=1yN-C1zIeqFFf76aioKjhv1b4B0nLj90M" TargetMode="External"/><Relationship Id="rId254" Type="http://schemas.openxmlformats.org/officeDocument/2006/relationships/hyperlink" Target="https://drive.google.com/open?id=18h_cTEqenMepj02BWkQcchKEoYa2vELZ" TargetMode="External"/><Relationship Id="rId375" Type="http://schemas.openxmlformats.org/officeDocument/2006/relationships/hyperlink" Target="https://drive.google.com/open?id=1-AiGzjxIjixKCFeuWER4Qtxdll_YCdoz" TargetMode="External"/><Relationship Id="rId496" Type="http://schemas.openxmlformats.org/officeDocument/2006/relationships/hyperlink" Target="https://drive.google.com/open?id=1nK0Vbys_Kypsa14n0UAw-xrooWjBEwIY" TargetMode="External"/><Relationship Id="rId172" Type="http://schemas.openxmlformats.org/officeDocument/2006/relationships/hyperlink" Target="https://drive.google.com/open?id=107_-4N5Qe_TsdisWNvmKr2u4JdUdL9yc" TargetMode="External"/><Relationship Id="rId293" Type="http://schemas.openxmlformats.org/officeDocument/2006/relationships/hyperlink" Target="https://drive.google.com/open?id=1RdyDD3lhRyHKbcu8pIzyCYwpnTCjgo3B" TargetMode="External"/><Relationship Id="rId171" Type="http://schemas.openxmlformats.org/officeDocument/2006/relationships/hyperlink" Target="https://drive.google.com/open?id=16dPcuwCqZ88_KJ_igiMiuT6tA2OuklTV" TargetMode="External"/><Relationship Id="rId292" Type="http://schemas.openxmlformats.org/officeDocument/2006/relationships/hyperlink" Target="https://drive.google.com/open?id=1dijKhkpeA_Tn_wh1o83ZYQS-9DRcuckf" TargetMode="External"/><Relationship Id="rId170" Type="http://schemas.openxmlformats.org/officeDocument/2006/relationships/hyperlink" Target="https://drive.google.com/open?id=1Ub5E-t7NG9GLSXBY_NJL9df9jbe_D4OL" TargetMode="External"/><Relationship Id="rId291" Type="http://schemas.openxmlformats.org/officeDocument/2006/relationships/hyperlink" Target="https://drive.google.com/open?id=1MnahZlnSoXZ5DbGTwJKiAqRH0JAGs8jt" TargetMode="External"/><Relationship Id="rId290" Type="http://schemas.openxmlformats.org/officeDocument/2006/relationships/hyperlink" Target="https://drive.google.com/open?id=1BGVqnJZbEPpAZ8khM6o-gEAYnshncdq6" TargetMode="External"/><Relationship Id="rId165" Type="http://schemas.openxmlformats.org/officeDocument/2006/relationships/hyperlink" Target="https://drive.google.com/open?id=1is4UQNzQBNrnbNhdLoYQBLAp6h4m8BbH" TargetMode="External"/><Relationship Id="rId286" Type="http://schemas.openxmlformats.org/officeDocument/2006/relationships/hyperlink" Target="https://drive.google.com/open?id=1_adyqkInWmT1NW6th0lOJCKmQL61HjR0" TargetMode="External"/><Relationship Id="rId164" Type="http://schemas.openxmlformats.org/officeDocument/2006/relationships/hyperlink" Target="https://drive.google.com/open?id=1tfX9QhC_TqINl4cdBBJBUr2cA6FqF-04" TargetMode="External"/><Relationship Id="rId285" Type="http://schemas.openxmlformats.org/officeDocument/2006/relationships/hyperlink" Target="https://drive.google.com/open?id=1i8TNQQ4kUaN60Evi6Zf1GNPEyeiMau6R" TargetMode="External"/><Relationship Id="rId163" Type="http://schemas.openxmlformats.org/officeDocument/2006/relationships/hyperlink" Target="https://drive.google.com/open?id=1TrbhZtxxdXnooW-H2xELFWat6tOtypJh" TargetMode="External"/><Relationship Id="rId284" Type="http://schemas.openxmlformats.org/officeDocument/2006/relationships/hyperlink" Target="https://drive.google.com/open?id=14ine3ISsvkm1o9-50EKX315y09cOQ72z" TargetMode="External"/><Relationship Id="rId162" Type="http://schemas.openxmlformats.org/officeDocument/2006/relationships/hyperlink" Target="https://drive.google.com/open?id=11hwm5bVDtUki1WiO9TYbHhuIaE_ibfGc" TargetMode="External"/><Relationship Id="rId283" Type="http://schemas.openxmlformats.org/officeDocument/2006/relationships/hyperlink" Target="https://drive.google.com/open?id=1H1vzmwUGVE7xHtpdB9KLD0xL6JAhxC2i" TargetMode="External"/><Relationship Id="rId169" Type="http://schemas.openxmlformats.org/officeDocument/2006/relationships/hyperlink" Target="https://drive.google.com/open?id=1yavfBNexDU8MN-oznUPWvn0zUNYKa_cq" TargetMode="External"/><Relationship Id="rId168" Type="http://schemas.openxmlformats.org/officeDocument/2006/relationships/hyperlink" Target="https://drive.google.com/open?id=11m-QIkdshn8ykywCtqrSWRNLi2ah0_m2" TargetMode="External"/><Relationship Id="rId289" Type="http://schemas.openxmlformats.org/officeDocument/2006/relationships/hyperlink" Target="https://drive.google.com/open?id=1dt9lKPsbItvI3xgJLPB7Hrtk8KaND7-Z" TargetMode="External"/><Relationship Id="rId167" Type="http://schemas.openxmlformats.org/officeDocument/2006/relationships/hyperlink" Target="https://drive.google.com/open?id=1XLBtJYtHiGD2FY8d6aTzFrHxA-XZxMw7" TargetMode="External"/><Relationship Id="rId288" Type="http://schemas.openxmlformats.org/officeDocument/2006/relationships/hyperlink" Target="https://drive.google.com/open?id=1oj--Gx9aqj7wjswwHWxnDP0a1PdlXWuu" TargetMode="External"/><Relationship Id="rId166" Type="http://schemas.openxmlformats.org/officeDocument/2006/relationships/hyperlink" Target="https://drive.google.com/open?id=1G7bSsFoiIGKrUm9OjbQnHnXLOaiX72cs" TargetMode="External"/><Relationship Id="rId287" Type="http://schemas.openxmlformats.org/officeDocument/2006/relationships/hyperlink" Target="https://drive.google.com/open?id=1-BpFDyD7fRasOg44pioxchl8XPJEZPMp" TargetMode="External"/><Relationship Id="rId161" Type="http://schemas.openxmlformats.org/officeDocument/2006/relationships/hyperlink" Target="https://drive.google.com/open?id=1WWnNhebUZacb6IQhDBl2YIvduAZ5seWQ" TargetMode="External"/><Relationship Id="rId282" Type="http://schemas.openxmlformats.org/officeDocument/2006/relationships/hyperlink" Target="https://drive.google.com/open?id=15HdMHCRSBJjBAbB5WmJ61mhTjntWrkf7" TargetMode="External"/><Relationship Id="rId160" Type="http://schemas.openxmlformats.org/officeDocument/2006/relationships/hyperlink" Target="https://drive.google.com/open?id=1TN_9oXnbR9jc1ZpUbPUs41eWn8tbBWQH" TargetMode="External"/><Relationship Id="rId281" Type="http://schemas.openxmlformats.org/officeDocument/2006/relationships/hyperlink" Target="https://drive.google.com/open?id=1N4amBsk_EvlhqAZlaJ8-DvkU6EsiSeKC" TargetMode="External"/><Relationship Id="rId280" Type="http://schemas.openxmlformats.org/officeDocument/2006/relationships/hyperlink" Target="https://drive.google.com/open?id=1Vq6wNCVJN96DzDuzAxqEDJLMcYMvxmjW" TargetMode="External"/><Relationship Id="rId159" Type="http://schemas.openxmlformats.org/officeDocument/2006/relationships/hyperlink" Target="https://drive.google.com/open?id=1btvJun1ozCxZu9PAfAxEQh_MtINclmWY" TargetMode="External"/><Relationship Id="rId154" Type="http://schemas.openxmlformats.org/officeDocument/2006/relationships/hyperlink" Target="https://drive.google.com/open?id=1O-kS8BnwghffxRKgYSWyjJy-TbMqShA4" TargetMode="External"/><Relationship Id="rId275" Type="http://schemas.openxmlformats.org/officeDocument/2006/relationships/hyperlink" Target="https://drive.google.com/open?id=1ucsMMLOFW19uLwjesZsK1pAQq-UvtXVS" TargetMode="External"/><Relationship Id="rId396" Type="http://schemas.openxmlformats.org/officeDocument/2006/relationships/hyperlink" Target="https://drive.google.com/open?id=1yL9wHi3RDuHFqc49Jd0eID3xEvTcNxXR" TargetMode="External"/><Relationship Id="rId153" Type="http://schemas.openxmlformats.org/officeDocument/2006/relationships/hyperlink" Target="https://drive.google.com/open?id=15pmg3DVlgvvTVHO1jaKhjdjHXNmbS31j" TargetMode="External"/><Relationship Id="rId274" Type="http://schemas.openxmlformats.org/officeDocument/2006/relationships/hyperlink" Target="https://drive.google.com/open?id=1Y4MySk-8Q0h95B0If-CRY422TeDSs1Oc" TargetMode="External"/><Relationship Id="rId395" Type="http://schemas.openxmlformats.org/officeDocument/2006/relationships/hyperlink" Target="https://drive.google.com/open?id=1Nd_ad4_wwSrCJWiOQiY5wIiTUzVIIjQw" TargetMode="External"/><Relationship Id="rId152" Type="http://schemas.openxmlformats.org/officeDocument/2006/relationships/hyperlink" Target="https://drive.google.com/open?id=1mMNqEbHMmMJ-0-8WXl47bN32MAw8x-jS" TargetMode="External"/><Relationship Id="rId273" Type="http://schemas.openxmlformats.org/officeDocument/2006/relationships/hyperlink" Target="https://drive.google.com/open?id=1OOKf2TYzC6pXxCMiD1MXt9-oHVcrvqa3" TargetMode="External"/><Relationship Id="rId394" Type="http://schemas.openxmlformats.org/officeDocument/2006/relationships/hyperlink" Target="https://drive.google.com/open?id=1khZvmCH8UVODsVcUjN93_Ex0fl1Y22-g" TargetMode="External"/><Relationship Id="rId151" Type="http://schemas.openxmlformats.org/officeDocument/2006/relationships/hyperlink" Target="https://drive.google.com/open?id=1iuwpqKF6AiQHcX867Bd8p85vVYqJyqBF" TargetMode="External"/><Relationship Id="rId272" Type="http://schemas.openxmlformats.org/officeDocument/2006/relationships/hyperlink" Target="https://drive.google.com/open?id=1ugJ926T_ZZfDglU-H5iLlDNCuqIdE6r5" TargetMode="External"/><Relationship Id="rId393" Type="http://schemas.openxmlformats.org/officeDocument/2006/relationships/hyperlink" Target="https://drive.google.com/open?id=14sWjS4dEdU25p-LWCf6v-qFQb5DWlKhr" TargetMode="External"/><Relationship Id="rId158" Type="http://schemas.openxmlformats.org/officeDocument/2006/relationships/hyperlink" Target="https://drive.google.com/open?id=1gfNzPhQ0o7aIhFfzSN6VFgRfp7Umx3Gc" TargetMode="External"/><Relationship Id="rId279" Type="http://schemas.openxmlformats.org/officeDocument/2006/relationships/hyperlink" Target="https://drive.google.com/open?id=1pa0P7Wb3GqRAI3_4eHk0_VX0InXVEubf" TargetMode="External"/><Relationship Id="rId157" Type="http://schemas.openxmlformats.org/officeDocument/2006/relationships/hyperlink" Target="https://drive.google.com/open?id=17PD_7PAjjaMgxEOuVigGXHb5D1VAcBav" TargetMode="External"/><Relationship Id="rId278" Type="http://schemas.openxmlformats.org/officeDocument/2006/relationships/hyperlink" Target="https://drive.google.com/open?id=1F7gFGOh7impFQ0vjPV4ef9z6JpjMiRE7" TargetMode="External"/><Relationship Id="rId399" Type="http://schemas.openxmlformats.org/officeDocument/2006/relationships/hyperlink" Target="https://drive.google.com/open?id=1CGtflYyzIl6Qkku23dfEZ7it2GXkq6Xk" TargetMode="External"/><Relationship Id="rId156" Type="http://schemas.openxmlformats.org/officeDocument/2006/relationships/hyperlink" Target="https://drive.google.com/open?id=1_fUhjoBI9Go9LGITRgag6jUUBpIVt7bg" TargetMode="External"/><Relationship Id="rId277" Type="http://schemas.openxmlformats.org/officeDocument/2006/relationships/hyperlink" Target="https://drive.google.com/open?id=1fOQXq1ctGfowaU9bSFnyqMfHWaZI0Sek" TargetMode="External"/><Relationship Id="rId398" Type="http://schemas.openxmlformats.org/officeDocument/2006/relationships/hyperlink" Target="https://drive.google.com/open?id=1kgzFFAGi23RM9rduDT3CSLqzdqpiNAQ1" TargetMode="External"/><Relationship Id="rId155" Type="http://schemas.openxmlformats.org/officeDocument/2006/relationships/hyperlink" Target="https://drive.google.com/open?id=12LVSb5DArYhFIJXwsOhtQz4ieGkDb3pt" TargetMode="External"/><Relationship Id="rId276" Type="http://schemas.openxmlformats.org/officeDocument/2006/relationships/hyperlink" Target="https://drive.google.com/open?id=16DejLedm-SYZPBMaEiIL9d8edrpussyR" TargetMode="External"/><Relationship Id="rId397" Type="http://schemas.openxmlformats.org/officeDocument/2006/relationships/hyperlink" Target="https://drive.google.com/open?id=1xzzub_mbemfoguzVLfJdABVdCizFMD_x" TargetMode="External"/><Relationship Id="rId40" Type="http://schemas.openxmlformats.org/officeDocument/2006/relationships/hyperlink" Target="https://drive.google.com/open?id=1HZmRYL_7d5TCkC0568JzTF1p1GfYlEvB" TargetMode="External"/><Relationship Id="rId42" Type="http://schemas.openxmlformats.org/officeDocument/2006/relationships/hyperlink" Target="https://drive.google.com/open?id=1arPJKom2MAP8So27cCKYuYAjannRH_51" TargetMode="External"/><Relationship Id="rId41" Type="http://schemas.openxmlformats.org/officeDocument/2006/relationships/hyperlink" Target="https://drive.google.com/open?id=1fHDrVRrpEWcFg6sKP1WT83zmbmobprL_" TargetMode="External"/><Relationship Id="rId44" Type="http://schemas.openxmlformats.org/officeDocument/2006/relationships/hyperlink" Target="https://drive.google.com/open?id=1JGuYboGzd5fZFEqgNOxeDpENeTPqMAHQ" TargetMode="External"/><Relationship Id="rId43" Type="http://schemas.openxmlformats.org/officeDocument/2006/relationships/hyperlink" Target="https://drive.google.com/open?id=1lEkPL9OLLtz_BsCkeDSkF4H-D8xeCP30" TargetMode="External"/><Relationship Id="rId46" Type="http://schemas.openxmlformats.org/officeDocument/2006/relationships/hyperlink" Target="https://drive.google.com/open?id=1Rm29iYgohzV8WKdAQtyGscMBJsbzYZP7" TargetMode="External"/><Relationship Id="rId45" Type="http://schemas.openxmlformats.org/officeDocument/2006/relationships/hyperlink" Target="https://drive.google.com/open?id=1vp8dE0hlSDfC6h3dleFcSmEwRcQlbv7Y" TargetMode="External"/><Relationship Id="rId509" Type="http://schemas.openxmlformats.org/officeDocument/2006/relationships/hyperlink" Target="https://drive.google.com/open?id=1DxqQYTHEAFx1qw-iItzJ4S7AYYQnKqvZ" TargetMode="External"/><Relationship Id="rId508" Type="http://schemas.openxmlformats.org/officeDocument/2006/relationships/hyperlink" Target="https://drive.google.com/open?id=1Ta1Mcm-c1RFIxcGrQwLR6nafn6mLDmQj" TargetMode="External"/><Relationship Id="rId629" Type="http://schemas.openxmlformats.org/officeDocument/2006/relationships/hyperlink" Target="https://drive.google.com/open?id=1oifW7y2qgTiDnMgBF_HtJ8okkq7MWHPP" TargetMode="External"/><Relationship Id="rId503" Type="http://schemas.openxmlformats.org/officeDocument/2006/relationships/hyperlink" Target="https://drive.google.com/open?id=1O0jbyQSJtQwiRLD9lBl2G2dDvGIKN-J5" TargetMode="External"/><Relationship Id="rId624" Type="http://schemas.openxmlformats.org/officeDocument/2006/relationships/hyperlink" Target="https://drive.google.com/open?id=1C_4dzw9YtvN_HLOeCmDDAxXc3HavfhNE" TargetMode="External"/><Relationship Id="rId502" Type="http://schemas.openxmlformats.org/officeDocument/2006/relationships/hyperlink" Target="https://drive.google.com/open?id=1BShOp6unjb77hN5LrIb-Uway_hSX2U5_" TargetMode="External"/><Relationship Id="rId623" Type="http://schemas.openxmlformats.org/officeDocument/2006/relationships/hyperlink" Target="https://drive.google.com/open?id=1hJaI7N9qaoXIxfufbIxryqaM9P4qTten" TargetMode="External"/><Relationship Id="rId501" Type="http://schemas.openxmlformats.org/officeDocument/2006/relationships/hyperlink" Target="https://drive.google.com/open?id=1CiRRu-qUGBfgg9kVMv_xHLyoSd9isDgj" TargetMode="External"/><Relationship Id="rId622" Type="http://schemas.openxmlformats.org/officeDocument/2006/relationships/hyperlink" Target="https://drive.google.com/open?id=1c8kzHeuRe4uqV8C696ycLxNtQURi0G6A" TargetMode="External"/><Relationship Id="rId500" Type="http://schemas.openxmlformats.org/officeDocument/2006/relationships/hyperlink" Target="https://drive.google.com/open?id=1HDU8YroH_hDiyb5SYE8pqwDxSv2a8e1H" TargetMode="External"/><Relationship Id="rId621" Type="http://schemas.openxmlformats.org/officeDocument/2006/relationships/hyperlink" Target="https://drive.google.com/open?id=15n7xGOgWLWWxgDSbp_dhjL_Soxtk9c4T" TargetMode="External"/><Relationship Id="rId507" Type="http://schemas.openxmlformats.org/officeDocument/2006/relationships/hyperlink" Target="https://drive.google.com/open?id=1s-md94AiLWOwbe6qLuvopPYM9ObsvHn1" TargetMode="External"/><Relationship Id="rId628" Type="http://schemas.openxmlformats.org/officeDocument/2006/relationships/hyperlink" Target="https://drive.google.com/open?id=1YS3zgqABSRPhlQzmAdymoWKFLo-ZLS1H" TargetMode="External"/><Relationship Id="rId506" Type="http://schemas.openxmlformats.org/officeDocument/2006/relationships/hyperlink" Target="https://drive.google.com/open?id=1xPdTX-IePYro9Y6Ayv5cjOHSUmjhLWVH" TargetMode="External"/><Relationship Id="rId627" Type="http://schemas.openxmlformats.org/officeDocument/2006/relationships/hyperlink" Target="https://drive.google.com/open?id=1GX5doCQOHgSwypVXm2TfskcYW-ibGga-" TargetMode="External"/><Relationship Id="rId505" Type="http://schemas.openxmlformats.org/officeDocument/2006/relationships/hyperlink" Target="https://drive.google.com/open?id=1OKkSuf9XZL0rAAZ02O2jY5VUvfrOxcj4" TargetMode="External"/><Relationship Id="rId626" Type="http://schemas.openxmlformats.org/officeDocument/2006/relationships/hyperlink" Target="https://drive.google.com/open?id=1WB6rf2qvND-yXMlA23q-QdR6lfAlgCC7" TargetMode="External"/><Relationship Id="rId504" Type="http://schemas.openxmlformats.org/officeDocument/2006/relationships/hyperlink" Target="https://drive.google.com/open?id=1HpCCQH3mryvq05DCHZ53XyQrdLhdQOYl" TargetMode="External"/><Relationship Id="rId625" Type="http://schemas.openxmlformats.org/officeDocument/2006/relationships/hyperlink" Target="https://drive.google.com/open?id=1R5seUvzeYkwm6ISdgxgHmGBr7flZ-vDX" TargetMode="External"/><Relationship Id="rId48" Type="http://schemas.openxmlformats.org/officeDocument/2006/relationships/hyperlink" Target="https://drive.google.com/open?id=1SRogFkZBKMcsW850WY26XXH2GuGHdba_" TargetMode="External"/><Relationship Id="rId47" Type="http://schemas.openxmlformats.org/officeDocument/2006/relationships/hyperlink" Target="https://drive.google.com/open?id=15EBDWr63G1TOU7zVOS1spAJdoUHcMwFS" TargetMode="External"/><Relationship Id="rId49" Type="http://schemas.openxmlformats.org/officeDocument/2006/relationships/hyperlink" Target="https://drive.google.com/open?id=1RfDrIFEQ6b23E4o0vBIFCP7PaoGc6_ZH" TargetMode="External"/><Relationship Id="rId620" Type="http://schemas.openxmlformats.org/officeDocument/2006/relationships/hyperlink" Target="https://drive.google.com/open?id=1ij6nFPvbJd2DzKxSO47VaK9me762wBLX" TargetMode="External"/><Relationship Id="rId31" Type="http://schemas.openxmlformats.org/officeDocument/2006/relationships/hyperlink" Target="https://drive.google.com/open?id=1z0Ev-9RkkCSW18KQ0jj3We5O-VuMwz6O" TargetMode="External"/><Relationship Id="rId30" Type="http://schemas.openxmlformats.org/officeDocument/2006/relationships/hyperlink" Target="https://drive.google.com/open?id=1Rf7EJj0jDv9M75MpdVMSasnfj4DNcwy0" TargetMode="External"/><Relationship Id="rId33" Type="http://schemas.openxmlformats.org/officeDocument/2006/relationships/hyperlink" Target="https://drive.google.com/open?id=11bF7WIsS2zGeMKDi_LoQlDfBSjHRq0fa" TargetMode="External"/><Relationship Id="rId32" Type="http://schemas.openxmlformats.org/officeDocument/2006/relationships/hyperlink" Target="https://drive.google.com/open?id=1U7tui3tLH5SPl6rgtJ59v36eJ9a8kKGj" TargetMode="External"/><Relationship Id="rId35" Type="http://schemas.openxmlformats.org/officeDocument/2006/relationships/hyperlink" Target="https://drive.google.com/open?id=1wQEWg5o67ws4dXfARyw5LiMzTHE8lxeU" TargetMode="External"/><Relationship Id="rId34" Type="http://schemas.openxmlformats.org/officeDocument/2006/relationships/hyperlink" Target="https://drive.google.com/open?id=18OvFf4U0yxUC4FPy5Krp3ATmE560umBx" TargetMode="External"/><Relationship Id="rId619" Type="http://schemas.openxmlformats.org/officeDocument/2006/relationships/hyperlink" Target="https://drive.google.com/open?id=1cWZYK1KNNpaZwhDN4zPL0nuJg95hdOqA" TargetMode="External"/><Relationship Id="rId618" Type="http://schemas.openxmlformats.org/officeDocument/2006/relationships/hyperlink" Target="https://drive.google.com/open?id=1qbf91BHzkH1hEaiYffPSkPkQjUOPeLQD" TargetMode="External"/><Relationship Id="rId613" Type="http://schemas.openxmlformats.org/officeDocument/2006/relationships/hyperlink" Target="https://drive.google.com/open?id=19o1Mc4MAcJPuvm0fzELUnz81XrMWSouV" TargetMode="External"/><Relationship Id="rId734" Type="http://schemas.openxmlformats.org/officeDocument/2006/relationships/hyperlink" Target="https://drive.google.com/open?id=1XuEUC0DVpFCh2DQN95VdeRDBUo8IM5dB" TargetMode="External"/><Relationship Id="rId612" Type="http://schemas.openxmlformats.org/officeDocument/2006/relationships/hyperlink" Target="https://drive.google.com/open?id=1pe2DbUAZ9UEwgWzEMerd6Y38MgAvEata" TargetMode="External"/><Relationship Id="rId733" Type="http://schemas.openxmlformats.org/officeDocument/2006/relationships/hyperlink" Target="https://drive.google.com/open?id=14GUrOSwBFi9DABBR3yuwNVviNYRkINTn" TargetMode="External"/><Relationship Id="rId611" Type="http://schemas.openxmlformats.org/officeDocument/2006/relationships/hyperlink" Target="https://drive.google.com/open?id=1qROg_lL6DlAwByCw0lXuphPTQfAyTvUX" TargetMode="External"/><Relationship Id="rId732" Type="http://schemas.openxmlformats.org/officeDocument/2006/relationships/hyperlink" Target="https://drive.google.com/open?id=1w5LZq3a4-apBYMH926_X4r487mqeasWA" TargetMode="External"/><Relationship Id="rId610" Type="http://schemas.openxmlformats.org/officeDocument/2006/relationships/hyperlink" Target="https://drive.google.com/open?id=1c77lbuGdgRiXyJ6aqePhAW6FtbbRPGX4" TargetMode="External"/><Relationship Id="rId731" Type="http://schemas.openxmlformats.org/officeDocument/2006/relationships/hyperlink" Target="https://drive.google.com/open?id=1qL4WBiVXNjtCYC0cJ2CEomafx0-iub8D" TargetMode="External"/><Relationship Id="rId617" Type="http://schemas.openxmlformats.org/officeDocument/2006/relationships/hyperlink" Target="https://drive.google.com/open?id=1MH8bEJWb5UqCkFHNQOfrHo-m23GsTMIy" TargetMode="External"/><Relationship Id="rId616" Type="http://schemas.openxmlformats.org/officeDocument/2006/relationships/hyperlink" Target="https://drive.google.com/open?id=10QYIwsdFlNYH-MGElPLT6joS8cPOLtRO" TargetMode="External"/><Relationship Id="rId737" Type="http://schemas.openxmlformats.org/officeDocument/2006/relationships/drawing" Target="../drawings/drawing8.xml"/><Relationship Id="rId615" Type="http://schemas.openxmlformats.org/officeDocument/2006/relationships/hyperlink" Target="https://drive.google.com/open?id=1qGSjnoRTAnU-4TWDmkBd39DfKmRtU0FP" TargetMode="External"/><Relationship Id="rId736" Type="http://schemas.openxmlformats.org/officeDocument/2006/relationships/hyperlink" Target="https://drive.google.com/open?id=1DZygDpbQC-m918jG2IXOdSQPcyf6Iw8X" TargetMode="External"/><Relationship Id="rId614" Type="http://schemas.openxmlformats.org/officeDocument/2006/relationships/hyperlink" Target="https://drive.google.com/open?id=1i4VnyDR2Pj1fTYSmtkil5C1RGqW7qyaC" TargetMode="External"/><Relationship Id="rId735" Type="http://schemas.openxmlformats.org/officeDocument/2006/relationships/hyperlink" Target="https://drive.google.com/open?id=1QUEDBCHnVno3XAcl_KHoRA1Cj-Ev936W" TargetMode="External"/><Relationship Id="rId37" Type="http://schemas.openxmlformats.org/officeDocument/2006/relationships/hyperlink" Target="https://drive.google.com/open?id=1YnZOjfKj4zx7nSl5dk_P5O3qCBESpE5q" TargetMode="External"/><Relationship Id="rId36" Type="http://schemas.openxmlformats.org/officeDocument/2006/relationships/hyperlink" Target="https://drive.google.com/open?id=1A0DmidR0DbfMRT6QdEJswNEZdL0NMyn8" TargetMode="External"/><Relationship Id="rId39" Type="http://schemas.openxmlformats.org/officeDocument/2006/relationships/hyperlink" Target="https://drive.google.com/open?id=1Ox57E79d5LwHCjYtM-BrqvLVr61hcwTM" TargetMode="External"/><Relationship Id="rId38" Type="http://schemas.openxmlformats.org/officeDocument/2006/relationships/hyperlink" Target="https://drive.google.com/open?id=11VDZze5dboUlR6EYffoPm550GDsbs0dc" TargetMode="External"/><Relationship Id="rId730" Type="http://schemas.openxmlformats.org/officeDocument/2006/relationships/hyperlink" Target="https://drive.google.com/open?id=1aHszoavm65DZEDJe4qgf5QopHnmNG_TZ" TargetMode="External"/><Relationship Id="rId20" Type="http://schemas.openxmlformats.org/officeDocument/2006/relationships/hyperlink" Target="https://drive.google.com/open?id=1DifImxwl4jflybT2KoHGqlCgD0oEwH97" TargetMode="External"/><Relationship Id="rId22" Type="http://schemas.openxmlformats.org/officeDocument/2006/relationships/hyperlink" Target="https://drive.google.com/open?id=1nfe1owxUEX9wqIBeKFaL65akxzM3fw96" TargetMode="External"/><Relationship Id="rId21" Type="http://schemas.openxmlformats.org/officeDocument/2006/relationships/hyperlink" Target="https://drive.google.com/open?id=1KFU8XoNpyiXZQJdXrYwc4UoAao2yMlDe" TargetMode="External"/><Relationship Id="rId24" Type="http://schemas.openxmlformats.org/officeDocument/2006/relationships/hyperlink" Target="https://drive.google.com/open?id=1A3NYpvAPUO5MUssC4b0Ca2Co2sWhFjv4" TargetMode="External"/><Relationship Id="rId23" Type="http://schemas.openxmlformats.org/officeDocument/2006/relationships/hyperlink" Target="https://drive.google.com/open?id=1y97oXnF0r_lSxj5rfx0UCR9zZ5SYAI0N" TargetMode="External"/><Relationship Id="rId409" Type="http://schemas.openxmlformats.org/officeDocument/2006/relationships/hyperlink" Target="https://drive.google.com/open?id=16ocTGCjRuuxzANVrjuBGIpWlYcqDXSIw" TargetMode="External"/><Relationship Id="rId404" Type="http://schemas.openxmlformats.org/officeDocument/2006/relationships/hyperlink" Target="https://drive.google.com/open?id=16AyNDDdr3FTVRIjE1W8txbFjL40pXgWy" TargetMode="External"/><Relationship Id="rId525" Type="http://schemas.openxmlformats.org/officeDocument/2006/relationships/hyperlink" Target="https://drive.google.com/open?id=1AtPY1E1JIbSRf01LMjznQok9017GNnvA" TargetMode="External"/><Relationship Id="rId646" Type="http://schemas.openxmlformats.org/officeDocument/2006/relationships/hyperlink" Target="https://drive.google.com/open?id=1rhcUpRLUAIHWTrk2pN33PBzY5ACedyE6" TargetMode="External"/><Relationship Id="rId403" Type="http://schemas.openxmlformats.org/officeDocument/2006/relationships/hyperlink" Target="https://drive.google.com/open?id=1fbcCkSAKP9IZLtpW3xUBImUzfEA5Kmgw" TargetMode="External"/><Relationship Id="rId524" Type="http://schemas.openxmlformats.org/officeDocument/2006/relationships/hyperlink" Target="https://drive.google.com/open?id=1CJbclqsZlsYjMv9Ichv-Oo5Qjbh00S88" TargetMode="External"/><Relationship Id="rId645" Type="http://schemas.openxmlformats.org/officeDocument/2006/relationships/hyperlink" Target="https://drive.google.com/open?id=1tpVUtdMVTGxPBDBSJBuNXjqD_2DUFNIT" TargetMode="External"/><Relationship Id="rId402" Type="http://schemas.openxmlformats.org/officeDocument/2006/relationships/hyperlink" Target="https://drive.google.com/open?id=1GbOg48q12BBWpmnHXYbWqrIjf67nmubX" TargetMode="External"/><Relationship Id="rId523" Type="http://schemas.openxmlformats.org/officeDocument/2006/relationships/hyperlink" Target="https://drive.google.com/open?id=1XsiQFR32tAO8Eh9OdHxSaUfnQw06rris" TargetMode="External"/><Relationship Id="rId644" Type="http://schemas.openxmlformats.org/officeDocument/2006/relationships/hyperlink" Target="https://drive.google.com/open?id=10mZYm85uYKAEDnfZMDWFIsnHFSHEhvs1" TargetMode="External"/><Relationship Id="rId401" Type="http://schemas.openxmlformats.org/officeDocument/2006/relationships/hyperlink" Target="https://drive.google.com/open?id=1VXVXQFCdr17vg0KgH1ksO4nx2Lb_Ztoh" TargetMode="External"/><Relationship Id="rId522" Type="http://schemas.openxmlformats.org/officeDocument/2006/relationships/hyperlink" Target="https://drive.google.com/open?id=1xYADupuVQVQH3RoB6EuLExI3T2_cpZaZ" TargetMode="External"/><Relationship Id="rId643" Type="http://schemas.openxmlformats.org/officeDocument/2006/relationships/hyperlink" Target="https://drive.google.com/open?id=1EU9vSKGqP-OkZPon4LEY4AmgNvWeYqK_" TargetMode="External"/><Relationship Id="rId408" Type="http://schemas.openxmlformats.org/officeDocument/2006/relationships/hyperlink" Target="https://drive.google.com/open?id=1n_5gy-a4zLLBA3q1SoEAjYQq3WC4ozml" TargetMode="External"/><Relationship Id="rId529" Type="http://schemas.openxmlformats.org/officeDocument/2006/relationships/hyperlink" Target="https://drive.google.com/open?id=19Bl14n64Mu0Smi7LI1dJr3i2AsyP-YqC" TargetMode="External"/><Relationship Id="rId407" Type="http://schemas.openxmlformats.org/officeDocument/2006/relationships/hyperlink" Target="https://drive.google.com/open?id=16rRhEk7WSyszcyQgT6XzV4NHhlvbeKeB" TargetMode="External"/><Relationship Id="rId528" Type="http://schemas.openxmlformats.org/officeDocument/2006/relationships/hyperlink" Target="https://drive.google.com/open?id=1MGSNSeWgC9PyxJVsYz0zEwuRuyrNvROw" TargetMode="External"/><Relationship Id="rId649" Type="http://schemas.openxmlformats.org/officeDocument/2006/relationships/hyperlink" Target="https://drive.google.com/open?id=1ys5mQTRJRpcovzk3KdbEh5U-2NfxZk5A" TargetMode="External"/><Relationship Id="rId406" Type="http://schemas.openxmlformats.org/officeDocument/2006/relationships/hyperlink" Target="https://drive.google.com/open?id=1_SmXTgp1r9F-THavr7Yt5Y2WYkdslhLf" TargetMode="External"/><Relationship Id="rId527" Type="http://schemas.openxmlformats.org/officeDocument/2006/relationships/hyperlink" Target="https://drive.google.com/open?id=1M_6l70B4TtUIuL4pScS_Gxuohs_cZC2c" TargetMode="External"/><Relationship Id="rId648" Type="http://schemas.openxmlformats.org/officeDocument/2006/relationships/hyperlink" Target="https://drive.google.com/open?id=1CpV4BcYFJZWrZthvvbacLpmVefrxN3Ws" TargetMode="External"/><Relationship Id="rId405" Type="http://schemas.openxmlformats.org/officeDocument/2006/relationships/hyperlink" Target="https://drive.google.com/open?id=1UCcc6KI3PfXf7GHXa-p1BQiGI8FjeMdy" TargetMode="External"/><Relationship Id="rId526" Type="http://schemas.openxmlformats.org/officeDocument/2006/relationships/hyperlink" Target="https://drive.google.com/open?id=1wab8sPKaB03P_iL0YRw10JyGhnsYUP3y" TargetMode="External"/><Relationship Id="rId647" Type="http://schemas.openxmlformats.org/officeDocument/2006/relationships/hyperlink" Target="https://drive.google.com/open?id=1cN8MqHnb5q2KvWhabjDendINQAyL19s5" TargetMode="External"/><Relationship Id="rId26" Type="http://schemas.openxmlformats.org/officeDocument/2006/relationships/hyperlink" Target="https://drive.google.com/open?id=102Cl7lf32k5yMY2C68EDUHKMrNizSXKi" TargetMode="External"/><Relationship Id="rId25" Type="http://schemas.openxmlformats.org/officeDocument/2006/relationships/hyperlink" Target="https://drive.google.com/open?id=1oBxq2kMguSMxcWQS1v-JOzWsP3puIcm5" TargetMode="External"/><Relationship Id="rId28" Type="http://schemas.openxmlformats.org/officeDocument/2006/relationships/hyperlink" Target="https://drive.google.com/open?id=1spg6r88YFpCJSs8spJoTDVvUqGNabwaF" TargetMode="External"/><Relationship Id="rId27" Type="http://schemas.openxmlformats.org/officeDocument/2006/relationships/hyperlink" Target="https://drive.google.com/open?id=1PgXgafzYHldYfaXqC3qvDz7neG__GgHh" TargetMode="External"/><Relationship Id="rId400" Type="http://schemas.openxmlformats.org/officeDocument/2006/relationships/hyperlink" Target="https://drive.google.com/open?id=1NMeL53Lwrm3v3TSsLTRITG_rD0zMjKBT" TargetMode="External"/><Relationship Id="rId521" Type="http://schemas.openxmlformats.org/officeDocument/2006/relationships/hyperlink" Target="https://drive.google.com/open?id=1pK4kIJPWsC6_3OYSnITsbvuOfd95FszE" TargetMode="External"/><Relationship Id="rId642" Type="http://schemas.openxmlformats.org/officeDocument/2006/relationships/hyperlink" Target="https://drive.google.com/open?id=1Dlnph6ldrxg7K6hANlwQWKVNl0mo2By-" TargetMode="External"/><Relationship Id="rId29" Type="http://schemas.openxmlformats.org/officeDocument/2006/relationships/hyperlink" Target="https://drive.google.com/open?id=1Zb7QNG21zews3RkS04pvjOUjnf5qF4-e" TargetMode="External"/><Relationship Id="rId520" Type="http://schemas.openxmlformats.org/officeDocument/2006/relationships/hyperlink" Target="https://drive.google.com/open?id=1tEfSSVy95Bq3s2y_izhKHTrs8BigQzSO" TargetMode="External"/><Relationship Id="rId641" Type="http://schemas.openxmlformats.org/officeDocument/2006/relationships/hyperlink" Target="https://drive.google.com/open?id=1kP9EATNKwz8a_OgYJmuX_tjPBvPtXB9G" TargetMode="External"/><Relationship Id="rId640" Type="http://schemas.openxmlformats.org/officeDocument/2006/relationships/hyperlink" Target="https://drive.google.com/open?id=1_7fzCR1RUbT-oAMe05ZhN5iLYhlhBmrE" TargetMode="External"/><Relationship Id="rId11" Type="http://schemas.openxmlformats.org/officeDocument/2006/relationships/hyperlink" Target="https://drive.google.com/open?id=1wDklUShbzPqzZwP4hkLkK0lGfNdzTJA3" TargetMode="External"/><Relationship Id="rId10" Type="http://schemas.openxmlformats.org/officeDocument/2006/relationships/hyperlink" Target="https://drive.google.com/open?id=1zSwGIE0N-eYFtE7dHrVUGY-DHD_VkH9l" TargetMode="External"/><Relationship Id="rId13" Type="http://schemas.openxmlformats.org/officeDocument/2006/relationships/hyperlink" Target="https://drive.google.com/open?id=1y4Xbnlv0r_OKoTaqymfeCymD9_qwWcSz" TargetMode="External"/><Relationship Id="rId12" Type="http://schemas.openxmlformats.org/officeDocument/2006/relationships/hyperlink" Target="https://drive.google.com/open?id=1OkDVRXIWcddXFHLIA0EiSVKHU7LX4yTw" TargetMode="External"/><Relationship Id="rId519" Type="http://schemas.openxmlformats.org/officeDocument/2006/relationships/hyperlink" Target="https://drive.google.com/open?id=1Sr3QrsA7Xiffmmn52ICRq5zFEyYY69Rh" TargetMode="External"/><Relationship Id="rId514" Type="http://schemas.openxmlformats.org/officeDocument/2006/relationships/hyperlink" Target="https://drive.google.com/open?id=1tcPnnUoLxBiqekHtsSAus2lmLXhVAEeu" TargetMode="External"/><Relationship Id="rId635" Type="http://schemas.openxmlformats.org/officeDocument/2006/relationships/hyperlink" Target="https://drive.google.com/open?id=1LyydIR3_vSOb2M1wgQQCx6-od3Pce7z-" TargetMode="External"/><Relationship Id="rId513" Type="http://schemas.openxmlformats.org/officeDocument/2006/relationships/hyperlink" Target="https://drive.google.com/open?id=1CRvHHw8CIpoM4anJv9wQydb2kJOzMGle" TargetMode="External"/><Relationship Id="rId634" Type="http://schemas.openxmlformats.org/officeDocument/2006/relationships/hyperlink" Target="https://drive.google.com/open?id=1shLx7FiEVHc9rcygisOMXsLsenEB17SN" TargetMode="External"/><Relationship Id="rId512" Type="http://schemas.openxmlformats.org/officeDocument/2006/relationships/hyperlink" Target="https://drive.google.com/open?id=1iBhIF2idqMEwHsL0EVP264d1szDL5abm" TargetMode="External"/><Relationship Id="rId633" Type="http://schemas.openxmlformats.org/officeDocument/2006/relationships/hyperlink" Target="https://drive.google.com/open?id=18HPZ711ysOtL8hNEhmKIQKohCMeatS2f" TargetMode="External"/><Relationship Id="rId511" Type="http://schemas.openxmlformats.org/officeDocument/2006/relationships/hyperlink" Target="https://drive.google.com/open?id=1pBxNEG_8k6HKqDFQ-HIrNgEFjpk9U9SZ" TargetMode="External"/><Relationship Id="rId632" Type="http://schemas.openxmlformats.org/officeDocument/2006/relationships/hyperlink" Target="https://drive.google.com/open?id=14o8RtPTwY_F1Jl8wFF0NjUELr11ZG1fz" TargetMode="External"/><Relationship Id="rId518" Type="http://schemas.openxmlformats.org/officeDocument/2006/relationships/hyperlink" Target="https://drive.google.com/open?id=10E4MH7ACCx1FCnF8dbEn7WUI32bNuLok" TargetMode="External"/><Relationship Id="rId639" Type="http://schemas.openxmlformats.org/officeDocument/2006/relationships/hyperlink" Target="https://drive.google.com/open?id=1VtCC8RdLeP4XGRB6E9THqqH7boMqeooK" TargetMode="External"/><Relationship Id="rId517" Type="http://schemas.openxmlformats.org/officeDocument/2006/relationships/hyperlink" Target="https://drive.google.com/open?id=1yZBesC7HjKzoQ3XfrA7JPw4vDlMOP7Oe" TargetMode="External"/><Relationship Id="rId638" Type="http://schemas.openxmlformats.org/officeDocument/2006/relationships/hyperlink" Target="https://drive.google.com/open?id=12MCVwMAco7idTrdA-JJit1YhWXtCpt9J" TargetMode="External"/><Relationship Id="rId516" Type="http://schemas.openxmlformats.org/officeDocument/2006/relationships/hyperlink" Target="https://drive.google.com/open?id=1NZ_cyyxzbNaantB6AmukJyddOPA0nT5U" TargetMode="External"/><Relationship Id="rId637" Type="http://schemas.openxmlformats.org/officeDocument/2006/relationships/hyperlink" Target="https://drive.google.com/open?id=1JLuzVkRS0j2Yx_D2S6Df6WhYs4kmBTL4" TargetMode="External"/><Relationship Id="rId515" Type="http://schemas.openxmlformats.org/officeDocument/2006/relationships/hyperlink" Target="https://drive.google.com/open?id=1VhJq36ikt4FihspFpVlQWRc91NDy8c8-" TargetMode="External"/><Relationship Id="rId636" Type="http://schemas.openxmlformats.org/officeDocument/2006/relationships/hyperlink" Target="https://drive.google.com/open?id=1HHIpnP5TXlxYPTyA603MnmNM7g-B0-Hl" TargetMode="External"/><Relationship Id="rId15" Type="http://schemas.openxmlformats.org/officeDocument/2006/relationships/hyperlink" Target="https://drive.google.com/open?id=1b50jdYl71slQcplKzbLu_rtvg3xlJaLo" TargetMode="External"/><Relationship Id="rId14" Type="http://schemas.openxmlformats.org/officeDocument/2006/relationships/hyperlink" Target="https://drive.google.com/open?id=1ARwiDo_4YK6SPFh_MzFVAlKujKAidNaU" TargetMode="External"/><Relationship Id="rId17" Type="http://schemas.openxmlformats.org/officeDocument/2006/relationships/hyperlink" Target="https://drive.google.com/open?id=1o_i3XDxPbQUhfSVPdBOoKJmEvFql1g3T" TargetMode="External"/><Relationship Id="rId16" Type="http://schemas.openxmlformats.org/officeDocument/2006/relationships/hyperlink" Target="https://drive.google.com/open?id=1FFfSCROEYA5A6Q1Zn0OefO9TnwK7SNVY" TargetMode="External"/><Relationship Id="rId19" Type="http://schemas.openxmlformats.org/officeDocument/2006/relationships/hyperlink" Target="https://drive.google.com/open?id=1exkwH59kKGzZeeWPRiCJM7QQqq-YNjw8" TargetMode="External"/><Relationship Id="rId510" Type="http://schemas.openxmlformats.org/officeDocument/2006/relationships/hyperlink" Target="https://drive.google.com/open?id=10oBqcsF8J9D6ARKiQZAUQB7LALO-JOcJ" TargetMode="External"/><Relationship Id="rId631" Type="http://schemas.openxmlformats.org/officeDocument/2006/relationships/hyperlink" Target="https://drive.google.com/open?id=1jqn5mpG_vMjaAnh-rdXFoc25sJan5JN_" TargetMode="External"/><Relationship Id="rId18" Type="http://schemas.openxmlformats.org/officeDocument/2006/relationships/hyperlink" Target="https://drive.google.com/open?id=1IlArLl7ZqWpRhZi9Oh2m6gOyX6bQkY9t" TargetMode="External"/><Relationship Id="rId630" Type="http://schemas.openxmlformats.org/officeDocument/2006/relationships/hyperlink" Target="https://drive.google.com/open?id=1bUQC6_IW-gWaeBiarOBJOQDqYltYpGuT" TargetMode="External"/><Relationship Id="rId84" Type="http://schemas.openxmlformats.org/officeDocument/2006/relationships/hyperlink" Target="https://drive.google.com/open?id=1TLB8B49CCiii2AEiVYDFVCuCMp4Sl5-U" TargetMode="External"/><Relationship Id="rId83" Type="http://schemas.openxmlformats.org/officeDocument/2006/relationships/hyperlink" Target="https://drive.google.com/open?id=14d4d3tk2uu4YQFH8jL0F8U2DyOkZZc5t" TargetMode="External"/><Relationship Id="rId86" Type="http://schemas.openxmlformats.org/officeDocument/2006/relationships/hyperlink" Target="https://drive.google.com/open?id=1xNw-yKtEg3Xo-ectiVmbb2htwwyXq0M8" TargetMode="External"/><Relationship Id="rId85" Type="http://schemas.openxmlformats.org/officeDocument/2006/relationships/hyperlink" Target="https://drive.google.com/open?id=1X1Kdjb_U6Z-DLqSNPvT0zHZasSp8ciwh" TargetMode="External"/><Relationship Id="rId88" Type="http://schemas.openxmlformats.org/officeDocument/2006/relationships/hyperlink" Target="https://drive.google.com/open?id=1BlErPmaZAgQVY-xANCgBq-AaAAIz9Je6" TargetMode="External"/><Relationship Id="rId87" Type="http://schemas.openxmlformats.org/officeDocument/2006/relationships/hyperlink" Target="https://drive.google.com/open?id=1wQBYyL8cu78IoLm-FglK1aXfRI_af4CM" TargetMode="External"/><Relationship Id="rId89" Type="http://schemas.openxmlformats.org/officeDocument/2006/relationships/hyperlink" Target="https://drive.google.com/open?id=1KVHJbW3D4qGXzGzqOaVoiSwmoGIEtK1M" TargetMode="External"/><Relationship Id="rId709" Type="http://schemas.openxmlformats.org/officeDocument/2006/relationships/hyperlink" Target="https://drive.google.com/open?id=1Au7NdSs4O3jPC0aBL1-cKk0V7kR-Qb3S" TargetMode="External"/><Relationship Id="rId708" Type="http://schemas.openxmlformats.org/officeDocument/2006/relationships/hyperlink" Target="https://drive.google.com/open?id=1G11cAe1Tclz6wHapEjyyaxz-LQ4dXeJu" TargetMode="External"/><Relationship Id="rId707" Type="http://schemas.openxmlformats.org/officeDocument/2006/relationships/hyperlink" Target="https://drive.google.com/open?id=1787fESyeDfAJwoN7ZqTG1A-r3TWf0FpA" TargetMode="External"/><Relationship Id="rId706" Type="http://schemas.openxmlformats.org/officeDocument/2006/relationships/hyperlink" Target="https://drive.google.com/open?id=1XcPGrWX8_eXavbuV2AcfbfWkYWz3JKfJ" TargetMode="External"/><Relationship Id="rId80" Type="http://schemas.openxmlformats.org/officeDocument/2006/relationships/hyperlink" Target="https://drive.google.com/open?id=1ZCCddnukSrPR1fuLwZv0ts-Yyo47gdCx" TargetMode="External"/><Relationship Id="rId82" Type="http://schemas.openxmlformats.org/officeDocument/2006/relationships/hyperlink" Target="https://drive.google.com/open?id=1wMLKDrAZCT8YN1wyx_oVz7bue8Sm_OQW" TargetMode="External"/><Relationship Id="rId81" Type="http://schemas.openxmlformats.org/officeDocument/2006/relationships/hyperlink" Target="https://drive.google.com/open?id=1nhOGjnppeJkh4HgrWhrk338_jTWSQB4Z" TargetMode="External"/><Relationship Id="rId701" Type="http://schemas.openxmlformats.org/officeDocument/2006/relationships/hyperlink" Target="https://drive.google.com/open?id=1mZKwMoIsW5V2DBocaCW4gxab2UBzGhw6" TargetMode="External"/><Relationship Id="rId700" Type="http://schemas.openxmlformats.org/officeDocument/2006/relationships/hyperlink" Target="https://drive.google.com/open?id=1jy78pHT_GOXwYFz3AEz9KBkKIAvgbsWJ" TargetMode="External"/><Relationship Id="rId705" Type="http://schemas.openxmlformats.org/officeDocument/2006/relationships/hyperlink" Target="https://drive.google.com/open?id=1yLjkGmnZYaQ_OpEp4ASPfBIksaFRJ5OE" TargetMode="External"/><Relationship Id="rId704" Type="http://schemas.openxmlformats.org/officeDocument/2006/relationships/hyperlink" Target="https://drive.google.com/open?id=1VXoViig1nAwGIPYNCry1rCRpB_9mcMk5" TargetMode="External"/><Relationship Id="rId703" Type="http://schemas.openxmlformats.org/officeDocument/2006/relationships/hyperlink" Target="https://drive.google.com/open?id=1fDhKwV5S8lSe9UjvI12Ru978MbHITpE_" TargetMode="External"/><Relationship Id="rId702" Type="http://schemas.openxmlformats.org/officeDocument/2006/relationships/hyperlink" Target="https://drive.google.com/open?id=1wOG7HVPU4nxrfzviMIlFjLaU4QY29Xjh" TargetMode="External"/><Relationship Id="rId73" Type="http://schemas.openxmlformats.org/officeDocument/2006/relationships/hyperlink" Target="https://drive.google.com/open?id=148UIhQrtm3zFhbuLxMVmQD5GC1kqZGXs" TargetMode="External"/><Relationship Id="rId72" Type="http://schemas.openxmlformats.org/officeDocument/2006/relationships/hyperlink" Target="https://drive.google.com/open?id=1loBvrjHlY0FnpH5nRKAMbjyjqe0HfoSW" TargetMode="External"/><Relationship Id="rId75" Type="http://schemas.openxmlformats.org/officeDocument/2006/relationships/hyperlink" Target="https://drive.google.com/open?id=1Z2lFJM2cCCWiK1_tWDF3DB6zmTADol1U" TargetMode="External"/><Relationship Id="rId74" Type="http://schemas.openxmlformats.org/officeDocument/2006/relationships/hyperlink" Target="https://drive.google.com/open?id=1x_rMGyTiOcgZkAMAgxRkRBm-cablpi-t" TargetMode="External"/><Relationship Id="rId77" Type="http://schemas.openxmlformats.org/officeDocument/2006/relationships/hyperlink" Target="https://drive.google.com/open?id=1sq5C5F9Xg2NWIW2suhs1U25VwFDQASax" TargetMode="External"/><Relationship Id="rId76" Type="http://schemas.openxmlformats.org/officeDocument/2006/relationships/hyperlink" Target="https://drive.google.com/open?id=1LKudmCv7Az0DkukEbCltkYcsBo3Rs2UR" TargetMode="External"/><Relationship Id="rId79" Type="http://schemas.openxmlformats.org/officeDocument/2006/relationships/hyperlink" Target="https://drive.google.com/open?id=1VDJr0jSNeU2l3rCz0BWOZu8stpHdhJ17" TargetMode="External"/><Relationship Id="rId78" Type="http://schemas.openxmlformats.org/officeDocument/2006/relationships/hyperlink" Target="https://drive.google.com/open?id=1b-PbrnWgNZ7T9c9rWQAzNar8OFLcsM_x" TargetMode="External"/><Relationship Id="rId71" Type="http://schemas.openxmlformats.org/officeDocument/2006/relationships/hyperlink" Target="https://drive.google.com/open?id=1BS0uutCxuRvZ3O-E0I-YEqlzvEHhIPMp" TargetMode="External"/><Relationship Id="rId70" Type="http://schemas.openxmlformats.org/officeDocument/2006/relationships/hyperlink" Target="https://drive.google.com/open?id=1jPhS03R6hbnAKYxSec5U659lWQ381-2G" TargetMode="External"/><Relationship Id="rId62" Type="http://schemas.openxmlformats.org/officeDocument/2006/relationships/hyperlink" Target="https://drive.google.com/open?id=1c8bYgZ8WqQsYHWSyzz4FGScLmGRGG34b" TargetMode="External"/><Relationship Id="rId61" Type="http://schemas.openxmlformats.org/officeDocument/2006/relationships/hyperlink" Target="https://drive.google.com/open?id=1zbn_NWH-glFBkaaorhj3MLr9JccDc834" TargetMode="External"/><Relationship Id="rId64" Type="http://schemas.openxmlformats.org/officeDocument/2006/relationships/hyperlink" Target="https://drive.google.com/open?id=18_X8yJ2nI3vYHlq9r7JXgxGqe52wBFva" TargetMode="External"/><Relationship Id="rId63" Type="http://schemas.openxmlformats.org/officeDocument/2006/relationships/hyperlink" Target="https://drive.google.com/open?id=1KLfLSi4Av3-uPctDWPDkdwx-t1Jgn0Le" TargetMode="External"/><Relationship Id="rId66" Type="http://schemas.openxmlformats.org/officeDocument/2006/relationships/hyperlink" Target="https://drive.google.com/open?id=18YyJ7Vqdt3DN35xr1XKSpcp3wCUq9Jc0" TargetMode="External"/><Relationship Id="rId65" Type="http://schemas.openxmlformats.org/officeDocument/2006/relationships/hyperlink" Target="https://drive.google.com/open?id=1K-v3ftU1VU0V9UZmPmy9n3N4-ZX6TrFg" TargetMode="External"/><Relationship Id="rId68" Type="http://schemas.openxmlformats.org/officeDocument/2006/relationships/hyperlink" Target="https://drive.google.com/open?id=1w3lgVAU6n6LE6M2dZtccoV9f75o3jXtg" TargetMode="External"/><Relationship Id="rId67" Type="http://schemas.openxmlformats.org/officeDocument/2006/relationships/hyperlink" Target="https://drive.google.com/open?id=1mNW48brCPfqiAXa9RAORuXjlGdzQ9D2N" TargetMode="External"/><Relationship Id="rId609" Type="http://schemas.openxmlformats.org/officeDocument/2006/relationships/hyperlink" Target="https://drive.google.com/open?id=1co6_Prj9PEvDL0sOpiErynXWTNSvyZD-" TargetMode="External"/><Relationship Id="rId608" Type="http://schemas.openxmlformats.org/officeDocument/2006/relationships/hyperlink" Target="https://drive.google.com/open?id=1W6LCnlbZ8LhvQcGdHJPLoV8NGaBy4kz1" TargetMode="External"/><Relationship Id="rId729" Type="http://schemas.openxmlformats.org/officeDocument/2006/relationships/hyperlink" Target="https://drive.google.com/open?id=1ip0dCAlfienVDeIUGog--4jPdQYgUPKW" TargetMode="External"/><Relationship Id="rId607" Type="http://schemas.openxmlformats.org/officeDocument/2006/relationships/hyperlink" Target="https://drive.google.com/open?id=1d2irVogDLLeZsugTVnRoRp0TQAhuZhnh" TargetMode="External"/><Relationship Id="rId728" Type="http://schemas.openxmlformats.org/officeDocument/2006/relationships/hyperlink" Target="https://drive.google.com/open?id=1mAs_fYTWKpK_dzRN5EWBFtB9FrdoETog" TargetMode="External"/><Relationship Id="rId60" Type="http://schemas.openxmlformats.org/officeDocument/2006/relationships/hyperlink" Target="https://drive.google.com/open?id=1fQd8tAr1uOdt8BLTHJ5PQ-muWIA99tGX" TargetMode="External"/><Relationship Id="rId602" Type="http://schemas.openxmlformats.org/officeDocument/2006/relationships/hyperlink" Target="https://drive.google.com/open?id=1pV9qpFZ3Amy9_QsFa3HLGn7MkH2vBy2Y" TargetMode="External"/><Relationship Id="rId723" Type="http://schemas.openxmlformats.org/officeDocument/2006/relationships/hyperlink" Target="https://drive.google.com/open?id=1Iy2g1GoZcYFVrYZSars-NvUx_RaZgkpc" TargetMode="External"/><Relationship Id="rId601" Type="http://schemas.openxmlformats.org/officeDocument/2006/relationships/hyperlink" Target="https://drive.google.com/open?id=1YG1CEdOOotXa19WIgMzCQvl8MqWhMYNh" TargetMode="External"/><Relationship Id="rId722" Type="http://schemas.openxmlformats.org/officeDocument/2006/relationships/hyperlink" Target="https://drive.google.com/open?id=178YnbFJOB5zyh9_l-QzJDNKLRZ-iLcxx" TargetMode="External"/><Relationship Id="rId600" Type="http://schemas.openxmlformats.org/officeDocument/2006/relationships/hyperlink" Target="https://drive.google.com/open?id=1Ox59shZHOo2x0Ry7zO3Fw0_ViaHjchSH" TargetMode="External"/><Relationship Id="rId721" Type="http://schemas.openxmlformats.org/officeDocument/2006/relationships/hyperlink" Target="https://drive.google.com/open?id=1pO6sr1wxF_9--oTTPPqBVfMaYd6e4S0r" TargetMode="External"/><Relationship Id="rId720" Type="http://schemas.openxmlformats.org/officeDocument/2006/relationships/hyperlink" Target="https://drive.google.com/open?id=1Fqy5KrgiTrh3qjWjdjHDNE9DYSnQ9TlY" TargetMode="External"/><Relationship Id="rId606" Type="http://schemas.openxmlformats.org/officeDocument/2006/relationships/hyperlink" Target="https://drive.google.com/open?id=1gxpmiU0rVwnl7LE7jaQC_tg7-w-Xf55u" TargetMode="External"/><Relationship Id="rId727" Type="http://schemas.openxmlformats.org/officeDocument/2006/relationships/hyperlink" Target="https://drive.google.com/open?id=1g143tYFRiXgBcAqE-AtR21V7iTv_qC9o" TargetMode="External"/><Relationship Id="rId605" Type="http://schemas.openxmlformats.org/officeDocument/2006/relationships/hyperlink" Target="https://drive.google.com/open?id=1n0KD2UMT4r4DS78hPkUxfFkp_AlLHB2p" TargetMode="External"/><Relationship Id="rId726" Type="http://schemas.openxmlformats.org/officeDocument/2006/relationships/hyperlink" Target="https://drive.google.com/open?id=1f5i60Ov5uqxhOQJxvNry-TTPO5uISoWz" TargetMode="External"/><Relationship Id="rId604" Type="http://schemas.openxmlformats.org/officeDocument/2006/relationships/hyperlink" Target="https://drive.google.com/open?id=1jVOaMu5VEXBn5zRamrgtBmosWDnEsDch" TargetMode="External"/><Relationship Id="rId725" Type="http://schemas.openxmlformats.org/officeDocument/2006/relationships/hyperlink" Target="https://drive.google.com/open?id=1yTucDZI2kHJALN47cVKcBIVC6baHv66m" TargetMode="External"/><Relationship Id="rId603" Type="http://schemas.openxmlformats.org/officeDocument/2006/relationships/hyperlink" Target="https://drive.google.com/open?id=1jeTgHJpglJbaaI_nRDRqK-Q-zxjVhpUe" TargetMode="External"/><Relationship Id="rId724" Type="http://schemas.openxmlformats.org/officeDocument/2006/relationships/hyperlink" Target="https://drive.google.com/open?id=1OWbvKwIpoRob_1NfnlxqM0NUt0kI46kz" TargetMode="External"/><Relationship Id="rId69" Type="http://schemas.openxmlformats.org/officeDocument/2006/relationships/hyperlink" Target="https://drive.google.com/open?id=1d2rUYlp2GEwgl2gH-iJO1Zt1Jf3exbSV" TargetMode="External"/><Relationship Id="rId51" Type="http://schemas.openxmlformats.org/officeDocument/2006/relationships/hyperlink" Target="https://drive.google.com/open?id=1gfZuq9Bvc_J4_G6tQJN7nALIso7-dY_J" TargetMode="External"/><Relationship Id="rId50" Type="http://schemas.openxmlformats.org/officeDocument/2006/relationships/hyperlink" Target="https://drive.google.com/open?id=1d0QxxUYPxfpMarPLx_xl-eI5ngn_N60M" TargetMode="External"/><Relationship Id="rId53" Type="http://schemas.openxmlformats.org/officeDocument/2006/relationships/hyperlink" Target="https://drive.google.com/open?id=1ZelYG0X8xl4t0rgWDFbRoF5fxvebOUBY" TargetMode="External"/><Relationship Id="rId52" Type="http://schemas.openxmlformats.org/officeDocument/2006/relationships/hyperlink" Target="https://drive.google.com/open?id=1ZA9AmCrip5rtJrgdrTsREfFO_eITD8wE" TargetMode="External"/><Relationship Id="rId55" Type="http://schemas.openxmlformats.org/officeDocument/2006/relationships/hyperlink" Target="https://drive.google.com/open?id=1G2LJwI5diRFq5wHZnHGt7fFVVfTSCaUq" TargetMode="External"/><Relationship Id="rId54" Type="http://schemas.openxmlformats.org/officeDocument/2006/relationships/hyperlink" Target="https://drive.google.com/open?id=1hDi_F582eLhlZukNijBm44JSZ0-azQgS" TargetMode="External"/><Relationship Id="rId57" Type="http://schemas.openxmlformats.org/officeDocument/2006/relationships/hyperlink" Target="https://drive.google.com/open?id=1eDnx3lF9-oSsUVI6jYuoK8mTKo9w56ZA" TargetMode="External"/><Relationship Id="rId56" Type="http://schemas.openxmlformats.org/officeDocument/2006/relationships/hyperlink" Target="https://drive.google.com/open?id=1ghNDlsArncBAltLjHqUWKDj6YVILYPxs" TargetMode="External"/><Relationship Id="rId719" Type="http://schemas.openxmlformats.org/officeDocument/2006/relationships/hyperlink" Target="https://drive.google.com/open?id=1L7JS-YEGFHMCFcAmxeae14KyHkwRJ50S" TargetMode="External"/><Relationship Id="rId718" Type="http://schemas.openxmlformats.org/officeDocument/2006/relationships/hyperlink" Target="https://drive.google.com/open?id=1fh032CA6EY5pt5blVXzPW9ORdYH8i6wZ" TargetMode="External"/><Relationship Id="rId717" Type="http://schemas.openxmlformats.org/officeDocument/2006/relationships/hyperlink" Target="https://drive.google.com/open?id=157Ezr7Jx9MknGGjhqXs_K8Wm8ihF11Ef" TargetMode="External"/><Relationship Id="rId712" Type="http://schemas.openxmlformats.org/officeDocument/2006/relationships/hyperlink" Target="https://drive.google.com/open?id=1_0ZsxxK3-WfyRpxVTloEz33LXKN1q7Yi" TargetMode="External"/><Relationship Id="rId711" Type="http://schemas.openxmlformats.org/officeDocument/2006/relationships/hyperlink" Target="https://drive.google.com/open?id=1xK4Zh0J0YYntPobwh7L-sk-Ulzj_zOPD" TargetMode="External"/><Relationship Id="rId710" Type="http://schemas.openxmlformats.org/officeDocument/2006/relationships/hyperlink" Target="https://drive.google.com/open?id=1lxoR9VifwUQhwexFC74Sv8Nff1bjQZGc" TargetMode="External"/><Relationship Id="rId716" Type="http://schemas.openxmlformats.org/officeDocument/2006/relationships/hyperlink" Target="https://drive.google.com/open?id=1x1GbEIzNBU4gJ9tK9raNHjbkW0NOz4-e" TargetMode="External"/><Relationship Id="rId715" Type="http://schemas.openxmlformats.org/officeDocument/2006/relationships/hyperlink" Target="https://drive.google.com/open?id=1WKER7vEUx_4l8wD02mi0aFccNo8YFs6A" TargetMode="External"/><Relationship Id="rId714" Type="http://schemas.openxmlformats.org/officeDocument/2006/relationships/hyperlink" Target="https://drive.google.com/open?id=1gK_X7VRwPRfN5lQKQmdoZquhLQPSnSeT" TargetMode="External"/><Relationship Id="rId713" Type="http://schemas.openxmlformats.org/officeDocument/2006/relationships/hyperlink" Target="https://drive.google.com/open?id=1VZRIPMtkiO9TlBT7mLUlJav22cZYU5Hn" TargetMode="External"/><Relationship Id="rId59" Type="http://schemas.openxmlformats.org/officeDocument/2006/relationships/hyperlink" Target="https://drive.google.com/open?id=19uRVSc3RfI312Z1NsrZ-gfXGxttQNK0a" TargetMode="External"/><Relationship Id="rId58" Type="http://schemas.openxmlformats.org/officeDocument/2006/relationships/hyperlink" Target="https://drive.google.com/open?id=1rx_beS7RDCQWGzsNfeTO9tZs8Ug86BKz" TargetMode="External"/><Relationship Id="rId590" Type="http://schemas.openxmlformats.org/officeDocument/2006/relationships/hyperlink" Target="https://drive.google.com/open?id=1tK58PJNPrw8qR0-InRydO-406gETsUNU" TargetMode="External"/><Relationship Id="rId107" Type="http://schemas.openxmlformats.org/officeDocument/2006/relationships/hyperlink" Target="https://drive.google.com/open?id=1B04_m63_95K1Y2SHlz4D5LObBsjgcGzn" TargetMode="External"/><Relationship Id="rId228" Type="http://schemas.openxmlformats.org/officeDocument/2006/relationships/hyperlink" Target="https://drive.google.com/open?id=1xx7OHhq40f2OvyA9eLPcoRROFuNwUszS" TargetMode="External"/><Relationship Id="rId349" Type="http://schemas.openxmlformats.org/officeDocument/2006/relationships/hyperlink" Target="https://drive.google.com/open?id=1aVffSt6cAHdW3LKbBypW23eniudgILI4" TargetMode="External"/><Relationship Id="rId106" Type="http://schemas.openxmlformats.org/officeDocument/2006/relationships/hyperlink" Target="https://drive.google.com/open?id=1pUx8qiwYTfajtdeODi3rHawzX3kgxES_" TargetMode="External"/><Relationship Id="rId227" Type="http://schemas.openxmlformats.org/officeDocument/2006/relationships/hyperlink" Target="https://drive.google.com/open?id=14mS-OEwJBxCP_okynljZSYyLys39P-Iz" TargetMode="External"/><Relationship Id="rId348" Type="http://schemas.openxmlformats.org/officeDocument/2006/relationships/hyperlink" Target="https://drive.google.com/open?id=1dhT_PKu76KypSBeJKOPFLS7PZlR2YBnb" TargetMode="External"/><Relationship Id="rId469" Type="http://schemas.openxmlformats.org/officeDocument/2006/relationships/hyperlink" Target="https://drive.google.com/open?id=1909lZ5NHKD4wNMYwtjbuxhIq5ertzPgm" TargetMode="External"/><Relationship Id="rId105" Type="http://schemas.openxmlformats.org/officeDocument/2006/relationships/hyperlink" Target="https://drive.google.com/open?id=1rokMm96BPYhe9HazG-nmPMZQL1GU9Dgw" TargetMode="External"/><Relationship Id="rId226" Type="http://schemas.openxmlformats.org/officeDocument/2006/relationships/hyperlink" Target="https://drive.google.com/open?id=14T6_Jz2UgXAI2t4tpcGwtVz7-fp_9PQQ" TargetMode="External"/><Relationship Id="rId347" Type="http://schemas.openxmlformats.org/officeDocument/2006/relationships/hyperlink" Target="https://drive.google.com/open?id=1BhqArq-IadOIO1nNwuid4pJ9ioZVnFua" TargetMode="External"/><Relationship Id="rId468" Type="http://schemas.openxmlformats.org/officeDocument/2006/relationships/hyperlink" Target="https://drive.google.com/open?id=1i57ZEL1139HUVuephxu-8P8xnP7Bk8Qy" TargetMode="External"/><Relationship Id="rId589" Type="http://schemas.openxmlformats.org/officeDocument/2006/relationships/hyperlink" Target="https://drive.google.com/open?id=1iNenV8Jo1NXo3b3cmY4U3z7ae1oV1dQX" TargetMode="External"/><Relationship Id="rId104" Type="http://schemas.openxmlformats.org/officeDocument/2006/relationships/hyperlink" Target="https://drive.google.com/open?id=12NuDEsGQKHIfM21jbLln77WHJQeK_iRU" TargetMode="External"/><Relationship Id="rId225" Type="http://schemas.openxmlformats.org/officeDocument/2006/relationships/hyperlink" Target="https://drive.google.com/open?id=1E_Q1UKN2bOS4djd6Olcy6wx1zSMrwSxO" TargetMode="External"/><Relationship Id="rId346" Type="http://schemas.openxmlformats.org/officeDocument/2006/relationships/hyperlink" Target="https://drive.google.com/open?id=1hiQfKB_9bop6xUCGojGqWA-6DBMRgb4C" TargetMode="External"/><Relationship Id="rId467" Type="http://schemas.openxmlformats.org/officeDocument/2006/relationships/hyperlink" Target="https://drive.google.com/open?id=1QjtOaRVhU6O4ZxAyuJe83QU5kQ4TAWXX" TargetMode="External"/><Relationship Id="rId588" Type="http://schemas.openxmlformats.org/officeDocument/2006/relationships/hyperlink" Target="https://drive.google.com/open?id=1VDV9j7a2A3NG7XDU2Cuc85MHKCNxL4f1" TargetMode="External"/><Relationship Id="rId109" Type="http://schemas.openxmlformats.org/officeDocument/2006/relationships/hyperlink" Target="https://drive.google.com/open?id=12kty3nMFwrsQwB52Yw3LXdsz2Msw9M9c" TargetMode="External"/><Relationship Id="rId108" Type="http://schemas.openxmlformats.org/officeDocument/2006/relationships/hyperlink" Target="https://drive.google.com/open?id=1imznow5J7lKupn5IXrXALZJyaX78POEt" TargetMode="External"/><Relationship Id="rId229" Type="http://schemas.openxmlformats.org/officeDocument/2006/relationships/hyperlink" Target="https://drive.google.com/open?id=1AV39Nq3WsMDHy1KwcoXFuGBgTdVxwhaF" TargetMode="External"/><Relationship Id="rId220" Type="http://schemas.openxmlformats.org/officeDocument/2006/relationships/hyperlink" Target="https://drive.google.com/open?id=15ujPg-fOtXta-1Euak9RzqbINblbaeQo" TargetMode="External"/><Relationship Id="rId341" Type="http://schemas.openxmlformats.org/officeDocument/2006/relationships/hyperlink" Target="https://drive.google.com/open?id=1Wc0iSzn7D16Hw8KsXpqRilCAx2weTqXj" TargetMode="External"/><Relationship Id="rId462" Type="http://schemas.openxmlformats.org/officeDocument/2006/relationships/hyperlink" Target="https://drive.google.com/open?id=1OJvUxiMjSYhVpuWo8OFc0CW4vhqyURB8" TargetMode="External"/><Relationship Id="rId583" Type="http://schemas.openxmlformats.org/officeDocument/2006/relationships/hyperlink" Target="https://drive.google.com/open?id=1IWPJ4eWVwkVC_zqTQNnTJDvX7Gdv87O0" TargetMode="External"/><Relationship Id="rId340" Type="http://schemas.openxmlformats.org/officeDocument/2006/relationships/hyperlink" Target="https://drive.google.com/open?id=15Z6N5P-KcFoi-f8yfZYZf-WucWDAL99y" TargetMode="External"/><Relationship Id="rId461" Type="http://schemas.openxmlformats.org/officeDocument/2006/relationships/hyperlink" Target="https://drive.google.com/open?id=1U0fPSVfh2uPD9HYbEEWMG6FXWtWJIRS0" TargetMode="External"/><Relationship Id="rId582" Type="http://schemas.openxmlformats.org/officeDocument/2006/relationships/hyperlink" Target="https://drive.google.com/open?id=1bDsqhOcIGWbwvqJZQhRd3FW2ewGYwlsO" TargetMode="External"/><Relationship Id="rId460" Type="http://schemas.openxmlformats.org/officeDocument/2006/relationships/hyperlink" Target="https://drive.google.com/open?id=1TTOQJebRHj8SbOr7MFPEh9PfsHV1uNrv" TargetMode="External"/><Relationship Id="rId581" Type="http://schemas.openxmlformats.org/officeDocument/2006/relationships/hyperlink" Target="https://drive.google.com/open?id=1vUt676T8l7yfvRuogs0jejBsHV3WrT3K" TargetMode="External"/><Relationship Id="rId580" Type="http://schemas.openxmlformats.org/officeDocument/2006/relationships/hyperlink" Target="https://drive.google.com/open?id=14eDHE2LictwwqcEoFuczf4fXTD5AmGsa" TargetMode="External"/><Relationship Id="rId103" Type="http://schemas.openxmlformats.org/officeDocument/2006/relationships/hyperlink" Target="https://drive.google.com/open?id=1sKd_gfMCvCQ3x90hbhKCEQENhfQ8mKTq" TargetMode="External"/><Relationship Id="rId224" Type="http://schemas.openxmlformats.org/officeDocument/2006/relationships/hyperlink" Target="https://drive.google.com/open?id=14F2Bw9UvGx6_WsxtRusCd_pFiUtPpkvi" TargetMode="External"/><Relationship Id="rId345" Type="http://schemas.openxmlformats.org/officeDocument/2006/relationships/hyperlink" Target="https://drive.google.com/open?id=1P_G5xxM-OzSf30-PGP766o9lSbLj3qMX" TargetMode="External"/><Relationship Id="rId466" Type="http://schemas.openxmlformats.org/officeDocument/2006/relationships/hyperlink" Target="https://drive.google.com/open?id=1QOmfRHtPk0487q0vtTaxRgsEBGqsAUfr" TargetMode="External"/><Relationship Id="rId587" Type="http://schemas.openxmlformats.org/officeDocument/2006/relationships/hyperlink" Target="https://drive.google.com/open?id=1FZiNY_ghbT_kU-SFaiAKENmOXe5yY1kE" TargetMode="External"/><Relationship Id="rId102" Type="http://schemas.openxmlformats.org/officeDocument/2006/relationships/hyperlink" Target="https://drive.google.com/open?id=1Ti5s5QHApU7C91cVC4KBe4Hhdf8mG5NA" TargetMode="External"/><Relationship Id="rId223" Type="http://schemas.openxmlformats.org/officeDocument/2006/relationships/hyperlink" Target="https://drive.google.com/open?id=1ThJTtkK4Nbh_blfXDWo5VHCDdVxReNvC" TargetMode="External"/><Relationship Id="rId344" Type="http://schemas.openxmlformats.org/officeDocument/2006/relationships/hyperlink" Target="https://drive.google.com/file/d/11tifNmnLW_n_zyPxhG3dp9t-nSJjgNNy/view?usp=drive_link" TargetMode="External"/><Relationship Id="rId465" Type="http://schemas.openxmlformats.org/officeDocument/2006/relationships/hyperlink" Target="https://drive.google.com/open?id=1bcyYow0m0LF5nioXe1oUM9yIC5U_7cSc" TargetMode="External"/><Relationship Id="rId586" Type="http://schemas.openxmlformats.org/officeDocument/2006/relationships/hyperlink" Target="https://drive.google.com/open?id=1EYFS4qyss1GiWn-dkYlZTRgM6S794QA4" TargetMode="External"/><Relationship Id="rId101" Type="http://schemas.openxmlformats.org/officeDocument/2006/relationships/hyperlink" Target="https://drive.google.com/open?id=1CKhlOkhW-DuODFjUd-A4Ad1gcaZDTkW0" TargetMode="External"/><Relationship Id="rId222" Type="http://schemas.openxmlformats.org/officeDocument/2006/relationships/hyperlink" Target="https://drive.google.com/open?id=1H8MOrlpm1sgyD0yo9OfTXqlYBx3zyx1l" TargetMode="External"/><Relationship Id="rId343" Type="http://schemas.openxmlformats.org/officeDocument/2006/relationships/hyperlink" Target="https://drive.google.com/open?id=138t3yNM6mlIOCepT__pYrwkxZxy7M72K" TargetMode="External"/><Relationship Id="rId464" Type="http://schemas.openxmlformats.org/officeDocument/2006/relationships/hyperlink" Target="https://drive.google.com/open?id=1aTyjFYhSJxeay-aHFvHzUat2MURld-QV" TargetMode="External"/><Relationship Id="rId585" Type="http://schemas.openxmlformats.org/officeDocument/2006/relationships/hyperlink" Target="https://drive.google.com/open?id=1FX1npWeqROQhLt2QR73CazbRXW-oZlam" TargetMode="External"/><Relationship Id="rId100" Type="http://schemas.openxmlformats.org/officeDocument/2006/relationships/hyperlink" Target="https://drive.google.com/open?id=1iDhf5Fedk2xkHL91ldO95fbgObHwCoZ0" TargetMode="External"/><Relationship Id="rId221" Type="http://schemas.openxmlformats.org/officeDocument/2006/relationships/hyperlink" Target="https://drive.google.com/open?id=1haDAwy2XsMRmPaBVx7IGRzzXQWmE9X_d" TargetMode="External"/><Relationship Id="rId342" Type="http://schemas.openxmlformats.org/officeDocument/2006/relationships/hyperlink" Target="https://drive.google.com/open?id=1sXGoyWuXS1aP0Tc9FF7qL8Zx-bSx1uDh" TargetMode="External"/><Relationship Id="rId463" Type="http://schemas.openxmlformats.org/officeDocument/2006/relationships/hyperlink" Target="https://drive.google.com/open?id=1Wt0kV7Juc9d02T7gwBRxio2ZqhaOFGaY" TargetMode="External"/><Relationship Id="rId584" Type="http://schemas.openxmlformats.org/officeDocument/2006/relationships/hyperlink" Target="https://drive.google.com/open?id=1HUuZyJIpnxrjc60Yn1j_bwxDYHtFSvGp" TargetMode="External"/><Relationship Id="rId217" Type="http://schemas.openxmlformats.org/officeDocument/2006/relationships/hyperlink" Target="https://drive.google.com/open?id=11M0tLlGS8IjvfzUrbBxUjd4e7Pf9wDBB" TargetMode="External"/><Relationship Id="rId338" Type="http://schemas.openxmlformats.org/officeDocument/2006/relationships/hyperlink" Target="https://drive.google.com/open?id=1202Qk1d6P37ItLGjuuIBAA4Lm_wfzNE3" TargetMode="External"/><Relationship Id="rId459" Type="http://schemas.openxmlformats.org/officeDocument/2006/relationships/hyperlink" Target="https://drive.google.com/open?id=103ER1-GD7uSO0TmSlUEbBqwzlCVNnR2e" TargetMode="External"/><Relationship Id="rId216" Type="http://schemas.openxmlformats.org/officeDocument/2006/relationships/hyperlink" Target="https://drive.google.com/open?id=184R9CL1rk5dbgeBjoXWz9aB3KGUr5uRO" TargetMode="External"/><Relationship Id="rId337" Type="http://schemas.openxmlformats.org/officeDocument/2006/relationships/hyperlink" Target="https://drive.google.com/open?id=1B3Yn5_EUlH75T7aDmUBkxxVOoQ6MflR8" TargetMode="External"/><Relationship Id="rId458" Type="http://schemas.openxmlformats.org/officeDocument/2006/relationships/hyperlink" Target="https://drive.google.com/open?id=1OzoGVM-kAgbZuZz45i8AOzsywkVmsRpK" TargetMode="External"/><Relationship Id="rId579" Type="http://schemas.openxmlformats.org/officeDocument/2006/relationships/hyperlink" Target="https://drive.google.com/open?id=1VTev84aWpaxUAtfLk81jN3z7OzJosK2X" TargetMode="External"/><Relationship Id="rId215" Type="http://schemas.openxmlformats.org/officeDocument/2006/relationships/hyperlink" Target="https://drive.google.com/open?id=1_bWz241zrGx4OfWfXDMVeXiAsN_Xz0uf" TargetMode="External"/><Relationship Id="rId336" Type="http://schemas.openxmlformats.org/officeDocument/2006/relationships/hyperlink" Target="https://drive.google.com/open?id=1Yk58FNmWZLA0uSom6S0_sqUDLk_6SsMt" TargetMode="External"/><Relationship Id="rId457" Type="http://schemas.openxmlformats.org/officeDocument/2006/relationships/hyperlink" Target="https://drive.google.com/open?id=1BVNqLtSBjur6SEkSHZp0U3zMwaNqxx_N" TargetMode="External"/><Relationship Id="rId578" Type="http://schemas.openxmlformats.org/officeDocument/2006/relationships/hyperlink" Target="https://drive.google.com/open?id=1p6e1p74vUqcAJMKnJ6KRT7pGhACImUck" TargetMode="External"/><Relationship Id="rId699" Type="http://schemas.openxmlformats.org/officeDocument/2006/relationships/hyperlink" Target="https://drive.google.com/open?id=1nnJfjZko0tx5TlQLDzDq6c8w1Bonp4Q-" TargetMode="External"/><Relationship Id="rId214" Type="http://schemas.openxmlformats.org/officeDocument/2006/relationships/hyperlink" Target="https://drive.google.com/open?id=1NRhORuuamDvcwR0-6sS7xhgapADA3bTA" TargetMode="External"/><Relationship Id="rId335" Type="http://schemas.openxmlformats.org/officeDocument/2006/relationships/hyperlink" Target="https://drive.google.com/open?id=1-7pEpb70qO9WL13W_homZSC2KSlBiDra" TargetMode="External"/><Relationship Id="rId456" Type="http://schemas.openxmlformats.org/officeDocument/2006/relationships/hyperlink" Target="https://drive.google.com/open?id=158Y0u-LZ0mAeak51_R_ONZ3unc1VLzIZ" TargetMode="External"/><Relationship Id="rId577" Type="http://schemas.openxmlformats.org/officeDocument/2006/relationships/hyperlink" Target="https://drive.google.com/open?id=1koxXakvtasSIAJObJjbMEZ6kanadjj2v" TargetMode="External"/><Relationship Id="rId698" Type="http://schemas.openxmlformats.org/officeDocument/2006/relationships/hyperlink" Target="https://drive.google.com/open?id=1ss5yTQ6G_UM5mdfl3utzWePd00XLOjpl" TargetMode="External"/><Relationship Id="rId219" Type="http://schemas.openxmlformats.org/officeDocument/2006/relationships/hyperlink" Target="https://drive.google.com/open?id=1pD0lnKaBS0SChHGeL1ZTzaq0aktKMt37" TargetMode="External"/><Relationship Id="rId218" Type="http://schemas.openxmlformats.org/officeDocument/2006/relationships/hyperlink" Target="https://drive.google.com/open?id=12XHkLtYJrLG_SMQKGY4C_ASQxCGiKVsY" TargetMode="External"/><Relationship Id="rId339" Type="http://schemas.openxmlformats.org/officeDocument/2006/relationships/hyperlink" Target="https://drive.google.com/open?id=1sI2D7ZSszmS6gmEbj_Z2rpKHDWQ1E_5b" TargetMode="External"/><Relationship Id="rId330" Type="http://schemas.openxmlformats.org/officeDocument/2006/relationships/hyperlink" Target="https://drive.google.com/open?id=1NPYhUdxTdEaHmRbkiNpUt85whSxPC4u9" TargetMode="External"/><Relationship Id="rId451" Type="http://schemas.openxmlformats.org/officeDocument/2006/relationships/hyperlink" Target="https://drive.google.com/open?id=1-C5pDyvpOJ5Aj7_4-h5ter_l2TA4F7t1" TargetMode="External"/><Relationship Id="rId572" Type="http://schemas.openxmlformats.org/officeDocument/2006/relationships/hyperlink" Target="https://drive.google.com/open?id=1spyPoN_38KE33nd7MAEaHe5zO7q6uWsm" TargetMode="External"/><Relationship Id="rId693" Type="http://schemas.openxmlformats.org/officeDocument/2006/relationships/hyperlink" Target="https://drive.google.com/open?id=1Nmy3MPMszB_C8ux2ZI304ThnnEXsein9" TargetMode="External"/><Relationship Id="rId450" Type="http://schemas.openxmlformats.org/officeDocument/2006/relationships/hyperlink" Target="https://drive.google.com/open?id=1O8gfj8JCLTk9IsvykTI8ZYhnckOX6-p-" TargetMode="External"/><Relationship Id="rId571" Type="http://schemas.openxmlformats.org/officeDocument/2006/relationships/hyperlink" Target="https://drive.google.com/open?id=1HpYQMfRKlm4dw387FDQ-xcTgLGR7L251" TargetMode="External"/><Relationship Id="rId692" Type="http://schemas.openxmlformats.org/officeDocument/2006/relationships/hyperlink" Target="https://drive.google.com/open?id=1w8OjL5-85kDhESzqMzInkS9gzVsX5xpO" TargetMode="External"/><Relationship Id="rId570" Type="http://schemas.openxmlformats.org/officeDocument/2006/relationships/hyperlink" Target="https://drive.google.com/open?id=1zjBeoyKS1p6-LPHviO82aiDnBuQdw5RE" TargetMode="External"/><Relationship Id="rId691" Type="http://schemas.openxmlformats.org/officeDocument/2006/relationships/hyperlink" Target="https://drive.google.com/open?id=1oZw1gMihSXTdmlElRwplms3st3e7ESvr" TargetMode="External"/><Relationship Id="rId690" Type="http://schemas.openxmlformats.org/officeDocument/2006/relationships/hyperlink" Target="https://drive.google.com/open?id=1MVo_sq8eicYy2j_FHB4oy1gnN71ZSEnE" TargetMode="External"/><Relationship Id="rId213" Type="http://schemas.openxmlformats.org/officeDocument/2006/relationships/hyperlink" Target="https://drive.google.com/open?id=133yL_rXIjHsKB0cdxaBE9-dpXwv1QF2I" TargetMode="External"/><Relationship Id="rId334" Type="http://schemas.openxmlformats.org/officeDocument/2006/relationships/hyperlink" Target="https://drive.google.com/open?id=1PFYWQMoXJKP3KOjTI_gGwB7n3enEKDry" TargetMode="External"/><Relationship Id="rId455" Type="http://schemas.openxmlformats.org/officeDocument/2006/relationships/hyperlink" Target="https://drive.google.com/open?id=1xhWBGsB4HVLkxNyPtZWC3Ki8Util9RHF" TargetMode="External"/><Relationship Id="rId576" Type="http://schemas.openxmlformats.org/officeDocument/2006/relationships/hyperlink" Target="https://drive.google.com/open?id=1lfIj1bj2-DFSaSycYoZ8Veueypn7vkhu" TargetMode="External"/><Relationship Id="rId697" Type="http://schemas.openxmlformats.org/officeDocument/2006/relationships/hyperlink" Target="https://drive.google.com/open?id=1oWDg22E3RggM_Hub1lzfwlFQPwfbG93i" TargetMode="External"/><Relationship Id="rId212" Type="http://schemas.openxmlformats.org/officeDocument/2006/relationships/hyperlink" Target="https://drive.google.com/open?id=1bed8qI2eCu8NKSpRaSDED7WE_D7uGlG6" TargetMode="External"/><Relationship Id="rId333" Type="http://schemas.openxmlformats.org/officeDocument/2006/relationships/hyperlink" Target="https://drive.google.com/open?id=1HR46WlCZpoqUZ2DbiapvW-CTj7FY2pno" TargetMode="External"/><Relationship Id="rId454" Type="http://schemas.openxmlformats.org/officeDocument/2006/relationships/hyperlink" Target="https://drive.google.com/open?id=1tm3oY5gO4Mh40PGgve3_SQJKHyaD0oeY" TargetMode="External"/><Relationship Id="rId575" Type="http://schemas.openxmlformats.org/officeDocument/2006/relationships/hyperlink" Target="https://drive.google.com/open?id=1q6xWOJW6ea-KZxmFVAq00sYHi1c1PPTI" TargetMode="External"/><Relationship Id="rId696" Type="http://schemas.openxmlformats.org/officeDocument/2006/relationships/hyperlink" Target="https://drive.google.com/open?id=1drCbLXT9XhdePsJBNndUsgRmdOsdXEii" TargetMode="External"/><Relationship Id="rId211" Type="http://schemas.openxmlformats.org/officeDocument/2006/relationships/hyperlink" Target="https://drive.google.com/open?id=1Inn0kVhcZYAxKRdlCrI2C6dDpspGY2t1" TargetMode="External"/><Relationship Id="rId332" Type="http://schemas.openxmlformats.org/officeDocument/2006/relationships/hyperlink" Target="https://drive.google.com/open?id=1UPt6LHXb6twnZVmpZv-L-D-lF22WeAth" TargetMode="External"/><Relationship Id="rId453" Type="http://schemas.openxmlformats.org/officeDocument/2006/relationships/hyperlink" Target="https://drive.google.com/open?id=1qd0IQrZZSOLxgHr7ohPk08X3wmiTTktZ" TargetMode="External"/><Relationship Id="rId574" Type="http://schemas.openxmlformats.org/officeDocument/2006/relationships/hyperlink" Target="https://drive.google.com/open?id=14UwXnbnu-urc0l0A9-Wj_-c-OA-O_LIk" TargetMode="External"/><Relationship Id="rId695" Type="http://schemas.openxmlformats.org/officeDocument/2006/relationships/hyperlink" Target="https://drive.google.com/open?id=1ZYrsFXdg0PUcsisVexJi2w8DTST7IhGT" TargetMode="External"/><Relationship Id="rId210" Type="http://schemas.openxmlformats.org/officeDocument/2006/relationships/hyperlink" Target="https://drive.google.com/open?id=1a9IVamoiVVjEyR0e4V4j3yowqOavpu77" TargetMode="External"/><Relationship Id="rId331" Type="http://schemas.openxmlformats.org/officeDocument/2006/relationships/hyperlink" Target="https://drive.google.com/open?id=11HscyacUtQRgtsUqb0lOjXz_TBNYYsOl" TargetMode="External"/><Relationship Id="rId452" Type="http://schemas.openxmlformats.org/officeDocument/2006/relationships/hyperlink" Target="https://drive.google.com/open?id=1FHayA2gv93fn5HMg4ftAsmTyKFqScnM0" TargetMode="External"/><Relationship Id="rId573" Type="http://schemas.openxmlformats.org/officeDocument/2006/relationships/hyperlink" Target="https://drive.google.com/open?id=1GYPH18T_ucOQ_PHdnpi_20OqWbvf_k30" TargetMode="External"/><Relationship Id="rId694" Type="http://schemas.openxmlformats.org/officeDocument/2006/relationships/hyperlink" Target="https://drive.google.com/open?id=16HjEYR77vlYGC5TkU7lxzLRi_1WMNtpN" TargetMode="External"/><Relationship Id="rId370" Type="http://schemas.openxmlformats.org/officeDocument/2006/relationships/hyperlink" Target="https://drive.google.com/open?id=1PTvtwUeU-UtioKLMkBQp953WO2yMH74h" TargetMode="External"/><Relationship Id="rId491" Type="http://schemas.openxmlformats.org/officeDocument/2006/relationships/hyperlink" Target="https://drive.google.com/open?id=1tbyuAy-UVqTFg2Tvd0_c_wn0NbEEMSeO" TargetMode="External"/><Relationship Id="rId490" Type="http://schemas.openxmlformats.org/officeDocument/2006/relationships/hyperlink" Target="https://drive.google.com/open?id=1X5It5o8bcXzkDmtrx6P6i28GuvS5IShj" TargetMode="External"/><Relationship Id="rId129" Type="http://schemas.openxmlformats.org/officeDocument/2006/relationships/hyperlink" Target="https://drive.google.com/open?id=14CzIOxy7KgN-vDSKrgiGb0jBECxrt0HC" TargetMode="External"/><Relationship Id="rId128" Type="http://schemas.openxmlformats.org/officeDocument/2006/relationships/hyperlink" Target="https://drive.google.com/open?id=1fDHqKsTxT9lidJXgZu8vU12BshL_5XAx" TargetMode="External"/><Relationship Id="rId249" Type="http://schemas.openxmlformats.org/officeDocument/2006/relationships/hyperlink" Target="https://drive.google.com/open?id=1TjqOd6Sp3ghgzLPrEeMn3emiYZKfHQZC" TargetMode="External"/><Relationship Id="rId127" Type="http://schemas.openxmlformats.org/officeDocument/2006/relationships/hyperlink" Target="https://drive.google.com/open?id=1zrPDI5yIR3-jlsaxti9qBTMYVsW_QeiL" TargetMode="External"/><Relationship Id="rId248" Type="http://schemas.openxmlformats.org/officeDocument/2006/relationships/hyperlink" Target="https://drive.google.com/open?id=1dtStzcLsVDaG1sBSki4a0heMfbeyYvp5" TargetMode="External"/><Relationship Id="rId369" Type="http://schemas.openxmlformats.org/officeDocument/2006/relationships/hyperlink" Target="https://drive.google.com/open?id=1t5hPVtkKberk83qhMb_OOwR0nh2JzAfi" TargetMode="External"/><Relationship Id="rId126" Type="http://schemas.openxmlformats.org/officeDocument/2006/relationships/hyperlink" Target="https://drive.google.com/open?id=1jJOY1UfgPbV2F9NRHh6L7n1veLc63qzy" TargetMode="External"/><Relationship Id="rId247" Type="http://schemas.openxmlformats.org/officeDocument/2006/relationships/hyperlink" Target="https://drive.google.com/open?id=15OjNs2zp5HQwsam2uM8-1hIYZcozQwXK" TargetMode="External"/><Relationship Id="rId368" Type="http://schemas.openxmlformats.org/officeDocument/2006/relationships/hyperlink" Target="https://drive.google.com/open?id=1GC6GHCKZ2sQX4A7cC1e1i51MGvaXgOEA" TargetMode="External"/><Relationship Id="rId489" Type="http://schemas.openxmlformats.org/officeDocument/2006/relationships/hyperlink" Target="https://drive.google.com/open?id=15A3lSFFG7nW1HgUwz9SsewIhq6D_Tf6x" TargetMode="External"/><Relationship Id="rId121" Type="http://schemas.openxmlformats.org/officeDocument/2006/relationships/hyperlink" Target="https://drive.google.com/open?id=1x4kfevZ9vmvhMmmT_wiXgF0QMBfW5bgC" TargetMode="External"/><Relationship Id="rId242" Type="http://schemas.openxmlformats.org/officeDocument/2006/relationships/hyperlink" Target="https://drive.google.com/open?id=1ufg9f9K1SvWq0xzaCXoxPa7b7sXmPPzo" TargetMode="External"/><Relationship Id="rId363" Type="http://schemas.openxmlformats.org/officeDocument/2006/relationships/hyperlink" Target="https://drive.google.com/open?id=18TcUPfgOC5ZRERuHrPB3Z5rd3wje7cTk" TargetMode="External"/><Relationship Id="rId484" Type="http://schemas.openxmlformats.org/officeDocument/2006/relationships/hyperlink" Target="https://drive.google.com/open?id=1rg-hH5LrzcLIZ9aTgWLvcVdYD3lWt-3I" TargetMode="External"/><Relationship Id="rId120" Type="http://schemas.openxmlformats.org/officeDocument/2006/relationships/hyperlink" Target="https://drive.google.com/open?id=1DmL6rmGlmvZNcVdrn3Cznt1nErKev-oU" TargetMode="External"/><Relationship Id="rId241" Type="http://schemas.openxmlformats.org/officeDocument/2006/relationships/hyperlink" Target="https://drive.google.com/open?id=1KPegDquZeVX2sX1mdfGrz1UsbN5Temv1" TargetMode="External"/><Relationship Id="rId362" Type="http://schemas.openxmlformats.org/officeDocument/2006/relationships/hyperlink" Target="https://drive.google.com/open?id=1WYTZ8teO0Eq0vpKKnmRosv6gbDpbZXll" TargetMode="External"/><Relationship Id="rId483" Type="http://schemas.openxmlformats.org/officeDocument/2006/relationships/hyperlink" Target="https://drive.google.com/open?id=1qy86qYcPcyiTK0RTzOSw81-HbGGR-f52" TargetMode="External"/><Relationship Id="rId240" Type="http://schemas.openxmlformats.org/officeDocument/2006/relationships/hyperlink" Target="https://drive.google.com/open?id=1fT52y4Bycc70Bd5MbjUZIG1NWp3dgm-M" TargetMode="External"/><Relationship Id="rId361" Type="http://schemas.openxmlformats.org/officeDocument/2006/relationships/hyperlink" Target="https://drive.google.com/open?id=1c4tptaFr6EyPyXGkg6luQEK1UYN9wUNW" TargetMode="External"/><Relationship Id="rId482" Type="http://schemas.openxmlformats.org/officeDocument/2006/relationships/hyperlink" Target="https://drive.google.com/open?id=1yQEcOvBDe1OVxXEVLr_oNoxB-TlnHHTr" TargetMode="External"/><Relationship Id="rId360" Type="http://schemas.openxmlformats.org/officeDocument/2006/relationships/hyperlink" Target="https://drive.google.com/open?id=1FMz7XhDQaMYgwgCrq0nvw70y20ku_3qy" TargetMode="External"/><Relationship Id="rId481" Type="http://schemas.openxmlformats.org/officeDocument/2006/relationships/hyperlink" Target="https://drive.google.com/open?id=1W8UQtbvXmP5phiPq_ysCkb3qdTlOY1Ul" TargetMode="External"/><Relationship Id="rId125" Type="http://schemas.openxmlformats.org/officeDocument/2006/relationships/hyperlink" Target="https://drive.google.com/open?id=1Cawbr0GWWBd59JJ2Z3WQ7ZQL6HcceXjw" TargetMode="External"/><Relationship Id="rId246" Type="http://schemas.openxmlformats.org/officeDocument/2006/relationships/hyperlink" Target="https://drive.google.com/open?id=1gKKY1tdlmy3Hv9ymjepFTADiqxM0vsS7" TargetMode="External"/><Relationship Id="rId367" Type="http://schemas.openxmlformats.org/officeDocument/2006/relationships/hyperlink" Target="https://drive.google.com/open?id=1EugZy9feHugRWHOEDSx-9nz0JMudNExS" TargetMode="External"/><Relationship Id="rId488" Type="http://schemas.openxmlformats.org/officeDocument/2006/relationships/hyperlink" Target="https://drive.google.com/open?id=1UGidcOFNqQuldypOMoiXBh3waWh4Up4V" TargetMode="External"/><Relationship Id="rId124" Type="http://schemas.openxmlformats.org/officeDocument/2006/relationships/hyperlink" Target="https://drive.google.com/open?id=1-mNpD711a3npDwv1DOnCKvKQTeJUFyDt" TargetMode="External"/><Relationship Id="rId245" Type="http://schemas.openxmlformats.org/officeDocument/2006/relationships/hyperlink" Target="https://drive.google.com/open?id=1wMLsIW56jbLs7-wvIXUoKu2AOrETjNBu" TargetMode="External"/><Relationship Id="rId366" Type="http://schemas.openxmlformats.org/officeDocument/2006/relationships/hyperlink" Target="https://drive.google.com/open?id=1C4MOXGzbBrSTCILe7W4N7Q2fPzeOVTw-" TargetMode="External"/><Relationship Id="rId487" Type="http://schemas.openxmlformats.org/officeDocument/2006/relationships/hyperlink" Target="https://drive.google.com/open?id=1n_YHkPv59j-d-RP7Z9Shrxbg1j-jHZt6" TargetMode="External"/><Relationship Id="rId123" Type="http://schemas.openxmlformats.org/officeDocument/2006/relationships/hyperlink" Target="https://drive.google.com/open?id=1YVycnTGcMmnp1kd22tdSxosbXDAb4o2h" TargetMode="External"/><Relationship Id="rId244" Type="http://schemas.openxmlformats.org/officeDocument/2006/relationships/hyperlink" Target="https://drive.google.com/open?id=1g1W5N1-EEIm8nYH8RuaRFrCgHNe7V_QE" TargetMode="External"/><Relationship Id="rId365" Type="http://schemas.openxmlformats.org/officeDocument/2006/relationships/hyperlink" Target="https://drive.google.com/open?id=1fkUV1sj9ZBzHb1Byt5oPb7dNlGk6U_kD" TargetMode="External"/><Relationship Id="rId486" Type="http://schemas.openxmlformats.org/officeDocument/2006/relationships/hyperlink" Target="https://drive.google.com/open?id=11fgan7vOXG4zVWROZIgtYtPMGNvnG9IR" TargetMode="External"/><Relationship Id="rId122" Type="http://schemas.openxmlformats.org/officeDocument/2006/relationships/hyperlink" Target="https://drive.google.com/open?id=1v56Bu2uebrgiRC63FN5dDEnakfGkMVhc" TargetMode="External"/><Relationship Id="rId243" Type="http://schemas.openxmlformats.org/officeDocument/2006/relationships/hyperlink" Target="https://drive.google.com/open?id=1jMj2eBTqD3_Ay209A_FpqAQAm5PIoL-j" TargetMode="External"/><Relationship Id="rId364" Type="http://schemas.openxmlformats.org/officeDocument/2006/relationships/hyperlink" Target="https://drive.google.com/open?id=1lSaSDe68JCNemdgeIP-Pa1UiqJAEEhYe" TargetMode="External"/><Relationship Id="rId485" Type="http://schemas.openxmlformats.org/officeDocument/2006/relationships/hyperlink" Target="https://drive.google.com/open?id=1U5iSO06HLOsNeA7iIQPsrC99LLxnsQbT" TargetMode="External"/><Relationship Id="rId95" Type="http://schemas.openxmlformats.org/officeDocument/2006/relationships/hyperlink" Target="https://drive.google.com/open?id=1gTF1yC9NhmExG0s08vKjtSLhjs2vbOle" TargetMode="External"/><Relationship Id="rId94" Type="http://schemas.openxmlformats.org/officeDocument/2006/relationships/hyperlink" Target="https://drive.google.com/open?id=1VN7Ilc8jF-5ISGiM0w41ZtJAYVIFomIx" TargetMode="External"/><Relationship Id="rId97" Type="http://schemas.openxmlformats.org/officeDocument/2006/relationships/hyperlink" Target="https://drive.google.com/open?id=1JXWy2JQNrAkkBE_HrFzKlJdBFdfLyYVO" TargetMode="External"/><Relationship Id="rId96" Type="http://schemas.openxmlformats.org/officeDocument/2006/relationships/hyperlink" Target="https://drive.google.com/open?id=1G4UlPypam1h5qhZhxBPOv09_XuE4UKJ_" TargetMode="External"/><Relationship Id="rId99" Type="http://schemas.openxmlformats.org/officeDocument/2006/relationships/hyperlink" Target="https://drive.google.com/open?id=1gvIplrn-a3NFB6T1MPqW8DoFxac0ePvT" TargetMode="External"/><Relationship Id="rId480" Type="http://schemas.openxmlformats.org/officeDocument/2006/relationships/hyperlink" Target="https://drive.google.com/open?id=1DquJJOVHdQsdw2IMiP5mHrqIEboNSgX0" TargetMode="External"/><Relationship Id="rId98" Type="http://schemas.openxmlformats.org/officeDocument/2006/relationships/hyperlink" Target="https://drive.google.com/open?id=1YRP1aslF--Vl2q90z6UxhVjHKfb5okxN" TargetMode="External"/><Relationship Id="rId91" Type="http://schemas.openxmlformats.org/officeDocument/2006/relationships/hyperlink" Target="https://drive.google.com/open?id=1K-TVvWAIpP3-PSEIPl9dtWAiN9p7GOG7" TargetMode="External"/><Relationship Id="rId90" Type="http://schemas.openxmlformats.org/officeDocument/2006/relationships/hyperlink" Target="https://drive.google.com/open?id=1szr2dihCtdagqzaH7k6-YT27kV8dOaP0" TargetMode="External"/><Relationship Id="rId93" Type="http://schemas.openxmlformats.org/officeDocument/2006/relationships/hyperlink" Target="https://drive.google.com/open?id=1j1Yj9zzvsRczeqntzOhNvf4xfvqPtE4H" TargetMode="External"/><Relationship Id="rId92" Type="http://schemas.openxmlformats.org/officeDocument/2006/relationships/hyperlink" Target="https://drive.google.com/open?id=1y1V0Mvo1RteLxXYvaLGLfMiOBt67vhgi" TargetMode="External"/><Relationship Id="rId118" Type="http://schemas.openxmlformats.org/officeDocument/2006/relationships/hyperlink" Target="https://drive.google.com/open?id=1ZT6U08CgNqVuO8F6qwneDIN3ytygYZiP" TargetMode="External"/><Relationship Id="rId239" Type="http://schemas.openxmlformats.org/officeDocument/2006/relationships/hyperlink" Target="https://drive.google.com/open?id=13nbJ9dOlE403FSetWOqhzgWyQdPagazW" TargetMode="External"/><Relationship Id="rId117" Type="http://schemas.openxmlformats.org/officeDocument/2006/relationships/hyperlink" Target="https://drive.google.com/open?id=1fGvST32DsvYwL3Lp5zg1nElSM05hQcMF" TargetMode="External"/><Relationship Id="rId238" Type="http://schemas.openxmlformats.org/officeDocument/2006/relationships/hyperlink" Target="https://drive.google.com/open?id=1Y8qVXpcDJbsYTtpozjJhs7X298TU0qpK" TargetMode="External"/><Relationship Id="rId359" Type="http://schemas.openxmlformats.org/officeDocument/2006/relationships/hyperlink" Target="https://drive.google.com/open?id=19nth9WsZiPfc1U4ZFtxyJUqSM4bw_Cxi" TargetMode="External"/><Relationship Id="rId116" Type="http://schemas.openxmlformats.org/officeDocument/2006/relationships/hyperlink" Target="https://drive.google.com/open?id=1iKxOsB0zyH0BqHyExsjdS_egL9CvFOuR" TargetMode="External"/><Relationship Id="rId237" Type="http://schemas.openxmlformats.org/officeDocument/2006/relationships/hyperlink" Target="https://drive.google.com/open?id=1dOSFR_s98HGJbnFBYYoCR6UaIDfeFF8Q" TargetMode="External"/><Relationship Id="rId358" Type="http://schemas.openxmlformats.org/officeDocument/2006/relationships/hyperlink" Target="https://drive.google.com/open?id=1wOSxW_pw6h4hdofo-Fwh-qFgMXdRx0H5" TargetMode="External"/><Relationship Id="rId479" Type="http://schemas.openxmlformats.org/officeDocument/2006/relationships/hyperlink" Target="https://drive.google.com/open?id=1d59q0ONDp1X0NfNLiAdiARQW_ew2VVl9" TargetMode="External"/><Relationship Id="rId115" Type="http://schemas.openxmlformats.org/officeDocument/2006/relationships/hyperlink" Target="https://drive.google.com/open?id=15dxGjzZcB9r8VP9klm8CYlZI2PgaF6Wm" TargetMode="External"/><Relationship Id="rId236" Type="http://schemas.openxmlformats.org/officeDocument/2006/relationships/hyperlink" Target="https://drive.google.com/open?id=1bDGEMyvfqX256fm2XiZFK7Pbz6O2HBWT" TargetMode="External"/><Relationship Id="rId357" Type="http://schemas.openxmlformats.org/officeDocument/2006/relationships/hyperlink" Target="https://drive.google.com/open?id=1zlv2WC7xIZRQ7P2WymxDtj36IndV-w9I" TargetMode="External"/><Relationship Id="rId478" Type="http://schemas.openxmlformats.org/officeDocument/2006/relationships/hyperlink" Target="https://drive.google.com/open?id=1t_ZHYcRozbKV--uQfyci2rVS2wZ-FZFN" TargetMode="External"/><Relationship Id="rId599" Type="http://schemas.openxmlformats.org/officeDocument/2006/relationships/hyperlink" Target="https://drive.google.com/open?id=1Iph2B_76aDmosoyjrxQ2Ne5QaisFE7NK" TargetMode="External"/><Relationship Id="rId119" Type="http://schemas.openxmlformats.org/officeDocument/2006/relationships/hyperlink" Target="https://drive.google.com/open?id=1e29dBZS0Pjjxxa9thjirs050HfCMpKEM" TargetMode="External"/><Relationship Id="rId110" Type="http://schemas.openxmlformats.org/officeDocument/2006/relationships/hyperlink" Target="https://drive.google.com/open?id=1wHkyVnXJrXZk-eTlrPhYA4kTJzkXFV7d" TargetMode="External"/><Relationship Id="rId231" Type="http://schemas.openxmlformats.org/officeDocument/2006/relationships/hyperlink" Target="https://drive.google.com/open?id=1kwX_mhFY-uSw5TuGki7ybqW-oSYcSAih" TargetMode="External"/><Relationship Id="rId352" Type="http://schemas.openxmlformats.org/officeDocument/2006/relationships/hyperlink" Target="https://drive.google.com/open?id=1gASoLiLaL_JZmosLVVwEC_bBnK1xemqJ" TargetMode="External"/><Relationship Id="rId473" Type="http://schemas.openxmlformats.org/officeDocument/2006/relationships/hyperlink" Target="https://drive.google.com/open?id=1yzlF4WdrkSi9NNL7gopUlHARnS3Qtxwr" TargetMode="External"/><Relationship Id="rId594" Type="http://schemas.openxmlformats.org/officeDocument/2006/relationships/hyperlink" Target="https://drive.google.com/open?id=1r-yxjAN2yLPlK3TYb7CuOtJA8RBrZ2wq" TargetMode="External"/><Relationship Id="rId230" Type="http://schemas.openxmlformats.org/officeDocument/2006/relationships/hyperlink" Target="https://drive.google.com/open?id=1Vfa7PB-nArMLWLDDxnNDt7IpkzWzFw5U" TargetMode="External"/><Relationship Id="rId351" Type="http://schemas.openxmlformats.org/officeDocument/2006/relationships/hyperlink" Target="https://drive.google.com/open?id=132W7iSanvviJXsA9VobNKVr-rZi8S_8L" TargetMode="External"/><Relationship Id="rId472" Type="http://schemas.openxmlformats.org/officeDocument/2006/relationships/hyperlink" Target="https://drive.google.com/open?id=1AoeUscuvKZKDUufMG3_zVqz-DqbprJ0b" TargetMode="External"/><Relationship Id="rId593" Type="http://schemas.openxmlformats.org/officeDocument/2006/relationships/hyperlink" Target="https://drive.google.com/open?id=1cyvfqxIWtMs9W-rmjqJUj6VQ3uhJoOJt" TargetMode="External"/><Relationship Id="rId350" Type="http://schemas.openxmlformats.org/officeDocument/2006/relationships/hyperlink" Target="https://drive.google.com/open?id=1Nx3-fd0V_P_KyHk_QJG_4JM3YZL2_Yd8" TargetMode="External"/><Relationship Id="rId471" Type="http://schemas.openxmlformats.org/officeDocument/2006/relationships/hyperlink" Target="https://drive.google.com/open?id=1rkFhpfWITJC5kYUSZn7s2yYGXg7v8FW1" TargetMode="External"/><Relationship Id="rId592" Type="http://schemas.openxmlformats.org/officeDocument/2006/relationships/hyperlink" Target="https://drive.google.com/open?id=1b-mqF_Awt4n0lQ-rcZ8G4blbGq76jPrh" TargetMode="External"/><Relationship Id="rId470" Type="http://schemas.openxmlformats.org/officeDocument/2006/relationships/hyperlink" Target="https://drive.google.com/open?id=1sCBoXQwZ0vcHYCaya_-XxzmRr1JtbrPb" TargetMode="External"/><Relationship Id="rId591" Type="http://schemas.openxmlformats.org/officeDocument/2006/relationships/hyperlink" Target="https://drive.google.com/open?id=1Vh09tpovMkOxx6vEExHP5Xyz1Hc8ru6F" TargetMode="External"/><Relationship Id="rId114" Type="http://schemas.openxmlformats.org/officeDocument/2006/relationships/hyperlink" Target="https://drive.google.com/open?id=1LaGwPzi5-D-lm8AOFYED1qyhgbt6Hjbt" TargetMode="External"/><Relationship Id="rId235" Type="http://schemas.openxmlformats.org/officeDocument/2006/relationships/hyperlink" Target="https://drive.google.com/open?id=1aD2CkrxeRxIqq6Br5WQ7Y04WZQc9GRqt" TargetMode="External"/><Relationship Id="rId356" Type="http://schemas.openxmlformats.org/officeDocument/2006/relationships/hyperlink" Target="https://drive.google.com/open?id=10PhmYcbHXw_oQQ-9q7CpVi7ydy46_yTY" TargetMode="External"/><Relationship Id="rId477" Type="http://schemas.openxmlformats.org/officeDocument/2006/relationships/hyperlink" Target="https://drive.google.com/open?id=1cS40c6It70MhqkSmx9ivXGMufuVhXO4q" TargetMode="External"/><Relationship Id="rId598" Type="http://schemas.openxmlformats.org/officeDocument/2006/relationships/hyperlink" Target="https://drive.google.com/open?id=1dedijyB4ggvpm8HjKIljIsor5CX3aRBw" TargetMode="External"/><Relationship Id="rId113" Type="http://schemas.openxmlformats.org/officeDocument/2006/relationships/hyperlink" Target="https://drive.google.com/open?id=1UKfbj5Kb_HqjByO-i-PXm1ZU-uyjgDJu" TargetMode="External"/><Relationship Id="rId234" Type="http://schemas.openxmlformats.org/officeDocument/2006/relationships/hyperlink" Target="https://drive.google.com/open?id=1SAkWulHl8ZVlwhdrMKKZSouw0Lwj746Y" TargetMode="External"/><Relationship Id="rId355" Type="http://schemas.openxmlformats.org/officeDocument/2006/relationships/hyperlink" Target="https://drive.google.com/open?id=1b_GAAJCmg6U9wBJYAoXRkXxDkqaVwhdc" TargetMode="External"/><Relationship Id="rId476" Type="http://schemas.openxmlformats.org/officeDocument/2006/relationships/hyperlink" Target="https://drive.google.com/open?id=1n7A_dO04g6UYterwf8rUnZQspD23lQB2" TargetMode="External"/><Relationship Id="rId597" Type="http://schemas.openxmlformats.org/officeDocument/2006/relationships/hyperlink" Target="https://drive.google.com/open?id=15r_KbLsWRkc-8KGJ6f4Vxm7cEtD68bQO" TargetMode="External"/><Relationship Id="rId112" Type="http://schemas.openxmlformats.org/officeDocument/2006/relationships/hyperlink" Target="https://drive.google.com/open?id=1mSI9ulEXd3pIqg7hEq4cLHwuasxlcYz2" TargetMode="External"/><Relationship Id="rId233" Type="http://schemas.openxmlformats.org/officeDocument/2006/relationships/hyperlink" Target="https://drive.google.com/open?id=1Dqcleap23tFiTkwGUV73aRe3Ko6Ei3Pz" TargetMode="External"/><Relationship Id="rId354" Type="http://schemas.openxmlformats.org/officeDocument/2006/relationships/hyperlink" Target="https://drive.google.com/open?id=1GAlpJFemc3SZY0Oy_2V1BGRRC3NAUDHp" TargetMode="External"/><Relationship Id="rId475" Type="http://schemas.openxmlformats.org/officeDocument/2006/relationships/hyperlink" Target="https://drive.google.com/open?id=1NO_wpExitJvmTQHbAm0c-ZQEtNOHIPzY" TargetMode="External"/><Relationship Id="rId596" Type="http://schemas.openxmlformats.org/officeDocument/2006/relationships/hyperlink" Target="https://drive.google.com/open?id=16NUrBo4Juftx1EmrQP1ewbX_fLuCyG3Y" TargetMode="External"/><Relationship Id="rId111" Type="http://schemas.openxmlformats.org/officeDocument/2006/relationships/hyperlink" Target="https://drive.google.com/open?id=1E7M_gZavWHDyLgqi76nYXBBvlpxQDavH" TargetMode="External"/><Relationship Id="rId232" Type="http://schemas.openxmlformats.org/officeDocument/2006/relationships/hyperlink" Target="https://drive.google.com/open?id=13Gc9ajcwcc_7gs5w5KR4y70UrsqnMDCV" TargetMode="External"/><Relationship Id="rId353" Type="http://schemas.openxmlformats.org/officeDocument/2006/relationships/hyperlink" Target="https://drive.google.com/open?id=1Bu8Z74Mi_J2wU4aSpGgREOX03ulTlmKl" TargetMode="External"/><Relationship Id="rId474" Type="http://schemas.openxmlformats.org/officeDocument/2006/relationships/hyperlink" Target="https://drive.google.com/open?id=1deNzwVr-pUo2usDeZ3ndbhZXuSaE51kv" TargetMode="External"/><Relationship Id="rId595" Type="http://schemas.openxmlformats.org/officeDocument/2006/relationships/hyperlink" Target="https://drive.google.com/open?id=1hIfE4irDVm_ySwgGLcggI8UMrPSz5ZFg" TargetMode="External"/><Relationship Id="rId305" Type="http://schemas.openxmlformats.org/officeDocument/2006/relationships/hyperlink" Target="https://drive.google.com/open?id=1wm7o3BVfU-ClJMYbOC2J3kcNrRxM10du" TargetMode="External"/><Relationship Id="rId426" Type="http://schemas.openxmlformats.org/officeDocument/2006/relationships/hyperlink" Target="https://drive.google.com/open?id=17do7vcQircom1m4lp76-BCdqhhaV-1eI" TargetMode="External"/><Relationship Id="rId547" Type="http://schemas.openxmlformats.org/officeDocument/2006/relationships/hyperlink" Target="https://drive.google.com/open?id=1ldocYmNkeHLbIh-KbsKCjIi8k5_sAcyZ" TargetMode="External"/><Relationship Id="rId668" Type="http://schemas.openxmlformats.org/officeDocument/2006/relationships/hyperlink" Target="https://drive.google.com/open?id=1WTp0Vf0EeUt75KgpbruvvRxwZOPT6tWD" TargetMode="External"/><Relationship Id="rId304" Type="http://schemas.openxmlformats.org/officeDocument/2006/relationships/hyperlink" Target="https://drive.google.com/open?id=1RQC2agN0axwl2U-8ZQg29KsZwb6uhsZH" TargetMode="External"/><Relationship Id="rId425" Type="http://schemas.openxmlformats.org/officeDocument/2006/relationships/hyperlink" Target="https://drive.google.com/open?id=1T5WJfVk1J1Ey1N_zvClr0ppXYL1_qbvk" TargetMode="External"/><Relationship Id="rId546" Type="http://schemas.openxmlformats.org/officeDocument/2006/relationships/hyperlink" Target="https://drive.google.com/open?id=1OKhCG9j39snmvB-sX0gsVv1oM5mdI3H3" TargetMode="External"/><Relationship Id="rId667" Type="http://schemas.openxmlformats.org/officeDocument/2006/relationships/hyperlink" Target="https://drive.google.com/open?id=1GF5aC7NIL011rNMA5g2oVK7Vcsf0x0Qx" TargetMode="External"/><Relationship Id="rId303" Type="http://schemas.openxmlformats.org/officeDocument/2006/relationships/hyperlink" Target="https://drive.google.com/open?id=1C7Y2PdjW4KVbWsO6qx65mczR5eFzvUEW" TargetMode="External"/><Relationship Id="rId424" Type="http://schemas.openxmlformats.org/officeDocument/2006/relationships/hyperlink" Target="https://drive.google.com/open?id=1vegGFTWYnOmj04wWDyge7W8nuSoJDn-8" TargetMode="External"/><Relationship Id="rId545" Type="http://schemas.openxmlformats.org/officeDocument/2006/relationships/hyperlink" Target="https://drive.google.com/open?id=1DbqfAFBicD4Xe-TWu6lUs1_JUIMPD7Sm" TargetMode="External"/><Relationship Id="rId666" Type="http://schemas.openxmlformats.org/officeDocument/2006/relationships/hyperlink" Target="https://drive.google.com/open?id=1HIRd9fyxS3q7aQiymZJJPV5BY-9uPFdc" TargetMode="External"/><Relationship Id="rId302" Type="http://schemas.openxmlformats.org/officeDocument/2006/relationships/hyperlink" Target="https://drive.google.com/open?id=1QYm2s5OwPPcUtecYCjMFcWLKBqt7xpOp" TargetMode="External"/><Relationship Id="rId423" Type="http://schemas.openxmlformats.org/officeDocument/2006/relationships/hyperlink" Target="https://drive.google.com/open?id=1MkTEZDC1fLveFcEyhSXYxaUjFtS2Ms5s" TargetMode="External"/><Relationship Id="rId544" Type="http://schemas.openxmlformats.org/officeDocument/2006/relationships/hyperlink" Target="https://drive.google.com/open?id=1VTX7Z07a8sZgugpsk1uLBgJweHM8ij-t" TargetMode="External"/><Relationship Id="rId665" Type="http://schemas.openxmlformats.org/officeDocument/2006/relationships/hyperlink" Target="https://drive.google.com/open?id=1zBou3OZEL-44mai9aIP1pM7Nbar38IKf" TargetMode="External"/><Relationship Id="rId309" Type="http://schemas.openxmlformats.org/officeDocument/2006/relationships/hyperlink" Target="https://drive.google.com/open?id=19_DmD4U2u-IeM0xi7K4SX3MXiLxO-fU0" TargetMode="External"/><Relationship Id="rId308" Type="http://schemas.openxmlformats.org/officeDocument/2006/relationships/hyperlink" Target="https://drive.google.com/open?id=1KOme3yR5uCQsXfSgw2YivDcao_ELT2BA" TargetMode="External"/><Relationship Id="rId429" Type="http://schemas.openxmlformats.org/officeDocument/2006/relationships/hyperlink" Target="https://drive.google.com/open?id=1GT2qEYVeg91riWd47T6fPB-fRwjNlbpf" TargetMode="External"/><Relationship Id="rId307" Type="http://schemas.openxmlformats.org/officeDocument/2006/relationships/hyperlink" Target="https://drive.google.com/open?id=1rZhevldzFjyQvp47r2bDyZNgolEznowc" TargetMode="External"/><Relationship Id="rId428" Type="http://schemas.openxmlformats.org/officeDocument/2006/relationships/hyperlink" Target="https://drive.google.com/open?id=1Oj94-msXI9sdPMCKIpBLWVaQo9Q2Wk2_" TargetMode="External"/><Relationship Id="rId549" Type="http://schemas.openxmlformats.org/officeDocument/2006/relationships/hyperlink" Target="https://drive.google.com/open?id=1R3MTaHjwRIGG-B6YwbPgj9r18H37ai9q" TargetMode="External"/><Relationship Id="rId306" Type="http://schemas.openxmlformats.org/officeDocument/2006/relationships/hyperlink" Target="https://drive.google.com/open?id=1PRyG4Wc9NQYnh6eUkXSikQ3jJ4Y0VEq0" TargetMode="External"/><Relationship Id="rId427" Type="http://schemas.openxmlformats.org/officeDocument/2006/relationships/hyperlink" Target="https://drive.google.com/open?id=1r0DCR3VKb2frtFLCqopc-Y2W6hYzaF8F" TargetMode="External"/><Relationship Id="rId548" Type="http://schemas.openxmlformats.org/officeDocument/2006/relationships/hyperlink" Target="https://drive.google.com/open?id=1g0M1FVyWrYALP23rQqEEZqCybeB2EfiH" TargetMode="External"/><Relationship Id="rId669" Type="http://schemas.openxmlformats.org/officeDocument/2006/relationships/hyperlink" Target="https://drive.google.com/open?id=1Xo6Dwi6hq6S6B52lo4Tqwnrqo7s1DKbT" TargetMode="External"/><Relationship Id="rId660" Type="http://schemas.openxmlformats.org/officeDocument/2006/relationships/hyperlink" Target="https://drive.google.com/open?id=1FBvcg3FdBbL7ByivtEOqFd2vyr-F2FU1" TargetMode="External"/><Relationship Id="rId301" Type="http://schemas.openxmlformats.org/officeDocument/2006/relationships/hyperlink" Target="https://drive.google.com/open?id=1FSUMEESk5_Tg-euqo6yHcrCxc2pv2SJG" TargetMode="External"/><Relationship Id="rId422" Type="http://schemas.openxmlformats.org/officeDocument/2006/relationships/hyperlink" Target="https://drive.google.com/open?id=1jIu_HhmKkHzdGZnKtedgnEx4nlmr9Id-" TargetMode="External"/><Relationship Id="rId543" Type="http://schemas.openxmlformats.org/officeDocument/2006/relationships/hyperlink" Target="https://drive.google.com/open?id=1p1yrjDMrXBEFOWQapIRU0g6zZ3PeDbtj" TargetMode="External"/><Relationship Id="rId664" Type="http://schemas.openxmlformats.org/officeDocument/2006/relationships/hyperlink" Target="https://drive.google.com/open?id=1U_79-5W2VC-jRgNC0i2pf7iI89muvp-X" TargetMode="External"/><Relationship Id="rId300" Type="http://schemas.openxmlformats.org/officeDocument/2006/relationships/hyperlink" Target="https://drive.google.com/open?id=1k53nzUuhqW5GL8Y4RztapDJa93Ep44SI" TargetMode="External"/><Relationship Id="rId421" Type="http://schemas.openxmlformats.org/officeDocument/2006/relationships/hyperlink" Target="https://drive.google.com/open?id=1KIvUNcFjk026I7c9pml-T96QmxiGnmpZ" TargetMode="External"/><Relationship Id="rId542" Type="http://schemas.openxmlformats.org/officeDocument/2006/relationships/hyperlink" Target="https://drive.google.com/open?id=1FHIPH-7KPjmiNyBMlwAxIGPMAWUp098V" TargetMode="External"/><Relationship Id="rId663" Type="http://schemas.openxmlformats.org/officeDocument/2006/relationships/hyperlink" Target="https://drive.google.com/open?id=1MuLpLKO--FceBb5xi4alLB8rtj5VW442" TargetMode="External"/><Relationship Id="rId420" Type="http://schemas.openxmlformats.org/officeDocument/2006/relationships/hyperlink" Target="https://drive.google.com/open?id=1FSkz-B7yFzOQcU-h2MF-o6_TPQvsu0ru" TargetMode="External"/><Relationship Id="rId541" Type="http://schemas.openxmlformats.org/officeDocument/2006/relationships/hyperlink" Target="https://drive.google.com/open?id=1b2yaeiXKveVIO97oVsCpHV8_V4pT6LJj" TargetMode="External"/><Relationship Id="rId662" Type="http://schemas.openxmlformats.org/officeDocument/2006/relationships/hyperlink" Target="https://drive.google.com/open?id=19h-D0IBarpU1FsaO-jZFf9IyxCZ04uzQ" TargetMode="External"/><Relationship Id="rId540" Type="http://schemas.openxmlformats.org/officeDocument/2006/relationships/hyperlink" Target="https://drive.google.com/open?id=1M5rL61pdMyjzmF5qJVJFBDBr-pyc9Ux5" TargetMode="External"/><Relationship Id="rId661" Type="http://schemas.openxmlformats.org/officeDocument/2006/relationships/hyperlink" Target="https://drive.google.com/open?id=1iLBBlOuG48Mmy4q1XiMFGp17UNko5e7e" TargetMode="External"/><Relationship Id="rId415" Type="http://schemas.openxmlformats.org/officeDocument/2006/relationships/hyperlink" Target="https://drive.google.com/open?id=1wfSISBjFy4Gai6n_ulp6mkE3TtP3yDRD" TargetMode="External"/><Relationship Id="rId536" Type="http://schemas.openxmlformats.org/officeDocument/2006/relationships/hyperlink" Target="https://drive.google.com/open?id=1qit6Y2hq-xWMqBXfYc8SdEnrwQ1HACUm" TargetMode="External"/><Relationship Id="rId657" Type="http://schemas.openxmlformats.org/officeDocument/2006/relationships/hyperlink" Target="https://drive.google.com/open?id=1fDYoZKSgi1gfrbAitAYuJKPlemWV5uvC" TargetMode="External"/><Relationship Id="rId414" Type="http://schemas.openxmlformats.org/officeDocument/2006/relationships/hyperlink" Target="https://drive.google.com/open?id=17N84PoAfGE3FrmlhmNQUKsSpSgQEiB9i" TargetMode="External"/><Relationship Id="rId535" Type="http://schemas.openxmlformats.org/officeDocument/2006/relationships/hyperlink" Target="https://drive.google.com/open?id=1hlSduVrggzVz40zKfAhArXQopFD8xL28" TargetMode="External"/><Relationship Id="rId656" Type="http://schemas.openxmlformats.org/officeDocument/2006/relationships/hyperlink" Target="https://drive.google.com/open?id=1sp0AE0GpPSkcBNvvyQOZTJSlrALhZlC3" TargetMode="External"/><Relationship Id="rId413" Type="http://schemas.openxmlformats.org/officeDocument/2006/relationships/hyperlink" Target="https://drive.google.com/open?id=1mIaryheChS53id2JYhbeMk27jbyxpNcY" TargetMode="External"/><Relationship Id="rId534" Type="http://schemas.openxmlformats.org/officeDocument/2006/relationships/hyperlink" Target="https://drive.google.com/open?id=1HOKf0H1fhLqS2f_D0dfsgzLpRe5Qetre" TargetMode="External"/><Relationship Id="rId655" Type="http://schemas.openxmlformats.org/officeDocument/2006/relationships/hyperlink" Target="https://drive.google.com/open?id=15YwXMgskpIr3La9JHe9hXVOgvz44Hp6t" TargetMode="External"/><Relationship Id="rId412" Type="http://schemas.openxmlformats.org/officeDocument/2006/relationships/hyperlink" Target="https://drive.google.com/open?id=1lyMX8E4r6HdEXCiYhmbPTJECVJb7MIpS" TargetMode="External"/><Relationship Id="rId533" Type="http://schemas.openxmlformats.org/officeDocument/2006/relationships/hyperlink" Target="https://drive.google.com/open?id=14OJTB02o6RQtMVa-ZbL8_b_7r6XLvt3I" TargetMode="External"/><Relationship Id="rId654" Type="http://schemas.openxmlformats.org/officeDocument/2006/relationships/hyperlink" Target="https://drive.google.com/open?id=1Tzj-ZCPsNJC1oJeYDWERVOEmCh8Sl5Nx" TargetMode="External"/><Relationship Id="rId419" Type="http://schemas.openxmlformats.org/officeDocument/2006/relationships/hyperlink" Target="https://drive.google.com/open?id=1G2nSrO_FL4xrGK9VoHuB-ecRqBWDLZkG" TargetMode="External"/><Relationship Id="rId418" Type="http://schemas.openxmlformats.org/officeDocument/2006/relationships/hyperlink" Target="https://drive.google.com/open?id=1k1J-POHEGIw1RmNtxCWubn60rAaR8Kgc" TargetMode="External"/><Relationship Id="rId539" Type="http://schemas.openxmlformats.org/officeDocument/2006/relationships/hyperlink" Target="https://drive.google.com/open?id=1--oHXeUqssgt_q0icka4PLVBEwvevvPu" TargetMode="External"/><Relationship Id="rId417" Type="http://schemas.openxmlformats.org/officeDocument/2006/relationships/hyperlink" Target="https://drive.google.com/open?id=1S_-p8pZRAl1-KPbJvLtgbg9-ATqL9uCi" TargetMode="External"/><Relationship Id="rId538" Type="http://schemas.openxmlformats.org/officeDocument/2006/relationships/hyperlink" Target="https://drive.google.com/open?id=1cMyUXm72wXGhMIpLuyuXrLsA8GDX1OQN" TargetMode="External"/><Relationship Id="rId659" Type="http://schemas.openxmlformats.org/officeDocument/2006/relationships/hyperlink" Target="https://drive.google.com/open?id=1h1086Lrx8zrEE7hG56fEkfwSdL9dPcJ0" TargetMode="External"/><Relationship Id="rId416" Type="http://schemas.openxmlformats.org/officeDocument/2006/relationships/hyperlink" Target="https://drive.google.com/open?id=1HJpmyyEThXnw_VUICsPsb2lBlB58mYsu" TargetMode="External"/><Relationship Id="rId537" Type="http://schemas.openxmlformats.org/officeDocument/2006/relationships/hyperlink" Target="https://drive.google.com/open?id=1Cktk61RQEOyNs_-9lnnRU-SPl3LnXXv5" TargetMode="External"/><Relationship Id="rId658" Type="http://schemas.openxmlformats.org/officeDocument/2006/relationships/hyperlink" Target="https://drive.google.com/open?id=1W6UUH2A27BP5w844n-uskOKG6ghkQnsB" TargetMode="External"/><Relationship Id="rId411" Type="http://schemas.openxmlformats.org/officeDocument/2006/relationships/hyperlink" Target="https://drive.google.com/open?id=1PNx-sU6F8azRNKnzXtrWz5qhzyhCAoO0" TargetMode="External"/><Relationship Id="rId532" Type="http://schemas.openxmlformats.org/officeDocument/2006/relationships/hyperlink" Target="https://drive.google.com/open?id=1Ff0iLpcTq0Gj35EIjks_4Oupe9GKwo7Y" TargetMode="External"/><Relationship Id="rId653" Type="http://schemas.openxmlformats.org/officeDocument/2006/relationships/hyperlink" Target="https://drive.google.com/open?id=1dl8Xk_uuyr5yNueJI5fChM74vlAIn528" TargetMode="External"/><Relationship Id="rId410" Type="http://schemas.openxmlformats.org/officeDocument/2006/relationships/hyperlink" Target="https://drive.google.com/open?id=1P5U5_hzofzmRYMqpuaGSDTtXCxn86Lsl" TargetMode="External"/><Relationship Id="rId531" Type="http://schemas.openxmlformats.org/officeDocument/2006/relationships/hyperlink" Target="https://drive.google.com/open?id=1ULR7IFCraEQnYahBz4ii465pTmrVvov9" TargetMode="External"/><Relationship Id="rId652" Type="http://schemas.openxmlformats.org/officeDocument/2006/relationships/hyperlink" Target="https://drive.google.com/open?id=1gB-wje593o-96EzkCXx425f-CgfYnYiO" TargetMode="External"/><Relationship Id="rId530" Type="http://schemas.openxmlformats.org/officeDocument/2006/relationships/hyperlink" Target="https://drive.google.com/open?id=1qx-Ysl6g9mb-lrLemLb3oPda3iWReujb" TargetMode="External"/><Relationship Id="rId651" Type="http://schemas.openxmlformats.org/officeDocument/2006/relationships/hyperlink" Target="https://drive.google.com/open?id=1sv59APXw8r2bO6YJDJhcK1XRyAzt406m" TargetMode="External"/><Relationship Id="rId650" Type="http://schemas.openxmlformats.org/officeDocument/2006/relationships/hyperlink" Target="https://drive.google.com/open?id=1jUYSm2LIChiOu_vpDcJRQz93LbabjMug" TargetMode="External"/><Relationship Id="rId206" Type="http://schemas.openxmlformats.org/officeDocument/2006/relationships/hyperlink" Target="https://drive.google.com/open?id=1IHWr9TGm5AFZDqgB77J832HZdpWaPnoN" TargetMode="External"/><Relationship Id="rId327" Type="http://schemas.openxmlformats.org/officeDocument/2006/relationships/hyperlink" Target="https://drive.google.com/open?id=1MywTIscLLfRoucolDBzCSJQAibcnlEBM" TargetMode="External"/><Relationship Id="rId448" Type="http://schemas.openxmlformats.org/officeDocument/2006/relationships/hyperlink" Target="https://drive.google.com/open?id=18GbTSWGtmgfNTADsV0aCbSbFG79xX6Hx" TargetMode="External"/><Relationship Id="rId569" Type="http://schemas.openxmlformats.org/officeDocument/2006/relationships/hyperlink" Target="https://drive.google.com/open?id=1D9ld18mvrmCxzJGmiH0EEvAPg1DAIOZl" TargetMode="External"/><Relationship Id="rId205" Type="http://schemas.openxmlformats.org/officeDocument/2006/relationships/hyperlink" Target="https://drive.google.com/open?id=1ecnjngHSOgM6AT2lpjz0qg0D4E8TmE4w" TargetMode="External"/><Relationship Id="rId326" Type="http://schemas.openxmlformats.org/officeDocument/2006/relationships/hyperlink" Target="https://drive.google.com/open?id=1lcRWGcjUHXuvoCm04rwTjpYInvzdg-p1" TargetMode="External"/><Relationship Id="rId447" Type="http://schemas.openxmlformats.org/officeDocument/2006/relationships/hyperlink" Target="https://drive.google.com/open?id=1L6PGtpMz1thJxBLHOnQh5--TPplxZKhO" TargetMode="External"/><Relationship Id="rId568" Type="http://schemas.openxmlformats.org/officeDocument/2006/relationships/hyperlink" Target="https://drive.google.com/open?id=1O5CMlSkz28nOSBkkoTS--KAfi2ousZ9a" TargetMode="External"/><Relationship Id="rId689" Type="http://schemas.openxmlformats.org/officeDocument/2006/relationships/hyperlink" Target="https://drive.google.com/open?id=1kDUm9S-i4GnGrylK99MNygV6h7JvKpJI" TargetMode="External"/><Relationship Id="rId204" Type="http://schemas.openxmlformats.org/officeDocument/2006/relationships/hyperlink" Target="https://drive.google.com/open?id=1IHCmUi4dikzgdY8CjN1VEsn4z9hJqYBU" TargetMode="External"/><Relationship Id="rId325" Type="http://schemas.openxmlformats.org/officeDocument/2006/relationships/hyperlink" Target="https://drive.google.com/open?id=1Pxj_4ivcpo47MCMuPk_lAZqlRmWE6UxC" TargetMode="External"/><Relationship Id="rId446" Type="http://schemas.openxmlformats.org/officeDocument/2006/relationships/hyperlink" Target="https://drive.google.com/open?id=1HooKzPQGsQotIvT3RDnrpkPfJXBxXrQ2" TargetMode="External"/><Relationship Id="rId567" Type="http://schemas.openxmlformats.org/officeDocument/2006/relationships/hyperlink" Target="https://drive.google.com/open?id=1ExSCO0mgpeW1ZMtDQJXkHdubTQ7mSUtP" TargetMode="External"/><Relationship Id="rId688" Type="http://schemas.openxmlformats.org/officeDocument/2006/relationships/hyperlink" Target="https://drive.google.com/open?id=1DkCvGBn7gQ72kfU_z05ORMwEIyCmwIW7" TargetMode="External"/><Relationship Id="rId203" Type="http://schemas.openxmlformats.org/officeDocument/2006/relationships/hyperlink" Target="https://drive.google.com/open?id=1HfIyFJNJRKbedcWrN7SEf6XHtnW61X1n" TargetMode="External"/><Relationship Id="rId324" Type="http://schemas.openxmlformats.org/officeDocument/2006/relationships/hyperlink" Target="https://drive.google.com/open?id=1TS1Gfq9BuSImGiBOtwJpTM2NlrAclQV0" TargetMode="External"/><Relationship Id="rId445" Type="http://schemas.openxmlformats.org/officeDocument/2006/relationships/hyperlink" Target="https://drive.google.com/open?id=1SLoUM-p_QKlCJIYFL1Do_1-z6sFaF6ke" TargetMode="External"/><Relationship Id="rId566" Type="http://schemas.openxmlformats.org/officeDocument/2006/relationships/hyperlink" Target="https://drive.google.com/open?id=1y8mVHBANxxT-bZc1BmIEeL6TePj5EeSW" TargetMode="External"/><Relationship Id="rId687" Type="http://schemas.openxmlformats.org/officeDocument/2006/relationships/hyperlink" Target="https://drive.google.com/open?id=1D6sCI7Q-72I3XP2JzA140LMHOr_W7Ito" TargetMode="External"/><Relationship Id="rId209" Type="http://schemas.openxmlformats.org/officeDocument/2006/relationships/hyperlink" Target="https://drive.google.com/open?id=1_05uwxzLnqToqO92JM-lVoQEGmd2zIjC" TargetMode="External"/><Relationship Id="rId208" Type="http://schemas.openxmlformats.org/officeDocument/2006/relationships/hyperlink" Target="https://drive.google.com/open?id=1m6Vo56JpXzaqPGeOj8vuVfeEu4L5NkYX" TargetMode="External"/><Relationship Id="rId329" Type="http://schemas.openxmlformats.org/officeDocument/2006/relationships/hyperlink" Target="https://drive.google.com/open?id=13Q2fMsYq_9-Z8vlGIe3f6ro_0ibwhY6S" TargetMode="External"/><Relationship Id="rId207" Type="http://schemas.openxmlformats.org/officeDocument/2006/relationships/hyperlink" Target="https://drive.google.com/open?id=1Ef85UVFU_hgbq9dRUzObwH-h_nSFyoGm" TargetMode="External"/><Relationship Id="rId328" Type="http://schemas.openxmlformats.org/officeDocument/2006/relationships/hyperlink" Target="https://drive.google.com/open?id=1sZvcMfpnGswgIX96DO4S-mcAUIv7sQCY" TargetMode="External"/><Relationship Id="rId449" Type="http://schemas.openxmlformats.org/officeDocument/2006/relationships/hyperlink" Target="https://drive.google.com/open?id=1kIB4_SrrTzInOPuwyK0g1vMYsnfNZ8kc" TargetMode="External"/><Relationship Id="rId440" Type="http://schemas.openxmlformats.org/officeDocument/2006/relationships/hyperlink" Target="https://drive.google.com/open?id=1Cp9zT5q6YIFV3FVL0Rit2xyIZMvGG6ms" TargetMode="External"/><Relationship Id="rId561" Type="http://schemas.openxmlformats.org/officeDocument/2006/relationships/hyperlink" Target="https://drive.google.com/open?id=1m5eRdt59EW5fYAcKkT4cZSlloTZTOmgn" TargetMode="External"/><Relationship Id="rId682" Type="http://schemas.openxmlformats.org/officeDocument/2006/relationships/hyperlink" Target="https://drive.google.com/open?id=1DeoDRir1G7DrwS6fJKgT3mm2DDPMO30P" TargetMode="External"/><Relationship Id="rId560" Type="http://schemas.openxmlformats.org/officeDocument/2006/relationships/hyperlink" Target="https://drive.google.com/open?id=1B4ziHrvK2KGg15TA4q_jl_1w1XZuVo6f" TargetMode="External"/><Relationship Id="rId681" Type="http://schemas.openxmlformats.org/officeDocument/2006/relationships/hyperlink" Target="https://drive.google.com/open?id=13mlGY4QRskuOHf_yFkpaWCIv2VgswJw-" TargetMode="External"/><Relationship Id="rId680" Type="http://schemas.openxmlformats.org/officeDocument/2006/relationships/hyperlink" Target="https://drive.google.com/open?id=1NBgAotpZwq94aKeJcNOe7TD_4rFllX0f" TargetMode="External"/><Relationship Id="rId202" Type="http://schemas.openxmlformats.org/officeDocument/2006/relationships/hyperlink" Target="https://drive.google.com/open?id=1wB0O6Dm47SOvegHa2orKtywbQ6_q2EaN" TargetMode="External"/><Relationship Id="rId323" Type="http://schemas.openxmlformats.org/officeDocument/2006/relationships/hyperlink" Target="https://drive.google.com/open?id=1oN5n0Dlnm4gWcVfscGTufUMPv6BrqPvR" TargetMode="External"/><Relationship Id="rId444" Type="http://schemas.openxmlformats.org/officeDocument/2006/relationships/hyperlink" Target="https://drive.google.com/open?id=1K65EDHfHongWQ2u4NoYVJOfVrpjp8y-z" TargetMode="External"/><Relationship Id="rId565" Type="http://schemas.openxmlformats.org/officeDocument/2006/relationships/hyperlink" Target="https://drive.google.com/open?id=18llqDLQHpMIK9Bfsac8Qu8S2TaVnqNJX" TargetMode="External"/><Relationship Id="rId686" Type="http://schemas.openxmlformats.org/officeDocument/2006/relationships/hyperlink" Target="https://drive.google.com/open?id=1wFvJYR34MdHLDBHp5vrtLom2MGMssuO8" TargetMode="External"/><Relationship Id="rId201" Type="http://schemas.openxmlformats.org/officeDocument/2006/relationships/hyperlink" Target="https://drive.google.com/open?id=10-DU8X4J7huIh96vQttEKUopDdcaxKBh" TargetMode="External"/><Relationship Id="rId322" Type="http://schemas.openxmlformats.org/officeDocument/2006/relationships/hyperlink" Target="https://drive.google.com/open?id=1HdUSFtIOhS_8ZOBnCS68nIlwkZLyl2oK" TargetMode="External"/><Relationship Id="rId443" Type="http://schemas.openxmlformats.org/officeDocument/2006/relationships/hyperlink" Target="https://drive.google.com/open?id=17HQhqdLRySncOXcbKY-TpZBpqoOCccW9" TargetMode="External"/><Relationship Id="rId564" Type="http://schemas.openxmlformats.org/officeDocument/2006/relationships/hyperlink" Target="https://drive.google.com/open?id=1vIBhP4yzHQCKH1D3NT2Q99AJg6aGHUx5" TargetMode="External"/><Relationship Id="rId685" Type="http://schemas.openxmlformats.org/officeDocument/2006/relationships/hyperlink" Target="https://drive.google.com/open?id=1MjAS9cZY3g-wt7PSU6adNKx_iNfboPvO" TargetMode="External"/><Relationship Id="rId200" Type="http://schemas.openxmlformats.org/officeDocument/2006/relationships/hyperlink" Target="https://drive.google.com/open?id=1hmcsPUwahljuz1xWdFloXOMhFE680hZ6" TargetMode="External"/><Relationship Id="rId321" Type="http://schemas.openxmlformats.org/officeDocument/2006/relationships/hyperlink" Target="https://drive.google.com/open?id=1qk_im3BM9G3gK13-FIg4QQtmdub7GAri" TargetMode="External"/><Relationship Id="rId442" Type="http://schemas.openxmlformats.org/officeDocument/2006/relationships/hyperlink" Target="https://drive.google.com/open?id=19r3jnkEj5CFULIBly6jQibDNcFjlREdx" TargetMode="External"/><Relationship Id="rId563" Type="http://schemas.openxmlformats.org/officeDocument/2006/relationships/hyperlink" Target="https://drive.google.com/open?id=17u7XvFjVyRRYX3pIUK324S5leTmDf5ZX" TargetMode="External"/><Relationship Id="rId684" Type="http://schemas.openxmlformats.org/officeDocument/2006/relationships/hyperlink" Target="https://drive.google.com/open?id=1oG-R6p5G45D2bMXgGKhk_euRoGu7bQw2" TargetMode="External"/><Relationship Id="rId320" Type="http://schemas.openxmlformats.org/officeDocument/2006/relationships/hyperlink" Target="https://drive.google.com/open?id=1Zh1ifoYaoaJB02OVezWey0wCtqLC4rew" TargetMode="External"/><Relationship Id="rId441" Type="http://schemas.openxmlformats.org/officeDocument/2006/relationships/hyperlink" Target="https://drive.google.com/open?id=12vNwkWAcZQXXO-BJPEMXvblMl3SYcQ6r" TargetMode="External"/><Relationship Id="rId562" Type="http://schemas.openxmlformats.org/officeDocument/2006/relationships/hyperlink" Target="https://drive.google.com/open?id=1PX53kKPRiL3JL4BfdpelykmUUSUVGL4F" TargetMode="External"/><Relationship Id="rId683" Type="http://schemas.openxmlformats.org/officeDocument/2006/relationships/hyperlink" Target="https://drive.google.com/open?id=1h9fQA242Konw-MCBa4AcngEakRjZr85h" TargetMode="External"/><Relationship Id="rId316" Type="http://schemas.openxmlformats.org/officeDocument/2006/relationships/hyperlink" Target="https://drive.google.com/open?id=1hat16DZmgRLCrF62cMet59raF0gTb4He" TargetMode="External"/><Relationship Id="rId437" Type="http://schemas.openxmlformats.org/officeDocument/2006/relationships/hyperlink" Target="https://drive.google.com/open?id=1cMaBELcj5ccGBjwEx2hy4C2p1dUJo3wR" TargetMode="External"/><Relationship Id="rId558" Type="http://schemas.openxmlformats.org/officeDocument/2006/relationships/hyperlink" Target="https://drive.google.com/open?id=1x5lWCNg_VMxb-0Um4_f5lI_ViB2YoJtL" TargetMode="External"/><Relationship Id="rId679" Type="http://schemas.openxmlformats.org/officeDocument/2006/relationships/hyperlink" Target="https://drive.google.com/open?id=1f704zCRG7xEtvPmDsX-CX-0-C1W00Rp2" TargetMode="External"/><Relationship Id="rId315" Type="http://schemas.openxmlformats.org/officeDocument/2006/relationships/hyperlink" Target="https://drive.google.com/open?id=1NbIMXU5C3DiiXHwS1rkfoODKbegUNFBB" TargetMode="External"/><Relationship Id="rId436" Type="http://schemas.openxmlformats.org/officeDocument/2006/relationships/hyperlink" Target="https://drive.google.com/open?id=1giHBrb6hQtGzxA7NujhuNV4sosqtaUm_" TargetMode="External"/><Relationship Id="rId557" Type="http://schemas.openxmlformats.org/officeDocument/2006/relationships/hyperlink" Target="https://drive.google.com/open?id=1Ksi8ZlaUQCxBdmMHVChFnMy9eym-wDh-" TargetMode="External"/><Relationship Id="rId678" Type="http://schemas.openxmlformats.org/officeDocument/2006/relationships/hyperlink" Target="https://drive.google.com/open?id=1g-F65O6vgYZlNYniAvf5PXHi_2_QnYJe" TargetMode="External"/><Relationship Id="rId314" Type="http://schemas.openxmlformats.org/officeDocument/2006/relationships/hyperlink" Target="https://drive.google.com/open?id=12Qs39Yr8qNTH-8vVJFDOCmd8s8lRElRE" TargetMode="External"/><Relationship Id="rId435" Type="http://schemas.openxmlformats.org/officeDocument/2006/relationships/hyperlink" Target="https://drive.google.com/open?id=18ucTjPmmPNeW3Z8xwgSM2zIVY1Dy47Dp" TargetMode="External"/><Relationship Id="rId556" Type="http://schemas.openxmlformats.org/officeDocument/2006/relationships/hyperlink" Target="https://drive.google.com/open?id=14sDAYZhNe296F8jQNuUS3i59enYCmFa0" TargetMode="External"/><Relationship Id="rId677" Type="http://schemas.openxmlformats.org/officeDocument/2006/relationships/hyperlink" Target="https://drive.google.com/open?id=1rqAB2ZhtZ4aCnVupT6t9ozY-KkGhOaiE" TargetMode="External"/><Relationship Id="rId313" Type="http://schemas.openxmlformats.org/officeDocument/2006/relationships/hyperlink" Target="https://drive.google.com/open?id=1W2w6lSl_FgQlAzARNOevH-wrCH29C5oy" TargetMode="External"/><Relationship Id="rId434" Type="http://schemas.openxmlformats.org/officeDocument/2006/relationships/hyperlink" Target="https://drive.google.com/open?id=19iH7tqPUC-7YrD5IZvOJ_8FoSHaureTX" TargetMode="External"/><Relationship Id="rId555" Type="http://schemas.openxmlformats.org/officeDocument/2006/relationships/hyperlink" Target="https://drive.google.com/open?id=1nBjogG3j3AOSp5g0vO63y93Ms1flOc_0" TargetMode="External"/><Relationship Id="rId676" Type="http://schemas.openxmlformats.org/officeDocument/2006/relationships/hyperlink" Target="https://drive.google.com/open?id=1hTXH5H-unA8vn47Stk_QIiMbqr4-i0UB" TargetMode="External"/><Relationship Id="rId319" Type="http://schemas.openxmlformats.org/officeDocument/2006/relationships/hyperlink" Target="https://drive.google.com/open?id=1uFuH7uiNLlcvEYVLciYGrrj7jIGtrKwS" TargetMode="External"/><Relationship Id="rId318" Type="http://schemas.openxmlformats.org/officeDocument/2006/relationships/hyperlink" Target="https://drive.google.com/open?id=1DkOygTThuvhxyiFrNeuSTSt60gDYjU5K" TargetMode="External"/><Relationship Id="rId439" Type="http://schemas.openxmlformats.org/officeDocument/2006/relationships/hyperlink" Target="https://drive.google.com/open?id=1PLHOXHLSBUEfprBtdsHzDef3E4m2vMu_" TargetMode="External"/><Relationship Id="rId317" Type="http://schemas.openxmlformats.org/officeDocument/2006/relationships/hyperlink" Target="https://drive.google.com/open?id=1bQbLt9VmDVpvAa5SagSN0idyEl-fj6vf" TargetMode="External"/><Relationship Id="rId438" Type="http://schemas.openxmlformats.org/officeDocument/2006/relationships/hyperlink" Target="https://drive.google.com/open?id=1Jz4DE6b1Hg5bosKbgVy585FghQNTCnkJ" TargetMode="External"/><Relationship Id="rId559" Type="http://schemas.openxmlformats.org/officeDocument/2006/relationships/hyperlink" Target="https://drive.google.com/open?id=1X3Q5OuCRVJEToo_SiA2damhbb7yy8-Or" TargetMode="External"/><Relationship Id="rId550" Type="http://schemas.openxmlformats.org/officeDocument/2006/relationships/hyperlink" Target="https://drive.google.com/open?id=1OfSxpqyDV4FRUUfAhp6BizRmNUzxUig1" TargetMode="External"/><Relationship Id="rId671" Type="http://schemas.openxmlformats.org/officeDocument/2006/relationships/hyperlink" Target="https://drive.google.com/open?id=1vjYsnms-AI85RzggPujJSExdlVW4R2nK" TargetMode="External"/><Relationship Id="rId670" Type="http://schemas.openxmlformats.org/officeDocument/2006/relationships/hyperlink" Target="https://drive.google.com/open?id=18ugYFGSGvza8aDNEr2A8a019Io7BNkXJ" TargetMode="External"/><Relationship Id="rId312" Type="http://schemas.openxmlformats.org/officeDocument/2006/relationships/hyperlink" Target="https://drive.google.com/open?id=1AHAhtolwzQW_hnxbdG3hwAkYiUOFgHdc" TargetMode="External"/><Relationship Id="rId433" Type="http://schemas.openxmlformats.org/officeDocument/2006/relationships/hyperlink" Target="https://drive.google.com/open?id=1_Qg9O69pmT2ZoBx89e69_EJQPi9G19mW" TargetMode="External"/><Relationship Id="rId554" Type="http://schemas.openxmlformats.org/officeDocument/2006/relationships/hyperlink" Target="https://drive.google.com/open?id=1le-H1m-B2-acZPhdinWyRVBrpf7ueQu-" TargetMode="External"/><Relationship Id="rId675" Type="http://schemas.openxmlformats.org/officeDocument/2006/relationships/hyperlink" Target="https://drive.google.com/open?id=1inTsDaUX-daxs-pERa4eoMN3Su-lalD3" TargetMode="External"/><Relationship Id="rId311" Type="http://schemas.openxmlformats.org/officeDocument/2006/relationships/hyperlink" Target="https://drive.google.com/open?id=15z5edUlo6czl98cU6BBu7AnQi2641ps-" TargetMode="External"/><Relationship Id="rId432" Type="http://schemas.openxmlformats.org/officeDocument/2006/relationships/hyperlink" Target="https://drive.google.com/open?id=1nOuuUvEqrvnEY8MOx9mdVB-TGppppB2S" TargetMode="External"/><Relationship Id="rId553" Type="http://schemas.openxmlformats.org/officeDocument/2006/relationships/hyperlink" Target="https://drive.google.com/open?id=1RcYZ-B6WczS23YVWYhE_IafgSS2VJKad" TargetMode="External"/><Relationship Id="rId674" Type="http://schemas.openxmlformats.org/officeDocument/2006/relationships/hyperlink" Target="https://drive.google.com/open?id=1HjIG0N2GtKakxD08YW1GAk3OmYR--Kza" TargetMode="External"/><Relationship Id="rId310" Type="http://schemas.openxmlformats.org/officeDocument/2006/relationships/hyperlink" Target="https://drive.google.com/open?id=1DpRcg5nA-M5zzGxJH9j-YAaFlRXRp7_B" TargetMode="External"/><Relationship Id="rId431" Type="http://schemas.openxmlformats.org/officeDocument/2006/relationships/hyperlink" Target="https://drive.google.com/open?id=1Tx1POpn71HSv5FTWMr4V2EiqvpfQvX4H" TargetMode="External"/><Relationship Id="rId552" Type="http://schemas.openxmlformats.org/officeDocument/2006/relationships/hyperlink" Target="https://drive.google.com/open?id=1FkKPttOzy3G8_6qnMdpe8WzMzHbPRpyM" TargetMode="External"/><Relationship Id="rId673" Type="http://schemas.openxmlformats.org/officeDocument/2006/relationships/hyperlink" Target="https://drive.google.com/open?id=15u7CHqNDdptwv4zcofwczXAcy9DWBlTS" TargetMode="External"/><Relationship Id="rId430" Type="http://schemas.openxmlformats.org/officeDocument/2006/relationships/hyperlink" Target="https://drive.google.com/open?id=1h8RiZltvO2t029yfsIKNEoTezjmXKApu" TargetMode="External"/><Relationship Id="rId551" Type="http://schemas.openxmlformats.org/officeDocument/2006/relationships/hyperlink" Target="https://drive.google.com/open?id=1qyBbJmmLGWjWPAVo5w-nCRDIIHcLnkKD" TargetMode="External"/><Relationship Id="rId672" Type="http://schemas.openxmlformats.org/officeDocument/2006/relationships/hyperlink" Target="https://drive.google.com/open?id=1ZwxXnlfWL2rwQ7Cvq0I_d8NM2QRbKmGR" TargetMode="Externa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eYgL477pwb-e0uNEEWNFqud89SHSmgOO" TargetMode="External"/><Relationship Id="rId194" Type="http://schemas.openxmlformats.org/officeDocument/2006/relationships/hyperlink" Target="https://drive.google.com/open?id=1RD55qdZnn_VdSfmE1_6-a5H9rg-UDxge" TargetMode="External"/><Relationship Id="rId193" Type="http://schemas.openxmlformats.org/officeDocument/2006/relationships/hyperlink" Target="https://drive.google.com/open?id=1Ou3_-wIkcHjhAzzKFA3MzPEPOwq6IGlU" TargetMode="External"/><Relationship Id="rId192" Type="http://schemas.openxmlformats.org/officeDocument/2006/relationships/hyperlink" Target="https://drive.google.com/open?id=1CVeFZ3m9ER3r4QxYdYetYyBndVn4isNX" TargetMode="External"/><Relationship Id="rId191" Type="http://schemas.openxmlformats.org/officeDocument/2006/relationships/hyperlink" Target="https://drive.google.com/open?id=1b9OYpg0wLKvZjPVYO6Ewa7q9M75Tgorf" TargetMode="External"/><Relationship Id="rId187" Type="http://schemas.openxmlformats.org/officeDocument/2006/relationships/hyperlink" Target="https://drive.google.com/open?id=1eoEUfbWpdCMnEa_uaC1Q_Hu-40d-Eh9E" TargetMode="External"/><Relationship Id="rId186" Type="http://schemas.openxmlformats.org/officeDocument/2006/relationships/hyperlink" Target="https://drive.google.com/open?id=1B5ONcPJ8xOuQqBfX8hPTX5r5TqwTM1e8" TargetMode="External"/><Relationship Id="rId185" Type="http://schemas.openxmlformats.org/officeDocument/2006/relationships/hyperlink" Target="https://drive.google.com/open?id=1zeF1qYgWVY81xX7_Ed1IQuTXHd8AKJtc" TargetMode="External"/><Relationship Id="rId184" Type="http://schemas.openxmlformats.org/officeDocument/2006/relationships/hyperlink" Target="https://drive.google.com/open?id=1TKHwMAFziT6rnyXomRczl1bX8wt6yvM4" TargetMode="External"/><Relationship Id="rId189" Type="http://schemas.openxmlformats.org/officeDocument/2006/relationships/hyperlink" Target="https://drive.google.com/open?id=1XPMJBrRA-2gHG8sMOcOKcggcm61zPVk_" TargetMode="External"/><Relationship Id="rId188" Type="http://schemas.openxmlformats.org/officeDocument/2006/relationships/hyperlink" Target="https://drive.google.com/open?id=1cLxzKQvYayWmwRpy45wDkl4XU_OGxGBD" TargetMode="External"/><Relationship Id="rId183" Type="http://schemas.openxmlformats.org/officeDocument/2006/relationships/hyperlink" Target="https://drive.google.com/open?id=1mwe2oHrWeuatDBIrYRQqNT69SXxcgvwo" TargetMode="External"/><Relationship Id="rId182" Type="http://schemas.openxmlformats.org/officeDocument/2006/relationships/hyperlink" Target="https://drive.google.com/open?id=1jkPOi5-2Y-KQmHSGQF4PQnUM5azKRVWX" TargetMode="External"/><Relationship Id="rId181" Type="http://schemas.openxmlformats.org/officeDocument/2006/relationships/hyperlink" Target="https://drive.google.com/open?id=1qULBGFKn2ZKzzMOHRss1gCG-hv7D6npx" TargetMode="External"/><Relationship Id="rId180" Type="http://schemas.openxmlformats.org/officeDocument/2006/relationships/hyperlink" Target="https://drive.google.com/open?id=13zumJYft_sii7BDHbN8HfzdoHM7nVhLG" TargetMode="External"/><Relationship Id="rId176" Type="http://schemas.openxmlformats.org/officeDocument/2006/relationships/hyperlink" Target="https://drive.google.com/open?id=1tVlG7H2vq7BmGbgYQeiHGB3uQg1HTxdR" TargetMode="External"/><Relationship Id="rId297" Type="http://schemas.openxmlformats.org/officeDocument/2006/relationships/hyperlink" Target="https://drive.google.com/open?id=1avi1M4640J34kTZynkgyuq-xu6x-ekfH" TargetMode="External"/><Relationship Id="rId175" Type="http://schemas.openxmlformats.org/officeDocument/2006/relationships/hyperlink" Target="https://drive.google.com/open?id=1UgZBBkFQ7KcJICfMIPrpRK4fJKf-2Po0" TargetMode="External"/><Relationship Id="rId296" Type="http://schemas.openxmlformats.org/officeDocument/2006/relationships/hyperlink" Target="https://drive.google.com/open?id=1BqjMBibm9tmi8C2_MvRakArbIVs28q3D" TargetMode="External"/><Relationship Id="rId174" Type="http://schemas.openxmlformats.org/officeDocument/2006/relationships/hyperlink" Target="https://drive.google.com/open?id=17PXWcbKFFgXEQ_DD_ZXBvtGvIqmJXJzS" TargetMode="External"/><Relationship Id="rId295" Type="http://schemas.openxmlformats.org/officeDocument/2006/relationships/hyperlink" Target="https://drive.google.com/open?id=1KmHrnj7I9b3TD59rYswgHM4TKFJh6Gek" TargetMode="External"/><Relationship Id="rId173" Type="http://schemas.openxmlformats.org/officeDocument/2006/relationships/hyperlink" Target="https://drive.google.com/open?id=1IeZAVsP8lZvFm8MU1Lrijp7KvVE9H2EH" TargetMode="External"/><Relationship Id="rId294" Type="http://schemas.openxmlformats.org/officeDocument/2006/relationships/hyperlink" Target="https://drive.google.com/open?id=1KrEwxQ95QuHpdWVSEpocz_BWfMro_k3R" TargetMode="External"/><Relationship Id="rId179" Type="http://schemas.openxmlformats.org/officeDocument/2006/relationships/hyperlink" Target="https://drive.google.com/open?id=14yDN5FVzxEEtEiU_55DpfS__fVTALSKt" TargetMode="External"/><Relationship Id="rId178" Type="http://schemas.openxmlformats.org/officeDocument/2006/relationships/hyperlink" Target="https://drive.google.com/open?id=1vpD9ragZoXJwBU0MRXYBgT1MsnupWlAZ" TargetMode="External"/><Relationship Id="rId299" Type="http://schemas.openxmlformats.org/officeDocument/2006/relationships/hyperlink" Target="https://drive.google.com/open?id=1psmgz0hsL7nGU4GGROrzjP5cA2k5Fm3O" TargetMode="External"/><Relationship Id="rId177" Type="http://schemas.openxmlformats.org/officeDocument/2006/relationships/hyperlink" Target="https://drive.google.com/open?id=11j8Yh2AUJ25PUCaG1EpfNY3DYO3H78gC" TargetMode="External"/><Relationship Id="rId298" Type="http://schemas.openxmlformats.org/officeDocument/2006/relationships/hyperlink" Target="https://drive.google.com/open?id=14RKPCpHMBRVa16kNTgCU6S3ojf8EdSbf" TargetMode="External"/><Relationship Id="rId198" Type="http://schemas.openxmlformats.org/officeDocument/2006/relationships/hyperlink" Target="https://drive.google.com/open?id=1fhupZ7ydw9ild31LYwMCEX8E1HQEKOMD" TargetMode="External"/><Relationship Id="rId197" Type="http://schemas.openxmlformats.org/officeDocument/2006/relationships/hyperlink" Target="https://drive.google.com/open?id=1mxSSy4p1QEU8MyG9LjtHoIw5W3BNR2fd" TargetMode="External"/><Relationship Id="rId196" Type="http://schemas.openxmlformats.org/officeDocument/2006/relationships/hyperlink" Target="https://drive.google.com/open?id=1olC1C-tWMeDcbTk0KQtqJ7pJsUC84Hd2" TargetMode="External"/><Relationship Id="rId195" Type="http://schemas.openxmlformats.org/officeDocument/2006/relationships/hyperlink" Target="https://drive.google.com/open?id=1O5AgXxxgWYyPnjcc8zwFLyEbeNI9aKbd" TargetMode="External"/><Relationship Id="rId199" Type="http://schemas.openxmlformats.org/officeDocument/2006/relationships/hyperlink" Target="https://drive.google.com/open?id=1ZIWMnAjon8LBgjNi60jub1YAfXswaL26" TargetMode="External"/><Relationship Id="rId150" Type="http://schemas.openxmlformats.org/officeDocument/2006/relationships/hyperlink" Target="https://drive.google.com/open?id=16PzzY92p2SDBeWLKu6kQfF2kVivKasKf" TargetMode="External"/><Relationship Id="rId271" Type="http://schemas.openxmlformats.org/officeDocument/2006/relationships/hyperlink" Target="https://drive.google.com/open?id=1-iVK7In7q8pQ4CEGRuK81CroPVWjBEjk" TargetMode="External"/><Relationship Id="rId392" Type="http://schemas.openxmlformats.org/officeDocument/2006/relationships/hyperlink" Target="https://drive.google.com/open?id=1z0Ev-9RkkCSW18KQ0jj3We5O-VuMwz6O" TargetMode="External"/><Relationship Id="rId270" Type="http://schemas.openxmlformats.org/officeDocument/2006/relationships/hyperlink" Target="https://drive.google.com/open?id=13I0izyDYrxthYIYBZ9OxOu2rvo6WLuGh" TargetMode="External"/><Relationship Id="rId391" Type="http://schemas.openxmlformats.org/officeDocument/2006/relationships/hyperlink" Target="https://drive.google.com/open?id=1Rf7EJj0jDv9M75MpdVMSasnfj4DNcwy0" TargetMode="External"/><Relationship Id="rId390" Type="http://schemas.openxmlformats.org/officeDocument/2006/relationships/hyperlink" Target="https://drive.google.com/open?id=1Zb7QNG21zews3RkS04pvjOUjnf5qF4-e" TargetMode="External"/><Relationship Id="rId1" Type="http://schemas.openxmlformats.org/officeDocument/2006/relationships/hyperlink" Target="https://drive.google.com/open?id=1310J3KlJAnEkrR3LqfqW62pmZ6uZK2LU" TargetMode="External"/><Relationship Id="rId2" Type="http://schemas.openxmlformats.org/officeDocument/2006/relationships/hyperlink" Target="https://drive.google.com/open?id=18F2sG36Sdf9jJ1aHj4bOF7JaIftGNZAh" TargetMode="External"/><Relationship Id="rId3" Type="http://schemas.openxmlformats.org/officeDocument/2006/relationships/hyperlink" Target="https://drive.google.com/open?id=17Gp6648L4XsAQ8abzVMl5IoBIOa96ryg" TargetMode="External"/><Relationship Id="rId149" Type="http://schemas.openxmlformats.org/officeDocument/2006/relationships/hyperlink" Target="https://drive.google.com/open?id=1qZWnSzE1l3grQ3z4GrxiWIybrmilXrTa" TargetMode="External"/><Relationship Id="rId4" Type="http://schemas.openxmlformats.org/officeDocument/2006/relationships/hyperlink" Target="https://drive.google.com/open?id=1O33SfTzupwgLWdYkeJGQ47xS5aGHpz4Z" TargetMode="External"/><Relationship Id="rId148" Type="http://schemas.openxmlformats.org/officeDocument/2006/relationships/hyperlink" Target="https://drive.google.com/open?id=1aCnYpe9aQsSMSZ9Jnv6RLTVKE1j04on4" TargetMode="External"/><Relationship Id="rId269" Type="http://schemas.openxmlformats.org/officeDocument/2006/relationships/hyperlink" Target="https://drive.google.com/open?id=1QOxqJAzAIuoJ0UFtiMHmlderd3hefaqI" TargetMode="External"/><Relationship Id="rId9" Type="http://schemas.openxmlformats.org/officeDocument/2006/relationships/hyperlink" Target="https://drive.google.com/open?id=1uuYRTVqYkYf0kmzoBA70k-L4wA2RljfR" TargetMode="External"/><Relationship Id="rId143" Type="http://schemas.openxmlformats.org/officeDocument/2006/relationships/hyperlink" Target="https://drive.google.com/open?id=1jAWqdGF665UIEDeC7JAPLJqDv-ay3JAi" TargetMode="External"/><Relationship Id="rId264" Type="http://schemas.openxmlformats.org/officeDocument/2006/relationships/hyperlink" Target="https://drive.google.com/open?id=1Ig9zeZinICsHnv-bF6D9tPATpg2Cby_H" TargetMode="External"/><Relationship Id="rId385" Type="http://schemas.openxmlformats.org/officeDocument/2006/relationships/hyperlink" Target="https://drive.google.com/open?id=1A3NYpvAPUO5MUssC4b0Ca2Co2sWhFjv4" TargetMode="External"/><Relationship Id="rId142" Type="http://schemas.openxmlformats.org/officeDocument/2006/relationships/hyperlink" Target="https://drive.google.com/open?id=124Oqyw_MahRpRkHQ9eP5KYNbZPDZ8qB4" TargetMode="External"/><Relationship Id="rId263" Type="http://schemas.openxmlformats.org/officeDocument/2006/relationships/hyperlink" Target="https://drive.google.com/open?id=1icIiO1xX4-dbENCLwdHC7jyoSL9LEgB6" TargetMode="External"/><Relationship Id="rId384" Type="http://schemas.openxmlformats.org/officeDocument/2006/relationships/hyperlink" Target="https://drive.google.com/open?id=1y97oXnF0r_lSxj5rfx0UCR9zZ5SYAI0N" TargetMode="External"/><Relationship Id="rId141" Type="http://schemas.openxmlformats.org/officeDocument/2006/relationships/hyperlink" Target="https://drive.google.com/open?id=1E3toFzjJyapNm8wVRPHF3Dgq4dZVLPwb" TargetMode="External"/><Relationship Id="rId262" Type="http://schemas.openxmlformats.org/officeDocument/2006/relationships/hyperlink" Target="https://drive.google.com/open?id=1nIJd7tBCo3BK_eiYOpX-XEmoebYj_rBy" TargetMode="External"/><Relationship Id="rId383" Type="http://schemas.openxmlformats.org/officeDocument/2006/relationships/hyperlink" Target="https://drive.google.com/open?id=1nfe1owxUEX9wqIBeKFaL65akxzM3fw96" TargetMode="External"/><Relationship Id="rId140" Type="http://schemas.openxmlformats.org/officeDocument/2006/relationships/hyperlink" Target="https://drive.google.com/open?id=1clkmzAMtxWQgo3FFoZrCUA-rzT0kQBLB" TargetMode="External"/><Relationship Id="rId261" Type="http://schemas.openxmlformats.org/officeDocument/2006/relationships/hyperlink" Target="https://drive.google.com/open?id=12o4ODjR2cEcpeBCmU4dEtUuS5vUD_6xY" TargetMode="External"/><Relationship Id="rId382" Type="http://schemas.openxmlformats.org/officeDocument/2006/relationships/hyperlink" Target="https://drive.google.com/open?id=1KFU8XoNpyiXZQJdXrYwc4UoAao2yMlDe" TargetMode="External"/><Relationship Id="rId5" Type="http://schemas.openxmlformats.org/officeDocument/2006/relationships/hyperlink" Target="https://drive.google.com/open?id=1z2IJgeaCDEP5fgaIwrT8c6lYJKVFBYar" TargetMode="External"/><Relationship Id="rId147" Type="http://schemas.openxmlformats.org/officeDocument/2006/relationships/hyperlink" Target="https://drive.google.com/open?id=1ZnzP-Ua_XjftUvEIlPWI2VHoRsQd0R9C" TargetMode="External"/><Relationship Id="rId268" Type="http://schemas.openxmlformats.org/officeDocument/2006/relationships/hyperlink" Target="https://drive.google.com/open?id=1gEN2dUd7SjfC0niHE0a9ladNdPt7LSDL" TargetMode="External"/><Relationship Id="rId389" Type="http://schemas.openxmlformats.org/officeDocument/2006/relationships/hyperlink" Target="https://drive.google.com/open?id=1spg6r88YFpCJSs8spJoTDVvUqGNabwaF" TargetMode="External"/><Relationship Id="rId6" Type="http://schemas.openxmlformats.org/officeDocument/2006/relationships/hyperlink" Target="https://drive.google.com/open?id=14SsxiZEj-kb6MDg5b6coXjtIILM-gx5z" TargetMode="External"/><Relationship Id="rId146" Type="http://schemas.openxmlformats.org/officeDocument/2006/relationships/hyperlink" Target="https://drive.google.com/open?id=1-ikDDgwL5GraIlspLuYWZzpLNWIE-wKQ" TargetMode="External"/><Relationship Id="rId267" Type="http://schemas.openxmlformats.org/officeDocument/2006/relationships/hyperlink" Target="https://drive.google.com/open?id=18TIqHS4zd51cYUMRdmDJsZcDzFNLGfZn" TargetMode="External"/><Relationship Id="rId388" Type="http://schemas.openxmlformats.org/officeDocument/2006/relationships/hyperlink" Target="https://drive.google.com/open?id=1PgXgafzYHldYfaXqC3qvDz7neG__GgHh" TargetMode="External"/><Relationship Id="rId7" Type="http://schemas.openxmlformats.org/officeDocument/2006/relationships/hyperlink" Target="https://drive.google.com/open?id=1ird2YOCfo9rVNC02s4iLl6IlMSq6jGLV" TargetMode="External"/><Relationship Id="rId145" Type="http://schemas.openxmlformats.org/officeDocument/2006/relationships/hyperlink" Target="https://drive.google.com/open?id=1IFBjzIl5FoLX-TNyunphr8HlsalSi89p" TargetMode="External"/><Relationship Id="rId266" Type="http://schemas.openxmlformats.org/officeDocument/2006/relationships/hyperlink" Target="https://drive.google.com/open?id=1DWnFk133PVoydQvKzKpaxDe1dSJHsOEX" TargetMode="External"/><Relationship Id="rId387" Type="http://schemas.openxmlformats.org/officeDocument/2006/relationships/hyperlink" Target="https://drive.google.com/open?id=102Cl7lf32k5yMY2C68EDUHKMrNizSXKi" TargetMode="External"/><Relationship Id="rId8" Type="http://schemas.openxmlformats.org/officeDocument/2006/relationships/hyperlink" Target="https://drive.google.com/open?id=15KSTqbY4O1dUcaFv9ii5EV2vqrglqdRV" TargetMode="External"/><Relationship Id="rId144" Type="http://schemas.openxmlformats.org/officeDocument/2006/relationships/hyperlink" Target="https://drive.google.com/open?id=1eoj_d0M-e5B_2Hf2auXhVCs9gzlbgNxe" TargetMode="External"/><Relationship Id="rId265" Type="http://schemas.openxmlformats.org/officeDocument/2006/relationships/hyperlink" Target="https://drive.google.com/open?id=1w2tDkWKHMrF5n31v7m0HORvxym_0bu_A" TargetMode="External"/><Relationship Id="rId386" Type="http://schemas.openxmlformats.org/officeDocument/2006/relationships/hyperlink" Target="https://drive.google.com/file/d/1-XApLyMM1vfV__btaYtbR7lwpx1p1CSr/view?usp=sharing" TargetMode="External"/><Relationship Id="rId260" Type="http://schemas.openxmlformats.org/officeDocument/2006/relationships/hyperlink" Target="https://drive.google.com/open?id=18lHwQaUHtUOcq628X9zEWmqgeEt5C0WC" TargetMode="External"/><Relationship Id="rId381" Type="http://schemas.openxmlformats.org/officeDocument/2006/relationships/hyperlink" Target="https://drive.google.com/open?id=1DifImxwl4jflybT2KoHGqlCgD0oEwH97" TargetMode="External"/><Relationship Id="rId380" Type="http://schemas.openxmlformats.org/officeDocument/2006/relationships/hyperlink" Target="https://drive.google.com/open?id=1exkwH59kKGzZeeWPRiCJM7QQqq-YNjw8" TargetMode="External"/><Relationship Id="rId139" Type="http://schemas.openxmlformats.org/officeDocument/2006/relationships/hyperlink" Target="https://drive.google.com/open?id=1nTN6ewpkrNWf-K16zf95Al0bhmWfdBVQ" TargetMode="External"/><Relationship Id="rId138" Type="http://schemas.openxmlformats.org/officeDocument/2006/relationships/hyperlink" Target="https://drive.google.com/open?id=1c9YIKeYdmDDPK0RQt7J5sNAbl8B9PSBO" TargetMode="External"/><Relationship Id="rId259" Type="http://schemas.openxmlformats.org/officeDocument/2006/relationships/hyperlink" Target="https://drive.google.com/open?id=17w7S94VfGWcPRhSlNFbiN1MZ_axQKbGI" TargetMode="External"/><Relationship Id="rId137" Type="http://schemas.openxmlformats.org/officeDocument/2006/relationships/hyperlink" Target="https://drive.google.com/open?id=1pSHSvGHS380PB3woLdFW-aMl9rOuYlwl" TargetMode="External"/><Relationship Id="rId258" Type="http://schemas.openxmlformats.org/officeDocument/2006/relationships/hyperlink" Target="https://drive.google.com/open?id=1DCALctXUEUPc0qSzCeRBuBiM4Zbi8CWu" TargetMode="External"/><Relationship Id="rId379" Type="http://schemas.openxmlformats.org/officeDocument/2006/relationships/hyperlink" Target="https://drive.google.com/open?id=1IlArLl7ZqWpRhZi9Oh2m6gOyX6bQkY9t" TargetMode="External"/><Relationship Id="rId132" Type="http://schemas.openxmlformats.org/officeDocument/2006/relationships/hyperlink" Target="https://drive.google.com/open?id=1mcQfsz_ZrWfVNHl_o4BftJ-LHDumm5-F" TargetMode="External"/><Relationship Id="rId253" Type="http://schemas.openxmlformats.org/officeDocument/2006/relationships/hyperlink" Target="https://drive.google.com/open?id=15u633kZm6sWz-Owb9SM54_1whRkKKOpD" TargetMode="External"/><Relationship Id="rId374" Type="http://schemas.openxmlformats.org/officeDocument/2006/relationships/hyperlink" Target="https://drive.google.com/open?id=1y4Xbnlv0r_OKoTaqymfeCymD9_qwWcSz" TargetMode="External"/><Relationship Id="rId495" Type="http://schemas.openxmlformats.org/officeDocument/2006/relationships/hyperlink" Target="https://drive.google.com/open?id=1x0J-OA6Ve8bXJZWSBiUDQj5ulPN3gXmY" TargetMode="External"/><Relationship Id="rId131" Type="http://schemas.openxmlformats.org/officeDocument/2006/relationships/hyperlink" Target="https://drive.google.com/open?id=1IVBRdjiCbe5lUwPng749OHFRx4j84RkJ" TargetMode="External"/><Relationship Id="rId252" Type="http://schemas.openxmlformats.org/officeDocument/2006/relationships/hyperlink" Target="https://drive.google.com/open?id=1FQj6pJApyNQq6W2gWzbT7ba6qvaohG2W" TargetMode="External"/><Relationship Id="rId373" Type="http://schemas.openxmlformats.org/officeDocument/2006/relationships/hyperlink" Target="https://drive.google.com/open?id=1OkDVRXIWcddXFHLIA0EiSVKHU7LX4yTw" TargetMode="External"/><Relationship Id="rId494" Type="http://schemas.openxmlformats.org/officeDocument/2006/relationships/hyperlink" Target="https://drive.google.com/open?id=1yN-C1zIeqFFf76aioKjhv1b4B0nLj90M" TargetMode="External"/><Relationship Id="rId130" Type="http://schemas.openxmlformats.org/officeDocument/2006/relationships/hyperlink" Target="https://drive.google.com/open?id=1Z_76bRnFpTPJ5S-dkyL5lQi7jOc8eJQ4" TargetMode="External"/><Relationship Id="rId251" Type="http://schemas.openxmlformats.org/officeDocument/2006/relationships/hyperlink" Target="https://drive.google.com/open?id=1IVPg8J4VeSUaBlSrHcBC27pXlKTFGseU" TargetMode="External"/><Relationship Id="rId372" Type="http://schemas.openxmlformats.org/officeDocument/2006/relationships/hyperlink" Target="https://drive.google.com/open?id=1wDklUShbzPqzZwP4hkLkK0lGfNdzTJA3" TargetMode="External"/><Relationship Id="rId493" Type="http://schemas.openxmlformats.org/officeDocument/2006/relationships/hyperlink" Target="https://drive.google.com/open?id=1Hua2t7gtfHVOQnEx5EhuuQOH6NHiz1XP" TargetMode="External"/><Relationship Id="rId250" Type="http://schemas.openxmlformats.org/officeDocument/2006/relationships/hyperlink" Target="https://drive.google.com/open?id=1w8aDa70WMCxikRVwO3yd3YF4II9_4xhZ" TargetMode="External"/><Relationship Id="rId371" Type="http://schemas.openxmlformats.org/officeDocument/2006/relationships/hyperlink" Target="https://drive.google.com/open?id=1zSwGIE0N-eYFtE7dHrVUGY-DHD_VkH9l" TargetMode="External"/><Relationship Id="rId492" Type="http://schemas.openxmlformats.org/officeDocument/2006/relationships/hyperlink" Target="https://drive.google.com/open?id=1QEZCNQ9Q1v0N3DCGJpFZ49qbpDoXj8-J" TargetMode="External"/><Relationship Id="rId136" Type="http://schemas.openxmlformats.org/officeDocument/2006/relationships/hyperlink" Target="https://drive.google.com/open?id=1T6mfxB5fDh7501Byy1mNvP7O6f-SEi67" TargetMode="External"/><Relationship Id="rId257" Type="http://schemas.openxmlformats.org/officeDocument/2006/relationships/hyperlink" Target="https://drive.google.com/open?id=1Ak4K2dapRpgacy0IgcJx-zmD5NkMBoTm" TargetMode="External"/><Relationship Id="rId378" Type="http://schemas.openxmlformats.org/officeDocument/2006/relationships/hyperlink" Target="https://drive.google.com/open?id=1o_i3XDxPbQUhfSVPdBOoKJmEvFql1g3T" TargetMode="External"/><Relationship Id="rId499" Type="http://schemas.openxmlformats.org/officeDocument/2006/relationships/hyperlink" Target="https://drive.google.com/open?id=12WJomhIaXBGQnvLggsBT71ONajEQb8zR" TargetMode="External"/><Relationship Id="rId135" Type="http://schemas.openxmlformats.org/officeDocument/2006/relationships/hyperlink" Target="https://drive.google.com/open?id=1C2FsqiryflvDov7ZdnPH9dx3RGf36MmW" TargetMode="External"/><Relationship Id="rId256" Type="http://schemas.openxmlformats.org/officeDocument/2006/relationships/hyperlink" Target="https://drive.google.com/open?id=1081hZMGU_CQlhjJx2CqURQQw-pNBZY9A" TargetMode="External"/><Relationship Id="rId377" Type="http://schemas.openxmlformats.org/officeDocument/2006/relationships/hyperlink" Target="https://drive.google.com/open?id=1FFfSCROEYA5A6Q1Zn0OefO9TnwK7SNVY" TargetMode="External"/><Relationship Id="rId498" Type="http://schemas.openxmlformats.org/officeDocument/2006/relationships/hyperlink" Target="https://drive.google.com/open?id=1o1qxkMXKnunE2jg2HOOJnsC0wMgBjJi1" TargetMode="External"/><Relationship Id="rId134" Type="http://schemas.openxmlformats.org/officeDocument/2006/relationships/hyperlink" Target="https://drive.google.com/open?id=17kjIHim74MXeBWWn5EnI_I-PRcXOfFuY" TargetMode="External"/><Relationship Id="rId255" Type="http://schemas.openxmlformats.org/officeDocument/2006/relationships/hyperlink" Target="https://drive.google.com/open?id=1xMYfSNZKscmy0sIja1aU4BDrmsYlXRhR" TargetMode="External"/><Relationship Id="rId376" Type="http://schemas.openxmlformats.org/officeDocument/2006/relationships/hyperlink" Target="https://drive.google.com/open?id=1b50jdYl71slQcplKzbLu_rtvg3xlJaLo" TargetMode="External"/><Relationship Id="rId497" Type="http://schemas.openxmlformats.org/officeDocument/2006/relationships/hyperlink" Target="https://drive.google.com/open?id=1eKDJP0dqdUu4SeL3ZAYDG3895eSO8P4O" TargetMode="External"/><Relationship Id="rId133" Type="http://schemas.openxmlformats.org/officeDocument/2006/relationships/hyperlink" Target="https://drive.google.com/open?id=1Jtb0IzSnQBTHa8FR-aLBODltvX9Y3pw1" TargetMode="External"/><Relationship Id="rId254" Type="http://schemas.openxmlformats.org/officeDocument/2006/relationships/hyperlink" Target="https://drive.google.com/open?id=1t6bKrjr6nztBVw1R_kIDrBdJqNeISpSb" TargetMode="External"/><Relationship Id="rId375" Type="http://schemas.openxmlformats.org/officeDocument/2006/relationships/hyperlink" Target="https://drive.google.com/open?id=1ARwiDo_4YK6SPFh_MzFVAlKujKAidNaU" TargetMode="External"/><Relationship Id="rId496" Type="http://schemas.openxmlformats.org/officeDocument/2006/relationships/hyperlink" Target="https://drive.google.com/open?id=168d33glezxe4q20fgUWZU-LaZuXsLlML" TargetMode="External"/><Relationship Id="rId172" Type="http://schemas.openxmlformats.org/officeDocument/2006/relationships/hyperlink" Target="https://drive.google.com/open?id=1kQmrjBWurlzwayiJ1uKb1Pu1Xv9KOLKX" TargetMode="External"/><Relationship Id="rId293" Type="http://schemas.openxmlformats.org/officeDocument/2006/relationships/hyperlink" Target="https://drive.google.com/open?id=1Ucqk1_K-I6atCBVXXZLU2HW6F5piln16" TargetMode="External"/><Relationship Id="rId171" Type="http://schemas.openxmlformats.org/officeDocument/2006/relationships/hyperlink" Target="https://drive.google.com/open?id=1jVwZVuuALFjP-iA-Un3W3zE-UiDsyRMS" TargetMode="External"/><Relationship Id="rId292" Type="http://schemas.openxmlformats.org/officeDocument/2006/relationships/hyperlink" Target="https://drive.google.com/open?id=1OIJsTtjJMJJbGE1is8tDKMPuEGiTNJnP" TargetMode="External"/><Relationship Id="rId170" Type="http://schemas.openxmlformats.org/officeDocument/2006/relationships/hyperlink" Target="https://drive.google.com/open?id=1BMAZER9kbU7bG8yrNgkkYKnISUpQ07JQ" TargetMode="External"/><Relationship Id="rId291" Type="http://schemas.openxmlformats.org/officeDocument/2006/relationships/hyperlink" Target="https://drive.google.com/open?id=1JIdmTRo2CrqztId130u9Og4KnEFYIu97" TargetMode="External"/><Relationship Id="rId290" Type="http://schemas.openxmlformats.org/officeDocument/2006/relationships/hyperlink" Target="https://drive.google.com/open?id=1rBNMR9DSpA1AiRpR_NEdX44HICYpKdoX" TargetMode="External"/><Relationship Id="rId165" Type="http://schemas.openxmlformats.org/officeDocument/2006/relationships/hyperlink" Target="https://drive.google.com/open?id=1TncNhoSxPMdjjxVHb7VApI9hzT6YVcNJ" TargetMode="External"/><Relationship Id="rId286" Type="http://schemas.openxmlformats.org/officeDocument/2006/relationships/hyperlink" Target="https://drive.google.com/open?id=1yoBlA0HUUNaX9piBgaMLWyjAvDYYlwY8" TargetMode="External"/><Relationship Id="rId164" Type="http://schemas.openxmlformats.org/officeDocument/2006/relationships/hyperlink" Target="https://drive.google.com/open?id=1KKChbSPXDdQNCB1E750RARm6PlhGf-9x" TargetMode="External"/><Relationship Id="rId285" Type="http://schemas.openxmlformats.org/officeDocument/2006/relationships/hyperlink" Target="https://drive.google.com/open?id=15aOISNyK4h63shYyoFEVal6tpkrEiil1" TargetMode="External"/><Relationship Id="rId163" Type="http://schemas.openxmlformats.org/officeDocument/2006/relationships/hyperlink" Target="https://drive.google.com/open?id=1hnYbkPeb6h6t0NXPiH1yEX-Da1gG2BWk" TargetMode="External"/><Relationship Id="rId284" Type="http://schemas.openxmlformats.org/officeDocument/2006/relationships/hyperlink" Target="https://drive.google.com/open?id=1waZuxrqTps9o9Bb_t2oeMQJMOAkEoca7" TargetMode="External"/><Relationship Id="rId162" Type="http://schemas.openxmlformats.org/officeDocument/2006/relationships/hyperlink" Target="https://drive.google.com/open?id=19sazx1sImRY0_pnqEcrU4CtmN3AVjmqE" TargetMode="External"/><Relationship Id="rId283" Type="http://schemas.openxmlformats.org/officeDocument/2006/relationships/hyperlink" Target="https://drive.google.com/open?id=13TUM7UWhgTjOFruV7KuKB6i2CnnQI68w" TargetMode="External"/><Relationship Id="rId169" Type="http://schemas.openxmlformats.org/officeDocument/2006/relationships/hyperlink" Target="https://drive.google.com/open?id=1eQi8KqwqOsQc0OyWZDumHBa-d2LNMxjS" TargetMode="External"/><Relationship Id="rId168" Type="http://schemas.openxmlformats.org/officeDocument/2006/relationships/hyperlink" Target="https://drive.google.com/open?id=1eLcfMWHaDv-wRPsySp9zbi3XG6Uz-xgk" TargetMode="External"/><Relationship Id="rId289" Type="http://schemas.openxmlformats.org/officeDocument/2006/relationships/hyperlink" Target="https://drive.google.com/open?id=1zPveS3yYGXPpLTr3YyQ_Od3xgQfDXtZP" TargetMode="External"/><Relationship Id="rId167" Type="http://schemas.openxmlformats.org/officeDocument/2006/relationships/hyperlink" Target="https://drive.google.com/open?id=159KsGij0DT8m-pzrZxHcMT6BuazAF5ZW" TargetMode="External"/><Relationship Id="rId288" Type="http://schemas.openxmlformats.org/officeDocument/2006/relationships/hyperlink" Target="https://drive.google.com/open?id=1tCpQF3jdptNXb8yuHbo87jqza9jBxJlU" TargetMode="External"/><Relationship Id="rId166" Type="http://schemas.openxmlformats.org/officeDocument/2006/relationships/hyperlink" Target="https://drive.google.com/open?id=1T-YHqp__-xnBQM6zx1Fhw-ghtX61Ram2" TargetMode="External"/><Relationship Id="rId287" Type="http://schemas.openxmlformats.org/officeDocument/2006/relationships/hyperlink" Target="https://drive.google.com/open?id=1qKZPoIpo6vk0VIltGLCE7VMdo3N1kbxq" TargetMode="External"/><Relationship Id="rId161" Type="http://schemas.openxmlformats.org/officeDocument/2006/relationships/hyperlink" Target="https://drive.google.com/open?id=1QdOPAr4PrScBR50RnaBXGmwop3d69ssl" TargetMode="External"/><Relationship Id="rId282" Type="http://schemas.openxmlformats.org/officeDocument/2006/relationships/hyperlink" Target="https://drive.google.com/open?id=1lZLNjENu0MhnzRkteF4_B8OCf0_phyUp" TargetMode="External"/><Relationship Id="rId160" Type="http://schemas.openxmlformats.org/officeDocument/2006/relationships/hyperlink" Target="https://drive.google.com/open?id=1RzyStGg6gCwgzDwmc14j_YXk3kPNyis3" TargetMode="External"/><Relationship Id="rId281" Type="http://schemas.openxmlformats.org/officeDocument/2006/relationships/hyperlink" Target="https://drive.google.com/open?id=1cyrQyMyIv662_HX7ezkv0o4G35WxVcdv" TargetMode="External"/><Relationship Id="rId280" Type="http://schemas.openxmlformats.org/officeDocument/2006/relationships/hyperlink" Target="https://drive.google.com/open?id=1N4NhqAGjG2dB70ZXyuvLl-mW6sf2IOcJ" TargetMode="External"/><Relationship Id="rId159" Type="http://schemas.openxmlformats.org/officeDocument/2006/relationships/hyperlink" Target="https://drive.google.com/open?id=1tc9yvUhRUI6ZvdtkYkstO17Y9ENQhSJW" TargetMode="External"/><Relationship Id="rId154" Type="http://schemas.openxmlformats.org/officeDocument/2006/relationships/hyperlink" Target="https://drive.google.com/open?id=1Z0PoAfIJkmOi26H0iTcrVeO_oh1rT_nN" TargetMode="External"/><Relationship Id="rId275" Type="http://schemas.openxmlformats.org/officeDocument/2006/relationships/hyperlink" Target="https://drive.google.com/open?id=1X-NQ2QvVCeG6ZK1u6aqaPzMI6J9OF4cz" TargetMode="External"/><Relationship Id="rId396" Type="http://schemas.openxmlformats.org/officeDocument/2006/relationships/hyperlink" Target="https://drive.google.com/open?id=1wQEWg5o67ws4dXfARyw5LiMzTHE8lxeU" TargetMode="External"/><Relationship Id="rId153" Type="http://schemas.openxmlformats.org/officeDocument/2006/relationships/hyperlink" Target="https://drive.google.com/open?id=1wMmdmzboXmNQtI1DKntfi3dq_FRIxX-x" TargetMode="External"/><Relationship Id="rId274" Type="http://schemas.openxmlformats.org/officeDocument/2006/relationships/hyperlink" Target="https://drive.google.com/open?id=1WjNwySIq0nCwRnCuu6kicFzJb9X8wU65" TargetMode="External"/><Relationship Id="rId395" Type="http://schemas.openxmlformats.org/officeDocument/2006/relationships/hyperlink" Target="https://drive.google.com/open?id=18OvFf4U0yxUC4FPy5Krp3ATmE560umBx" TargetMode="External"/><Relationship Id="rId152" Type="http://schemas.openxmlformats.org/officeDocument/2006/relationships/hyperlink" Target="https://drive.google.com/open?id=1kAgKHKpvCG7gy4jf3GN_qu-2dKzR5pjn" TargetMode="External"/><Relationship Id="rId273" Type="http://schemas.openxmlformats.org/officeDocument/2006/relationships/hyperlink" Target="https://drive.google.com/open?id=1ALghy5fMCmbshBZLbwrc3YTC1eh5x25j" TargetMode="External"/><Relationship Id="rId394" Type="http://schemas.openxmlformats.org/officeDocument/2006/relationships/hyperlink" Target="https://drive.google.com/open?id=11bF7WIsS2zGeMKDi_LoQlDfBSjHRq0fa" TargetMode="External"/><Relationship Id="rId151" Type="http://schemas.openxmlformats.org/officeDocument/2006/relationships/hyperlink" Target="https://drive.google.com/open?id=1lC655h4AcP_d90ChS01_dRLO1VVcAtFB" TargetMode="External"/><Relationship Id="rId272" Type="http://schemas.openxmlformats.org/officeDocument/2006/relationships/hyperlink" Target="https://drive.google.com/open?id=1q3RSEThSKRZTqshZPlXrMjUodkqYvFn1" TargetMode="External"/><Relationship Id="rId393" Type="http://schemas.openxmlformats.org/officeDocument/2006/relationships/hyperlink" Target="https://drive.google.com/open?id=1U7tui3tLH5SPl6rgtJ59v36eJ9a8kKGj" TargetMode="External"/><Relationship Id="rId158" Type="http://schemas.openxmlformats.org/officeDocument/2006/relationships/hyperlink" Target="https://drive.google.com/open?id=1jZg8LDNC-vNGPABqVVcYPjDEIwUypaVG" TargetMode="External"/><Relationship Id="rId279" Type="http://schemas.openxmlformats.org/officeDocument/2006/relationships/hyperlink" Target="https://drive.google.com/open?id=1Rm894IDb1CzCW9yR49G5j7pcuvSPuZSn" TargetMode="External"/><Relationship Id="rId157" Type="http://schemas.openxmlformats.org/officeDocument/2006/relationships/hyperlink" Target="https://drive.google.com/open?id=1xzNf-jkuL6BjFQ_yjQaSHeCPO25EqfVg" TargetMode="External"/><Relationship Id="rId278" Type="http://schemas.openxmlformats.org/officeDocument/2006/relationships/hyperlink" Target="https://drive.google.com/open?id=1Oi03v3XEiU1035abKjQq0J9MvPN0MlL-" TargetMode="External"/><Relationship Id="rId399" Type="http://schemas.openxmlformats.org/officeDocument/2006/relationships/hyperlink" Target="https://drive.google.com/open?id=11VDZze5dboUlR6EYffoPm550GDsbs0dc" TargetMode="External"/><Relationship Id="rId156" Type="http://schemas.openxmlformats.org/officeDocument/2006/relationships/hyperlink" Target="https://drive.google.com/open?id=1dPwXDmihgTTRR35FnSQIFOUmQWYjWe8L" TargetMode="External"/><Relationship Id="rId277" Type="http://schemas.openxmlformats.org/officeDocument/2006/relationships/hyperlink" Target="https://drive.google.com/open?id=1_oP_M5IcZZVjTYEbYxgAjChSLoL3O0q6" TargetMode="External"/><Relationship Id="rId398" Type="http://schemas.openxmlformats.org/officeDocument/2006/relationships/hyperlink" Target="https://drive.google.com/open?id=1YnZOjfKj4zx7nSl5dk_P5O3qCBESpE5q" TargetMode="External"/><Relationship Id="rId155" Type="http://schemas.openxmlformats.org/officeDocument/2006/relationships/hyperlink" Target="https://drive.google.com/open?id=1lKYe837UQKdFFf7voyToI8ORqymerDSi" TargetMode="External"/><Relationship Id="rId276" Type="http://schemas.openxmlformats.org/officeDocument/2006/relationships/hyperlink" Target="https://drive.google.com/open?id=1FE1MofhXRW70x5Nj17jpDm8Yrn9uYqHX" TargetMode="External"/><Relationship Id="rId397" Type="http://schemas.openxmlformats.org/officeDocument/2006/relationships/hyperlink" Target="https://drive.google.com/open?id=1A0DmidR0DbfMRT6QdEJswNEZdL0NMyn8" TargetMode="External"/><Relationship Id="rId40" Type="http://schemas.openxmlformats.org/officeDocument/2006/relationships/hyperlink" Target="https://drive.google.com/open?id=12kQLOaTch02glMSk3RSW-WlrUG25iJii" TargetMode="External"/><Relationship Id="rId42" Type="http://schemas.openxmlformats.org/officeDocument/2006/relationships/hyperlink" Target="https://drive.google.com/open?id=1mOG4c8kKtqI6x5A_zd_BfgkIG3v1dWLA" TargetMode="External"/><Relationship Id="rId41" Type="http://schemas.openxmlformats.org/officeDocument/2006/relationships/hyperlink" Target="https://drive.google.com/open?id=1PHxhIXOk1GfC6rPQAWDwFeYxsh6ZGnfx" TargetMode="External"/><Relationship Id="rId44" Type="http://schemas.openxmlformats.org/officeDocument/2006/relationships/hyperlink" Target="https://drive.google.com/open?id=1NvSw-bbS0LY-6MTrL3wOak9V40p9bbYS" TargetMode="External"/><Relationship Id="rId43" Type="http://schemas.openxmlformats.org/officeDocument/2006/relationships/hyperlink" Target="https://drive.google.com/open?id=1ellQH-vg-enOb9Gl9SMXevEXIk7ljVUE" TargetMode="External"/><Relationship Id="rId46" Type="http://schemas.openxmlformats.org/officeDocument/2006/relationships/hyperlink" Target="https://drive.google.com/open?id=1T-Cr0lGlkk0BMjifI3yYN0ZFiCUX-w5J" TargetMode="External"/><Relationship Id="rId45" Type="http://schemas.openxmlformats.org/officeDocument/2006/relationships/hyperlink" Target="https://drive.google.com/open?id=1wOhD4xg3M2avP-kCcgui_Jwm9EmIcjUe" TargetMode="External"/><Relationship Id="rId509" Type="http://schemas.openxmlformats.org/officeDocument/2006/relationships/hyperlink" Target="https://drive.google.com/open?id=17mv8y3N1Fr8rX1IcNxBukGJmeLCXjMOU" TargetMode="External"/><Relationship Id="rId508" Type="http://schemas.openxmlformats.org/officeDocument/2006/relationships/hyperlink" Target="https://drive.google.com/open?id=1pKJhj47wQcHA29Uy5xzmelHEr_t1oFiZ" TargetMode="External"/><Relationship Id="rId629" Type="http://schemas.openxmlformats.org/officeDocument/2006/relationships/hyperlink" Target="https://drive.google.com/open?id=1v5U4VojikHe63AKnVksriq-8mBfPfwaE" TargetMode="External"/><Relationship Id="rId503" Type="http://schemas.openxmlformats.org/officeDocument/2006/relationships/hyperlink" Target="https://drive.google.com/open?id=1AQXjCC4d7TLFNprtUZHXF1DQjAOKfoGr" TargetMode="External"/><Relationship Id="rId624" Type="http://schemas.openxmlformats.org/officeDocument/2006/relationships/hyperlink" Target="https://drive.google.com/open?id=1aVtLhXQNO_WtDpJOEpDid0AeUCqLZy1m" TargetMode="External"/><Relationship Id="rId502" Type="http://schemas.openxmlformats.org/officeDocument/2006/relationships/hyperlink" Target="https://drive.google.com/open?id=1eTLisX99RUWaSrZ1_kvS9X995oF5dV_r" TargetMode="External"/><Relationship Id="rId623" Type="http://schemas.openxmlformats.org/officeDocument/2006/relationships/hyperlink" Target="https://drive.google.com/open?id=1ZPDjPjsafNEYKKU6qRanjeLlMEV25TQz" TargetMode="External"/><Relationship Id="rId501" Type="http://schemas.openxmlformats.org/officeDocument/2006/relationships/hyperlink" Target="https://drive.google.com/open?id=1q3qVYSayGbhcyJukEMOpEVhr0G6939ib" TargetMode="External"/><Relationship Id="rId622" Type="http://schemas.openxmlformats.org/officeDocument/2006/relationships/hyperlink" Target="https://drive.google.com/open?id=1XHuz7HBvR0EGwMIzAdlqx_CGvLNSIamv" TargetMode="External"/><Relationship Id="rId500" Type="http://schemas.openxmlformats.org/officeDocument/2006/relationships/hyperlink" Target="https://drive.google.com/open?id=1it2kJy-hRElpoSvHQH8czZvXT5_4HpJ-" TargetMode="External"/><Relationship Id="rId621" Type="http://schemas.openxmlformats.org/officeDocument/2006/relationships/hyperlink" Target="https://drive.google.com/open?id=1RKg1ORY9VACvtrHXNJpCg0Twk_Ij55HM" TargetMode="External"/><Relationship Id="rId507" Type="http://schemas.openxmlformats.org/officeDocument/2006/relationships/hyperlink" Target="https://drive.google.com/open?id=1VrGAX_krLK96x582y7sxZhsM-XWyEAbE" TargetMode="External"/><Relationship Id="rId628" Type="http://schemas.openxmlformats.org/officeDocument/2006/relationships/hyperlink" Target="https://drive.google.com/open?id=1X9Iuvws_lmP5FiIMWLbH4To_HsksE7Zf" TargetMode="External"/><Relationship Id="rId506" Type="http://schemas.openxmlformats.org/officeDocument/2006/relationships/hyperlink" Target="https://drive.google.com/open?id=1uFmmlcw7k3hOGAkAsSrAJ5OegyZy42M2" TargetMode="External"/><Relationship Id="rId627" Type="http://schemas.openxmlformats.org/officeDocument/2006/relationships/hyperlink" Target="https://drive.google.com/open?id=1NzIaYF0-6oWNHOKRkX5Lg9oHx24grpVD" TargetMode="External"/><Relationship Id="rId505" Type="http://schemas.openxmlformats.org/officeDocument/2006/relationships/hyperlink" Target="https://drive.google.com/open?id=1FZjtf0e4uds6jFygQ7EezHubHefZR5sk" TargetMode="External"/><Relationship Id="rId626" Type="http://schemas.openxmlformats.org/officeDocument/2006/relationships/hyperlink" Target="https://drive.google.com/open?id=1bKkXw3S2tCNgyhvi_wKTOT5OleIfQdbq" TargetMode="External"/><Relationship Id="rId504" Type="http://schemas.openxmlformats.org/officeDocument/2006/relationships/hyperlink" Target="https://drive.google.com/open?id=1bbUlTkd3fR5PyrG312H59AHvxA2j2QDP" TargetMode="External"/><Relationship Id="rId625" Type="http://schemas.openxmlformats.org/officeDocument/2006/relationships/hyperlink" Target="https://drive.google.com/open?id=12mSM-f76xf2Jf1DgNU-EUoNbWZs5p8VD" TargetMode="External"/><Relationship Id="rId48" Type="http://schemas.openxmlformats.org/officeDocument/2006/relationships/hyperlink" Target="https://drive.google.com/open?id=1uXoGzMcwf87Q9VScmEh9baXNMAWbSDx2" TargetMode="External"/><Relationship Id="rId47" Type="http://schemas.openxmlformats.org/officeDocument/2006/relationships/hyperlink" Target="https://drive.google.com/open?id=1LIvxuChIYwf0BsxzXk_LhuxN9Vs0m40G" TargetMode="External"/><Relationship Id="rId49" Type="http://schemas.openxmlformats.org/officeDocument/2006/relationships/hyperlink" Target="https://drive.google.com/open?id=18n0bpno3n6O3zfUcvW-Vz1ZX7xWjuBq1" TargetMode="External"/><Relationship Id="rId620" Type="http://schemas.openxmlformats.org/officeDocument/2006/relationships/hyperlink" Target="https://drive.google.com/open?id=19TrTqZvR5WXIY7P9Rg3UsVCmKjpXyZio" TargetMode="External"/><Relationship Id="rId31" Type="http://schemas.openxmlformats.org/officeDocument/2006/relationships/hyperlink" Target="https://drive.google.com/open?id=1c21m_mUQfpp4Q_jGa5mxh6uDs3HeDDG5" TargetMode="External"/><Relationship Id="rId30" Type="http://schemas.openxmlformats.org/officeDocument/2006/relationships/hyperlink" Target="https://drive.google.com/open?id=1Q5zTkDiDmTEqYSfPMASQFG6ee0mNEIaz" TargetMode="External"/><Relationship Id="rId33" Type="http://schemas.openxmlformats.org/officeDocument/2006/relationships/hyperlink" Target="https://drive.google.com/open?id=1yDcCDYZMK-DVl61xUdS7j82C00NAQ1_3" TargetMode="External"/><Relationship Id="rId32" Type="http://schemas.openxmlformats.org/officeDocument/2006/relationships/hyperlink" Target="https://drive.google.com/open?id=1cFJkbCPyIJ6rR66LEiJMRkFcQebeqetU" TargetMode="External"/><Relationship Id="rId35" Type="http://schemas.openxmlformats.org/officeDocument/2006/relationships/hyperlink" Target="https://drive.google.com/open?id=16KbP41FyG_mj0xyY2nUHwBgcG0B_w-Rn" TargetMode="External"/><Relationship Id="rId34" Type="http://schemas.openxmlformats.org/officeDocument/2006/relationships/hyperlink" Target="https://drive.google.com/open?id=1n8FPLBXm9gjzCcmU2o3PjQtPZK3n_t--" TargetMode="External"/><Relationship Id="rId619" Type="http://schemas.openxmlformats.org/officeDocument/2006/relationships/hyperlink" Target="https://drive.google.com/open?id=1ZPxo1rH4ZdxEh6pRDE8Nv2Yfl6XYTUdq" TargetMode="External"/><Relationship Id="rId618" Type="http://schemas.openxmlformats.org/officeDocument/2006/relationships/hyperlink" Target="https://drive.google.com/open?id=1d2Rs12De1Sc9KXEJWIHZOwlxNrPoyagI" TargetMode="External"/><Relationship Id="rId613" Type="http://schemas.openxmlformats.org/officeDocument/2006/relationships/hyperlink" Target="https://drive.google.com/open?id=1uAqn2ZOsbfxgZwUFU44nv5N2rYmd0qO9" TargetMode="External"/><Relationship Id="rId612" Type="http://schemas.openxmlformats.org/officeDocument/2006/relationships/hyperlink" Target="https://drive.google.com/open?id=1J-dKDMwwuGPhF1OW0m5qeWjyMl6Wn7jE" TargetMode="External"/><Relationship Id="rId611" Type="http://schemas.openxmlformats.org/officeDocument/2006/relationships/hyperlink" Target="https://drive.google.com/open?id=1YlD1gJ94d0kZyiooHFn-NICF-RA1o2ef" TargetMode="External"/><Relationship Id="rId610" Type="http://schemas.openxmlformats.org/officeDocument/2006/relationships/hyperlink" Target="https://drive.google.com/open?id=18iXgcZwQVKN5TsICJ31T6-zRnGgfAwA2" TargetMode="External"/><Relationship Id="rId617" Type="http://schemas.openxmlformats.org/officeDocument/2006/relationships/hyperlink" Target="https://drive.google.com/open?id=1ljEqU9Uy5ZXjBYHz1e8jqDZOorHFK_cb" TargetMode="External"/><Relationship Id="rId616" Type="http://schemas.openxmlformats.org/officeDocument/2006/relationships/hyperlink" Target="https://drive.google.com/open?id=18kkfcA9p5msQ64DA5fR4KPsLJRMVZ-Ta" TargetMode="External"/><Relationship Id="rId615" Type="http://schemas.openxmlformats.org/officeDocument/2006/relationships/hyperlink" Target="https://drive.google.com/open?id=1DaAZtY4F367Sog2mqpzSgqr1V366k4ly" TargetMode="External"/><Relationship Id="rId614" Type="http://schemas.openxmlformats.org/officeDocument/2006/relationships/hyperlink" Target="https://drive.google.com/open?id=18h_cTEqenMepj02BWkQcchKEoYa2vELZ" TargetMode="External"/><Relationship Id="rId37" Type="http://schemas.openxmlformats.org/officeDocument/2006/relationships/hyperlink" Target="https://drive.google.com/open?id=1qKhZZ0J8MkHJQdWaGLVXYYMvTDFTuQct" TargetMode="External"/><Relationship Id="rId36" Type="http://schemas.openxmlformats.org/officeDocument/2006/relationships/hyperlink" Target="https://drive.google.com/open?id=1l63PZ_eRawPuZB3f1uqjl-1n3OboXVKH" TargetMode="External"/><Relationship Id="rId39" Type="http://schemas.openxmlformats.org/officeDocument/2006/relationships/hyperlink" Target="https://drive.google.com/open?id=1rnotAcAt-lUa4bqcGFqikX77mJQeNKhy" TargetMode="External"/><Relationship Id="rId38" Type="http://schemas.openxmlformats.org/officeDocument/2006/relationships/hyperlink" Target="https://drive.google.com/open?id=15ue3hnZDDfpZCK9jLIWDZ7ZkTpfubNVo" TargetMode="External"/><Relationship Id="rId20" Type="http://schemas.openxmlformats.org/officeDocument/2006/relationships/hyperlink" Target="https://drive.google.com/open?id=1A2d8cQkMID8IR-4fgR5fELA2n9gmdugS" TargetMode="External"/><Relationship Id="rId22" Type="http://schemas.openxmlformats.org/officeDocument/2006/relationships/hyperlink" Target="https://drive.google.com/open?id=1o-aGQw6GduEQTjXPYQr24el4qXWxqj9j" TargetMode="External"/><Relationship Id="rId21" Type="http://schemas.openxmlformats.org/officeDocument/2006/relationships/hyperlink" Target="https://drive.google.com/open?id=1oEJvHUes7DGX5Ncb-21ApASEPjVtroeP" TargetMode="External"/><Relationship Id="rId24" Type="http://schemas.openxmlformats.org/officeDocument/2006/relationships/hyperlink" Target="https://drive.google.com/open?id=1Km6cFFxRLJIMNBEFU9sKfbBuawlQQN8E" TargetMode="External"/><Relationship Id="rId23" Type="http://schemas.openxmlformats.org/officeDocument/2006/relationships/hyperlink" Target="https://drive.google.com/open?id=1goYPdiRW29MWWwHeGFRwsrAIXNonWLrT" TargetMode="External"/><Relationship Id="rId409" Type="http://schemas.openxmlformats.org/officeDocument/2006/relationships/hyperlink" Target="https://drive.google.com/open?id=1SRogFkZBKMcsW850WY26XXH2GuGHdba_" TargetMode="External"/><Relationship Id="rId404" Type="http://schemas.openxmlformats.org/officeDocument/2006/relationships/hyperlink" Target="https://drive.google.com/open?id=1lEkPL9OLLtz_BsCkeDSkF4H-D8xeCP30" TargetMode="External"/><Relationship Id="rId525" Type="http://schemas.openxmlformats.org/officeDocument/2006/relationships/hyperlink" Target="https://drive.google.com/open?id=1tfX9QhC_TqINl4cdBBJBUr2cA6FqF-04" TargetMode="External"/><Relationship Id="rId646" Type="http://schemas.openxmlformats.org/officeDocument/2006/relationships/hyperlink" Target="https://drive.google.com/open?id=1_adyqkInWmT1NW6th0lOJCKmQL61HjR0" TargetMode="External"/><Relationship Id="rId403" Type="http://schemas.openxmlformats.org/officeDocument/2006/relationships/hyperlink" Target="https://drive.google.com/open?id=1arPJKom2MAP8So27cCKYuYAjannRH_51" TargetMode="External"/><Relationship Id="rId524" Type="http://schemas.openxmlformats.org/officeDocument/2006/relationships/hyperlink" Target="https://drive.google.com/open?id=1TrbhZtxxdXnooW-H2xELFWat6tOtypJh" TargetMode="External"/><Relationship Id="rId645" Type="http://schemas.openxmlformats.org/officeDocument/2006/relationships/hyperlink" Target="https://drive.google.com/open?id=1i8TNQQ4kUaN60Evi6Zf1GNPEyeiMau6R" TargetMode="External"/><Relationship Id="rId402" Type="http://schemas.openxmlformats.org/officeDocument/2006/relationships/hyperlink" Target="https://drive.google.com/open?id=1fHDrVRrpEWcFg6sKP1WT83zmbmobprL_" TargetMode="External"/><Relationship Id="rId523" Type="http://schemas.openxmlformats.org/officeDocument/2006/relationships/hyperlink" Target="https://drive.google.com/open?id=11hwm5bVDtUki1WiO9TYbHhuIaE_ibfGc" TargetMode="External"/><Relationship Id="rId644" Type="http://schemas.openxmlformats.org/officeDocument/2006/relationships/hyperlink" Target="https://drive.google.com/open?id=14ine3ISsvkm1o9-50EKX315y09cOQ72z" TargetMode="External"/><Relationship Id="rId401" Type="http://schemas.openxmlformats.org/officeDocument/2006/relationships/hyperlink" Target="https://drive.google.com/open?id=1HZmRYL_7d5TCkC0568JzTF1p1GfYlEvB" TargetMode="External"/><Relationship Id="rId522" Type="http://schemas.openxmlformats.org/officeDocument/2006/relationships/hyperlink" Target="https://drive.google.com/open?id=1WWnNhebUZacb6IQhDBl2YIvduAZ5seWQ" TargetMode="External"/><Relationship Id="rId643" Type="http://schemas.openxmlformats.org/officeDocument/2006/relationships/hyperlink" Target="https://drive.google.com/open?id=1H1vzmwUGVE7xHtpdB9KLD0xL6JAhxC2i" TargetMode="External"/><Relationship Id="rId408" Type="http://schemas.openxmlformats.org/officeDocument/2006/relationships/hyperlink" Target="https://drive.google.com/open?id=15EBDWr63G1TOU7zVOS1spAJdoUHcMwFS" TargetMode="External"/><Relationship Id="rId529" Type="http://schemas.openxmlformats.org/officeDocument/2006/relationships/hyperlink" Target="https://drive.google.com/open?id=11m-QIkdshn8ykywCtqrSWRNLi2ah0_m2" TargetMode="External"/><Relationship Id="rId407" Type="http://schemas.openxmlformats.org/officeDocument/2006/relationships/hyperlink" Target="https://drive.google.com/open?id=1Rm29iYgohzV8WKdAQtyGscMBJsbzYZP7" TargetMode="External"/><Relationship Id="rId528" Type="http://schemas.openxmlformats.org/officeDocument/2006/relationships/hyperlink" Target="https://drive.google.com/open?id=1XLBtJYtHiGD2FY8d6aTzFrHxA-XZxMw7" TargetMode="External"/><Relationship Id="rId649" Type="http://schemas.openxmlformats.org/officeDocument/2006/relationships/hyperlink" Target="https://drive.google.com/open?id=1dt9lKPsbItvI3xgJLPB7Hrtk8KaND7-Z" TargetMode="External"/><Relationship Id="rId406" Type="http://schemas.openxmlformats.org/officeDocument/2006/relationships/hyperlink" Target="https://drive.google.com/open?id=1vp8dE0hlSDfC6h3dleFcSmEwRcQlbv7Y" TargetMode="External"/><Relationship Id="rId527" Type="http://schemas.openxmlformats.org/officeDocument/2006/relationships/hyperlink" Target="https://drive.google.com/open?id=1G7bSsFoiIGKrUm9OjbQnHnXLOaiX72cs" TargetMode="External"/><Relationship Id="rId648" Type="http://schemas.openxmlformats.org/officeDocument/2006/relationships/hyperlink" Target="https://drive.google.com/open?id=1oj--Gx9aqj7wjswwHWxnDP0a1PdlXWuu" TargetMode="External"/><Relationship Id="rId405" Type="http://schemas.openxmlformats.org/officeDocument/2006/relationships/hyperlink" Target="https://drive.google.com/open?id=1JGuYboGzd5fZFEqgNOxeDpENeTPqMAHQ" TargetMode="External"/><Relationship Id="rId526" Type="http://schemas.openxmlformats.org/officeDocument/2006/relationships/hyperlink" Target="https://drive.google.com/open?id=1is4UQNzQBNrnbNhdLoYQBLAp6h4m8BbH" TargetMode="External"/><Relationship Id="rId647" Type="http://schemas.openxmlformats.org/officeDocument/2006/relationships/hyperlink" Target="https://drive.google.com/open?id=1-BpFDyD7fRasOg44pioxchl8XPJEZPMp" TargetMode="External"/><Relationship Id="rId26" Type="http://schemas.openxmlformats.org/officeDocument/2006/relationships/hyperlink" Target="https://drive.google.com/open?id=1pjlLCsRo_uklCXRbu2bG26BidvnOydqx" TargetMode="External"/><Relationship Id="rId25" Type="http://schemas.openxmlformats.org/officeDocument/2006/relationships/hyperlink" Target="https://drive.google.com/open?id=1aQziiIhjuaWA2_IqW2IjTAVNDYRitx-l" TargetMode="External"/><Relationship Id="rId28" Type="http://schemas.openxmlformats.org/officeDocument/2006/relationships/hyperlink" Target="https://drive.google.com/open?id=1xuGz0xvuf2_YaeqJS904pTmO0lCwuhIT" TargetMode="External"/><Relationship Id="rId27" Type="http://schemas.openxmlformats.org/officeDocument/2006/relationships/hyperlink" Target="https://drive.google.com/open?id=1jVt9jfOAUXtHBdv3CIqQP2WRw8iFQ-yi" TargetMode="External"/><Relationship Id="rId400" Type="http://schemas.openxmlformats.org/officeDocument/2006/relationships/hyperlink" Target="https://drive.google.com/open?id=1Ox57E79d5LwHCjYtM-BrqvLVr61hcwTM" TargetMode="External"/><Relationship Id="rId521" Type="http://schemas.openxmlformats.org/officeDocument/2006/relationships/hyperlink" Target="https://drive.google.com/open?id=1TN_9oXnbR9jc1ZpUbPUs41eWn8tbBWQH" TargetMode="External"/><Relationship Id="rId642" Type="http://schemas.openxmlformats.org/officeDocument/2006/relationships/hyperlink" Target="https://drive.google.com/open?id=15HdMHCRSBJjBAbB5WmJ61mhTjntWrkf7" TargetMode="External"/><Relationship Id="rId29" Type="http://schemas.openxmlformats.org/officeDocument/2006/relationships/hyperlink" Target="https://drive.google.com/open?id=1h17-_wHbliUdbR-x0_lHlWMj7nIi4FXL" TargetMode="External"/><Relationship Id="rId520" Type="http://schemas.openxmlformats.org/officeDocument/2006/relationships/hyperlink" Target="https://drive.google.com/open?id=1btvJun1ozCxZu9PAfAxEQh_MtINclmWY" TargetMode="External"/><Relationship Id="rId641" Type="http://schemas.openxmlformats.org/officeDocument/2006/relationships/hyperlink" Target="https://drive.google.com/open?id=1N4amBsk_EvlhqAZlaJ8-DvkU6EsiSeKC" TargetMode="External"/><Relationship Id="rId640" Type="http://schemas.openxmlformats.org/officeDocument/2006/relationships/hyperlink" Target="https://drive.google.com/open?id=1Vq6wNCVJN96DzDuzAxqEDJLMcYMvxmjW" TargetMode="External"/><Relationship Id="rId11" Type="http://schemas.openxmlformats.org/officeDocument/2006/relationships/hyperlink" Target="https://drive.google.com/open?id=1o0Kim33P847c_k2XlcHbWlqsv9sbNRye" TargetMode="External"/><Relationship Id="rId10" Type="http://schemas.openxmlformats.org/officeDocument/2006/relationships/hyperlink" Target="https://drive.google.com/open?id=142wzW7eyr5JQo4HeoXai6GrUG0ejFM3G" TargetMode="External"/><Relationship Id="rId13" Type="http://schemas.openxmlformats.org/officeDocument/2006/relationships/hyperlink" Target="https://drive.google.com/open?id=19GVitXU4j_nHu78_aMJqRt6jYdBdtOLf" TargetMode="External"/><Relationship Id="rId12" Type="http://schemas.openxmlformats.org/officeDocument/2006/relationships/hyperlink" Target="https://drive.google.com/open?id=18CvQD4rJO2Wa50qVjVrhdUTkYSZrR7vu" TargetMode="External"/><Relationship Id="rId519" Type="http://schemas.openxmlformats.org/officeDocument/2006/relationships/hyperlink" Target="https://drive.google.com/open?id=1gfNzPhQ0o7aIhFfzSN6VFgRfp7Umx3Gc" TargetMode="External"/><Relationship Id="rId514" Type="http://schemas.openxmlformats.org/officeDocument/2006/relationships/hyperlink" Target="https://drive.google.com/open?id=15pmg3DVlgvvTVHO1jaKhjdjHXNmbS31j" TargetMode="External"/><Relationship Id="rId635" Type="http://schemas.openxmlformats.org/officeDocument/2006/relationships/hyperlink" Target="https://drive.google.com/open?id=1ucsMMLOFW19uLwjesZsK1pAQq-UvtXVS" TargetMode="External"/><Relationship Id="rId513" Type="http://schemas.openxmlformats.org/officeDocument/2006/relationships/hyperlink" Target="https://drive.google.com/open?id=1mMNqEbHMmMJ-0-8WXl47bN32MAw8x-jS" TargetMode="External"/><Relationship Id="rId634" Type="http://schemas.openxmlformats.org/officeDocument/2006/relationships/hyperlink" Target="https://drive.google.com/open?id=1Y4MySk-8Q0h95B0If-CRY422TeDSs1Oc" TargetMode="External"/><Relationship Id="rId512" Type="http://schemas.openxmlformats.org/officeDocument/2006/relationships/hyperlink" Target="https://drive.google.com/open?id=1iuwpqKF6AiQHcX867Bd8p85vVYqJyqBF" TargetMode="External"/><Relationship Id="rId633" Type="http://schemas.openxmlformats.org/officeDocument/2006/relationships/hyperlink" Target="https://drive.google.com/open?id=1OOKf2TYzC6pXxCMiD1MXt9-oHVcrvqa3" TargetMode="External"/><Relationship Id="rId511" Type="http://schemas.openxmlformats.org/officeDocument/2006/relationships/hyperlink" Target="https://drive.google.com/open?id=1967D_cCas2yy-WMOo7D_JCBueTqZquJ0" TargetMode="External"/><Relationship Id="rId632" Type="http://schemas.openxmlformats.org/officeDocument/2006/relationships/hyperlink" Target="https://drive.google.com/open?id=1ugJ926T_ZZfDglU-H5iLlDNCuqIdE6r5" TargetMode="External"/><Relationship Id="rId518" Type="http://schemas.openxmlformats.org/officeDocument/2006/relationships/hyperlink" Target="https://drive.google.com/open?id=17PD_7PAjjaMgxEOuVigGXHb5D1VAcBav" TargetMode="External"/><Relationship Id="rId639" Type="http://schemas.openxmlformats.org/officeDocument/2006/relationships/hyperlink" Target="https://drive.google.com/open?id=1pa0P7Wb3GqRAI3_4eHk0_VX0InXVEubf" TargetMode="External"/><Relationship Id="rId517" Type="http://schemas.openxmlformats.org/officeDocument/2006/relationships/hyperlink" Target="https://drive.google.com/open?id=1_fUhjoBI9Go9LGITRgag6jUUBpIVt7bg" TargetMode="External"/><Relationship Id="rId638" Type="http://schemas.openxmlformats.org/officeDocument/2006/relationships/hyperlink" Target="https://drive.google.com/open?id=1F7gFGOh7impFQ0vjPV4ef9z6JpjMiRE7" TargetMode="External"/><Relationship Id="rId516" Type="http://schemas.openxmlformats.org/officeDocument/2006/relationships/hyperlink" Target="https://drive.google.com/open?id=12LVSb5DArYhFIJXwsOhtQz4ieGkDb3pt" TargetMode="External"/><Relationship Id="rId637" Type="http://schemas.openxmlformats.org/officeDocument/2006/relationships/hyperlink" Target="https://drive.google.com/open?id=1fOQXq1ctGfowaU9bSFnyqMfHWaZI0Sek" TargetMode="External"/><Relationship Id="rId515" Type="http://schemas.openxmlformats.org/officeDocument/2006/relationships/hyperlink" Target="https://drive.google.com/open?id=1O-kS8BnwghffxRKgYSWyjJy-TbMqShA4" TargetMode="External"/><Relationship Id="rId636" Type="http://schemas.openxmlformats.org/officeDocument/2006/relationships/hyperlink" Target="https://drive.google.com/open?id=16DejLedm-SYZPBMaEiIL9d8edrpussyR" TargetMode="External"/><Relationship Id="rId15" Type="http://schemas.openxmlformats.org/officeDocument/2006/relationships/hyperlink" Target="https://drive.google.com/open?id=1svOwhWUMRmNymRSuXHK08wXhaX8mqDQy" TargetMode="External"/><Relationship Id="rId14" Type="http://schemas.openxmlformats.org/officeDocument/2006/relationships/hyperlink" Target="https://drive.google.com/open?id=1IXZxgP6K6n9N4Jidsis-ZfbcxVUuaHuB" TargetMode="External"/><Relationship Id="rId17" Type="http://schemas.openxmlformats.org/officeDocument/2006/relationships/hyperlink" Target="https://drive.google.com/open?id=1zvu-FT5-zg-NPAztaoYUcenMS1QA837N" TargetMode="External"/><Relationship Id="rId16" Type="http://schemas.openxmlformats.org/officeDocument/2006/relationships/hyperlink" Target="https://drive.google.com/open?id=1sEvRgGMTcAMEuPZdtimKcv-TgmW6LWxo" TargetMode="External"/><Relationship Id="rId19" Type="http://schemas.openxmlformats.org/officeDocument/2006/relationships/hyperlink" Target="https://drive.google.com/open?id=1bmqZL5xmnsWX3Tlbo8Zg6ic4W1pijQJr" TargetMode="External"/><Relationship Id="rId510" Type="http://schemas.openxmlformats.org/officeDocument/2006/relationships/hyperlink" Target="https://drive.google.com/open?id=1N1o5TIFVtoEt2b097sqX8VmnCtOLqzmy" TargetMode="External"/><Relationship Id="rId631" Type="http://schemas.openxmlformats.org/officeDocument/2006/relationships/hyperlink" Target="https://drive.google.com/open?id=1S6YFbmLbSVrovX6UiSlBn1dl3KlYA1xE" TargetMode="External"/><Relationship Id="rId18" Type="http://schemas.openxmlformats.org/officeDocument/2006/relationships/hyperlink" Target="https://drive.google.com/open?id=1FtLfZxNLiYbXSI6-_WDLnSESMSO0dj_3" TargetMode="External"/><Relationship Id="rId630" Type="http://schemas.openxmlformats.org/officeDocument/2006/relationships/hyperlink" Target="https://drive.google.com/open?id=15jb3pY2FX4OlVO4tzqaAKvA7-FPeVrKb" TargetMode="External"/><Relationship Id="rId84" Type="http://schemas.openxmlformats.org/officeDocument/2006/relationships/hyperlink" Target="https://drive.google.com/open?id=1uioGz5yqvLxg0bSbq8f7C69awrwUtDjx" TargetMode="External"/><Relationship Id="rId83" Type="http://schemas.openxmlformats.org/officeDocument/2006/relationships/hyperlink" Target="https://drive.google.com/open?id=1QP9S5FyEDWjg4IaH5BqHe1C-buVqDK8g" TargetMode="External"/><Relationship Id="rId86" Type="http://schemas.openxmlformats.org/officeDocument/2006/relationships/hyperlink" Target="https://drive.google.com/open?id=1WbecmOwLRnXDEHTcoTuCYV3yn9EOV5Rj" TargetMode="External"/><Relationship Id="rId85" Type="http://schemas.openxmlformats.org/officeDocument/2006/relationships/hyperlink" Target="https://drive.google.com/open?id=1W5iCyPsQckYNDQNU9RU5hWQeUTHH02yo" TargetMode="External"/><Relationship Id="rId88" Type="http://schemas.openxmlformats.org/officeDocument/2006/relationships/hyperlink" Target="https://drive.google.com/open?id=1KAoYGeBwfgaD1bHabEAmIaCU_1ieLQpH" TargetMode="External"/><Relationship Id="rId87" Type="http://schemas.openxmlformats.org/officeDocument/2006/relationships/hyperlink" Target="https://drive.google.com/open?id=16RFn6vn67kq9_WJY5oK0B_pAXdpmpQy_" TargetMode="External"/><Relationship Id="rId89" Type="http://schemas.openxmlformats.org/officeDocument/2006/relationships/hyperlink" Target="https://drive.google.com/open?id=1hY24VDZObHwwtPI6ikeMaC-SIKuvZ_wJ" TargetMode="External"/><Relationship Id="rId80" Type="http://schemas.openxmlformats.org/officeDocument/2006/relationships/hyperlink" Target="https://drive.google.com/open?id=1P9pQsCRkJZMgdUinSaTX-DluEa0ETL9x" TargetMode="External"/><Relationship Id="rId82" Type="http://schemas.openxmlformats.org/officeDocument/2006/relationships/hyperlink" Target="https://drive.google.com/open?id=1c0RCAFe2lc2LmrbePPAdmnd57zvvvfQx" TargetMode="External"/><Relationship Id="rId81" Type="http://schemas.openxmlformats.org/officeDocument/2006/relationships/hyperlink" Target="https://drive.google.com/open?id=1atwiNeatvmrALHT8z4mLzUr_CH9Au3e0" TargetMode="External"/><Relationship Id="rId73" Type="http://schemas.openxmlformats.org/officeDocument/2006/relationships/hyperlink" Target="https://drive.google.com/open?id=1Bn6NxPRDqthAo87Y0tOWMkmUc861FYeV" TargetMode="External"/><Relationship Id="rId72" Type="http://schemas.openxmlformats.org/officeDocument/2006/relationships/hyperlink" Target="https://drive.google.com/open?id=1NMQQZkdOckPHcT4V6H-z1Ob74Zy0VK1-" TargetMode="External"/><Relationship Id="rId75" Type="http://schemas.openxmlformats.org/officeDocument/2006/relationships/hyperlink" Target="https://drive.google.com/open?id=11-bxtkCvVN6DX5sGqxZzvQE6Mll_lMkw" TargetMode="External"/><Relationship Id="rId74" Type="http://schemas.openxmlformats.org/officeDocument/2006/relationships/hyperlink" Target="https://drive.google.com/open?id=15EXAQhjA-fQ-tgMIUhWnY_U2YMyoX15v" TargetMode="External"/><Relationship Id="rId77" Type="http://schemas.openxmlformats.org/officeDocument/2006/relationships/hyperlink" Target="https://drive.google.com/open?id=16z2u88pTxKa3tsYxti_uHB2il2bSLukf" TargetMode="External"/><Relationship Id="rId76" Type="http://schemas.openxmlformats.org/officeDocument/2006/relationships/hyperlink" Target="https://drive.google.com/open?id=1Zw_WW_6su7IKk2RDm1d2sf9fl9qEVBRg" TargetMode="External"/><Relationship Id="rId79" Type="http://schemas.openxmlformats.org/officeDocument/2006/relationships/hyperlink" Target="https://drive.google.com/open?id=1bcz68-Jn_RxxjEEqoC_Cyk3Lr8jjkkLN" TargetMode="External"/><Relationship Id="rId78" Type="http://schemas.openxmlformats.org/officeDocument/2006/relationships/hyperlink" Target="https://drive.google.com/open?id=1SMPcombUe9cGuac7120mLzOZKsisfAkr" TargetMode="External"/><Relationship Id="rId71" Type="http://schemas.openxmlformats.org/officeDocument/2006/relationships/hyperlink" Target="https://drive.google.com/open?id=1KHkimx0b7-y19yMqDpTLycfWMRa42LUD" TargetMode="External"/><Relationship Id="rId70" Type="http://schemas.openxmlformats.org/officeDocument/2006/relationships/hyperlink" Target="https://drive.google.com/open?id=1Tnx0vRqhUmr9vIXQ4wUyJICQzzS1aiMn" TargetMode="External"/><Relationship Id="rId62" Type="http://schemas.openxmlformats.org/officeDocument/2006/relationships/hyperlink" Target="https://drive.google.com/open?id=10HweCjoFt_3hpQiER3l4tFHZUa2GUwQ3" TargetMode="External"/><Relationship Id="rId61" Type="http://schemas.openxmlformats.org/officeDocument/2006/relationships/hyperlink" Target="https://drive.google.com/open?id=1yS-grce0T-OzxiXdBvFldHU4Ab8YkDEq" TargetMode="External"/><Relationship Id="rId64" Type="http://schemas.openxmlformats.org/officeDocument/2006/relationships/hyperlink" Target="https://drive.google.com/open?id=17S5zRyQvKFaG8O8gg0g0jPG6dXlTLvHg" TargetMode="External"/><Relationship Id="rId63" Type="http://schemas.openxmlformats.org/officeDocument/2006/relationships/hyperlink" Target="https://drive.google.com/open?id=1wNhnC7GKxWgDlffQQa0tP9gsswfIFqYa" TargetMode="External"/><Relationship Id="rId66" Type="http://schemas.openxmlformats.org/officeDocument/2006/relationships/hyperlink" Target="https://drive.google.com/open?id=1zoopZJPf7q5YwvO3hbxQmuLAD3_crG6p" TargetMode="External"/><Relationship Id="rId65" Type="http://schemas.openxmlformats.org/officeDocument/2006/relationships/hyperlink" Target="https://drive.google.com/open?id=1jwVMj7xk-e7y-j7S7pN-4dZdAebyhk3y" TargetMode="External"/><Relationship Id="rId68" Type="http://schemas.openxmlformats.org/officeDocument/2006/relationships/hyperlink" Target="https://drive.google.com/open?id=1HjX1mq9ALxkUsvtzG9W211l2eLpaEOKI" TargetMode="External"/><Relationship Id="rId67" Type="http://schemas.openxmlformats.org/officeDocument/2006/relationships/hyperlink" Target="https://drive.google.com/open?id=1vMdQkgKxBudd5BCAnnmy3RV3vvpn0WIM" TargetMode="External"/><Relationship Id="rId609" Type="http://schemas.openxmlformats.org/officeDocument/2006/relationships/hyperlink" Target="https://drive.google.com/open?id=1TjqOd6Sp3ghgzLPrEeMn3emiYZKfHQZC" TargetMode="External"/><Relationship Id="rId608" Type="http://schemas.openxmlformats.org/officeDocument/2006/relationships/hyperlink" Target="https://drive.google.com/open?id=1dtStzcLsVDaG1sBSki4a0heMfbeyYvp5" TargetMode="External"/><Relationship Id="rId607" Type="http://schemas.openxmlformats.org/officeDocument/2006/relationships/hyperlink" Target="https://drive.google.com/open?id=15OjNs2zp5HQwsam2uM8-1hIYZcozQwXK" TargetMode="External"/><Relationship Id="rId60" Type="http://schemas.openxmlformats.org/officeDocument/2006/relationships/hyperlink" Target="https://drive.google.com/open?id=1QRbATtsy4J7941oRa1V5raLectFe8NE_" TargetMode="External"/><Relationship Id="rId602" Type="http://schemas.openxmlformats.org/officeDocument/2006/relationships/hyperlink" Target="https://drive.google.com/open?id=1ufg9f9K1SvWq0xzaCXoxPa7b7sXmPPzo" TargetMode="External"/><Relationship Id="rId601" Type="http://schemas.openxmlformats.org/officeDocument/2006/relationships/hyperlink" Target="https://drive.google.com/open?id=1KPegDquZeVX2sX1mdfGrz1UsbN5Temv1" TargetMode="External"/><Relationship Id="rId600" Type="http://schemas.openxmlformats.org/officeDocument/2006/relationships/hyperlink" Target="https://drive.google.com/open?id=1fT52y4Bycc70Bd5MbjUZIG1NWp3dgm-M" TargetMode="External"/><Relationship Id="rId606" Type="http://schemas.openxmlformats.org/officeDocument/2006/relationships/hyperlink" Target="https://drive.google.com/open?id=1gKKY1tdlmy3Hv9ymjepFTADiqxM0vsS7" TargetMode="External"/><Relationship Id="rId605" Type="http://schemas.openxmlformats.org/officeDocument/2006/relationships/hyperlink" Target="https://drive.google.com/open?id=1wMLsIW56jbLs7-wvIXUoKu2AOrETjNBu" TargetMode="External"/><Relationship Id="rId604" Type="http://schemas.openxmlformats.org/officeDocument/2006/relationships/hyperlink" Target="https://drive.google.com/open?id=1g1W5N1-EEIm8nYH8RuaRFrCgHNe7V_QE" TargetMode="External"/><Relationship Id="rId603" Type="http://schemas.openxmlformats.org/officeDocument/2006/relationships/hyperlink" Target="https://drive.google.com/open?id=1jMj2eBTqD3_Ay209A_FpqAQAm5PIoL-j" TargetMode="External"/><Relationship Id="rId69" Type="http://schemas.openxmlformats.org/officeDocument/2006/relationships/hyperlink" Target="https://drive.google.com/open?id=17Aq4OXMEVjAI9PKzDuTvPPSXgF_ZZRDP" TargetMode="External"/><Relationship Id="rId51" Type="http://schemas.openxmlformats.org/officeDocument/2006/relationships/hyperlink" Target="https://drive.google.com/open?id=1swwY8rHvzplyn369OCGPWuu_p88nffO6" TargetMode="External"/><Relationship Id="rId50" Type="http://schemas.openxmlformats.org/officeDocument/2006/relationships/hyperlink" Target="https://drive.google.com/open?id=19FYE3fEDKbpqAwAUJDZoWjui1gcNn4t7" TargetMode="External"/><Relationship Id="rId53" Type="http://schemas.openxmlformats.org/officeDocument/2006/relationships/hyperlink" Target="https://drive.google.com/open?id=1X1qVFb-5mE0XXIXPIy87leiEZLBSd0hN" TargetMode="External"/><Relationship Id="rId52" Type="http://schemas.openxmlformats.org/officeDocument/2006/relationships/hyperlink" Target="https://drive.google.com/open?id=1f74Wm4EoD3DnCqI2I7_-uYahRzsm-NDF" TargetMode="External"/><Relationship Id="rId55" Type="http://schemas.openxmlformats.org/officeDocument/2006/relationships/hyperlink" Target="https://drive.google.com/open?id=1CyNG9Cg7xYiOy1JOOHb6upHnVCZUQLz7" TargetMode="External"/><Relationship Id="rId54" Type="http://schemas.openxmlformats.org/officeDocument/2006/relationships/hyperlink" Target="https://drive.google.com/open?id=1X1qVFb-5mE0XXIXPIy87leiEZLBSd0hN" TargetMode="External"/><Relationship Id="rId57" Type="http://schemas.openxmlformats.org/officeDocument/2006/relationships/hyperlink" Target="https://drive.google.com/open?id=1-qn3pz6jESHqCjBZRGZrCpS_WMmxBKXS" TargetMode="External"/><Relationship Id="rId56" Type="http://schemas.openxmlformats.org/officeDocument/2006/relationships/hyperlink" Target="https://drive.google.com/open?id=1kCGkpwCgZ44V0ig_NkIwA6AeZ0OV6FNY" TargetMode="External"/><Relationship Id="rId59" Type="http://schemas.openxmlformats.org/officeDocument/2006/relationships/hyperlink" Target="https://drive.google.com/open?id=1PGL8Ofesu3KAsuEAPkDr2aScAY87QOgO" TargetMode="External"/><Relationship Id="rId58" Type="http://schemas.openxmlformats.org/officeDocument/2006/relationships/hyperlink" Target="https://drive.google.com/open?id=1yE7sKzfRnkzZ0fLl7qeqC2dwswNIC3eY" TargetMode="External"/><Relationship Id="rId590" Type="http://schemas.openxmlformats.org/officeDocument/2006/relationships/hyperlink" Target="https://drive.google.com/open?id=1Vfa7PB-nArMLWLDDxnNDt7IpkzWzFw5U" TargetMode="External"/><Relationship Id="rId107" Type="http://schemas.openxmlformats.org/officeDocument/2006/relationships/hyperlink" Target="https://drive.google.com/open?id=1Jkeymc0k7YGIdVkRtQJPgtrm-cAY_jv0" TargetMode="External"/><Relationship Id="rId228" Type="http://schemas.openxmlformats.org/officeDocument/2006/relationships/hyperlink" Target="https://drive.google.com/open?id=1zxoItJa8ChZhSrNcxhatYitOQ9HEqY0t" TargetMode="External"/><Relationship Id="rId349" Type="http://schemas.openxmlformats.org/officeDocument/2006/relationships/hyperlink" Target="https://drive.google.com/open?id=1MAu2ai6mc5c1aVFM8CvMc30DCUvKVipF" TargetMode="External"/><Relationship Id="rId106" Type="http://schemas.openxmlformats.org/officeDocument/2006/relationships/hyperlink" Target="https://drive.google.com/open?id=1dAt_quffFFVUqasMdd39aqcaLHXnr5DG" TargetMode="External"/><Relationship Id="rId227" Type="http://schemas.openxmlformats.org/officeDocument/2006/relationships/hyperlink" Target="https://drive.google.com/open?id=1EZiwwrMcN2q6lDaWlrzwWXDpUXASs9Yx" TargetMode="External"/><Relationship Id="rId348" Type="http://schemas.openxmlformats.org/officeDocument/2006/relationships/hyperlink" Target="https://drive.google.com/open?id=17_OxaPHFCsoS60MY6UrbgFcQeW7u36-P" TargetMode="External"/><Relationship Id="rId469" Type="http://schemas.openxmlformats.org/officeDocument/2006/relationships/hyperlink" Target="https://drive.google.com/open?id=1imznow5J7lKupn5IXrXALZJyaX78POEt" TargetMode="External"/><Relationship Id="rId105" Type="http://schemas.openxmlformats.org/officeDocument/2006/relationships/hyperlink" Target="https://drive.google.com/open?id=1mEGj_cv1OD3V31bfrl8o4xEUP74xl5II" TargetMode="External"/><Relationship Id="rId226" Type="http://schemas.openxmlformats.org/officeDocument/2006/relationships/hyperlink" Target="https://drive.google.com/open?id=13E-9cn3nIEH0_eYRZqZqOi9puye1StyG" TargetMode="External"/><Relationship Id="rId347" Type="http://schemas.openxmlformats.org/officeDocument/2006/relationships/hyperlink" Target="https://drive.google.com/open?id=1DZNb3FvbQ7sYWlpg7FbrlP2bYCTcYAYR" TargetMode="External"/><Relationship Id="rId468" Type="http://schemas.openxmlformats.org/officeDocument/2006/relationships/hyperlink" Target="https://drive.google.com/open?id=1B04_m63_95K1Y2SHlz4D5LObBsjgcGzn" TargetMode="External"/><Relationship Id="rId589" Type="http://schemas.openxmlformats.org/officeDocument/2006/relationships/hyperlink" Target="https://drive.google.com/open?id=1AV39Nq3WsMDHy1KwcoXFuGBgTdVxwhaF" TargetMode="External"/><Relationship Id="rId104" Type="http://schemas.openxmlformats.org/officeDocument/2006/relationships/hyperlink" Target="https://drive.google.com/open?id=1fTgxg6b--OEFjs4P4CJnkA2v9mWJru-N" TargetMode="External"/><Relationship Id="rId225" Type="http://schemas.openxmlformats.org/officeDocument/2006/relationships/hyperlink" Target="https://drive.google.com/open?id=1i09YKfvGhQAkmh3Z-VDHUTmytgvrJaiA" TargetMode="External"/><Relationship Id="rId346" Type="http://schemas.openxmlformats.org/officeDocument/2006/relationships/hyperlink" Target="https://drive.google.com/open?id=19dCbCDtyR8aQ-191GxVC0Z_Uba0BMHg2" TargetMode="External"/><Relationship Id="rId467" Type="http://schemas.openxmlformats.org/officeDocument/2006/relationships/hyperlink" Target="https://drive.google.com/open?id=1pUx8qiwYTfajtdeODi3rHawzX3kgxES_" TargetMode="External"/><Relationship Id="rId588" Type="http://schemas.openxmlformats.org/officeDocument/2006/relationships/hyperlink" Target="https://drive.google.com/open?id=1xx7OHhq40f2OvyA9eLPcoRROFuNwUszS" TargetMode="External"/><Relationship Id="rId109" Type="http://schemas.openxmlformats.org/officeDocument/2006/relationships/hyperlink" Target="https://drive.google.com/open?id=1znW0iMI67FdDu3M6scdAsYojJ7DWk_D7" TargetMode="External"/><Relationship Id="rId108" Type="http://schemas.openxmlformats.org/officeDocument/2006/relationships/hyperlink" Target="https://drive.google.com/open?id=1qpQKM-OQCLSUfVIl5e2US7O74xQCHXYH" TargetMode="External"/><Relationship Id="rId229" Type="http://schemas.openxmlformats.org/officeDocument/2006/relationships/hyperlink" Target="https://drive.google.com/open?id=1bl1HHJQrHtZZzmoMRo6sLJtMcv1Iug5a" TargetMode="External"/><Relationship Id="rId220" Type="http://schemas.openxmlformats.org/officeDocument/2006/relationships/hyperlink" Target="https://drive.google.com/open?id=1OdBvZxPfWkz853VfVz5Y_6CG-Qfs_RD7" TargetMode="External"/><Relationship Id="rId341" Type="http://schemas.openxmlformats.org/officeDocument/2006/relationships/hyperlink" Target="https://drive.google.com/open?id=1OjiaIpYgwuprskzmZyhkoZs1PThI8oxN" TargetMode="External"/><Relationship Id="rId462" Type="http://schemas.openxmlformats.org/officeDocument/2006/relationships/hyperlink" Target="https://drive.google.com/open?id=1CKhlOkhW-DuODFjUd-A4Ad1gcaZDTkW0" TargetMode="External"/><Relationship Id="rId583" Type="http://schemas.openxmlformats.org/officeDocument/2006/relationships/hyperlink" Target="https://drive.google.com/open?id=1ThJTtkK4Nbh_blfXDWo5VHCDdVxReNvC" TargetMode="External"/><Relationship Id="rId340" Type="http://schemas.openxmlformats.org/officeDocument/2006/relationships/hyperlink" Target="https://drive.google.com/open?id=1ur1ZDIH6KYyrflVBBGf05Fy2ml__6bk_" TargetMode="External"/><Relationship Id="rId461" Type="http://schemas.openxmlformats.org/officeDocument/2006/relationships/hyperlink" Target="https://drive.google.com/open?id=1iDhf5Fedk2xkHL91ldO95fbgObHwCoZ0" TargetMode="External"/><Relationship Id="rId582" Type="http://schemas.openxmlformats.org/officeDocument/2006/relationships/hyperlink" Target="https://drive.google.com/open?id=1H8MOrlpm1sgyD0yo9OfTXqlYBx3zyx1l" TargetMode="External"/><Relationship Id="rId460" Type="http://schemas.openxmlformats.org/officeDocument/2006/relationships/hyperlink" Target="https://drive.google.com/open?id=1gvIplrn-a3NFB6T1MPqW8DoFxac0ePvT" TargetMode="External"/><Relationship Id="rId581" Type="http://schemas.openxmlformats.org/officeDocument/2006/relationships/hyperlink" Target="https://drive.google.com/open?id=1haDAwy2XsMRmPaBVx7IGRzzXQWmE9X_d" TargetMode="External"/><Relationship Id="rId580" Type="http://schemas.openxmlformats.org/officeDocument/2006/relationships/hyperlink" Target="https://drive.google.com/open?id=15ujPg-fOtXta-1Euak9RzqbINblbaeQo" TargetMode="External"/><Relationship Id="rId103" Type="http://schemas.openxmlformats.org/officeDocument/2006/relationships/hyperlink" Target="https://drive.google.com/open?id=1X7_lGxGn4ce7vlrcl_e9Xo3OFNplyOlo" TargetMode="External"/><Relationship Id="rId224" Type="http://schemas.openxmlformats.org/officeDocument/2006/relationships/hyperlink" Target="https://drive.google.com/open?id=1joU1V0tmwwCamTPc4r6UaGv-NIdlkeec" TargetMode="External"/><Relationship Id="rId345" Type="http://schemas.openxmlformats.org/officeDocument/2006/relationships/hyperlink" Target="https://drive.google.com/open?id=1sMy7r-j1Mf1xC6-z4jG7Mxdnv1MNEo9f" TargetMode="External"/><Relationship Id="rId466" Type="http://schemas.openxmlformats.org/officeDocument/2006/relationships/hyperlink" Target="https://drive.google.com/open?id=1rokMm96BPYhe9HazG-nmPMZQL1GU9Dgw" TargetMode="External"/><Relationship Id="rId587" Type="http://schemas.openxmlformats.org/officeDocument/2006/relationships/hyperlink" Target="https://drive.google.com/open?id=14mS-OEwJBxCP_okynljZSYyLys39P-Iz" TargetMode="External"/><Relationship Id="rId102" Type="http://schemas.openxmlformats.org/officeDocument/2006/relationships/hyperlink" Target="https://drive.google.com/open?id=14PKKfAWMQ8sKEsINcvIMEF7Ztphihc1t" TargetMode="External"/><Relationship Id="rId223" Type="http://schemas.openxmlformats.org/officeDocument/2006/relationships/hyperlink" Target="https://drive.google.com/open?id=1FryQDTXnEpv2NXNO1JrCf_zIpSawmMnz" TargetMode="External"/><Relationship Id="rId344" Type="http://schemas.openxmlformats.org/officeDocument/2006/relationships/hyperlink" Target="https://drive.google.com/open?id=1k3tGAOoEK1_hNwNnDjEyR1xJ819P_n_v" TargetMode="External"/><Relationship Id="rId465" Type="http://schemas.openxmlformats.org/officeDocument/2006/relationships/hyperlink" Target="https://drive.google.com/open?id=12NuDEsGQKHIfM21jbLln77WHJQeK_iRU" TargetMode="External"/><Relationship Id="rId586" Type="http://schemas.openxmlformats.org/officeDocument/2006/relationships/hyperlink" Target="https://drive.google.com/open?id=14T6_Jz2UgXAI2t4tpcGwtVz7-fp_9PQQ" TargetMode="External"/><Relationship Id="rId101" Type="http://schemas.openxmlformats.org/officeDocument/2006/relationships/hyperlink" Target="https://drive.google.com/open?id=15jmssQop6AmAZ9GBgQ6dnNT-R_6fyKUt" TargetMode="External"/><Relationship Id="rId222" Type="http://schemas.openxmlformats.org/officeDocument/2006/relationships/hyperlink" Target="https://drive.google.com/open?id=1Sua5u31gCDECeZ3H9JB71Ejdu7PHVrkq" TargetMode="External"/><Relationship Id="rId343" Type="http://schemas.openxmlformats.org/officeDocument/2006/relationships/hyperlink" Target="https://drive.google.com/open?id=1FVQe-cN8ZVeZIjzzUxj9iqRjPyzaMp6Y" TargetMode="External"/><Relationship Id="rId464" Type="http://schemas.openxmlformats.org/officeDocument/2006/relationships/hyperlink" Target="https://drive.google.com/open?id=1sKd_gfMCvCQ3x90hbhKCEQENhfQ8mKTq" TargetMode="External"/><Relationship Id="rId585" Type="http://schemas.openxmlformats.org/officeDocument/2006/relationships/hyperlink" Target="https://drive.google.com/open?id=1E_Q1UKN2bOS4djd6Olcy6wx1zSMrwSxO" TargetMode="External"/><Relationship Id="rId100" Type="http://schemas.openxmlformats.org/officeDocument/2006/relationships/hyperlink" Target="https://drive.google.com/open?id=1OPX-yR1kjfZgoAis_U-6OtHYtPKn2DBW" TargetMode="External"/><Relationship Id="rId221" Type="http://schemas.openxmlformats.org/officeDocument/2006/relationships/hyperlink" Target="https://drive.google.com/open?id=1DYgGQEOhcMzs6T6prllMHUiXumkzJSKO" TargetMode="External"/><Relationship Id="rId342" Type="http://schemas.openxmlformats.org/officeDocument/2006/relationships/hyperlink" Target="https://drive.google.com/open?id=1YQv1y6OlqXj6mwhNkXS6rZCmaqLufVnC" TargetMode="External"/><Relationship Id="rId463" Type="http://schemas.openxmlformats.org/officeDocument/2006/relationships/hyperlink" Target="https://drive.google.com/open?id=1Ti5s5QHApU7C91cVC4KBe4Hhdf8mG5NA" TargetMode="External"/><Relationship Id="rId584" Type="http://schemas.openxmlformats.org/officeDocument/2006/relationships/hyperlink" Target="https://drive.google.com/open?id=14F2Bw9UvGx6_WsxtRusCd_pFiUtPpkvi" TargetMode="External"/><Relationship Id="rId217" Type="http://schemas.openxmlformats.org/officeDocument/2006/relationships/hyperlink" Target="https://drive.google.com/open?id=1E8OtKcI3orrQkN9-dLP09Xi6myxO-bf5" TargetMode="External"/><Relationship Id="rId338" Type="http://schemas.openxmlformats.org/officeDocument/2006/relationships/hyperlink" Target="https://drive.google.com/open?id=1LtIm_3hezKAweGUAwjw7-bqIvLE03FPV" TargetMode="External"/><Relationship Id="rId459" Type="http://schemas.openxmlformats.org/officeDocument/2006/relationships/hyperlink" Target="https://drive.google.com/open?id=1YRP1aslF--Vl2q90z6UxhVjHKfb5okxN" TargetMode="External"/><Relationship Id="rId216" Type="http://schemas.openxmlformats.org/officeDocument/2006/relationships/hyperlink" Target="https://drive.google.com/open?id=1lZVnoFaR7GX15e0CPm3HFUMNLtw2fWsI" TargetMode="External"/><Relationship Id="rId337" Type="http://schemas.openxmlformats.org/officeDocument/2006/relationships/hyperlink" Target="https://drive.google.com/open?id=1i6vNf8-qmVhBJJyPz8IZ0GOWAxIUqDs_" TargetMode="External"/><Relationship Id="rId458" Type="http://schemas.openxmlformats.org/officeDocument/2006/relationships/hyperlink" Target="https://drive.google.com/open?id=1JXWy2JQNrAkkBE_HrFzKlJdBFdfLyYVO" TargetMode="External"/><Relationship Id="rId579" Type="http://schemas.openxmlformats.org/officeDocument/2006/relationships/hyperlink" Target="https://drive.google.com/open?id=1pD0lnKaBS0SChHGeL1ZTzaq0aktKMt37" TargetMode="External"/><Relationship Id="rId215" Type="http://schemas.openxmlformats.org/officeDocument/2006/relationships/hyperlink" Target="https://drive.google.com/open?id=1asf83xIbD0Gu5sa510zmsuBPSylRmVnE" TargetMode="External"/><Relationship Id="rId336" Type="http://schemas.openxmlformats.org/officeDocument/2006/relationships/hyperlink" Target="https://drive.google.com/open?id=1VctT3p0yTZKZsjaWPiNlS-K5VUDx7abz" TargetMode="External"/><Relationship Id="rId457" Type="http://schemas.openxmlformats.org/officeDocument/2006/relationships/hyperlink" Target="https://drive.google.com/open?id=1G4UlPypam1h5qhZhxBPOv09_XuE4UKJ_" TargetMode="External"/><Relationship Id="rId578" Type="http://schemas.openxmlformats.org/officeDocument/2006/relationships/hyperlink" Target="https://drive.google.com/open?id=12XHkLtYJrLG_SMQKGY4C_ASQxCGiKVsY" TargetMode="External"/><Relationship Id="rId214" Type="http://schemas.openxmlformats.org/officeDocument/2006/relationships/hyperlink" Target="https://drive.google.com/open?id=1qrUgWjQsL34HotxLJKvl5hkAYopSOF1L" TargetMode="External"/><Relationship Id="rId335" Type="http://schemas.openxmlformats.org/officeDocument/2006/relationships/hyperlink" Target="https://drive.google.com/open?id=1tNhqjiUtI_5Wjlnub4_-28lWwX9f0lCU" TargetMode="External"/><Relationship Id="rId456" Type="http://schemas.openxmlformats.org/officeDocument/2006/relationships/hyperlink" Target="https://drive.google.com/open?id=1gTF1yC9NhmExG0s08vKjtSLhjs2vbOle" TargetMode="External"/><Relationship Id="rId577" Type="http://schemas.openxmlformats.org/officeDocument/2006/relationships/hyperlink" Target="https://drive.google.com/open?id=11M0tLlGS8IjvfzUrbBxUjd4e7Pf9wDBB" TargetMode="External"/><Relationship Id="rId219" Type="http://schemas.openxmlformats.org/officeDocument/2006/relationships/hyperlink" Target="https://drive.google.com/open?id=1AEACQcOn5M-fkA1W0XSFEqSpZ_yVXWol" TargetMode="External"/><Relationship Id="rId218" Type="http://schemas.openxmlformats.org/officeDocument/2006/relationships/hyperlink" Target="https://drive.google.com/open?id=1UCWZbnUB9g2uWNoVt29vENjhE5UFXq2L" TargetMode="External"/><Relationship Id="rId339" Type="http://schemas.openxmlformats.org/officeDocument/2006/relationships/hyperlink" Target="https://drive.google.com/open?id=1bq76WWnLkO70U8DHihm50Ia-czmt360-" TargetMode="External"/><Relationship Id="rId330" Type="http://schemas.openxmlformats.org/officeDocument/2006/relationships/hyperlink" Target="https://drive.google.com/open?id=101C_Za2OMpwU8jdqh8_9WMvsfWbKHrUL" TargetMode="External"/><Relationship Id="rId451" Type="http://schemas.openxmlformats.org/officeDocument/2006/relationships/hyperlink" Target="https://drive.google.com/open?id=1szr2dihCtdagqzaH7k6-YT27kV8dOaP0" TargetMode="External"/><Relationship Id="rId572" Type="http://schemas.openxmlformats.org/officeDocument/2006/relationships/hyperlink" Target="https://drive.google.com/open?id=1bed8qI2eCu8NKSpRaSDED7WE_D7uGlG6" TargetMode="External"/><Relationship Id="rId450" Type="http://schemas.openxmlformats.org/officeDocument/2006/relationships/hyperlink" Target="https://drive.google.com/open?id=1KVHJbW3D4qGXzGzqOaVoiSwmoGIEtK1M" TargetMode="External"/><Relationship Id="rId571" Type="http://schemas.openxmlformats.org/officeDocument/2006/relationships/hyperlink" Target="https://drive.google.com/open?id=1Inn0kVhcZYAxKRdlCrI2C6dDpspGY2t1" TargetMode="External"/><Relationship Id="rId570" Type="http://schemas.openxmlformats.org/officeDocument/2006/relationships/hyperlink" Target="https://drive.google.com/open?id=1a9IVamoiVVjEyR0e4V4j3yowqOavpu77" TargetMode="External"/><Relationship Id="rId213" Type="http://schemas.openxmlformats.org/officeDocument/2006/relationships/hyperlink" Target="https://drive.google.com/open?id=16D-whbTtjqmA4D37S9NKT__xAh5Oum0p" TargetMode="External"/><Relationship Id="rId334" Type="http://schemas.openxmlformats.org/officeDocument/2006/relationships/hyperlink" Target="https://drive.google.com/open?id=1ZlN5uaJ6zx3H_RR-9ZgtazW2nfFEpXwH" TargetMode="External"/><Relationship Id="rId455" Type="http://schemas.openxmlformats.org/officeDocument/2006/relationships/hyperlink" Target="https://drive.google.com/open?id=1VN7Ilc8jF-5ISGiM0w41ZtJAYVIFomIx" TargetMode="External"/><Relationship Id="rId576" Type="http://schemas.openxmlformats.org/officeDocument/2006/relationships/hyperlink" Target="https://drive.google.com/open?id=184R9CL1rk5dbgeBjoXWz9aB3KGUr5uRO" TargetMode="External"/><Relationship Id="rId212" Type="http://schemas.openxmlformats.org/officeDocument/2006/relationships/hyperlink" Target="https://drive.google.com/open?id=1Ccm7ZJUeInPgAXy-MpfqXDNWLjLcSpET" TargetMode="External"/><Relationship Id="rId333" Type="http://schemas.openxmlformats.org/officeDocument/2006/relationships/hyperlink" Target="https://drive.google.com/open?id=13PFj1qQJcpp-_U6vAYWSsSS4qLaIDCgh" TargetMode="External"/><Relationship Id="rId454" Type="http://schemas.openxmlformats.org/officeDocument/2006/relationships/hyperlink" Target="https://drive.google.com/open?id=1j1Yj9zzvsRczeqntzOhNvf4xfvqPtE4H" TargetMode="External"/><Relationship Id="rId575" Type="http://schemas.openxmlformats.org/officeDocument/2006/relationships/hyperlink" Target="https://drive.google.com/open?id=1_bWz241zrGx4OfWfXDMVeXiAsN_Xz0uf" TargetMode="External"/><Relationship Id="rId211" Type="http://schemas.openxmlformats.org/officeDocument/2006/relationships/hyperlink" Target="https://drive.google.com/open?id=1gkwQe5FsxPMlzETK0k46F236Y5FR5Qmj" TargetMode="External"/><Relationship Id="rId332" Type="http://schemas.openxmlformats.org/officeDocument/2006/relationships/hyperlink" Target="https://drive.google.com/open?id=1rKmY3DHI8o1t6fhxTxcLQwOxrr7xWszL" TargetMode="External"/><Relationship Id="rId453" Type="http://schemas.openxmlformats.org/officeDocument/2006/relationships/hyperlink" Target="https://drive.google.com/open?id=1y1V0Mvo1RteLxXYvaLGLfMiOBt67vhgi" TargetMode="External"/><Relationship Id="rId574" Type="http://schemas.openxmlformats.org/officeDocument/2006/relationships/hyperlink" Target="https://drive.google.com/open?id=1NRhORuuamDvcwR0-6sS7xhgapADA3bTA" TargetMode="External"/><Relationship Id="rId210" Type="http://schemas.openxmlformats.org/officeDocument/2006/relationships/hyperlink" Target="https://drive.google.com/open?id=1VVuw0va8JeI-cjszTQJJzv_7HrTV4WN6" TargetMode="External"/><Relationship Id="rId331" Type="http://schemas.openxmlformats.org/officeDocument/2006/relationships/hyperlink" Target="https://drive.google.com/open?id=1u3sf7Tep1wlSG9wwa2Bg0wKSaGZHpn3F" TargetMode="External"/><Relationship Id="rId452" Type="http://schemas.openxmlformats.org/officeDocument/2006/relationships/hyperlink" Target="https://drive.google.com/open?id=1K-TVvWAIpP3-PSEIPl9dtWAiN9p7GOG7" TargetMode="External"/><Relationship Id="rId573" Type="http://schemas.openxmlformats.org/officeDocument/2006/relationships/hyperlink" Target="https://drive.google.com/open?id=133yL_rXIjHsKB0cdxaBE9-dpXwv1QF2I" TargetMode="External"/><Relationship Id="rId370" Type="http://schemas.openxmlformats.org/officeDocument/2006/relationships/hyperlink" Target="https://drive.google.com/open?id=1IBI29fgLG99bl58z4PvD2HGNDzR5F8eu" TargetMode="External"/><Relationship Id="rId491" Type="http://schemas.openxmlformats.org/officeDocument/2006/relationships/hyperlink" Target="https://drive.google.com/open?id=19bussw3kJ3haazNlnti-NYQBMj78mh5N" TargetMode="External"/><Relationship Id="rId490" Type="http://schemas.openxmlformats.org/officeDocument/2006/relationships/hyperlink" Target="https://drive.google.com/open?id=14CzIOxy7KgN-vDSKrgiGb0jBECxrt0HC" TargetMode="External"/><Relationship Id="rId129" Type="http://schemas.openxmlformats.org/officeDocument/2006/relationships/hyperlink" Target="https://drive.google.com/open?id=1ody_FkcsyOqxJPYN7QtgvbImooP_96NC" TargetMode="External"/><Relationship Id="rId128" Type="http://schemas.openxmlformats.org/officeDocument/2006/relationships/hyperlink" Target="https://drive.google.com/open?id=1Mns_RG3YsCj87J-55_AopmzMlMJSNeiL" TargetMode="External"/><Relationship Id="rId249" Type="http://schemas.openxmlformats.org/officeDocument/2006/relationships/hyperlink" Target="https://drive.google.com/open?id=1criS5qaTiOX3KTv4r1RBi1XUxylj0_xL" TargetMode="External"/><Relationship Id="rId127" Type="http://schemas.openxmlformats.org/officeDocument/2006/relationships/hyperlink" Target="https://drive.google.com/open?id=1Mvhvz8gSweJ5InbRwF8WrZ3AA3mTIKGC" TargetMode="External"/><Relationship Id="rId248" Type="http://schemas.openxmlformats.org/officeDocument/2006/relationships/hyperlink" Target="https://drive.google.com/open?id=1zFCdrTH8MZ6x1_Fs0jXuUHZfmYG_at0a" TargetMode="External"/><Relationship Id="rId369" Type="http://schemas.openxmlformats.org/officeDocument/2006/relationships/hyperlink" Target="https://drive.google.com/open?id=1dMPxZMrfnPk7CRGn59Yt85LP-iRRajVV" TargetMode="External"/><Relationship Id="rId126" Type="http://schemas.openxmlformats.org/officeDocument/2006/relationships/hyperlink" Target="https://drive.google.com/open?id=1tPZSk8L1COM_KnBNDjCEnJrJ-l8Lfrg7" TargetMode="External"/><Relationship Id="rId247" Type="http://schemas.openxmlformats.org/officeDocument/2006/relationships/hyperlink" Target="https://drive.google.com/open?id=1TwHDF_Jdt8gpSFC-htV9o6ILNGLGgv7-" TargetMode="External"/><Relationship Id="rId368" Type="http://schemas.openxmlformats.org/officeDocument/2006/relationships/hyperlink" Target="https://drive.google.com/open?id=1tq4X-1TSneayEHeFXPiF6pw8oiEc-GFl" TargetMode="External"/><Relationship Id="rId489" Type="http://schemas.openxmlformats.org/officeDocument/2006/relationships/hyperlink" Target="https://drive.google.com/open?id=1fDHqKsTxT9lidJXgZu8vU12BshL_5XAx" TargetMode="External"/><Relationship Id="rId121" Type="http://schemas.openxmlformats.org/officeDocument/2006/relationships/hyperlink" Target="https://drive.google.com/open?id=1ElGQgXlHSWOlN20BHVBJpNHs5iarEQf_" TargetMode="External"/><Relationship Id="rId242" Type="http://schemas.openxmlformats.org/officeDocument/2006/relationships/hyperlink" Target="https://drive.google.com/open?id=1V9xIAy_-5FJ4pczgyrToDtRJ8Hfd_GJ6" TargetMode="External"/><Relationship Id="rId363" Type="http://schemas.openxmlformats.org/officeDocument/2006/relationships/hyperlink" Target="https://drive.google.com/open?id=1UWM5gyn-EX0J3DF5jw-gkoWz7A-B0eo-" TargetMode="External"/><Relationship Id="rId484" Type="http://schemas.openxmlformats.org/officeDocument/2006/relationships/hyperlink" Target="https://drive.google.com/open?id=1YVycnTGcMmnp1kd22tdSxosbXDAb4o2h" TargetMode="External"/><Relationship Id="rId120" Type="http://schemas.openxmlformats.org/officeDocument/2006/relationships/hyperlink" Target="https://drive.google.com/open?id=11ymUvca5PVcnyZNPehBY8OTLR3Gl1ees" TargetMode="External"/><Relationship Id="rId241" Type="http://schemas.openxmlformats.org/officeDocument/2006/relationships/hyperlink" Target="https://drive.google.com/open?id=1U5qt4iBn7V0dFP3z26LAOxZ-P2vfAdwo" TargetMode="External"/><Relationship Id="rId362" Type="http://schemas.openxmlformats.org/officeDocument/2006/relationships/hyperlink" Target="https://drive.google.com/open?id=1vOj9unx0bo16BivomRKsysn2E5JJRiq6" TargetMode="External"/><Relationship Id="rId483" Type="http://schemas.openxmlformats.org/officeDocument/2006/relationships/hyperlink" Target="https://drive.google.com/open?id=1v56Bu2uebrgiRC63FN5dDEnakfGkMVhc" TargetMode="External"/><Relationship Id="rId240" Type="http://schemas.openxmlformats.org/officeDocument/2006/relationships/hyperlink" Target="https://drive.google.com/open?id=13k3Y9VB8X58PBiLT6_gJFsl-VMFfxZcr" TargetMode="External"/><Relationship Id="rId361" Type="http://schemas.openxmlformats.org/officeDocument/2006/relationships/hyperlink" Target="https://drive.google.com/open?id=10fCg9hJzC4ainkGIvrfPMg7xclLoNoTd" TargetMode="External"/><Relationship Id="rId482" Type="http://schemas.openxmlformats.org/officeDocument/2006/relationships/hyperlink" Target="https://drive.google.com/open?id=1x4kfevZ9vmvhMmmT_wiXgF0QMBfW5bgC" TargetMode="External"/><Relationship Id="rId360" Type="http://schemas.openxmlformats.org/officeDocument/2006/relationships/hyperlink" Target="https://drive.google.com/open?id=12H9pvjjLdglQLt4DSmrWyD6wMYmW7i_U" TargetMode="External"/><Relationship Id="rId481" Type="http://schemas.openxmlformats.org/officeDocument/2006/relationships/hyperlink" Target="https://drive.google.com/open?id=1DmL6rmGlmvZNcVdrn3Cznt1nErKev-oU" TargetMode="External"/><Relationship Id="rId125" Type="http://schemas.openxmlformats.org/officeDocument/2006/relationships/hyperlink" Target="https://drive.google.com/open?id=1ty-kxOZ4tHnLxpKe7WML1Qfx2RK3h5zi" TargetMode="External"/><Relationship Id="rId246" Type="http://schemas.openxmlformats.org/officeDocument/2006/relationships/hyperlink" Target="https://drive.google.com/open?id=1zclJAxDQQJkMHeMMxyNjwxsU20OYQ6jQ" TargetMode="External"/><Relationship Id="rId367" Type="http://schemas.openxmlformats.org/officeDocument/2006/relationships/hyperlink" Target="https://drive.google.com/open?id=1-14CcAT931sUfIXs03PdyLa8wZeMGbXs" TargetMode="External"/><Relationship Id="rId488" Type="http://schemas.openxmlformats.org/officeDocument/2006/relationships/hyperlink" Target="https://drive.google.com/open?id=1zrPDI5yIR3-jlsaxti9qBTMYVsW_QeiL" TargetMode="External"/><Relationship Id="rId124" Type="http://schemas.openxmlformats.org/officeDocument/2006/relationships/hyperlink" Target="https://drive.google.com/open?id=13QsCbdVcWgyBCft0T9VNyTSnk7Um2sNg" TargetMode="External"/><Relationship Id="rId245" Type="http://schemas.openxmlformats.org/officeDocument/2006/relationships/hyperlink" Target="https://drive.google.com/open?id=1PJb-kZht1on8uk9G9A5KcoMe3_gE58Z_" TargetMode="External"/><Relationship Id="rId366" Type="http://schemas.openxmlformats.org/officeDocument/2006/relationships/hyperlink" Target="https://drive.google.com/open?id=1-ho61K6WINKWsqdRqLNkAGN8OTubq2w2" TargetMode="External"/><Relationship Id="rId487" Type="http://schemas.openxmlformats.org/officeDocument/2006/relationships/hyperlink" Target="https://drive.google.com/open?id=1jJOY1UfgPbV2F9NRHh6L7n1veLc63qzy" TargetMode="External"/><Relationship Id="rId123" Type="http://schemas.openxmlformats.org/officeDocument/2006/relationships/hyperlink" Target="https://drive.google.com/open?id=17kEPXyKS2s4M-t3ctNm8J0ednK-IswbM" TargetMode="External"/><Relationship Id="rId244" Type="http://schemas.openxmlformats.org/officeDocument/2006/relationships/hyperlink" Target="https://drive.google.com/open?id=1ELFs-nYDsyAVREvwMVM51Ft-dZQ_DdkJ" TargetMode="External"/><Relationship Id="rId365" Type="http://schemas.openxmlformats.org/officeDocument/2006/relationships/hyperlink" Target="https://drive.google.com/open?id=1jyvX7YgiY9ZNESCbRZzW-kA41rbZl_J6" TargetMode="External"/><Relationship Id="rId486" Type="http://schemas.openxmlformats.org/officeDocument/2006/relationships/hyperlink" Target="https://drive.google.com/open?id=1Cawbr0GWWBd59JJ2Z3WQ7ZQL6HcceXjw" TargetMode="External"/><Relationship Id="rId122" Type="http://schemas.openxmlformats.org/officeDocument/2006/relationships/hyperlink" Target="https://drive.google.com/open?id=12pCrxGGSxKF_onSf02imwRmNRZrNiz4c" TargetMode="External"/><Relationship Id="rId243" Type="http://schemas.openxmlformats.org/officeDocument/2006/relationships/hyperlink" Target="https://drive.google.com/open?id=10LQbMsKz5QpPlgBuwpnq8XxZvGPCPzEX" TargetMode="External"/><Relationship Id="rId364" Type="http://schemas.openxmlformats.org/officeDocument/2006/relationships/hyperlink" Target="https://drive.google.com/open?id=1WqbUGvohkFhfdOLuWQqcG0l81Vi7IYE4" TargetMode="External"/><Relationship Id="rId485" Type="http://schemas.openxmlformats.org/officeDocument/2006/relationships/hyperlink" Target="https://drive.google.com/open?id=1-mNpD711a3npDwv1DOnCKvKQTeJUFyDt" TargetMode="External"/><Relationship Id="rId95" Type="http://schemas.openxmlformats.org/officeDocument/2006/relationships/hyperlink" Target="https://drive.google.com/open?id=1a146BDkKnORB3S2k3EwKkd_pesy7qUAW" TargetMode="External"/><Relationship Id="rId94" Type="http://schemas.openxmlformats.org/officeDocument/2006/relationships/hyperlink" Target="https://drive.google.com/open?id=1XsRq7CoEpDdN9vs_Fk2OunEXQd581Z1q" TargetMode="External"/><Relationship Id="rId97" Type="http://schemas.openxmlformats.org/officeDocument/2006/relationships/hyperlink" Target="https://drive.google.com/open?id=102JlCJPEVsNewPysjHPbwhndLa36eMwC" TargetMode="External"/><Relationship Id="rId96" Type="http://schemas.openxmlformats.org/officeDocument/2006/relationships/hyperlink" Target="https://drive.google.com/open?id=1sjXxus5PxfNveKqutSrAniZf3I7trABL" TargetMode="External"/><Relationship Id="rId99" Type="http://schemas.openxmlformats.org/officeDocument/2006/relationships/hyperlink" Target="https://drive.google.com/open?id=11tBbPO70iBuKe9RNQ-L7aCRgVZYODSHA" TargetMode="External"/><Relationship Id="rId480" Type="http://schemas.openxmlformats.org/officeDocument/2006/relationships/hyperlink" Target="https://drive.google.com/open?id=1e29dBZS0Pjjxxa9thjirs050HfCMpKEM" TargetMode="External"/><Relationship Id="rId98" Type="http://schemas.openxmlformats.org/officeDocument/2006/relationships/hyperlink" Target="https://drive.google.com/open?id=1bKV3T9uQ8eh9IHF-szt3jkfsB9mfpJSV" TargetMode="External"/><Relationship Id="rId91" Type="http://schemas.openxmlformats.org/officeDocument/2006/relationships/hyperlink" Target="https://drive.google.com/open?id=1TPwmwN6fXmRO9ATRAiUGXXjwDOsPdje9" TargetMode="External"/><Relationship Id="rId90" Type="http://schemas.openxmlformats.org/officeDocument/2006/relationships/hyperlink" Target="https://drive.google.com/open?id=16wq6RJftH2HEzA0v_VqAlSfyy_rOnZJ8" TargetMode="External"/><Relationship Id="rId93" Type="http://schemas.openxmlformats.org/officeDocument/2006/relationships/hyperlink" Target="https://drive.google.com/open?id=12GSS34bUgwld-3Q3xZ_xmJe3ALyWoASi" TargetMode="External"/><Relationship Id="rId92" Type="http://schemas.openxmlformats.org/officeDocument/2006/relationships/hyperlink" Target="https://drive.google.com/open?id=1VkA5QvH-laBlW4s7uK_vVPYyh04OhbxK" TargetMode="External"/><Relationship Id="rId118" Type="http://schemas.openxmlformats.org/officeDocument/2006/relationships/hyperlink" Target="https://drive.google.com/open?id=1AUpUhDcWfo_b2awjwapoZjHZr8iY-tF1" TargetMode="External"/><Relationship Id="rId239" Type="http://schemas.openxmlformats.org/officeDocument/2006/relationships/hyperlink" Target="https://drive.google.com/open?id=1QAJBce4SPEIuEYcWgUaxZy5Btzz-iEc7" TargetMode="External"/><Relationship Id="rId117" Type="http://schemas.openxmlformats.org/officeDocument/2006/relationships/hyperlink" Target="https://drive.google.com/open?id=1fp6yrPVx2xyPp4n5YJUeaJY7zZXOYYOG" TargetMode="External"/><Relationship Id="rId238" Type="http://schemas.openxmlformats.org/officeDocument/2006/relationships/hyperlink" Target="https://drive.google.com/open?id=1-XApLyMM1vfV__btaYtbR7lwpx1p1CSr" TargetMode="External"/><Relationship Id="rId359" Type="http://schemas.openxmlformats.org/officeDocument/2006/relationships/hyperlink" Target="https://drive.google.com/open?id=1q7NA_9V6_HCHbV3_LsGm-kQDK41m9AQH" TargetMode="External"/><Relationship Id="rId116" Type="http://schemas.openxmlformats.org/officeDocument/2006/relationships/hyperlink" Target="https://drive.google.com/open?id=1HpWc7ZeMc0lu3jCHqnbN0klqiXC7UIrd" TargetMode="External"/><Relationship Id="rId237" Type="http://schemas.openxmlformats.org/officeDocument/2006/relationships/hyperlink" Target="https://drive.google.com/open?id=1ZrXaHb3ajPaFkB--It0plwrpthJkB8VS" TargetMode="External"/><Relationship Id="rId358" Type="http://schemas.openxmlformats.org/officeDocument/2006/relationships/hyperlink" Target="https://drive.google.com/open?id=1xv1l4d8iP2qryY-bmGlNiM3M9Z-4G8AP" TargetMode="External"/><Relationship Id="rId479" Type="http://schemas.openxmlformats.org/officeDocument/2006/relationships/hyperlink" Target="https://drive.google.com/open?id=1ZT6U08CgNqVuO8F6qwneDIN3ytygYZiP" TargetMode="External"/><Relationship Id="rId115" Type="http://schemas.openxmlformats.org/officeDocument/2006/relationships/hyperlink" Target="https://drive.google.com/open?id=1eD57Hj7L4S768YsDSCi5dqa-okdsKLSq" TargetMode="External"/><Relationship Id="rId236" Type="http://schemas.openxmlformats.org/officeDocument/2006/relationships/hyperlink" Target="https://drive.google.com/open?id=1IAzcI6xYSHbIBXsHvU8uiVjKNdthPDcS" TargetMode="External"/><Relationship Id="rId357" Type="http://schemas.openxmlformats.org/officeDocument/2006/relationships/hyperlink" Target="https://drive.google.com/open?id=1dq-zEI91k4Y6smRJnOp00_lw7fE_LeAf" TargetMode="External"/><Relationship Id="rId478" Type="http://schemas.openxmlformats.org/officeDocument/2006/relationships/hyperlink" Target="https://drive.google.com/open?id=1fGvST32DsvYwL3Lp5zg1nElSM05hQcMF" TargetMode="External"/><Relationship Id="rId599" Type="http://schemas.openxmlformats.org/officeDocument/2006/relationships/hyperlink" Target="https://drive.google.com/open?id=13nbJ9dOlE403FSetWOqhzgWyQdPagazW" TargetMode="External"/><Relationship Id="rId119" Type="http://schemas.openxmlformats.org/officeDocument/2006/relationships/hyperlink" Target="https://drive.google.com/open?id=1mYsvORzVN4vHZW3Zw9fhAMZ1kDEQA7no" TargetMode="External"/><Relationship Id="rId110" Type="http://schemas.openxmlformats.org/officeDocument/2006/relationships/hyperlink" Target="https://drive.google.com/open?id=1xGuNNY8jiODD9fQDZ52nTNoSOl8XvoK5" TargetMode="External"/><Relationship Id="rId231" Type="http://schemas.openxmlformats.org/officeDocument/2006/relationships/hyperlink" Target="https://drive.google.com/open?id=1t0k2yoY2-qGiXBnDEwx9Vk_u9O-hkH_O" TargetMode="External"/><Relationship Id="rId352" Type="http://schemas.openxmlformats.org/officeDocument/2006/relationships/hyperlink" Target="https://drive.google.com/open?id=1NMKHunjBq-vRsyxhfNEq_AMl4DCoepjc" TargetMode="External"/><Relationship Id="rId473" Type="http://schemas.openxmlformats.org/officeDocument/2006/relationships/hyperlink" Target="https://drive.google.com/open?id=1mSI9ulEXd3pIqg7hEq4cLHwuasxlcYz2" TargetMode="External"/><Relationship Id="rId594" Type="http://schemas.openxmlformats.org/officeDocument/2006/relationships/hyperlink" Target="https://drive.google.com/open?id=1SAkWulHl8ZVlwhdrMKKZSouw0Lwj746Y" TargetMode="External"/><Relationship Id="rId230" Type="http://schemas.openxmlformats.org/officeDocument/2006/relationships/hyperlink" Target="https://drive.google.com/open?id=1ziOOiFghn9m01o0eBZl7k8Ggjzb6fLOp" TargetMode="External"/><Relationship Id="rId351" Type="http://schemas.openxmlformats.org/officeDocument/2006/relationships/hyperlink" Target="https://drive.google.com/open?id=1Gsvoiemmin9i5O_ifwAh2TBzivmUJZle" TargetMode="External"/><Relationship Id="rId472" Type="http://schemas.openxmlformats.org/officeDocument/2006/relationships/hyperlink" Target="https://drive.google.com/open?id=1E7M_gZavWHDyLgqi76nYXBBvlpxQDavH" TargetMode="External"/><Relationship Id="rId593" Type="http://schemas.openxmlformats.org/officeDocument/2006/relationships/hyperlink" Target="https://drive.google.com/open?id=1Dqcleap23tFiTkwGUV73aRe3Ko6Ei3Pz" TargetMode="External"/><Relationship Id="rId350" Type="http://schemas.openxmlformats.org/officeDocument/2006/relationships/hyperlink" Target="https://drive.google.com/open?id=1j6gMN5opSlQpfvz0H63w-0lbr23Fy2Bq" TargetMode="External"/><Relationship Id="rId471" Type="http://schemas.openxmlformats.org/officeDocument/2006/relationships/hyperlink" Target="https://drive.google.com/open?id=1wHkyVnXJrXZk-eTlrPhYA4kTJzkXFV7d" TargetMode="External"/><Relationship Id="rId592" Type="http://schemas.openxmlformats.org/officeDocument/2006/relationships/hyperlink" Target="https://drive.google.com/open?id=13Gc9ajcwcc_7gs5w5KR4y70UrsqnMDCV" TargetMode="External"/><Relationship Id="rId470" Type="http://schemas.openxmlformats.org/officeDocument/2006/relationships/hyperlink" Target="https://drive.google.com/open?id=12kty3nMFwrsQwB52Yw3LXdsz2Msw9M9c" TargetMode="External"/><Relationship Id="rId591" Type="http://schemas.openxmlformats.org/officeDocument/2006/relationships/hyperlink" Target="https://drive.google.com/open?id=1kwX_mhFY-uSw5TuGki7ybqW-oSYcSAih" TargetMode="External"/><Relationship Id="rId114" Type="http://schemas.openxmlformats.org/officeDocument/2006/relationships/hyperlink" Target="https://drive.google.com/open?id=1Xc9FMK-XJmIaMDWgM5GEes3WlEvsLHlM" TargetMode="External"/><Relationship Id="rId235" Type="http://schemas.openxmlformats.org/officeDocument/2006/relationships/hyperlink" Target="https://drive.google.com/open?id=1207Im9mLTicv96_HUEOxa2DpyH_4llpr" TargetMode="External"/><Relationship Id="rId356" Type="http://schemas.openxmlformats.org/officeDocument/2006/relationships/hyperlink" Target="https://drive.google.com/open?id=1vN96ccPHsKNp33DRqfo0IOQBVvZU9KGB" TargetMode="External"/><Relationship Id="rId477" Type="http://schemas.openxmlformats.org/officeDocument/2006/relationships/hyperlink" Target="https://drive.google.com/open?id=1iKxOsB0zyH0BqHyExsjdS_egL9CvFOuR" TargetMode="External"/><Relationship Id="rId598" Type="http://schemas.openxmlformats.org/officeDocument/2006/relationships/hyperlink" Target="https://drive.google.com/open?id=1Y8qVXpcDJbsYTtpozjJhs7X298TU0qpK" TargetMode="External"/><Relationship Id="rId113" Type="http://schemas.openxmlformats.org/officeDocument/2006/relationships/hyperlink" Target="https://drive.google.com/open?id=1N0flWFxhntI3aJNYIafmDNo3KwMsIxAz" TargetMode="External"/><Relationship Id="rId234" Type="http://schemas.openxmlformats.org/officeDocument/2006/relationships/hyperlink" Target="https://drive.google.com/open?id=1dptKtY9fcGMw9mXl8I3_tfRQnPRb3rGz" TargetMode="External"/><Relationship Id="rId355" Type="http://schemas.openxmlformats.org/officeDocument/2006/relationships/hyperlink" Target="https://drive.google.com/open?id=1vlM1m4YVSpEO_2lg1hfR_Iu4g-lNRZ-r" TargetMode="External"/><Relationship Id="rId476" Type="http://schemas.openxmlformats.org/officeDocument/2006/relationships/hyperlink" Target="https://drive.google.com/open?id=15dxGjzZcB9r8VP9klm8CYlZI2PgaF6Wm" TargetMode="External"/><Relationship Id="rId597" Type="http://schemas.openxmlformats.org/officeDocument/2006/relationships/hyperlink" Target="https://drive.google.com/open?id=1dOSFR_s98HGJbnFBYYoCR6UaIDfeFF8Q" TargetMode="External"/><Relationship Id="rId112" Type="http://schemas.openxmlformats.org/officeDocument/2006/relationships/hyperlink" Target="https://drive.google.com/file/d/1eheLiFiwJfkc5ZKDrDG7toz16ViDQKz9/view?usp=drive_link" TargetMode="External"/><Relationship Id="rId233" Type="http://schemas.openxmlformats.org/officeDocument/2006/relationships/hyperlink" Target="https://drive.google.com/open?id=1FkosFOOwkI_BMtyJ111SXfa_R3zoPiht" TargetMode="External"/><Relationship Id="rId354" Type="http://schemas.openxmlformats.org/officeDocument/2006/relationships/hyperlink" Target="https://drive.google.com/open?id=1IM0z64_PhwymJk2IsIotVEjYQtWooRnu" TargetMode="External"/><Relationship Id="rId475" Type="http://schemas.openxmlformats.org/officeDocument/2006/relationships/hyperlink" Target="https://drive.google.com/open?id=1LaGwPzi5-D-lm8AOFYED1qyhgbt6Hjbt" TargetMode="External"/><Relationship Id="rId596" Type="http://schemas.openxmlformats.org/officeDocument/2006/relationships/hyperlink" Target="https://drive.google.com/open?id=1bDGEMyvfqX256fm2XiZFK7Pbz6O2HBWT" TargetMode="External"/><Relationship Id="rId111" Type="http://schemas.openxmlformats.org/officeDocument/2006/relationships/hyperlink" Target="https://drive.google.com/open?id=1xGuNNY8jiODD9fQDZ52nTNoSOl8XvoK5" TargetMode="External"/><Relationship Id="rId232" Type="http://schemas.openxmlformats.org/officeDocument/2006/relationships/hyperlink" Target="https://drive.google.com/open?id=10Wb_hQ98wrk9og1J2Rv9-4F_CjnqbpUP" TargetMode="External"/><Relationship Id="rId353" Type="http://schemas.openxmlformats.org/officeDocument/2006/relationships/hyperlink" Target="https://drive.google.com/open?id=1RKkiJ6GEE6WGe74RCwf10N81OkCa1gNW" TargetMode="External"/><Relationship Id="rId474" Type="http://schemas.openxmlformats.org/officeDocument/2006/relationships/hyperlink" Target="https://drive.google.com/open?id=1UKfbj5Kb_HqjByO-i-PXm1ZU-uyjgDJu" TargetMode="External"/><Relationship Id="rId595" Type="http://schemas.openxmlformats.org/officeDocument/2006/relationships/hyperlink" Target="https://drive.google.com/open?id=1aD2CkrxeRxIqq6Br5WQ7Y04WZQc9GRqt" TargetMode="External"/><Relationship Id="rId305" Type="http://schemas.openxmlformats.org/officeDocument/2006/relationships/hyperlink" Target="https://drive.google.com/open?id=1dKUZUCP5ukgV4Nh-w3VvUB_BN7Ec3pTq" TargetMode="External"/><Relationship Id="rId426" Type="http://schemas.openxmlformats.org/officeDocument/2006/relationships/hyperlink" Target="https://drive.google.com/open?id=1K-v3ftU1VU0V9UZmPmy9n3N4-ZX6TrFg" TargetMode="External"/><Relationship Id="rId547" Type="http://schemas.openxmlformats.org/officeDocument/2006/relationships/hyperlink" Target="https://drive.google.com/open?id=1ZTg5i3qqAcivzUvB0lU3P_GO6BHjQtow" TargetMode="External"/><Relationship Id="rId668" Type="http://schemas.openxmlformats.org/officeDocument/2006/relationships/drawing" Target="../drawings/drawing9.xml"/><Relationship Id="rId304" Type="http://schemas.openxmlformats.org/officeDocument/2006/relationships/hyperlink" Target="https://drive.google.com/open?id=1V4oP0D9WLLBDg2D-POJXl1GgdbXAT4Iq" TargetMode="External"/><Relationship Id="rId425" Type="http://schemas.openxmlformats.org/officeDocument/2006/relationships/hyperlink" Target="https://drive.google.com/open?id=18_X8yJ2nI3vYHlq9r7JXgxGqe52wBFva" TargetMode="External"/><Relationship Id="rId546" Type="http://schemas.openxmlformats.org/officeDocument/2006/relationships/hyperlink" Target="https://drive.google.com/open?id=1VqH2V5V4xXLbs6rWOxiSbNpUUDFfFG-O" TargetMode="External"/><Relationship Id="rId667" Type="http://schemas.openxmlformats.org/officeDocument/2006/relationships/hyperlink" Target="https://drive.google.com/open?id=1nOOzn9vKSl1HnmwRgA_-UU67-j9CDeHk" TargetMode="External"/><Relationship Id="rId303" Type="http://schemas.openxmlformats.org/officeDocument/2006/relationships/hyperlink" Target="https://drive.google.com/open?id=1F-sdcQqNvOlHzr1vKMaofR42-MLfO89B" TargetMode="External"/><Relationship Id="rId424" Type="http://schemas.openxmlformats.org/officeDocument/2006/relationships/hyperlink" Target="https://drive.google.com/open?id=1KLfLSi4Av3-uPctDWPDkdwx-t1Jgn0Le" TargetMode="External"/><Relationship Id="rId545" Type="http://schemas.openxmlformats.org/officeDocument/2006/relationships/hyperlink" Target="https://drive.google.com/open?id=1YmAAPQ-ZZXZf_JMvlD1e17bDiZxTRbXZ" TargetMode="External"/><Relationship Id="rId666" Type="http://schemas.openxmlformats.org/officeDocument/2006/relationships/hyperlink" Target="https://drive.google.com/open?id=1rZhevldzFjyQvp47r2bDyZNgolEznowc" TargetMode="External"/><Relationship Id="rId302" Type="http://schemas.openxmlformats.org/officeDocument/2006/relationships/hyperlink" Target="https://drive.google.com/open?id=1C7vDmSuQTDHpipN1XJK6ZQZtKBQNd9n6" TargetMode="External"/><Relationship Id="rId423" Type="http://schemas.openxmlformats.org/officeDocument/2006/relationships/hyperlink" Target="https://drive.google.com/open?id=1c8bYgZ8WqQsYHWSyzz4FGScLmGRGG34b" TargetMode="External"/><Relationship Id="rId544" Type="http://schemas.openxmlformats.org/officeDocument/2006/relationships/hyperlink" Target="https://drive.google.com/open?id=1785yCpa0BuRCTKDljDOvhA-wwhoY-k3-" TargetMode="External"/><Relationship Id="rId665" Type="http://schemas.openxmlformats.org/officeDocument/2006/relationships/hyperlink" Target="https://drive.google.com/open?id=1PRyG4Wc9NQYnh6eUkXSikQ3jJ4Y0VEq0" TargetMode="External"/><Relationship Id="rId309" Type="http://schemas.openxmlformats.org/officeDocument/2006/relationships/hyperlink" Target="https://drive.google.com/open?id=1lGQv1zHXJ6BGVXc3UiKniSFjOIcOKEfe" TargetMode="External"/><Relationship Id="rId308" Type="http://schemas.openxmlformats.org/officeDocument/2006/relationships/hyperlink" Target="https://drive.google.com/open?id=1XSOncpV_8sqPvchpXD83N7Uo0cS6drnc" TargetMode="External"/><Relationship Id="rId429" Type="http://schemas.openxmlformats.org/officeDocument/2006/relationships/hyperlink" Target="https://drive.google.com/open?id=1w3lgVAU6n6LE6M2dZtccoV9f75o3jXtg" TargetMode="External"/><Relationship Id="rId307" Type="http://schemas.openxmlformats.org/officeDocument/2006/relationships/hyperlink" Target="https://drive.google.com/open?id=18Bz80NcPl1y82LqdiFvRH21BXyZSZ28A" TargetMode="External"/><Relationship Id="rId428" Type="http://schemas.openxmlformats.org/officeDocument/2006/relationships/hyperlink" Target="https://drive.google.com/open?id=1mNW48brCPfqiAXa9RAORuXjlGdzQ9D2N" TargetMode="External"/><Relationship Id="rId549" Type="http://schemas.openxmlformats.org/officeDocument/2006/relationships/hyperlink" Target="https://drive.google.com/open?id=1YroOQs5fuZNvmG1XVKOyGoPQPjbTk5mR" TargetMode="External"/><Relationship Id="rId306" Type="http://schemas.openxmlformats.org/officeDocument/2006/relationships/hyperlink" Target="https://drive.google.com/open?id=1FTEYKfwFhmsrTCsSPG3v6rfqcDDp5I22" TargetMode="External"/><Relationship Id="rId427" Type="http://schemas.openxmlformats.org/officeDocument/2006/relationships/hyperlink" Target="https://drive.google.com/open?id=18YyJ7Vqdt3DN35xr1XKSpcp3wCUq9Jc0" TargetMode="External"/><Relationship Id="rId548" Type="http://schemas.openxmlformats.org/officeDocument/2006/relationships/hyperlink" Target="https://drive.google.com/open?id=1J96QfeM8Mxjq_TRTYgpjEN3cloxHlXld" TargetMode="External"/><Relationship Id="rId660" Type="http://schemas.openxmlformats.org/officeDocument/2006/relationships/hyperlink" Target="https://drive.google.com/open?id=1k53nzUuhqW5GL8Y4RztapDJa93Ep44SI" TargetMode="External"/><Relationship Id="rId301" Type="http://schemas.openxmlformats.org/officeDocument/2006/relationships/hyperlink" Target="https://drive.google.com/open?id=1QaHRhX6pLr_uUPUZ6g9OVx0UHdFTi8nf" TargetMode="External"/><Relationship Id="rId422" Type="http://schemas.openxmlformats.org/officeDocument/2006/relationships/hyperlink" Target="https://drive.google.com/open?id=1zbn_NWH-glFBkaaorhj3MLr9JccDc834" TargetMode="External"/><Relationship Id="rId543" Type="http://schemas.openxmlformats.org/officeDocument/2006/relationships/hyperlink" Target="https://drive.google.com/open?id=1Fa9Y2kwgtHa11pz7amp8mTtpQdHyf_lN" TargetMode="External"/><Relationship Id="rId664" Type="http://schemas.openxmlformats.org/officeDocument/2006/relationships/hyperlink" Target="https://drive.google.com/open?id=1wm7o3BVfU-ClJMYbOC2J3kcNrRxM10du" TargetMode="External"/><Relationship Id="rId300" Type="http://schemas.openxmlformats.org/officeDocument/2006/relationships/hyperlink" Target="https://drive.google.com/open?id=1oN9JzgcQ5p0hJw7pJm1in0t_ylPHPGMl" TargetMode="External"/><Relationship Id="rId421" Type="http://schemas.openxmlformats.org/officeDocument/2006/relationships/hyperlink" Target="https://drive.google.com/open?id=1fQd8tAr1uOdt8BLTHJ5PQ-muWIA99tGX" TargetMode="External"/><Relationship Id="rId542" Type="http://schemas.openxmlformats.org/officeDocument/2006/relationships/hyperlink" Target="https://drive.google.com/open?id=1mJgXmOW1ArkkFtGh34zlcABbkiBcCV0F" TargetMode="External"/><Relationship Id="rId663" Type="http://schemas.openxmlformats.org/officeDocument/2006/relationships/hyperlink" Target="https://drive.google.com/open?id=1RQC2agN0axwl2U-8ZQg29KsZwb6uhsZH" TargetMode="External"/><Relationship Id="rId420" Type="http://schemas.openxmlformats.org/officeDocument/2006/relationships/hyperlink" Target="https://drive.google.com/open?id=19uRVSc3RfI312Z1NsrZ-gfXGxttQNK0a" TargetMode="External"/><Relationship Id="rId541" Type="http://schemas.openxmlformats.org/officeDocument/2006/relationships/hyperlink" Target="https://drive.google.com/open?id=1kTz0E2ZB6KpuHmr-2qabc4AtxE91UJKz" TargetMode="External"/><Relationship Id="rId662" Type="http://schemas.openxmlformats.org/officeDocument/2006/relationships/hyperlink" Target="https://drive.google.com/open?id=1C7Y2PdjW4KVbWsO6qx65mczR5eFzvUEW" TargetMode="External"/><Relationship Id="rId540" Type="http://schemas.openxmlformats.org/officeDocument/2006/relationships/hyperlink" Target="https://drive.google.com/open?id=1C__qySEu0uXy9VIxOGEQ5lKw8OOGfmkN" TargetMode="External"/><Relationship Id="rId661" Type="http://schemas.openxmlformats.org/officeDocument/2006/relationships/hyperlink" Target="https://drive.google.com/open?id=1QYm2s5OwPPcUtecYCjMFcWLKBqt7xpOp" TargetMode="External"/><Relationship Id="rId415" Type="http://schemas.openxmlformats.org/officeDocument/2006/relationships/hyperlink" Target="https://drive.google.com/open?id=1hDi_F582eLhlZukNijBm44JSZ0-azQgS" TargetMode="External"/><Relationship Id="rId536" Type="http://schemas.openxmlformats.org/officeDocument/2006/relationships/hyperlink" Target="https://drive.google.com/open?id=1ZthQpDbnSBNQvAMkrQIhAHYK0v5mpy5d" TargetMode="External"/><Relationship Id="rId657" Type="http://schemas.openxmlformats.org/officeDocument/2006/relationships/hyperlink" Target="https://drive.google.com/open?id=10AQoox0-yszUUifv7VSPH3ueRnqxye9L" TargetMode="External"/><Relationship Id="rId414" Type="http://schemas.openxmlformats.org/officeDocument/2006/relationships/hyperlink" Target="https://drive.google.com/open?id=1ZelYG0X8xl4t0rgWDFbRoF5fxvebOUBY" TargetMode="External"/><Relationship Id="rId535" Type="http://schemas.openxmlformats.org/officeDocument/2006/relationships/hyperlink" Target="https://drive.google.com/open?id=1DC8P33cKg9SRdFpkK84Jz_ziZIBq-LYp" TargetMode="External"/><Relationship Id="rId656" Type="http://schemas.openxmlformats.org/officeDocument/2006/relationships/hyperlink" Target="https://drive.google.com/open?id=15X_mzJpd886eOVDMTPoQuV8Lgi7R_u0d" TargetMode="External"/><Relationship Id="rId413" Type="http://schemas.openxmlformats.org/officeDocument/2006/relationships/hyperlink" Target="https://drive.google.com/open?id=1ZA9AmCrip5rtJrgdrTsREfFO_eITD8wE" TargetMode="External"/><Relationship Id="rId534" Type="http://schemas.openxmlformats.org/officeDocument/2006/relationships/hyperlink" Target="https://drive.google.com/open?id=13fQ2MFjL4EDG0rZIONaFA4sa4YrPvGEM" TargetMode="External"/><Relationship Id="rId655" Type="http://schemas.openxmlformats.org/officeDocument/2006/relationships/hyperlink" Target="https://drive.google.com/open?id=1GpV88z5WrBhhwlktkDqMoStAomjwFudw" TargetMode="External"/><Relationship Id="rId412" Type="http://schemas.openxmlformats.org/officeDocument/2006/relationships/hyperlink" Target="https://drive.google.com/open?id=1gfZuq9Bvc_J4_G6tQJN7nALIso7-dY_J" TargetMode="External"/><Relationship Id="rId533" Type="http://schemas.openxmlformats.org/officeDocument/2006/relationships/hyperlink" Target="https://drive.google.com/open?id=107_-4N5Qe_TsdisWNvmKr2u4JdUdL9yc" TargetMode="External"/><Relationship Id="rId654" Type="http://schemas.openxmlformats.org/officeDocument/2006/relationships/hyperlink" Target="https://drive.google.com/open?id=1YPTqBWBQ3UeuBn0GlULdDsZNUfpXxn_A" TargetMode="External"/><Relationship Id="rId419" Type="http://schemas.openxmlformats.org/officeDocument/2006/relationships/hyperlink" Target="https://drive.google.com/open?id=1rx_beS7RDCQWGzsNfeTO9tZs8Ug86BKz" TargetMode="External"/><Relationship Id="rId418" Type="http://schemas.openxmlformats.org/officeDocument/2006/relationships/hyperlink" Target="https://drive.google.com/open?id=1eDnx3lF9-oSsUVI6jYuoK8mTKo9w56ZA" TargetMode="External"/><Relationship Id="rId539" Type="http://schemas.openxmlformats.org/officeDocument/2006/relationships/hyperlink" Target="https://drive.google.com/open?id=1RV3wEos05T1HitEsZQSY5vhMd7L4TK7u" TargetMode="External"/><Relationship Id="rId417" Type="http://schemas.openxmlformats.org/officeDocument/2006/relationships/hyperlink" Target="https://drive.google.com/open?id=1ghNDlsArncBAltLjHqUWKDj6YVILYPxs" TargetMode="External"/><Relationship Id="rId538" Type="http://schemas.openxmlformats.org/officeDocument/2006/relationships/hyperlink" Target="https://drive.google.com/open?id=1MBKJ-X-rMh9Ix8l0CiAIL08KeCDSYLjh" TargetMode="External"/><Relationship Id="rId659" Type="http://schemas.openxmlformats.org/officeDocument/2006/relationships/hyperlink" Target="https://drive.google.com/open?id=1nOOzn9vKSl1HnmwRgA_-UU67-j9CDeHk" TargetMode="External"/><Relationship Id="rId416" Type="http://schemas.openxmlformats.org/officeDocument/2006/relationships/hyperlink" Target="https://drive.google.com/open?id=1G2LJwI5diRFq5wHZnHGt7fFVVfTSCaUq" TargetMode="External"/><Relationship Id="rId537" Type="http://schemas.openxmlformats.org/officeDocument/2006/relationships/hyperlink" Target="https://drive.google.com/open?id=1E5m25aXY7rjFELNbVdrgnHJJJRVG9srT" TargetMode="External"/><Relationship Id="rId658" Type="http://schemas.openxmlformats.org/officeDocument/2006/relationships/hyperlink" Target="https://drive.google.com/open?id=1C3gSEaDUXdBg-GG7gHD42HPKIMBr3mQL" TargetMode="External"/><Relationship Id="rId411" Type="http://schemas.openxmlformats.org/officeDocument/2006/relationships/hyperlink" Target="https://drive.google.com/open?id=1d0QxxUYPxfpMarPLx_xl-eI5ngn_N60M" TargetMode="External"/><Relationship Id="rId532" Type="http://schemas.openxmlformats.org/officeDocument/2006/relationships/hyperlink" Target="https://drive.google.com/open?id=16dPcuwCqZ88_KJ_igiMiuT6tA2OuklTV" TargetMode="External"/><Relationship Id="rId653" Type="http://schemas.openxmlformats.org/officeDocument/2006/relationships/hyperlink" Target="https://drive.google.com/open?id=1RdyDD3lhRyHKbcu8pIzyCYwpnTCjgo3B" TargetMode="External"/><Relationship Id="rId410" Type="http://schemas.openxmlformats.org/officeDocument/2006/relationships/hyperlink" Target="https://drive.google.com/open?id=1RfDrIFEQ6b23E4o0vBIFCP7PaoGc6_ZH" TargetMode="External"/><Relationship Id="rId531" Type="http://schemas.openxmlformats.org/officeDocument/2006/relationships/hyperlink" Target="https://drive.google.com/open?id=1Ub5E-t7NG9GLSXBY_NJL9df9jbe_D4OL" TargetMode="External"/><Relationship Id="rId652" Type="http://schemas.openxmlformats.org/officeDocument/2006/relationships/hyperlink" Target="https://drive.google.com/open?id=1dijKhkpeA_Tn_wh1o83ZYQS-9DRcuckf" TargetMode="External"/><Relationship Id="rId530" Type="http://schemas.openxmlformats.org/officeDocument/2006/relationships/hyperlink" Target="https://drive.google.com/open?id=1yavfBNexDU8MN-oznUPWvn0zUNYKa_cq" TargetMode="External"/><Relationship Id="rId651" Type="http://schemas.openxmlformats.org/officeDocument/2006/relationships/hyperlink" Target="https://drive.google.com/open?id=1MnahZlnSoXZ5DbGTwJKiAqRH0JAGs8jt" TargetMode="External"/><Relationship Id="rId650" Type="http://schemas.openxmlformats.org/officeDocument/2006/relationships/hyperlink" Target="https://drive.google.com/open?id=1BGVqnJZbEPpAZ8khM6o-gEAYnshncdq6" TargetMode="External"/><Relationship Id="rId206" Type="http://schemas.openxmlformats.org/officeDocument/2006/relationships/hyperlink" Target="https://drive.google.com/open?id=18RPv7LKdNOWe2drfBf15DWSk8Aw7e5_i" TargetMode="External"/><Relationship Id="rId327" Type="http://schemas.openxmlformats.org/officeDocument/2006/relationships/hyperlink" Target="https://drive.google.com/open?id=1tJZoaK8PX-Kii-C7bq2niXaQ-IRcT-tI" TargetMode="External"/><Relationship Id="rId448" Type="http://schemas.openxmlformats.org/officeDocument/2006/relationships/hyperlink" Target="https://drive.google.com/open?id=1wQBYyL8cu78IoLm-FglK1aXfRI_af4CM" TargetMode="External"/><Relationship Id="rId569" Type="http://schemas.openxmlformats.org/officeDocument/2006/relationships/hyperlink" Target="https://drive.google.com/open?id=1_05uwxzLnqToqO92JM-lVoQEGmd2zIjC" TargetMode="External"/><Relationship Id="rId205" Type="http://schemas.openxmlformats.org/officeDocument/2006/relationships/hyperlink" Target="https://drive.google.com/open?id=1VZ4E2kpUxnj-B1ZWMYMfQD9IfFvpvW9t" TargetMode="External"/><Relationship Id="rId326" Type="http://schemas.openxmlformats.org/officeDocument/2006/relationships/hyperlink" Target="https://drive.google.com/open?id=1d4_g6QfSdlClAUbyLv5R1iBK4AyQFt59" TargetMode="External"/><Relationship Id="rId447" Type="http://schemas.openxmlformats.org/officeDocument/2006/relationships/hyperlink" Target="https://drive.google.com/open?id=1xNw-yKtEg3Xo-ectiVmbb2htwwyXq0M8" TargetMode="External"/><Relationship Id="rId568" Type="http://schemas.openxmlformats.org/officeDocument/2006/relationships/hyperlink" Target="https://drive.google.com/open?id=1m6Vo56JpXzaqPGeOj8vuVfeEu4L5NkYX" TargetMode="External"/><Relationship Id="rId204" Type="http://schemas.openxmlformats.org/officeDocument/2006/relationships/hyperlink" Target="https://drive.google.com/open?id=1TnPUnyLFGR7V5pYxfFP5iseoj1KDB3Zh" TargetMode="External"/><Relationship Id="rId325" Type="http://schemas.openxmlformats.org/officeDocument/2006/relationships/hyperlink" Target="https://drive.google.com/open?id=15FxsxkCJ0Tc3L4wVgUWMyx3pdAcIiAQ0" TargetMode="External"/><Relationship Id="rId446" Type="http://schemas.openxmlformats.org/officeDocument/2006/relationships/hyperlink" Target="https://drive.google.com/open?id=1X1Kdjb_U6Z-DLqSNPvT0zHZasSp8ciwh" TargetMode="External"/><Relationship Id="rId567" Type="http://schemas.openxmlformats.org/officeDocument/2006/relationships/hyperlink" Target="https://drive.google.com/open?id=1Ef85UVFU_hgbq9dRUzObwH-h_nSFyoGm" TargetMode="External"/><Relationship Id="rId203" Type="http://schemas.openxmlformats.org/officeDocument/2006/relationships/hyperlink" Target="https://drive.google.com/open?id=1tfkKMFbAe8iYCpb_3HSni4jR80LZAWQa" TargetMode="External"/><Relationship Id="rId324" Type="http://schemas.openxmlformats.org/officeDocument/2006/relationships/hyperlink" Target="https://drive.google.com/open?id=1xpbCxH561uDRgY7iZR3Rr-BLsYMs8ij8" TargetMode="External"/><Relationship Id="rId445" Type="http://schemas.openxmlformats.org/officeDocument/2006/relationships/hyperlink" Target="https://drive.google.com/open?id=1TLB8B49CCiii2AEiVYDFVCuCMp4Sl5-U" TargetMode="External"/><Relationship Id="rId566" Type="http://schemas.openxmlformats.org/officeDocument/2006/relationships/hyperlink" Target="https://drive.google.com/open?id=1IHWr9TGm5AFZDqgB77J832HZdpWaPnoN" TargetMode="External"/><Relationship Id="rId209" Type="http://schemas.openxmlformats.org/officeDocument/2006/relationships/hyperlink" Target="https://drive.google.com/open?id=1s5Dfg_HznZMnHR56k1kdYyPBrfhQ0NTk" TargetMode="External"/><Relationship Id="rId208" Type="http://schemas.openxmlformats.org/officeDocument/2006/relationships/hyperlink" Target="https://drive.google.com/open?id=1sc_c3gkopJ-rn60WS4EwCljiVX8AHRMJ" TargetMode="External"/><Relationship Id="rId329" Type="http://schemas.openxmlformats.org/officeDocument/2006/relationships/hyperlink" Target="https://drive.google.com/open?id=1cjDI9Z5V7yJXU7_j-QdmksDv9BTXAd6j" TargetMode="External"/><Relationship Id="rId207" Type="http://schemas.openxmlformats.org/officeDocument/2006/relationships/hyperlink" Target="https://drive.google.com/open?id=1oXdtt0SC3CUvSn4ZX9Tqs-GnfJ7fGmfZ" TargetMode="External"/><Relationship Id="rId328" Type="http://schemas.openxmlformats.org/officeDocument/2006/relationships/hyperlink" Target="https://drive.google.com/open?id=1q3_hlcKigs_0bcocTnLEVTWDsLfyXZum" TargetMode="External"/><Relationship Id="rId449" Type="http://schemas.openxmlformats.org/officeDocument/2006/relationships/hyperlink" Target="https://drive.google.com/open?id=1BlErPmaZAgQVY-xANCgBq-AaAAIz9Je6" TargetMode="External"/><Relationship Id="rId440" Type="http://schemas.openxmlformats.org/officeDocument/2006/relationships/hyperlink" Target="https://drive.google.com/open?id=1VDJr0jSNeU2l3rCz0BWOZu8stpHdhJ17" TargetMode="External"/><Relationship Id="rId561" Type="http://schemas.openxmlformats.org/officeDocument/2006/relationships/hyperlink" Target="https://drive.google.com/open?id=10-DU8X4J7huIh96vQttEKUopDdcaxKBh" TargetMode="External"/><Relationship Id="rId560" Type="http://schemas.openxmlformats.org/officeDocument/2006/relationships/hyperlink" Target="https://drive.google.com/open?id=1hmcsPUwahljuz1xWdFloXOMhFE680hZ6" TargetMode="External"/><Relationship Id="rId202" Type="http://schemas.openxmlformats.org/officeDocument/2006/relationships/hyperlink" Target="https://drive.google.com/open?id=1rJoo15M3NkCPDOHGZyIb6u6PwqywXJho" TargetMode="External"/><Relationship Id="rId323" Type="http://schemas.openxmlformats.org/officeDocument/2006/relationships/hyperlink" Target="https://drive.google.com/open?id=1iBQxLyJ8vaYmfYTqa_rlwX9JPoZhIm2e" TargetMode="External"/><Relationship Id="rId444" Type="http://schemas.openxmlformats.org/officeDocument/2006/relationships/hyperlink" Target="https://drive.google.com/open?id=14d4d3tk2uu4YQFH8jL0F8U2DyOkZZc5t" TargetMode="External"/><Relationship Id="rId565" Type="http://schemas.openxmlformats.org/officeDocument/2006/relationships/hyperlink" Target="https://drive.google.com/open?id=1ecnjngHSOgM6AT2lpjz0qg0D4E8TmE4w" TargetMode="External"/><Relationship Id="rId201" Type="http://schemas.openxmlformats.org/officeDocument/2006/relationships/hyperlink" Target="https://drive.google.com/open?id=1CT6ozJJ2h5-Mxa6ozGArDqNeopz4b71Z" TargetMode="External"/><Relationship Id="rId322" Type="http://schemas.openxmlformats.org/officeDocument/2006/relationships/hyperlink" Target="https://drive.google.com/open?id=1VZs-uNEuIHyoTduxND69lvt48s5HNTFu" TargetMode="External"/><Relationship Id="rId443" Type="http://schemas.openxmlformats.org/officeDocument/2006/relationships/hyperlink" Target="https://drive.google.com/open?id=1wMLKDrAZCT8YN1wyx_oVz7bue8Sm_OQW" TargetMode="External"/><Relationship Id="rId564" Type="http://schemas.openxmlformats.org/officeDocument/2006/relationships/hyperlink" Target="https://drive.google.com/open?id=1IHCmUi4dikzgdY8CjN1VEsn4z9hJqYBU" TargetMode="External"/><Relationship Id="rId200" Type="http://schemas.openxmlformats.org/officeDocument/2006/relationships/hyperlink" Target="https://drive.google.com/open?id=1GisAf6tFahQsuXfZ-aW_eKVYITaHukX-" TargetMode="External"/><Relationship Id="rId321" Type="http://schemas.openxmlformats.org/officeDocument/2006/relationships/hyperlink" Target="https://drive.google.com/open?id=1VT1sMHS2y7xczcJwMrAgAXsfUTcNVDBk" TargetMode="External"/><Relationship Id="rId442" Type="http://schemas.openxmlformats.org/officeDocument/2006/relationships/hyperlink" Target="https://drive.google.com/open?id=1nhOGjnppeJkh4HgrWhrk338_jTWSQB4Z" TargetMode="External"/><Relationship Id="rId563" Type="http://schemas.openxmlformats.org/officeDocument/2006/relationships/hyperlink" Target="https://drive.google.com/open?id=1HfIyFJNJRKbedcWrN7SEf6XHtnW61X1n" TargetMode="External"/><Relationship Id="rId320" Type="http://schemas.openxmlformats.org/officeDocument/2006/relationships/hyperlink" Target="https://drive.google.com/open?id=1hyLK1EEx0kclninW-1gH15RMwa1WsMBg" TargetMode="External"/><Relationship Id="rId441" Type="http://schemas.openxmlformats.org/officeDocument/2006/relationships/hyperlink" Target="https://drive.google.com/open?id=1ZCCddnukSrPR1fuLwZv0ts-Yyo47gdCx" TargetMode="External"/><Relationship Id="rId562" Type="http://schemas.openxmlformats.org/officeDocument/2006/relationships/hyperlink" Target="https://drive.google.com/open?id=1wB0O6Dm47SOvegHa2orKtywbQ6_q2EaN" TargetMode="External"/><Relationship Id="rId316" Type="http://schemas.openxmlformats.org/officeDocument/2006/relationships/hyperlink" Target="https://drive.google.com/open?id=1OBHaDcqft0PQ_MF-ZBosylpUa4-fEeZm" TargetMode="External"/><Relationship Id="rId437" Type="http://schemas.openxmlformats.org/officeDocument/2006/relationships/hyperlink" Target="https://drive.google.com/open?id=1LKudmCv7Az0DkukEbCltkYcsBo3Rs2UR" TargetMode="External"/><Relationship Id="rId558" Type="http://schemas.openxmlformats.org/officeDocument/2006/relationships/hyperlink" Target="https://drive.google.com/open?id=1s-XlsXUxocAVfsRAU_5bHqfGJmZXtifK" TargetMode="External"/><Relationship Id="rId315" Type="http://schemas.openxmlformats.org/officeDocument/2006/relationships/hyperlink" Target="https://drive.google.com/open?id=1bSU1zXRjksRfFN3zQO9CRgCNxjsc8J7K" TargetMode="External"/><Relationship Id="rId436" Type="http://schemas.openxmlformats.org/officeDocument/2006/relationships/hyperlink" Target="https://drive.google.com/open?id=1Z2lFJM2cCCWiK1_tWDF3DB6zmTADol1U" TargetMode="External"/><Relationship Id="rId557" Type="http://schemas.openxmlformats.org/officeDocument/2006/relationships/hyperlink" Target="https://drive.google.com/open?id=1xgZNRQ14amuDZFZLqlfVR87-GkwzdV06" TargetMode="External"/><Relationship Id="rId314" Type="http://schemas.openxmlformats.org/officeDocument/2006/relationships/hyperlink" Target="https://drive.google.com/open?id=1UPfDOu14Yz7GYGGB1-PJ8WmQYk8-lA6q" TargetMode="External"/><Relationship Id="rId435" Type="http://schemas.openxmlformats.org/officeDocument/2006/relationships/hyperlink" Target="https://drive.google.com/open?id=1x_rMGyTiOcgZkAMAgxRkRBm-cablpi-t" TargetMode="External"/><Relationship Id="rId556" Type="http://schemas.openxmlformats.org/officeDocument/2006/relationships/hyperlink" Target="https://drive.google.com/open?id=1o9siarLxxNzP7cUNyc01ciGcvxSHBK2M" TargetMode="External"/><Relationship Id="rId313" Type="http://schemas.openxmlformats.org/officeDocument/2006/relationships/hyperlink" Target="https://drive.google.com/open?id=1QyueVuFK1YfocAmQGRwyXuQagleOSjmL" TargetMode="External"/><Relationship Id="rId434" Type="http://schemas.openxmlformats.org/officeDocument/2006/relationships/hyperlink" Target="https://drive.google.com/open?id=148UIhQrtm3zFhbuLxMVmQD5GC1kqZGXs" TargetMode="External"/><Relationship Id="rId555" Type="http://schemas.openxmlformats.org/officeDocument/2006/relationships/hyperlink" Target="https://drive.google.com/open?id=1DXDcOHaqr_Oz4-nm9aLIsaU0XUy-xb7D" TargetMode="External"/><Relationship Id="rId319" Type="http://schemas.openxmlformats.org/officeDocument/2006/relationships/hyperlink" Target="https://drive.google.com/open?id=1ge-DZ-X3MvfWOjJlIFLIQW3UhK381oue" TargetMode="External"/><Relationship Id="rId318" Type="http://schemas.openxmlformats.org/officeDocument/2006/relationships/hyperlink" Target="https://drive.google.com/open?id=1pxzd2h_6Ko2kNhCGyNF2-ror4ECF6XhJ" TargetMode="External"/><Relationship Id="rId439" Type="http://schemas.openxmlformats.org/officeDocument/2006/relationships/hyperlink" Target="https://drive.google.com/open?id=1b-PbrnWgNZ7T9c9rWQAzNar8OFLcsM_x" TargetMode="External"/><Relationship Id="rId317" Type="http://schemas.openxmlformats.org/officeDocument/2006/relationships/hyperlink" Target="https://drive.google.com/open?id=1SQ2iR_UXhENqwj2FBDGAaGzB4AMLFxJc" TargetMode="External"/><Relationship Id="rId438" Type="http://schemas.openxmlformats.org/officeDocument/2006/relationships/hyperlink" Target="https://drive.google.com/open?id=1sq5C5F9Xg2NWIW2suhs1U25VwFDQASax" TargetMode="External"/><Relationship Id="rId559" Type="http://schemas.openxmlformats.org/officeDocument/2006/relationships/hyperlink" Target="https://drive.google.com/open?id=19kMgWurmqSZWRqYI4CG581e2iXbzlOzx" TargetMode="External"/><Relationship Id="rId550" Type="http://schemas.openxmlformats.org/officeDocument/2006/relationships/hyperlink" Target="https://drive.google.com/open?id=1p2aox62GLQ1fR_aHyMZFvqOr9gXrEfxx" TargetMode="External"/><Relationship Id="rId312" Type="http://schemas.openxmlformats.org/officeDocument/2006/relationships/hyperlink" Target="https://drive.google.com/open?id=1-hcM3uNxDqs4-SU6SlkmiM_uqqfoXSGa" TargetMode="External"/><Relationship Id="rId433" Type="http://schemas.openxmlformats.org/officeDocument/2006/relationships/hyperlink" Target="https://drive.google.com/open?id=1loBvrjHlY0FnpH5nRKAMbjyjqe0HfoSW" TargetMode="External"/><Relationship Id="rId554" Type="http://schemas.openxmlformats.org/officeDocument/2006/relationships/hyperlink" Target="https://drive.google.com/open?id=1Q1ATfbB25v5jRYFQ0bvEv3So-L4QbT7H" TargetMode="External"/><Relationship Id="rId311" Type="http://schemas.openxmlformats.org/officeDocument/2006/relationships/hyperlink" Target="https://drive.google.com/open?id=1PKi_5FzVdHshBcqYdbQLrpCNSzqAyeUk" TargetMode="External"/><Relationship Id="rId432" Type="http://schemas.openxmlformats.org/officeDocument/2006/relationships/hyperlink" Target="https://drive.google.com/open?id=1BS0uutCxuRvZ3O-E0I-YEqlzvEHhIPMp" TargetMode="External"/><Relationship Id="rId553" Type="http://schemas.openxmlformats.org/officeDocument/2006/relationships/hyperlink" Target="https://drive.google.com/open?id=1-awNf2tj66PhNzhELJYUMVTtwiSW5rmK" TargetMode="External"/><Relationship Id="rId310" Type="http://schemas.openxmlformats.org/officeDocument/2006/relationships/hyperlink" Target="https://drive.google.com/open?id=14tDUl-zk88KZOX1vsjwNkqMWnnNxdzwN" TargetMode="External"/><Relationship Id="rId431" Type="http://schemas.openxmlformats.org/officeDocument/2006/relationships/hyperlink" Target="https://drive.google.com/open?id=1jPhS03R6hbnAKYxSec5U659lWQ381-2G" TargetMode="External"/><Relationship Id="rId552" Type="http://schemas.openxmlformats.org/officeDocument/2006/relationships/hyperlink" Target="https://drive.google.com/open?id=1nzRAOQmSgOJYj2aEjK0LBDajb3htpZdd" TargetMode="External"/><Relationship Id="rId430" Type="http://schemas.openxmlformats.org/officeDocument/2006/relationships/hyperlink" Target="https://drive.google.com/open?id=1d2rUYlp2GEwgl2gH-iJO1Zt1Jf3exbSV" TargetMode="External"/><Relationship Id="rId551" Type="http://schemas.openxmlformats.org/officeDocument/2006/relationships/hyperlink" Target="https://drive.google.com/open?id=1d9AqAvPWTUnK5oKUj9yaq3imsD9Dxjx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3.44"/>
    <col customWidth="1" min="2" max="2" width="7.44"/>
    <col customWidth="1" min="3" max="3" width="40.11"/>
    <col customWidth="1" min="4" max="4" width="18.89"/>
    <col customWidth="1" min="6" max="6" width="15.0"/>
    <col customWidth="1" min="7" max="7" width="6.67"/>
    <col customWidth="1" min="8" max="8" width="8.67"/>
    <col customWidth="1" min="9" max="9" width="7.89"/>
    <col customWidth="1" hidden="1" min="10" max="10" width="10.44"/>
    <col customWidth="1" min="11" max="11" width="10.67"/>
    <col customWidth="1" min="13" max="13" width="13.22"/>
    <col customWidth="1" min="16" max="16" width="11.67"/>
    <col customWidth="1" hidden="1" min="17" max="17" width="16.89"/>
    <col customWidth="1" min="18" max="18" width="9.78"/>
    <col customWidth="1" min="19" max="19" width="9.0"/>
    <col customWidth="1" min="20" max="20" width="5.22"/>
    <col customWidth="1" min="21" max="21" width="14.78"/>
    <col customWidth="1" min="22" max="22" width="13.89"/>
    <col hidden="1" min="23" max="23" width="11.22"/>
    <col customWidth="1" hidden="1" min="24" max="24" width="12.11"/>
    <col customWidth="1" min="25" max="39" width="12.11"/>
  </cols>
  <sheetData>
    <row r="1" ht="59.25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3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9" t="s">
        <v>13</v>
      </c>
      <c r="O1" s="10" t="s">
        <v>14</v>
      </c>
      <c r="P1" s="10" t="s">
        <v>15</v>
      </c>
      <c r="Q1" s="8" t="s">
        <v>16</v>
      </c>
      <c r="R1" s="8" t="s">
        <v>17</v>
      </c>
      <c r="S1" s="11" t="s">
        <v>18</v>
      </c>
      <c r="T1" s="6" t="s">
        <v>19</v>
      </c>
      <c r="U1" s="3" t="s">
        <v>20</v>
      </c>
      <c r="V1" s="12" t="s">
        <v>21</v>
      </c>
      <c r="W1" s="2" t="s">
        <v>22</v>
      </c>
      <c r="X1" s="2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idden="1">
      <c r="A2" s="13" t="s">
        <v>24</v>
      </c>
      <c r="B2" s="13" t="s">
        <v>25</v>
      </c>
      <c r="C2" s="14" t="s">
        <v>26</v>
      </c>
      <c r="D2" s="14" t="s">
        <v>27</v>
      </c>
      <c r="E2" s="15">
        <v>44812.0</v>
      </c>
      <c r="F2" s="16">
        <v>44819.0</v>
      </c>
      <c r="G2" s="17" t="str">
        <f t="shared" ref="G2:G187" si="1">IF((E2="")+(F2=""), "", IF(DATEDIF(E2, F2, "d") &gt; 30, DATEDIF(E2, F2, "m") &amp; " М", DATEDIF(E2, F2, "d") &amp; " Д"))
</f>
        <v>7 Д</v>
      </c>
      <c r="H2" s="18">
        <f>1500/7</f>
        <v>214.2857143</v>
      </c>
      <c r="I2" s="19" t="str">
        <f t="shared" ref="I2:I680" si="2">IF(OR(A2="в аренде", A2="в аренде 1", A2="в аренде 2"), J2-K2, "")</f>
        <v/>
      </c>
      <c r="J2" s="20" t="str">
        <f t="shared" ref="J2:J316" si="3">IF(OR(A2="в аренде", A2="в аренде 1", A2="в аренде 2"), DATEDIF(E2, TODAY(), "D")*H2, "")</f>
        <v/>
      </c>
      <c r="K2" s="20">
        <v>1500.0</v>
      </c>
      <c r="L2" s="20"/>
      <c r="M2" s="20"/>
      <c r="N2" s="21">
        <v>15970.0</v>
      </c>
      <c r="O2" s="22" t="str">
        <f>IFERROR(__xludf.DUMMYFUNCTION("IFERROR(
  VLOOKUP(C2,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C2
    ), 
    7, FALSE
  ), 
  """"
)
"),"")</f>
        <v/>
      </c>
      <c r="P2" s="22" t="str">
        <f>IFERROR(__xludf.DUMMYFUNCTION("IF(OR(ISBLANK(Q2), ISBLANK(O2), VALUE(SUBSTITUTE(INDEX(SPLIT(IF(ISBLANK(R2), Q2, R2), "" km""), 0, 1), "" "", """")) - O2 = 0), """", IF(ISBLANK(R2), VALUE(SUBSTITUTE(INDEX(SPLIT(Q2, "" km""), 0, 1), "" "", """")) - O2, VALUE(SUBSTITUTE(INDEX(SPLIT(R2, """&amp;" km""), 0, 1), "" "", """")) - O2))"),"#VALUE!")</f>
        <v>#VALUE!</v>
      </c>
      <c r="Q2" s="23" t="str">
        <f t="shared" ref="Q2:Q2093" si="4">IF(AND(ISBLANK(N2), ISBLANK(E2), ISBLANK(R2)), "", IF(ISBLANK(R2), TEXT(N2, "#,##0") &amp; " Km, " &amp; TEXT(E2, "dd.mm.yyyy"), R2))</f>
        <v>коцки низа</v>
      </c>
      <c r="R2" s="20" t="s">
        <v>28</v>
      </c>
      <c r="S2" s="18" t="s">
        <v>29</v>
      </c>
      <c r="T2" s="19">
        <v>1.0</v>
      </c>
      <c r="U2" s="17" t="s">
        <v>30</v>
      </c>
      <c r="V2" s="17" t="s">
        <v>31</v>
      </c>
      <c r="W2" s="24" t="str">
        <f t="shared" ref="W2:W373" si="5">IF(F2 = "", "", IF(NOW() &gt; (DATEVALUE(LEFT(F2, SEARCH(",", F2) - 2)) + TIMEVALUE(MID(F2, SEARCH(",", F2) + 2, 5))), "Завершена", "В аренде"))</f>
        <v>Завершена</v>
      </c>
      <c r="X2" s="13" t="str">
        <f>IFERROR(__xludf.DUMMYFUNCTION("IF(C2 = """", """", IF(REGEXMATCH(C2, ""PCX|NMAX|ADV|CLICK""), ""скутер"", ""мото""))"),"скутер")</f>
        <v>скутер</v>
      </c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 hidden="1">
      <c r="A3" s="25" t="s">
        <v>24</v>
      </c>
      <c r="B3" s="25" t="s">
        <v>25</v>
      </c>
      <c r="C3" s="26" t="s">
        <v>32</v>
      </c>
      <c r="D3" s="27" t="s">
        <v>33</v>
      </c>
      <c r="E3" s="28">
        <v>44817.0</v>
      </c>
      <c r="F3" s="29">
        <v>44908.0</v>
      </c>
      <c r="G3" s="30" t="str">
        <f t="shared" si="1"/>
        <v>3 М</v>
      </c>
      <c r="H3" s="31">
        <v>333.33</v>
      </c>
      <c r="I3" s="32" t="str">
        <f t="shared" si="2"/>
        <v/>
      </c>
      <c r="J3" s="33" t="str">
        <f t="shared" si="3"/>
        <v/>
      </c>
      <c r="K3" s="33">
        <v>20000.0</v>
      </c>
      <c r="L3" s="33"/>
      <c r="M3" s="33"/>
      <c r="N3" s="34">
        <v>11080.0</v>
      </c>
      <c r="O3" s="35">
        <f>IFERROR(__xludf.DUMMYFUNCTION("IFERROR(
  VLOOKUP(C3,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C3
    ), 
    7, FALSE
  ), 
  """"
)
"),38640.0)</f>
        <v>38640</v>
      </c>
      <c r="P3" s="35">
        <f>IFERROR(__xludf.DUMMYFUNCTION("IF(OR(ISBLANK(Q3), ISBLANK(O3), VALUE(SUBSTITUTE(INDEX(SPLIT(IF(ISBLANK(R3), Q3, R3), "" km""), 0, 1), "" "", """")) - O3 = 0), """", IF(ISBLANK(R3), VALUE(SUBSTITUTE(INDEX(SPLIT(Q3, "" km""), 0, 1), "" "", """")) - O3, VALUE(SUBSTITUTE(INDEX(SPLIT(R3, """&amp;" km""), 0, 1), "" "", """")) - O3))"),-27560.0)</f>
        <v>-27560</v>
      </c>
      <c r="Q3" s="36" t="str">
        <f t="shared" si="4"/>
        <v>11 080 Km, 13.09.2022</v>
      </c>
      <c r="R3" s="33"/>
      <c r="S3" s="31">
        <v>5000.0</v>
      </c>
      <c r="T3" s="32" t="s">
        <v>34</v>
      </c>
      <c r="U3" s="30" t="s">
        <v>35</v>
      </c>
      <c r="V3" s="30" t="s">
        <v>36</v>
      </c>
      <c r="W3" s="37" t="str">
        <f t="shared" si="5"/>
        <v>Завершена</v>
      </c>
      <c r="X3" s="25" t="str">
        <f>IFERROR(__xludf.DUMMYFUNCTION("IF(C3 = """", """", IF(REGEXMATCH(C3, ""PCX|NMAX|ADV|CLICK""), ""скутер"", ""мото""))"),"мото")</f>
        <v>мото</v>
      </c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</row>
    <row r="4" hidden="1">
      <c r="A4" s="13" t="s">
        <v>24</v>
      </c>
      <c r="B4" s="13" t="s">
        <v>25</v>
      </c>
      <c r="C4" s="14" t="s">
        <v>37</v>
      </c>
      <c r="D4" s="14" t="s">
        <v>38</v>
      </c>
      <c r="E4" s="15">
        <v>44835.0</v>
      </c>
      <c r="F4" s="16">
        <v>44866.0</v>
      </c>
      <c r="G4" s="17" t="str">
        <f t="shared" si="1"/>
        <v>1 М</v>
      </c>
      <c r="H4" s="18">
        <f>11000/30</f>
        <v>366.6666667</v>
      </c>
      <c r="I4" s="19" t="str">
        <f t="shared" si="2"/>
        <v/>
      </c>
      <c r="J4" s="20" t="str">
        <f t="shared" si="3"/>
        <v/>
      </c>
      <c r="K4" s="20">
        <v>11000.0</v>
      </c>
      <c r="L4" s="20"/>
      <c r="M4" s="20"/>
      <c r="N4" s="21">
        <v>17273.0</v>
      </c>
      <c r="O4" s="22" t="str">
        <f>IFERROR(__xludf.DUMMYFUNCTION("IFERROR(
  VLOOKUP(C4,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C4
    ), 
    7, FALSE
  ), 
  """"
)
"),"")</f>
        <v/>
      </c>
      <c r="P4" s="22">
        <f>IFERROR(__xludf.DUMMYFUNCTION("IF(OR(ISBLANK(Q4), ISBLANK(O4), VALUE(SUBSTITUTE(INDEX(SPLIT(IF(ISBLANK(R4), Q4, R4), "" km""), 0, 1), "" "", """")) - O4 = 0), """", IF(ISBLANK(R4), VALUE(SUBSTITUTE(INDEX(SPLIT(Q4, "" km""), 0, 1), "" "", """")) - O4, VALUE(SUBSTITUTE(INDEX(SPLIT(R4, """&amp;" km""), 0, 1), "" "", """")) - O4))"),17273.0)</f>
        <v>17273</v>
      </c>
      <c r="Q4" s="23" t="str">
        <f t="shared" si="4"/>
        <v>17 273 Km, 01.10.2022</v>
      </c>
      <c r="R4" s="20"/>
      <c r="S4" s="18">
        <v>5000.0</v>
      </c>
      <c r="T4" s="19">
        <v>2.0</v>
      </c>
      <c r="U4" s="17" t="s">
        <v>39</v>
      </c>
      <c r="V4" s="17" t="s">
        <v>40</v>
      </c>
      <c r="W4" s="24" t="str">
        <f t="shared" si="5"/>
        <v>Завершена</v>
      </c>
      <c r="X4" s="13" t="str">
        <f>IFERROR(__xludf.DUMMYFUNCTION("IF(C4 = """", """", IF(REGEXMATCH(C4, ""PCX|NMAX|ADV|CLICK""), ""скутер"", ""мото""))"),"мото")</f>
        <v>мото</v>
      </c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hidden="1">
      <c r="A5" s="25" t="s">
        <v>24</v>
      </c>
      <c r="B5" s="25" t="s">
        <v>25</v>
      </c>
      <c r="C5" s="27" t="s">
        <v>26</v>
      </c>
      <c r="D5" s="27" t="s">
        <v>41</v>
      </c>
      <c r="E5" s="28">
        <v>44837.0</v>
      </c>
      <c r="F5" s="29">
        <v>44844.0</v>
      </c>
      <c r="G5" s="30" t="str">
        <f t="shared" si="1"/>
        <v>7 Д</v>
      </c>
      <c r="H5" s="31">
        <v>250.0</v>
      </c>
      <c r="I5" s="32" t="str">
        <f t="shared" si="2"/>
        <v/>
      </c>
      <c r="J5" s="33" t="str">
        <f t="shared" si="3"/>
        <v/>
      </c>
      <c r="K5" s="33">
        <v>1500.0</v>
      </c>
      <c r="L5" s="33"/>
      <c r="M5" s="33"/>
      <c r="N5" s="34">
        <v>16200.0</v>
      </c>
      <c r="O5" s="35" t="str">
        <f>IFERROR(__xludf.DUMMYFUNCTION("IFERROR(
  VLOOKUP(C5,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C5
    ), 
    7, FALSE
  ), 
  """"
)
"),"")</f>
        <v/>
      </c>
      <c r="P5" s="35">
        <f>IFERROR(__xludf.DUMMYFUNCTION("IF(OR(ISBLANK(Q5), ISBLANK(O5), VALUE(SUBSTITUTE(INDEX(SPLIT(IF(ISBLANK(R5), Q5, R5), "" km""), 0, 1), "" "", """")) - O5 = 0), """", IF(ISBLANK(R5), VALUE(SUBSTITUTE(INDEX(SPLIT(Q5, "" km""), 0, 1), "" "", """")) - O5, VALUE(SUBSTITUTE(INDEX(SPLIT(R5, """&amp;" km""), 0, 1), "" "", """")) - O5))"),16200.0)</f>
        <v>16200</v>
      </c>
      <c r="Q5" s="36" t="str">
        <f t="shared" si="4"/>
        <v>16 200 Km, 03.10.2022</v>
      </c>
      <c r="R5" s="33"/>
      <c r="S5" s="31">
        <v>3000.0</v>
      </c>
      <c r="T5" s="32">
        <v>2.0</v>
      </c>
      <c r="U5" s="30" t="s">
        <v>42</v>
      </c>
      <c r="V5" s="30" t="s">
        <v>43</v>
      </c>
      <c r="W5" s="37" t="str">
        <f t="shared" si="5"/>
        <v>Завершена</v>
      </c>
      <c r="X5" s="25" t="str">
        <f>IFERROR(__xludf.DUMMYFUNCTION("IF(C5 = """", """", IF(REGEXMATCH(C5, ""PCX|NMAX|ADV|CLICK""), ""скутер"", ""мото""))"),"скутер")</f>
        <v>скутер</v>
      </c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</row>
    <row r="6" hidden="1">
      <c r="A6" s="13" t="s">
        <v>24</v>
      </c>
      <c r="B6" s="13" t="s">
        <v>25</v>
      </c>
      <c r="C6" s="14" t="s">
        <v>44</v>
      </c>
      <c r="D6" s="14" t="s">
        <v>45</v>
      </c>
      <c r="E6" s="15">
        <v>44852.0</v>
      </c>
      <c r="F6" s="38">
        <v>44975.0</v>
      </c>
      <c r="G6" s="17" t="str">
        <f t="shared" si="1"/>
        <v>4 М</v>
      </c>
      <c r="H6" s="18">
        <f>5800/30</f>
        <v>193.3333333</v>
      </c>
      <c r="I6" s="19" t="str">
        <f t="shared" si="2"/>
        <v/>
      </c>
      <c r="J6" s="20" t="str">
        <f t="shared" si="3"/>
        <v/>
      </c>
      <c r="K6" s="20">
        <f>5800+5800+5800+1500</f>
        <v>18900</v>
      </c>
      <c r="L6" s="20"/>
      <c r="M6" s="20"/>
      <c r="N6" s="21">
        <v>12800.0</v>
      </c>
      <c r="O6" s="22">
        <f>IFERROR(__xludf.DUMMYFUNCTION("IFERROR(
  VLOOKUP(C6,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C6
    ), 
    7, FALSE
  ), 
  """"
)
"),30800.0)</f>
        <v>30800</v>
      </c>
      <c r="P6" s="22">
        <f>IFERROR(__xludf.DUMMYFUNCTION("IF(OR(ISBLANK(Q6), ISBLANK(O6), VALUE(SUBSTITUTE(INDEX(SPLIT(IF(ISBLANK(R6), Q6, R6), "" km""), 0, 1), "" "", """")) - O6 = 0), """", IF(ISBLANK(R6), VALUE(SUBSTITUTE(INDEX(SPLIT(Q6, "" km""), 0, 1), "" "", """")) - O6, VALUE(SUBSTITUTE(INDEX(SPLIT(R6, """&amp;" km""), 0, 1), "" "", """")) - O6))"),-18000.0)</f>
        <v>-18000</v>
      </c>
      <c r="Q6" s="23" t="str">
        <f t="shared" si="4"/>
        <v>12 800 Km, 18.10.2022</v>
      </c>
      <c r="R6" s="23"/>
      <c r="S6" s="18">
        <v>3000.0</v>
      </c>
      <c r="T6" s="19">
        <v>1.0</v>
      </c>
      <c r="U6" s="17" t="s">
        <v>46</v>
      </c>
      <c r="V6" s="17" t="s">
        <v>47</v>
      </c>
      <c r="W6" s="24" t="str">
        <f t="shared" si="5"/>
        <v>Завершена</v>
      </c>
      <c r="X6" s="13" t="str">
        <f>IFERROR(__xludf.DUMMYFUNCTION("IF(C6 = """", """", IF(REGEXMATCH(C6, ""PCX|NMAX|ADV|CLICK""), ""скутер"", ""мото""))"),"скутер")</f>
        <v>скутер</v>
      </c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</row>
    <row r="7" hidden="1">
      <c r="A7" s="25" t="s">
        <v>24</v>
      </c>
      <c r="B7" s="25" t="s">
        <v>25</v>
      </c>
      <c r="C7" s="27" t="s">
        <v>48</v>
      </c>
      <c r="D7" s="27" t="s">
        <v>49</v>
      </c>
      <c r="E7" s="28">
        <v>44854.0</v>
      </c>
      <c r="F7" s="39">
        <v>45005.0</v>
      </c>
      <c r="G7" s="30" t="str">
        <f t="shared" si="1"/>
        <v>5 М</v>
      </c>
      <c r="H7" s="31">
        <f>6000/30</f>
        <v>200</v>
      </c>
      <c r="I7" s="32" t="str">
        <f t="shared" si="2"/>
        <v/>
      </c>
      <c r="J7" s="33" t="str">
        <f t="shared" si="3"/>
        <v/>
      </c>
      <c r="K7" s="33">
        <f>6000+6000+6000+6000</f>
        <v>24000</v>
      </c>
      <c r="L7" s="33"/>
      <c r="M7" s="33"/>
      <c r="N7" s="34">
        <v>17300.0</v>
      </c>
      <c r="O7" s="35">
        <f>IFERROR(__xludf.DUMMYFUNCTION("IFERROR(
  VLOOKUP(C7,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C7
    ), 
    7, FALSE
  ), 
  """"
)
"),35800.0)</f>
        <v>35800</v>
      </c>
      <c r="P7" s="35">
        <f>IFERROR(__xludf.DUMMYFUNCTION("IF(OR(ISBLANK(Q7), ISBLANK(O7), VALUE(SUBSTITUTE(INDEX(SPLIT(IF(ISBLANK(R7), Q7, R7), "" km""), 0, 1), "" "", """")) - O7 = 0), """", IF(ISBLANK(R7), VALUE(SUBSTITUTE(INDEX(SPLIT(Q7, "" km""), 0, 1), "" "", """")) - O7, VALUE(SUBSTITUTE(INDEX(SPLIT(R7, """&amp;" km""), 0, 1), "" "", """")) - O7))"),-18500.0)</f>
        <v>-18500</v>
      </c>
      <c r="Q7" s="36" t="str">
        <f t="shared" si="4"/>
        <v>17 300 Km, 20.10.2022</v>
      </c>
      <c r="R7" s="36"/>
      <c r="S7" s="31">
        <v>3000.0</v>
      </c>
      <c r="T7" s="32" t="s">
        <v>34</v>
      </c>
      <c r="U7" s="30" t="s">
        <v>50</v>
      </c>
      <c r="V7" s="30" t="s">
        <v>51</v>
      </c>
      <c r="W7" s="37" t="str">
        <f t="shared" si="5"/>
        <v>Завершена</v>
      </c>
      <c r="X7" s="25" t="str">
        <f>IFERROR(__xludf.DUMMYFUNCTION("IF(C7 = """", """", IF(REGEXMATCH(C7, ""PCX|NMAX|ADV|CLICK""), ""скутер"", ""мото""))"),"скутер")</f>
        <v>скутер</v>
      </c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hidden="1">
      <c r="A8" s="13" t="s">
        <v>24</v>
      </c>
      <c r="B8" s="13" t="s">
        <v>25</v>
      </c>
      <c r="C8" s="14" t="s">
        <v>52</v>
      </c>
      <c r="D8" s="14" t="s">
        <v>53</v>
      </c>
      <c r="E8" s="15">
        <v>44855.0</v>
      </c>
      <c r="F8" s="16">
        <v>44886.0</v>
      </c>
      <c r="G8" s="17" t="str">
        <f t="shared" si="1"/>
        <v>1 М</v>
      </c>
      <c r="H8" s="18">
        <f>4000/30</f>
        <v>133.3333333</v>
      </c>
      <c r="I8" s="19" t="str">
        <f t="shared" si="2"/>
        <v/>
      </c>
      <c r="J8" s="20" t="str">
        <f t="shared" si="3"/>
        <v/>
      </c>
      <c r="K8" s="20">
        <v>4000.0</v>
      </c>
      <c r="L8" s="20"/>
      <c r="M8" s="20"/>
      <c r="N8" s="21">
        <v>26720.0</v>
      </c>
      <c r="O8" s="22">
        <f>IFERROR(__xludf.DUMMYFUNCTION("IFERROR(
  VLOOKUP(C8,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C8
    ), 
    7, FALSE
  ), 
  """"
)
"),33515.0)</f>
        <v>33515</v>
      </c>
      <c r="P8" s="22">
        <f>IFERROR(__xludf.DUMMYFUNCTION("IF(OR(ISBLANK(Q8), ISBLANK(O8), VALUE(SUBSTITUTE(INDEX(SPLIT(IF(ISBLANK(R8), Q8, R8), "" km""), 0, 1), "" "", """")) - O8 = 0), """", IF(ISBLANK(R8), VALUE(SUBSTITUTE(INDEX(SPLIT(Q8, "" km""), 0, 1), "" "", """")) - O8, VALUE(SUBSTITUTE(INDEX(SPLIT(R8, """&amp;" km""), 0, 1), "" "", """")) - O8))"),-6795.0)</f>
        <v>-6795</v>
      </c>
      <c r="Q8" s="23" t="str">
        <f t="shared" si="4"/>
        <v>26 720 Km, 21.10.2022</v>
      </c>
      <c r="R8" s="20"/>
      <c r="S8" s="18">
        <v>3000.0</v>
      </c>
      <c r="T8" s="19">
        <v>1.0</v>
      </c>
      <c r="U8" s="17" t="s">
        <v>54</v>
      </c>
      <c r="V8" s="17" t="s">
        <v>55</v>
      </c>
      <c r="W8" s="24" t="str">
        <f t="shared" si="5"/>
        <v>Завершена</v>
      </c>
      <c r="X8" s="13" t="str">
        <f>IFERROR(__xludf.DUMMYFUNCTION("IF(C8 = """", """", IF(REGEXMATCH(C8, ""PCX|NMAX|ADV|CLICK""), ""скутер"", ""мото""))"),"скутер")</f>
        <v>скутер</v>
      </c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</row>
    <row r="9" hidden="1">
      <c r="A9" s="25" t="s">
        <v>24</v>
      </c>
      <c r="B9" s="25" t="s">
        <v>25</v>
      </c>
      <c r="C9" s="27" t="s">
        <v>56</v>
      </c>
      <c r="D9" s="27" t="s">
        <v>57</v>
      </c>
      <c r="E9" s="28">
        <v>44855.0</v>
      </c>
      <c r="F9" s="39">
        <v>44894.0</v>
      </c>
      <c r="G9" s="30" t="str">
        <f t="shared" si="1"/>
        <v>1 М</v>
      </c>
      <c r="H9" s="31">
        <f>6500/30</f>
        <v>216.6666667</v>
      </c>
      <c r="I9" s="32" t="str">
        <f t="shared" si="2"/>
        <v/>
      </c>
      <c r="J9" s="33" t="str">
        <f t="shared" si="3"/>
        <v/>
      </c>
      <c r="K9" s="33">
        <f>7000+1500</f>
        <v>8500</v>
      </c>
      <c r="L9" s="33"/>
      <c r="M9" s="33"/>
      <c r="N9" s="34">
        <v>19300.0</v>
      </c>
      <c r="O9" s="35">
        <f>IFERROR(__xludf.DUMMYFUNCTION("IFERROR(
  VLOOKUP(C9,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C9
    ), 
    7, FALSE
  ), 
  """"
)
"),36400.0)</f>
        <v>36400</v>
      </c>
      <c r="P9" s="35">
        <f>IFERROR(__xludf.DUMMYFUNCTION("IF(OR(ISBLANK(Q9), ISBLANK(O9), VALUE(SUBSTITUTE(INDEX(SPLIT(IF(ISBLANK(R9), Q9, R9), "" km""), 0, 1), "" "", """")) - O9 = 0), """", IF(ISBLANK(R9), VALUE(SUBSTITUTE(INDEX(SPLIT(Q9, "" km""), 0, 1), "" "", """")) - O9, VALUE(SUBSTITUTE(INDEX(SPLIT(R9, """&amp;" km""), 0, 1), "" "", """")) - O9))"),-17100.0)</f>
        <v>-17100</v>
      </c>
      <c r="Q9" s="36" t="str">
        <f t="shared" si="4"/>
        <v>19 300 Km, 21.10.2022</v>
      </c>
      <c r="R9" s="36"/>
      <c r="S9" s="40">
        <v>3000.0</v>
      </c>
      <c r="T9" s="32">
        <v>2.0</v>
      </c>
      <c r="U9" s="30" t="s">
        <v>58</v>
      </c>
      <c r="V9" s="30" t="s">
        <v>59</v>
      </c>
      <c r="W9" s="37" t="str">
        <f t="shared" si="5"/>
        <v>Завершена</v>
      </c>
      <c r="X9" s="25" t="str">
        <f>IFERROR(__xludf.DUMMYFUNCTION("IF(C9 = """", """", IF(REGEXMATCH(C9, ""PCX|NMAX|ADV|CLICK""), ""скутер"", ""мото""))"),"скутер")</f>
        <v>скутер</v>
      </c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</row>
    <row r="10" hidden="1">
      <c r="A10" s="13" t="s">
        <v>24</v>
      </c>
      <c r="B10" s="13" t="s">
        <v>25</v>
      </c>
      <c r="C10" s="14" t="s">
        <v>60</v>
      </c>
      <c r="D10" s="14" t="s">
        <v>61</v>
      </c>
      <c r="E10" s="15">
        <v>44855.0</v>
      </c>
      <c r="F10" s="16">
        <v>44947.0</v>
      </c>
      <c r="G10" s="17" t="str">
        <f t="shared" si="1"/>
        <v>3 М</v>
      </c>
      <c r="H10" s="18">
        <f>5500/30</f>
        <v>183.3333333</v>
      </c>
      <c r="I10" s="19" t="str">
        <f t="shared" si="2"/>
        <v/>
      </c>
      <c r="J10" s="20" t="str">
        <f t="shared" si="3"/>
        <v/>
      </c>
      <c r="K10" s="20">
        <v>5500.0</v>
      </c>
      <c r="L10" s="20"/>
      <c r="M10" s="20"/>
      <c r="N10" s="21">
        <v>24000.0</v>
      </c>
      <c r="O10" s="22" t="str">
        <f>IFERROR(__xludf.DUMMYFUNCTION("IFERROR(
  VLOOKUP(C10,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C10
    ), 
    7, FALSE
  ), 
  """"
)
"),"")</f>
        <v/>
      </c>
      <c r="P10" s="22">
        <f>IFERROR(__xludf.DUMMYFUNCTION("IF(OR(ISBLANK(Q10), ISBLANK(O10), VALUE(SUBSTITUTE(INDEX(SPLIT(IF(ISBLANK(R10), Q10, R10), "" km""), 0, 1), "" "", """")) - O10 = 0), """", IF(ISBLANK(R10), VALUE(SUBSTITUTE(INDEX(SPLIT(Q10, "" km""), 0, 1), "" "", """")) - O10, VALUE(SUBSTITUTE(INDEX(SPL"&amp;"IT(R10, "" km""), 0, 1), "" "", """")) - O10))"),24000.0)</f>
        <v>24000</v>
      </c>
      <c r="Q10" s="23" t="str">
        <f t="shared" si="4"/>
        <v>24 000 Km, 21.10.2022</v>
      </c>
      <c r="R10" s="20"/>
      <c r="S10" s="18">
        <v>3000.0</v>
      </c>
      <c r="T10" s="19">
        <v>1.0</v>
      </c>
      <c r="U10" s="17" t="s">
        <v>62</v>
      </c>
      <c r="V10" s="17" t="s">
        <v>63</v>
      </c>
      <c r="W10" s="24" t="str">
        <f t="shared" si="5"/>
        <v>Завершена</v>
      </c>
      <c r="X10" s="13" t="str">
        <f>IFERROR(__xludf.DUMMYFUNCTION("IF(C10 = """", """", IF(REGEXMATCH(C10, ""PCX|NMAX|ADV|CLICK""), ""скутер"", ""мото""))"),"мото")</f>
        <v>мото</v>
      </c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</row>
    <row r="11" hidden="1">
      <c r="A11" s="25" t="s">
        <v>24</v>
      </c>
      <c r="B11" s="25" t="s">
        <v>25</v>
      </c>
      <c r="C11" s="27" t="s">
        <v>64</v>
      </c>
      <c r="D11" s="27" t="s">
        <v>65</v>
      </c>
      <c r="E11" s="28">
        <v>44856.0</v>
      </c>
      <c r="F11" s="39">
        <v>44948.0</v>
      </c>
      <c r="G11" s="30" t="str">
        <f t="shared" si="1"/>
        <v>3 М</v>
      </c>
      <c r="H11" s="31">
        <f>13000/30</f>
        <v>433.3333333</v>
      </c>
      <c r="I11" s="32" t="str">
        <f t="shared" si="2"/>
        <v/>
      </c>
      <c r="J11" s="33" t="str">
        <f t="shared" si="3"/>
        <v/>
      </c>
      <c r="K11" s="33">
        <f>13000+13000+13000</f>
        <v>39000</v>
      </c>
      <c r="L11" s="33"/>
      <c r="M11" s="33"/>
      <c r="N11" s="34">
        <v>9900.0</v>
      </c>
      <c r="O11" s="35">
        <f>IFERROR(__xludf.DUMMYFUNCTION("IFERROR(
  VLOOKUP(C11,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C11
    ), 
    7, FALSE
  ), 
  """"
)
"),32600.0)</f>
        <v>32600</v>
      </c>
      <c r="P11" s="35">
        <f>IFERROR(__xludf.DUMMYFUNCTION("IF(OR(ISBLANK(Q11), ISBLANK(O11), VALUE(SUBSTITUTE(INDEX(SPLIT(IF(ISBLANK(R11), Q11, R11), "" km""), 0, 1), "" "", """")) - O11 = 0), """", IF(ISBLANK(R11), VALUE(SUBSTITUTE(INDEX(SPLIT(Q11, "" km""), 0, 1), "" "", """")) - O11, VALUE(SUBSTITUTE(INDEX(SPL"&amp;"IT(R11, "" km""), 0, 1), "" "", """")) - O11))"),-22700.0)</f>
        <v>-22700</v>
      </c>
      <c r="Q11" s="36" t="str">
        <f t="shared" si="4"/>
        <v>9 900 Km, 22.10.2022</v>
      </c>
      <c r="R11" s="33"/>
      <c r="S11" s="31">
        <v>5000.0</v>
      </c>
      <c r="T11" s="32">
        <v>1.0</v>
      </c>
      <c r="U11" s="30" t="s">
        <v>66</v>
      </c>
      <c r="V11" s="30" t="s">
        <v>67</v>
      </c>
      <c r="W11" s="37" t="str">
        <f t="shared" si="5"/>
        <v>Завершена</v>
      </c>
      <c r="X11" s="25" t="str">
        <f>IFERROR(__xludf.DUMMYFUNCTION("IF(C11 = """", """", IF(REGEXMATCH(C11, ""PCX|NMAX|ADV|CLICK""), ""скутер"", ""мото""))"),"мото")</f>
        <v>мото</v>
      </c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</row>
    <row r="12" hidden="1">
      <c r="A12" s="13" t="s">
        <v>24</v>
      </c>
      <c r="B12" s="13" t="s">
        <v>25</v>
      </c>
      <c r="C12" s="14" t="s">
        <v>68</v>
      </c>
      <c r="D12" s="14" t="s">
        <v>69</v>
      </c>
      <c r="E12" s="15">
        <v>44856.0</v>
      </c>
      <c r="F12" s="16">
        <v>44948.0</v>
      </c>
      <c r="G12" s="17" t="str">
        <f t="shared" si="1"/>
        <v>3 М</v>
      </c>
      <c r="H12" s="18">
        <f>7000/30</f>
        <v>233.3333333</v>
      </c>
      <c r="I12" s="19" t="str">
        <f t="shared" si="2"/>
        <v/>
      </c>
      <c r="J12" s="20" t="str">
        <f t="shared" si="3"/>
        <v/>
      </c>
      <c r="K12" s="20">
        <f>7000+7000</f>
        <v>14000</v>
      </c>
      <c r="L12" s="20"/>
      <c r="M12" s="20"/>
      <c r="N12" s="21">
        <v>29275.0</v>
      </c>
      <c r="O12" s="22">
        <f>IFERROR(__xludf.DUMMYFUNCTION("IFERROR(
  VLOOKUP(C12,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C12
    ), 
    7, FALSE
  ), 
  """"
)
"),24094.0)</f>
        <v>24094</v>
      </c>
      <c r="P12" s="22">
        <f>IFERROR(__xludf.DUMMYFUNCTION("IF(OR(ISBLANK(Q12), ISBLANK(O12), VALUE(SUBSTITUTE(INDEX(SPLIT(IF(ISBLANK(R12), Q12, R12), "" km""), 0, 1), "" "", """")) - O12 = 0), """", IF(ISBLANK(R12), VALUE(SUBSTITUTE(INDEX(SPLIT(Q12, "" km""), 0, 1), "" "", """")) - O12, VALUE(SUBSTITUTE(INDEX(SPL"&amp;"IT(R12, "" km""), 0, 1), "" "", """")) - O12))"),5181.0)</f>
        <v>5181</v>
      </c>
      <c r="Q12" s="23" t="str">
        <f t="shared" si="4"/>
        <v>29 275 Km, 22.10.2022</v>
      </c>
      <c r="R12" s="20"/>
      <c r="S12" s="18">
        <f>3000</f>
        <v>3000</v>
      </c>
      <c r="T12" s="19">
        <v>1.0</v>
      </c>
      <c r="U12" s="17" t="s">
        <v>70</v>
      </c>
      <c r="V12" s="17" t="s">
        <v>71</v>
      </c>
      <c r="W12" s="24" t="str">
        <f t="shared" si="5"/>
        <v>Завершена</v>
      </c>
      <c r="X12" s="13" t="str">
        <f>IFERROR(__xludf.DUMMYFUNCTION("IF(C12 = """", """", IF(REGEXMATCH(C12, ""PCX|NMAX|ADV|CLICK""), ""скутер"", ""мото""))"),"скутер")</f>
        <v>скутер</v>
      </c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</row>
    <row r="13" hidden="1">
      <c r="A13" s="25" t="s">
        <v>24</v>
      </c>
      <c r="B13" s="25" t="s">
        <v>25</v>
      </c>
      <c r="C13" s="27" t="s">
        <v>26</v>
      </c>
      <c r="D13" s="27" t="s">
        <v>41</v>
      </c>
      <c r="E13" s="28">
        <v>44858.0</v>
      </c>
      <c r="F13" s="39">
        <v>45005.0</v>
      </c>
      <c r="G13" s="30" t="str">
        <f t="shared" si="1"/>
        <v>4 М</v>
      </c>
      <c r="H13" s="31">
        <v>250.0</v>
      </c>
      <c r="I13" s="32" t="str">
        <f t="shared" si="2"/>
        <v/>
      </c>
      <c r="J13" s="33" t="str">
        <f t="shared" si="3"/>
        <v/>
      </c>
      <c r="K13" s="33">
        <f>1500+1750+1750+1750+1750+1750+200+1550+1750+3500+1750+750+1000+1750+1750+1750+1750+1750+660+1090+500</f>
        <v>31750</v>
      </c>
      <c r="L13" s="33"/>
      <c r="M13" s="33"/>
      <c r="N13" s="34">
        <v>16800.0</v>
      </c>
      <c r="O13" s="35" t="str">
        <f>IFERROR(__xludf.DUMMYFUNCTION("IFERROR(
  VLOOKUP(C13,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C13
    ), 
    7, FALSE
  ), 
  """"
)
"),"")</f>
        <v/>
      </c>
      <c r="P13" s="35">
        <f>IFERROR(__xludf.DUMMYFUNCTION("IF(OR(ISBLANK(Q13), ISBLANK(O13), VALUE(SUBSTITUTE(INDEX(SPLIT(IF(ISBLANK(R13), Q13, R13), "" km""), 0, 1), "" "", """")) - O13 = 0), """", IF(ISBLANK(R13), VALUE(SUBSTITUTE(INDEX(SPLIT(Q13, "" km""), 0, 1), "" "", """")) - O13, VALUE(SUBSTITUTE(INDEX(SPL"&amp;"IT(R13, "" km""), 0, 1), "" "", """")) - O13))"),16800.0)</f>
        <v>16800</v>
      </c>
      <c r="Q13" s="36" t="str">
        <f t="shared" si="4"/>
        <v>16 800 Km, 24.10.2022</v>
      </c>
      <c r="R13" s="36"/>
      <c r="S13" s="31">
        <v>3000.0</v>
      </c>
      <c r="T13" s="32">
        <v>1.0</v>
      </c>
      <c r="U13" s="30" t="s">
        <v>72</v>
      </c>
      <c r="V13" s="30" t="s">
        <v>43</v>
      </c>
      <c r="W13" s="37" t="str">
        <f t="shared" si="5"/>
        <v>Завершена</v>
      </c>
      <c r="X13" s="25" t="str">
        <f>IFERROR(__xludf.DUMMYFUNCTION("IF(C13 = """", """", IF(REGEXMATCH(C13, ""PCX|NMAX|ADV|CLICK""), ""скутер"", ""мото""))"),"скутер")</f>
        <v>скутер</v>
      </c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</row>
    <row r="14" hidden="1">
      <c r="A14" s="13" t="s">
        <v>24</v>
      </c>
      <c r="B14" s="13" t="s">
        <v>25</v>
      </c>
      <c r="C14" s="14" t="s">
        <v>73</v>
      </c>
      <c r="D14" s="14" t="s">
        <v>74</v>
      </c>
      <c r="E14" s="15">
        <v>44865.0</v>
      </c>
      <c r="F14" s="38">
        <v>44985.0</v>
      </c>
      <c r="G14" s="17" t="str">
        <f t="shared" si="1"/>
        <v>3 М</v>
      </c>
      <c r="H14" s="18">
        <f>7000/30</f>
        <v>233.3333333</v>
      </c>
      <c r="I14" s="19" t="str">
        <f t="shared" si="2"/>
        <v/>
      </c>
      <c r="J14" s="20" t="str">
        <f t="shared" si="3"/>
        <v/>
      </c>
      <c r="K14" s="23">
        <v>24000.0</v>
      </c>
      <c r="L14" s="20"/>
      <c r="M14" s="20"/>
      <c r="N14" s="21">
        <v>33000.0</v>
      </c>
      <c r="O14" s="22">
        <f>IFERROR(__xludf.DUMMYFUNCTION("IFERROR(
  VLOOKUP(C14,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C14
    ), 
    7, FALSE
  ), 
  """"
)
"),31000.0)</f>
        <v>31000</v>
      </c>
      <c r="P14" s="22">
        <f>IFERROR(__xludf.DUMMYFUNCTION("IF(OR(ISBLANK(Q14), ISBLANK(O14), VALUE(SUBSTITUTE(INDEX(SPLIT(IF(ISBLANK(R14), Q14, R14), "" km""), 0, 1), "" "", """")) - O14 = 0), """", IF(ISBLANK(R14), VALUE(SUBSTITUTE(INDEX(SPLIT(Q14, "" km""), 0, 1), "" "", """")) - O14, VALUE(SUBSTITUTE(INDEX(SPL"&amp;"IT(R14, "" km""), 0, 1), "" "", """")) - O14))"),2000.0)</f>
        <v>2000</v>
      </c>
      <c r="Q14" s="23" t="str">
        <f t="shared" si="4"/>
        <v>33 000 Km, 31.10.2022</v>
      </c>
      <c r="R14" s="23"/>
      <c r="S14" s="41">
        <v>3300.0</v>
      </c>
      <c r="T14" s="19"/>
      <c r="U14" s="17" t="s">
        <v>75</v>
      </c>
      <c r="V14" s="17" t="s">
        <v>76</v>
      </c>
      <c r="W14" s="24" t="str">
        <f t="shared" si="5"/>
        <v>Завершена</v>
      </c>
      <c r="X14" s="13" t="str">
        <f>IFERROR(__xludf.DUMMYFUNCTION("IF(C14 = """", """", IF(REGEXMATCH(C14, ""PCX|NMAX|ADV|CLICK""), ""скутер"", ""мото""))"),"скутер")</f>
        <v>скутер</v>
      </c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</row>
    <row r="15" hidden="1">
      <c r="A15" s="25" t="s">
        <v>24</v>
      </c>
      <c r="B15" s="25" t="s">
        <v>25</v>
      </c>
      <c r="C15" s="27" t="s">
        <v>77</v>
      </c>
      <c r="D15" s="27" t="s">
        <v>78</v>
      </c>
      <c r="E15" s="28">
        <v>44866.0</v>
      </c>
      <c r="F15" s="29">
        <v>44933.0</v>
      </c>
      <c r="G15" s="30" t="str">
        <f t="shared" si="1"/>
        <v>2 М</v>
      </c>
      <c r="H15" s="31">
        <v>350.0</v>
      </c>
      <c r="I15" s="32" t="str">
        <f t="shared" si="2"/>
        <v/>
      </c>
      <c r="J15" s="33" t="str">
        <f t="shared" si="3"/>
        <v/>
      </c>
      <c r="K15" s="33">
        <v>2800.0</v>
      </c>
      <c r="L15" s="33"/>
      <c r="M15" s="33"/>
      <c r="N15" s="34">
        <v>15600.0</v>
      </c>
      <c r="O15" s="35">
        <f>IFERROR(__xludf.DUMMYFUNCTION("IFERROR(
  VLOOKUP(C15,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C15
    ), 
    7, FALSE
  ), 
  """"
)
"),37300.0)</f>
        <v>37300</v>
      </c>
      <c r="P15" s="35">
        <f>IFERROR(__xludf.DUMMYFUNCTION("IF(OR(ISBLANK(Q15), ISBLANK(O15), VALUE(SUBSTITUTE(INDEX(SPLIT(IF(ISBLANK(R15), Q15, R15), "" km""), 0, 1), "" "", """")) - O15 = 0), """", IF(ISBLANK(R15), VALUE(SUBSTITUTE(INDEX(SPLIT(Q15, "" km""), 0, 1), "" "", """")) - O15, VALUE(SUBSTITUTE(INDEX(SPL"&amp;"IT(R15, "" km""), 0, 1), "" "", """")) - O15))"),-21700.0)</f>
        <v>-21700</v>
      </c>
      <c r="Q15" s="36" t="str">
        <f t="shared" si="4"/>
        <v>15 600 Km, 01.11.2022</v>
      </c>
      <c r="R15" s="33"/>
      <c r="S15" s="31">
        <v>3000.0</v>
      </c>
      <c r="T15" s="32">
        <v>1.0</v>
      </c>
      <c r="U15" s="30" t="s">
        <v>79</v>
      </c>
      <c r="V15" s="30" t="s">
        <v>80</v>
      </c>
      <c r="W15" s="37" t="str">
        <f t="shared" si="5"/>
        <v>Завершена</v>
      </c>
      <c r="X15" s="25" t="str">
        <f>IFERROR(__xludf.DUMMYFUNCTION("IF(C15 = """", """", IF(REGEXMATCH(C15, ""PCX|NMAX|ADV|CLICK""), ""скутер"", ""мото""))"),"скутер")</f>
        <v>скутер</v>
      </c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</row>
    <row r="16" hidden="1">
      <c r="A16" s="13" t="s">
        <v>24</v>
      </c>
      <c r="B16" s="13" t="s">
        <v>25</v>
      </c>
      <c r="C16" s="14" t="s">
        <v>81</v>
      </c>
      <c r="D16" s="14" t="s">
        <v>82</v>
      </c>
      <c r="E16" s="15">
        <v>44867.0</v>
      </c>
      <c r="F16" s="38">
        <v>45048.0</v>
      </c>
      <c r="G16" s="17" t="str">
        <f t="shared" si="1"/>
        <v>6 М</v>
      </c>
      <c r="H16" s="18">
        <f>7000/30</f>
        <v>233.3333333</v>
      </c>
      <c r="I16" s="19" t="str">
        <f t="shared" si="2"/>
        <v/>
      </c>
      <c r="J16" s="20" t="str">
        <f t="shared" si="3"/>
        <v/>
      </c>
      <c r="K16" s="20">
        <f>7000+7000+7000+7000+7000+7000</f>
        <v>42000</v>
      </c>
      <c r="L16" s="20"/>
      <c r="M16" s="20"/>
      <c r="N16" s="21">
        <v>9916.0</v>
      </c>
      <c r="O16" s="22" t="str">
        <f>IFERROR(__xludf.DUMMYFUNCTION("IFERROR(
  VLOOKUP(C16,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C16
    ), 
    7, FALSE
  ), 
  """"
)
"),"")</f>
        <v/>
      </c>
      <c r="P16" s="22">
        <f>IFERROR(__xludf.DUMMYFUNCTION("IF(OR(ISBLANK(Q16), ISBLANK(O16), VALUE(SUBSTITUTE(INDEX(SPLIT(IF(ISBLANK(R16), Q16, R16), "" km""), 0, 1), "" "", """")) - O16 = 0), """", IF(ISBLANK(R16), VALUE(SUBSTITUTE(INDEX(SPLIT(Q16, "" km""), 0, 1), "" "", """")) - O16, VALUE(SUBSTITUTE(INDEX(SPL"&amp;"IT(R16, "" km""), 0, 1), "" "", """")) - O16))"),9916.0)</f>
        <v>9916</v>
      </c>
      <c r="Q16" s="23" t="str">
        <f t="shared" si="4"/>
        <v>9 916 Km, 02.11.2022</v>
      </c>
      <c r="R16" s="20"/>
      <c r="S16" s="18">
        <v>3000.0</v>
      </c>
      <c r="T16" s="19">
        <v>1.0</v>
      </c>
      <c r="U16" s="42" t="s">
        <v>83</v>
      </c>
      <c r="V16" s="13" t="s">
        <v>84</v>
      </c>
      <c r="W16" s="24" t="str">
        <f t="shared" si="5"/>
        <v>Завершена</v>
      </c>
      <c r="X16" s="13" t="str">
        <f>IFERROR(__xludf.DUMMYFUNCTION("IF(C16 = """", """", IF(REGEXMATCH(C16, ""PCX|NMAX|ADV|CLICK""), ""скутер"", ""мото""))"),"скутер")</f>
        <v>скутер</v>
      </c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</row>
    <row r="17" hidden="1">
      <c r="A17" s="25" t="s">
        <v>24</v>
      </c>
      <c r="B17" s="25" t="s">
        <v>25</v>
      </c>
      <c r="C17" s="27" t="s">
        <v>60</v>
      </c>
      <c r="D17" s="27" t="s">
        <v>85</v>
      </c>
      <c r="E17" s="28">
        <v>44868.0</v>
      </c>
      <c r="F17" s="39">
        <v>44938.0</v>
      </c>
      <c r="G17" s="30" t="str">
        <f t="shared" si="1"/>
        <v>2 М</v>
      </c>
      <c r="H17" s="31">
        <f>12000/30</f>
        <v>400</v>
      </c>
      <c r="I17" s="32" t="str">
        <f t="shared" si="2"/>
        <v/>
      </c>
      <c r="J17" s="33" t="str">
        <f t="shared" si="3"/>
        <v/>
      </c>
      <c r="K17" s="33">
        <f>12000+12000+4000</f>
        <v>28000</v>
      </c>
      <c r="L17" s="33"/>
      <c r="M17" s="33"/>
      <c r="N17" s="34">
        <v>18000.0</v>
      </c>
      <c r="O17" s="35" t="str">
        <f>IFERROR(__xludf.DUMMYFUNCTION("IFERROR(
  VLOOKUP(C17,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C17
    ), 
    7, FALSE
  ), 
  """"
)
"),"")</f>
        <v/>
      </c>
      <c r="P17" s="35">
        <f>IFERROR(__xludf.DUMMYFUNCTION("IF(OR(ISBLANK(Q17), ISBLANK(O17), VALUE(SUBSTITUTE(INDEX(SPLIT(IF(ISBLANK(R17), Q17, R17), "" km""), 0, 1), "" "", """")) - O17 = 0), """", IF(ISBLANK(R17), VALUE(SUBSTITUTE(INDEX(SPLIT(Q17, "" km""), 0, 1), "" "", """")) - O17, VALUE(SUBSTITUTE(INDEX(SPL"&amp;"IT(R17, "" km""), 0, 1), "" "", """")) - O17))"),18000.0)</f>
        <v>18000</v>
      </c>
      <c r="Q17" s="36" t="str">
        <f t="shared" si="4"/>
        <v>18 000 Km, 03.11.2022</v>
      </c>
      <c r="R17" s="36"/>
      <c r="S17" s="40">
        <v>5000.0</v>
      </c>
      <c r="T17" s="32">
        <v>1.0</v>
      </c>
      <c r="U17" s="30" t="s">
        <v>86</v>
      </c>
      <c r="V17" s="30" t="s">
        <v>87</v>
      </c>
      <c r="W17" s="37" t="str">
        <f t="shared" si="5"/>
        <v>Завершена</v>
      </c>
      <c r="X17" s="25" t="str">
        <f>IFERROR(__xludf.DUMMYFUNCTION("IF(C17 = """", """", IF(REGEXMATCH(C17, ""PCX|NMAX|ADV|CLICK""), ""скутер"", ""мото""))"),"мото")</f>
        <v>мото</v>
      </c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</row>
    <row r="18" hidden="1">
      <c r="A18" s="13" t="s">
        <v>24</v>
      </c>
      <c r="B18" s="13" t="s">
        <v>25</v>
      </c>
      <c r="C18" s="14" t="s">
        <v>88</v>
      </c>
      <c r="D18" s="14" t="s">
        <v>89</v>
      </c>
      <c r="E18" s="15">
        <v>44870.0</v>
      </c>
      <c r="F18" s="38">
        <v>44893.0</v>
      </c>
      <c r="G18" s="17" t="str">
        <f t="shared" si="1"/>
        <v>23 Д</v>
      </c>
      <c r="H18" s="18">
        <f>7000/30</f>
        <v>233.3333333</v>
      </c>
      <c r="I18" s="19" t="str">
        <f t="shared" si="2"/>
        <v/>
      </c>
      <c r="J18" s="20" t="str">
        <f t="shared" si="3"/>
        <v/>
      </c>
      <c r="K18" s="23">
        <v>5367.0</v>
      </c>
      <c r="L18" s="20"/>
      <c r="M18" s="20"/>
      <c r="N18" s="21">
        <v>12400.0</v>
      </c>
      <c r="O18" s="22" t="str">
        <f>IFERROR(__xludf.DUMMYFUNCTION("IFERROR(
  VLOOKUP(C18,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C18
    ), 
    7, FALSE
  ), 
  """"
)
"),"")</f>
        <v/>
      </c>
      <c r="P18" s="22">
        <f>IFERROR(__xludf.DUMMYFUNCTION("IF(OR(ISBLANK(Q18), ISBLANK(O18), VALUE(SUBSTITUTE(INDEX(SPLIT(IF(ISBLANK(R18), Q18, R18), "" km""), 0, 1), "" "", """")) - O18 = 0), """", IF(ISBLANK(R18), VALUE(SUBSTITUTE(INDEX(SPLIT(Q18, "" km""), 0, 1), "" "", """")) - O18, VALUE(SUBSTITUTE(INDEX(SPL"&amp;"IT(R18, "" km""), 0, 1), "" "", """")) - O18))"),12400.0)</f>
        <v>12400</v>
      </c>
      <c r="Q18" s="23" t="str">
        <f t="shared" si="4"/>
        <v>12 400 Km, 05.11.2022</v>
      </c>
      <c r="R18" s="20"/>
      <c r="S18" s="18">
        <v>3000.0</v>
      </c>
      <c r="T18" s="19">
        <v>1.0</v>
      </c>
      <c r="U18" s="17" t="s">
        <v>90</v>
      </c>
      <c r="V18" s="17" t="s">
        <v>91</v>
      </c>
      <c r="W18" s="24" t="str">
        <f t="shared" si="5"/>
        <v>Завершена</v>
      </c>
      <c r="X18" s="13" t="str">
        <f>IFERROR(__xludf.DUMMYFUNCTION("IF(C18 = """", """", IF(REGEXMATCH(C18, ""PCX|NMAX|ADV|CLICK""), ""скутер"", ""мото""))"),"скутер")</f>
        <v>скутер</v>
      </c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</row>
    <row r="19" hidden="1">
      <c r="A19" s="25" t="s">
        <v>24</v>
      </c>
      <c r="B19" s="25" t="s">
        <v>25</v>
      </c>
      <c r="C19" s="27" t="s">
        <v>92</v>
      </c>
      <c r="D19" s="27" t="s">
        <v>82</v>
      </c>
      <c r="E19" s="28">
        <v>44872.0</v>
      </c>
      <c r="F19" s="39">
        <v>44893.0</v>
      </c>
      <c r="G19" s="30" t="str">
        <f t="shared" si="1"/>
        <v>21 Д</v>
      </c>
      <c r="H19" s="31">
        <v>480.0</v>
      </c>
      <c r="I19" s="32" t="str">
        <f t="shared" si="2"/>
        <v/>
      </c>
      <c r="J19" s="33" t="str">
        <f t="shared" si="3"/>
        <v/>
      </c>
      <c r="K19" s="33">
        <f>1830+8250</f>
        <v>10080</v>
      </c>
      <c r="L19" s="33"/>
      <c r="M19" s="33"/>
      <c r="N19" s="34">
        <v>28600.0</v>
      </c>
      <c r="O19" s="35">
        <f>IFERROR(__xludf.DUMMYFUNCTION("IFERROR(
  VLOOKUP(C19,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C19
    ), 
    7, FALSE
  ), 
  """"
)
"),23500.0)</f>
        <v>23500</v>
      </c>
      <c r="P19" s="35">
        <f>IFERROR(__xludf.DUMMYFUNCTION("IF(OR(ISBLANK(Q19), ISBLANK(O19), VALUE(SUBSTITUTE(INDEX(SPLIT(IF(ISBLANK(R19), Q19, R19), "" km""), 0, 1), "" "", """")) - O19 = 0), """", IF(ISBLANK(R19), VALUE(SUBSTITUTE(INDEX(SPLIT(Q19, "" km""), 0, 1), "" "", """")) - O19, VALUE(SUBSTITUTE(INDEX(SPL"&amp;"IT(R19, "" km""), 0, 1), "" "", """")) - O19))"),5100.0)</f>
        <v>5100</v>
      </c>
      <c r="Q19" s="36" t="str">
        <f t="shared" si="4"/>
        <v>28 600 Km, 07.11.2022</v>
      </c>
      <c r="R19" s="33"/>
      <c r="S19" s="31">
        <v>5000.0</v>
      </c>
      <c r="T19" s="32">
        <v>1.0</v>
      </c>
      <c r="U19" s="30" t="s">
        <v>93</v>
      </c>
      <c r="V19" s="30" t="s">
        <v>94</v>
      </c>
      <c r="W19" s="37" t="str">
        <f t="shared" si="5"/>
        <v>Завершена</v>
      </c>
      <c r="X19" s="25" t="str">
        <f>IFERROR(__xludf.DUMMYFUNCTION("IF(C19 = """", """", IF(REGEXMATCH(C19, ""PCX|NMAX|ADV|CLICK""), ""скутер"", ""мото""))"),"мото")</f>
        <v>мото</v>
      </c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hidden="1">
      <c r="A20" s="13" t="s">
        <v>24</v>
      </c>
      <c r="B20" s="13" t="s">
        <v>25</v>
      </c>
      <c r="C20" s="14" t="s">
        <v>77</v>
      </c>
      <c r="D20" s="14" t="s">
        <v>95</v>
      </c>
      <c r="E20" s="15">
        <v>44874.0</v>
      </c>
      <c r="F20" s="16">
        <v>44881.0</v>
      </c>
      <c r="G20" s="17" t="str">
        <f t="shared" si="1"/>
        <v>7 Д</v>
      </c>
      <c r="H20" s="41">
        <v>300.0</v>
      </c>
      <c r="I20" s="19" t="str">
        <f t="shared" si="2"/>
        <v/>
      </c>
      <c r="J20" s="20" t="str">
        <f t="shared" si="3"/>
        <v/>
      </c>
      <c r="K20" s="23">
        <v>2100.0</v>
      </c>
      <c r="L20" s="23"/>
      <c r="M20" s="23"/>
      <c r="N20" s="21">
        <v>15880.0</v>
      </c>
      <c r="O20" s="22">
        <f>IFERROR(__xludf.DUMMYFUNCTION("IFERROR(
  VLOOKUP(C20,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C20
    ), 
    7, FALSE
  ), 
  """"
)
"),37300.0)</f>
        <v>37300</v>
      </c>
      <c r="P20" s="22">
        <f>IFERROR(__xludf.DUMMYFUNCTION("IF(OR(ISBLANK(Q20), ISBLANK(O20), VALUE(SUBSTITUTE(INDEX(SPLIT(IF(ISBLANK(R20), Q20, R20), "" km""), 0, 1), "" "", """")) - O20 = 0), """", IF(ISBLANK(R20), VALUE(SUBSTITUTE(INDEX(SPLIT(Q20, "" km""), 0, 1), "" "", """")) - O20, VALUE(SUBSTITUTE(INDEX(SPL"&amp;"IT(R20, "" km""), 0, 1), "" "", """")) - O20))"),-21420.0)</f>
        <v>-21420</v>
      </c>
      <c r="Q20" s="23" t="str">
        <f t="shared" si="4"/>
        <v>15 880 Km, 09.11.2022</v>
      </c>
      <c r="R20" s="20"/>
      <c r="S20" s="18">
        <v>3000.0</v>
      </c>
      <c r="T20" s="19">
        <v>2.0</v>
      </c>
      <c r="U20" s="17" t="s">
        <v>96</v>
      </c>
      <c r="V20" s="17" t="s">
        <v>97</v>
      </c>
      <c r="W20" s="24" t="str">
        <f t="shared" si="5"/>
        <v>Завершена</v>
      </c>
      <c r="X20" s="13" t="str">
        <f>IFERROR(__xludf.DUMMYFUNCTION("IF(C20 = """", """", IF(REGEXMATCH(C20, ""PCX|NMAX|ADV|CLICK""), ""скутер"", ""мото""))"),"скутер")</f>
        <v>скутер</v>
      </c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hidden="1">
      <c r="A21" s="25" t="s">
        <v>24</v>
      </c>
      <c r="B21" s="25" t="s">
        <v>25</v>
      </c>
      <c r="C21" s="26" t="s">
        <v>98</v>
      </c>
      <c r="D21" s="27" t="s">
        <v>99</v>
      </c>
      <c r="E21" s="28">
        <v>44875.0</v>
      </c>
      <c r="F21" s="29">
        <v>44905.0</v>
      </c>
      <c r="G21" s="30" t="str">
        <f t="shared" si="1"/>
        <v>30 Д</v>
      </c>
      <c r="H21" s="31">
        <f>7500/30</f>
        <v>250</v>
      </c>
      <c r="I21" s="32" t="str">
        <f t="shared" si="2"/>
        <v/>
      </c>
      <c r="J21" s="33" t="str">
        <f t="shared" si="3"/>
        <v/>
      </c>
      <c r="K21" s="36">
        <v>7500.0</v>
      </c>
      <c r="L21" s="33"/>
      <c r="M21" s="33"/>
      <c r="N21" s="34">
        <v>23400.0</v>
      </c>
      <c r="O21" s="35">
        <f>IFERROR(__xludf.DUMMYFUNCTION("IFERROR(
  VLOOKUP(C21,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C21
    ), 
    7, FALSE
  ), 
  """"
)
"),32200.0)</f>
        <v>32200</v>
      </c>
      <c r="P21" s="35">
        <f>IFERROR(__xludf.DUMMYFUNCTION("IF(OR(ISBLANK(Q21), ISBLANK(O21), VALUE(SUBSTITUTE(INDEX(SPLIT(IF(ISBLANK(R21), Q21, R21), "" km""), 0, 1), "" "", """")) - O21 = 0), """", IF(ISBLANK(R21), VALUE(SUBSTITUTE(INDEX(SPLIT(Q21, "" km""), 0, 1), "" "", """")) - O21, VALUE(SUBSTITUTE(INDEX(SPL"&amp;"IT(R21, "" km""), 0, 1), "" "", """")) - O21))"),-8800.0)</f>
        <v>-8800</v>
      </c>
      <c r="Q21" s="36" t="str">
        <f t="shared" si="4"/>
        <v>23 400 Km, 10.11.2022</v>
      </c>
      <c r="R21" s="33"/>
      <c r="S21" s="31">
        <v>3000.0</v>
      </c>
      <c r="T21" s="32">
        <v>1.0</v>
      </c>
      <c r="U21" s="30" t="s">
        <v>100</v>
      </c>
      <c r="V21" s="30" t="s">
        <v>101</v>
      </c>
      <c r="W21" s="37" t="str">
        <f t="shared" si="5"/>
        <v>Завершена</v>
      </c>
      <c r="X21" s="25" t="str">
        <f>IFERROR(__xludf.DUMMYFUNCTION("IF(C21 = """", """", IF(REGEXMATCH(C21, ""PCX|NMAX|ADV|CLICK""), ""скутер"", ""мото""))"),"скутер")</f>
        <v>скутер</v>
      </c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hidden="1">
      <c r="A22" s="13" t="s">
        <v>24</v>
      </c>
      <c r="B22" s="13" t="s">
        <v>25</v>
      </c>
      <c r="C22" s="14" t="s">
        <v>102</v>
      </c>
      <c r="D22" s="14" t="s">
        <v>103</v>
      </c>
      <c r="E22" s="15">
        <v>44876.0</v>
      </c>
      <c r="F22" s="16">
        <v>44879.0</v>
      </c>
      <c r="G22" s="17" t="str">
        <f t="shared" si="1"/>
        <v>3 Д</v>
      </c>
      <c r="H22" s="18">
        <f>2500</f>
        <v>2500</v>
      </c>
      <c r="I22" s="19" t="str">
        <f t="shared" si="2"/>
        <v/>
      </c>
      <c r="J22" s="20" t="str">
        <f t="shared" si="3"/>
        <v/>
      </c>
      <c r="K22" s="23">
        <v>8500.0</v>
      </c>
      <c r="L22" s="20"/>
      <c r="M22" s="20"/>
      <c r="N22" s="21">
        <v>26600.0</v>
      </c>
      <c r="O22" s="22">
        <f>IFERROR(__xludf.DUMMYFUNCTION("IFERROR(
  VLOOKUP(C22,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C22
    ), 
    7, FALSE
  ), 
  """"
)
"),63700.0)</f>
        <v>63700</v>
      </c>
      <c r="P22" s="22">
        <f>IFERROR(__xludf.DUMMYFUNCTION("IF(OR(ISBLANK(Q22), ISBLANK(O22), VALUE(SUBSTITUTE(INDEX(SPLIT(IF(ISBLANK(R22), Q22, R22), "" km""), 0, 1), "" "", """")) - O22 = 0), """", IF(ISBLANK(R22), VALUE(SUBSTITUTE(INDEX(SPLIT(Q22, "" km""), 0, 1), "" "", """")) - O22, VALUE(SUBSTITUTE(INDEX(SPL"&amp;"IT(R22, "" km""), 0, 1), "" "", """")) - O22))"),-37100.0)</f>
        <v>-37100</v>
      </c>
      <c r="Q22" s="23" t="str">
        <f t="shared" si="4"/>
        <v>26 600 Km, 11.11.2022</v>
      </c>
      <c r="R22" s="20"/>
      <c r="S22" s="18">
        <v>300.0</v>
      </c>
      <c r="T22" s="19">
        <v>1.0</v>
      </c>
      <c r="U22" s="17" t="s">
        <v>104</v>
      </c>
      <c r="V22" s="17" t="s">
        <v>105</v>
      </c>
      <c r="W22" s="24" t="str">
        <f t="shared" si="5"/>
        <v>Завершена</v>
      </c>
      <c r="X22" s="13" t="str">
        <f>IFERROR(__xludf.DUMMYFUNCTION("IF(C22 = """", """", IF(REGEXMATCH(C22, ""PCX|NMAX|ADV|CLICK""), ""скутер"", ""мото""))"),"мото")</f>
        <v>мото</v>
      </c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hidden="1">
      <c r="A23" s="25" t="s">
        <v>24</v>
      </c>
      <c r="B23" s="25" t="s">
        <v>25</v>
      </c>
      <c r="C23" s="27" t="s">
        <v>106</v>
      </c>
      <c r="D23" s="27" t="s">
        <v>107</v>
      </c>
      <c r="E23" s="43">
        <v>44877.0</v>
      </c>
      <c r="F23" s="39">
        <v>45028.0</v>
      </c>
      <c r="G23" s="30" t="str">
        <f t="shared" si="1"/>
        <v>5 М</v>
      </c>
      <c r="H23" s="31">
        <f>7000/30</f>
        <v>233.3333333</v>
      </c>
      <c r="I23" s="32" t="str">
        <f t="shared" si="2"/>
        <v/>
      </c>
      <c r="J23" s="33" t="str">
        <f t="shared" si="3"/>
        <v/>
      </c>
      <c r="K23" s="36">
        <f>14000+14000+7000</f>
        <v>35000</v>
      </c>
      <c r="L23" s="33"/>
      <c r="M23" s="33"/>
      <c r="N23" s="44">
        <v>13300.0</v>
      </c>
      <c r="O23" s="35">
        <f>IFERROR(__xludf.DUMMYFUNCTION("IFERROR(
  VLOOKUP(C23,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C23
    ), 
    7, FALSE
  ), 
  """"
)
"),26000.0)</f>
        <v>26000</v>
      </c>
      <c r="P23" s="35" t="str">
        <f>IFERROR(__xludf.DUMMYFUNCTION("IF(OR(ISBLANK(Q23), ISBLANK(O23), VALUE(SUBSTITUTE(INDEX(SPLIT(IF(ISBLANK(R23), Q23, R23), "" km""), 0, 1), "" "", """")) - O23 = 0), """", IF(ISBLANK(R23), VALUE(SUBSTITUTE(INDEX(SPLIT(Q23, "" km""), 0, 1), "" "", """")) - O23, VALUE(SUBSTITUTE(INDEX(SPL"&amp;"IT(R23, "" km""), 0, 1), "" "", """")) - O23))"),"#VALUE!")</f>
        <v>#VALUE!</v>
      </c>
      <c r="Q23" s="36" t="str">
        <f t="shared" si="4"/>
        <v>хочет на год</v>
      </c>
      <c r="R23" s="36" t="s">
        <v>108</v>
      </c>
      <c r="S23" s="40">
        <v>0.0</v>
      </c>
      <c r="T23" s="45">
        <v>2.0</v>
      </c>
      <c r="U23" s="46" t="s">
        <v>109</v>
      </c>
      <c r="V23" s="25" t="s">
        <v>110</v>
      </c>
      <c r="W23" s="37" t="str">
        <f t="shared" si="5"/>
        <v>Завершена</v>
      </c>
      <c r="X23" s="25" t="str">
        <f>IFERROR(__xludf.DUMMYFUNCTION("IF(C23 = """", """", IF(REGEXMATCH(C23, ""PCX|NMAX|ADV|CLICK""), ""скутер"", ""мото""))"),"скутер")</f>
        <v>скутер</v>
      </c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</row>
    <row r="24" hidden="1">
      <c r="A24" s="13" t="s">
        <v>24</v>
      </c>
      <c r="B24" s="13" t="s">
        <v>25</v>
      </c>
      <c r="C24" s="47" t="s">
        <v>32</v>
      </c>
      <c r="D24" s="14" t="s">
        <v>33</v>
      </c>
      <c r="E24" s="48">
        <v>44878.0</v>
      </c>
      <c r="F24" s="38">
        <v>44970.0</v>
      </c>
      <c r="G24" s="17" t="str">
        <f t="shared" si="1"/>
        <v>3 М</v>
      </c>
      <c r="H24" s="18">
        <f>12000/30</f>
        <v>400</v>
      </c>
      <c r="I24" s="19" t="str">
        <f t="shared" si="2"/>
        <v/>
      </c>
      <c r="J24" s="20" t="str">
        <f t="shared" si="3"/>
        <v/>
      </c>
      <c r="K24" s="23">
        <f>12000+12000+12000+2100</f>
        <v>38100</v>
      </c>
      <c r="L24" s="20"/>
      <c r="M24" s="20"/>
      <c r="N24" s="49">
        <v>13900.0</v>
      </c>
      <c r="O24" s="22">
        <f>IFERROR(__xludf.DUMMYFUNCTION("IFERROR(
  VLOOKUP(C24,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C24
    ), 
    7, FALSE
  ), 
  """"
)
"),38640.0)</f>
        <v>38640</v>
      </c>
      <c r="P24" s="22">
        <f>IFERROR(__xludf.DUMMYFUNCTION("IF(OR(ISBLANK(Q24), ISBLANK(O24), VALUE(SUBSTITUTE(INDEX(SPLIT(IF(ISBLANK(R24), Q24, R24), "" km""), 0, 1), "" "", """")) - O24 = 0), """", IF(ISBLANK(R24), VALUE(SUBSTITUTE(INDEX(SPLIT(Q24, "" km""), 0, 1), "" "", """")) - O24, VALUE(SUBSTITUTE(INDEX(SPL"&amp;"IT(R24, "" km""), 0, 1), "" "", """")) - O24))"),-24740.0)</f>
        <v>-24740</v>
      </c>
      <c r="Q24" s="23" t="str">
        <f t="shared" si="4"/>
        <v>13 900 Km, 13.11.2022</v>
      </c>
      <c r="R24" s="23"/>
      <c r="S24" s="18">
        <v>5000.0</v>
      </c>
      <c r="T24" s="50">
        <v>2.0</v>
      </c>
      <c r="U24" s="42" t="s">
        <v>111</v>
      </c>
      <c r="V24" s="13" t="s">
        <v>112</v>
      </c>
      <c r="W24" s="24" t="str">
        <f t="shared" si="5"/>
        <v>Завершена</v>
      </c>
      <c r="X24" s="13" t="str">
        <f>IFERROR(__xludf.DUMMYFUNCTION("IF(C24 = """", """", IF(REGEXMATCH(C24, ""PCX|NMAX|ADV|CLICK""), ""скутер"", ""мото""))"),"мото")</f>
        <v>мото</v>
      </c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</row>
    <row r="25" hidden="1">
      <c r="A25" s="25" t="s">
        <v>24</v>
      </c>
      <c r="B25" s="25" t="s">
        <v>25</v>
      </c>
      <c r="C25" s="27" t="s">
        <v>113</v>
      </c>
      <c r="D25" s="27" t="s">
        <v>95</v>
      </c>
      <c r="E25" s="43">
        <v>44883.0</v>
      </c>
      <c r="F25" s="39">
        <v>45006.0</v>
      </c>
      <c r="G25" s="30" t="str">
        <f t="shared" si="1"/>
        <v>4 М</v>
      </c>
      <c r="H25" s="40">
        <f>13000/30</f>
        <v>433.3333333</v>
      </c>
      <c r="I25" s="32" t="str">
        <f t="shared" si="2"/>
        <v/>
      </c>
      <c r="J25" s="33" t="str">
        <f t="shared" si="3"/>
        <v/>
      </c>
      <c r="K25" s="36">
        <f>13000+13000+13000+13000</f>
        <v>52000</v>
      </c>
      <c r="L25" s="36"/>
      <c r="M25" s="36"/>
      <c r="N25" s="34">
        <v>15880.0</v>
      </c>
      <c r="O25" s="35" t="str">
        <f>IFERROR(__xludf.DUMMYFUNCTION("IFERROR(
  VLOOKUP(C25,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C25
    ), 
    7, FALSE
  ), 
  """"
)
"),"")</f>
        <v/>
      </c>
      <c r="P25" s="35">
        <f>IFERROR(__xludf.DUMMYFUNCTION("IF(OR(ISBLANK(Q25), ISBLANK(O25), VALUE(SUBSTITUTE(INDEX(SPLIT(IF(ISBLANK(R25), Q25, R25), "" km""), 0, 1), "" "", """")) - O25 = 0), """", IF(ISBLANK(R25), VALUE(SUBSTITUTE(INDEX(SPLIT(Q25, "" km""), 0, 1), "" "", """")) - O25, VALUE(SUBSTITUTE(INDEX(SPL"&amp;"IT(R25, "" km""), 0, 1), "" "", """")) - O25))"),15880.0)</f>
        <v>15880</v>
      </c>
      <c r="Q25" s="36" t="str">
        <f t="shared" si="4"/>
        <v>15 880 Km, 18.11.2022</v>
      </c>
      <c r="R25" s="36"/>
      <c r="S25" s="40">
        <v>5000.0</v>
      </c>
      <c r="T25" s="32">
        <v>2.0</v>
      </c>
      <c r="U25" s="30" t="s">
        <v>96</v>
      </c>
      <c r="V25" s="30" t="s">
        <v>97</v>
      </c>
      <c r="W25" s="37" t="str">
        <f t="shared" si="5"/>
        <v>Завершена</v>
      </c>
      <c r="X25" s="25" t="str">
        <f>IFERROR(__xludf.DUMMYFUNCTION("IF(C25 = """", """", IF(REGEXMATCH(C25, ""PCX|NMAX|ADV|CLICK""), ""скутер"", ""мото""))"),"мото")</f>
        <v>мото</v>
      </c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</row>
    <row r="26" hidden="1">
      <c r="A26" s="13" t="s">
        <v>24</v>
      </c>
      <c r="B26" s="13" t="s">
        <v>25</v>
      </c>
      <c r="C26" s="14" t="s">
        <v>114</v>
      </c>
      <c r="D26" s="14" t="s">
        <v>115</v>
      </c>
      <c r="E26" s="48">
        <v>44885.0</v>
      </c>
      <c r="F26" s="38">
        <v>45009.0</v>
      </c>
      <c r="G26" s="17" t="str">
        <f t="shared" si="1"/>
        <v>4 М</v>
      </c>
      <c r="H26" s="41">
        <f>8000/30</f>
        <v>266.6666667</v>
      </c>
      <c r="I26" s="19" t="str">
        <f t="shared" si="2"/>
        <v/>
      </c>
      <c r="J26" s="20" t="str">
        <f t="shared" si="3"/>
        <v/>
      </c>
      <c r="K26" s="23">
        <f>8000+8000+8000+8000+1070</f>
        <v>33070</v>
      </c>
      <c r="L26" s="23"/>
      <c r="M26" s="23"/>
      <c r="N26" s="49">
        <v>13800.0</v>
      </c>
      <c r="O26" s="22">
        <f>IFERROR(__xludf.DUMMYFUNCTION("IFERROR(
  VLOOKUP(C26,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C26
    ), 
    7, FALSE
  ), 
  """"
)
"),31800.0)</f>
        <v>31800</v>
      </c>
      <c r="P26" s="22">
        <f>IFERROR(__xludf.DUMMYFUNCTION("IF(OR(ISBLANK(Q26), ISBLANK(O26), VALUE(SUBSTITUTE(INDEX(SPLIT(IF(ISBLANK(R26), Q26, R26), "" km""), 0, 1), "" "", """")) - O26 = 0), """", IF(ISBLANK(R26), VALUE(SUBSTITUTE(INDEX(SPLIT(Q26, "" km""), 0, 1), "" "", """")) - O26, VALUE(SUBSTITUTE(INDEX(SPL"&amp;"IT(R26, "" km""), 0, 1), "" "", """")) - O26))"),-18000.0)</f>
        <v>-18000</v>
      </c>
      <c r="Q26" s="23" t="str">
        <f t="shared" si="4"/>
        <v>13 800 Km, 20.11.2022</v>
      </c>
      <c r="R26" s="23"/>
      <c r="S26" s="41">
        <v>3000.0</v>
      </c>
      <c r="T26" s="50">
        <v>2.0</v>
      </c>
      <c r="U26" s="42" t="s">
        <v>116</v>
      </c>
      <c r="V26" s="13" t="s">
        <v>117</v>
      </c>
      <c r="W26" s="24" t="str">
        <f t="shared" si="5"/>
        <v>Завершена</v>
      </c>
      <c r="X26" s="13" t="str">
        <f>IFERROR(__xludf.DUMMYFUNCTION("IF(C26 = """", """", IF(REGEXMATCH(C26, ""PCX|NMAX|ADV|CLICK""), ""скутер"", ""мото""))"),"скутер")</f>
        <v>скутер</v>
      </c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</row>
    <row r="27" hidden="1">
      <c r="A27" s="25" t="s">
        <v>24</v>
      </c>
      <c r="B27" s="25" t="s">
        <v>25</v>
      </c>
      <c r="C27" s="27" t="s">
        <v>77</v>
      </c>
      <c r="D27" s="27" t="s">
        <v>118</v>
      </c>
      <c r="E27" s="43">
        <v>44885.0</v>
      </c>
      <c r="F27" s="39">
        <v>45010.0</v>
      </c>
      <c r="G27" s="30" t="str">
        <f t="shared" si="1"/>
        <v>4 М</v>
      </c>
      <c r="H27" s="40">
        <f>7500/30</f>
        <v>250</v>
      </c>
      <c r="I27" s="32" t="str">
        <f t="shared" si="2"/>
        <v/>
      </c>
      <c r="J27" s="33" t="str">
        <f t="shared" si="3"/>
        <v/>
      </c>
      <c r="K27" s="36">
        <f>8000+8000+8000+7500</f>
        <v>31500</v>
      </c>
      <c r="L27" s="36"/>
      <c r="M27" s="36"/>
      <c r="N27" s="44">
        <v>16100.0</v>
      </c>
      <c r="O27" s="35">
        <f>IFERROR(__xludf.DUMMYFUNCTION("IFERROR(
  VLOOKUP(C27,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C27
    ), 
    7, FALSE
  ), 
  """"
)
"),37300.0)</f>
        <v>37300</v>
      </c>
      <c r="P27" s="35">
        <f>IFERROR(__xludf.DUMMYFUNCTION("IF(OR(ISBLANK(Q27), ISBLANK(O27), VALUE(SUBSTITUTE(INDEX(SPLIT(IF(ISBLANK(R27), Q27, R27), "" km""), 0, 1), "" "", """")) - O27 = 0), """", IF(ISBLANK(R27), VALUE(SUBSTITUTE(INDEX(SPLIT(Q27, "" km""), 0, 1), "" "", """")) - O27, VALUE(SUBSTITUTE(INDEX(SPL"&amp;"IT(R27, "" km""), 0, 1), "" "", """")) - O27))"),-21200.0)</f>
        <v>-21200</v>
      </c>
      <c r="Q27" s="36" t="str">
        <f t="shared" si="4"/>
        <v>16 100 Km, 20.11.2022</v>
      </c>
      <c r="R27" s="36"/>
      <c r="S27" s="31">
        <v>3000.0</v>
      </c>
      <c r="T27" s="45">
        <v>2.0</v>
      </c>
      <c r="U27" s="46" t="s">
        <v>119</v>
      </c>
      <c r="V27" s="25" t="s">
        <v>120</v>
      </c>
      <c r="W27" s="37" t="str">
        <f t="shared" si="5"/>
        <v>Завершена</v>
      </c>
      <c r="X27" s="25" t="str">
        <f>IFERROR(__xludf.DUMMYFUNCTION("IF(C27 = """", """", IF(REGEXMATCH(C27, ""PCX|NMAX|ADV|CLICK""), ""скутер"", ""мото""))"),"скутер")</f>
        <v>скутер</v>
      </c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</row>
    <row r="28" hidden="1">
      <c r="A28" s="13" t="s">
        <v>24</v>
      </c>
      <c r="B28" s="13" t="s">
        <v>25</v>
      </c>
      <c r="C28" s="14" t="s">
        <v>121</v>
      </c>
      <c r="D28" s="14" t="s">
        <v>122</v>
      </c>
      <c r="E28" s="48">
        <v>44885.0</v>
      </c>
      <c r="F28" s="38">
        <v>45016.0</v>
      </c>
      <c r="G28" s="17" t="str">
        <f t="shared" si="1"/>
        <v>4 М</v>
      </c>
      <c r="H28" s="41">
        <f t="shared" ref="H28:H29" si="6">8000/30</f>
        <v>266.6666667</v>
      </c>
      <c r="I28" s="19" t="str">
        <f t="shared" si="2"/>
        <v/>
      </c>
      <c r="J28" s="20" t="str">
        <f t="shared" si="3"/>
        <v/>
      </c>
      <c r="K28" s="23">
        <f>8000+8000+8000</f>
        <v>24000</v>
      </c>
      <c r="L28" s="23"/>
      <c r="M28" s="23"/>
      <c r="N28" s="49">
        <v>19950.0</v>
      </c>
      <c r="O28" s="22" t="str">
        <f>IFERROR(__xludf.DUMMYFUNCTION("IFERROR(
  VLOOKUP(C28,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C28
    ), 
    7, FALSE
  ), 
  """"
)
"),"")</f>
        <v/>
      </c>
      <c r="P28" s="22">
        <f>IFERROR(__xludf.DUMMYFUNCTION("IF(OR(ISBLANK(Q28), ISBLANK(O28), VALUE(SUBSTITUTE(INDEX(SPLIT(IF(ISBLANK(R28), Q28, R28), "" km""), 0, 1), "" "", """")) - O28 = 0), """", IF(ISBLANK(R28), VALUE(SUBSTITUTE(INDEX(SPLIT(Q28, "" km""), 0, 1), "" "", """")) - O28, VALUE(SUBSTITUTE(INDEX(SPL"&amp;"IT(R28, "" km""), 0, 1), "" "", """")) - O28))"),19950.0)</f>
        <v>19950</v>
      </c>
      <c r="Q28" s="23" t="str">
        <f t="shared" si="4"/>
        <v>19 950 Km, 20.11.2022</v>
      </c>
      <c r="R28" s="20"/>
      <c r="S28" s="41">
        <v>3000.0</v>
      </c>
      <c r="T28" s="50">
        <v>2.0</v>
      </c>
      <c r="U28" s="42" t="s">
        <v>123</v>
      </c>
      <c r="V28" s="13" t="s">
        <v>124</v>
      </c>
      <c r="W28" s="24" t="str">
        <f t="shared" si="5"/>
        <v>Завершена</v>
      </c>
      <c r="X28" s="13" t="str">
        <f>IFERROR(__xludf.DUMMYFUNCTION("IF(C28 = """", """", IF(REGEXMATCH(C28, ""PCX|NMAX|ADV|CLICK""), ""скутер"", ""мото""))"),"скутер")</f>
        <v>скутер</v>
      </c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</row>
    <row r="29" hidden="1">
      <c r="A29" s="25" t="s">
        <v>24</v>
      </c>
      <c r="B29" s="25" t="s">
        <v>25</v>
      </c>
      <c r="C29" s="27" t="s">
        <v>125</v>
      </c>
      <c r="D29" s="27" t="s">
        <v>126</v>
      </c>
      <c r="E29" s="43">
        <v>44887.0</v>
      </c>
      <c r="F29" s="51">
        <v>36892.0</v>
      </c>
      <c r="G29" s="30" t="str">
        <f t="shared" si="1"/>
        <v>#NUM!</v>
      </c>
      <c r="H29" s="31">
        <f t="shared" si="6"/>
        <v>266.6666667</v>
      </c>
      <c r="I29" s="32" t="str">
        <f t="shared" si="2"/>
        <v/>
      </c>
      <c r="J29" s="33" t="str">
        <f t="shared" si="3"/>
        <v/>
      </c>
      <c r="K29" s="36">
        <f>8000+8000+8000+8000</f>
        <v>32000</v>
      </c>
      <c r="L29" s="33"/>
      <c r="M29" s="33"/>
      <c r="N29" s="44">
        <v>31600.0</v>
      </c>
      <c r="O29" s="35" t="str">
        <f>IFERROR(__xludf.DUMMYFUNCTION("IFERROR(
  VLOOKUP(C29,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C29
    ), 
    7, FALSE
  ), 
  """"
)
"),"")</f>
        <v/>
      </c>
      <c r="P29" s="35">
        <f>IFERROR(__xludf.DUMMYFUNCTION("IF(OR(ISBLANK(Q29), ISBLANK(O29), VALUE(SUBSTITUTE(INDEX(SPLIT(IF(ISBLANK(R29), Q29, R29), "" km""), 0, 1), "" "", """")) - O29 = 0), """", IF(ISBLANK(R29), VALUE(SUBSTITUTE(INDEX(SPLIT(Q29, "" km""), 0, 1), "" "", """")) - O29, VALUE(SUBSTITUTE(INDEX(SPL"&amp;"IT(R29, "" km""), 0, 1), "" "", """")) - O29))"),31600.0)</f>
        <v>31600</v>
      </c>
      <c r="Q29" s="36" t="str">
        <f t="shared" si="4"/>
        <v>31 600 Km, 22.11.2022</v>
      </c>
      <c r="R29" s="33"/>
      <c r="S29" s="40">
        <v>0.0</v>
      </c>
      <c r="T29" s="45">
        <v>2.0</v>
      </c>
      <c r="U29" s="46" t="s">
        <v>127</v>
      </c>
      <c r="V29" s="25" t="s">
        <v>128</v>
      </c>
      <c r="W29" s="37" t="str">
        <f t="shared" si="5"/>
        <v>#VALUE!</v>
      </c>
      <c r="X29" s="25" t="str">
        <f>IFERROR(__xludf.DUMMYFUNCTION("IF(C29 = """", """", IF(REGEXMATCH(C29, ""PCX|NMAX|ADV|CLICK""), ""скутер"", ""мото""))"),"скутер")</f>
        <v>скутер</v>
      </c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</row>
    <row r="30" hidden="1">
      <c r="A30" s="13" t="s">
        <v>24</v>
      </c>
      <c r="B30" s="13" t="s">
        <v>25</v>
      </c>
      <c r="C30" s="14" t="s">
        <v>37</v>
      </c>
      <c r="D30" s="14" t="s">
        <v>129</v>
      </c>
      <c r="E30" s="48">
        <v>44887.0</v>
      </c>
      <c r="F30" s="38">
        <v>44917.0</v>
      </c>
      <c r="G30" s="17" t="str">
        <f t="shared" si="1"/>
        <v>30 Д</v>
      </c>
      <c r="H30" s="18">
        <f>13000/30</f>
        <v>433.3333333</v>
      </c>
      <c r="I30" s="19" t="str">
        <f t="shared" si="2"/>
        <v/>
      </c>
      <c r="J30" s="20" t="str">
        <f t="shared" si="3"/>
        <v/>
      </c>
      <c r="K30" s="23">
        <f>13000+3467</f>
        <v>16467</v>
      </c>
      <c r="L30" s="20"/>
      <c r="M30" s="20"/>
      <c r="N30" s="49">
        <v>17800.0</v>
      </c>
      <c r="O30" s="22" t="str">
        <f>IFERROR(__xludf.DUMMYFUNCTION("IFERROR(
  VLOOKUP(C30,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C30
    ), 
    7, FALSE
  ), 
  """"
)
"),"")</f>
        <v/>
      </c>
      <c r="P30" s="22">
        <f>IFERROR(__xludf.DUMMYFUNCTION("IF(OR(ISBLANK(Q30), ISBLANK(O30), VALUE(SUBSTITUTE(INDEX(SPLIT(IF(ISBLANK(R30), Q30, R30), "" km""), 0, 1), "" "", """")) - O30 = 0), """", IF(ISBLANK(R30), VALUE(SUBSTITUTE(INDEX(SPLIT(Q30, "" km""), 0, 1), "" "", """")) - O30, VALUE(SUBSTITUTE(INDEX(SPL"&amp;"IT(R30, "" km""), 0, 1), "" "", """")) - O30))"),17800.0)</f>
        <v>17800</v>
      </c>
      <c r="Q30" s="23" t="str">
        <f t="shared" si="4"/>
        <v>17 800 Km, 22.11.2022</v>
      </c>
      <c r="R30" s="20"/>
      <c r="S30" s="18">
        <v>5000.0</v>
      </c>
      <c r="T30" s="50">
        <v>3.0</v>
      </c>
      <c r="U30" s="42" t="s">
        <v>130</v>
      </c>
      <c r="V30" s="13" t="s">
        <v>131</v>
      </c>
      <c r="W30" s="24" t="str">
        <f t="shared" si="5"/>
        <v>Завершена</v>
      </c>
      <c r="X30" s="13" t="str">
        <f>IFERROR(__xludf.DUMMYFUNCTION("IF(C30 = """", """", IF(REGEXMATCH(C30, ""PCX|NMAX|ADV|CLICK""), ""скутер"", ""мото""))"),"мото")</f>
        <v>мото</v>
      </c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</row>
    <row r="31" hidden="1">
      <c r="A31" s="25" t="s">
        <v>24</v>
      </c>
      <c r="B31" s="25" t="s">
        <v>25</v>
      </c>
      <c r="C31" s="27" t="s">
        <v>132</v>
      </c>
      <c r="D31" s="27" t="s">
        <v>126</v>
      </c>
      <c r="E31" s="43">
        <v>44887.0</v>
      </c>
      <c r="F31" s="39">
        <v>44917.0</v>
      </c>
      <c r="G31" s="30" t="str">
        <f t="shared" si="1"/>
        <v>30 Д</v>
      </c>
      <c r="H31" s="31">
        <f>7000/30</f>
        <v>233.3333333</v>
      </c>
      <c r="I31" s="32" t="str">
        <f t="shared" si="2"/>
        <v/>
      </c>
      <c r="J31" s="33" t="str">
        <f t="shared" si="3"/>
        <v/>
      </c>
      <c r="K31" s="36">
        <v>7000.0</v>
      </c>
      <c r="L31" s="33"/>
      <c r="M31" s="33"/>
      <c r="N31" s="44">
        <v>24800.0</v>
      </c>
      <c r="O31" s="35" t="str">
        <f>IFERROR(__xludf.DUMMYFUNCTION("IFERROR(
  VLOOKUP(C31,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C31
    ), 
    7, FALSE
  ), 
  """"
)
"),"")</f>
        <v/>
      </c>
      <c r="P31" s="35">
        <f>IFERROR(__xludf.DUMMYFUNCTION("IF(OR(ISBLANK(Q31), ISBLANK(O31), VALUE(SUBSTITUTE(INDEX(SPLIT(IF(ISBLANK(R31), Q31, R31), "" km""), 0, 1), "" "", """")) - O31 = 0), """", IF(ISBLANK(R31), VALUE(SUBSTITUTE(INDEX(SPLIT(Q31, "" km""), 0, 1), "" "", """")) - O31, VALUE(SUBSTITUTE(INDEX(SPL"&amp;"IT(R31, "" km""), 0, 1), "" "", """")) - O31))"),24800.0)</f>
        <v>24800</v>
      </c>
      <c r="Q31" s="36" t="str">
        <f t="shared" si="4"/>
        <v>24 800 Km, 22.11.2022</v>
      </c>
      <c r="R31" s="33"/>
      <c r="S31" s="40">
        <v>100.0</v>
      </c>
      <c r="T31" s="45">
        <v>2.0</v>
      </c>
      <c r="U31" s="46" t="s">
        <v>127</v>
      </c>
      <c r="V31" s="25" t="s">
        <v>128</v>
      </c>
      <c r="W31" s="37" t="str">
        <f t="shared" si="5"/>
        <v>Завершена</v>
      </c>
      <c r="X31" s="25" t="str">
        <f>IFERROR(__xludf.DUMMYFUNCTION("IF(C31 = """", """", IF(REGEXMATCH(C31, ""PCX|NMAX|ADV|CLICK""), ""скутер"", ""мото""))"),"скутер")</f>
        <v>скутер</v>
      </c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</row>
    <row r="32" hidden="1">
      <c r="A32" s="13" t="s">
        <v>24</v>
      </c>
      <c r="B32" s="13" t="s">
        <v>25</v>
      </c>
      <c r="C32" s="14" t="s">
        <v>52</v>
      </c>
      <c r="D32" s="14" t="s">
        <v>133</v>
      </c>
      <c r="E32" s="48">
        <v>44888.0</v>
      </c>
      <c r="F32" s="38">
        <v>45008.0</v>
      </c>
      <c r="G32" s="17" t="str">
        <f t="shared" si="1"/>
        <v>4 М</v>
      </c>
      <c r="H32" s="18">
        <f>4000/30</f>
        <v>133.3333333</v>
      </c>
      <c r="I32" s="19" t="str">
        <f t="shared" si="2"/>
        <v/>
      </c>
      <c r="J32" s="20" t="str">
        <f t="shared" si="3"/>
        <v/>
      </c>
      <c r="K32" s="23">
        <f>4000+4000+200+4000+4000</f>
        <v>16200</v>
      </c>
      <c r="L32" s="20"/>
      <c r="M32" s="20"/>
      <c r="N32" s="49">
        <v>26800.0</v>
      </c>
      <c r="O32" s="22">
        <f>IFERROR(__xludf.DUMMYFUNCTION("IFERROR(
  VLOOKUP(C32,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C32
    ), 
    7, FALSE
  ), 
  """"
)
"),33515.0)</f>
        <v>33515</v>
      </c>
      <c r="P32" s="22">
        <f>IFERROR(__xludf.DUMMYFUNCTION("IF(OR(ISBLANK(Q32), ISBLANK(O32), VALUE(SUBSTITUTE(INDEX(SPLIT(IF(ISBLANK(R32), Q32, R32), "" km""), 0, 1), "" "", """")) - O32 = 0), """", IF(ISBLANK(R32), VALUE(SUBSTITUTE(INDEX(SPLIT(Q32, "" km""), 0, 1), "" "", """")) - O32, VALUE(SUBSTITUTE(INDEX(SPL"&amp;"IT(R32, "" km""), 0, 1), "" "", """")) - O32))"),-6715.0)</f>
        <v>-6715</v>
      </c>
      <c r="Q32" s="23" t="str">
        <f t="shared" si="4"/>
        <v>26 800 Km, 23.11.2022</v>
      </c>
      <c r="R32" s="20"/>
      <c r="S32" s="18">
        <v>3000.0</v>
      </c>
      <c r="T32" s="19">
        <v>1.0</v>
      </c>
      <c r="U32" s="42" t="s">
        <v>134</v>
      </c>
      <c r="V32" s="13" t="s">
        <v>135</v>
      </c>
      <c r="W32" s="24" t="str">
        <f t="shared" si="5"/>
        <v>Завершена</v>
      </c>
      <c r="X32" s="13" t="str">
        <f>IFERROR(__xludf.DUMMYFUNCTION("IF(C32 = """", """", IF(REGEXMATCH(C32, ""PCX|NMAX|ADV|CLICK""), ""скутер"", ""мото""))"),"скутер")</f>
        <v>скутер</v>
      </c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hidden="1">
      <c r="A33" s="25" t="s">
        <v>24</v>
      </c>
      <c r="B33" s="25" t="s">
        <v>25</v>
      </c>
      <c r="C33" s="27" t="s">
        <v>102</v>
      </c>
      <c r="D33" s="27" t="s">
        <v>136</v>
      </c>
      <c r="E33" s="43">
        <v>44889.0</v>
      </c>
      <c r="F33" s="39">
        <v>44894.0</v>
      </c>
      <c r="G33" s="30" t="str">
        <f t="shared" si="1"/>
        <v>5 Д</v>
      </c>
      <c r="H33" s="40">
        <v>2200.0</v>
      </c>
      <c r="I33" s="32" t="str">
        <f t="shared" si="2"/>
        <v/>
      </c>
      <c r="J33" s="33" t="str">
        <f t="shared" si="3"/>
        <v/>
      </c>
      <c r="K33" s="36">
        <v>11000.0</v>
      </c>
      <c r="L33" s="36"/>
      <c r="M33" s="36"/>
      <c r="N33" s="44">
        <v>27573.0</v>
      </c>
      <c r="O33" s="35">
        <f>IFERROR(__xludf.DUMMYFUNCTION("IFERROR(
  VLOOKUP(C33,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C33
    ), 
    7, FALSE
  ), 
  """"
)
"),63700.0)</f>
        <v>63700</v>
      </c>
      <c r="P33" s="35">
        <f>IFERROR(__xludf.DUMMYFUNCTION("IF(OR(ISBLANK(Q33), ISBLANK(O33), VALUE(SUBSTITUTE(INDEX(SPLIT(IF(ISBLANK(R33), Q33, R33), "" km""), 0, 1), "" "", """")) - O33 = 0), """", IF(ISBLANK(R33), VALUE(SUBSTITUTE(INDEX(SPLIT(Q33, "" km""), 0, 1), "" "", """")) - O33, VALUE(SUBSTITUTE(INDEX(SPL"&amp;"IT(R33, "" km""), 0, 1), "" "", """")) - O33))"),-36127.0)</f>
        <v>-36127</v>
      </c>
      <c r="Q33" s="36" t="str">
        <f t="shared" si="4"/>
        <v>27 573 Km, 24.11.2022</v>
      </c>
      <c r="R33" s="33"/>
      <c r="S33" s="40">
        <v>17000.0</v>
      </c>
      <c r="T33" s="32">
        <v>1.0</v>
      </c>
      <c r="U33" s="46" t="s">
        <v>137</v>
      </c>
      <c r="V33" s="25" t="s">
        <v>138</v>
      </c>
      <c r="W33" s="37" t="str">
        <f t="shared" si="5"/>
        <v>Завершена</v>
      </c>
      <c r="X33" s="25" t="str">
        <f>IFERROR(__xludf.DUMMYFUNCTION("IF(C33 = """", """", IF(REGEXMATCH(C33, ""PCX|NMAX|ADV|CLICK""), ""скутер"", ""мото""))"),"мото")</f>
        <v>мото</v>
      </c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</row>
    <row r="34" hidden="1">
      <c r="A34" s="13" t="s">
        <v>24</v>
      </c>
      <c r="B34" s="13" t="s">
        <v>25</v>
      </c>
      <c r="C34" s="14" t="s">
        <v>88</v>
      </c>
      <c r="D34" s="14" t="s">
        <v>139</v>
      </c>
      <c r="E34" s="48">
        <v>44893.0</v>
      </c>
      <c r="F34" s="38">
        <v>44976.0</v>
      </c>
      <c r="G34" s="17" t="str">
        <f t="shared" si="1"/>
        <v>2 М</v>
      </c>
      <c r="H34" s="18">
        <f>8000/30</f>
        <v>266.6666667</v>
      </c>
      <c r="I34" s="19" t="str">
        <f t="shared" si="2"/>
        <v/>
      </c>
      <c r="J34" s="20" t="str">
        <f t="shared" si="3"/>
        <v/>
      </c>
      <c r="K34" s="23">
        <f>12000+8000+2670</f>
        <v>22670</v>
      </c>
      <c r="L34" s="20"/>
      <c r="M34" s="20"/>
      <c r="N34" s="49">
        <v>13300.0</v>
      </c>
      <c r="O34" s="22" t="str">
        <f>IFERROR(__xludf.DUMMYFUNCTION("IFERROR(
  VLOOKUP(C34,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C34
    ), 
    7, FALSE
  ), 
  """"
)
"),"")</f>
        <v/>
      </c>
      <c r="P34" s="22">
        <f>IFERROR(__xludf.DUMMYFUNCTION("IF(OR(ISBLANK(Q34), ISBLANK(O34), VALUE(SUBSTITUTE(INDEX(SPLIT(IF(ISBLANK(R34), Q34, R34), "" km""), 0, 1), "" "", """")) - O34 = 0), """", IF(ISBLANK(R34), VALUE(SUBSTITUTE(INDEX(SPLIT(Q34, "" km""), 0, 1), "" "", """")) - O34, VALUE(SUBSTITUTE(INDEX(SPL"&amp;"IT(R34, "" km""), 0, 1), "" "", """")) - O34))"),13300.0)</f>
        <v>13300</v>
      </c>
      <c r="Q34" s="23" t="str">
        <f t="shared" si="4"/>
        <v>13 300 Km, 28.11.2022</v>
      </c>
      <c r="R34" s="20"/>
      <c r="S34" s="18">
        <v>3000.0</v>
      </c>
      <c r="T34" s="50">
        <v>1.0</v>
      </c>
      <c r="U34" s="42" t="s">
        <v>140</v>
      </c>
      <c r="V34" s="13" t="s">
        <v>141</v>
      </c>
      <c r="W34" s="24" t="str">
        <f t="shared" si="5"/>
        <v>Завершена</v>
      </c>
      <c r="X34" s="13" t="str">
        <f>IFERROR(__xludf.DUMMYFUNCTION("IF(C34 = """", """", IF(REGEXMATCH(C34, ""PCX|NMAX|ADV|CLICK""), ""скутер"", ""мото""))"),"скутер")</f>
        <v>скутер</v>
      </c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 hidden="1">
      <c r="A35" s="25" t="s">
        <v>24</v>
      </c>
      <c r="B35" s="25" t="s">
        <v>25</v>
      </c>
      <c r="C35" s="27" t="s">
        <v>142</v>
      </c>
      <c r="D35" s="27" t="s">
        <v>89</v>
      </c>
      <c r="E35" s="43">
        <v>44893.0</v>
      </c>
      <c r="F35" s="39">
        <v>45044.0</v>
      </c>
      <c r="G35" s="30" t="str">
        <f t="shared" si="1"/>
        <v>5 М</v>
      </c>
      <c r="H35" s="31">
        <f t="shared" ref="H35:H36" si="7">14000/30</f>
        <v>466.6666667</v>
      </c>
      <c r="I35" s="32" t="str">
        <f t="shared" si="2"/>
        <v/>
      </c>
      <c r="J35" s="33" t="str">
        <f t="shared" si="3"/>
        <v/>
      </c>
      <c r="K35" s="36">
        <f>15300-3000+1633+14000+14000+14000+14000+14000</f>
        <v>83933</v>
      </c>
      <c r="L35" s="33"/>
      <c r="M35" s="33"/>
      <c r="N35" s="44">
        <v>18800.0</v>
      </c>
      <c r="O35" s="35" t="str">
        <f>IFERROR(__xludf.DUMMYFUNCTION("IFERROR(
  VLOOKUP(C35,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C35
    ), 
    7, FALSE
  ), 
  """"
)
"),"")</f>
        <v/>
      </c>
      <c r="P35" s="35">
        <f>IFERROR(__xludf.DUMMYFUNCTION("IF(OR(ISBLANK(Q35), ISBLANK(O35), VALUE(SUBSTITUTE(INDEX(SPLIT(IF(ISBLANK(R35), Q35, R35), "" km""), 0, 1), "" "", """")) - O35 = 0), """", IF(ISBLANK(R35), VALUE(SUBSTITUTE(INDEX(SPLIT(Q35, "" km""), 0, 1), "" "", """")) - O35, VALUE(SUBSTITUTE(INDEX(SPL"&amp;"IT(R35, "" km""), 0, 1), "" "", """")) - O35))"),18800.0)</f>
        <v>18800</v>
      </c>
      <c r="Q35" s="36" t="str">
        <f t="shared" si="4"/>
        <v>18 800 Km, 28.11.2022</v>
      </c>
      <c r="R35" s="36"/>
      <c r="S35" s="40">
        <v>5000.0</v>
      </c>
      <c r="T35" s="32">
        <v>1.0</v>
      </c>
      <c r="U35" s="30" t="s">
        <v>90</v>
      </c>
      <c r="V35" s="30" t="s">
        <v>91</v>
      </c>
      <c r="W35" s="37" t="str">
        <f t="shared" si="5"/>
        <v>Завершена</v>
      </c>
      <c r="X35" s="25" t="str">
        <f>IFERROR(__xludf.DUMMYFUNCTION("IF(C35 = """", """", IF(REGEXMATCH(C35, ""PCX|NMAX|ADV|CLICK""), ""скутер"", ""мото""))"),"мото")</f>
        <v>мото</v>
      </c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</row>
    <row r="36" hidden="1">
      <c r="A36" s="13" t="s">
        <v>24</v>
      </c>
      <c r="B36" s="13" t="s">
        <v>25</v>
      </c>
      <c r="C36" s="14" t="s">
        <v>92</v>
      </c>
      <c r="D36" s="14" t="s">
        <v>143</v>
      </c>
      <c r="E36" s="48">
        <v>44895.0</v>
      </c>
      <c r="F36" s="38">
        <v>44925.0</v>
      </c>
      <c r="G36" s="17" t="str">
        <f t="shared" si="1"/>
        <v>30 Д</v>
      </c>
      <c r="H36" s="18">
        <f t="shared" si="7"/>
        <v>466.6666667</v>
      </c>
      <c r="I36" s="19" t="str">
        <f t="shared" si="2"/>
        <v/>
      </c>
      <c r="J36" s="20" t="str">
        <f t="shared" si="3"/>
        <v/>
      </c>
      <c r="K36" s="23">
        <v>14000.0</v>
      </c>
      <c r="L36" s="20"/>
      <c r="M36" s="20"/>
      <c r="N36" s="49">
        <v>29000.0</v>
      </c>
      <c r="O36" s="22">
        <f>IFERROR(__xludf.DUMMYFUNCTION("IFERROR(
  VLOOKUP(C36,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C36
    ), 
    7, FALSE
  ), 
  """"
)
"),23500.0)</f>
        <v>23500</v>
      </c>
      <c r="P36" s="22">
        <f>IFERROR(__xludf.DUMMYFUNCTION("IF(OR(ISBLANK(Q36), ISBLANK(O36), VALUE(SUBSTITUTE(INDEX(SPLIT(IF(ISBLANK(R36), Q36, R36), "" km""), 0, 1), "" "", """")) - O36 = 0), """", IF(ISBLANK(R36), VALUE(SUBSTITUTE(INDEX(SPLIT(Q36, "" km""), 0, 1), "" "", """")) - O36, VALUE(SUBSTITUTE(INDEX(SPL"&amp;"IT(R36, "" km""), 0, 1), "" "", """")) - O36))"),5500.0)</f>
        <v>5500</v>
      </c>
      <c r="Q36" s="23" t="str">
        <f t="shared" si="4"/>
        <v>29 000 Km, 30.11.2022</v>
      </c>
      <c r="R36" s="20"/>
      <c r="S36" s="18">
        <v>5000.0</v>
      </c>
      <c r="T36" s="50">
        <v>2.0</v>
      </c>
      <c r="U36" s="42" t="s">
        <v>0</v>
      </c>
      <c r="V36" s="13" t="s">
        <v>144</v>
      </c>
      <c r="W36" s="24" t="str">
        <f t="shared" si="5"/>
        <v>Завершена</v>
      </c>
      <c r="X36" s="13" t="str">
        <f>IFERROR(__xludf.DUMMYFUNCTION("IF(C36 = """", """", IF(REGEXMATCH(C36, ""PCX|NMAX|ADV|CLICK""), ""скутер"", ""мото""))"),"мото")</f>
        <v>мото</v>
      </c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</row>
    <row r="37" hidden="1">
      <c r="A37" s="25" t="s">
        <v>24</v>
      </c>
      <c r="B37" s="25" t="s">
        <v>25</v>
      </c>
      <c r="C37" s="27" t="s">
        <v>56</v>
      </c>
      <c r="D37" s="27" t="s">
        <v>145</v>
      </c>
      <c r="E37" s="43">
        <v>44895.0</v>
      </c>
      <c r="F37" s="39">
        <v>44979.0</v>
      </c>
      <c r="G37" s="30" t="str">
        <f t="shared" si="1"/>
        <v>2 М</v>
      </c>
      <c r="H37" s="40">
        <v>277.0</v>
      </c>
      <c r="I37" s="32" t="str">
        <f t="shared" si="2"/>
        <v/>
      </c>
      <c r="J37" s="33" t="str">
        <f t="shared" si="3"/>
        <v/>
      </c>
      <c r="K37" s="36">
        <f>8000+8000+7000</f>
        <v>23000</v>
      </c>
      <c r="L37" s="36"/>
      <c r="M37" s="36"/>
      <c r="N37" s="44">
        <v>20900.0</v>
      </c>
      <c r="O37" s="35">
        <f>IFERROR(__xludf.DUMMYFUNCTION("IFERROR(
  VLOOKUP(C37,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C37
    ), 
    7, FALSE
  ), 
  """"
)
"),36400.0)</f>
        <v>36400</v>
      </c>
      <c r="P37" s="35">
        <f>IFERROR(__xludf.DUMMYFUNCTION("IF(OR(ISBLANK(Q37), ISBLANK(O37), VALUE(SUBSTITUTE(INDEX(SPLIT(IF(ISBLANK(R37), Q37, R37), "" km""), 0, 1), "" "", """")) - O37 = 0), """", IF(ISBLANK(R37), VALUE(SUBSTITUTE(INDEX(SPLIT(Q37, "" km""), 0, 1), "" "", """")) - O37, VALUE(SUBSTITUTE(INDEX(SPL"&amp;"IT(R37, "" km""), 0, 1), "" "", """")) - O37))"),-15500.0)</f>
        <v>-15500</v>
      </c>
      <c r="Q37" s="36" t="str">
        <f t="shared" si="4"/>
        <v>20 900 Km, 30.11.2022</v>
      </c>
      <c r="R37" s="33"/>
      <c r="S37" s="31">
        <v>3000.0</v>
      </c>
      <c r="T37" s="45">
        <v>2.0</v>
      </c>
      <c r="U37" s="46" t="s">
        <v>146</v>
      </c>
      <c r="V37" s="25" t="s">
        <v>147</v>
      </c>
      <c r="W37" s="37" t="str">
        <f t="shared" si="5"/>
        <v>Завершена</v>
      </c>
      <c r="X37" s="25" t="str">
        <f>IFERROR(__xludf.DUMMYFUNCTION("IF(C37 = """", """", IF(REGEXMATCH(C37, ""PCX|NMAX|ADV|CLICK""), ""скутер"", ""мото""))"),"скутер")</f>
        <v>скутер</v>
      </c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</row>
    <row r="38" hidden="1">
      <c r="A38" s="13" t="s">
        <v>24</v>
      </c>
      <c r="B38" s="13" t="s">
        <v>25</v>
      </c>
      <c r="C38" s="14" t="s">
        <v>102</v>
      </c>
      <c r="D38" s="14" t="s">
        <v>148</v>
      </c>
      <c r="E38" s="48">
        <v>44897.0</v>
      </c>
      <c r="F38" s="38">
        <v>44904.0</v>
      </c>
      <c r="G38" s="17" t="str">
        <f t="shared" si="1"/>
        <v>7 Д</v>
      </c>
      <c r="H38" s="41">
        <f>14500/7</f>
        <v>2071.428571</v>
      </c>
      <c r="I38" s="19" t="str">
        <f t="shared" si="2"/>
        <v/>
      </c>
      <c r="J38" s="20" t="str">
        <f t="shared" si="3"/>
        <v/>
      </c>
      <c r="K38" s="23">
        <v>14500.0</v>
      </c>
      <c r="L38" s="23"/>
      <c r="M38" s="23"/>
      <c r="N38" s="49">
        <v>27900.0</v>
      </c>
      <c r="O38" s="22">
        <f>IFERROR(__xludf.DUMMYFUNCTION("IFERROR(
  VLOOKUP(C38,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C38
    ), 
    7, FALSE
  ), 
  """"
)
"),63700.0)</f>
        <v>63700</v>
      </c>
      <c r="P38" s="22">
        <f>IFERROR(__xludf.DUMMYFUNCTION("IF(OR(ISBLANK(Q38), ISBLANK(O38), VALUE(SUBSTITUTE(INDEX(SPLIT(IF(ISBLANK(R38), Q38, R38), "" km""), 0, 1), "" "", """")) - O38 = 0), """", IF(ISBLANK(R38), VALUE(SUBSTITUTE(INDEX(SPLIT(Q38, "" km""), 0, 1), "" "", """")) - O38, VALUE(SUBSTITUTE(INDEX(SPL"&amp;"IT(R38, "" km""), 0, 1), "" "", """")) - O38))"),-35800.0)</f>
        <v>-35800</v>
      </c>
      <c r="Q38" s="23" t="str">
        <f t="shared" si="4"/>
        <v>27 900 Km, 02.12.2022</v>
      </c>
      <c r="R38" s="20"/>
      <c r="S38" s="41">
        <v>17500.0</v>
      </c>
      <c r="T38" s="19">
        <v>1.0</v>
      </c>
      <c r="U38" s="42" t="s">
        <v>149</v>
      </c>
      <c r="V38" s="13" t="s">
        <v>150</v>
      </c>
      <c r="W38" s="24" t="str">
        <f t="shared" si="5"/>
        <v>Завершена</v>
      </c>
      <c r="X38" s="13" t="str">
        <f>IFERROR(__xludf.DUMMYFUNCTION("IF(C38 = """", """", IF(REGEXMATCH(C38, ""PCX|NMAX|ADV|CLICK""), ""скутер"", ""мото""))"),"мото")</f>
        <v>мото</v>
      </c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</row>
    <row r="39" hidden="1">
      <c r="A39" s="25" t="s">
        <v>24</v>
      </c>
      <c r="B39" s="25" t="s">
        <v>25</v>
      </c>
      <c r="C39" s="27" t="s">
        <v>151</v>
      </c>
      <c r="D39" s="27" t="s">
        <v>152</v>
      </c>
      <c r="E39" s="43">
        <v>44897.0</v>
      </c>
      <c r="F39" s="39">
        <v>44915.0</v>
      </c>
      <c r="G39" s="30" t="str">
        <f t="shared" si="1"/>
        <v>18 Д</v>
      </c>
      <c r="H39" s="40">
        <v>400.0</v>
      </c>
      <c r="I39" s="32" t="str">
        <f t="shared" si="2"/>
        <v/>
      </c>
      <c r="J39" s="33" t="str">
        <f t="shared" si="3"/>
        <v/>
      </c>
      <c r="K39" s="36">
        <v>7000.0</v>
      </c>
      <c r="L39" s="36"/>
      <c r="M39" s="36"/>
      <c r="N39" s="44">
        <v>15600.0</v>
      </c>
      <c r="O39" s="35">
        <f>IFERROR(__xludf.DUMMYFUNCTION("IFERROR(
  VLOOKUP(C39,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C39
    ), 
    7, FALSE
  ), 
  """"
)
"),35800.0)</f>
        <v>35800</v>
      </c>
      <c r="P39" s="35">
        <f>IFERROR(__xludf.DUMMYFUNCTION("IF(OR(ISBLANK(Q39), ISBLANK(O39), VALUE(SUBSTITUTE(INDEX(SPLIT(IF(ISBLANK(R39), Q39, R39), "" km""), 0, 1), "" "", """")) - O39 = 0), """", IF(ISBLANK(R39), VALUE(SUBSTITUTE(INDEX(SPLIT(Q39, "" km""), 0, 1), "" "", """")) - O39, VALUE(SUBSTITUTE(INDEX(SPL"&amp;"IT(R39, "" km""), 0, 1), "" "", """")) - O39))"),-20200.0)</f>
        <v>-20200</v>
      </c>
      <c r="Q39" s="36" t="str">
        <f t="shared" si="4"/>
        <v>15 600 Km, 02.12.2022</v>
      </c>
      <c r="R39" s="33"/>
      <c r="S39" s="40">
        <v>0.0</v>
      </c>
      <c r="T39" s="45">
        <v>2.0</v>
      </c>
      <c r="U39" s="46" t="s">
        <v>153</v>
      </c>
      <c r="V39" s="25" t="s">
        <v>154</v>
      </c>
      <c r="W39" s="37" t="str">
        <f t="shared" si="5"/>
        <v>Завершена</v>
      </c>
      <c r="X39" s="25" t="str">
        <f>IFERROR(__xludf.DUMMYFUNCTION("IF(C39 = """", """", IF(REGEXMATCH(C39, ""PCX|NMAX|ADV|CLICK""), ""скутер"", ""мото""))"),"скутер")</f>
        <v>скутер</v>
      </c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</row>
    <row r="40" hidden="1">
      <c r="A40" s="13" t="s">
        <v>24</v>
      </c>
      <c r="B40" s="13" t="s">
        <v>25</v>
      </c>
      <c r="C40" s="14" t="s">
        <v>155</v>
      </c>
      <c r="D40" s="14" t="s">
        <v>156</v>
      </c>
      <c r="E40" s="48">
        <v>44901.0</v>
      </c>
      <c r="F40" s="38">
        <v>45022.0</v>
      </c>
      <c r="G40" s="17" t="str">
        <f t="shared" si="1"/>
        <v>4 М</v>
      </c>
      <c r="H40" s="18">
        <f>13000/30</f>
        <v>433.3333333</v>
      </c>
      <c r="I40" s="19" t="str">
        <f t="shared" si="2"/>
        <v/>
      </c>
      <c r="J40" s="20" t="str">
        <f t="shared" si="3"/>
        <v/>
      </c>
      <c r="K40" s="23">
        <f>14000+14000+13000</f>
        <v>41000</v>
      </c>
      <c r="L40" s="20"/>
      <c r="M40" s="20"/>
      <c r="N40" s="49">
        <v>21168.0</v>
      </c>
      <c r="O40" s="22" t="str">
        <f>IFERROR(__xludf.DUMMYFUNCTION("IFERROR(
  VLOOKUP(C40,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C40
    ), 
    7, FALSE
  ), 
  """"
)
"),"")</f>
        <v/>
      </c>
      <c r="P40" s="22">
        <f>IFERROR(__xludf.DUMMYFUNCTION("IF(OR(ISBLANK(Q40), ISBLANK(O40), VALUE(SUBSTITUTE(INDEX(SPLIT(IF(ISBLANK(R40), Q40, R40), "" km""), 0, 1), "" "", """")) - O40 = 0), """", IF(ISBLANK(R40), VALUE(SUBSTITUTE(INDEX(SPLIT(Q40, "" km""), 0, 1), "" "", """")) - O40, VALUE(SUBSTITUTE(INDEX(SPL"&amp;"IT(R40, "" km""), 0, 1), "" "", """")) - O40))"),21168.0)</f>
        <v>21168</v>
      </c>
      <c r="Q40" s="23" t="str">
        <f t="shared" si="4"/>
        <v>21 168 Km, 06.12.2022</v>
      </c>
      <c r="R40" s="20"/>
      <c r="S40" s="41">
        <v>5000.0</v>
      </c>
      <c r="T40" s="50">
        <v>3.0</v>
      </c>
      <c r="U40" s="42" t="s">
        <v>157</v>
      </c>
      <c r="V40" s="13" t="s">
        <v>158</v>
      </c>
      <c r="W40" s="24" t="str">
        <f t="shared" si="5"/>
        <v>Завершена</v>
      </c>
      <c r="X40" s="13" t="str">
        <f>IFERROR(__xludf.DUMMYFUNCTION("IF(C40 = """", """", IF(REGEXMATCH(C40, ""PCX|NMAX|ADV|CLICK""), ""скутер"", ""мото""))"),"мото")</f>
        <v>мото</v>
      </c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</row>
    <row r="41" hidden="1">
      <c r="A41" s="25" t="s">
        <v>24</v>
      </c>
      <c r="B41" s="25" t="s">
        <v>25</v>
      </c>
      <c r="C41" s="27" t="s">
        <v>159</v>
      </c>
      <c r="D41" s="27" t="s">
        <v>160</v>
      </c>
      <c r="E41" s="43">
        <v>44903.0</v>
      </c>
      <c r="F41" s="39">
        <v>44980.0</v>
      </c>
      <c r="G41" s="30" t="str">
        <f t="shared" si="1"/>
        <v>2 М</v>
      </c>
      <c r="H41" s="31">
        <f t="shared" ref="H41:H42" si="8">8000/30</f>
        <v>266.6666667</v>
      </c>
      <c r="I41" s="32" t="str">
        <f t="shared" si="2"/>
        <v/>
      </c>
      <c r="J41" s="33" t="str">
        <f t="shared" si="3"/>
        <v/>
      </c>
      <c r="K41" s="36">
        <f>8000+12280</f>
        <v>20280</v>
      </c>
      <c r="L41" s="33"/>
      <c r="M41" s="33"/>
      <c r="N41" s="44">
        <v>11358.0</v>
      </c>
      <c r="O41" s="35" t="str">
        <f>IFERROR(__xludf.DUMMYFUNCTION("IFERROR(
  VLOOKUP(C41,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C41
    ), 
    7, FALSE
  ), 
  """"
)
"),"")</f>
        <v/>
      </c>
      <c r="P41" s="35">
        <f>IFERROR(__xludf.DUMMYFUNCTION("IF(OR(ISBLANK(Q41), ISBLANK(O41), VALUE(SUBSTITUTE(INDEX(SPLIT(IF(ISBLANK(R41), Q41, R41), "" km""), 0, 1), "" "", """")) - O41 = 0), """", IF(ISBLANK(R41), VALUE(SUBSTITUTE(INDEX(SPLIT(Q41, "" km""), 0, 1), "" "", """")) - O41, VALUE(SUBSTITUTE(INDEX(SPL"&amp;"IT(R41, "" km""), 0, 1), "" "", """")) - O41))"),11358.0)</f>
        <v>11358</v>
      </c>
      <c r="Q41" s="36" t="str">
        <f t="shared" si="4"/>
        <v>11 358 Km, 08.12.2022</v>
      </c>
      <c r="R41" s="33"/>
      <c r="S41" s="40">
        <v>3000.0</v>
      </c>
      <c r="T41" s="45">
        <v>1.0</v>
      </c>
      <c r="U41" s="46" t="s">
        <v>161</v>
      </c>
      <c r="V41" s="25" t="s">
        <v>162</v>
      </c>
      <c r="W41" s="37" t="str">
        <f t="shared" si="5"/>
        <v>Завершена</v>
      </c>
      <c r="X41" s="25" t="str">
        <f>IFERROR(__xludf.DUMMYFUNCTION("IF(C41 = """", """", IF(REGEXMATCH(C41, ""PCX|NMAX|ADV|CLICK""), ""скутер"", ""мото""))"),"скутер")</f>
        <v>скутер</v>
      </c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</row>
    <row r="42" hidden="1">
      <c r="A42" s="13" t="s">
        <v>24</v>
      </c>
      <c r="B42" s="13" t="s">
        <v>25</v>
      </c>
      <c r="C42" s="47" t="s">
        <v>98</v>
      </c>
      <c r="D42" s="14" t="s">
        <v>163</v>
      </c>
      <c r="E42" s="48">
        <v>44908.0</v>
      </c>
      <c r="F42" s="38">
        <v>45004.0</v>
      </c>
      <c r="G42" s="17" t="str">
        <f t="shared" si="1"/>
        <v>3 М</v>
      </c>
      <c r="H42" s="18">
        <f t="shared" si="8"/>
        <v>266.6666667</v>
      </c>
      <c r="I42" s="19" t="str">
        <f t="shared" si="2"/>
        <v/>
      </c>
      <c r="J42" s="20" t="str">
        <f t="shared" si="3"/>
        <v/>
      </c>
      <c r="K42" s="23">
        <f>8000+8000+8000+1600</f>
        <v>25600</v>
      </c>
      <c r="L42" s="20"/>
      <c r="M42" s="20"/>
      <c r="N42" s="49">
        <v>25800.0</v>
      </c>
      <c r="O42" s="22">
        <f>IFERROR(__xludf.DUMMYFUNCTION("IFERROR(
  VLOOKUP(C42,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C42
    ), 
    7, FALSE
  ), 
  """"
)
"),32200.0)</f>
        <v>32200</v>
      </c>
      <c r="P42" s="22">
        <f>IFERROR(__xludf.DUMMYFUNCTION("IF(OR(ISBLANK(Q42), ISBLANK(O42), VALUE(SUBSTITUTE(INDEX(SPLIT(IF(ISBLANK(R42), Q42, R42), "" km""), 0, 1), "" "", """")) - O42 = 0), """", IF(ISBLANK(R42), VALUE(SUBSTITUTE(INDEX(SPLIT(Q42, "" km""), 0, 1), "" "", """")) - O42, VALUE(SUBSTITUTE(INDEX(SPL"&amp;"IT(R42, "" km""), 0, 1), "" "", """")) - O42))"),-6400.0)</f>
        <v>-6400</v>
      </c>
      <c r="Q42" s="23" t="str">
        <f t="shared" si="4"/>
        <v>25 800 Km, 13.12.2022</v>
      </c>
      <c r="R42" s="20"/>
      <c r="S42" s="41">
        <v>3000.0</v>
      </c>
      <c r="T42" s="50">
        <v>0.0</v>
      </c>
      <c r="U42" s="42" t="s">
        <v>164</v>
      </c>
      <c r="V42" s="13" t="s">
        <v>165</v>
      </c>
      <c r="W42" s="24" t="str">
        <f t="shared" si="5"/>
        <v>Завершена</v>
      </c>
      <c r="X42" s="13" t="str">
        <f>IFERROR(__xludf.DUMMYFUNCTION("IF(C42 = """", """", IF(REGEXMATCH(C42, ""PCX|NMAX|ADV|CLICK""), ""скутер"", ""мото""))"),"скутер")</f>
        <v>скутер</v>
      </c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</row>
    <row r="43" hidden="1">
      <c r="A43" s="25" t="s">
        <v>24</v>
      </c>
      <c r="B43" s="25" t="s">
        <v>25</v>
      </c>
      <c r="C43" s="27" t="s">
        <v>166</v>
      </c>
      <c r="D43" s="27" t="s">
        <v>167</v>
      </c>
      <c r="E43" s="43">
        <v>44911.0</v>
      </c>
      <c r="F43" s="39">
        <v>44942.0</v>
      </c>
      <c r="G43" s="30" t="str">
        <f t="shared" si="1"/>
        <v>1 М</v>
      </c>
      <c r="H43" s="31">
        <f>9000/30</f>
        <v>300</v>
      </c>
      <c r="I43" s="32" t="str">
        <f t="shared" si="2"/>
        <v/>
      </c>
      <c r="J43" s="33" t="str">
        <f t="shared" si="3"/>
        <v/>
      </c>
      <c r="K43" s="36">
        <v>9000.0</v>
      </c>
      <c r="L43" s="33"/>
      <c r="M43" s="33"/>
      <c r="N43" s="44">
        <v>12184.0</v>
      </c>
      <c r="O43" s="35" t="str">
        <f>IFERROR(__xludf.DUMMYFUNCTION("IFERROR(
  VLOOKUP(C43,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C43
    ), 
    7, FALSE
  ), 
  """"
)
"),"")</f>
        <v/>
      </c>
      <c r="P43" s="35">
        <f>IFERROR(__xludf.DUMMYFUNCTION("IF(OR(ISBLANK(Q43), ISBLANK(O43), VALUE(SUBSTITUTE(INDEX(SPLIT(IF(ISBLANK(R43), Q43, R43), "" km""), 0, 1), "" "", """")) - O43 = 0), """", IF(ISBLANK(R43), VALUE(SUBSTITUTE(INDEX(SPLIT(Q43, "" km""), 0, 1), "" "", """")) - O43, VALUE(SUBSTITUTE(INDEX(SPL"&amp;"IT(R43, "" km""), 0, 1), "" "", """")) - O43))"),12184.0)</f>
        <v>12184</v>
      </c>
      <c r="Q43" s="36" t="str">
        <f t="shared" si="4"/>
        <v>12 184 Km, 16.12.2022</v>
      </c>
      <c r="R43" s="33"/>
      <c r="S43" s="40">
        <v>3000.0</v>
      </c>
      <c r="T43" s="45">
        <v>2.0</v>
      </c>
      <c r="U43" s="46" t="s">
        <v>168</v>
      </c>
      <c r="V43" s="25" t="s">
        <v>169</v>
      </c>
      <c r="W43" s="37" t="str">
        <f t="shared" si="5"/>
        <v>Завершена</v>
      </c>
      <c r="X43" s="25" t="str">
        <f>IFERROR(__xludf.DUMMYFUNCTION("IF(C43 = """", """", IF(REGEXMATCH(C43, ""PCX|NMAX|ADV|CLICK""), ""скутер"", ""мото""))"),"скутер")</f>
        <v>скутер</v>
      </c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</row>
    <row r="44" hidden="1">
      <c r="A44" s="13" t="s">
        <v>24</v>
      </c>
      <c r="B44" s="13" t="s">
        <v>25</v>
      </c>
      <c r="C44" s="14" t="s">
        <v>102</v>
      </c>
      <c r="D44" s="14" t="s">
        <v>170</v>
      </c>
      <c r="E44" s="48">
        <v>44914.0</v>
      </c>
      <c r="F44" s="38">
        <v>44928.0</v>
      </c>
      <c r="G44" s="17" t="str">
        <f t="shared" si="1"/>
        <v>14 Д</v>
      </c>
      <c r="H44" s="41">
        <f>18000/14</f>
        <v>1285.714286</v>
      </c>
      <c r="I44" s="19" t="str">
        <f t="shared" si="2"/>
        <v/>
      </c>
      <c r="J44" s="20" t="str">
        <f t="shared" si="3"/>
        <v/>
      </c>
      <c r="K44" s="23">
        <f>18000</f>
        <v>18000</v>
      </c>
      <c r="L44" s="23"/>
      <c r="M44" s="23"/>
      <c r="N44" s="49">
        <v>27950.0</v>
      </c>
      <c r="O44" s="22">
        <f>IFERROR(__xludf.DUMMYFUNCTION("IFERROR(
  VLOOKUP(C44,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C44
    ), 
    7, FALSE
  ), 
  """"
)
"),63700.0)</f>
        <v>63700</v>
      </c>
      <c r="P44" s="22">
        <f>IFERROR(__xludf.DUMMYFUNCTION("IF(OR(ISBLANK(Q44), ISBLANK(O44), VALUE(SUBSTITUTE(INDEX(SPLIT(IF(ISBLANK(R44), Q44, R44), "" km""), 0, 1), "" "", """")) - O44 = 0), """", IF(ISBLANK(R44), VALUE(SUBSTITUTE(INDEX(SPLIT(Q44, "" km""), 0, 1), "" "", """")) - O44, VALUE(SUBSTITUTE(INDEX(SPL"&amp;"IT(R44, "" km""), 0, 1), "" "", """")) - O44))"),-35750.0)</f>
        <v>-35750</v>
      </c>
      <c r="Q44" s="23" t="str">
        <f t="shared" si="4"/>
        <v>27 950 Km, 19.12.2022</v>
      </c>
      <c r="R44" s="20"/>
      <c r="S44" s="41">
        <v>20000.0</v>
      </c>
      <c r="T44" s="50">
        <v>1.0</v>
      </c>
      <c r="U44" s="42" t="s">
        <v>171</v>
      </c>
      <c r="V44" s="13" t="s">
        <v>172</v>
      </c>
      <c r="W44" s="24" t="str">
        <f t="shared" si="5"/>
        <v>Завершена</v>
      </c>
      <c r="X44" s="13" t="str">
        <f>IFERROR(__xludf.DUMMYFUNCTION("IF(C44 = """", """", IF(REGEXMATCH(C44, ""PCX|NMAX|ADV|CLICK""), ""скутер"", ""мото""))"),"мото")</f>
        <v>мото</v>
      </c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</row>
    <row r="45" hidden="1">
      <c r="A45" s="25" t="s">
        <v>24</v>
      </c>
      <c r="B45" s="25" t="s">
        <v>25</v>
      </c>
      <c r="C45" s="27" t="s">
        <v>173</v>
      </c>
      <c r="D45" s="27" t="s">
        <v>174</v>
      </c>
      <c r="E45" s="43">
        <v>44916.0</v>
      </c>
      <c r="F45" s="39">
        <v>45098.0</v>
      </c>
      <c r="G45" s="30" t="str">
        <f t="shared" si="1"/>
        <v>6 М</v>
      </c>
      <c r="H45" s="31">
        <f>11000/30</f>
        <v>366.6666667</v>
      </c>
      <c r="I45" s="32" t="str">
        <f t="shared" si="2"/>
        <v/>
      </c>
      <c r="J45" s="33" t="str">
        <f t="shared" si="3"/>
        <v/>
      </c>
      <c r="K45" s="36">
        <f>11000+11000+11000+11000+11000</f>
        <v>55000</v>
      </c>
      <c r="L45" s="33"/>
      <c r="M45" s="33"/>
      <c r="N45" s="44">
        <v>4800.0</v>
      </c>
      <c r="O45" s="35">
        <f>IFERROR(__xludf.DUMMYFUNCTION("IFERROR(
  VLOOKUP(C45,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C45
    ), 
    7, FALSE
  ), 
  """"
)
"),27000.0)</f>
        <v>27000</v>
      </c>
      <c r="P45" s="35">
        <f>IFERROR(__xludf.DUMMYFUNCTION("IF(OR(ISBLANK(Q45), ISBLANK(O45), VALUE(SUBSTITUTE(INDEX(SPLIT(IF(ISBLANK(R45), Q45, R45), "" km""), 0, 1), "" "", """")) - O45 = 0), """", IF(ISBLANK(R45), VALUE(SUBSTITUTE(INDEX(SPLIT(Q45, "" km""), 0, 1), "" "", """")) - O45, VALUE(SUBSTITUTE(INDEX(SPL"&amp;"IT(R45, "" km""), 0, 1), "" "", """")) - O45))"),-19680.0)</f>
        <v>-19680</v>
      </c>
      <c r="Q45" s="36" t="str">
        <f t="shared" si="4"/>
        <v>7320 2 марта</v>
      </c>
      <c r="R45" s="36" t="s">
        <v>175</v>
      </c>
      <c r="S45" s="40">
        <v>10000.0</v>
      </c>
      <c r="T45" s="45">
        <v>0.0</v>
      </c>
      <c r="U45" s="46" t="s">
        <v>176</v>
      </c>
      <c r="V45" s="25" t="s">
        <v>177</v>
      </c>
      <c r="W45" s="37" t="str">
        <f t="shared" si="5"/>
        <v>Завершена</v>
      </c>
      <c r="X45" s="25" t="str">
        <f>IFERROR(__xludf.DUMMYFUNCTION("IF(C45 = """", """", IF(REGEXMATCH(C45, ""PCX|NMAX|ADV|CLICK""), ""скутер"", ""мото""))"),"мото")</f>
        <v>мото</v>
      </c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</row>
    <row r="46" hidden="1">
      <c r="A46" s="13" t="s">
        <v>24</v>
      </c>
      <c r="B46" s="13" t="s">
        <v>25</v>
      </c>
      <c r="C46" s="14" t="s">
        <v>132</v>
      </c>
      <c r="D46" s="14" t="s">
        <v>178</v>
      </c>
      <c r="E46" s="48">
        <v>44917.0</v>
      </c>
      <c r="F46" s="38">
        <v>44920.0</v>
      </c>
      <c r="G46" s="17" t="str">
        <f t="shared" si="1"/>
        <v>3 Д</v>
      </c>
      <c r="H46" s="18">
        <f>400</f>
        <v>400</v>
      </c>
      <c r="I46" s="19" t="str">
        <f t="shared" si="2"/>
        <v/>
      </c>
      <c r="J46" s="20" t="str">
        <f t="shared" si="3"/>
        <v/>
      </c>
      <c r="K46" s="23">
        <v>1200.0</v>
      </c>
      <c r="L46" s="20"/>
      <c r="M46" s="20"/>
      <c r="N46" s="49">
        <v>25480.0</v>
      </c>
      <c r="O46" s="22" t="str">
        <f>IFERROR(__xludf.DUMMYFUNCTION("IFERROR(
  VLOOKUP(C46,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C46
    ), 
    7, FALSE
  ), 
  """"
)
"),"")</f>
        <v/>
      </c>
      <c r="P46" s="22">
        <f>IFERROR(__xludf.DUMMYFUNCTION("IF(OR(ISBLANK(Q46), ISBLANK(O46), VALUE(SUBSTITUTE(INDEX(SPLIT(IF(ISBLANK(R46), Q46, R46), "" km""), 0, 1), "" "", """")) - O46 = 0), """", IF(ISBLANK(R46), VALUE(SUBSTITUTE(INDEX(SPLIT(Q46, "" km""), 0, 1), "" "", """")) - O46, VALUE(SUBSTITUTE(INDEX(SPL"&amp;"IT(R46, "" km""), 0, 1), "" "", """")) - O46))"),25480.0)</f>
        <v>25480</v>
      </c>
      <c r="Q46" s="23" t="str">
        <f t="shared" si="4"/>
        <v>25 480 Km, 22.12.2022</v>
      </c>
      <c r="R46" s="20"/>
      <c r="S46" s="41">
        <v>3000.0</v>
      </c>
      <c r="T46" s="50">
        <v>2.0</v>
      </c>
      <c r="U46" s="42" t="s">
        <v>0</v>
      </c>
      <c r="V46" s="13" t="s">
        <v>179</v>
      </c>
      <c r="W46" s="24" t="str">
        <f t="shared" si="5"/>
        <v>Завершена</v>
      </c>
      <c r="X46" s="13" t="str">
        <f>IFERROR(__xludf.DUMMYFUNCTION("IF(C46 = """", """", IF(REGEXMATCH(C46, ""PCX|NMAX|ADV|CLICK""), ""скутер"", ""мото""))"),"скутер")</f>
        <v>скутер</v>
      </c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hidden="1">
      <c r="A47" s="25" t="s">
        <v>24</v>
      </c>
      <c r="B47" s="25" t="s">
        <v>25</v>
      </c>
      <c r="C47" s="27" t="s">
        <v>68</v>
      </c>
      <c r="D47" s="27" t="s">
        <v>180</v>
      </c>
      <c r="E47" s="43">
        <v>44917.0</v>
      </c>
      <c r="F47" s="39">
        <v>45018.0</v>
      </c>
      <c r="G47" s="30" t="str">
        <f t="shared" si="1"/>
        <v>3 М</v>
      </c>
      <c r="H47" s="31">
        <f>7000/30</f>
        <v>233.3333333</v>
      </c>
      <c r="I47" s="32" t="str">
        <f t="shared" si="2"/>
        <v/>
      </c>
      <c r="J47" s="33" t="str">
        <f t="shared" si="3"/>
        <v/>
      </c>
      <c r="K47" s="36">
        <f>7000+7000+7000+2300</f>
        <v>23300</v>
      </c>
      <c r="L47" s="33"/>
      <c r="M47" s="33"/>
      <c r="N47" s="44">
        <v>31318.0</v>
      </c>
      <c r="O47" s="35">
        <f>IFERROR(__xludf.DUMMYFUNCTION("IFERROR(
  VLOOKUP(C47,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C47
    ), 
    7, FALSE
  ), 
  """"
)
"),24094.0)</f>
        <v>24094</v>
      </c>
      <c r="P47" s="35">
        <f>IFERROR(__xludf.DUMMYFUNCTION("IF(OR(ISBLANK(Q47), ISBLANK(O47), VALUE(SUBSTITUTE(INDEX(SPLIT(IF(ISBLANK(R47), Q47, R47), "" km""), 0, 1), "" "", """")) - O47 = 0), """", IF(ISBLANK(R47), VALUE(SUBSTITUTE(INDEX(SPLIT(Q47, "" km""), 0, 1), "" "", """")) - O47, VALUE(SUBSTITUTE(INDEX(SPL"&amp;"IT(R47, "" km""), 0, 1), "" "", """")) - O47))"),7224.0)</f>
        <v>7224</v>
      </c>
      <c r="Q47" s="36" t="str">
        <f t="shared" si="4"/>
        <v>31 318 Km, 22.12.2022</v>
      </c>
      <c r="R47" s="33"/>
      <c r="S47" s="31">
        <f>3000</f>
        <v>3000</v>
      </c>
      <c r="T47" s="32">
        <v>1.0</v>
      </c>
      <c r="U47" s="46" t="s">
        <v>0</v>
      </c>
      <c r="V47" s="25" t="s">
        <v>181</v>
      </c>
      <c r="W47" s="37" t="str">
        <f t="shared" si="5"/>
        <v>Завершена</v>
      </c>
      <c r="X47" s="25" t="str">
        <f>IFERROR(__xludf.DUMMYFUNCTION("IF(C47 = """", """", IF(REGEXMATCH(C47, ""PCX|NMAX|ADV|CLICK""), ""скутер"", ""мото""))"),"скутер")</f>
        <v>скутер</v>
      </c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</row>
    <row r="48" hidden="1">
      <c r="A48" s="13" t="s">
        <v>24</v>
      </c>
      <c r="B48" s="13" t="s">
        <v>25</v>
      </c>
      <c r="C48" s="14" t="s">
        <v>132</v>
      </c>
      <c r="D48" s="14" t="s">
        <v>61</v>
      </c>
      <c r="E48" s="48">
        <v>44921.0</v>
      </c>
      <c r="F48" s="38">
        <v>44954.0</v>
      </c>
      <c r="G48" s="17" t="str">
        <f t="shared" si="1"/>
        <v>1 М</v>
      </c>
      <c r="H48" s="41">
        <v>350.0</v>
      </c>
      <c r="I48" s="19" t="str">
        <f t="shared" si="2"/>
        <v/>
      </c>
      <c r="J48" s="20" t="str">
        <f t="shared" si="3"/>
        <v/>
      </c>
      <c r="K48" s="23">
        <v>700.0</v>
      </c>
      <c r="L48" s="23"/>
      <c r="M48" s="23"/>
      <c r="N48" s="49">
        <v>25600.0</v>
      </c>
      <c r="O48" s="22" t="str">
        <f>IFERROR(__xludf.DUMMYFUNCTION("IFERROR(
  VLOOKUP(C48,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C48
    ), 
    7, FALSE
  ), 
  """"
)
"),"")</f>
        <v/>
      </c>
      <c r="P48" s="22">
        <f>IFERROR(__xludf.DUMMYFUNCTION("IF(OR(ISBLANK(Q48), ISBLANK(O48), VALUE(SUBSTITUTE(INDEX(SPLIT(IF(ISBLANK(R48), Q48, R48), "" km""), 0, 1), "" "", """")) - O48 = 0), """", IF(ISBLANK(R48), VALUE(SUBSTITUTE(INDEX(SPLIT(Q48, "" km""), 0, 1), "" "", """")) - O48, VALUE(SUBSTITUTE(INDEX(SPL"&amp;"IT(R48, "" km""), 0, 1), "" "", """")) - O48))"),25600.0)</f>
        <v>25600</v>
      </c>
      <c r="Q48" s="23" t="str">
        <f t="shared" si="4"/>
        <v>25 600 Km, 26.12.2022</v>
      </c>
      <c r="R48" s="20"/>
      <c r="S48" s="18">
        <v>3000.0</v>
      </c>
      <c r="T48" s="19">
        <v>1.0</v>
      </c>
      <c r="U48" s="17" t="s">
        <v>62</v>
      </c>
      <c r="V48" s="17" t="s">
        <v>63</v>
      </c>
      <c r="W48" s="24" t="str">
        <f t="shared" si="5"/>
        <v>Завершена</v>
      </c>
      <c r="X48" s="13" t="str">
        <f>IFERROR(__xludf.DUMMYFUNCTION("IF(C48 = """", """", IF(REGEXMATCH(C48, ""PCX|NMAX|ADV|CLICK""), ""скутер"", ""мото""))"),"скутер")</f>
        <v>скутер</v>
      </c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</row>
    <row r="49" hidden="1">
      <c r="A49" s="25" t="s">
        <v>24</v>
      </c>
      <c r="B49" s="25" t="s">
        <v>25</v>
      </c>
      <c r="C49" s="27" t="s">
        <v>92</v>
      </c>
      <c r="D49" s="27" t="s">
        <v>182</v>
      </c>
      <c r="E49" s="43">
        <v>44922.0</v>
      </c>
      <c r="F49" s="39">
        <v>44958.0</v>
      </c>
      <c r="G49" s="30" t="str">
        <f t="shared" si="1"/>
        <v>1 М</v>
      </c>
      <c r="H49" s="31">
        <f>16000/30</f>
        <v>533.3333333</v>
      </c>
      <c r="I49" s="32" t="str">
        <f t="shared" si="2"/>
        <v/>
      </c>
      <c r="J49" s="33" t="str">
        <f t="shared" si="3"/>
        <v/>
      </c>
      <c r="K49" s="36">
        <f>16000+1600+400</f>
        <v>18000</v>
      </c>
      <c r="L49" s="33"/>
      <c r="M49" s="33"/>
      <c r="N49" s="44">
        <v>29400.0</v>
      </c>
      <c r="O49" s="35">
        <f>IFERROR(__xludf.DUMMYFUNCTION("IFERROR(
  VLOOKUP(C49,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C49
    ), 
    7, FALSE
  ), 
  """"
)
"),23500.0)</f>
        <v>23500</v>
      </c>
      <c r="P49" s="35">
        <f>IFERROR(__xludf.DUMMYFUNCTION("IF(OR(ISBLANK(Q49), ISBLANK(O49), VALUE(SUBSTITUTE(INDEX(SPLIT(IF(ISBLANK(R49), Q49, R49), "" km""), 0, 1), "" "", """")) - O49 = 0), """", IF(ISBLANK(R49), VALUE(SUBSTITUTE(INDEX(SPLIT(Q49, "" km""), 0, 1), "" "", """")) - O49, VALUE(SUBSTITUTE(INDEX(SPL"&amp;"IT(R49, "" km""), 0, 1), "" "", """")) - O49))"),5900.0)</f>
        <v>5900</v>
      </c>
      <c r="Q49" s="36" t="str">
        <f t="shared" si="4"/>
        <v>29 400 Km, 27.12.2022</v>
      </c>
      <c r="R49" s="33"/>
      <c r="S49" s="40">
        <v>3000.0</v>
      </c>
      <c r="T49" s="45">
        <v>4.0</v>
      </c>
      <c r="U49" s="46" t="s">
        <v>183</v>
      </c>
      <c r="V49" s="25" t="s">
        <v>184</v>
      </c>
      <c r="W49" s="37" t="str">
        <f t="shared" si="5"/>
        <v>Завершена</v>
      </c>
      <c r="X49" s="25" t="str">
        <f>IFERROR(__xludf.DUMMYFUNCTION("IF(C49 = """", """", IF(REGEXMATCH(C49, ""PCX|NMAX|ADV|CLICK""), ""скутер"", ""мото""))"),"мото")</f>
        <v>мото</v>
      </c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</row>
    <row r="50" hidden="1">
      <c r="A50" s="13" t="s">
        <v>24</v>
      </c>
      <c r="B50" s="13" t="s">
        <v>25</v>
      </c>
      <c r="C50" s="14" t="s">
        <v>185</v>
      </c>
      <c r="D50" s="14" t="s">
        <v>182</v>
      </c>
      <c r="E50" s="48">
        <v>44922.0</v>
      </c>
      <c r="F50" s="38">
        <v>44958.0</v>
      </c>
      <c r="G50" s="17" t="str">
        <f t="shared" si="1"/>
        <v>1 М</v>
      </c>
      <c r="H50" s="18">
        <f>10000/30</f>
        <v>333.3333333</v>
      </c>
      <c r="I50" s="19" t="str">
        <f t="shared" si="2"/>
        <v/>
      </c>
      <c r="J50" s="20" t="str">
        <f t="shared" si="3"/>
        <v/>
      </c>
      <c r="K50" s="23">
        <v>0.0</v>
      </c>
      <c r="L50" s="20"/>
      <c r="M50" s="20"/>
      <c r="N50" s="49">
        <v>19950.0</v>
      </c>
      <c r="O50" s="22" t="str">
        <f>IFERROR(__xludf.DUMMYFUNCTION("IFERROR(
  VLOOKUP(C50,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C50
    ), 
    7, FALSE
  ), 
  """"
)
"),"")</f>
        <v/>
      </c>
      <c r="P50" s="22" t="str">
        <f>IFERROR(__xludf.DUMMYFUNCTION("IF(OR(ISBLANK(Q50), ISBLANK(O50), VALUE(SUBSTITUTE(INDEX(SPLIT(IF(ISBLANK(R50), Q50, R50), "" km""), 0, 1), "" "", """")) - O50 = 0), """", IF(ISBLANK(R50), VALUE(SUBSTITUTE(INDEX(SPLIT(Q50, "" km""), 0, 1), "" "", """")) - O50, VALUE(SUBSTITUTE(INDEX(SPL"&amp;"IT(R50, "" km""), 0, 1), "" "", """")) - O50))"),"#VALUE!")</f>
        <v>#VALUE!</v>
      </c>
      <c r="Q50" s="23" t="str">
        <f t="shared" si="4"/>
        <v>смена на синий иксмакс</v>
      </c>
      <c r="R50" s="23" t="s">
        <v>186</v>
      </c>
      <c r="S50" s="41">
        <v>3000.0</v>
      </c>
      <c r="T50" s="50">
        <v>4.0</v>
      </c>
      <c r="U50" s="42" t="s">
        <v>183</v>
      </c>
      <c r="V50" s="13" t="s">
        <v>184</v>
      </c>
      <c r="W50" s="24" t="str">
        <f t="shared" si="5"/>
        <v>Завершена</v>
      </c>
      <c r="X50" s="13" t="str">
        <f>IFERROR(__xludf.DUMMYFUNCTION("IF(C50 = """", """", IF(REGEXMATCH(C50, ""PCX|NMAX|ADV|CLICK""), ""скутер"", ""мото""))"),"скутер")</f>
        <v>скутер</v>
      </c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</row>
    <row r="51" hidden="1">
      <c r="A51" s="25" t="s">
        <v>24</v>
      </c>
      <c r="B51" s="25" t="s">
        <v>25</v>
      </c>
      <c r="C51" s="27" t="s">
        <v>132</v>
      </c>
      <c r="D51" s="27" t="s">
        <v>187</v>
      </c>
      <c r="E51" s="43">
        <v>44924.0</v>
      </c>
      <c r="F51" s="39">
        <v>44933.0</v>
      </c>
      <c r="G51" s="30" t="str">
        <f t="shared" si="1"/>
        <v>9 Д</v>
      </c>
      <c r="H51" s="40">
        <v>350.0</v>
      </c>
      <c r="I51" s="32" t="str">
        <f t="shared" si="2"/>
        <v/>
      </c>
      <c r="J51" s="33" t="str">
        <f t="shared" si="3"/>
        <v/>
      </c>
      <c r="K51" s="36">
        <v>3150.0</v>
      </c>
      <c r="L51" s="36"/>
      <c r="M51" s="36"/>
      <c r="N51" s="44">
        <v>25567.0</v>
      </c>
      <c r="O51" s="35" t="str">
        <f>IFERROR(__xludf.DUMMYFUNCTION("IFERROR(
  VLOOKUP(C51,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C51
    ), 
    7, FALSE
  ), 
  """"
)
"),"")</f>
        <v/>
      </c>
      <c r="P51" s="35">
        <f>IFERROR(__xludf.DUMMYFUNCTION("IF(OR(ISBLANK(Q51), ISBLANK(O51), VALUE(SUBSTITUTE(INDEX(SPLIT(IF(ISBLANK(R51), Q51, R51), "" km""), 0, 1), "" "", """")) - O51 = 0), """", IF(ISBLANK(R51), VALUE(SUBSTITUTE(INDEX(SPLIT(Q51, "" km""), 0, 1), "" "", """")) - O51, VALUE(SUBSTITUTE(INDEX(SPL"&amp;"IT(R51, "" km""), 0, 1), "" "", """")) - O51))"),25567.0)</f>
        <v>25567</v>
      </c>
      <c r="Q51" s="36" t="str">
        <f t="shared" si="4"/>
        <v>25 567 Km, 29.12.2022</v>
      </c>
      <c r="R51" s="33"/>
      <c r="S51" s="31">
        <v>3000.0</v>
      </c>
      <c r="T51" s="45">
        <v>2.0</v>
      </c>
      <c r="U51" s="46" t="s">
        <v>188</v>
      </c>
      <c r="V51" s="25" t="s">
        <v>189</v>
      </c>
      <c r="W51" s="37" t="str">
        <f t="shared" si="5"/>
        <v>Завершена</v>
      </c>
      <c r="X51" s="25" t="str">
        <f>IFERROR(__xludf.DUMMYFUNCTION("IF(C51 = """", """", IF(REGEXMATCH(C51, ""PCX|NMAX|ADV|CLICK""), ""скутер"", ""мото""))"),"скутер")</f>
        <v>скутер</v>
      </c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</row>
    <row r="52" hidden="1">
      <c r="A52" s="13" t="s">
        <v>24</v>
      </c>
      <c r="B52" s="13" t="s">
        <v>25</v>
      </c>
      <c r="C52" s="14" t="s">
        <v>151</v>
      </c>
      <c r="D52" s="14" t="s">
        <v>190</v>
      </c>
      <c r="E52" s="48">
        <v>44924.0</v>
      </c>
      <c r="F52" s="38">
        <v>45014.0</v>
      </c>
      <c r="G52" s="17" t="str">
        <f t="shared" si="1"/>
        <v>3 М</v>
      </c>
      <c r="H52" s="41">
        <f>9000/30</f>
        <v>300</v>
      </c>
      <c r="I52" s="19" t="str">
        <f t="shared" si="2"/>
        <v/>
      </c>
      <c r="J52" s="20" t="str">
        <f t="shared" si="3"/>
        <v/>
      </c>
      <c r="K52" s="23">
        <f>9000+9000</f>
        <v>18000</v>
      </c>
      <c r="L52" s="23"/>
      <c r="M52" s="23"/>
      <c r="N52" s="49">
        <v>16335.0</v>
      </c>
      <c r="O52" s="22">
        <f>IFERROR(__xludf.DUMMYFUNCTION("IFERROR(
  VLOOKUP(C52,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C52
    ), 
    7, FALSE
  ), 
  """"
)
"),35800.0)</f>
        <v>35800</v>
      </c>
      <c r="P52" s="22">
        <f>IFERROR(__xludf.DUMMYFUNCTION("IF(OR(ISBLANK(Q52), ISBLANK(O52), VALUE(SUBSTITUTE(INDEX(SPLIT(IF(ISBLANK(R52), Q52, R52), "" km""), 0, 1), "" "", """")) - O52 = 0), """", IF(ISBLANK(R52), VALUE(SUBSTITUTE(INDEX(SPLIT(Q52, "" km""), 0, 1), "" "", """")) - O52, VALUE(SUBSTITUTE(INDEX(SPL"&amp;"IT(R52, "" km""), 0, 1), "" "", """")) - O52))"),-19465.0)</f>
        <v>-19465</v>
      </c>
      <c r="Q52" s="23" t="str">
        <f t="shared" si="4"/>
        <v>16 335 Km, 29.12.2022</v>
      </c>
      <c r="R52" s="20"/>
      <c r="S52" s="41">
        <v>3000.0</v>
      </c>
      <c r="T52" s="50">
        <v>2.0</v>
      </c>
      <c r="U52" s="42" t="s">
        <v>191</v>
      </c>
      <c r="V52" s="13" t="s">
        <v>192</v>
      </c>
      <c r="W52" s="24" t="str">
        <f t="shared" si="5"/>
        <v>Завершена</v>
      </c>
      <c r="X52" s="13" t="str">
        <f>IFERROR(__xludf.DUMMYFUNCTION("IF(C52 = """", """", IF(REGEXMATCH(C52, ""PCX|NMAX|ADV|CLICK""), ""скутер"", ""мото""))"),"скутер")</f>
        <v>скутер</v>
      </c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</row>
    <row r="53" hidden="1">
      <c r="A53" s="25" t="s">
        <v>24</v>
      </c>
      <c r="B53" s="25" t="s">
        <v>25</v>
      </c>
      <c r="C53" s="27" t="s">
        <v>193</v>
      </c>
      <c r="D53" s="27" t="s">
        <v>194</v>
      </c>
      <c r="E53" s="43">
        <v>44925.0</v>
      </c>
      <c r="F53" s="39">
        <v>44932.0</v>
      </c>
      <c r="G53" s="30" t="str">
        <f t="shared" si="1"/>
        <v>7 Д</v>
      </c>
      <c r="H53" s="40">
        <v>600.0</v>
      </c>
      <c r="I53" s="32" t="str">
        <f t="shared" si="2"/>
        <v/>
      </c>
      <c r="J53" s="33" t="str">
        <f t="shared" si="3"/>
        <v/>
      </c>
      <c r="K53" s="36">
        <v>4200.0</v>
      </c>
      <c r="L53" s="36"/>
      <c r="M53" s="36"/>
      <c r="N53" s="44">
        <v>5651.0</v>
      </c>
      <c r="O53" s="35" t="str">
        <f>IFERROR(__xludf.DUMMYFUNCTION("IFERROR(
  VLOOKUP(C53,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C53
    ), 
    7, FALSE
  ), 
  """"
)
"),"")</f>
        <v/>
      </c>
      <c r="P53" s="35">
        <f>IFERROR(__xludf.DUMMYFUNCTION("IF(OR(ISBLANK(Q53), ISBLANK(O53), VALUE(SUBSTITUTE(INDEX(SPLIT(IF(ISBLANK(R53), Q53, R53), "" km""), 0, 1), "" "", """")) - O53 = 0), """", IF(ISBLANK(R53), VALUE(SUBSTITUTE(INDEX(SPLIT(Q53, "" km""), 0, 1), "" "", """")) - O53, VALUE(SUBSTITUTE(INDEX(SPL"&amp;"IT(R53, "" km""), 0, 1), "" "", """")) - O53))"),5651.0)</f>
        <v>5651</v>
      </c>
      <c r="Q53" s="36" t="str">
        <f t="shared" si="4"/>
        <v>5 651 Km, 30.12.2022</v>
      </c>
      <c r="R53" s="36"/>
      <c r="S53" s="40">
        <v>10000.0</v>
      </c>
      <c r="T53" s="45">
        <v>1.0</v>
      </c>
      <c r="U53" s="46" t="s">
        <v>195</v>
      </c>
      <c r="V53" s="25" t="s">
        <v>196</v>
      </c>
      <c r="W53" s="37" t="str">
        <f t="shared" si="5"/>
        <v>Завершена</v>
      </c>
      <c r="X53" s="25" t="str">
        <f>IFERROR(__xludf.DUMMYFUNCTION("IF(C53 = """", """", IF(REGEXMATCH(C53, ""PCX|NMAX|ADV|CLICK""), ""скутер"", ""мото""))"),"мото")</f>
        <v>мото</v>
      </c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</row>
    <row r="54" hidden="1">
      <c r="A54" s="13" t="s">
        <v>24</v>
      </c>
      <c r="B54" s="13" t="s">
        <v>25</v>
      </c>
      <c r="C54" s="14" t="s">
        <v>185</v>
      </c>
      <c r="D54" s="14" t="s">
        <v>167</v>
      </c>
      <c r="E54" s="48">
        <v>44925.0</v>
      </c>
      <c r="F54" s="38">
        <v>44954.0</v>
      </c>
      <c r="G54" s="17" t="str">
        <f t="shared" si="1"/>
        <v>29 Д</v>
      </c>
      <c r="H54" s="41">
        <v>450.0</v>
      </c>
      <c r="I54" s="19" t="str">
        <f t="shared" si="2"/>
        <v/>
      </c>
      <c r="J54" s="20" t="str">
        <f t="shared" si="3"/>
        <v/>
      </c>
      <c r="K54" s="23">
        <f>6750+3600+2700</f>
        <v>13050</v>
      </c>
      <c r="L54" s="23"/>
      <c r="M54" s="23"/>
      <c r="N54" s="49">
        <v>19250.0</v>
      </c>
      <c r="O54" s="22" t="str">
        <f>IFERROR(__xludf.DUMMYFUNCTION("IFERROR(
  VLOOKUP(C54,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C54
    ), 
    7, FALSE
  ), 
  """"
)
"),"")</f>
        <v/>
      </c>
      <c r="P54" s="22">
        <f>IFERROR(__xludf.DUMMYFUNCTION("IF(OR(ISBLANK(Q54), ISBLANK(O54), VALUE(SUBSTITUTE(INDEX(SPLIT(IF(ISBLANK(R54), Q54, R54), "" km""), 0, 1), "" "", """")) - O54 = 0), """", IF(ISBLANK(R54), VALUE(SUBSTITUTE(INDEX(SPLIT(Q54, "" km""), 0, 1), "" "", """")) - O54, VALUE(SUBSTITUTE(INDEX(SPL"&amp;"IT(R54, "" km""), 0, 1), "" "", """")) - O54))"),19250.0)</f>
        <v>19250</v>
      </c>
      <c r="Q54" s="23" t="str">
        <f t="shared" si="4"/>
        <v>19 250 Km, 30.12.2022</v>
      </c>
      <c r="R54" s="20"/>
      <c r="S54" s="41">
        <v>3000.0</v>
      </c>
      <c r="T54" s="50">
        <v>2.0</v>
      </c>
      <c r="U54" s="42" t="s">
        <v>168</v>
      </c>
      <c r="V54" s="13" t="s">
        <v>197</v>
      </c>
      <c r="W54" s="24" t="str">
        <f t="shared" si="5"/>
        <v>Завершена</v>
      </c>
      <c r="X54" s="13" t="str">
        <f>IFERROR(__xludf.DUMMYFUNCTION("IF(C54 = """", """", IF(REGEXMATCH(C54, ""PCX|NMAX|ADV|CLICK""), ""скутер"", ""мото""))"),"скутер")</f>
        <v>скутер</v>
      </c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</row>
    <row r="55" hidden="1">
      <c r="A55" s="25" t="s">
        <v>24</v>
      </c>
      <c r="B55" s="25" t="s">
        <v>25</v>
      </c>
      <c r="C55" s="27" t="s">
        <v>198</v>
      </c>
      <c r="D55" s="27" t="s">
        <v>199</v>
      </c>
      <c r="E55" s="43">
        <v>44925.0</v>
      </c>
      <c r="F55" s="39">
        <v>44956.0</v>
      </c>
      <c r="G55" s="30" t="str">
        <f t="shared" si="1"/>
        <v>1 М</v>
      </c>
      <c r="H55" s="31">
        <f>16000/30</f>
        <v>533.3333333</v>
      </c>
      <c r="I55" s="32" t="str">
        <f t="shared" si="2"/>
        <v/>
      </c>
      <c r="J55" s="33" t="str">
        <f t="shared" si="3"/>
        <v/>
      </c>
      <c r="K55" s="36">
        <f>16000+1800</f>
        <v>17800</v>
      </c>
      <c r="L55" s="33"/>
      <c r="M55" s="33"/>
      <c r="N55" s="44">
        <v>10600.0</v>
      </c>
      <c r="O55" s="35" t="str">
        <f>IFERROR(__xludf.DUMMYFUNCTION("IFERROR(
  VLOOKUP(C55,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C55
    ), 
    7, FALSE
  ), 
  """"
)
"),"")</f>
        <v/>
      </c>
      <c r="P55" s="35">
        <f>IFERROR(__xludf.DUMMYFUNCTION("IF(OR(ISBLANK(Q55), ISBLANK(O55), VALUE(SUBSTITUTE(INDEX(SPLIT(IF(ISBLANK(R55), Q55, R55), "" km""), 0, 1), "" "", """")) - O55 = 0), """", IF(ISBLANK(R55), VALUE(SUBSTITUTE(INDEX(SPLIT(Q55, "" km""), 0, 1), "" "", """")) - O55, VALUE(SUBSTITUTE(INDEX(SPL"&amp;"IT(R55, "" km""), 0, 1), "" "", """")) - O55))"),10600.0)</f>
        <v>10600</v>
      </c>
      <c r="Q55" s="36" t="str">
        <f t="shared" si="4"/>
        <v>10 600 Km, 30.12.2022</v>
      </c>
      <c r="R55" s="33"/>
      <c r="S55" s="40">
        <v>5000.0</v>
      </c>
      <c r="T55" s="45"/>
      <c r="U55" s="46" t="s">
        <v>200</v>
      </c>
      <c r="V55" s="25" t="s">
        <v>201</v>
      </c>
      <c r="W55" s="37" t="str">
        <f t="shared" si="5"/>
        <v>Завершена</v>
      </c>
      <c r="X55" s="25" t="str">
        <f>IFERROR(__xludf.DUMMYFUNCTION("IF(C55 = """", """", IF(REGEXMATCH(C55, ""PCX|NMAX|ADV|CLICK""), ""скутер"", ""мото""))"),"мото")</f>
        <v>мото</v>
      </c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</row>
    <row r="56" hidden="1">
      <c r="A56" s="13" t="s">
        <v>24</v>
      </c>
      <c r="B56" s="13" t="s">
        <v>25</v>
      </c>
      <c r="C56" s="14" t="s">
        <v>37</v>
      </c>
      <c r="D56" s="14" t="s">
        <v>61</v>
      </c>
      <c r="E56" s="48">
        <v>44926.0</v>
      </c>
      <c r="F56" s="38">
        <v>44958.0</v>
      </c>
      <c r="G56" s="17" t="str">
        <f t="shared" si="1"/>
        <v>1 М</v>
      </c>
      <c r="H56" s="41">
        <v>600.0</v>
      </c>
      <c r="I56" s="19" t="str">
        <f t="shared" si="2"/>
        <v/>
      </c>
      <c r="J56" s="20" t="str">
        <f t="shared" si="3"/>
        <v/>
      </c>
      <c r="K56" s="23">
        <v>600.0</v>
      </c>
      <c r="L56" s="23"/>
      <c r="M56" s="23"/>
      <c r="N56" s="49"/>
      <c r="O56" s="22" t="str">
        <f>IFERROR(__xludf.DUMMYFUNCTION("IFERROR(
  VLOOKUP(C56,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C56
    ), 
    7, FALSE
  ), 
  """"
)
"),"")</f>
        <v/>
      </c>
      <c r="P56" s="22" t="str">
        <f>IFERROR(__xludf.DUMMYFUNCTION("IF(OR(ISBLANK(Q56), ISBLANK(O56), VALUE(SUBSTITUTE(INDEX(SPLIT(IF(ISBLANK(R56), Q56, R56), "" km""), 0, 1), "" "", """")) - O56 = 0), """", IF(ISBLANK(R56), VALUE(SUBSTITUTE(INDEX(SPLIT(Q56, "" km""), 0, 1), "" "", """")) - O56, VALUE(SUBSTITUTE(INDEX(SPL"&amp;"IT(R56, "" km""), 0, 1), "" "", """")) - O56))"),"")</f>
        <v/>
      </c>
      <c r="Q56" s="23" t="str">
        <f t="shared" si="4"/>
        <v>0 Km, 31.12.2022</v>
      </c>
      <c r="R56" s="20"/>
      <c r="S56" s="18">
        <v>3000.0</v>
      </c>
      <c r="T56" s="19">
        <v>1.0</v>
      </c>
      <c r="U56" s="17" t="s">
        <v>62</v>
      </c>
      <c r="V56" s="17" t="s">
        <v>63</v>
      </c>
      <c r="W56" s="24" t="str">
        <f t="shared" si="5"/>
        <v>Завершена</v>
      </c>
      <c r="X56" s="13" t="str">
        <f>IFERROR(__xludf.DUMMYFUNCTION("IF(C56 = """", """", IF(REGEXMATCH(C56, ""PCX|NMAX|ADV|CLICK""), ""скутер"", ""мото""))"),"мото")</f>
        <v>мото</v>
      </c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</row>
    <row r="57" hidden="1">
      <c r="A57" s="25" t="s">
        <v>24</v>
      </c>
      <c r="B57" s="25" t="s">
        <v>25</v>
      </c>
      <c r="C57" s="27" t="s">
        <v>102</v>
      </c>
      <c r="D57" s="27" t="s">
        <v>170</v>
      </c>
      <c r="E57" s="43">
        <v>44928.0</v>
      </c>
      <c r="F57" s="39">
        <v>44942.0</v>
      </c>
      <c r="G57" s="30" t="str">
        <f t="shared" si="1"/>
        <v>14 Д</v>
      </c>
      <c r="H57" s="40">
        <f>12000/14</f>
        <v>857.1428571</v>
      </c>
      <c r="I57" s="32" t="str">
        <f t="shared" si="2"/>
        <v/>
      </c>
      <c r="J57" s="33" t="str">
        <f t="shared" si="3"/>
        <v/>
      </c>
      <c r="K57" s="36">
        <v>12000.0</v>
      </c>
      <c r="L57" s="36"/>
      <c r="M57" s="36"/>
      <c r="N57" s="44">
        <v>27950.0</v>
      </c>
      <c r="O57" s="35">
        <f>IFERROR(__xludf.DUMMYFUNCTION("IFERROR(
  VLOOKUP(C57,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C57
    ), 
    7, FALSE
  ), 
  """"
)
"),63700.0)</f>
        <v>63700</v>
      </c>
      <c r="P57" s="35">
        <f>IFERROR(__xludf.DUMMYFUNCTION("IF(OR(ISBLANK(Q57), ISBLANK(O57), VALUE(SUBSTITUTE(INDEX(SPLIT(IF(ISBLANK(R57), Q57, R57), "" km""), 0, 1), "" "", """")) - O57 = 0), """", IF(ISBLANK(R57), VALUE(SUBSTITUTE(INDEX(SPLIT(Q57, "" km""), 0, 1), "" "", """")) - O57, VALUE(SUBSTITUTE(INDEX(SPL"&amp;"IT(R57, "" km""), 0, 1), "" "", """")) - O57))"),-35750.0)</f>
        <v>-35750</v>
      </c>
      <c r="Q57" s="36" t="str">
        <f t="shared" si="4"/>
        <v>27 950 Km, 02.01.2023</v>
      </c>
      <c r="R57" s="33"/>
      <c r="S57" s="40">
        <v>20000.0</v>
      </c>
      <c r="T57" s="45">
        <v>1.0</v>
      </c>
      <c r="U57" s="46" t="s">
        <v>171</v>
      </c>
      <c r="V57" s="25" t="s">
        <v>172</v>
      </c>
      <c r="W57" s="37" t="str">
        <f t="shared" si="5"/>
        <v>Завершена</v>
      </c>
      <c r="X57" s="25" t="str">
        <f>IFERROR(__xludf.DUMMYFUNCTION("IF(C57 = """", """", IF(REGEXMATCH(C57, ""PCX|NMAX|ADV|CLICK""), ""скутер"", ""мото""))"),"мото")</f>
        <v>мото</v>
      </c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</row>
    <row r="58" hidden="1">
      <c r="A58" s="13" t="s">
        <v>24</v>
      </c>
      <c r="B58" s="13" t="s">
        <v>25</v>
      </c>
      <c r="C58" s="14" t="s">
        <v>202</v>
      </c>
      <c r="D58" s="14" t="s">
        <v>203</v>
      </c>
      <c r="E58" s="15">
        <v>44931.0</v>
      </c>
      <c r="F58" s="16">
        <v>44957.0</v>
      </c>
      <c r="G58" s="17" t="str">
        <f t="shared" si="1"/>
        <v>26 Д</v>
      </c>
      <c r="H58" s="18">
        <v>577.0</v>
      </c>
      <c r="I58" s="19" t="str">
        <f t="shared" si="2"/>
        <v/>
      </c>
      <c r="J58" s="20" t="str">
        <f t="shared" si="3"/>
        <v/>
      </c>
      <c r="K58" s="20">
        <v>15000.0</v>
      </c>
      <c r="L58" s="20"/>
      <c r="M58" s="20"/>
      <c r="N58" s="49">
        <v>15600.0</v>
      </c>
      <c r="O58" s="22">
        <f>IFERROR(__xludf.DUMMYFUNCTION("IFERROR(
  VLOOKUP(C58,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C58
    ), 
    7, FALSE
  ), 
  """"
)
"),30225.0)</f>
        <v>30225</v>
      </c>
      <c r="P58" s="22">
        <f>IFERROR(__xludf.DUMMYFUNCTION("IF(OR(ISBLANK(Q58), ISBLANK(O58), VALUE(SUBSTITUTE(INDEX(SPLIT(IF(ISBLANK(R58), Q58, R58), "" km""), 0, 1), "" "", """")) - O58 = 0), """", IF(ISBLANK(R58), VALUE(SUBSTITUTE(INDEX(SPLIT(Q58, "" km""), 0, 1), "" "", """")) - O58, VALUE(SUBSTITUTE(INDEX(SPL"&amp;"IT(R58, "" km""), 0, 1), "" "", """")) - O58))"),-14625.0)</f>
        <v>-14625</v>
      </c>
      <c r="Q58" s="23" t="str">
        <f t="shared" si="4"/>
        <v>15 600 Km, 05.01.2023</v>
      </c>
      <c r="R58" s="20"/>
      <c r="S58" s="41">
        <v>200.0</v>
      </c>
      <c r="T58" s="19">
        <v>2.0</v>
      </c>
      <c r="U58" s="17" t="s">
        <v>204</v>
      </c>
      <c r="V58" s="17" t="s">
        <v>205</v>
      </c>
      <c r="W58" s="24" t="str">
        <f t="shared" si="5"/>
        <v>Завершена</v>
      </c>
      <c r="X58" s="13" t="str">
        <f>IFERROR(__xludf.DUMMYFUNCTION("IF(C58 = """", """", IF(REGEXMATCH(C58, ""PCX|NMAX|ADV|CLICK""), ""скутер"", ""мото""))"),"мото")</f>
        <v>мото</v>
      </c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</row>
    <row r="59" hidden="1">
      <c r="A59" s="25" t="s">
        <v>24</v>
      </c>
      <c r="B59" s="25" t="s">
        <v>25</v>
      </c>
      <c r="C59" s="27" t="s">
        <v>132</v>
      </c>
      <c r="D59" s="27" t="s">
        <v>206</v>
      </c>
      <c r="E59" s="43">
        <v>44933.0</v>
      </c>
      <c r="F59" s="39">
        <v>44998.0</v>
      </c>
      <c r="G59" s="30" t="str">
        <f t="shared" si="1"/>
        <v>2 М</v>
      </c>
      <c r="H59" s="31">
        <f>300</f>
        <v>300</v>
      </c>
      <c r="I59" s="32" t="str">
        <f t="shared" si="2"/>
        <v/>
      </c>
      <c r="J59" s="33" t="str">
        <f t="shared" si="3"/>
        <v/>
      </c>
      <c r="K59" s="36">
        <f>8000+7000+4000</f>
        <v>19000</v>
      </c>
      <c r="L59" s="33"/>
      <c r="M59" s="33"/>
      <c r="N59" s="44">
        <v>26300.0</v>
      </c>
      <c r="O59" s="35" t="str">
        <f>IFERROR(__xludf.DUMMYFUNCTION("IFERROR(
  VLOOKUP(C59,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C59
    ), 
    7, FALSE
  ), 
  """"
)
"),"")</f>
        <v/>
      </c>
      <c r="P59" s="35" t="str">
        <f>IFERROR(__xludf.DUMMYFUNCTION("IF(OR(ISBLANK(Q59), ISBLANK(O59), VALUE(SUBSTITUTE(INDEX(SPLIT(IF(ISBLANK(R59), Q59, R59), "" km""), 0, 1), "" "", """")) - O59 = 0), """", IF(ISBLANK(R59), VALUE(SUBSTITUTE(INDEX(SPLIT(Q59, "" km""), 0, 1), "" "", """")) - O59, VALUE(SUBSTITUTE(INDEX(SPL"&amp;"IT(R59, "" km""), 0, 1), "" "", """")) - O59))"),"#VALUE!")</f>
        <v>#VALUE!</v>
      </c>
      <c r="Q59" s="36" t="str">
        <f t="shared" si="4"/>
        <v>залог остался до приезда</v>
      </c>
      <c r="R59" s="36" t="s">
        <v>207</v>
      </c>
      <c r="S59" s="40">
        <v>2732.0</v>
      </c>
      <c r="T59" s="45">
        <v>2.0</v>
      </c>
      <c r="U59" s="46" t="s">
        <v>208</v>
      </c>
      <c r="V59" s="25" t="s">
        <v>209</v>
      </c>
      <c r="W59" s="37" t="str">
        <f t="shared" si="5"/>
        <v>Завершена</v>
      </c>
      <c r="X59" s="25" t="str">
        <f>IFERROR(__xludf.DUMMYFUNCTION("IF(C59 = """", """", IF(REGEXMATCH(C59, ""PCX|NMAX|ADV|CLICK""), ""скутер"", ""мото""))"),"скутер")</f>
        <v>скутер</v>
      </c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</row>
    <row r="60" hidden="1">
      <c r="A60" s="13" t="s">
        <v>24</v>
      </c>
      <c r="B60" s="13" t="s">
        <v>25</v>
      </c>
      <c r="C60" s="14" t="s">
        <v>193</v>
      </c>
      <c r="D60" s="14" t="s">
        <v>210</v>
      </c>
      <c r="E60" s="48">
        <v>44934.0</v>
      </c>
      <c r="F60" s="38">
        <v>44965.0</v>
      </c>
      <c r="G60" s="17" t="str">
        <f t="shared" si="1"/>
        <v>1 М</v>
      </c>
      <c r="H60" s="41">
        <v>600.0</v>
      </c>
      <c r="I60" s="19" t="str">
        <f t="shared" si="2"/>
        <v/>
      </c>
      <c r="J60" s="20" t="str">
        <f t="shared" si="3"/>
        <v/>
      </c>
      <c r="K60" s="23">
        <v>3000.0</v>
      </c>
      <c r="L60" s="23"/>
      <c r="M60" s="23"/>
      <c r="N60" s="49">
        <v>5883.0</v>
      </c>
      <c r="O60" s="22" t="str">
        <f>IFERROR(__xludf.DUMMYFUNCTION("IFERROR(
  VLOOKUP(C60,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C60
    ), 
    7, FALSE
  ), 
  """"
)
"),"")</f>
        <v/>
      </c>
      <c r="P60" s="22">
        <f>IFERROR(__xludf.DUMMYFUNCTION("IF(OR(ISBLANK(Q60), ISBLANK(O60), VALUE(SUBSTITUTE(INDEX(SPLIT(IF(ISBLANK(R60), Q60, R60), "" km""), 0, 1), "" "", """")) - O60 = 0), """", IF(ISBLANK(R60), VALUE(SUBSTITUTE(INDEX(SPLIT(Q60, "" km""), 0, 1), "" "", """")) - O60, VALUE(SUBSTITUTE(INDEX(SPL"&amp;"IT(R60, "" km""), 0, 1), "" "", """")) - O60))"),5883.0)</f>
        <v>5883</v>
      </c>
      <c r="Q60" s="23" t="str">
        <f t="shared" si="4"/>
        <v>5 883 Km, 08.01.2023</v>
      </c>
      <c r="R60" s="20"/>
      <c r="S60" s="41">
        <v>8000.0</v>
      </c>
      <c r="T60" s="50">
        <v>1.0</v>
      </c>
      <c r="U60" s="42" t="s">
        <v>211</v>
      </c>
      <c r="V60" s="13" t="s">
        <v>197</v>
      </c>
      <c r="W60" s="24" t="str">
        <f t="shared" si="5"/>
        <v>Завершена</v>
      </c>
      <c r="X60" s="13" t="str">
        <f>IFERROR(__xludf.DUMMYFUNCTION("IF(C60 = """", """", IF(REGEXMATCH(C60, ""PCX|NMAX|ADV|CLICK""), ""скутер"", ""мото""))"),"мото")</f>
        <v>мото</v>
      </c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</row>
    <row r="61" hidden="1">
      <c r="A61" s="25" t="s">
        <v>24</v>
      </c>
      <c r="B61" s="25" t="s">
        <v>25</v>
      </c>
      <c r="C61" s="27" t="s">
        <v>193</v>
      </c>
      <c r="D61" s="27" t="s">
        <v>133</v>
      </c>
      <c r="E61" s="43">
        <v>44939.0</v>
      </c>
      <c r="F61" s="39">
        <v>44942.0</v>
      </c>
      <c r="G61" s="30" t="str">
        <f t="shared" si="1"/>
        <v>3 Д</v>
      </c>
      <c r="H61" s="40">
        <v>600.0</v>
      </c>
      <c r="I61" s="32" t="str">
        <f t="shared" si="2"/>
        <v/>
      </c>
      <c r="J61" s="33" t="str">
        <f t="shared" si="3"/>
        <v/>
      </c>
      <c r="K61" s="36">
        <v>1800.0</v>
      </c>
      <c r="L61" s="36"/>
      <c r="M61" s="36"/>
      <c r="N61" s="44">
        <v>6000.0</v>
      </c>
      <c r="O61" s="35" t="str">
        <f>IFERROR(__xludf.DUMMYFUNCTION("IFERROR(
  VLOOKUP(C61,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C61
    ), 
    7, FALSE
  ), 
  """"
)
"),"")</f>
        <v/>
      </c>
      <c r="P61" s="35">
        <f>IFERROR(__xludf.DUMMYFUNCTION("IF(OR(ISBLANK(Q61), ISBLANK(O61), VALUE(SUBSTITUTE(INDEX(SPLIT(IF(ISBLANK(R61), Q61, R61), "" km""), 0, 1), "" "", """")) - O61 = 0), """", IF(ISBLANK(R61), VALUE(SUBSTITUTE(INDEX(SPLIT(Q61, "" km""), 0, 1), "" "", """")) - O61, VALUE(SUBSTITUTE(INDEX(SPL"&amp;"IT(R61, "" km""), 0, 1), "" "", """")) - O61))"),6000.0)</f>
        <v>6000</v>
      </c>
      <c r="Q61" s="36" t="str">
        <f t="shared" si="4"/>
        <v>6 000 Km, 13.01.2023</v>
      </c>
      <c r="R61" s="33"/>
      <c r="S61" s="40">
        <v>8000.0</v>
      </c>
      <c r="T61" s="32">
        <v>1.0</v>
      </c>
      <c r="U61" s="46" t="s">
        <v>134</v>
      </c>
      <c r="V61" s="25" t="s">
        <v>135</v>
      </c>
      <c r="W61" s="37" t="str">
        <f t="shared" si="5"/>
        <v>Завершена</v>
      </c>
      <c r="X61" s="25" t="str">
        <f>IFERROR(__xludf.DUMMYFUNCTION("IF(C61 = """", """", IF(REGEXMATCH(C61, ""PCX|NMAX|ADV|CLICK""), ""скутер"", ""мото""))"),"мото")</f>
        <v>мото</v>
      </c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</row>
    <row r="62" hidden="1">
      <c r="A62" s="13" t="s">
        <v>24</v>
      </c>
      <c r="B62" s="13" t="s">
        <v>25</v>
      </c>
      <c r="C62" s="14" t="s">
        <v>166</v>
      </c>
      <c r="D62" s="14" t="s">
        <v>212</v>
      </c>
      <c r="E62" s="48">
        <v>44942.0</v>
      </c>
      <c r="F62" s="38">
        <v>44960.0</v>
      </c>
      <c r="G62" s="17" t="str">
        <f t="shared" si="1"/>
        <v>18 Д</v>
      </c>
      <c r="H62" s="41">
        <v>400.0</v>
      </c>
      <c r="I62" s="19" t="str">
        <f t="shared" si="2"/>
        <v/>
      </c>
      <c r="J62" s="20" t="str">
        <f t="shared" si="3"/>
        <v/>
      </c>
      <c r="K62" s="23">
        <f>2000+1200+800+800+800+800+400+400</f>
        <v>7200</v>
      </c>
      <c r="L62" s="23"/>
      <c r="M62" s="23"/>
      <c r="N62" s="49">
        <v>12617.0</v>
      </c>
      <c r="O62" s="22" t="str">
        <f>IFERROR(__xludf.DUMMYFUNCTION("IFERROR(
  VLOOKUP(C62,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C62
    ), 
    7, FALSE
  ), 
  """"
)
"),"")</f>
        <v/>
      </c>
      <c r="P62" s="22">
        <f>IFERROR(__xludf.DUMMYFUNCTION("IF(OR(ISBLANK(Q62), ISBLANK(O62), VALUE(SUBSTITUTE(INDEX(SPLIT(IF(ISBLANK(R62), Q62, R62), "" km""), 0, 1), "" "", """")) - O62 = 0), """", IF(ISBLANK(R62), VALUE(SUBSTITUTE(INDEX(SPLIT(Q62, "" km""), 0, 1), "" "", """")) - O62, VALUE(SUBSTITUTE(INDEX(SPL"&amp;"IT(R62, "" km""), 0, 1), "" "", """")) - O62))"),12617.0)</f>
        <v>12617</v>
      </c>
      <c r="Q62" s="23" t="str">
        <f t="shared" si="4"/>
        <v>12 617 Km, 16.01.2023</v>
      </c>
      <c r="R62" s="20"/>
      <c r="S62" s="41">
        <v>3000.0</v>
      </c>
      <c r="T62" s="50">
        <v>3.0</v>
      </c>
      <c r="U62" s="42" t="s">
        <v>0</v>
      </c>
      <c r="V62" s="13" t="s">
        <v>213</v>
      </c>
      <c r="W62" s="24" t="str">
        <f t="shared" si="5"/>
        <v>Завершена</v>
      </c>
      <c r="X62" s="13" t="str">
        <f>IFERROR(__xludf.DUMMYFUNCTION("IF(C62 = """", """", IF(REGEXMATCH(C62, ""PCX|NMAX|ADV|CLICK""), ""скутер"", ""мото""))"),"скутер")</f>
        <v>скутер</v>
      </c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</row>
    <row r="63" hidden="1">
      <c r="A63" s="25" t="s">
        <v>24</v>
      </c>
      <c r="B63" s="25" t="s">
        <v>25</v>
      </c>
      <c r="C63" s="27" t="s">
        <v>193</v>
      </c>
      <c r="D63" s="27" t="s">
        <v>214</v>
      </c>
      <c r="E63" s="43">
        <v>44943.0</v>
      </c>
      <c r="F63" s="39">
        <v>44974.0</v>
      </c>
      <c r="G63" s="30" t="str">
        <f t="shared" si="1"/>
        <v>1 М</v>
      </c>
      <c r="H63" s="40">
        <v>400.0</v>
      </c>
      <c r="I63" s="32" t="str">
        <f t="shared" si="2"/>
        <v/>
      </c>
      <c r="J63" s="33" t="str">
        <f t="shared" si="3"/>
        <v/>
      </c>
      <c r="K63" s="36">
        <v>12000.0</v>
      </c>
      <c r="L63" s="36"/>
      <c r="M63" s="36"/>
      <c r="N63" s="44">
        <v>6200.0</v>
      </c>
      <c r="O63" s="35" t="str">
        <f>IFERROR(__xludf.DUMMYFUNCTION("IFERROR(
  VLOOKUP(C63,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C63
    ), 
    7, FALSE
  ), 
  """"
)
"),"")</f>
        <v/>
      </c>
      <c r="P63" s="35">
        <f>IFERROR(__xludf.DUMMYFUNCTION("IF(OR(ISBLANK(Q63), ISBLANK(O63), VALUE(SUBSTITUTE(INDEX(SPLIT(IF(ISBLANK(R63), Q63, R63), "" km""), 0, 1), "" "", """")) - O63 = 0), """", IF(ISBLANK(R63), VALUE(SUBSTITUTE(INDEX(SPLIT(Q63, "" km""), 0, 1), "" "", """")) - O63, VALUE(SUBSTITUTE(INDEX(SPL"&amp;"IT(R63, "" km""), 0, 1), "" "", """")) - O63))"),6200.0)</f>
        <v>6200</v>
      </c>
      <c r="Q63" s="36" t="str">
        <f t="shared" si="4"/>
        <v>6 200 Km, 17.01.2023</v>
      </c>
      <c r="R63" s="33"/>
      <c r="S63" s="40">
        <v>300.0</v>
      </c>
      <c r="T63" s="45">
        <v>2.0</v>
      </c>
      <c r="U63" s="46" t="s">
        <v>0</v>
      </c>
      <c r="V63" s="25" t="s">
        <v>215</v>
      </c>
      <c r="W63" s="37" t="str">
        <f t="shared" si="5"/>
        <v>Завершена</v>
      </c>
      <c r="X63" s="25" t="str">
        <f>IFERROR(__xludf.DUMMYFUNCTION("IF(C63 = """", """", IF(REGEXMATCH(C63, ""PCX|NMAX|ADV|CLICK""), ""скутер"", ""мото""))"),"мото")</f>
        <v>мото</v>
      </c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</row>
    <row r="64" hidden="1">
      <c r="A64" s="13" t="s">
        <v>24</v>
      </c>
      <c r="B64" s="13" t="s">
        <v>25</v>
      </c>
      <c r="C64" s="14" t="s">
        <v>216</v>
      </c>
      <c r="D64" s="14" t="s">
        <v>187</v>
      </c>
      <c r="E64" s="48">
        <v>44945.0</v>
      </c>
      <c r="F64" s="38">
        <v>44947.0</v>
      </c>
      <c r="G64" s="17" t="str">
        <f t="shared" si="1"/>
        <v>2 Д</v>
      </c>
      <c r="H64" s="41">
        <v>400.0</v>
      </c>
      <c r="I64" s="19" t="str">
        <f t="shared" si="2"/>
        <v/>
      </c>
      <c r="J64" s="20" t="str">
        <f t="shared" si="3"/>
        <v/>
      </c>
      <c r="K64" s="23">
        <v>800.0</v>
      </c>
      <c r="L64" s="23"/>
      <c r="M64" s="23"/>
      <c r="N64" s="49">
        <v>18155.0</v>
      </c>
      <c r="O64" s="22" t="str">
        <f>IFERROR(__xludf.DUMMYFUNCTION("IFERROR(
  VLOOKUP(C64,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C64
    ), 
    7, FALSE
  ), 
  """"
)
"),"")</f>
        <v/>
      </c>
      <c r="P64" s="22">
        <f>IFERROR(__xludf.DUMMYFUNCTION("IF(OR(ISBLANK(Q64), ISBLANK(O64), VALUE(SUBSTITUTE(INDEX(SPLIT(IF(ISBLANK(R64), Q64, R64), "" km""), 0, 1), "" "", """")) - O64 = 0), """", IF(ISBLANK(R64), VALUE(SUBSTITUTE(INDEX(SPLIT(Q64, "" km""), 0, 1), "" "", """")) - O64, VALUE(SUBSTITUTE(INDEX(SPL"&amp;"IT(R64, "" km""), 0, 1), "" "", """")) - O64))"),18155.0)</f>
        <v>18155</v>
      </c>
      <c r="Q64" s="23" t="str">
        <f t="shared" si="4"/>
        <v>18 155 Km, 19.01.2023</v>
      </c>
      <c r="R64" s="20"/>
      <c r="S64" s="18">
        <v>3000.0</v>
      </c>
      <c r="T64" s="50">
        <v>2.0</v>
      </c>
      <c r="U64" s="42" t="s">
        <v>188</v>
      </c>
      <c r="V64" s="13" t="s">
        <v>189</v>
      </c>
      <c r="W64" s="24" t="str">
        <f t="shared" si="5"/>
        <v>Завершена</v>
      </c>
      <c r="X64" s="13" t="str">
        <f>IFERROR(__xludf.DUMMYFUNCTION("IF(C64 = """", """", IF(REGEXMATCH(C64, ""PCX|NMAX|ADV|CLICK""), ""скутер"", ""мото""))"),"скутер")</f>
        <v>скутер</v>
      </c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</row>
    <row r="65" hidden="1">
      <c r="A65" s="25" t="s">
        <v>24</v>
      </c>
      <c r="B65" s="25" t="s">
        <v>25</v>
      </c>
      <c r="C65" s="27" t="s">
        <v>216</v>
      </c>
      <c r="D65" s="27" t="s">
        <v>217</v>
      </c>
      <c r="E65" s="43">
        <v>44949.0</v>
      </c>
      <c r="F65" s="39">
        <v>45040.0</v>
      </c>
      <c r="G65" s="30" t="str">
        <f t="shared" si="1"/>
        <v>3 М</v>
      </c>
      <c r="H65" s="40">
        <f>8000/30</f>
        <v>266.6666667</v>
      </c>
      <c r="I65" s="32" t="str">
        <f t="shared" si="2"/>
        <v/>
      </c>
      <c r="J65" s="33" t="str">
        <f t="shared" si="3"/>
        <v/>
      </c>
      <c r="K65" s="36">
        <f>8500+8500+8000</f>
        <v>25000</v>
      </c>
      <c r="L65" s="36"/>
      <c r="M65" s="36"/>
      <c r="N65" s="44">
        <v>18327.0</v>
      </c>
      <c r="O65" s="35" t="str">
        <f>IFERROR(__xludf.DUMMYFUNCTION("IFERROR(
  VLOOKUP(C65,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C65
    ), 
    7, FALSE
  ), 
  """"
)
"),"")</f>
        <v/>
      </c>
      <c r="P65" s="35">
        <f>IFERROR(__xludf.DUMMYFUNCTION("IF(OR(ISBLANK(Q65), ISBLANK(O65), VALUE(SUBSTITUTE(INDEX(SPLIT(IF(ISBLANK(R65), Q65, R65), "" km""), 0, 1), "" "", """")) - O65 = 0), """", IF(ISBLANK(R65), VALUE(SUBSTITUTE(INDEX(SPLIT(Q65, "" km""), 0, 1), "" "", """")) - O65, VALUE(SUBSTITUTE(INDEX(SPL"&amp;"IT(R65, "" km""), 0, 1), "" "", """")) - O65))"),18327.0)</f>
        <v>18327</v>
      </c>
      <c r="Q65" s="36" t="str">
        <f t="shared" si="4"/>
        <v>18 327 Km, 23.01.2023</v>
      </c>
      <c r="R65" s="36"/>
      <c r="S65" s="31">
        <v>3000.0</v>
      </c>
      <c r="T65" s="45">
        <v>0.0</v>
      </c>
      <c r="U65" s="46" t="s">
        <v>0</v>
      </c>
      <c r="V65" s="25" t="s">
        <v>218</v>
      </c>
      <c r="W65" s="37" t="str">
        <f t="shared" si="5"/>
        <v>Завершена</v>
      </c>
      <c r="X65" s="25" t="str">
        <f>IFERROR(__xludf.DUMMYFUNCTION("IF(C65 = """", """", IF(REGEXMATCH(C65, ""PCX|NMAX|ADV|CLICK""), ""скутер"", ""мото""))"),"скутер")</f>
        <v>скутер</v>
      </c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</row>
    <row r="66" hidden="1">
      <c r="A66" s="13" t="s">
        <v>24</v>
      </c>
      <c r="B66" s="13" t="s">
        <v>25</v>
      </c>
      <c r="C66" s="14" t="s">
        <v>64</v>
      </c>
      <c r="D66" s="14" t="s">
        <v>219</v>
      </c>
      <c r="E66" s="48">
        <v>44950.0</v>
      </c>
      <c r="F66" s="38">
        <v>44958.0</v>
      </c>
      <c r="G66" s="17" t="str">
        <f t="shared" si="1"/>
        <v>8 Д</v>
      </c>
      <c r="H66" s="41">
        <v>800.0</v>
      </c>
      <c r="I66" s="19" t="str">
        <f t="shared" si="2"/>
        <v/>
      </c>
      <c r="J66" s="20" t="str">
        <f t="shared" si="3"/>
        <v/>
      </c>
      <c r="K66" s="23">
        <v>4000.0</v>
      </c>
      <c r="L66" s="23"/>
      <c r="M66" s="23"/>
      <c r="N66" s="49">
        <v>12459.0</v>
      </c>
      <c r="O66" s="22">
        <f>IFERROR(__xludf.DUMMYFUNCTION("IFERROR(
  VLOOKUP(C66,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C66
    ), 
    7, FALSE
  ), 
  """"
)
"),32600.0)</f>
        <v>32600</v>
      </c>
      <c r="P66" s="22">
        <f>IFERROR(__xludf.DUMMYFUNCTION("IF(OR(ISBLANK(Q66), ISBLANK(O66), VALUE(SUBSTITUTE(INDEX(SPLIT(IF(ISBLANK(R66), Q66, R66), "" km""), 0, 1), "" "", """")) - O66 = 0), """", IF(ISBLANK(R66), VALUE(SUBSTITUTE(INDEX(SPLIT(Q66, "" km""), 0, 1), "" "", """")) - O66, VALUE(SUBSTITUTE(INDEX(SPL"&amp;"IT(R66, "" km""), 0, 1), "" "", """")) - O66))"),-20141.0)</f>
        <v>-20141</v>
      </c>
      <c r="Q66" s="23" t="str">
        <f t="shared" si="4"/>
        <v>12 459 Km, 24.01.2023</v>
      </c>
      <c r="R66" s="20"/>
      <c r="S66" s="41">
        <v>200.0</v>
      </c>
      <c r="T66" s="50">
        <v>2.0</v>
      </c>
      <c r="U66" s="42" t="s">
        <v>220</v>
      </c>
      <c r="V66" s="13" t="s">
        <v>221</v>
      </c>
      <c r="W66" s="24" t="str">
        <f t="shared" si="5"/>
        <v>Завершена</v>
      </c>
      <c r="X66" s="13" t="str">
        <f>IFERROR(__xludf.DUMMYFUNCTION("IF(C66 = """", """", IF(REGEXMATCH(C66, ""PCX|NMAX|ADV|CLICK""), ""скутер"", ""мото""))"),"мото")</f>
        <v>мото</v>
      </c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</row>
    <row r="67" hidden="1">
      <c r="A67" s="25" t="s">
        <v>24</v>
      </c>
      <c r="B67" s="25" t="s">
        <v>25</v>
      </c>
      <c r="C67" s="27" t="s">
        <v>60</v>
      </c>
      <c r="D67" s="27" t="s">
        <v>222</v>
      </c>
      <c r="E67" s="43">
        <v>44950.0</v>
      </c>
      <c r="F67" s="39">
        <v>44964.0</v>
      </c>
      <c r="G67" s="30" t="str">
        <f t="shared" si="1"/>
        <v>14 Д</v>
      </c>
      <c r="H67" s="40">
        <v>700.0</v>
      </c>
      <c r="I67" s="32" t="str">
        <f t="shared" si="2"/>
        <v/>
      </c>
      <c r="J67" s="33" t="str">
        <f t="shared" si="3"/>
        <v/>
      </c>
      <c r="K67" s="36">
        <f>14*700</f>
        <v>9800</v>
      </c>
      <c r="L67" s="36"/>
      <c r="M67" s="36"/>
      <c r="N67" s="44">
        <v>22000.0</v>
      </c>
      <c r="O67" s="35" t="str">
        <f>IFERROR(__xludf.DUMMYFUNCTION("IFERROR(
  VLOOKUP(C67,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C67
    ), 
    7, FALSE
  ), 
  """"
)
"),"")</f>
        <v/>
      </c>
      <c r="P67" s="35">
        <f>IFERROR(__xludf.DUMMYFUNCTION("IF(OR(ISBLANK(Q67), ISBLANK(O67), VALUE(SUBSTITUTE(INDEX(SPLIT(IF(ISBLANK(R67), Q67, R67), "" km""), 0, 1), "" "", """")) - O67 = 0), """", IF(ISBLANK(R67), VALUE(SUBSTITUTE(INDEX(SPLIT(Q67, "" km""), 0, 1), "" "", """")) - O67, VALUE(SUBSTITUTE(INDEX(SPL"&amp;"IT(R67, "" km""), 0, 1), "" "", """")) - O67))"),22000.0)</f>
        <v>22000</v>
      </c>
      <c r="Q67" s="36" t="str">
        <f t="shared" si="4"/>
        <v>22 000 Km, 24.01.2023</v>
      </c>
      <c r="R67" s="33"/>
      <c r="S67" s="40">
        <v>5000.0</v>
      </c>
      <c r="T67" s="45">
        <v>2.0</v>
      </c>
      <c r="U67" s="46" t="s">
        <v>223</v>
      </c>
      <c r="V67" s="25" t="s">
        <v>224</v>
      </c>
      <c r="W67" s="37" t="str">
        <f t="shared" si="5"/>
        <v>Завершена</v>
      </c>
      <c r="X67" s="25" t="str">
        <f>IFERROR(__xludf.DUMMYFUNCTION("IF(C67 = """", """", IF(REGEXMATCH(C67, ""PCX|NMAX|ADV|CLICK""), ""скутер"", ""мото""))"),"мото")</f>
        <v>мото</v>
      </c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</row>
    <row r="68" hidden="1">
      <c r="A68" s="13" t="s">
        <v>24</v>
      </c>
      <c r="B68" s="13" t="s">
        <v>25</v>
      </c>
      <c r="C68" s="14" t="s">
        <v>185</v>
      </c>
      <c r="D68" s="14" t="s">
        <v>225</v>
      </c>
      <c r="E68" s="48">
        <v>44954.0</v>
      </c>
      <c r="F68" s="38">
        <v>44964.0</v>
      </c>
      <c r="G68" s="17" t="str">
        <f t="shared" si="1"/>
        <v>10 Д</v>
      </c>
      <c r="H68" s="41">
        <v>450.0</v>
      </c>
      <c r="I68" s="19" t="str">
        <f t="shared" si="2"/>
        <v/>
      </c>
      <c r="J68" s="20" t="str">
        <f t="shared" si="3"/>
        <v/>
      </c>
      <c r="K68" s="23">
        <v>4500.0</v>
      </c>
      <c r="L68" s="23"/>
      <c r="M68" s="23"/>
      <c r="N68" s="49">
        <v>19950.0</v>
      </c>
      <c r="O68" s="22" t="str">
        <f>IFERROR(__xludf.DUMMYFUNCTION("IFERROR(
  VLOOKUP(C68,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C68
    ), 
    7, FALSE
  ), 
  """"
)
"),"")</f>
        <v/>
      </c>
      <c r="P68" s="22">
        <f>IFERROR(__xludf.DUMMYFUNCTION("IF(OR(ISBLANK(Q68), ISBLANK(O68), VALUE(SUBSTITUTE(INDEX(SPLIT(IF(ISBLANK(R68), Q68, R68), "" km""), 0, 1), "" "", """")) - O68 = 0), """", IF(ISBLANK(R68), VALUE(SUBSTITUTE(INDEX(SPLIT(Q68, "" km""), 0, 1), "" "", """")) - O68, VALUE(SUBSTITUTE(INDEX(SPL"&amp;"IT(R68, "" km""), 0, 1), "" "", """")) - O68))"),19950.0)</f>
        <v>19950</v>
      </c>
      <c r="Q68" s="23" t="str">
        <f t="shared" si="4"/>
        <v>19 950 Km, 28.01.2023</v>
      </c>
      <c r="R68" s="20"/>
      <c r="S68" s="18">
        <v>100.0</v>
      </c>
      <c r="T68" s="50">
        <v>2.0</v>
      </c>
      <c r="U68" s="42" t="s">
        <v>226</v>
      </c>
      <c r="V68" s="13" t="s">
        <v>227</v>
      </c>
      <c r="W68" s="24" t="str">
        <f t="shared" si="5"/>
        <v>Завершена</v>
      </c>
      <c r="X68" s="13" t="str">
        <f>IFERROR(__xludf.DUMMYFUNCTION("IF(C68 = """", """", IF(REGEXMATCH(C68, ""PCX|NMAX|ADV|CLICK""), ""скутер"", ""мото""))"),"скутер")</f>
        <v>скутер</v>
      </c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</row>
    <row r="69" hidden="1">
      <c r="A69" s="25" t="s">
        <v>24</v>
      </c>
      <c r="B69" s="25" t="s">
        <v>25</v>
      </c>
      <c r="C69" s="27" t="s">
        <v>64</v>
      </c>
      <c r="D69" s="27" t="s">
        <v>228</v>
      </c>
      <c r="E69" s="43">
        <v>44958.0</v>
      </c>
      <c r="F69" s="39">
        <v>44985.0</v>
      </c>
      <c r="G69" s="30" t="str">
        <f t="shared" si="1"/>
        <v>27 Д</v>
      </c>
      <c r="H69" s="40">
        <f>16000/28</f>
        <v>571.4285714</v>
      </c>
      <c r="I69" s="32" t="str">
        <f t="shared" si="2"/>
        <v/>
      </c>
      <c r="J69" s="33" t="str">
        <f t="shared" si="3"/>
        <v/>
      </c>
      <c r="K69" s="36">
        <v>16000.0</v>
      </c>
      <c r="L69" s="36"/>
      <c r="M69" s="36"/>
      <c r="N69" s="44">
        <v>12600.0</v>
      </c>
      <c r="O69" s="35">
        <f>IFERROR(__xludf.DUMMYFUNCTION("IFERROR(
  VLOOKUP(C69,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C69
    ), 
    7, FALSE
  ), 
  """"
)
"),32600.0)</f>
        <v>32600</v>
      </c>
      <c r="P69" s="35">
        <f>IFERROR(__xludf.DUMMYFUNCTION("IF(OR(ISBLANK(Q69), ISBLANK(O69), VALUE(SUBSTITUTE(INDEX(SPLIT(IF(ISBLANK(R69), Q69, R69), "" km""), 0, 1), "" "", """")) - O69 = 0), """", IF(ISBLANK(R69), VALUE(SUBSTITUTE(INDEX(SPLIT(Q69, "" km""), 0, 1), "" "", """")) - O69, VALUE(SUBSTITUTE(INDEX(SPL"&amp;"IT(R69, "" km""), 0, 1), "" "", """")) - O69))"),-20000.0)</f>
        <v>-20000</v>
      </c>
      <c r="Q69" s="36" t="str">
        <f t="shared" si="4"/>
        <v>12 600 Km, 01.02.2023</v>
      </c>
      <c r="R69" s="33"/>
      <c r="S69" s="40">
        <v>5000.0</v>
      </c>
      <c r="T69" s="45">
        <v>2.0</v>
      </c>
      <c r="U69" s="46" t="s">
        <v>229</v>
      </c>
      <c r="V69" s="25" t="s">
        <v>230</v>
      </c>
      <c r="W69" s="37" t="str">
        <f t="shared" si="5"/>
        <v>Завершена</v>
      </c>
      <c r="X69" s="25" t="str">
        <f>IFERROR(__xludf.DUMMYFUNCTION("IF(C69 = """", """", IF(REGEXMATCH(C69, ""PCX|NMAX|ADV|CLICK""), ""скутер"", ""мото""))"),"мото")</f>
        <v>мото</v>
      </c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</row>
    <row r="70" hidden="1">
      <c r="A70" s="13" t="s">
        <v>24</v>
      </c>
      <c r="B70" s="13" t="s">
        <v>25</v>
      </c>
      <c r="C70" s="14" t="s">
        <v>102</v>
      </c>
      <c r="D70" s="14" t="s">
        <v>231</v>
      </c>
      <c r="E70" s="48">
        <v>44960.0</v>
      </c>
      <c r="F70" s="38">
        <v>44963.0</v>
      </c>
      <c r="G70" s="17" t="str">
        <f t="shared" si="1"/>
        <v>3 Д</v>
      </c>
      <c r="H70" s="41">
        <v>2000.0</v>
      </c>
      <c r="I70" s="19" t="str">
        <f t="shared" si="2"/>
        <v/>
      </c>
      <c r="J70" s="20" t="str">
        <f t="shared" si="3"/>
        <v/>
      </c>
      <c r="K70" s="23">
        <v>6000.0</v>
      </c>
      <c r="L70" s="23"/>
      <c r="M70" s="23"/>
      <c r="N70" s="49">
        <v>29763.0</v>
      </c>
      <c r="O70" s="22">
        <f>IFERROR(__xludf.DUMMYFUNCTION("IFERROR(
  VLOOKUP(C70,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C70
    ), 
    7, FALSE
  ), 
  """"
)
"),63700.0)</f>
        <v>63700</v>
      </c>
      <c r="P70" s="22">
        <f>IFERROR(__xludf.DUMMYFUNCTION("IF(OR(ISBLANK(Q70), ISBLANK(O70), VALUE(SUBSTITUTE(INDEX(SPLIT(IF(ISBLANK(R70), Q70, R70), "" km""), 0, 1), "" "", """")) - O70 = 0), """", IF(ISBLANK(R70), VALUE(SUBSTITUTE(INDEX(SPLIT(Q70, "" km""), 0, 1), "" "", """")) - O70, VALUE(SUBSTITUTE(INDEX(SPL"&amp;"IT(R70, "" km""), 0, 1), "" "", """")) - O70))"),-33937.0)</f>
        <v>-33937</v>
      </c>
      <c r="Q70" s="23" t="str">
        <f t="shared" si="4"/>
        <v>29 763 Km, 03.02.2023</v>
      </c>
      <c r="R70" s="20"/>
      <c r="S70" s="41">
        <v>20000.0</v>
      </c>
      <c r="T70" s="50">
        <v>2.0</v>
      </c>
      <c r="U70" s="42" t="s">
        <v>232</v>
      </c>
      <c r="V70" s="13" t="s">
        <v>233</v>
      </c>
      <c r="W70" s="24" t="str">
        <f t="shared" si="5"/>
        <v>Завершена</v>
      </c>
      <c r="X70" s="13" t="str">
        <f>IFERROR(__xludf.DUMMYFUNCTION("IF(C70 = """", """", IF(REGEXMATCH(C70, ""PCX|NMAX|ADV|CLICK""), ""скутер"", ""мото""))"),"мото")</f>
        <v>мото</v>
      </c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</row>
    <row r="71" hidden="1">
      <c r="A71" s="25" t="s">
        <v>24</v>
      </c>
      <c r="B71" s="25" t="s">
        <v>25</v>
      </c>
      <c r="C71" s="27" t="s">
        <v>198</v>
      </c>
      <c r="D71" s="27" t="s">
        <v>234</v>
      </c>
      <c r="E71" s="43">
        <v>44960.0</v>
      </c>
      <c r="F71" s="39">
        <v>44972.0</v>
      </c>
      <c r="G71" s="30" t="str">
        <f t="shared" si="1"/>
        <v>12 Д</v>
      </c>
      <c r="H71" s="40">
        <v>700.0</v>
      </c>
      <c r="I71" s="32" t="str">
        <f t="shared" si="2"/>
        <v/>
      </c>
      <c r="J71" s="33" t="str">
        <f t="shared" si="3"/>
        <v/>
      </c>
      <c r="K71" s="36">
        <f>5600+3000</f>
        <v>8600</v>
      </c>
      <c r="L71" s="36"/>
      <c r="M71" s="36"/>
      <c r="N71" s="44">
        <v>12000.0</v>
      </c>
      <c r="O71" s="35" t="str">
        <f>IFERROR(__xludf.DUMMYFUNCTION("IFERROR(
  VLOOKUP(C71,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C71
    ), 
    7, FALSE
  ), 
  """"
)
"),"")</f>
        <v/>
      </c>
      <c r="P71" s="35">
        <f>IFERROR(__xludf.DUMMYFUNCTION("IF(OR(ISBLANK(Q71), ISBLANK(O71), VALUE(SUBSTITUTE(INDEX(SPLIT(IF(ISBLANK(R71), Q71, R71), "" km""), 0, 1), "" "", """")) - O71 = 0), """", IF(ISBLANK(R71), VALUE(SUBSTITUTE(INDEX(SPLIT(Q71, "" km""), 0, 1), "" "", """")) - O71, VALUE(SUBSTITUTE(INDEX(SPL"&amp;"IT(R71, "" km""), 0, 1), "" "", """")) - O71))"),12000.0)</f>
        <v>12000</v>
      </c>
      <c r="Q71" s="36" t="str">
        <f t="shared" si="4"/>
        <v>12 000 Km, 03.02.2023</v>
      </c>
      <c r="R71" s="33"/>
      <c r="S71" s="40">
        <v>5000.0</v>
      </c>
      <c r="T71" s="45" t="s">
        <v>235</v>
      </c>
      <c r="U71" s="46" t="s">
        <v>236</v>
      </c>
      <c r="V71" s="25" t="s">
        <v>237</v>
      </c>
      <c r="W71" s="37" t="str">
        <f t="shared" si="5"/>
        <v>Завершена</v>
      </c>
      <c r="X71" s="25" t="str">
        <f>IFERROR(__xludf.DUMMYFUNCTION("IF(C71 = """", """", IF(REGEXMATCH(C71, ""PCX|NMAX|ADV|CLICK""), ""скутер"", ""мото""))"),"мото")</f>
        <v>мото</v>
      </c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</row>
    <row r="72" hidden="1">
      <c r="A72" s="13" t="s">
        <v>24</v>
      </c>
      <c r="B72" s="13" t="s">
        <v>25</v>
      </c>
      <c r="C72" s="14" t="s">
        <v>92</v>
      </c>
      <c r="D72" s="14" t="s">
        <v>238</v>
      </c>
      <c r="E72" s="48">
        <v>44962.0</v>
      </c>
      <c r="F72" s="38">
        <v>44969.0</v>
      </c>
      <c r="G72" s="17" t="str">
        <f t="shared" si="1"/>
        <v>7 Д</v>
      </c>
      <c r="H72" s="41">
        <v>800.0</v>
      </c>
      <c r="I72" s="19" t="str">
        <f t="shared" si="2"/>
        <v/>
      </c>
      <c r="J72" s="20" t="str">
        <f t="shared" si="3"/>
        <v/>
      </c>
      <c r="K72" s="23">
        <v>6000.0</v>
      </c>
      <c r="L72" s="23"/>
      <c r="M72" s="23"/>
      <c r="N72" s="49">
        <v>30400.0</v>
      </c>
      <c r="O72" s="22">
        <f>IFERROR(__xludf.DUMMYFUNCTION("IFERROR(
  VLOOKUP(C72,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C72
    ), 
    7, FALSE
  ), 
  """"
)
"),23500.0)</f>
        <v>23500</v>
      </c>
      <c r="P72" s="22">
        <f>IFERROR(__xludf.DUMMYFUNCTION("IF(OR(ISBLANK(Q72), ISBLANK(O72), VALUE(SUBSTITUTE(INDEX(SPLIT(IF(ISBLANK(R72), Q72, R72), "" km""), 0, 1), "" "", """")) - O72 = 0), """", IF(ISBLANK(R72), VALUE(SUBSTITUTE(INDEX(SPLIT(Q72, "" km""), 0, 1), "" "", """")) - O72, VALUE(SUBSTITUTE(INDEX(SPL"&amp;"IT(R72, "" km""), 0, 1), "" "", """")) - O72))"),6900.0)</f>
        <v>6900</v>
      </c>
      <c r="Q72" s="23" t="str">
        <f t="shared" si="4"/>
        <v>30 400 Km, 05.02.2023</v>
      </c>
      <c r="R72" s="20"/>
      <c r="S72" s="41">
        <v>5000.0</v>
      </c>
      <c r="T72" s="50">
        <v>2.0</v>
      </c>
      <c r="U72" s="42" t="s">
        <v>239</v>
      </c>
      <c r="V72" s="13" t="s">
        <v>240</v>
      </c>
      <c r="W72" s="24" t="str">
        <f t="shared" si="5"/>
        <v>Завершена</v>
      </c>
      <c r="X72" s="13" t="str">
        <f>IFERROR(__xludf.DUMMYFUNCTION("IF(C72 = """", """", IF(REGEXMATCH(C72, ""PCX|NMAX|ADV|CLICK""), ""скутер"", ""мото""))"),"мото")</f>
        <v>мото</v>
      </c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</row>
    <row r="73" hidden="1">
      <c r="A73" s="25" t="s">
        <v>24</v>
      </c>
      <c r="B73" s="25" t="s">
        <v>25</v>
      </c>
      <c r="C73" s="27" t="s">
        <v>202</v>
      </c>
      <c r="D73" s="27" t="s">
        <v>241</v>
      </c>
      <c r="E73" s="43">
        <v>44962.0</v>
      </c>
      <c r="F73" s="39">
        <v>44978.0</v>
      </c>
      <c r="G73" s="30" t="str">
        <f t="shared" si="1"/>
        <v>16 Д</v>
      </c>
      <c r="H73" s="40">
        <v>600.0</v>
      </c>
      <c r="I73" s="32" t="str">
        <f t="shared" si="2"/>
        <v/>
      </c>
      <c r="J73" s="33" t="str">
        <f t="shared" si="3"/>
        <v/>
      </c>
      <c r="K73" s="36">
        <v>10200.0</v>
      </c>
      <c r="L73" s="36"/>
      <c r="M73" s="36"/>
      <c r="N73" s="44">
        <v>16000.0</v>
      </c>
      <c r="O73" s="35">
        <f>IFERROR(__xludf.DUMMYFUNCTION("IFERROR(
  VLOOKUP(C73,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C73
    ), 
    7, FALSE
  ), 
  """"
)
"),30225.0)</f>
        <v>30225</v>
      </c>
      <c r="P73" s="35">
        <f>IFERROR(__xludf.DUMMYFUNCTION("IF(OR(ISBLANK(Q73), ISBLANK(O73), VALUE(SUBSTITUTE(INDEX(SPLIT(IF(ISBLANK(R73), Q73, R73), "" km""), 0, 1), "" "", """")) - O73 = 0), """", IF(ISBLANK(R73), VALUE(SUBSTITUTE(INDEX(SPLIT(Q73, "" km""), 0, 1), "" "", """")) - O73, VALUE(SUBSTITUTE(INDEX(SPL"&amp;"IT(R73, "" km""), 0, 1), "" "", """")) - O73))"),-14225.0)</f>
        <v>-14225</v>
      </c>
      <c r="Q73" s="36" t="str">
        <f t="shared" si="4"/>
        <v>16 000 Km, 05.02.2023</v>
      </c>
      <c r="R73" s="33"/>
      <c r="S73" s="40">
        <v>5000.0</v>
      </c>
      <c r="T73" s="45">
        <v>2.0</v>
      </c>
      <c r="U73" s="46" t="s">
        <v>0</v>
      </c>
      <c r="V73" s="25" t="s">
        <v>242</v>
      </c>
      <c r="W73" s="37" t="str">
        <f t="shared" si="5"/>
        <v>Завершена</v>
      </c>
      <c r="X73" s="25" t="str">
        <f>IFERROR(__xludf.DUMMYFUNCTION("IF(C73 = """", """", IF(REGEXMATCH(C73, ""PCX|NMAX|ADV|CLICK""), ""скутер"", ""мото""))"),"мото")</f>
        <v>мото</v>
      </c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</row>
    <row r="74" hidden="1">
      <c r="A74" s="13" t="s">
        <v>24</v>
      </c>
      <c r="B74" s="13" t="s">
        <v>25</v>
      </c>
      <c r="C74" s="14" t="s">
        <v>166</v>
      </c>
      <c r="D74" s="14" t="s">
        <v>231</v>
      </c>
      <c r="E74" s="48">
        <v>44963.0</v>
      </c>
      <c r="F74" s="38">
        <v>45022.0</v>
      </c>
      <c r="G74" s="17" t="str">
        <f t="shared" si="1"/>
        <v>2 М</v>
      </c>
      <c r="H74" s="41">
        <v>271.0</v>
      </c>
      <c r="I74" s="19" t="str">
        <f t="shared" si="2"/>
        <v/>
      </c>
      <c r="J74" s="20" t="str">
        <f t="shared" si="3"/>
        <v/>
      </c>
      <c r="K74" s="23">
        <f>8500+7500</f>
        <v>16000</v>
      </c>
      <c r="L74" s="23"/>
      <c r="M74" s="23"/>
      <c r="N74" s="49">
        <v>13361.0</v>
      </c>
      <c r="O74" s="22" t="str">
        <f>IFERROR(__xludf.DUMMYFUNCTION("IFERROR(
  VLOOKUP(C74,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C74
    ), 
    7, FALSE
  ), 
  """"
)
"),"")</f>
        <v/>
      </c>
      <c r="P74" s="22">
        <f>IFERROR(__xludf.DUMMYFUNCTION("IF(OR(ISBLANK(Q74), ISBLANK(O74), VALUE(SUBSTITUTE(INDEX(SPLIT(IF(ISBLANK(R74), Q74, R74), "" km""), 0, 1), "" "", """")) - O74 = 0), """", IF(ISBLANK(R74), VALUE(SUBSTITUTE(INDEX(SPLIT(Q74, "" km""), 0, 1), "" "", """")) - O74, VALUE(SUBSTITUTE(INDEX(SPL"&amp;"IT(R74, "" km""), 0, 1), "" "", """")) - O74))"),13361.0)</f>
        <v>13361</v>
      </c>
      <c r="Q74" s="23" t="str">
        <f t="shared" si="4"/>
        <v>13 361 Km, 06.02.2023</v>
      </c>
      <c r="R74" s="20"/>
      <c r="S74" s="41">
        <v>3000.0</v>
      </c>
      <c r="T74" s="19">
        <v>2.0</v>
      </c>
      <c r="U74" s="17" t="s">
        <v>232</v>
      </c>
      <c r="V74" s="17" t="s">
        <v>233</v>
      </c>
      <c r="W74" s="24" t="str">
        <f t="shared" si="5"/>
        <v>Завершена</v>
      </c>
      <c r="X74" s="13" t="str">
        <f>IFERROR(__xludf.DUMMYFUNCTION("IF(C74 = """", """", IF(REGEXMATCH(C74, ""PCX|NMAX|ADV|CLICK""), ""скутер"", ""мото""))"),"скутер")</f>
        <v>скутер</v>
      </c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</row>
    <row r="75" hidden="1">
      <c r="A75" s="25" t="s">
        <v>24</v>
      </c>
      <c r="B75" s="25" t="s">
        <v>25</v>
      </c>
      <c r="C75" s="27" t="s">
        <v>102</v>
      </c>
      <c r="D75" s="27" t="s">
        <v>243</v>
      </c>
      <c r="E75" s="43">
        <v>44965.0</v>
      </c>
      <c r="F75" s="39">
        <v>44971.0</v>
      </c>
      <c r="G75" s="30" t="str">
        <f t="shared" si="1"/>
        <v>6 Д</v>
      </c>
      <c r="H75" s="40">
        <v>2000.0</v>
      </c>
      <c r="I75" s="32" t="str">
        <f t="shared" si="2"/>
        <v/>
      </c>
      <c r="J75" s="33" t="str">
        <f t="shared" si="3"/>
        <v/>
      </c>
      <c r="K75" s="36">
        <v>12000.0</v>
      </c>
      <c r="L75" s="36"/>
      <c r="M75" s="36"/>
      <c r="N75" s="44">
        <v>30400.0</v>
      </c>
      <c r="O75" s="35">
        <f>IFERROR(__xludf.DUMMYFUNCTION("IFERROR(
  VLOOKUP(C75,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C75
    ), 
    7, FALSE
  ), 
  """"
)
"),63700.0)</f>
        <v>63700</v>
      </c>
      <c r="P75" s="35">
        <f>IFERROR(__xludf.DUMMYFUNCTION("IF(OR(ISBLANK(Q75), ISBLANK(O75), VALUE(SUBSTITUTE(INDEX(SPLIT(IF(ISBLANK(R75), Q75, R75), "" km""), 0, 1), "" "", """")) - O75 = 0), """", IF(ISBLANK(R75), VALUE(SUBSTITUTE(INDEX(SPLIT(Q75, "" km""), 0, 1), "" "", """")) - O75, VALUE(SUBSTITUTE(INDEX(SPL"&amp;"IT(R75, "" km""), 0, 1), "" "", """")) - O75))"),-33300.0)</f>
        <v>-33300</v>
      </c>
      <c r="Q75" s="36" t="str">
        <f t="shared" si="4"/>
        <v>30 400 Km, 08.02.2023</v>
      </c>
      <c r="R75" s="33"/>
      <c r="S75" s="40">
        <v>20000.0</v>
      </c>
      <c r="T75" s="45">
        <v>1.0</v>
      </c>
      <c r="U75" s="46" t="s">
        <v>244</v>
      </c>
      <c r="V75" s="25" t="s">
        <v>245</v>
      </c>
      <c r="W75" s="37" t="str">
        <f t="shared" si="5"/>
        <v>Завершена</v>
      </c>
      <c r="X75" s="25" t="str">
        <f>IFERROR(__xludf.DUMMYFUNCTION("IF(C75 = """", """", IF(REGEXMATCH(C75, ""PCX|NMAX|ADV|CLICK""), ""скутер"", ""мото""))"),"мото")</f>
        <v>мото</v>
      </c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</row>
    <row r="76" hidden="1">
      <c r="A76" s="13" t="s">
        <v>24</v>
      </c>
      <c r="B76" s="13" t="s">
        <v>25</v>
      </c>
      <c r="C76" s="14" t="s">
        <v>185</v>
      </c>
      <c r="D76" s="14" t="s">
        <v>225</v>
      </c>
      <c r="E76" s="48">
        <v>44965.0</v>
      </c>
      <c r="F76" s="38">
        <v>45002.0</v>
      </c>
      <c r="G76" s="17" t="str">
        <f t="shared" si="1"/>
        <v>1 М</v>
      </c>
      <c r="H76" s="41">
        <v>333.0</v>
      </c>
      <c r="I76" s="19" t="str">
        <f t="shared" si="2"/>
        <v/>
      </c>
      <c r="J76" s="20" t="str">
        <f t="shared" si="3"/>
        <v/>
      </c>
      <c r="K76" s="23">
        <f>9000+3500</f>
        <v>12500</v>
      </c>
      <c r="L76" s="23"/>
      <c r="M76" s="23"/>
      <c r="N76" s="49">
        <v>20500.0</v>
      </c>
      <c r="O76" s="22" t="str">
        <f>IFERROR(__xludf.DUMMYFUNCTION("IFERROR(
  VLOOKUP(C76,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C76
    ), 
    7, FALSE
  ), 
  """"
)
"),"")</f>
        <v/>
      </c>
      <c r="P76" s="22">
        <f>IFERROR(__xludf.DUMMYFUNCTION("IF(OR(ISBLANK(Q76), ISBLANK(O76), VALUE(SUBSTITUTE(INDEX(SPLIT(IF(ISBLANK(R76), Q76, R76), "" km""), 0, 1), "" "", """")) - O76 = 0), """", IF(ISBLANK(R76), VALUE(SUBSTITUTE(INDEX(SPLIT(Q76, "" km""), 0, 1), "" "", """")) - O76, VALUE(SUBSTITUTE(INDEX(SPL"&amp;"IT(R76, "" km""), 0, 1), "" "", """")) - O76))"),20500.0)</f>
        <v>20500</v>
      </c>
      <c r="Q76" s="23" t="str">
        <f t="shared" si="4"/>
        <v>20 500 Km, 08.02.2023</v>
      </c>
      <c r="R76" s="20"/>
      <c r="S76" s="41">
        <v>3000.0</v>
      </c>
      <c r="T76" s="50">
        <v>2.0</v>
      </c>
      <c r="U76" s="42" t="s">
        <v>226</v>
      </c>
      <c r="V76" s="13" t="s">
        <v>246</v>
      </c>
      <c r="W76" s="24" t="str">
        <f t="shared" si="5"/>
        <v>Завершена</v>
      </c>
      <c r="X76" s="13" t="str">
        <f>IFERROR(__xludf.DUMMYFUNCTION("IF(C76 = """", """", IF(REGEXMATCH(C76, ""PCX|NMAX|ADV|CLICK""), ""скутер"", ""мото""))"),"скутер")</f>
        <v>скутер</v>
      </c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</row>
    <row r="77" hidden="1">
      <c r="A77" s="25" t="s">
        <v>24</v>
      </c>
      <c r="B77" s="25" t="s">
        <v>25</v>
      </c>
      <c r="C77" s="27" t="s">
        <v>37</v>
      </c>
      <c r="D77" s="27" t="s">
        <v>129</v>
      </c>
      <c r="E77" s="43">
        <v>44966.0</v>
      </c>
      <c r="F77" s="39">
        <v>44967.0</v>
      </c>
      <c r="G77" s="30" t="str">
        <f t="shared" si="1"/>
        <v>1 Д</v>
      </c>
      <c r="H77" s="40">
        <v>700.0</v>
      </c>
      <c r="I77" s="32" t="str">
        <f t="shared" si="2"/>
        <v/>
      </c>
      <c r="J77" s="33" t="str">
        <f t="shared" si="3"/>
        <v/>
      </c>
      <c r="K77" s="36">
        <v>0.0</v>
      </c>
      <c r="L77" s="36"/>
      <c r="M77" s="36"/>
      <c r="N77" s="44">
        <v>20000.0</v>
      </c>
      <c r="O77" s="35" t="str">
        <f>IFERROR(__xludf.DUMMYFUNCTION("IFERROR(
  VLOOKUP(C77,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C77
    ), 
    7, FALSE
  ), 
  """"
)
"),"")</f>
        <v/>
      </c>
      <c r="P77" s="35">
        <f>IFERROR(__xludf.DUMMYFUNCTION("IF(OR(ISBLANK(Q77), ISBLANK(O77), VALUE(SUBSTITUTE(INDEX(SPLIT(IF(ISBLANK(R77), Q77, R77), "" km""), 0, 1), "" "", """")) - O77 = 0), """", IF(ISBLANK(R77), VALUE(SUBSTITUTE(INDEX(SPLIT(Q77, "" km""), 0, 1), "" "", """")) - O77, VALUE(SUBSTITUTE(INDEX(SPL"&amp;"IT(R77, "" km""), 0, 1), "" "", """")) - O77))"),20000.0)</f>
        <v>20000</v>
      </c>
      <c r="Q77" s="36" t="str">
        <f t="shared" si="4"/>
        <v>20 000 Km, 09.02.2023</v>
      </c>
      <c r="R77" s="33"/>
      <c r="S77" s="40">
        <v>0.0</v>
      </c>
      <c r="T77" s="45">
        <v>3.0</v>
      </c>
      <c r="U77" s="46" t="s">
        <v>130</v>
      </c>
      <c r="V77" s="25" t="s">
        <v>131</v>
      </c>
      <c r="W77" s="37" t="str">
        <f t="shared" si="5"/>
        <v>Завершена</v>
      </c>
      <c r="X77" s="25" t="str">
        <f>IFERROR(__xludf.DUMMYFUNCTION("IF(C77 = """", """", IF(REGEXMATCH(C77, ""PCX|NMAX|ADV|CLICK""), ""скутер"", ""мото""))"),"мото")</f>
        <v>мото</v>
      </c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</row>
    <row r="78" hidden="1">
      <c r="A78" s="13" t="s">
        <v>24</v>
      </c>
      <c r="B78" s="13" t="s">
        <v>25</v>
      </c>
      <c r="C78" s="14" t="s">
        <v>44</v>
      </c>
      <c r="D78" s="14" t="s">
        <v>74</v>
      </c>
      <c r="E78" s="48">
        <v>44973.0</v>
      </c>
      <c r="F78" s="38">
        <v>44985.0</v>
      </c>
      <c r="G78" s="17" t="str">
        <f t="shared" si="1"/>
        <v>12 Д</v>
      </c>
      <c r="H78" s="18">
        <f>7000/30</f>
        <v>233.3333333</v>
      </c>
      <c r="I78" s="19" t="str">
        <f t="shared" si="2"/>
        <v/>
      </c>
      <c r="J78" s="20" t="str">
        <f t="shared" si="3"/>
        <v/>
      </c>
      <c r="K78" s="23">
        <v>1200.0</v>
      </c>
      <c r="L78" s="20"/>
      <c r="M78" s="20"/>
      <c r="N78" s="49">
        <v>13900.0</v>
      </c>
      <c r="O78" s="22">
        <f>IFERROR(__xludf.DUMMYFUNCTION("IFERROR(
  VLOOKUP(C78,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C78
    ), 
    7, FALSE
  ), 
  """"
)
"),30800.0)</f>
        <v>30800</v>
      </c>
      <c r="P78" s="22">
        <f>IFERROR(__xludf.DUMMYFUNCTION("IF(OR(ISBLANK(Q78), ISBLANK(O78), VALUE(SUBSTITUTE(INDEX(SPLIT(IF(ISBLANK(R78), Q78, R78), "" km""), 0, 1), "" "", """")) - O78 = 0), """", IF(ISBLANK(R78), VALUE(SUBSTITUTE(INDEX(SPLIT(Q78, "" km""), 0, 1), "" "", """")) - O78, VALUE(SUBSTITUTE(INDEX(SPL"&amp;"IT(R78, "" km""), 0, 1), "" "", """")) - O78))"),-16900.0)</f>
        <v>-16900</v>
      </c>
      <c r="Q78" s="23" t="str">
        <f t="shared" si="4"/>
        <v>13 900 Km, 16.02.2023</v>
      </c>
      <c r="R78" s="20"/>
      <c r="S78" s="18">
        <v>3000.0</v>
      </c>
      <c r="T78" s="50">
        <v>0.0</v>
      </c>
      <c r="U78" s="17" t="s">
        <v>75</v>
      </c>
      <c r="V78" s="17" t="s">
        <v>76</v>
      </c>
      <c r="W78" s="24" t="str">
        <f t="shared" si="5"/>
        <v>Завершена</v>
      </c>
      <c r="X78" s="13" t="str">
        <f>IFERROR(__xludf.DUMMYFUNCTION("IF(C78 = """", """", IF(REGEXMATCH(C78, ""PCX|NMAX|ADV|CLICK""), ""скутер"", ""мото""))"),"скутер")</f>
        <v>скутер</v>
      </c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</row>
    <row r="79" hidden="1">
      <c r="A79" s="25" t="s">
        <v>24</v>
      </c>
      <c r="B79" s="25" t="s">
        <v>25</v>
      </c>
      <c r="C79" s="27" t="s">
        <v>48</v>
      </c>
      <c r="D79" s="27" t="s">
        <v>74</v>
      </c>
      <c r="E79" s="43">
        <v>44973.0</v>
      </c>
      <c r="F79" s="39">
        <v>44985.0</v>
      </c>
      <c r="G79" s="30" t="str">
        <f t="shared" si="1"/>
        <v>12 Д</v>
      </c>
      <c r="H79" s="40">
        <v>0.0</v>
      </c>
      <c r="I79" s="32" t="str">
        <f t="shared" si="2"/>
        <v/>
      </c>
      <c r="J79" s="33" t="str">
        <f t="shared" si="3"/>
        <v/>
      </c>
      <c r="K79" s="36">
        <v>2800.0</v>
      </c>
      <c r="L79" s="36"/>
      <c r="M79" s="36"/>
      <c r="N79" s="44">
        <v>17600.0</v>
      </c>
      <c r="O79" s="35">
        <f>IFERROR(__xludf.DUMMYFUNCTION("IFERROR(
  VLOOKUP(C79,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C79
    ), 
    7, FALSE
  ), 
  """"
)
"),35800.0)</f>
        <v>35800</v>
      </c>
      <c r="P79" s="35">
        <f>IFERROR(__xludf.DUMMYFUNCTION("IF(OR(ISBLANK(Q79), ISBLANK(O79), VALUE(SUBSTITUTE(INDEX(SPLIT(IF(ISBLANK(R79), Q79, R79), "" km""), 0, 1), "" "", """")) - O79 = 0), """", IF(ISBLANK(R79), VALUE(SUBSTITUTE(INDEX(SPLIT(Q79, "" km""), 0, 1), "" "", """")) - O79, VALUE(SUBSTITUTE(INDEX(SPL"&amp;"IT(R79, "" km""), 0, 1), "" "", """")) - O79))"),-18200.0)</f>
        <v>-18200</v>
      </c>
      <c r="Q79" s="36" t="str">
        <f t="shared" si="4"/>
        <v>17 600 Km, 16.02.2023</v>
      </c>
      <c r="R79" s="36"/>
      <c r="S79" s="31">
        <v>3000.0</v>
      </c>
      <c r="T79" s="45">
        <v>0.0</v>
      </c>
      <c r="U79" s="30" t="s">
        <v>75</v>
      </c>
      <c r="V79" s="30" t="s">
        <v>76</v>
      </c>
      <c r="W79" s="37" t="str">
        <f t="shared" si="5"/>
        <v>Завершена</v>
      </c>
      <c r="X79" s="25" t="str">
        <f>IFERROR(__xludf.DUMMYFUNCTION("IF(C79 = """", """", IF(REGEXMATCH(C79, ""PCX|NMAX|ADV|CLICK""), ""скутер"", ""мото""))"),"скутер")</f>
        <v>скутер</v>
      </c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</row>
    <row r="80" hidden="1">
      <c r="A80" s="13" t="s">
        <v>24</v>
      </c>
      <c r="B80" s="13" t="s">
        <v>25</v>
      </c>
      <c r="C80" s="14" t="s">
        <v>92</v>
      </c>
      <c r="D80" s="14" t="s">
        <v>247</v>
      </c>
      <c r="E80" s="48">
        <v>44973.0</v>
      </c>
      <c r="F80" s="38">
        <v>44985.0</v>
      </c>
      <c r="G80" s="17" t="str">
        <f t="shared" si="1"/>
        <v>12 Д</v>
      </c>
      <c r="H80" s="41">
        <v>800.0</v>
      </c>
      <c r="I80" s="19" t="str">
        <f t="shared" si="2"/>
        <v/>
      </c>
      <c r="J80" s="20" t="str">
        <f t="shared" si="3"/>
        <v/>
      </c>
      <c r="K80" s="23">
        <f>5600+2300+1600</f>
        <v>9500</v>
      </c>
      <c r="L80" s="23"/>
      <c r="M80" s="23"/>
      <c r="N80" s="49">
        <v>30600.0</v>
      </c>
      <c r="O80" s="22">
        <f>IFERROR(__xludf.DUMMYFUNCTION("IFERROR(
  VLOOKUP(C80,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C80
    ), 
    7, FALSE
  ), 
  """"
)
"),23500.0)</f>
        <v>23500</v>
      </c>
      <c r="P80" s="22">
        <f>IFERROR(__xludf.DUMMYFUNCTION("IF(OR(ISBLANK(Q80), ISBLANK(O80), VALUE(SUBSTITUTE(INDEX(SPLIT(IF(ISBLANK(R80), Q80, R80), "" km""), 0, 1), "" "", """")) - O80 = 0), """", IF(ISBLANK(R80), VALUE(SUBSTITUTE(INDEX(SPLIT(Q80, "" km""), 0, 1), "" "", """")) - O80, VALUE(SUBSTITUTE(INDEX(SPL"&amp;"IT(R80, "" km""), 0, 1), "" "", """")) - O80))"),7100.0)</f>
        <v>7100</v>
      </c>
      <c r="Q80" s="23" t="str">
        <f t="shared" si="4"/>
        <v>30 600 Km, 16.02.2023</v>
      </c>
      <c r="R80" s="23"/>
      <c r="S80" s="41">
        <v>200.0</v>
      </c>
      <c r="T80" s="50">
        <v>2.0</v>
      </c>
      <c r="U80" s="42" t="s">
        <v>0</v>
      </c>
      <c r="V80" s="13" t="s">
        <v>248</v>
      </c>
      <c r="W80" s="24" t="str">
        <f t="shared" si="5"/>
        <v>Завершена</v>
      </c>
      <c r="X80" s="13" t="str">
        <f>IFERROR(__xludf.DUMMYFUNCTION("IF(C80 = """", """", IF(REGEXMATCH(C80, ""PCX|NMAX|ADV|CLICK""), ""скутер"", ""мото""))"),"мото")</f>
        <v>мото</v>
      </c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</row>
    <row r="81" hidden="1">
      <c r="A81" s="25" t="s">
        <v>24</v>
      </c>
      <c r="B81" s="25" t="s">
        <v>25</v>
      </c>
      <c r="C81" s="27" t="s">
        <v>193</v>
      </c>
      <c r="D81" s="27" t="s">
        <v>249</v>
      </c>
      <c r="E81" s="43">
        <v>44974.0</v>
      </c>
      <c r="F81" s="39">
        <v>45024.0</v>
      </c>
      <c r="G81" s="30" t="str">
        <f t="shared" si="1"/>
        <v>1 М</v>
      </c>
      <c r="H81" s="40">
        <v>400.0</v>
      </c>
      <c r="I81" s="32" t="str">
        <f t="shared" si="2"/>
        <v/>
      </c>
      <c r="J81" s="33" t="str">
        <f t="shared" si="3"/>
        <v/>
      </c>
      <c r="K81" s="36">
        <f>2800+12000+12000+5600</f>
        <v>32400</v>
      </c>
      <c r="L81" s="36"/>
      <c r="M81" s="36"/>
      <c r="N81" s="44">
        <v>7110.0</v>
      </c>
      <c r="O81" s="35" t="str">
        <f>IFERROR(__xludf.DUMMYFUNCTION("IFERROR(
  VLOOKUP(C81,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C81
    ), 
    7, FALSE
  ), 
  """"
)
"),"")</f>
        <v/>
      </c>
      <c r="P81" s="35">
        <f>IFERROR(__xludf.DUMMYFUNCTION("IF(OR(ISBLANK(Q81), ISBLANK(O81), VALUE(SUBSTITUTE(INDEX(SPLIT(IF(ISBLANK(R81), Q81, R81), "" km""), 0, 1), "" "", """")) - O81 = 0), """", IF(ISBLANK(R81), VALUE(SUBSTITUTE(INDEX(SPLIT(Q81, "" km""), 0, 1), "" "", """")) - O81, VALUE(SUBSTITUTE(INDEX(SPL"&amp;"IT(R81, "" km""), 0, 1), "" "", """")) - O81))"),7110.0)</f>
        <v>7110</v>
      </c>
      <c r="Q81" s="36" t="str">
        <f t="shared" si="4"/>
        <v>7 110 Km, 17.02.2023</v>
      </c>
      <c r="R81" s="33"/>
      <c r="S81" s="40">
        <v>300.0</v>
      </c>
      <c r="T81" s="45">
        <v>2.0</v>
      </c>
      <c r="U81" s="46" t="s">
        <v>250</v>
      </c>
      <c r="V81" s="25" t="s">
        <v>251</v>
      </c>
      <c r="W81" s="37" t="str">
        <f t="shared" si="5"/>
        <v>Завершена</v>
      </c>
      <c r="X81" s="25" t="str">
        <f>IFERROR(__xludf.DUMMYFUNCTION("IF(C81 = """", """", IF(REGEXMATCH(C81, ""PCX|NMAX|ADV|CLICK""), ""скутер"", ""мото""))"),"мото")</f>
        <v>мото</v>
      </c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</row>
    <row r="82" hidden="1">
      <c r="A82" s="13" t="s">
        <v>24</v>
      </c>
      <c r="B82" s="13" t="s">
        <v>25</v>
      </c>
      <c r="C82" s="14" t="s">
        <v>102</v>
      </c>
      <c r="D82" s="14" t="s">
        <v>148</v>
      </c>
      <c r="E82" s="48">
        <v>44975.0</v>
      </c>
      <c r="F82" s="38">
        <v>44982.0</v>
      </c>
      <c r="G82" s="17" t="str">
        <f t="shared" si="1"/>
        <v>7 Д</v>
      </c>
      <c r="H82" s="41">
        <f>12000/7</f>
        <v>1714.285714</v>
      </c>
      <c r="I82" s="19" t="str">
        <f t="shared" si="2"/>
        <v/>
      </c>
      <c r="J82" s="20" t="str">
        <f t="shared" si="3"/>
        <v/>
      </c>
      <c r="K82" s="23">
        <v>12000.0</v>
      </c>
      <c r="L82" s="23"/>
      <c r="M82" s="23"/>
      <c r="N82" s="49">
        <v>30600.0</v>
      </c>
      <c r="O82" s="22">
        <f>IFERROR(__xludf.DUMMYFUNCTION("IFERROR(
  VLOOKUP(C82,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C82
    ), 
    7, FALSE
  ), 
  """"
)
"),63700.0)</f>
        <v>63700</v>
      </c>
      <c r="P82" s="22">
        <f>IFERROR(__xludf.DUMMYFUNCTION("IF(OR(ISBLANK(Q82), ISBLANK(O82), VALUE(SUBSTITUTE(INDEX(SPLIT(IF(ISBLANK(R82), Q82, R82), "" km""), 0, 1), "" "", """")) - O82 = 0), """", IF(ISBLANK(R82), VALUE(SUBSTITUTE(INDEX(SPLIT(Q82, "" km""), 0, 1), "" "", """")) - O82, VALUE(SUBSTITUTE(INDEX(SPL"&amp;"IT(R82, "" km""), 0, 1), "" "", """")) - O82))"),-33100.0)</f>
        <v>-33100</v>
      </c>
      <c r="Q82" s="23" t="str">
        <f t="shared" si="4"/>
        <v>30 600 Km, 18.02.2023</v>
      </c>
      <c r="R82" s="20"/>
      <c r="S82" s="41">
        <v>20000.0</v>
      </c>
      <c r="T82" s="19">
        <v>1.0</v>
      </c>
      <c r="U82" s="42" t="s">
        <v>149</v>
      </c>
      <c r="V82" s="13" t="s">
        <v>150</v>
      </c>
      <c r="W82" s="24" t="str">
        <f t="shared" si="5"/>
        <v>Завершена</v>
      </c>
      <c r="X82" s="13" t="str">
        <f>IFERROR(__xludf.DUMMYFUNCTION("IF(C82 = """", """", IF(REGEXMATCH(C82, ""PCX|NMAX|ADV|CLICK""), ""скутер"", ""мото""))"),"мото")</f>
        <v>мото</v>
      </c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</row>
    <row r="83" hidden="1">
      <c r="A83" s="25" t="s">
        <v>24</v>
      </c>
      <c r="B83" s="25" t="s">
        <v>25</v>
      </c>
      <c r="C83" s="27" t="s">
        <v>198</v>
      </c>
      <c r="D83" s="27" t="s">
        <v>252</v>
      </c>
      <c r="E83" s="43">
        <v>44976.0</v>
      </c>
      <c r="F83" s="39">
        <v>45004.0</v>
      </c>
      <c r="G83" s="30" t="str">
        <f t="shared" si="1"/>
        <v>28 Д</v>
      </c>
      <c r="H83" s="40">
        <f>14500/30</f>
        <v>483.3333333</v>
      </c>
      <c r="I83" s="32" t="str">
        <f t="shared" si="2"/>
        <v/>
      </c>
      <c r="J83" s="33" t="str">
        <f t="shared" si="3"/>
        <v/>
      </c>
      <c r="K83" s="36">
        <v>14500.0</v>
      </c>
      <c r="L83" s="36"/>
      <c r="M83" s="36"/>
      <c r="N83" s="44">
        <v>12700.0</v>
      </c>
      <c r="O83" s="35" t="str">
        <f>IFERROR(__xludf.DUMMYFUNCTION("IFERROR(
  VLOOKUP(C83,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C83
    ), 
    7, FALSE
  ), 
  """"
)
"),"")</f>
        <v/>
      </c>
      <c r="P83" s="35">
        <f>IFERROR(__xludf.DUMMYFUNCTION("IF(OR(ISBLANK(Q83), ISBLANK(O83), VALUE(SUBSTITUTE(INDEX(SPLIT(IF(ISBLANK(R83), Q83, R83), "" km""), 0, 1), "" "", """")) - O83 = 0), """", IF(ISBLANK(R83), VALUE(SUBSTITUTE(INDEX(SPLIT(Q83, "" km""), 0, 1), "" "", """")) - O83, VALUE(SUBSTITUTE(INDEX(SPL"&amp;"IT(R83, "" km""), 0, 1), "" "", """")) - O83))"),12700.0)</f>
        <v>12700</v>
      </c>
      <c r="Q83" s="36" t="str">
        <f t="shared" si="4"/>
        <v>12 700 Km, 19.02.2023</v>
      </c>
      <c r="R83" s="33"/>
      <c r="S83" s="40">
        <v>5000.0</v>
      </c>
      <c r="T83" s="45">
        <v>2.0</v>
      </c>
      <c r="U83" s="46" t="s">
        <v>253</v>
      </c>
      <c r="V83" s="25" t="s">
        <v>254</v>
      </c>
      <c r="W83" s="37" t="str">
        <f t="shared" si="5"/>
        <v>Завершена</v>
      </c>
      <c r="X83" s="25" t="str">
        <f>IFERROR(__xludf.DUMMYFUNCTION("IF(C83 = """", """", IF(REGEXMATCH(C83, ""PCX|NMAX|ADV|CLICK""), ""скутер"", ""мото""))"),"мото")</f>
        <v>мото</v>
      </c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</row>
    <row r="84" hidden="1">
      <c r="A84" s="13" t="s">
        <v>24</v>
      </c>
      <c r="B84" s="13" t="s">
        <v>25</v>
      </c>
      <c r="C84" s="14" t="s">
        <v>60</v>
      </c>
      <c r="D84" s="14" t="s">
        <v>122</v>
      </c>
      <c r="E84" s="48">
        <v>44976.0</v>
      </c>
      <c r="F84" s="38">
        <v>45010.0</v>
      </c>
      <c r="G84" s="17" t="str">
        <f t="shared" si="1"/>
        <v>1 М</v>
      </c>
      <c r="H84" s="41">
        <v>470.0</v>
      </c>
      <c r="I84" s="19" t="str">
        <f t="shared" si="2"/>
        <v/>
      </c>
      <c r="J84" s="20" t="str">
        <f t="shared" si="3"/>
        <v/>
      </c>
      <c r="K84" s="23">
        <v>16000.0</v>
      </c>
      <c r="L84" s="23"/>
      <c r="M84" s="23"/>
      <c r="N84" s="49">
        <v>22400.0</v>
      </c>
      <c r="O84" s="22" t="str">
        <f>IFERROR(__xludf.DUMMYFUNCTION("IFERROR(
  VLOOKUP(C84,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C84
    ), 
    7, FALSE
  ), 
  """"
)
"),"")</f>
        <v/>
      </c>
      <c r="P84" s="22">
        <f>IFERROR(__xludf.DUMMYFUNCTION("IF(OR(ISBLANK(Q84), ISBLANK(O84), VALUE(SUBSTITUTE(INDEX(SPLIT(IF(ISBLANK(R84), Q84, R84), "" km""), 0, 1), "" "", """")) - O84 = 0), """", IF(ISBLANK(R84), VALUE(SUBSTITUTE(INDEX(SPLIT(Q84, "" km""), 0, 1), "" "", """")) - O84, VALUE(SUBSTITUTE(INDEX(SPL"&amp;"IT(R84, "" km""), 0, 1), "" "", """")) - O84))"),22400.0)</f>
        <v>22400</v>
      </c>
      <c r="Q84" s="23" t="str">
        <f t="shared" si="4"/>
        <v>22 400 Km, 19.02.2023</v>
      </c>
      <c r="R84" s="20"/>
      <c r="S84" s="41">
        <v>5000.0</v>
      </c>
      <c r="T84" s="19">
        <v>2.0</v>
      </c>
      <c r="U84" s="17" t="s">
        <v>123</v>
      </c>
      <c r="V84" s="17" t="s">
        <v>124</v>
      </c>
      <c r="W84" s="24" t="str">
        <f t="shared" si="5"/>
        <v>Завершена</v>
      </c>
      <c r="X84" s="13" t="str">
        <f>IFERROR(__xludf.DUMMYFUNCTION("IF(C84 = """", """", IF(REGEXMATCH(C84, ""PCX|NMAX|ADV|CLICK""), ""скутер"", ""мото""))"),"мото")</f>
        <v>мото</v>
      </c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</row>
    <row r="85" hidden="1">
      <c r="A85" s="25" t="s">
        <v>24</v>
      </c>
      <c r="B85" s="25" t="s">
        <v>25</v>
      </c>
      <c r="C85" s="27" t="s">
        <v>73</v>
      </c>
      <c r="D85" s="27" t="s">
        <v>212</v>
      </c>
      <c r="E85" s="43">
        <v>44978.0</v>
      </c>
      <c r="F85" s="39">
        <v>44979.0</v>
      </c>
      <c r="G85" s="30" t="str">
        <f t="shared" si="1"/>
        <v>1 Д</v>
      </c>
      <c r="H85" s="40">
        <v>300.0</v>
      </c>
      <c r="I85" s="32" t="str">
        <f t="shared" si="2"/>
        <v/>
      </c>
      <c r="J85" s="33" t="str">
        <f t="shared" si="3"/>
        <v/>
      </c>
      <c r="K85" s="36">
        <v>300.0</v>
      </c>
      <c r="L85" s="36"/>
      <c r="M85" s="36"/>
      <c r="N85" s="44">
        <v>36000.0</v>
      </c>
      <c r="O85" s="35">
        <f>IFERROR(__xludf.DUMMYFUNCTION("IFERROR(
  VLOOKUP(C85,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C85
    ), 
    7, FALSE
  ), 
  """"
)
"),31000.0)</f>
        <v>31000</v>
      </c>
      <c r="P85" s="35">
        <f>IFERROR(__xludf.DUMMYFUNCTION("IF(OR(ISBLANK(Q85), ISBLANK(O85), VALUE(SUBSTITUTE(INDEX(SPLIT(IF(ISBLANK(R85), Q85, R85), "" km""), 0, 1), "" "", """")) - O85 = 0), """", IF(ISBLANK(R85), VALUE(SUBSTITUTE(INDEX(SPLIT(Q85, "" km""), 0, 1), "" "", """")) - O85, VALUE(SUBSTITUTE(INDEX(SPL"&amp;"IT(R85, "" km""), 0, 1), "" "", """")) - O85))"),5000.0)</f>
        <v>5000</v>
      </c>
      <c r="Q85" s="36" t="str">
        <f t="shared" si="4"/>
        <v>36 000 Km, 21.02.2023</v>
      </c>
      <c r="R85" s="33"/>
      <c r="S85" s="40">
        <v>3000.0</v>
      </c>
      <c r="T85" s="45">
        <v>3.0</v>
      </c>
      <c r="U85" s="46" t="s">
        <v>0</v>
      </c>
      <c r="V85" s="25" t="s">
        <v>213</v>
      </c>
      <c r="W85" s="37" t="str">
        <f t="shared" si="5"/>
        <v>Завершена</v>
      </c>
      <c r="X85" s="25" t="str">
        <f>IFERROR(__xludf.DUMMYFUNCTION("IF(C85 = """", """", IF(REGEXMATCH(C85, ""PCX|NMAX|ADV|CLICK""), ""скутер"", ""мото""))"),"скутер")</f>
        <v>скутер</v>
      </c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</row>
    <row r="86" hidden="1">
      <c r="A86" s="13" t="s">
        <v>24</v>
      </c>
      <c r="B86" s="13" t="s">
        <v>25</v>
      </c>
      <c r="C86" s="14" t="s">
        <v>159</v>
      </c>
      <c r="D86" s="14" t="s">
        <v>255</v>
      </c>
      <c r="E86" s="48">
        <v>44978.0</v>
      </c>
      <c r="F86" s="38">
        <v>45068.0</v>
      </c>
      <c r="G86" s="17" t="str">
        <f t="shared" si="1"/>
        <v>3 М</v>
      </c>
      <c r="H86" s="18">
        <f>7000/30</f>
        <v>233.3333333</v>
      </c>
      <c r="I86" s="19" t="str">
        <f t="shared" si="2"/>
        <v/>
      </c>
      <c r="J86" s="20" t="str">
        <f t="shared" si="3"/>
        <v/>
      </c>
      <c r="K86" s="23">
        <f>7500+7000+7000</f>
        <v>21500</v>
      </c>
      <c r="L86" s="20"/>
      <c r="M86" s="20"/>
      <c r="N86" s="49">
        <v>14100.0</v>
      </c>
      <c r="O86" s="22" t="str">
        <f>IFERROR(__xludf.DUMMYFUNCTION("IFERROR(
  VLOOKUP(C86,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C86
    ), 
    7, FALSE
  ), 
  """"
)
"),"")</f>
        <v/>
      </c>
      <c r="P86" s="22" t="str">
        <f>IFERROR(__xludf.DUMMYFUNCTION("IF(OR(ISBLANK(Q86), ISBLANK(O86), VALUE(SUBSTITUTE(INDEX(SPLIT(IF(ISBLANK(R86), Q86, R86), "" km""), 0, 1), "" "", """")) - O86 = 0), """", IF(ISBLANK(R86), VALUE(SUBSTITUTE(INDEX(SPLIT(Q86, "" km""), 0, 1), "" "", """")) - O86, VALUE(SUBSTITUTE(INDEX(SPL"&amp;"IT(R86, "" km""), 0, 1), "" "", """")) - O86))"),"#VALUE!")</f>
        <v>#VALUE!</v>
      </c>
      <c r="Q86" s="23" t="str">
        <f t="shared" si="4"/>
        <v>сделал скидку теперь по 7000 с мая</v>
      </c>
      <c r="R86" s="23" t="s">
        <v>256</v>
      </c>
      <c r="S86" s="41">
        <v>3000.0</v>
      </c>
      <c r="T86" s="50">
        <v>2.0</v>
      </c>
      <c r="U86" s="42" t="s">
        <v>257</v>
      </c>
      <c r="V86" s="13" t="s">
        <v>258</v>
      </c>
      <c r="W86" s="24" t="str">
        <f t="shared" si="5"/>
        <v>Завершена</v>
      </c>
      <c r="X86" s="13" t="str">
        <f>IFERROR(__xludf.DUMMYFUNCTION("IF(C86 = """", """", IF(REGEXMATCH(C86, ""PCX|NMAX|ADV|CLICK""), ""скутер"", ""мото""))"),"скутер")</f>
        <v>скутер</v>
      </c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</row>
    <row r="87" hidden="1">
      <c r="A87" s="25" t="s">
        <v>24</v>
      </c>
      <c r="B87" s="25" t="s">
        <v>25</v>
      </c>
      <c r="C87" s="27" t="s">
        <v>121</v>
      </c>
      <c r="D87" s="27" t="s">
        <v>212</v>
      </c>
      <c r="E87" s="43">
        <v>44979.0</v>
      </c>
      <c r="F87" s="39">
        <v>44980.0</v>
      </c>
      <c r="G87" s="30" t="str">
        <f t="shared" si="1"/>
        <v>1 Д</v>
      </c>
      <c r="H87" s="40">
        <v>400.0</v>
      </c>
      <c r="I87" s="32" t="str">
        <f t="shared" si="2"/>
        <v/>
      </c>
      <c r="J87" s="33" t="str">
        <f t="shared" si="3"/>
        <v/>
      </c>
      <c r="K87" s="36">
        <v>400.0</v>
      </c>
      <c r="L87" s="36"/>
      <c r="M87" s="36"/>
      <c r="N87" s="44">
        <v>23500.0</v>
      </c>
      <c r="O87" s="35" t="str">
        <f>IFERROR(__xludf.DUMMYFUNCTION("IFERROR(
  VLOOKUP(C87,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C87
    ), 
    7, FALSE
  ), 
  """"
)
"),"")</f>
        <v/>
      </c>
      <c r="P87" s="35">
        <f>IFERROR(__xludf.DUMMYFUNCTION("IF(OR(ISBLANK(Q87), ISBLANK(O87), VALUE(SUBSTITUTE(INDEX(SPLIT(IF(ISBLANK(R87), Q87, R87), "" km""), 0, 1), "" "", """")) - O87 = 0), """", IF(ISBLANK(R87), VALUE(SUBSTITUTE(INDEX(SPLIT(Q87, "" km""), 0, 1), "" "", """")) - O87, VALUE(SUBSTITUTE(INDEX(SPL"&amp;"IT(R87, "" km""), 0, 1), "" "", """")) - O87))"),23500.0)</f>
        <v>23500</v>
      </c>
      <c r="Q87" s="36" t="str">
        <f t="shared" si="4"/>
        <v>23 500 Km, 22.02.2023</v>
      </c>
      <c r="R87" s="33"/>
      <c r="S87" s="40">
        <v>0.0</v>
      </c>
      <c r="T87" s="45">
        <v>1.0</v>
      </c>
      <c r="U87" s="30" t="s">
        <v>0</v>
      </c>
      <c r="V87" s="30" t="s">
        <v>213</v>
      </c>
      <c r="W87" s="37" t="str">
        <f t="shared" si="5"/>
        <v>Завершена</v>
      </c>
      <c r="X87" s="25" t="str">
        <f>IFERROR(__xludf.DUMMYFUNCTION("IF(C87 = """", """", IF(REGEXMATCH(C87, ""PCX|NMAX|ADV|CLICK""), ""скутер"", ""мото""))"),"скутер")</f>
        <v>скутер</v>
      </c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</row>
    <row r="88" hidden="1">
      <c r="A88" s="13" t="s">
        <v>24</v>
      </c>
      <c r="B88" s="13" t="s">
        <v>25</v>
      </c>
      <c r="C88" s="14" t="s">
        <v>88</v>
      </c>
      <c r="D88" s="14" t="s">
        <v>259</v>
      </c>
      <c r="E88" s="48">
        <v>44980.0</v>
      </c>
      <c r="F88" s="38">
        <v>44990.0</v>
      </c>
      <c r="G88" s="17" t="str">
        <f t="shared" si="1"/>
        <v>10 Д</v>
      </c>
      <c r="H88" s="41">
        <v>325.0</v>
      </c>
      <c r="I88" s="19" t="str">
        <f t="shared" si="2"/>
        <v/>
      </c>
      <c r="J88" s="20" t="str">
        <f t="shared" si="3"/>
        <v/>
      </c>
      <c r="K88" s="23">
        <v>3250.0</v>
      </c>
      <c r="L88" s="23"/>
      <c r="M88" s="23"/>
      <c r="N88" s="49">
        <v>15500.0</v>
      </c>
      <c r="O88" s="22" t="str">
        <f>IFERROR(__xludf.DUMMYFUNCTION("IFERROR(
  VLOOKUP(C88,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C88
    ), 
    7, FALSE
  ), 
  """"
)
"),"")</f>
        <v/>
      </c>
      <c r="P88" s="22">
        <f>IFERROR(__xludf.DUMMYFUNCTION("IF(OR(ISBLANK(Q88), ISBLANK(O88), VALUE(SUBSTITUTE(INDEX(SPLIT(IF(ISBLANK(R88), Q88, R88), "" km""), 0, 1), "" "", """")) - O88 = 0), """", IF(ISBLANK(R88), VALUE(SUBSTITUTE(INDEX(SPLIT(Q88, "" km""), 0, 1), "" "", """")) - O88, VALUE(SUBSTITUTE(INDEX(SPL"&amp;"IT(R88, "" km""), 0, 1), "" "", """")) - O88))"),15500.0)</f>
        <v>15500</v>
      </c>
      <c r="Q88" s="23" t="str">
        <f t="shared" si="4"/>
        <v>15 500 Km, 23.02.2023</v>
      </c>
      <c r="R88" s="20"/>
      <c r="S88" s="41" t="s">
        <v>260</v>
      </c>
      <c r="T88" s="50">
        <v>2.0</v>
      </c>
      <c r="U88" s="42" t="s">
        <v>0</v>
      </c>
      <c r="V88" s="13" t="s">
        <v>261</v>
      </c>
      <c r="W88" s="24" t="str">
        <f t="shared" si="5"/>
        <v>Завершена</v>
      </c>
      <c r="X88" s="13" t="str">
        <f>IFERROR(__xludf.DUMMYFUNCTION("IF(C88 = """", """", IF(REGEXMATCH(C88, ""PCX|NMAX|ADV|CLICK""), ""скутер"", ""мото""))"),"скутер")</f>
        <v>скутер</v>
      </c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</row>
    <row r="89" hidden="1">
      <c r="A89" s="25" t="s">
        <v>24</v>
      </c>
      <c r="B89" s="25" t="s">
        <v>25</v>
      </c>
      <c r="C89" s="27" t="s">
        <v>121</v>
      </c>
      <c r="D89" s="27" t="s">
        <v>262</v>
      </c>
      <c r="E89" s="28">
        <v>44980.0</v>
      </c>
      <c r="F89" s="29">
        <v>44990.0</v>
      </c>
      <c r="G89" s="30" t="str">
        <f t="shared" si="1"/>
        <v>10 Д</v>
      </c>
      <c r="H89" s="31">
        <v>325.0</v>
      </c>
      <c r="I89" s="32" t="str">
        <f t="shared" si="2"/>
        <v/>
      </c>
      <c r="J89" s="33" t="str">
        <f t="shared" si="3"/>
        <v/>
      </c>
      <c r="K89" s="33">
        <f>3250-500</f>
        <v>2750</v>
      </c>
      <c r="L89" s="33"/>
      <c r="M89" s="33"/>
      <c r="N89" s="44">
        <v>23500.0</v>
      </c>
      <c r="O89" s="35" t="str">
        <f>IFERROR(__xludf.DUMMYFUNCTION("IFERROR(
  VLOOKUP(C89,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C89
    ), 
    7, FALSE
  ), 
  """"
)
"),"")</f>
        <v/>
      </c>
      <c r="P89" s="35">
        <f>IFERROR(__xludf.DUMMYFUNCTION("IF(OR(ISBLANK(Q89), ISBLANK(O89), VALUE(SUBSTITUTE(INDEX(SPLIT(IF(ISBLANK(R89), Q89, R89), "" km""), 0, 1), "" "", """")) - O89 = 0), """", IF(ISBLANK(R89), VALUE(SUBSTITUTE(INDEX(SPLIT(Q89, "" km""), 0, 1), "" "", """")) - O89, VALUE(SUBSTITUTE(INDEX(SPL"&amp;"IT(R89, "" km""), 0, 1), "" "", """")) - O89))"),23500.0)</f>
        <v>23500</v>
      </c>
      <c r="Q89" s="36" t="str">
        <f t="shared" si="4"/>
        <v>23 500 Km, 23.02.2023</v>
      </c>
      <c r="R89" s="33"/>
      <c r="S89" s="31" t="s">
        <v>260</v>
      </c>
      <c r="T89" s="32">
        <v>1.0</v>
      </c>
      <c r="U89" s="30" t="s">
        <v>0</v>
      </c>
      <c r="V89" s="30" t="s">
        <v>261</v>
      </c>
      <c r="W89" s="37" t="str">
        <f t="shared" si="5"/>
        <v>Завершена</v>
      </c>
      <c r="X89" s="25" t="str">
        <f>IFERROR(__xludf.DUMMYFUNCTION("IF(C89 = """", """", IF(REGEXMATCH(C89, ""PCX|NMAX|ADV|CLICK""), ""скутер"", ""мото""))"),"скутер")</f>
        <v>скутер</v>
      </c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</row>
    <row r="90" hidden="1">
      <c r="A90" s="13" t="s">
        <v>24</v>
      </c>
      <c r="B90" s="13" t="s">
        <v>25</v>
      </c>
      <c r="C90" s="14" t="s">
        <v>44</v>
      </c>
      <c r="D90" s="14" t="s">
        <v>212</v>
      </c>
      <c r="E90" s="48">
        <v>44981.0</v>
      </c>
      <c r="F90" s="38">
        <v>44983.0</v>
      </c>
      <c r="G90" s="17" t="str">
        <f t="shared" si="1"/>
        <v>2 Д</v>
      </c>
      <c r="H90" s="41">
        <v>400.0</v>
      </c>
      <c r="I90" s="19" t="str">
        <f t="shared" si="2"/>
        <v/>
      </c>
      <c r="J90" s="20" t="str">
        <f t="shared" si="3"/>
        <v/>
      </c>
      <c r="K90" s="23">
        <v>800.0</v>
      </c>
      <c r="L90" s="23"/>
      <c r="M90" s="23"/>
      <c r="N90" s="49">
        <v>14300.0</v>
      </c>
      <c r="O90" s="22">
        <f>IFERROR(__xludf.DUMMYFUNCTION("IFERROR(
  VLOOKUP(C90,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C90
    ), 
    7, FALSE
  ), 
  """"
)
"),30800.0)</f>
        <v>30800</v>
      </c>
      <c r="P90" s="22">
        <f>IFERROR(__xludf.DUMMYFUNCTION("IF(OR(ISBLANK(Q90), ISBLANK(O90), VALUE(SUBSTITUTE(INDEX(SPLIT(IF(ISBLANK(R90), Q90, R90), "" km""), 0, 1), "" "", """")) - O90 = 0), """", IF(ISBLANK(R90), VALUE(SUBSTITUTE(INDEX(SPLIT(Q90, "" km""), 0, 1), "" "", """")) - O90, VALUE(SUBSTITUTE(INDEX(SPL"&amp;"IT(R90, "" km""), 0, 1), "" "", """")) - O90))"),-16500.0)</f>
        <v>-16500</v>
      </c>
      <c r="Q90" s="23" t="str">
        <f t="shared" si="4"/>
        <v>14 300 Km, 24.02.2023</v>
      </c>
      <c r="R90" s="20"/>
      <c r="S90" s="41">
        <v>0.0</v>
      </c>
      <c r="T90" s="50">
        <v>1.0</v>
      </c>
      <c r="U90" s="17" t="s">
        <v>0</v>
      </c>
      <c r="V90" s="17" t="s">
        <v>213</v>
      </c>
      <c r="W90" s="24" t="str">
        <f t="shared" si="5"/>
        <v>Завершена</v>
      </c>
      <c r="X90" s="13" t="str">
        <f>IFERROR(__xludf.DUMMYFUNCTION("IF(C90 = """", """", IF(REGEXMATCH(C90, ""PCX|NMAX|ADV|CLICK""), ""скутер"", ""мото""))"),"скутер")</f>
        <v>скутер</v>
      </c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</row>
    <row r="91" hidden="1">
      <c r="A91" s="25" t="s">
        <v>24</v>
      </c>
      <c r="B91" s="25" t="s">
        <v>25</v>
      </c>
      <c r="C91" s="27" t="s">
        <v>202</v>
      </c>
      <c r="D91" s="27" t="s">
        <v>263</v>
      </c>
      <c r="E91" s="43">
        <v>44981.0</v>
      </c>
      <c r="F91" s="39">
        <v>44988.0</v>
      </c>
      <c r="G91" s="30" t="str">
        <f t="shared" si="1"/>
        <v>7 Д</v>
      </c>
      <c r="H91" s="40">
        <v>700.0</v>
      </c>
      <c r="I91" s="32" t="str">
        <f t="shared" si="2"/>
        <v/>
      </c>
      <c r="J91" s="33" t="str">
        <f t="shared" si="3"/>
        <v/>
      </c>
      <c r="K91" s="36">
        <v>4900.0</v>
      </c>
      <c r="L91" s="36"/>
      <c r="M91" s="36"/>
      <c r="N91" s="44">
        <v>16900.0</v>
      </c>
      <c r="O91" s="35">
        <f>IFERROR(__xludf.DUMMYFUNCTION("IFERROR(
  VLOOKUP(C91,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C91
    ), 
    7, FALSE
  ), 
  """"
)
"),30225.0)</f>
        <v>30225</v>
      </c>
      <c r="P91" s="35">
        <f>IFERROR(__xludf.DUMMYFUNCTION("IF(OR(ISBLANK(Q91), ISBLANK(O91), VALUE(SUBSTITUTE(INDEX(SPLIT(IF(ISBLANK(R91), Q91, R91), "" km""), 0, 1), "" "", """")) - O91 = 0), """", IF(ISBLANK(R91), VALUE(SUBSTITUTE(INDEX(SPLIT(Q91, "" km""), 0, 1), "" "", """")) - O91, VALUE(SUBSTITUTE(INDEX(SPL"&amp;"IT(R91, "" km""), 0, 1), "" "", """")) - O91))"),-13325.0)</f>
        <v>-13325</v>
      </c>
      <c r="Q91" s="36" t="str">
        <f t="shared" si="4"/>
        <v>16 900 Km, 24.02.2023</v>
      </c>
      <c r="R91" s="33"/>
      <c r="S91" s="40">
        <v>200.0</v>
      </c>
      <c r="T91" s="45">
        <v>2.0</v>
      </c>
      <c r="U91" s="46" t="s">
        <v>264</v>
      </c>
      <c r="V91" s="25" t="s">
        <v>265</v>
      </c>
      <c r="W91" s="37" t="str">
        <f t="shared" si="5"/>
        <v>Завершена</v>
      </c>
      <c r="X91" s="25" t="str">
        <f>IFERROR(__xludf.DUMMYFUNCTION("IF(C91 = """", """", IF(REGEXMATCH(C91, ""PCX|NMAX|ADV|CLICK""), ""скутер"", ""мото""))"),"мото")</f>
        <v>мото</v>
      </c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</row>
    <row r="92" hidden="1">
      <c r="A92" s="13" t="s">
        <v>24</v>
      </c>
      <c r="B92" s="13" t="s">
        <v>25</v>
      </c>
      <c r="C92" s="47" t="s">
        <v>32</v>
      </c>
      <c r="D92" s="14" t="s">
        <v>266</v>
      </c>
      <c r="E92" s="48">
        <v>44981.0</v>
      </c>
      <c r="F92" s="38">
        <v>44990.0</v>
      </c>
      <c r="G92" s="17" t="str">
        <f t="shared" si="1"/>
        <v>9 Д</v>
      </c>
      <c r="H92" s="41">
        <v>800.0</v>
      </c>
      <c r="I92" s="19" t="str">
        <f t="shared" si="2"/>
        <v/>
      </c>
      <c r="J92" s="20" t="str">
        <f t="shared" si="3"/>
        <v/>
      </c>
      <c r="K92" s="23">
        <v>7200.0</v>
      </c>
      <c r="L92" s="23"/>
      <c r="M92" s="23"/>
      <c r="N92" s="49">
        <v>16580.0</v>
      </c>
      <c r="O92" s="22">
        <f>IFERROR(__xludf.DUMMYFUNCTION("IFERROR(
  VLOOKUP(C92,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C92
    ), 
    7, FALSE
  ), 
  """"
)
"),38640.0)</f>
        <v>38640</v>
      </c>
      <c r="P92" s="22">
        <f>IFERROR(__xludf.DUMMYFUNCTION("IF(OR(ISBLANK(Q92), ISBLANK(O92), VALUE(SUBSTITUTE(INDEX(SPLIT(IF(ISBLANK(R92), Q92, R92), "" km""), 0, 1), "" "", """")) - O92 = 0), """", IF(ISBLANK(R92), VALUE(SUBSTITUTE(INDEX(SPLIT(Q92, "" km""), 0, 1), "" "", """")) - O92, VALUE(SUBSTITUTE(INDEX(SPL"&amp;"IT(R92, "" km""), 0, 1), "" "", """")) - O92))"),-22060.0)</f>
        <v>-22060</v>
      </c>
      <c r="Q92" s="23" t="str">
        <f t="shared" si="4"/>
        <v>16 580 Km, 24.02.2023</v>
      </c>
      <c r="R92" s="20"/>
      <c r="S92" s="41">
        <v>5000.0</v>
      </c>
      <c r="T92" s="50">
        <v>2.0</v>
      </c>
      <c r="U92" s="42" t="s">
        <v>267</v>
      </c>
      <c r="V92" s="13" t="s">
        <v>268</v>
      </c>
      <c r="W92" s="24" t="str">
        <f t="shared" si="5"/>
        <v>Завершена</v>
      </c>
      <c r="X92" s="13" t="str">
        <f>IFERROR(__xludf.DUMMYFUNCTION("IF(C92 = """", """", IF(REGEXMATCH(C92, ""PCX|NMAX|ADV|CLICK""), ""скутер"", ""мото""))"),"мото")</f>
        <v>мото</v>
      </c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</row>
    <row r="93" hidden="1">
      <c r="A93" s="25" t="s">
        <v>24</v>
      </c>
      <c r="B93" s="25" t="s">
        <v>25</v>
      </c>
      <c r="C93" s="27" t="s">
        <v>73</v>
      </c>
      <c r="D93" s="27" t="s">
        <v>269</v>
      </c>
      <c r="E93" s="28">
        <v>44981.0</v>
      </c>
      <c r="F93" s="29">
        <v>45009.0</v>
      </c>
      <c r="G93" s="30" t="str">
        <f t="shared" si="1"/>
        <v>28 Д</v>
      </c>
      <c r="H93" s="31">
        <f>8000/30</f>
        <v>266.6666667</v>
      </c>
      <c r="I93" s="32" t="str">
        <f t="shared" si="2"/>
        <v/>
      </c>
      <c r="J93" s="33" t="str">
        <f t="shared" si="3"/>
        <v/>
      </c>
      <c r="K93" s="33">
        <v>8000.0</v>
      </c>
      <c r="L93" s="33"/>
      <c r="M93" s="33"/>
      <c r="N93" s="44">
        <v>36200.0</v>
      </c>
      <c r="O93" s="35">
        <f>IFERROR(__xludf.DUMMYFUNCTION("IFERROR(
  VLOOKUP(C93,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C93
    ), 
    7, FALSE
  ), 
  """"
)
"),31000.0)</f>
        <v>31000</v>
      </c>
      <c r="P93" s="35">
        <f>IFERROR(__xludf.DUMMYFUNCTION("IF(OR(ISBLANK(Q93), ISBLANK(O93), VALUE(SUBSTITUTE(INDEX(SPLIT(IF(ISBLANK(R93), Q93, R93), "" km""), 0, 1), "" "", """")) - O93 = 0), """", IF(ISBLANK(R93), VALUE(SUBSTITUTE(INDEX(SPLIT(Q93, "" km""), 0, 1), "" "", """")) - O93, VALUE(SUBSTITUTE(INDEX(SPL"&amp;"IT(R93, "" km""), 0, 1), "" "", """")) - O93))"),5200.0)</f>
        <v>5200</v>
      </c>
      <c r="Q93" s="36" t="str">
        <f t="shared" si="4"/>
        <v>36 200 Km, 24.02.2023</v>
      </c>
      <c r="R93" s="33"/>
      <c r="S93" s="31">
        <v>3000.0</v>
      </c>
      <c r="T93" s="32">
        <v>3.0</v>
      </c>
      <c r="U93" s="46" t="s">
        <v>270</v>
      </c>
      <c r="V93" s="46" t="s">
        <v>271</v>
      </c>
      <c r="W93" s="37" t="str">
        <f t="shared" si="5"/>
        <v>Завершена</v>
      </c>
      <c r="X93" s="25" t="str">
        <f>IFERROR(__xludf.DUMMYFUNCTION("IF(C93 = """", """", IF(REGEXMATCH(C93, ""PCX|NMAX|ADV|CLICK""), ""скутер"", ""мото""))"),"скутер")</f>
        <v>скутер</v>
      </c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</row>
    <row r="94" hidden="1">
      <c r="A94" s="13" t="s">
        <v>24</v>
      </c>
      <c r="B94" s="13" t="s">
        <v>25</v>
      </c>
      <c r="C94" s="14" t="s">
        <v>102</v>
      </c>
      <c r="D94" s="14" t="s">
        <v>228</v>
      </c>
      <c r="E94" s="48">
        <v>44984.0</v>
      </c>
      <c r="F94" s="38">
        <v>44985.0</v>
      </c>
      <c r="G94" s="17" t="str">
        <f t="shared" si="1"/>
        <v>1 Д</v>
      </c>
      <c r="H94" s="41">
        <v>2000.0</v>
      </c>
      <c r="I94" s="19" t="str">
        <f t="shared" si="2"/>
        <v/>
      </c>
      <c r="J94" s="20" t="str">
        <f t="shared" si="3"/>
        <v/>
      </c>
      <c r="K94" s="23">
        <v>2000.0</v>
      </c>
      <c r="L94" s="23"/>
      <c r="M94" s="23"/>
      <c r="N94" s="49">
        <v>30900.0</v>
      </c>
      <c r="O94" s="22">
        <f>IFERROR(__xludf.DUMMYFUNCTION("IFERROR(
  VLOOKUP(C94,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C94
    ), 
    7, FALSE
  ), 
  """"
)
"),63700.0)</f>
        <v>63700</v>
      </c>
      <c r="P94" s="22">
        <f>IFERROR(__xludf.DUMMYFUNCTION("IF(OR(ISBLANK(Q94), ISBLANK(O94), VALUE(SUBSTITUTE(INDEX(SPLIT(IF(ISBLANK(R94), Q94, R94), "" km""), 0, 1), "" "", """")) - O94 = 0), """", IF(ISBLANK(R94), VALUE(SUBSTITUTE(INDEX(SPLIT(Q94, "" km""), 0, 1), "" "", """")) - O94, VALUE(SUBSTITUTE(INDEX(SPL"&amp;"IT(R94, "" km""), 0, 1), "" "", """")) - O94))"),-32800.0)</f>
        <v>-32800</v>
      </c>
      <c r="Q94" s="23" t="str">
        <f t="shared" si="4"/>
        <v>30 900 Km, 27.02.2023</v>
      </c>
      <c r="R94" s="20"/>
      <c r="S94" s="41" t="s">
        <v>272</v>
      </c>
      <c r="T94" s="50">
        <v>2.0</v>
      </c>
      <c r="U94" s="42" t="s">
        <v>229</v>
      </c>
      <c r="V94" s="13" t="s">
        <v>230</v>
      </c>
      <c r="W94" s="24" t="str">
        <f t="shared" si="5"/>
        <v>Завершена</v>
      </c>
      <c r="X94" s="13" t="str">
        <f>IFERROR(__xludf.DUMMYFUNCTION("IF(C94 = """", """", IF(REGEXMATCH(C94, ""PCX|NMAX|ADV|CLICK""), ""скутер"", ""мото""))"),"мото")</f>
        <v>мото</v>
      </c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</row>
    <row r="95" hidden="1">
      <c r="A95" s="25" t="s">
        <v>24</v>
      </c>
      <c r="B95" s="25" t="s">
        <v>25</v>
      </c>
      <c r="C95" s="27" t="s">
        <v>56</v>
      </c>
      <c r="D95" s="27" t="s">
        <v>190</v>
      </c>
      <c r="E95" s="43">
        <v>44984.0</v>
      </c>
      <c r="F95" s="39">
        <v>45014.0</v>
      </c>
      <c r="G95" s="30" t="str">
        <f t="shared" si="1"/>
        <v>30 Д</v>
      </c>
      <c r="H95" s="40">
        <f>8500/30</f>
        <v>283.3333333</v>
      </c>
      <c r="I95" s="32" t="str">
        <f t="shared" si="2"/>
        <v/>
      </c>
      <c r="J95" s="33" t="str">
        <f t="shared" si="3"/>
        <v/>
      </c>
      <c r="K95" s="36">
        <v>8500.0</v>
      </c>
      <c r="L95" s="36"/>
      <c r="M95" s="36"/>
      <c r="N95" s="44">
        <v>25000.0</v>
      </c>
      <c r="O95" s="35">
        <f>IFERROR(__xludf.DUMMYFUNCTION("IFERROR(
  VLOOKUP(C95,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C95
    ), 
    7, FALSE
  ), 
  """"
)
"),36400.0)</f>
        <v>36400</v>
      </c>
      <c r="P95" s="35">
        <f>IFERROR(__xludf.DUMMYFUNCTION("IF(OR(ISBLANK(Q95), ISBLANK(O95), VALUE(SUBSTITUTE(INDEX(SPLIT(IF(ISBLANK(R95), Q95, R95), "" km""), 0, 1), "" "", """")) - O95 = 0), """", IF(ISBLANK(R95), VALUE(SUBSTITUTE(INDEX(SPLIT(Q95, "" km""), 0, 1), "" "", """")) - O95, VALUE(SUBSTITUTE(INDEX(SPL"&amp;"IT(R95, "" km""), 0, 1), "" "", """")) - O95))"),-11400.0)</f>
        <v>-11400</v>
      </c>
      <c r="Q95" s="36" t="str">
        <f t="shared" si="4"/>
        <v>25 000 Km, 27.02.2023</v>
      </c>
      <c r="R95" s="33"/>
      <c r="S95" s="40">
        <v>3000.0</v>
      </c>
      <c r="T95" s="45">
        <v>2.0</v>
      </c>
      <c r="U95" s="46" t="s">
        <v>191</v>
      </c>
      <c r="V95" s="25" t="s">
        <v>192</v>
      </c>
      <c r="W95" s="37" t="str">
        <f t="shared" si="5"/>
        <v>Завершена</v>
      </c>
      <c r="X95" s="25" t="str">
        <f>IFERROR(__xludf.DUMMYFUNCTION("IF(C95 = """", """", IF(REGEXMATCH(C95, ""PCX|NMAX|ADV|CLICK""), ""скутер"", ""мото""))"),"скутер")</f>
        <v>скутер</v>
      </c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</row>
    <row r="96" hidden="1">
      <c r="A96" s="13" t="s">
        <v>24</v>
      </c>
      <c r="B96" s="13" t="s">
        <v>25</v>
      </c>
      <c r="C96" s="14" t="s">
        <v>44</v>
      </c>
      <c r="D96" s="14" t="s">
        <v>41</v>
      </c>
      <c r="E96" s="48">
        <v>44985.0</v>
      </c>
      <c r="F96" s="38">
        <v>45036.0</v>
      </c>
      <c r="G96" s="17" t="str">
        <f t="shared" si="1"/>
        <v>1 М</v>
      </c>
      <c r="H96" s="18">
        <v>250.0</v>
      </c>
      <c r="I96" s="19" t="str">
        <f t="shared" si="2"/>
        <v/>
      </c>
      <c r="J96" s="20" t="str">
        <f t="shared" si="3"/>
        <v/>
      </c>
      <c r="K96" s="23">
        <f>1250+1750+1750+750</f>
        <v>5500</v>
      </c>
      <c r="L96" s="20"/>
      <c r="M96" s="20"/>
      <c r="N96" s="49">
        <v>14400.0</v>
      </c>
      <c r="O96" s="22">
        <f>IFERROR(__xludf.DUMMYFUNCTION("IFERROR(
  VLOOKUP(C96,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C96
    ), 
    7, FALSE
  ), 
  """"
)
"),30800.0)</f>
        <v>30800</v>
      </c>
      <c r="P96" s="22">
        <f>IFERROR(__xludf.DUMMYFUNCTION("IF(OR(ISBLANK(Q96), ISBLANK(O96), VALUE(SUBSTITUTE(INDEX(SPLIT(IF(ISBLANK(R96), Q96, R96), "" km""), 0, 1), "" "", """")) - O96 = 0), """", IF(ISBLANK(R96), VALUE(SUBSTITUTE(INDEX(SPLIT(Q96, "" km""), 0, 1), "" "", """")) - O96, VALUE(SUBSTITUTE(INDEX(SPL"&amp;"IT(R96, "" km""), 0, 1), "" "", """")) - O96))"),-16400.0)</f>
        <v>-16400</v>
      </c>
      <c r="Q96" s="23" t="str">
        <f t="shared" si="4"/>
        <v>14 400 Km, 28.02.2023</v>
      </c>
      <c r="R96" s="20"/>
      <c r="S96" s="18">
        <v>3000.0</v>
      </c>
      <c r="T96" s="19">
        <v>1.0</v>
      </c>
      <c r="U96" s="17" t="s">
        <v>72</v>
      </c>
      <c r="V96" s="17" t="s">
        <v>43</v>
      </c>
      <c r="W96" s="24" t="str">
        <f t="shared" si="5"/>
        <v>Завершена</v>
      </c>
      <c r="X96" s="13" t="str">
        <f>IFERROR(__xludf.DUMMYFUNCTION("IF(C96 = """", """", IF(REGEXMATCH(C96, ""PCX|NMAX|ADV|CLICK""), ""скутер"", ""мото""))"),"скутер")</f>
        <v>скутер</v>
      </c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</row>
    <row r="97" hidden="1">
      <c r="A97" s="25" t="s">
        <v>24</v>
      </c>
      <c r="B97" s="25" t="s">
        <v>25</v>
      </c>
      <c r="C97" s="27" t="s">
        <v>48</v>
      </c>
      <c r="D97" s="27" t="s">
        <v>273</v>
      </c>
      <c r="E97" s="43">
        <v>44987.0</v>
      </c>
      <c r="F97" s="39">
        <v>44993.0</v>
      </c>
      <c r="G97" s="30" t="str">
        <f t="shared" si="1"/>
        <v>6 Д</v>
      </c>
      <c r="H97" s="40">
        <v>400.0</v>
      </c>
      <c r="I97" s="32" t="str">
        <f t="shared" si="2"/>
        <v/>
      </c>
      <c r="J97" s="33" t="str">
        <f t="shared" si="3"/>
        <v/>
      </c>
      <c r="K97" s="36">
        <v>2400.0</v>
      </c>
      <c r="L97" s="36"/>
      <c r="M97" s="36"/>
      <c r="N97" s="44">
        <v>17750.0</v>
      </c>
      <c r="O97" s="35">
        <f>IFERROR(__xludf.DUMMYFUNCTION("IFERROR(
  VLOOKUP(C97,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C97
    ), 
    7, FALSE
  ), 
  """"
)
"),35800.0)</f>
        <v>35800</v>
      </c>
      <c r="P97" s="35">
        <f>IFERROR(__xludf.DUMMYFUNCTION("IF(OR(ISBLANK(Q97), ISBLANK(O97), VALUE(SUBSTITUTE(INDEX(SPLIT(IF(ISBLANK(R97), Q97, R97), "" km""), 0, 1), "" "", """")) - O97 = 0), """", IF(ISBLANK(R97), VALUE(SUBSTITUTE(INDEX(SPLIT(Q97, "" km""), 0, 1), "" "", """")) - O97, VALUE(SUBSTITUTE(INDEX(SPL"&amp;"IT(R97, "" km""), 0, 1), "" "", """")) - O97))"),-18050.0)</f>
        <v>-18050</v>
      </c>
      <c r="Q97" s="36" t="str">
        <f t="shared" si="4"/>
        <v>17 750 Km, 02.03.2023</v>
      </c>
      <c r="R97" s="33"/>
      <c r="S97" s="40">
        <v>3000.0</v>
      </c>
      <c r="T97" s="45">
        <v>2.0</v>
      </c>
      <c r="U97" s="46" t="s">
        <v>274</v>
      </c>
      <c r="V97" s="25" t="s">
        <v>275</v>
      </c>
      <c r="W97" s="37" t="str">
        <f t="shared" si="5"/>
        <v>Завершена</v>
      </c>
      <c r="X97" s="25" t="str">
        <f>IFERROR(__xludf.DUMMYFUNCTION("IF(C97 = """", """", IF(REGEXMATCH(C97, ""PCX|NMAX|ADV|CLICK""), ""скутер"", ""мото""))"),"скутер")</f>
        <v>скутер</v>
      </c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</row>
    <row r="98" hidden="1">
      <c r="A98" s="13" t="s">
        <v>24</v>
      </c>
      <c r="B98" s="13" t="s">
        <v>25</v>
      </c>
      <c r="C98" s="14" t="s">
        <v>64</v>
      </c>
      <c r="D98" s="14" t="s">
        <v>276</v>
      </c>
      <c r="E98" s="48">
        <v>44987.0</v>
      </c>
      <c r="F98" s="38">
        <v>45018.0</v>
      </c>
      <c r="G98" s="17" t="str">
        <f t="shared" si="1"/>
        <v>1 М</v>
      </c>
      <c r="H98" s="41">
        <v>500.0</v>
      </c>
      <c r="I98" s="19" t="str">
        <f t="shared" si="2"/>
        <v/>
      </c>
      <c r="J98" s="20" t="str">
        <f t="shared" si="3"/>
        <v/>
      </c>
      <c r="K98" s="23">
        <v>15000.0</v>
      </c>
      <c r="L98" s="23"/>
      <c r="M98" s="23"/>
      <c r="N98" s="49">
        <v>14000.0</v>
      </c>
      <c r="O98" s="22">
        <f>IFERROR(__xludf.DUMMYFUNCTION("IFERROR(
  VLOOKUP(C98,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C98
    ), 
    7, FALSE
  ), 
  """"
)
"),32600.0)</f>
        <v>32600</v>
      </c>
      <c r="P98" s="22">
        <f>IFERROR(__xludf.DUMMYFUNCTION("IF(OR(ISBLANK(Q98), ISBLANK(O98), VALUE(SUBSTITUTE(INDEX(SPLIT(IF(ISBLANK(R98), Q98, R98), "" km""), 0, 1), "" "", """")) - O98 = 0), """", IF(ISBLANK(R98), VALUE(SUBSTITUTE(INDEX(SPLIT(Q98, "" km""), 0, 1), "" "", """")) - O98, VALUE(SUBSTITUTE(INDEX(SPL"&amp;"IT(R98, "" km""), 0, 1), "" "", """")) - O98))"),-18600.0)</f>
        <v>-18600</v>
      </c>
      <c r="Q98" s="23" t="str">
        <f t="shared" si="4"/>
        <v>14 000 Km, 02.03.2023</v>
      </c>
      <c r="R98" s="20"/>
      <c r="S98" s="41">
        <v>200.0</v>
      </c>
      <c r="T98" s="50">
        <v>0.0</v>
      </c>
      <c r="U98" s="42" t="s">
        <v>277</v>
      </c>
      <c r="V98" s="13" t="s">
        <v>278</v>
      </c>
      <c r="W98" s="24" t="str">
        <f t="shared" si="5"/>
        <v>Завершена</v>
      </c>
      <c r="X98" s="13" t="str">
        <f>IFERROR(__xludf.DUMMYFUNCTION("IF(C98 = """", """", IF(REGEXMATCH(C98, ""PCX|NMAX|ADV|CLICK""), ""скутер"", ""мото""))"),"мото")</f>
        <v>мото</v>
      </c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</row>
    <row r="99" hidden="1">
      <c r="A99" s="25" t="s">
        <v>24</v>
      </c>
      <c r="B99" s="25" t="s">
        <v>25</v>
      </c>
      <c r="C99" s="27" t="s">
        <v>279</v>
      </c>
      <c r="D99" s="27" t="s">
        <v>107</v>
      </c>
      <c r="E99" s="43">
        <v>44987.0</v>
      </c>
      <c r="F99" s="39">
        <v>45048.0</v>
      </c>
      <c r="G99" s="30" t="str">
        <f t="shared" si="1"/>
        <v>2 М</v>
      </c>
      <c r="H99" s="40">
        <v>400.0</v>
      </c>
      <c r="I99" s="32" t="str">
        <f t="shared" si="2"/>
        <v/>
      </c>
      <c r="J99" s="33" t="str">
        <f t="shared" si="3"/>
        <v/>
      </c>
      <c r="K99" s="36">
        <f>12000+12000+12000</f>
        <v>36000</v>
      </c>
      <c r="L99" s="36"/>
      <c r="M99" s="36"/>
      <c r="N99" s="44">
        <v>3500.0</v>
      </c>
      <c r="O99" s="35">
        <f>IFERROR(__xludf.DUMMYFUNCTION("IFERROR(
  VLOOKUP(C99,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C99
    ), 
    7, FALSE
  ), 
  """"
)
"),9000.0)</f>
        <v>9000</v>
      </c>
      <c r="P99" s="35" t="str">
        <f>IFERROR(__xludf.DUMMYFUNCTION("IF(OR(ISBLANK(Q99), ISBLANK(O99), VALUE(SUBSTITUTE(INDEX(SPLIT(IF(ISBLANK(R99), Q99, R99), "" km""), 0, 1), "" "", """")) - O99 = 0), """", IF(ISBLANK(R99), VALUE(SUBSTITUTE(INDEX(SPLIT(Q99, "" km""), 0, 1), "" "", """")) - O99, VALUE(SUBSTITUTE(INDEX(SPL"&amp;"IT(R99, "" km""), 0, 1), "" "", """")) - O99))"),"#VALUE!")</f>
        <v>#VALUE!</v>
      </c>
      <c r="Q99" s="36" t="str">
        <f t="shared" si="4"/>
        <v>полбака возврат</v>
      </c>
      <c r="R99" s="36" t="s">
        <v>280</v>
      </c>
      <c r="S99" s="40">
        <v>10000.0</v>
      </c>
      <c r="T99" s="45">
        <v>2.0</v>
      </c>
      <c r="U99" s="46" t="s">
        <v>109</v>
      </c>
      <c r="V99" s="25" t="s">
        <v>110</v>
      </c>
      <c r="W99" s="37" t="str">
        <f t="shared" si="5"/>
        <v>Завершена</v>
      </c>
      <c r="X99" s="25" t="str">
        <f>IFERROR(__xludf.DUMMYFUNCTION("IF(C99 = """", """", IF(REGEXMATCH(C99, ""PCX|NMAX|ADV|CLICK""), ""скутер"", ""мото""))"),"мото")</f>
        <v>мото</v>
      </c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</row>
    <row r="100" hidden="1">
      <c r="A100" s="13" t="s">
        <v>24</v>
      </c>
      <c r="B100" s="13" t="s">
        <v>25</v>
      </c>
      <c r="C100" s="14" t="s">
        <v>121</v>
      </c>
      <c r="D100" s="14" t="s">
        <v>281</v>
      </c>
      <c r="E100" s="48">
        <v>44989.0</v>
      </c>
      <c r="F100" s="38">
        <v>45020.0</v>
      </c>
      <c r="G100" s="17" t="str">
        <f t="shared" si="1"/>
        <v>1 М</v>
      </c>
      <c r="H100" s="41">
        <f>8000/30</f>
        <v>266.6666667</v>
      </c>
      <c r="I100" s="19" t="str">
        <f t="shared" si="2"/>
        <v/>
      </c>
      <c r="J100" s="20" t="str">
        <f t="shared" si="3"/>
        <v/>
      </c>
      <c r="K100" s="23">
        <v>8000.0</v>
      </c>
      <c r="L100" s="23"/>
      <c r="M100" s="23"/>
      <c r="N100" s="49">
        <v>23700.0</v>
      </c>
      <c r="O100" s="22" t="str">
        <f>IFERROR(__xludf.DUMMYFUNCTION("IFERROR(
  VLOOKUP(C100,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C100
    ), 
    7, FALSE
  ), 
  """"
)
"),"")</f>
        <v/>
      </c>
      <c r="P100" s="22">
        <f>IFERROR(__xludf.DUMMYFUNCTION("IF(OR(ISBLANK(Q100), ISBLANK(O100), VALUE(SUBSTITUTE(INDEX(SPLIT(IF(ISBLANK(R100), Q100, R100), "" km""), 0, 1), "" "", """")) - O100 = 0), """", IF(ISBLANK(R100), VALUE(SUBSTITUTE(INDEX(SPLIT(Q100, "" km""), 0, 1), "" "", """")) - O100, VALUE(SUBSTITUTE("&amp;"INDEX(SPLIT(R100, "" km""), 0, 1), "" "", """")) - O100))"),23700.0)</f>
        <v>23700</v>
      </c>
      <c r="Q100" s="23" t="str">
        <f t="shared" si="4"/>
        <v>23 700 Km, 04.03.2023</v>
      </c>
      <c r="R100" s="20"/>
      <c r="S100" s="41">
        <v>6000.0</v>
      </c>
      <c r="T100" s="50">
        <v>2.0</v>
      </c>
      <c r="U100" s="42" t="s">
        <v>282</v>
      </c>
      <c r="V100" s="13" t="s">
        <v>117</v>
      </c>
      <c r="W100" s="24" t="str">
        <f t="shared" si="5"/>
        <v>Завершена</v>
      </c>
      <c r="X100" s="13" t="str">
        <f>IFERROR(__xludf.DUMMYFUNCTION("IF(C100 = """", """", IF(REGEXMATCH(C100, ""PCX|NMAX|ADV|CLICK""), ""скутер"", ""мото""))"),"скутер")</f>
        <v>скутер</v>
      </c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</row>
    <row r="101" hidden="1">
      <c r="A101" s="25" t="s">
        <v>24</v>
      </c>
      <c r="B101" s="25" t="s">
        <v>25</v>
      </c>
      <c r="C101" s="27" t="s">
        <v>68</v>
      </c>
      <c r="D101" s="27" t="s">
        <v>283</v>
      </c>
      <c r="E101" s="28">
        <v>44990.0</v>
      </c>
      <c r="F101" s="29">
        <v>45174.0</v>
      </c>
      <c r="G101" s="30" t="str">
        <f t="shared" si="1"/>
        <v>6 М</v>
      </c>
      <c r="H101" s="31">
        <f>7000/30</f>
        <v>233.3333333</v>
      </c>
      <c r="I101" s="32" t="str">
        <f t="shared" si="2"/>
        <v/>
      </c>
      <c r="J101" s="33" t="str">
        <f t="shared" si="3"/>
        <v/>
      </c>
      <c r="K101" s="36">
        <v>14000.0</v>
      </c>
      <c r="L101" s="33"/>
      <c r="M101" s="33"/>
      <c r="N101" s="44">
        <v>32800.0</v>
      </c>
      <c r="O101" s="35">
        <f>IFERROR(__xludf.DUMMYFUNCTION("IFERROR(
  VLOOKUP(C101,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C101
    ), 
    7, FALSE
  ), 
  """"
)
"),24094.0)</f>
        <v>24094</v>
      </c>
      <c r="P101" s="35">
        <f>IFERROR(__xludf.DUMMYFUNCTION("IF(OR(ISBLANK(Q101), ISBLANK(O101), VALUE(SUBSTITUTE(INDEX(SPLIT(IF(ISBLANK(R101), Q101, R101), "" km""), 0, 1), "" "", """")) - O101 = 0), """", IF(ISBLANK(R101), VALUE(SUBSTITUTE(INDEX(SPLIT(Q101, "" km""), 0, 1), "" "", """")) - O101, VALUE(SUBSTITUTE("&amp;"INDEX(SPLIT(R101, "" km""), 0, 1), "" "", """")) - O101))"),8706.0)</f>
        <v>8706</v>
      </c>
      <c r="Q101" s="36" t="str">
        <f t="shared" si="4"/>
        <v>32 800 Km, 05.03.2023</v>
      </c>
      <c r="R101" s="33"/>
      <c r="S101" s="31">
        <f>4000-500</f>
        <v>3500</v>
      </c>
      <c r="T101" s="32">
        <v>1.0</v>
      </c>
      <c r="U101" s="30" t="s">
        <v>284</v>
      </c>
      <c r="V101" s="30" t="s">
        <v>285</v>
      </c>
      <c r="W101" s="37" t="str">
        <f t="shared" si="5"/>
        <v>Завершена</v>
      </c>
      <c r="X101" s="25" t="str">
        <f>IFERROR(__xludf.DUMMYFUNCTION("IF(C101 = """", """", IF(REGEXMATCH(C101, ""PCX|NMAX|ADV|CLICK""), ""скутер"", ""мото""))"),"скутер")</f>
        <v>скутер</v>
      </c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</row>
    <row r="102" hidden="1">
      <c r="A102" s="13" t="s">
        <v>24</v>
      </c>
      <c r="B102" s="13" t="s">
        <v>25</v>
      </c>
      <c r="C102" s="14" t="s">
        <v>286</v>
      </c>
      <c r="D102" s="14" t="s">
        <v>287</v>
      </c>
      <c r="E102" s="48">
        <v>44993.0</v>
      </c>
      <c r="F102" s="38">
        <v>45000.0</v>
      </c>
      <c r="G102" s="17" t="str">
        <f t="shared" si="1"/>
        <v>7 Д</v>
      </c>
      <c r="H102" s="41">
        <v>600.0</v>
      </c>
      <c r="I102" s="19" t="str">
        <f t="shared" si="2"/>
        <v/>
      </c>
      <c r="J102" s="20" t="str">
        <f t="shared" si="3"/>
        <v/>
      </c>
      <c r="K102" s="23">
        <v>4200.0</v>
      </c>
      <c r="L102" s="23"/>
      <c r="M102" s="23"/>
      <c r="N102" s="49">
        <v>4700.0</v>
      </c>
      <c r="O102" s="22" t="str">
        <f>IFERROR(__xludf.DUMMYFUNCTION("IFERROR(
  VLOOKUP(C102,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C102
    ), 
    7, FALSE
  ), 
  """"
)
"),"")</f>
        <v/>
      </c>
      <c r="P102" s="22">
        <f>IFERROR(__xludf.DUMMYFUNCTION("IF(OR(ISBLANK(Q102), ISBLANK(O102), VALUE(SUBSTITUTE(INDEX(SPLIT(IF(ISBLANK(R102), Q102, R102), "" km""), 0, 1), "" "", """")) - O102 = 0), """", IF(ISBLANK(R102), VALUE(SUBSTITUTE(INDEX(SPLIT(Q102, "" km""), 0, 1), "" "", """")) - O102, VALUE(SUBSTITUTE("&amp;"INDEX(SPLIT(R102, "" km""), 0, 1), "" "", """")) - O102))"),4700.0)</f>
        <v>4700</v>
      </c>
      <c r="Q102" s="23" t="str">
        <f t="shared" si="4"/>
        <v>4 700 Km, 08.03.2023</v>
      </c>
      <c r="R102" s="20"/>
      <c r="S102" s="41"/>
      <c r="T102" s="50">
        <v>1.0</v>
      </c>
      <c r="U102" s="42" t="s">
        <v>288</v>
      </c>
      <c r="V102" s="13" t="s">
        <v>289</v>
      </c>
      <c r="W102" s="24" t="str">
        <f t="shared" si="5"/>
        <v>Завершена</v>
      </c>
      <c r="X102" s="13" t="str">
        <f>IFERROR(__xludf.DUMMYFUNCTION("IF(C102 = """", """", IF(REGEXMATCH(C102, ""PCX|NMAX|ADV|CLICK""), ""скутер"", ""мото""))"),"мото")</f>
        <v>мото</v>
      </c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</row>
    <row r="103" hidden="1">
      <c r="A103" s="25" t="s">
        <v>24</v>
      </c>
      <c r="B103" s="25" t="s">
        <v>25</v>
      </c>
      <c r="C103" s="27" t="s">
        <v>286</v>
      </c>
      <c r="D103" s="27" t="s">
        <v>231</v>
      </c>
      <c r="E103" s="43">
        <v>44996.0</v>
      </c>
      <c r="F103" s="39">
        <v>44998.0</v>
      </c>
      <c r="G103" s="30" t="str">
        <f t="shared" si="1"/>
        <v>2 Д</v>
      </c>
      <c r="H103" s="40">
        <v>600.0</v>
      </c>
      <c r="I103" s="32" t="str">
        <f t="shared" si="2"/>
        <v/>
      </c>
      <c r="J103" s="33" t="str">
        <f t="shared" si="3"/>
        <v/>
      </c>
      <c r="K103" s="36">
        <v>1200.0</v>
      </c>
      <c r="L103" s="36"/>
      <c r="M103" s="36"/>
      <c r="N103" s="44">
        <v>4800.0</v>
      </c>
      <c r="O103" s="35" t="str">
        <f>IFERROR(__xludf.DUMMYFUNCTION("IFERROR(
  VLOOKUP(C103,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C103
    ), 
    7, FALSE
  ), 
  """"
)
"),"")</f>
        <v/>
      </c>
      <c r="P103" s="35">
        <f>IFERROR(__xludf.DUMMYFUNCTION("IF(OR(ISBLANK(Q103), ISBLANK(O103), VALUE(SUBSTITUTE(INDEX(SPLIT(IF(ISBLANK(R103), Q103, R103), "" km""), 0, 1), "" "", """")) - O103 = 0), """", IF(ISBLANK(R103), VALUE(SUBSTITUTE(INDEX(SPLIT(Q103, "" km""), 0, 1), "" "", """")) - O103, VALUE(SUBSTITUTE("&amp;"INDEX(SPLIT(R103, "" km""), 0, 1), "" "", """")) - O103))"),4800.0)</f>
        <v>4800</v>
      </c>
      <c r="Q103" s="36" t="str">
        <f t="shared" si="4"/>
        <v>4 800 Km, 11.03.2023</v>
      </c>
      <c r="R103" s="33"/>
      <c r="S103" s="40"/>
      <c r="T103" s="32">
        <v>2.0</v>
      </c>
      <c r="U103" s="30" t="s">
        <v>232</v>
      </c>
      <c r="V103" s="30" t="s">
        <v>233</v>
      </c>
      <c r="W103" s="37" t="str">
        <f t="shared" si="5"/>
        <v>Завершена</v>
      </c>
      <c r="X103" s="25" t="str">
        <f>IFERROR(__xludf.DUMMYFUNCTION("IF(C103 = """", """", IF(REGEXMATCH(C103, ""PCX|NMAX|ADV|CLICK""), ""скутер"", ""мото""))"),"мото")</f>
        <v>мото</v>
      </c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</row>
    <row r="104" hidden="1">
      <c r="A104" s="13" t="s">
        <v>24</v>
      </c>
      <c r="B104" s="13" t="s">
        <v>25</v>
      </c>
      <c r="C104" s="47" t="s">
        <v>32</v>
      </c>
      <c r="D104" s="14" t="s">
        <v>290</v>
      </c>
      <c r="E104" s="48">
        <v>44996.0</v>
      </c>
      <c r="F104" s="38">
        <v>45003.0</v>
      </c>
      <c r="G104" s="17" t="str">
        <f t="shared" si="1"/>
        <v>7 Д</v>
      </c>
      <c r="H104" s="41">
        <v>800.0</v>
      </c>
      <c r="I104" s="19" t="str">
        <f t="shared" si="2"/>
        <v/>
      </c>
      <c r="J104" s="20" t="str">
        <f t="shared" si="3"/>
        <v/>
      </c>
      <c r="K104" s="23">
        <f>1600+3500</f>
        <v>5100</v>
      </c>
      <c r="L104" s="23"/>
      <c r="M104" s="23"/>
      <c r="N104" s="49">
        <v>16866.0</v>
      </c>
      <c r="O104" s="22">
        <f>IFERROR(__xludf.DUMMYFUNCTION("IFERROR(
  VLOOKUP(C104,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C104
    ), 
    7, FALSE
  ), 
  """"
)
"),38640.0)</f>
        <v>38640</v>
      </c>
      <c r="P104" s="22">
        <f>IFERROR(__xludf.DUMMYFUNCTION("IF(OR(ISBLANK(Q104), ISBLANK(O104), VALUE(SUBSTITUTE(INDEX(SPLIT(IF(ISBLANK(R104), Q104, R104), "" km""), 0, 1), "" "", """")) - O104 = 0), """", IF(ISBLANK(R104), VALUE(SUBSTITUTE(INDEX(SPLIT(Q104, "" km""), 0, 1), "" "", """")) - O104, VALUE(SUBSTITUTE("&amp;"INDEX(SPLIT(R104, "" km""), 0, 1), "" "", """")) - O104))"),-21774.0)</f>
        <v>-21774</v>
      </c>
      <c r="Q104" s="23" t="str">
        <f t="shared" si="4"/>
        <v>16 866 Km, 11.03.2023</v>
      </c>
      <c r="R104" s="23"/>
      <c r="S104" s="41">
        <v>5000.0</v>
      </c>
      <c r="T104" s="50">
        <v>2.0</v>
      </c>
      <c r="U104" s="42" t="s">
        <v>291</v>
      </c>
      <c r="V104" s="13" t="s">
        <v>292</v>
      </c>
      <c r="W104" s="24" t="str">
        <f t="shared" si="5"/>
        <v>Завершена</v>
      </c>
      <c r="X104" s="13" t="str">
        <f>IFERROR(__xludf.DUMMYFUNCTION("IF(C104 = """", """", IF(REGEXMATCH(C104, ""PCX|NMAX|ADV|CLICK""), ""скутер"", ""мото""))"),"мото")</f>
        <v>мото</v>
      </c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 hidden="1">
      <c r="A105" s="25" t="s">
        <v>24</v>
      </c>
      <c r="B105" s="25" t="s">
        <v>25</v>
      </c>
      <c r="C105" s="27" t="s">
        <v>202</v>
      </c>
      <c r="D105" s="27" t="s">
        <v>283</v>
      </c>
      <c r="E105" s="43">
        <v>44996.0</v>
      </c>
      <c r="F105" s="39">
        <v>45003.0</v>
      </c>
      <c r="G105" s="30" t="str">
        <f t="shared" si="1"/>
        <v>7 Д</v>
      </c>
      <c r="H105" s="40">
        <v>700.0</v>
      </c>
      <c r="I105" s="32" t="str">
        <f t="shared" si="2"/>
        <v/>
      </c>
      <c r="J105" s="33" t="str">
        <f t="shared" si="3"/>
        <v/>
      </c>
      <c r="K105" s="36">
        <v>4900.0</v>
      </c>
      <c r="L105" s="36"/>
      <c r="M105" s="36"/>
      <c r="N105" s="44">
        <v>17400.0</v>
      </c>
      <c r="O105" s="35">
        <f>IFERROR(__xludf.DUMMYFUNCTION("IFERROR(
  VLOOKUP(C105,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C105
    ), 
    7, FALSE
  ), 
  """"
)
"),30225.0)</f>
        <v>30225</v>
      </c>
      <c r="P105" s="35">
        <f>IFERROR(__xludf.DUMMYFUNCTION("IF(OR(ISBLANK(Q105), ISBLANK(O105), VALUE(SUBSTITUTE(INDEX(SPLIT(IF(ISBLANK(R105), Q105, R105), "" km""), 0, 1), "" "", """")) - O105 = 0), """", IF(ISBLANK(R105), VALUE(SUBSTITUTE(INDEX(SPLIT(Q105, "" km""), 0, 1), "" "", """")) - O105, VALUE(SUBSTITUTE("&amp;"INDEX(SPLIT(R105, "" km""), 0, 1), "" "", """")) - O105))"),-12825.0)</f>
        <v>-12825</v>
      </c>
      <c r="Q105" s="36" t="str">
        <f t="shared" si="4"/>
        <v>17 400 Km, 11.03.2023</v>
      </c>
      <c r="R105" s="33"/>
      <c r="S105" s="40">
        <v>5000.0</v>
      </c>
      <c r="T105" s="45">
        <v>1.0</v>
      </c>
      <c r="U105" s="46" t="s">
        <v>284</v>
      </c>
      <c r="V105" s="25" t="s">
        <v>285</v>
      </c>
      <c r="W105" s="37" t="str">
        <f t="shared" si="5"/>
        <v>Завершена</v>
      </c>
      <c r="X105" s="25" t="str">
        <f>IFERROR(__xludf.DUMMYFUNCTION("IF(C105 = """", """", IF(REGEXMATCH(C105, ""PCX|NMAX|ADV|CLICK""), ""скутер"", ""мото""))"),"мото")</f>
        <v>мото</v>
      </c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</row>
    <row r="106" hidden="1">
      <c r="A106" s="13" t="s">
        <v>24</v>
      </c>
      <c r="B106" s="13" t="s">
        <v>25</v>
      </c>
      <c r="C106" s="14" t="s">
        <v>92</v>
      </c>
      <c r="D106" s="14" t="s">
        <v>293</v>
      </c>
      <c r="E106" s="48">
        <v>44997.0</v>
      </c>
      <c r="F106" s="38">
        <v>44999.0</v>
      </c>
      <c r="G106" s="17" t="str">
        <f t="shared" si="1"/>
        <v>2 Д</v>
      </c>
      <c r="H106" s="41">
        <v>1000.0</v>
      </c>
      <c r="I106" s="19" t="str">
        <f t="shared" si="2"/>
        <v/>
      </c>
      <c r="J106" s="20" t="str">
        <f t="shared" si="3"/>
        <v/>
      </c>
      <c r="K106" s="23">
        <v>2000.0</v>
      </c>
      <c r="L106" s="23"/>
      <c r="M106" s="23"/>
      <c r="N106" s="49">
        <v>31054.0</v>
      </c>
      <c r="O106" s="22">
        <f>IFERROR(__xludf.DUMMYFUNCTION("IFERROR(
  VLOOKUP(C106,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C106
    ), 
    7, FALSE
  ), 
  """"
)
"),23500.0)</f>
        <v>23500</v>
      </c>
      <c r="P106" s="22">
        <f>IFERROR(__xludf.DUMMYFUNCTION("IF(OR(ISBLANK(Q106), ISBLANK(O106), VALUE(SUBSTITUTE(INDEX(SPLIT(IF(ISBLANK(R106), Q106, R106), "" km""), 0, 1), "" "", """")) - O106 = 0), """", IF(ISBLANK(R106), VALUE(SUBSTITUTE(INDEX(SPLIT(Q106, "" km""), 0, 1), "" "", """")) - O106, VALUE(SUBSTITUTE("&amp;"INDEX(SPLIT(R106, "" km""), 0, 1), "" "", """")) - O106))"),7554.0)</f>
        <v>7554</v>
      </c>
      <c r="Q106" s="23" t="str">
        <f t="shared" si="4"/>
        <v>31 054 Km, 12.03.2023</v>
      </c>
      <c r="R106" s="23"/>
      <c r="S106" s="41">
        <v>5000.0</v>
      </c>
      <c r="T106" s="50">
        <v>2.0</v>
      </c>
      <c r="U106" s="42" t="s">
        <v>294</v>
      </c>
      <c r="V106" s="13" t="s">
        <v>254</v>
      </c>
      <c r="W106" s="24" t="str">
        <f t="shared" si="5"/>
        <v>Завершена</v>
      </c>
      <c r="X106" s="13" t="str">
        <f>IFERROR(__xludf.DUMMYFUNCTION("IF(C106 = """", """", IF(REGEXMATCH(C106, ""PCX|NMAX|ADV|CLICK""), ""скутер"", ""мото""))"),"мото")</f>
        <v>мото</v>
      </c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</row>
    <row r="107" hidden="1">
      <c r="A107" s="25" t="s">
        <v>24</v>
      </c>
      <c r="B107" s="25" t="s">
        <v>25</v>
      </c>
      <c r="C107" s="27" t="s">
        <v>198</v>
      </c>
      <c r="D107" s="27" t="s">
        <v>295</v>
      </c>
      <c r="E107" s="43">
        <v>44999.0</v>
      </c>
      <c r="F107" s="39">
        <v>45006.0</v>
      </c>
      <c r="G107" s="30" t="str">
        <f t="shared" si="1"/>
        <v>7 Д</v>
      </c>
      <c r="H107" s="40">
        <v>700.0</v>
      </c>
      <c r="I107" s="32" t="str">
        <f t="shared" si="2"/>
        <v/>
      </c>
      <c r="J107" s="33" t="str">
        <f t="shared" si="3"/>
        <v/>
      </c>
      <c r="K107" s="36">
        <v>5600.0</v>
      </c>
      <c r="L107" s="36"/>
      <c r="M107" s="36"/>
      <c r="N107" s="44">
        <v>13200.0</v>
      </c>
      <c r="O107" s="35" t="str">
        <f>IFERROR(__xludf.DUMMYFUNCTION("IFERROR(
  VLOOKUP(C107,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C107
    ), 
    7, FALSE
  ), 
  """"
)
"),"")</f>
        <v/>
      </c>
      <c r="P107" s="35">
        <f>IFERROR(__xludf.DUMMYFUNCTION("IF(OR(ISBLANK(Q107), ISBLANK(O107), VALUE(SUBSTITUTE(INDEX(SPLIT(IF(ISBLANK(R107), Q107, R107), "" km""), 0, 1), "" "", """")) - O107 = 0), """", IF(ISBLANK(R107), VALUE(SUBSTITUTE(INDEX(SPLIT(Q107, "" km""), 0, 1), "" "", """")) - O107, VALUE(SUBSTITUTE("&amp;"INDEX(SPLIT(R107, "" km""), 0, 1), "" "", """")) - O107))"),13200.0)</f>
        <v>13200</v>
      </c>
      <c r="Q107" s="36" t="str">
        <f t="shared" si="4"/>
        <v>13 200 Km, 14.03.2023</v>
      </c>
      <c r="R107" s="33"/>
      <c r="S107" s="40">
        <v>5000.0</v>
      </c>
      <c r="T107" s="45">
        <v>1.0</v>
      </c>
      <c r="U107" s="46" t="s">
        <v>296</v>
      </c>
      <c r="V107" s="25" t="s">
        <v>297</v>
      </c>
      <c r="W107" s="37" t="str">
        <f t="shared" si="5"/>
        <v>Завершена</v>
      </c>
      <c r="X107" s="25" t="str">
        <f>IFERROR(__xludf.DUMMYFUNCTION("IF(C107 = """", """", IF(REGEXMATCH(C107, ""PCX|NMAX|ADV|CLICK""), ""скутер"", ""мото""))"),"мото")</f>
        <v>мото</v>
      </c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</row>
    <row r="108" hidden="1">
      <c r="A108" s="13" t="s">
        <v>24</v>
      </c>
      <c r="B108" s="13" t="s">
        <v>25</v>
      </c>
      <c r="C108" s="14" t="s">
        <v>286</v>
      </c>
      <c r="D108" s="14" t="s">
        <v>298</v>
      </c>
      <c r="E108" s="48">
        <v>44999.0</v>
      </c>
      <c r="F108" s="38">
        <v>45006.0</v>
      </c>
      <c r="G108" s="17" t="str">
        <f t="shared" si="1"/>
        <v>7 Д</v>
      </c>
      <c r="H108" s="41">
        <v>500.0</v>
      </c>
      <c r="I108" s="19" t="str">
        <f t="shared" si="2"/>
        <v/>
      </c>
      <c r="J108" s="20" t="str">
        <f t="shared" si="3"/>
        <v/>
      </c>
      <c r="K108" s="23">
        <v>3500.0</v>
      </c>
      <c r="L108" s="23"/>
      <c r="M108" s="23"/>
      <c r="N108" s="49">
        <v>5000.0</v>
      </c>
      <c r="O108" s="22" t="str">
        <f>IFERROR(__xludf.DUMMYFUNCTION("IFERROR(
  VLOOKUP(C108,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C108
    ), 
    7, FALSE
  ), 
  """"
)
"),"")</f>
        <v/>
      </c>
      <c r="P108" s="22">
        <f>IFERROR(__xludf.DUMMYFUNCTION("IF(OR(ISBLANK(Q108), ISBLANK(O108), VALUE(SUBSTITUTE(INDEX(SPLIT(IF(ISBLANK(R108), Q108, R108), "" km""), 0, 1), "" "", """")) - O108 = 0), """", IF(ISBLANK(R108), VALUE(SUBSTITUTE(INDEX(SPLIT(Q108, "" km""), 0, 1), "" "", """")) - O108, VALUE(SUBSTITUTE("&amp;"INDEX(SPLIT(R108, "" km""), 0, 1), "" "", """")) - O108))"),5000.0)</f>
        <v>5000</v>
      </c>
      <c r="Q108" s="23" t="str">
        <f t="shared" si="4"/>
        <v>5 000 Km, 14.03.2023</v>
      </c>
      <c r="R108" s="20"/>
      <c r="S108" s="41">
        <v>10000.0</v>
      </c>
      <c r="T108" s="50">
        <v>1.0</v>
      </c>
      <c r="U108" s="42" t="s">
        <v>299</v>
      </c>
      <c r="V108" s="13" t="s">
        <v>300</v>
      </c>
      <c r="W108" s="24" t="str">
        <f t="shared" si="5"/>
        <v>Завершена</v>
      </c>
      <c r="X108" s="13" t="str">
        <f>IFERROR(__xludf.DUMMYFUNCTION("IF(C108 = """", """", IF(REGEXMATCH(C108, ""PCX|NMAX|ADV|CLICK""), ""скутер"", ""мото""))"),"мото")</f>
        <v>мото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</row>
    <row r="109" hidden="1">
      <c r="A109" s="25" t="s">
        <v>24</v>
      </c>
      <c r="B109" s="25" t="s">
        <v>25</v>
      </c>
      <c r="C109" s="27" t="s">
        <v>48</v>
      </c>
      <c r="D109" s="27" t="s">
        <v>301</v>
      </c>
      <c r="E109" s="43">
        <v>44999.0</v>
      </c>
      <c r="F109" s="39">
        <v>45030.0</v>
      </c>
      <c r="G109" s="30" t="str">
        <f t="shared" si="1"/>
        <v>1 М</v>
      </c>
      <c r="H109" s="40">
        <v>250.0</v>
      </c>
      <c r="I109" s="32" t="str">
        <f t="shared" si="2"/>
        <v/>
      </c>
      <c r="J109" s="33" t="str">
        <f t="shared" si="3"/>
        <v/>
      </c>
      <c r="K109" s="36">
        <v>7500.0</v>
      </c>
      <c r="L109" s="36"/>
      <c r="M109" s="36"/>
      <c r="N109" s="44">
        <v>18000.0</v>
      </c>
      <c r="O109" s="35">
        <f>IFERROR(__xludf.DUMMYFUNCTION("IFERROR(
  VLOOKUP(C109,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C109
    ), 
    7, FALSE
  ), 
  """"
)
"),35800.0)</f>
        <v>35800</v>
      </c>
      <c r="P109" s="35">
        <f>IFERROR(__xludf.DUMMYFUNCTION("IF(OR(ISBLANK(Q109), ISBLANK(O109), VALUE(SUBSTITUTE(INDEX(SPLIT(IF(ISBLANK(R109), Q109, R109), "" km""), 0, 1), "" "", """")) - O109 = 0), """", IF(ISBLANK(R109), VALUE(SUBSTITUTE(INDEX(SPLIT(Q109, "" km""), 0, 1), "" "", """")) - O109, VALUE(SUBSTITUTE("&amp;"INDEX(SPLIT(R109, "" km""), 0, 1), "" "", """")) - O109))"),-17800.0)</f>
        <v>-17800</v>
      </c>
      <c r="Q109" s="36" t="str">
        <f t="shared" si="4"/>
        <v>18 000 Km, 14.03.2023</v>
      </c>
      <c r="R109" s="33"/>
      <c r="S109" s="40">
        <v>3000.0</v>
      </c>
      <c r="T109" s="45">
        <v>1.0</v>
      </c>
      <c r="U109" s="46" t="s">
        <v>302</v>
      </c>
      <c r="V109" s="25" t="s">
        <v>303</v>
      </c>
      <c r="W109" s="37" t="str">
        <f t="shared" si="5"/>
        <v>Завершена</v>
      </c>
      <c r="X109" s="25" t="str">
        <f>IFERROR(__xludf.DUMMYFUNCTION("IF(C109 = """", """", IF(REGEXMATCH(C109, ""PCX|NMAX|ADV|CLICK""), ""скутер"", ""мото""))"),"скутер")</f>
        <v>скутер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</row>
    <row r="110" hidden="1">
      <c r="A110" s="13" t="s">
        <v>24</v>
      </c>
      <c r="B110" s="13" t="s">
        <v>25</v>
      </c>
      <c r="C110" s="14" t="s">
        <v>132</v>
      </c>
      <c r="D110" s="14" t="s">
        <v>304</v>
      </c>
      <c r="E110" s="48">
        <v>44999.0</v>
      </c>
      <c r="F110" s="38">
        <v>45030.0</v>
      </c>
      <c r="G110" s="17" t="str">
        <f t="shared" si="1"/>
        <v>1 М</v>
      </c>
      <c r="H110" s="18">
        <f>6500/30</f>
        <v>216.6666667</v>
      </c>
      <c r="I110" s="19" t="str">
        <f t="shared" si="2"/>
        <v/>
      </c>
      <c r="J110" s="20" t="str">
        <f t="shared" si="3"/>
        <v/>
      </c>
      <c r="K110" s="23">
        <v>6500.0</v>
      </c>
      <c r="L110" s="20"/>
      <c r="M110" s="20"/>
      <c r="N110" s="49">
        <v>27500.0</v>
      </c>
      <c r="O110" s="22" t="str">
        <f>IFERROR(__xludf.DUMMYFUNCTION("IFERROR(
  VLOOKUP(C110,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C110
    ), 
    7, FALSE
  ), 
  """"
)
"),"")</f>
        <v/>
      </c>
      <c r="P110" s="22">
        <f>IFERROR(__xludf.DUMMYFUNCTION("IF(OR(ISBLANK(Q110), ISBLANK(O110), VALUE(SUBSTITUTE(INDEX(SPLIT(IF(ISBLANK(R110), Q110, R110), "" km""), 0, 1), "" "", """")) - O110 = 0), """", IF(ISBLANK(R110), VALUE(SUBSTITUTE(INDEX(SPLIT(Q110, "" km""), 0, 1), "" "", """")) - O110, VALUE(SUBSTITUTE("&amp;"INDEX(SPLIT(R110, "" km""), 0, 1), "" "", """")) - O110))"),27500.0)</f>
        <v>27500</v>
      </c>
      <c r="Q110" s="23" t="str">
        <f t="shared" si="4"/>
        <v>27 500 Km, 14.03.2023</v>
      </c>
      <c r="R110" s="23"/>
      <c r="S110" s="41">
        <v>2500.0</v>
      </c>
      <c r="T110" s="50">
        <v>2.0</v>
      </c>
      <c r="U110" s="42" t="s">
        <v>305</v>
      </c>
      <c r="V110" s="13" t="s">
        <v>306</v>
      </c>
      <c r="W110" s="24" t="str">
        <f t="shared" si="5"/>
        <v>Завершена</v>
      </c>
      <c r="X110" s="13" t="str">
        <f>IFERROR(__xludf.DUMMYFUNCTION("IF(C110 = """", """", IF(REGEXMATCH(C110, ""PCX|NMAX|ADV|CLICK""), ""скутер"", ""мото""))"),"скутер")</f>
        <v>скутер</v>
      </c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</row>
    <row r="111" hidden="1">
      <c r="A111" s="25" t="s">
        <v>24</v>
      </c>
      <c r="B111" s="25" t="s">
        <v>25</v>
      </c>
      <c r="C111" s="27" t="s">
        <v>92</v>
      </c>
      <c r="D111" s="27" t="s">
        <v>307</v>
      </c>
      <c r="E111" s="43">
        <v>45002.0</v>
      </c>
      <c r="F111" s="39">
        <v>45005.0</v>
      </c>
      <c r="G111" s="30" t="str">
        <f t="shared" si="1"/>
        <v>3 Д</v>
      </c>
      <c r="H111" s="40">
        <v>700.0</v>
      </c>
      <c r="I111" s="32" t="str">
        <f t="shared" si="2"/>
        <v/>
      </c>
      <c r="J111" s="33" t="str">
        <f t="shared" si="3"/>
        <v/>
      </c>
      <c r="K111" s="36">
        <v>2100.0</v>
      </c>
      <c r="L111" s="36"/>
      <c r="M111" s="36"/>
      <c r="N111" s="34"/>
      <c r="O111" s="35">
        <f>IFERROR(__xludf.DUMMYFUNCTION("IFERROR(
  VLOOKUP(C111,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C111
    ), 
    7, FALSE
  ), 
  """"
)
"),23500.0)</f>
        <v>23500</v>
      </c>
      <c r="P111" s="35">
        <f>IFERROR(__xludf.DUMMYFUNCTION("IF(OR(ISBLANK(Q111), ISBLANK(O111), VALUE(SUBSTITUTE(INDEX(SPLIT(IF(ISBLANK(R111), Q111, R111), "" km""), 0, 1), "" "", """")) - O111 = 0), """", IF(ISBLANK(R111), VALUE(SUBSTITUTE(INDEX(SPLIT(Q111, "" km""), 0, 1), "" "", """")) - O111, VALUE(SUBSTITUTE("&amp;"INDEX(SPLIT(R111, "" km""), 0, 1), "" "", """")) - O111))"),-23500.0)</f>
        <v>-23500</v>
      </c>
      <c r="Q111" s="36" t="str">
        <f t="shared" si="4"/>
        <v>0 Km, 17.03.2023</v>
      </c>
      <c r="R111" s="36"/>
      <c r="S111" s="40">
        <v>5000.0</v>
      </c>
      <c r="T111" s="45">
        <v>5.0</v>
      </c>
      <c r="U111" s="46" t="s">
        <v>0</v>
      </c>
      <c r="V111" s="25" t="s">
        <v>308</v>
      </c>
      <c r="W111" s="37" t="str">
        <f t="shared" si="5"/>
        <v>Завершена</v>
      </c>
      <c r="X111" s="25" t="str">
        <f>IFERROR(__xludf.DUMMYFUNCTION("IF(C111 = """", """", IF(REGEXMATCH(C111, ""PCX|NMAX|ADV|CLICK""), ""скутер"", ""мото""))"),"мото")</f>
        <v>мото</v>
      </c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</row>
    <row r="112" hidden="1">
      <c r="A112" s="13" t="s">
        <v>24</v>
      </c>
      <c r="B112" s="13" t="s">
        <v>25</v>
      </c>
      <c r="C112" s="14" t="s">
        <v>155</v>
      </c>
      <c r="D112" s="14" t="s">
        <v>307</v>
      </c>
      <c r="E112" s="48">
        <v>45002.0</v>
      </c>
      <c r="F112" s="38">
        <v>45005.0</v>
      </c>
      <c r="G112" s="17" t="str">
        <f t="shared" si="1"/>
        <v>3 Д</v>
      </c>
      <c r="H112" s="41">
        <v>700.0</v>
      </c>
      <c r="I112" s="19" t="str">
        <f t="shared" si="2"/>
        <v/>
      </c>
      <c r="J112" s="20" t="str">
        <f t="shared" si="3"/>
        <v/>
      </c>
      <c r="K112" s="23">
        <v>2100.0</v>
      </c>
      <c r="L112" s="23"/>
      <c r="M112" s="23"/>
      <c r="N112" s="21"/>
      <c r="O112" s="22" t="str">
        <f>IFERROR(__xludf.DUMMYFUNCTION("IFERROR(
  VLOOKUP(C112,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C112
    ), 
    7, FALSE
  ), 
  """"
)
"),"")</f>
        <v/>
      </c>
      <c r="P112" s="22" t="str">
        <f>IFERROR(__xludf.DUMMYFUNCTION("IF(OR(ISBLANK(Q112), ISBLANK(O112), VALUE(SUBSTITUTE(INDEX(SPLIT(IF(ISBLANK(R112), Q112, R112), "" km""), 0, 1), "" "", """")) - O112 = 0), """", IF(ISBLANK(R112), VALUE(SUBSTITUTE(INDEX(SPLIT(Q112, "" km""), 0, 1), "" "", """")) - O112, VALUE(SUBSTITUTE("&amp;"INDEX(SPLIT(R112, "" km""), 0, 1), "" "", """")) - O112))"),"")</f>
        <v/>
      </c>
      <c r="Q112" s="23" t="str">
        <f t="shared" si="4"/>
        <v>0 Km, 17.03.2023</v>
      </c>
      <c r="R112" s="20"/>
      <c r="S112" s="41">
        <v>2000.0</v>
      </c>
      <c r="T112" s="19"/>
      <c r="U112" s="42" t="s">
        <v>0</v>
      </c>
      <c r="V112" s="13" t="s">
        <v>308</v>
      </c>
      <c r="W112" s="24" t="str">
        <f t="shared" si="5"/>
        <v>Завершена</v>
      </c>
      <c r="X112" s="13" t="str">
        <f>IFERROR(__xludf.DUMMYFUNCTION("IF(C112 = """", """", IF(REGEXMATCH(C112, ""PCX|NMAX|ADV|CLICK""), ""скутер"", ""мото""))"),"мото")</f>
        <v>мото</v>
      </c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</row>
    <row r="113" hidden="1">
      <c r="A113" s="25" t="s">
        <v>24</v>
      </c>
      <c r="B113" s="25" t="s">
        <v>25</v>
      </c>
      <c r="C113" s="27" t="s">
        <v>102</v>
      </c>
      <c r="D113" s="27" t="s">
        <v>231</v>
      </c>
      <c r="E113" s="43">
        <v>45003.0</v>
      </c>
      <c r="F113" s="39">
        <v>45004.0</v>
      </c>
      <c r="G113" s="30" t="str">
        <f t="shared" si="1"/>
        <v>1 Д</v>
      </c>
      <c r="H113" s="40">
        <v>0.0</v>
      </c>
      <c r="I113" s="32" t="str">
        <f t="shared" si="2"/>
        <v/>
      </c>
      <c r="J113" s="33" t="str">
        <f t="shared" si="3"/>
        <v/>
      </c>
      <c r="K113" s="36">
        <v>0.0</v>
      </c>
      <c r="L113" s="36"/>
      <c r="M113" s="36"/>
      <c r="N113" s="44">
        <v>30969.0</v>
      </c>
      <c r="O113" s="35">
        <f>IFERROR(__xludf.DUMMYFUNCTION("IFERROR(
  VLOOKUP(C113,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C113
    ), 
    7, FALSE
  ), 
  """"
)
"),63700.0)</f>
        <v>63700</v>
      </c>
      <c r="P113" s="35" t="str">
        <f>IFERROR(__xludf.DUMMYFUNCTION("IF(OR(ISBLANK(Q113), ISBLANK(O113), VALUE(SUBSTITUTE(INDEX(SPLIT(IF(ISBLANK(R113), Q113, R113), "" km""), 0, 1), "" "", """")) - O113 = 0), """", IF(ISBLANK(R113), VALUE(SUBSTITUTE(INDEX(SPLIT(Q113, "" km""), 0, 1), "" "", """")) - O113, VALUE(SUBSTITUTE("&amp;"INDEX(SPLIT(R113, "" km""), 0, 1), "" "", """")) - O113))"),"#VALUE!")</f>
        <v>#VALUE!</v>
      </c>
      <c r="Q113" s="36" t="str">
        <f t="shared" si="4"/>
        <v>проблема с тормозным цилиндром</v>
      </c>
      <c r="R113" s="36" t="s">
        <v>309</v>
      </c>
      <c r="S113" s="40">
        <v>10000.0</v>
      </c>
      <c r="T113" s="45">
        <v>2.0</v>
      </c>
      <c r="U113" s="46" t="s">
        <v>232</v>
      </c>
      <c r="V113" s="25" t="s">
        <v>233</v>
      </c>
      <c r="W113" s="37" t="str">
        <f t="shared" si="5"/>
        <v>Завершена</v>
      </c>
      <c r="X113" s="25" t="str">
        <f>IFERROR(__xludf.DUMMYFUNCTION("IF(C113 = """", """", IF(REGEXMATCH(C113, ""PCX|NMAX|ADV|CLICK""), ""скутер"", ""мото""))"),"мото")</f>
        <v>мото</v>
      </c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</row>
    <row r="114" hidden="1">
      <c r="A114" s="13" t="s">
        <v>24</v>
      </c>
      <c r="B114" s="13" t="s">
        <v>25</v>
      </c>
      <c r="C114" s="47" t="s">
        <v>32</v>
      </c>
      <c r="D114" s="14" t="s">
        <v>310</v>
      </c>
      <c r="E114" s="48">
        <v>45007.0</v>
      </c>
      <c r="F114" s="38">
        <v>45011.0</v>
      </c>
      <c r="G114" s="17" t="str">
        <f t="shared" si="1"/>
        <v>4 Д</v>
      </c>
      <c r="H114" s="41">
        <v>720.0</v>
      </c>
      <c r="I114" s="19" t="str">
        <f t="shared" si="2"/>
        <v/>
      </c>
      <c r="J114" s="20" t="str">
        <f t="shared" si="3"/>
        <v/>
      </c>
      <c r="K114" s="23">
        <v>2880.0</v>
      </c>
      <c r="L114" s="23"/>
      <c r="M114" s="23"/>
      <c r="N114" s="49">
        <v>17000.0</v>
      </c>
      <c r="O114" s="22">
        <f>IFERROR(__xludf.DUMMYFUNCTION("IFERROR(
  VLOOKUP(C114,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C114
    ), 
    7, FALSE
  ), 
  """"
)
"),38640.0)</f>
        <v>38640</v>
      </c>
      <c r="P114" s="22">
        <f>IFERROR(__xludf.DUMMYFUNCTION("IF(OR(ISBLANK(Q114), ISBLANK(O114), VALUE(SUBSTITUTE(INDEX(SPLIT(IF(ISBLANK(R114), Q114, R114), "" km""), 0, 1), "" "", """")) - O114 = 0), """", IF(ISBLANK(R114), VALUE(SUBSTITUTE(INDEX(SPLIT(Q114, "" km""), 0, 1), "" "", """")) - O114, VALUE(SUBSTITUTE("&amp;"INDEX(SPLIT(R114, "" km""), 0, 1), "" "", """")) - O114))"),-21640.0)</f>
        <v>-21640</v>
      </c>
      <c r="Q114" s="23" t="str">
        <f t="shared" si="4"/>
        <v>17 000 Km, 22.03.2023</v>
      </c>
      <c r="R114" s="23"/>
      <c r="S114" s="41">
        <v>5000.0</v>
      </c>
      <c r="T114" s="50">
        <v>4.0</v>
      </c>
      <c r="U114" s="42" t="s">
        <v>0</v>
      </c>
      <c r="V114" s="13" t="s">
        <v>311</v>
      </c>
      <c r="W114" s="24" t="str">
        <f t="shared" si="5"/>
        <v>Завершена</v>
      </c>
      <c r="X114" s="13" t="str">
        <f>IFERROR(__xludf.DUMMYFUNCTION("IF(C114 = """", """", IF(REGEXMATCH(C114, ""PCX|NMAX|ADV|CLICK""), ""скутер"", ""мото""))"),"мото")</f>
        <v>мото</v>
      </c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</row>
    <row r="115" hidden="1">
      <c r="A115" s="25" t="s">
        <v>24</v>
      </c>
      <c r="B115" s="25" t="s">
        <v>25</v>
      </c>
      <c r="C115" s="27" t="s">
        <v>73</v>
      </c>
      <c r="D115" s="27" t="s">
        <v>312</v>
      </c>
      <c r="E115" s="43">
        <v>45007.0</v>
      </c>
      <c r="F115" s="39">
        <v>45017.0</v>
      </c>
      <c r="G115" s="30" t="str">
        <f t="shared" si="1"/>
        <v>10 Д</v>
      </c>
      <c r="H115" s="40">
        <v>350.0</v>
      </c>
      <c r="I115" s="32" t="str">
        <f t="shared" si="2"/>
        <v/>
      </c>
      <c r="J115" s="33" t="str">
        <f t="shared" si="3"/>
        <v/>
      </c>
      <c r="K115" s="36">
        <v>3500.0</v>
      </c>
      <c r="L115" s="36"/>
      <c r="M115" s="36"/>
      <c r="N115" s="44">
        <v>36500.0</v>
      </c>
      <c r="O115" s="35">
        <f>IFERROR(__xludf.DUMMYFUNCTION("IFERROR(
  VLOOKUP(C115,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C115
    ), 
    7, FALSE
  ), 
  """"
)
"),31000.0)</f>
        <v>31000</v>
      </c>
      <c r="P115" s="35">
        <f>IFERROR(__xludf.DUMMYFUNCTION("IF(OR(ISBLANK(Q115), ISBLANK(O115), VALUE(SUBSTITUTE(INDEX(SPLIT(IF(ISBLANK(R115), Q115, R115), "" km""), 0, 1), "" "", """")) - O115 = 0), """", IF(ISBLANK(R115), VALUE(SUBSTITUTE(INDEX(SPLIT(Q115, "" km""), 0, 1), "" "", """")) - O115, VALUE(SUBSTITUTE("&amp;"INDEX(SPLIT(R115, "" km""), 0, 1), "" "", """")) - O115))"),5500.0)</f>
        <v>5500</v>
      </c>
      <c r="Q115" s="36" t="str">
        <f t="shared" si="4"/>
        <v>36 500 Km, 22.03.2023</v>
      </c>
      <c r="R115" s="33"/>
      <c r="S115" s="40">
        <v>75.0</v>
      </c>
      <c r="T115" s="45">
        <v>2.0</v>
      </c>
      <c r="U115" s="46" t="s">
        <v>313</v>
      </c>
      <c r="V115" s="25" t="s">
        <v>314</v>
      </c>
      <c r="W115" s="37" t="str">
        <f t="shared" si="5"/>
        <v>Завершена</v>
      </c>
      <c r="X115" s="25" t="str">
        <f>IFERROR(__xludf.DUMMYFUNCTION("IF(C115 = """", """", IF(REGEXMATCH(C115, ""PCX|NMAX|ADV|CLICK""), ""скутер"", ""мото""))"),"скутер")</f>
        <v>скутер</v>
      </c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</row>
    <row r="116" hidden="1">
      <c r="A116" s="13" t="s">
        <v>24</v>
      </c>
      <c r="B116" s="13" t="s">
        <v>25</v>
      </c>
      <c r="C116" s="47" t="s">
        <v>98</v>
      </c>
      <c r="D116" s="14" t="s">
        <v>315</v>
      </c>
      <c r="E116" s="48">
        <v>45007.0</v>
      </c>
      <c r="F116" s="38">
        <v>45017.0</v>
      </c>
      <c r="G116" s="17" t="str">
        <f t="shared" si="1"/>
        <v>10 Д</v>
      </c>
      <c r="H116" s="41">
        <v>350.0</v>
      </c>
      <c r="I116" s="19" t="str">
        <f t="shared" si="2"/>
        <v/>
      </c>
      <c r="J116" s="20" t="str">
        <f t="shared" si="3"/>
        <v/>
      </c>
      <c r="K116" s="23">
        <v>3500.0</v>
      </c>
      <c r="L116" s="23"/>
      <c r="M116" s="23"/>
      <c r="N116" s="49">
        <v>30200.0</v>
      </c>
      <c r="O116" s="22">
        <f>IFERROR(__xludf.DUMMYFUNCTION("IFERROR(
  VLOOKUP(C116,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C116
    ), 
    7, FALSE
  ), 
  """"
)
"),32200.0)</f>
        <v>32200</v>
      </c>
      <c r="P116" s="22">
        <f>IFERROR(__xludf.DUMMYFUNCTION("IF(OR(ISBLANK(Q116), ISBLANK(O116), VALUE(SUBSTITUTE(INDEX(SPLIT(IF(ISBLANK(R116), Q116, R116), "" km""), 0, 1), "" "", """")) - O116 = 0), """", IF(ISBLANK(R116), VALUE(SUBSTITUTE(INDEX(SPLIT(Q116, "" km""), 0, 1), "" "", """")) - O116, VALUE(SUBSTITUTE("&amp;"INDEX(SPLIT(R116, "" km""), 0, 1), "" "", """")) - O116))"),-2000.0)</f>
        <v>-2000</v>
      </c>
      <c r="Q116" s="23" t="str">
        <f t="shared" si="4"/>
        <v>30 200 Km, 22.03.2023</v>
      </c>
      <c r="R116" s="20"/>
      <c r="S116" s="41">
        <v>75.0</v>
      </c>
      <c r="T116" s="50">
        <v>2.0</v>
      </c>
      <c r="U116" s="42" t="s">
        <v>313</v>
      </c>
      <c r="V116" s="13" t="s">
        <v>314</v>
      </c>
      <c r="W116" s="24" t="str">
        <f t="shared" si="5"/>
        <v>Завершена</v>
      </c>
      <c r="X116" s="13" t="str">
        <f>IFERROR(__xludf.DUMMYFUNCTION("IF(C116 = """", """", IF(REGEXMATCH(C116, ""PCX|NMAX|ADV|CLICK""), ""скутер"", ""мото""))"),"скутер")</f>
        <v>скутер</v>
      </c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</row>
    <row r="117" hidden="1">
      <c r="A117" s="25" t="s">
        <v>24</v>
      </c>
      <c r="B117" s="25" t="s">
        <v>25</v>
      </c>
      <c r="C117" s="27" t="s">
        <v>286</v>
      </c>
      <c r="D117" s="27" t="s">
        <v>95</v>
      </c>
      <c r="E117" s="43">
        <v>45007.0</v>
      </c>
      <c r="F117" s="39">
        <v>45022.0</v>
      </c>
      <c r="G117" s="30" t="str">
        <f t="shared" si="1"/>
        <v>15 Д</v>
      </c>
      <c r="H117" s="40">
        <v>500.0</v>
      </c>
      <c r="I117" s="32" t="str">
        <f t="shared" si="2"/>
        <v/>
      </c>
      <c r="J117" s="33" t="str">
        <f t="shared" si="3"/>
        <v/>
      </c>
      <c r="K117" s="36">
        <v>5000.0</v>
      </c>
      <c r="L117" s="36"/>
      <c r="M117" s="36"/>
      <c r="N117" s="44">
        <v>5400.0</v>
      </c>
      <c r="O117" s="35" t="str">
        <f>IFERROR(__xludf.DUMMYFUNCTION("IFERROR(
  VLOOKUP(C117,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C117
    ), 
    7, FALSE
  ), 
  """"
)
"),"")</f>
        <v/>
      </c>
      <c r="P117" s="35">
        <f>IFERROR(__xludf.DUMMYFUNCTION("IF(OR(ISBLANK(Q117), ISBLANK(O117), VALUE(SUBSTITUTE(INDEX(SPLIT(IF(ISBLANK(R117), Q117, R117), "" km""), 0, 1), "" "", """")) - O117 = 0), """", IF(ISBLANK(R117), VALUE(SUBSTITUTE(INDEX(SPLIT(Q117, "" km""), 0, 1), "" "", """")) - O117, VALUE(SUBSTITUTE("&amp;"INDEX(SPLIT(R117, "" km""), 0, 1), "" "", """")) - O117))"),5400.0)</f>
        <v>5400</v>
      </c>
      <c r="Q117" s="36" t="str">
        <f t="shared" si="4"/>
        <v>5 400 Km, 22.03.2023</v>
      </c>
      <c r="R117" s="33"/>
      <c r="S117" s="40">
        <v>0.0</v>
      </c>
      <c r="T117" s="45">
        <v>1.0</v>
      </c>
      <c r="U117" s="30" t="s">
        <v>96</v>
      </c>
      <c r="V117" s="30" t="s">
        <v>97</v>
      </c>
      <c r="W117" s="37" t="str">
        <f t="shared" si="5"/>
        <v>Завершена</v>
      </c>
      <c r="X117" s="25" t="str">
        <f>IFERROR(__xludf.DUMMYFUNCTION("IF(C117 = """", """", IF(REGEXMATCH(C117, ""PCX|NMAX|ADV|CLICK""), ""скутер"", ""мото""))"),"мото")</f>
        <v>мото</v>
      </c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</row>
    <row r="118" hidden="1">
      <c r="A118" s="13" t="s">
        <v>24</v>
      </c>
      <c r="B118" s="13" t="s">
        <v>25</v>
      </c>
      <c r="C118" s="14" t="s">
        <v>125</v>
      </c>
      <c r="D118" s="14" t="s">
        <v>126</v>
      </c>
      <c r="E118" s="48">
        <v>45007.0</v>
      </c>
      <c r="F118" s="38">
        <v>45040.0</v>
      </c>
      <c r="G118" s="17" t="str">
        <f t="shared" si="1"/>
        <v>1 М</v>
      </c>
      <c r="H118" s="18">
        <f>7000/30</f>
        <v>233.3333333</v>
      </c>
      <c r="I118" s="19" t="str">
        <f t="shared" si="2"/>
        <v/>
      </c>
      <c r="J118" s="20" t="str">
        <f t="shared" si="3"/>
        <v/>
      </c>
      <c r="K118" s="23">
        <v>8900.0</v>
      </c>
      <c r="L118" s="20"/>
      <c r="M118" s="20"/>
      <c r="N118" s="49">
        <v>35000.0</v>
      </c>
      <c r="O118" s="22" t="str">
        <f>IFERROR(__xludf.DUMMYFUNCTION("IFERROR(
  VLOOKUP(C118,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C118
    ), 
    7, FALSE
  ), 
  """"
)
"),"")</f>
        <v/>
      </c>
      <c r="P118" s="22">
        <f>IFERROR(__xludf.DUMMYFUNCTION("IF(OR(ISBLANK(Q118), ISBLANK(O118), VALUE(SUBSTITUTE(INDEX(SPLIT(IF(ISBLANK(R118), Q118, R118), "" km""), 0, 1), "" "", """")) - O118 = 0), """", IF(ISBLANK(R118), VALUE(SUBSTITUTE(INDEX(SPLIT(Q118, "" km""), 0, 1), "" "", """")) - O118, VALUE(SUBSTITUTE("&amp;"INDEX(SPLIT(R118, "" km""), 0, 1), "" "", """")) - O118))"),35000.0)</f>
        <v>35000</v>
      </c>
      <c r="Q118" s="23" t="str">
        <f t="shared" si="4"/>
        <v>35 000 Km, 22.03.2023</v>
      </c>
      <c r="R118" s="20"/>
      <c r="S118" s="41">
        <v>100.0</v>
      </c>
      <c r="T118" s="50">
        <v>2.0</v>
      </c>
      <c r="U118" s="42" t="s">
        <v>127</v>
      </c>
      <c r="V118" s="13" t="s">
        <v>128</v>
      </c>
      <c r="W118" s="24" t="str">
        <f t="shared" si="5"/>
        <v>Завершена</v>
      </c>
      <c r="X118" s="13" t="str">
        <f>IFERROR(__xludf.DUMMYFUNCTION("IF(C118 = """", """", IF(REGEXMATCH(C118, ""PCX|NMAX|ADV|CLICK""), ""скутер"", ""мото""))"),"скутер")</f>
        <v>скутер</v>
      </c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</row>
    <row r="119" hidden="1">
      <c r="A119" s="25" t="s">
        <v>24</v>
      </c>
      <c r="B119" s="25" t="s">
        <v>25</v>
      </c>
      <c r="C119" s="27" t="s">
        <v>185</v>
      </c>
      <c r="D119" s="27" t="s">
        <v>316</v>
      </c>
      <c r="E119" s="43">
        <v>45008.0</v>
      </c>
      <c r="F119" s="39">
        <v>45011.0</v>
      </c>
      <c r="G119" s="30" t="str">
        <f t="shared" si="1"/>
        <v>3 Д</v>
      </c>
      <c r="H119" s="40">
        <v>400.0</v>
      </c>
      <c r="I119" s="32" t="str">
        <f t="shared" si="2"/>
        <v/>
      </c>
      <c r="J119" s="33" t="str">
        <f t="shared" si="3"/>
        <v/>
      </c>
      <c r="K119" s="36">
        <v>1200.0</v>
      </c>
      <c r="L119" s="36"/>
      <c r="M119" s="36"/>
      <c r="N119" s="44">
        <v>21400.0</v>
      </c>
      <c r="O119" s="35" t="str">
        <f>IFERROR(__xludf.DUMMYFUNCTION("IFERROR(
  VLOOKUP(C119,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C119
    ), 
    7, FALSE
  ), 
  """"
)
"),"")</f>
        <v/>
      </c>
      <c r="P119" s="35">
        <f>IFERROR(__xludf.DUMMYFUNCTION("IF(OR(ISBLANK(Q119), ISBLANK(O119), VALUE(SUBSTITUTE(INDEX(SPLIT(IF(ISBLANK(R119), Q119, R119), "" km""), 0, 1), "" "", """")) - O119 = 0), """", IF(ISBLANK(R119), VALUE(SUBSTITUTE(INDEX(SPLIT(Q119, "" km""), 0, 1), "" "", """")) - O119, VALUE(SUBSTITUTE("&amp;"INDEX(SPLIT(R119, "" km""), 0, 1), "" "", """")) - O119))"),21400.0)</f>
        <v>21400</v>
      </c>
      <c r="Q119" s="36" t="str">
        <f t="shared" si="4"/>
        <v>21 400 Km, 23.03.2023</v>
      </c>
      <c r="R119" s="33"/>
      <c r="S119" s="31">
        <v>100.0</v>
      </c>
      <c r="T119" s="45">
        <v>1.0</v>
      </c>
      <c r="U119" s="46" t="s">
        <v>317</v>
      </c>
      <c r="V119" s="25" t="s">
        <v>318</v>
      </c>
      <c r="W119" s="37" t="str">
        <f t="shared" si="5"/>
        <v>Завершена</v>
      </c>
      <c r="X119" s="25" t="str">
        <f>IFERROR(__xludf.DUMMYFUNCTION("IF(C119 = """", """", IF(REGEXMATCH(C119, ""PCX|NMAX|ADV|CLICK""), ""скутер"", ""мото""))"),"скутер")</f>
        <v>скутер</v>
      </c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</row>
    <row r="120" hidden="1">
      <c r="A120" s="13" t="s">
        <v>24</v>
      </c>
      <c r="B120" s="13" t="s">
        <v>25</v>
      </c>
      <c r="C120" s="47" t="s">
        <v>32</v>
      </c>
      <c r="D120" s="14" t="s">
        <v>310</v>
      </c>
      <c r="E120" s="48">
        <v>45011.0</v>
      </c>
      <c r="F120" s="38">
        <v>45016.0</v>
      </c>
      <c r="G120" s="17" t="str">
        <f t="shared" si="1"/>
        <v>5 Д</v>
      </c>
      <c r="H120" s="41">
        <v>600.0</v>
      </c>
      <c r="I120" s="19" t="str">
        <f t="shared" si="2"/>
        <v/>
      </c>
      <c r="J120" s="20" t="str">
        <f t="shared" si="3"/>
        <v/>
      </c>
      <c r="K120" s="23">
        <v>3000.0</v>
      </c>
      <c r="L120" s="23"/>
      <c r="M120" s="23"/>
      <c r="N120" s="49">
        <v>17000.0</v>
      </c>
      <c r="O120" s="22">
        <f>IFERROR(__xludf.DUMMYFUNCTION("IFERROR(
  VLOOKUP(C120,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C120
    ), 
    7, FALSE
  ), 
  """"
)
"),38640.0)</f>
        <v>38640</v>
      </c>
      <c r="P120" s="22">
        <f>IFERROR(__xludf.DUMMYFUNCTION("IF(OR(ISBLANK(Q120), ISBLANK(O120), VALUE(SUBSTITUTE(INDEX(SPLIT(IF(ISBLANK(R120), Q120, R120), "" km""), 0, 1), "" "", """")) - O120 = 0), """", IF(ISBLANK(R120), VALUE(SUBSTITUTE(INDEX(SPLIT(Q120, "" km""), 0, 1), "" "", """")) - O120, VALUE(SUBSTITUTE("&amp;"INDEX(SPLIT(R120, "" km""), 0, 1), "" "", """")) - O120))"),-21640.0)</f>
        <v>-21640</v>
      </c>
      <c r="Q120" s="23" t="str">
        <f t="shared" si="4"/>
        <v>17 000 Km, 26.03.2023</v>
      </c>
      <c r="R120" s="23"/>
      <c r="S120" s="41">
        <v>5000.0</v>
      </c>
      <c r="T120" s="50">
        <v>4.0</v>
      </c>
      <c r="U120" s="42" t="s">
        <v>0</v>
      </c>
      <c r="V120" s="13" t="s">
        <v>311</v>
      </c>
      <c r="W120" s="24" t="str">
        <f t="shared" si="5"/>
        <v>Завершена</v>
      </c>
      <c r="X120" s="13" t="str">
        <f>IFERROR(__xludf.DUMMYFUNCTION("IF(C120 = """", """", IF(REGEXMATCH(C120, ""PCX|NMAX|ADV|CLICK""), ""скутер"", ""мото""))"),"мото")</f>
        <v>мото</v>
      </c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</row>
    <row r="121" hidden="1">
      <c r="A121" s="25" t="s">
        <v>24</v>
      </c>
      <c r="B121" s="25" t="s">
        <v>25</v>
      </c>
      <c r="C121" s="27" t="s">
        <v>202</v>
      </c>
      <c r="D121" s="27" t="s">
        <v>319</v>
      </c>
      <c r="E121" s="28">
        <v>45011.0</v>
      </c>
      <c r="F121" s="29">
        <v>45042.0</v>
      </c>
      <c r="G121" s="30" t="str">
        <f t="shared" si="1"/>
        <v>1 М</v>
      </c>
      <c r="H121" s="31">
        <v>333.0</v>
      </c>
      <c r="I121" s="32" t="str">
        <f t="shared" si="2"/>
        <v/>
      </c>
      <c r="J121" s="33" t="str">
        <f t="shared" si="3"/>
        <v/>
      </c>
      <c r="K121" s="36">
        <v>10666.0</v>
      </c>
      <c r="L121" s="33"/>
      <c r="M121" s="33"/>
      <c r="N121" s="44">
        <v>17600.0</v>
      </c>
      <c r="O121" s="35">
        <f>IFERROR(__xludf.DUMMYFUNCTION("IFERROR(
  VLOOKUP(C121,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C121
    ), 
    7, FALSE
  ), 
  """"
)
"),30225.0)</f>
        <v>30225</v>
      </c>
      <c r="P121" s="35">
        <f>IFERROR(__xludf.DUMMYFUNCTION("IF(OR(ISBLANK(Q121), ISBLANK(O121), VALUE(SUBSTITUTE(INDEX(SPLIT(IF(ISBLANK(R121), Q121, R121), "" km""), 0, 1), "" "", """")) - O121 = 0), """", IF(ISBLANK(R121), VALUE(SUBSTITUTE(INDEX(SPLIT(Q121, "" km""), 0, 1), "" "", """")) - O121, VALUE(SUBSTITUTE("&amp;"INDEX(SPLIT(R121, "" km""), 0, 1), "" "", """")) - O121))"),-12625.0)</f>
        <v>-12625</v>
      </c>
      <c r="Q121" s="36" t="str">
        <f t="shared" si="4"/>
        <v>17 600 Km, 26.03.2023</v>
      </c>
      <c r="R121" s="33"/>
      <c r="S121" s="31">
        <v>5000.0</v>
      </c>
      <c r="T121" s="32">
        <v>2.0</v>
      </c>
      <c r="U121" s="30" t="s">
        <v>0</v>
      </c>
      <c r="V121" s="30" t="s">
        <v>320</v>
      </c>
      <c r="W121" s="37" t="str">
        <f t="shared" si="5"/>
        <v>Завершена</v>
      </c>
      <c r="X121" s="25" t="str">
        <f>IFERROR(__xludf.DUMMYFUNCTION("IF(C121 = """", """", IF(REGEXMATCH(C121, ""PCX|NMAX|ADV|CLICK""), ""скутер"", ""мото""))"),"мото")</f>
        <v>мото</v>
      </c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</row>
    <row r="122" hidden="1">
      <c r="A122" s="13" t="s">
        <v>24</v>
      </c>
      <c r="B122" s="13" t="s">
        <v>25</v>
      </c>
      <c r="C122" s="14" t="s">
        <v>321</v>
      </c>
      <c r="D122" s="14" t="s">
        <v>231</v>
      </c>
      <c r="E122" s="48">
        <v>45014.0</v>
      </c>
      <c r="F122" s="38">
        <v>45015.0</v>
      </c>
      <c r="G122" s="17" t="str">
        <f t="shared" si="1"/>
        <v>1 Д</v>
      </c>
      <c r="H122" s="41">
        <f>1500/2</f>
        <v>750</v>
      </c>
      <c r="I122" s="19" t="str">
        <f t="shared" si="2"/>
        <v/>
      </c>
      <c r="J122" s="20" t="str">
        <f t="shared" si="3"/>
        <v/>
      </c>
      <c r="K122" s="23">
        <v>750.0</v>
      </c>
      <c r="L122" s="23"/>
      <c r="M122" s="23"/>
      <c r="N122" s="49">
        <v>36500.0</v>
      </c>
      <c r="O122" s="22" t="str">
        <f>IFERROR(__xludf.DUMMYFUNCTION("IFERROR(
  VLOOKUP(C122,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C122
    ), 
    7, FALSE
  ), 
  """"
)
"),"")</f>
        <v/>
      </c>
      <c r="P122" s="22" t="str">
        <f>IFERROR(__xludf.DUMMYFUNCTION("IF(OR(ISBLANK(Q122), ISBLANK(O122), VALUE(SUBSTITUTE(INDEX(SPLIT(IF(ISBLANK(R122), Q122, R122), "" km""), 0, 1), "" "", """")) - O122 = 0), """", IF(ISBLANK(R122), VALUE(SUBSTITUTE(INDEX(SPLIT(Q122, "" km""), 0, 1), "" "", """")) - O122, VALUE(SUBSTITUTE("&amp;"INDEX(SPLIT(R122, "" km""), 0, 1), "" "", """")) - O122))"),"#VALUE!")</f>
        <v>#VALUE!</v>
      </c>
      <c r="Q122" s="23" t="str">
        <f t="shared" si="4"/>
        <v>артем должен 225</v>
      </c>
      <c r="R122" s="23" t="s">
        <v>322</v>
      </c>
      <c r="S122" s="41" t="s">
        <v>272</v>
      </c>
      <c r="T122" s="19">
        <v>2.0</v>
      </c>
      <c r="U122" s="17" t="s">
        <v>232</v>
      </c>
      <c r="V122" s="17" t="s">
        <v>233</v>
      </c>
      <c r="W122" s="24" t="str">
        <f t="shared" si="5"/>
        <v>Завершена</v>
      </c>
      <c r="X122" s="13" t="str">
        <f>IFERROR(__xludf.DUMMYFUNCTION("IF(C122 = """", """", IF(REGEXMATCH(C122, ""PCX|NMAX|ADV|CLICK""), ""скутер"", ""мото""))"),"мото")</f>
        <v>мото</v>
      </c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</row>
    <row r="123" hidden="1">
      <c r="A123" s="25" t="s">
        <v>24</v>
      </c>
      <c r="B123" s="25" t="s">
        <v>25</v>
      </c>
      <c r="C123" s="27" t="s">
        <v>198</v>
      </c>
      <c r="D123" s="27" t="s">
        <v>323</v>
      </c>
      <c r="E123" s="43">
        <v>45014.0</v>
      </c>
      <c r="F123" s="39">
        <v>45021.0</v>
      </c>
      <c r="G123" s="30" t="str">
        <f t="shared" si="1"/>
        <v>7 Д</v>
      </c>
      <c r="H123" s="40">
        <v>800.0</v>
      </c>
      <c r="I123" s="32" t="str">
        <f t="shared" si="2"/>
        <v/>
      </c>
      <c r="J123" s="33" t="str">
        <f t="shared" si="3"/>
        <v/>
      </c>
      <c r="K123" s="36">
        <v>5600.0</v>
      </c>
      <c r="L123" s="36"/>
      <c r="M123" s="36"/>
      <c r="N123" s="44">
        <v>13400.0</v>
      </c>
      <c r="O123" s="35" t="str">
        <f>IFERROR(__xludf.DUMMYFUNCTION("IFERROR(
  VLOOKUP(C123,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C123
    ), 
    7, FALSE
  ), 
  """"
)
"),"")</f>
        <v/>
      </c>
      <c r="P123" s="35">
        <f>IFERROR(__xludf.DUMMYFUNCTION("IF(OR(ISBLANK(Q123), ISBLANK(O123), VALUE(SUBSTITUTE(INDEX(SPLIT(IF(ISBLANK(R123), Q123, R123), "" km""), 0, 1), "" "", """")) - O123 = 0), """", IF(ISBLANK(R123), VALUE(SUBSTITUTE(INDEX(SPLIT(Q123, "" km""), 0, 1), "" "", """")) - O123, VALUE(SUBSTITUTE("&amp;"INDEX(SPLIT(R123, "" km""), 0, 1), "" "", """")) - O123))"),13400.0)</f>
        <v>13400</v>
      </c>
      <c r="Q123" s="36" t="str">
        <f t="shared" si="4"/>
        <v>13 400 Km, 29.03.2023</v>
      </c>
      <c r="R123" s="33"/>
      <c r="S123" s="40">
        <v>5000.0</v>
      </c>
      <c r="T123" s="45">
        <v>2.0</v>
      </c>
      <c r="U123" s="46" t="s">
        <v>324</v>
      </c>
      <c r="V123" s="25" t="s">
        <v>325</v>
      </c>
      <c r="W123" s="37" t="str">
        <f t="shared" si="5"/>
        <v>Завершена</v>
      </c>
      <c r="X123" s="25" t="str">
        <f>IFERROR(__xludf.DUMMYFUNCTION("IF(C123 = """", """", IF(REGEXMATCH(C123, ""PCX|NMAX|ADV|CLICK""), ""скутер"", ""мото""))"),"мото")</f>
        <v>мото</v>
      </c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</row>
    <row r="124" hidden="1">
      <c r="A124" s="13" t="s">
        <v>24</v>
      </c>
      <c r="B124" s="13" t="s">
        <v>25</v>
      </c>
      <c r="C124" s="14" t="s">
        <v>198</v>
      </c>
      <c r="D124" s="14" t="s">
        <v>190</v>
      </c>
      <c r="E124" s="48">
        <v>45014.0</v>
      </c>
      <c r="F124" s="38">
        <v>45045.0</v>
      </c>
      <c r="G124" s="17" t="str">
        <f t="shared" si="1"/>
        <v>1 М</v>
      </c>
      <c r="H124" s="18">
        <f>11000/30</f>
        <v>366.6666667</v>
      </c>
      <c r="I124" s="19" t="str">
        <f t="shared" si="2"/>
        <v/>
      </c>
      <c r="J124" s="20" t="str">
        <f t="shared" si="3"/>
        <v/>
      </c>
      <c r="K124" s="23">
        <v>12500.0</v>
      </c>
      <c r="L124" s="20"/>
      <c r="M124" s="20"/>
      <c r="N124" s="49">
        <v>13700.0</v>
      </c>
      <c r="O124" s="22" t="str">
        <f>IFERROR(__xludf.DUMMYFUNCTION("IFERROR(
  VLOOKUP(C124,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C124
    ), 
    7, FALSE
  ), 
  """"
)
"),"")</f>
        <v/>
      </c>
      <c r="P124" s="22">
        <f>IFERROR(__xludf.DUMMYFUNCTION("IF(OR(ISBLANK(Q124), ISBLANK(O124), VALUE(SUBSTITUTE(INDEX(SPLIT(IF(ISBLANK(R124), Q124, R124), "" km""), 0, 1), "" "", """")) - O124 = 0), """", IF(ISBLANK(R124), VALUE(SUBSTITUTE(INDEX(SPLIT(Q124, "" km""), 0, 1), "" "", """")) - O124, VALUE(SUBSTITUTE("&amp;"INDEX(SPLIT(R124, "" km""), 0, 1), "" "", """")) - O124))"),13700.0)</f>
        <v>13700</v>
      </c>
      <c r="Q124" s="23" t="str">
        <f t="shared" si="4"/>
        <v>13 700 Km, 29.03.2023</v>
      </c>
      <c r="R124" s="23"/>
      <c r="S124" s="18">
        <v>3000.0</v>
      </c>
      <c r="T124" s="19">
        <v>2.0</v>
      </c>
      <c r="U124" s="24" t="s">
        <v>191</v>
      </c>
      <c r="V124" s="24" t="s">
        <v>192</v>
      </c>
      <c r="W124" s="24" t="str">
        <f t="shared" si="5"/>
        <v>Завершена</v>
      </c>
      <c r="X124" s="13" t="str">
        <f>IFERROR(__xludf.DUMMYFUNCTION("IF(C124 = """", """", IF(REGEXMATCH(C124, ""PCX|NMAX|ADV|CLICK""), ""скутер"", ""мото""))"),"мото")</f>
        <v>мото</v>
      </c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</row>
    <row r="125" hidden="1">
      <c r="A125" s="25" t="s">
        <v>24</v>
      </c>
      <c r="B125" s="25" t="s">
        <v>25</v>
      </c>
      <c r="C125" s="27" t="s">
        <v>73</v>
      </c>
      <c r="D125" s="27" t="s">
        <v>326</v>
      </c>
      <c r="E125" s="43">
        <v>45017.0</v>
      </c>
      <c r="F125" s="39">
        <v>45032.0</v>
      </c>
      <c r="G125" s="30" t="str">
        <f t="shared" si="1"/>
        <v>15 Д</v>
      </c>
      <c r="H125" s="31">
        <f>4000/15</f>
        <v>266.6666667</v>
      </c>
      <c r="I125" s="32" t="str">
        <f t="shared" si="2"/>
        <v/>
      </c>
      <c r="J125" s="33" t="str">
        <f t="shared" si="3"/>
        <v/>
      </c>
      <c r="K125" s="36">
        <f>4000+267</f>
        <v>4267</v>
      </c>
      <c r="L125" s="33"/>
      <c r="M125" s="33"/>
      <c r="N125" s="44">
        <v>36800.0</v>
      </c>
      <c r="O125" s="35">
        <f>IFERROR(__xludf.DUMMYFUNCTION("IFERROR(
  VLOOKUP(C125,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C125
    ), 
    7, FALSE
  ), 
  """"
)
"),31000.0)</f>
        <v>31000</v>
      </c>
      <c r="P125" s="35">
        <f>IFERROR(__xludf.DUMMYFUNCTION("IF(OR(ISBLANK(Q125), ISBLANK(O125), VALUE(SUBSTITUTE(INDEX(SPLIT(IF(ISBLANK(R125), Q125, R125), "" km""), 0, 1), "" "", """")) - O125 = 0), """", IF(ISBLANK(R125), VALUE(SUBSTITUTE(INDEX(SPLIT(Q125, "" km""), 0, 1), "" "", """")) - O125, VALUE(SUBSTITUTE("&amp;"INDEX(SPLIT(R125, "" km""), 0, 1), "" "", """")) - O125))"),5800.0)</f>
        <v>5800</v>
      </c>
      <c r="Q125" s="36" t="str">
        <f t="shared" si="4"/>
        <v>36 800 Km, 01.04.2023</v>
      </c>
      <c r="R125" s="33"/>
      <c r="S125" s="40">
        <v>3000.0</v>
      </c>
      <c r="T125" s="45">
        <v>0.0</v>
      </c>
      <c r="U125" s="46" t="s">
        <v>327</v>
      </c>
      <c r="V125" s="25" t="s">
        <v>328</v>
      </c>
      <c r="W125" s="37" t="str">
        <f t="shared" si="5"/>
        <v>Завершена</v>
      </c>
      <c r="X125" s="25" t="str">
        <f>IFERROR(__xludf.DUMMYFUNCTION("IF(C125 = """", """", IF(REGEXMATCH(C125, ""PCX|NMAX|ADV|CLICK""), ""скутер"", ""мото""))"),"скутер")</f>
        <v>скутер</v>
      </c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</row>
    <row r="126" hidden="1">
      <c r="A126" s="13" t="s">
        <v>24</v>
      </c>
      <c r="B126" s="13" t="s">
        <v>25</v>
      </c>
      <c r="C126" s="47" t="s">
        <v>98</v>
      </c>
      <c r="D126" s="14" t="s">
        <v>329</v>
      </c>
      <c r="E126" s="48">
        <v>45019.0</v>
      </c>
      <c r="F126" s="38">
        <v>45027.0</v>
      </c>
      <c r="G126" s="17" t="str">
        <f t="shared" si="1"/>
        <v>8 Д</v>
      </c>
      <c r="H126" s="41">
        <v>325.0</v>
      </c>
      <c r="I126" s="19" t="str">
        <f t="shared" si="2"/>
        <v/>
      </c>
      <c r="J126" s="20" t="str">
        <f t="shared" si="3"/>
        <v/>
      </c>
      <c r="K126" s="23">
        <v>2600.0</v>
      </c>
      <c r="L126" s="23"/>
      <c r="M126" s="23"/>
      <c r="N126" s="49">
        <v>30600.0</v>
      </c>
      <c r="O126" s="22">
        <f>IFERROR(__xludf.DUMMYFUNCTION("IFERROR(
  VLOOKUP(C126,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C126
    ), 
    7, FALSE
  ), 
  """"
)
"),32200.0)</f>
        <v>32200</v>
      </c>
      <c r="P126" s="22">
        <f>IFERROR(__xludf.DUMMYFUNCTION("IF(OR(ISBLANK(Q126), ISBLANK(O126), VALUE(SUBSTITUTE(INDEX(SPLIT(IF(ISBLANK(R126), Q126, R126), "" km""), 0, 1), "" "", """")) - O126 = 0), """", IF(ISBLANK(R126), VALUE(SUBSTITUTE(INDEX(SPLIT(Q126, "" km""), 0, 1), "" "", """")) - O126, VALUE(SUBSTITUTE("&amp;"INDEX(SPLIT(R126, "" km""), 0, 1), "" "", """")) - O126))"),-1600.0)</f>
        <v>-1600</v>
      </c>
      <c r="Q126" s="23" t="str">
        <f t="shared" si="4"/>
        <v>30 600 Km, 03.04.2023</v>
      </c>
      <c r="R126" s="20"/>
      <c r="S126" s="41">
        <v>100.0</v>
      </c>
      <c r="T126" s="50">
        <v>1.0</v>
      </c>
      <c r="U126" s="42" t="s">
        <v>330</v>
      </c>
      <c r="V126" s="13" t="s">
        <v>331</v>
      </c>
      <c r="W126" s="24" t="str">
        <f t="shared" si="5"/>
        <v>Завершена</v>
      </c>
      <c r="X126" s="13" t="str">
        <f>IFERROR(__xludf.DUMMYFUNCTION("IF(C126 = """", """", IF(REGEXMATCH(C126, ""PCX|NMAX|ADV|CLICK""), ""скутер"", ""мото""))"),"скутер")</f>
        <v>скутер</v>
      </c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</row>
    <row r="127" hidden="1">
      <c r="A127" s="25" t="s">
        <v>24</v>
      </c>
      <c r="B127" s="25" t="s">
        <v>25</v>
      </c>
      <c r="C127" s="27" t="s">
        <v>52</v>
      </c>
      <c r="D127" s="27" t="s">
        <v>332</v>
      </c>
      <c r="E127" s="43">
        <v>45019.0</v>
      </c>
      <c r="F127" s="39">
        <v>45049.0</v>
      </c>
      <c r="G127" s="30" t="str">
        <f t="shared" si="1"/>
        <v>30 Д</v>
      </c>
      <c r="H127" s="31">
        <f>3000/30</f>
        <v>100</v>
      </c>
      <c r="I127" s="32" t="str">
        <f t="shared" si="2"/>
        <v/>
      </c>
      <c r="J127" s="33" t="str">
        <f t="shared" si="3"/>
        <v/>
      </c>
      <c r="K127" s="36">
        <v>3000.0</v>
      </c>
      <c r="L127" s="33"/>
      <c r="M127" s="33"/>
      <c r="N127" s="44">
        <v>28250.0</v>
      </c>
      <c r="O127" s="35">
        <f>IFERROR(__xludf.DUMMYFUNCTION("IFERROR(
  VLOOKUP(C127,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C127
    ), 
    7, FALSE
  ), 
  """"
)
"),33515.0)</f>
        <v>33515</v>
      </c>
      <c r="P127" s="35">
        <f>IFERROR(__xludf.DUMMYFUNCTION("IF(OR(ISBLANK(Q127), ISBLANK(O127), VALUE(SUBSTITUTE(INDEX(SPLIT(IF(ISBLANK(R127), Q127, R127), "" km""), 0, 1), "" "", """")) - O127 = 0), """", IF(ISBLANK(R127), VALUE(SUBSTITUTE(INDEX(SPLIT(Q127, "" km""), 0, 1), "" "", """")) - O127, VALUE(SUBSTITUTE("&amp;"INDEX(SPLIT(R127, "" km""), 0, 1), "" "", """")) - O127))"),-5265.0)</f>
        <v>-5265</v>
      </c>
      <c r="Q127" s="36" t="str">
        <f t="shared" si="4"/>
        <v>28 250 Km, 03.04.2023</v>
      </c>
      <c r="R127" s="33"/>
      <c r="S127" s="40">
        <v>2000.0</v>
      </c>
      <c r="T127" s="45">
        <v>1.0</v>
      </c>
      <c r="U127" s="46" t="s">
        <v>0</v>
      </c>
      <c r="V127" s="25" t="s">
        <v>333</v>
      </c>
      <c r="W127" s="37" t="str">
        <f t="shared" si="5"/>
        <v>Завершена</v>
      </c>
      <c r="X127" s="25" t="str">
        <f>IFERROR(__xludf.DUMMYFUNCTION("IF(C127 = """", """", IF(REGEXMATCH(C127, ""PCX|NMAX|ADV|CLICK""), ""скутер"", ""мото""))"),"скутер")</f>
        <v>скутер</v>
      </c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</row>
    <row r="128" hidden="1">
      <c r="A128" s="13" t="s">
        <v>24</v>
      </c>
      <c r="B128" s="13" t="s">
        <v>25</v>
      </c>
      <c r="C128" s="14" t="s">
        <v>121</v>
      </c>
      <c r="D128" s="14" t="s">
        <v>281</v>
      </c>
      <c r="E128" s="48">
        <v>45020.0</v>
      </c>
      <c r="F128" s="38">
        <v>45050.0</v>
      </c>
      <c r="G128" s="17" t="str">
        <f t="shared" si="1"/>
        <v>30 Д</v>
      </c>
      <c r="H128" s="41">
        <f>7000/30</f>
        <v>233.3333333</v>
      </c>
      <c r="I128" s="19" t="str">
        <f t="shared" si="2"/>
        <v/>
      </c>
      <c r="J128" s="20" t="str">
        <f t="shared" si="3"/>
        <v/>
      </c>
      <c r="K128" s="23">
        <v>2567.0</v>
      </c>
      <c r="L128" s="23"/>
      <c r="M128" s="23"/>
      <c r="N128" s="49">
        <v>23700.0</v>
      </c>
      <c r="O128" s="22" t="str">
        <f>IFERROR(__xludf.DUMMYFUNCTION("IFERROR(
  VLOOKUP(C128,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C128
    ), 
    7, FALSE
  ), 
  """"
)
"),"")</f>
        <v/>
      </c>
      <c r="P128" s="22">
        <f>IFERROR(__xludf.DUMMYFUNCTION("IF(OR(ISBLANK(Q128), ISBLANK(O128), VALUE(SUBSTITUTE(INDEX(SPLIT(IF(ISBLANK(R128), Q128, R128), "" km""), 0, 1), "" "", """")) - O128 = 0), """", IF(ISBLANK(R128), VALUE(SUBSTITUTE(INDEX(SPLIT(Q128, "" km""), 0, 1), "" "", """")) - O128, VALUE(SUBSTITUTE("&amp;"INDEX(SPLIT(R128, "" km""), 0, 1), "" "", """")) - O128))"),23700.0)</f>
        <v>23700</v>
      </c>
      <c r="Q128" s="23" t="str">
        <f t="shared" si="4"/>
        <v>23 700 Km, 04.04.2023</v>
      </c>
      <c r="R128" s="20"/>
      <c r="S128" s="41">
        <v>6000.0</v>
      </c>
      <c r="T128" s="50">
        <v>2.0</v>
      </c>
      <c r="U128" s="42" t="s">
        <v>282</v>
      </c>
      <c r="V128" s="13" t="s">
        <v>117</v>
      </c>
      <c r="W128" s="24" t="str">
        <f t="shared" si="5"/>
        <v>Завершена</v>
      </c>
      <c r="X128" s="13" t="str">
        <f>IFERROR(__xludf.DUMMYFUNCTION("IF(C128 = """", """", IF(REGEXMATCH(C128, ""PCX|NMAX|ADV|CLICK""), ""скутер"", ""мото""))"),"скутер")</f>
        <v>скутер</v>
      </c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</row>
    <row r="129" hidden="1">
      <c r="A129" s="25" t="s">
        <v>24</v>
      </c>
      <c r="B129" s="25" t="s">
        <v>25</v>
      </c>
      <c r="C129" s="27" t="s">
        <v>56</v>
      </c>
      <c r="D129" s="27" t="s">
        <v>334</v>
      </c>
      <c r="E129" s="43">
        <v>45021.0</v>
      </c>
      <c r="F129" s="39">
        <v>45051.0</v>
      </c>
      <c r="G129" s="30" t="str">
        <f t="shared" si="1"/>
        <v>30 Д</v>
      </c>
      <c r="H129" s="31">
        <f>5500/30</f>
        <v>183.3333333</v>
      </c>
      <c r="I129" s="32" t="str">
        <f t="shared" si="2"/>
        <v/>
      </c>
      <c r="J129" s="33" t="str">
        <f t="shared" si="3"/>
        <v/>
      </c>
      <c r="K129" s="36">
        <f>6000+5000+200</f>
        <v>11200</v>
      </c>
      <c r="L129" s="33"/>
      <c r="M129" s="33"/>
      <c r="N129" s="44">
        <v>26300.0</v>
      </c>
      <c r="O129" s="35">
        <f>IFERROR(__xludf.DUMMYFUNCTION("IFERROR(
  VLOOKUP(C129,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C129
    ), 
    7, FALSE
  ), 
  """"
)
"),36400.0)</f>
        <v>36400</v>
      </c>
      <c r="P129" s="35">
        <f>IFERROR(__xludf.DUMMYFUNCTION("IF(OR(ISBLANK(Q129), ISBLANK(O129), VALUE(SUBSTITUTE(INDEX(SPLIT(IF(ISBLANK(R129), Q129, R129), "" km""), 0, 1), "" "", """")) - O129 = 0), """", IF(ISBLANK(R129), VALUE(SUBSTITUTE(INDEX(SPLIT(Q129, "" km""), 0, 1), "" "", """")) - O129, VALUE(SUBSTITUTE("&amp;"INDEX(SPLIT(R129, "" km""), 0, 1), "" "", """")) - O129))"),-10100.0)</f>
        <v>-10100</v>
      </c>
      <c r="Q129" s="36" t="str">
        <f t="shared" si="4"/>
        <v>26 300 Km, 05.04.2023</v>
      </c>
      <c r="R129" s="33"/>
      <c r="S129" s="40">
        <v>3000.0</v>
      </c>
      <c r="T129" s="45">
        <v>2.0</v>
      </c>
      <c r="U129" s="46" t="s">
        <v>335</v>
      </c>
      <c r="V129" s="25" t="s">
        <v>300</v>
      </c>
      <c r="W129" s="37" t="str">
        <f t="shared" si="5"/>
        <v>Завершена</v>
      </c>
      <c r="X129" s="25" t="str">
        <f>IFERROR(__xludf.DUMMYFUNCTION("IF(C129 = """", """", IF(REGEXMATCH(C129, ""PCX|NMAX|ADV|CLICK""), ""скутер"", ""мото""))"),"скутер")</f>
        <v>скутер</v>
      </c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</row>
    <row r="130" hidden="1">
      <c r="A130" s="13" t="s">
        <v>24</v>
      </c>
      <c r="B130" s="13" t="s">
        <v>25</v>
      </c>
      <c r="C130" s="14" t="s">
        <v>286</v>
      </c>
      <c r="D130" s="14" t="s">
        <v>336</v>
      </c>
      <c r="E130" s="48">
        <v>45024.0</v>
      </c>
      <c r="F130" s="38">
        <v>45054.0</v>
      </c>
      <c r="G130" s="17" t="str">
        <f t="shared" si="1"/>
        <v>30 Д</v>
      </c>
      <c r="H130" s="41">
        <v>400.0</v>
      </c>
      <c r="I130" s="19" t="str">
        <f t="shared" si="2"/>
        <v/>
      </c>
      <c r="J130" s="20" t="str">
        <f t="shared" si="3"/>
        <v/>
      </c>
      <c r="K130" s="23">
        <v>12000.0</v>
      </c>
      <c r="L130" s="23"/>
      <c r="M130" s="23"/>
      <c r="N130" s="49">
        <v>6000.0</v>
      </c>
      <c r="O130" s="22" t="str">
        <f>IFERROR(__xludf.DUMMYFUNCTION("IFERROR(
  VLOOKUP(C130,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C130
    ), 
    7, FALSE
  ), 
  """"
)
"),"")</f>
        <v/>
      </c>
      <c r="P130" s="22">
        <f>IFERROR(__xludf.DUMMYFUNCTION("IF(OR(ISBLANK(Q130), ISBLANK(O130), VALUE(SUBSTITUTE(INDEX(SPLIT(IF(ISBLANK(R130), Q130, R130), "" km""), 0, 1), "" "", """")) - O130 = 0), """", IF(ISBLANK(R130), VALUE(SUBSTITUTE(INDEX(SPLIT(Q130, "" km""), 0, 1), "" "", """")) - O130, VALUE(SUBSTITUTE("&amp;"INDEX(SPLIT(R130, "" km""), 0, 1), "" "", """")) - O130))"),6000.0)</f>
        <v>6000</v>
      </c>
      <c r="Q130" s="23" t="str">
        <f t="shared" si="4"/>
        <v>6 000 Km, 08.04.2023</v>
      </c>
      <c r="R130" s="23"/>
      <c r="S130" s="41">
        <v>300.0</v>
      </c>
      <c r="T130" s="50">
        <v>1.0</v>
      </c>
      <c r="U130" s="42" t="s">
        <v>337</v>
      </c>
      <c r="V130" s="13" t="s">
        <v>338</v>
      </c>
      <c r="W130" s="24" t="str">
        <f t="shared" si="5"/>
        <v>Завершена</v>
      </c>
      <c r="X130" s="13" t="str">
        <f>IFERROR(__xludf.DUMMYFUNCTION("IF(C130 = """", """", IF(REGEXMATCH(C130, ""PCX|NMAX|ADV|CLICK""), ""скутер"", ""мото""))"),"мото")</f>
        <v>мото</v>
      </c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</row>
    <row r="131" hidden="1">
      <c r="A131" s="25" t="s">
        <v>24</v>
      </c>
      <c r="B131" s="25" t="s">
        <v>25</v>
      </c>
      <c r="C131" s="27" t="s">
        <v>64</v>
      </c>
      <c r="D131" s="27" t="s">
        <v>206</v>
      </c>
      <c r="E131" s="43">
        <v>45028.0</v>
      </c>
      <c r="F131" s="39">
        <v>45089.0</v>
      </c>
      <c r="G131" s="30" t="str">
        <f t="shared" si="1"/>
        <v>2 М</v>
      </c>
      <c r="H131" s="40">
        <v>400.0</v>
      </c>
      <c r="I131" s="32" t="str">
        <f t="shared" si="2"/>
        <v/>
      </c>
      <c r="J131" s="33" t="str">
        <f t="shared" si="3"/>
        <v/>
      </c>
      <c r="K131" s="36">
        <f>12000+12000</f>
        <v>24000</v>
      </c>
      <c r="L131" s="36"/>
      <c r="M131" s="36"/>
      <c r="N131" s="44">
        <v>14300.0</v>
      </c>
      <c r="O131" s="35">
        <f>IFERROR(__xludf.DUMMYFUNCTION("IFERROR(
  VLOOKUP(C131,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C131
    ), 
    7, FALSE
  ), 
  """"
)
"),32600.0)</f>
        <v>32600</v>
      </c>
      <c r="P131" s="35">
        <f>IFERROR(__xludf.DUMMYFUNCTION("IF(OR(ISBLANK(Q131), ISBLANK(O131), VALUE(SUBSTITUTE(INDEX(SPLIT(IF(ISBLANK(R131), Q131, R131), "" km""), 0, 1), "" "", """")) - O131 = 0), """", IF(ISBLANK(R131), VALUE(SUBSTITUTE(INDEX(SPLIT(Q131, "" km""), 0, 1), "" "", """")) - O131, VALUE(SUBSTITUTE("&amp;"INDEX(SPLIT(R131, "" km""), 0, 1), "" "", """")) - O131))"),-18300.0)</f>
        <v>-18300</v>
      </c>
      <c r="Q131" s="36" t="str">
        <f t="shared" si="4"/>
        <v>14 300 Km, 12.04.2023</v>
      </c>
      <c r="R131" s="33"/>
      <c r="S131" s="40">
        <v>5000.0</v>
      </c>
      <c r="T131" s="45">
        <v>1.0</v>
      </c>
      <c r="U131" s="46" t="s">
        <v>208</v>
      </c>
      <c r="V131" s="25" t="s">
        <v>339</v>
      </c>
      <c r="W131" s="37" t="str">
        <f t="shared" si="5"/>
        <v>Завершена</v>
      </c>
      <c r="X131" s="25" t="str">
        <f>IFERROR(__xludf.DUMMYFUNCTION("IF(C131 = """", """", IF(REGEXMATCH(C131, ""PCX|NMAX|ADV|CLICK""), ""скутер"", ""мото""))"),"мото")</f>
        <v>мото</v>
      </c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</row>
    <row r="132" hidden="1">
      <c r="A132" s="52" t="s">
        <v>24</v>
      </c>
      <c r="B132" s="13" t="s">
        <v>25</v>
      </c>
      <c r="C132" s="14" t="s">
        <v>102</v>
      </c>
      <c r="D132" s="14" t="s">
        <v>340</v>
      </c>
      <c r="E132" s="48">
        <v>45029.0</v>
      </c>
      <c r="F132" s="38">
        <v>45062.0</v>
      </c>
      <c r="G132" s="17" t="str">
        <f t="shared" si="1"/>
        <v>1 М</v>
      </c>
      <c r="H132" s="41">
        <v>1500.0</v>
      </c>
      <c r="I132" s="19" t="str">
        <f t="shared" si="2"/>
        <v/>
      </c>
      <c r="J132" s="20" t="str">
        <f t="shared" si="3"/>
        <v/>
      </c>
      <c r="K132" s="53">
        <v>4500.0</v>
      </c>
      <c r="L132" s="23"/>
      <c r="M132" s="23"/>
      <c r="N132" s="49">
        <v>31500.0</v>
      </c>
      <c r="O132" s="22">
        <f>IFERROR(__xludf.DUMMYFUNCTION("IFERROR(
  VLOOKUP(C132,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C132
    ), 
    7, FALSE
  ), 
  """"
)
"),63700.0)</f>
        <v>63700</v>
      </c>
      <c r="P132" s="22">
        <f>IFERROR(__xludf.DUMMYFUNCTION("IF(OR(ISBLANK(Q132), ISBLANK(O132), VALUE(SUBSTITUTE(INDEX(SPLIT(IF(ISBLANK(R132), Q132, R132), "" km""), 0, 1), "" "", """")) - O132 = 0), """", IF(ISBLANK(R132), VALUE(SUBSTITUTE(INDEX(SPLIT(Q132, "" km""), 0, 1), "" "", """")) - O132, VALUE(SUBSTITUTE("&amp;"INDEX(SPLIT(R132, "" km""), 0, 1), "" "", """")) - O132))"),-32200.0)</f>
        <v>-32200</v>
      </c>
      <c r="Q132" s="23" t="str">
        <f t="shared" si="4"/>
        <v>31 500 Km, 13.04.2023</v>
      </c>
      <c r="R132" s="20"/>
      <c r="S132" s="41">
        <v>730.0</v>
      </c>
      <c r="T132" s="50">
        <v>1.0</v>
      </c>
      <c r="U132" s="42" t="s">
        <v>341</v>
      </c>
      <c r="V132" s="13" t="s">
        <v>342</v>
      </c>
      <c r="W132" s="24" t="str">
        <f t="shared" si="5"/>
        <v>Завершена</v>
      </c>
      <c r="X132" s="13" t="str">
        <f>IFERROR(__xludf.DUMMYFUNCTION("IF(C132 = """", """", IF(REGEXMATCH(C132, ""PCX|NMAX|ADV|CLICK""), ""скутер"", ""мото""))"),"мото")</f>
        <v>мото</v>
      </c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</row>
    <row r="133" hidden="1">
      <c r="A133" s="25" t="s">
        <v>24</v>
      </c>
      <c r="B133" s="25" t="s">
        <v>25</v>
      </c>
      <c r="C133" s="27" t="s">
        <v>77</v>
      </c>
      <c r="D133" s="27" t="s">
        <v>343</v>
      </c>
      <c r="E133" s="43">
        <v>45030.0</v>
      </c>
      <c r="F133" s="39">
        <v>45034.0</v>
      </c>
      <c r="G133" s="30" t="str">
        <f t="shared" si="1"/>
        <v>4 Д</v>
      </c>
      <c r="H133" s="40">
        <v>350.0</v>
      </c>
      <c r="I133" s="32" t="str">
        <f t="shared" si="2"/>
        <v/>
      </c>
      <c r="J133" s="33" t="str">
        <f t="shared" si="3"/>
        <v/>
      </c>
      <c r="K133" s="36">
        <f>350*4</f>
        <v>1400</v>
      </c>
      <c r="L133" s="36"/>
      <c r="M133" s="36"/>
      <c r="N133" s="44">
        <v>20500.0</v>
      </c>
      <c r="O133" s="35">
        <f>IFERROR(__xludf.DUMMYFUNCTION("IFERROR(
  VLOOKUP(C133,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C133
    ), 
    7, FALSE
  ), 
  """"
)
"),37300.0)</f>
        <v>37300</v>
      </c>
      <c r="P133" s="35">
        <f>IFERROR(__xludf.DUMMYFUNCTION("IF(OR(ISBLANK(Q133), ISBLANK(O133), VALUE(SUBSTITUTE(INDEX(SPLIT(IF(ISBLANK(R133), Q133, R133), "" km""), 0, 1), "" "", """")) - O133 = 0), """", IF(ISBLANK(R133), VALUE(SUBSTITUTE(INDEX(SPLIT(Q133, "" km""), 0, 1), "" "", """")) - O133, VALUE(SUBSTITUTE("&amp;"INDEX(SPLIT(R133, "" km""), 0, 1), "" "", """")) - O133))"),-16800.0)</f>
        <v>-16800</v>
      </c>
      <c r="Q133" s="36" t="str">
        <f t="shared" si="4"/>
        <v>20 500 Km, 14.04.2023</v>
      </c>
      <c r="R133" s="33"/>
      <c r="S133" s="40">
        <v>100.0</v>
      </c>
      <c r="T133" s="45">
        <v>0.0</v>
      </c>
      <c r="U133" s="46" t="s">
        <v>344</v>
      </c>
      <c r="V133" s="25" t="s">
        <v>345</v>
      </c>
      <c r="W133" s="37" t="str">
        <f t="shared" si="5"/>
        <v>Завершена</v>
      </c>
      <c r="X133" s="25" t="str">
        <f>IFERROR(__xludf.DUMMYFUNCTION("IF(C133 = """", """", IF(REGEXMATCH(C133, ""PCX|NMAX|ADV|CLICK""), ""скутер"", ""мото""))"),"скутер")</f>
        <v>скутер</v>
      </c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</row>
    <row r="134" hidden="1">
      <c r="A134" s="13" t="s">
        <v>24</v>
      </c>
      <c r="B134" s="13" t="s">
        <v>25</v>
      </c>
      <c r="C134" s="14" t="s">
        <v>48</v>
      </c>
      <c r="D134" s="14" t="s">
        <v>301</v>
      </c>
      <c r="E134" s="48">
        <v>45030.0</v>
      </c>
      <c r="F134" s="38">
        <v>45060.0</v>
      </c>
      <c r="G134" s="17" t="str">
        <f t="shared" si="1"/>
        <v>30 Д</v>
      </c>
      <c r="H134" s="41">
        <v>233.0</v>
      </c>
      <c r="I134" s="19" t="str">
        <f t="shared" si="2"/>
        <v/>
      </c>
      <c r="J134" s="20" t="str">
        <f t="shared" si="3"/>
        <v/>
      </c>
      <c r="K134" s="23">
        <f>7000-2100</f>
        <v>4900</v>
      </c>
      <c r="L134" s="23"/>
      <c r="M134" s="23"/>
      <c r="N134" s="49">
        <v>18000.0</v>
      </c>
      <c r="O134" s="22">
        <f>IFERROR(__xludf.DUMMYFUNCTION("IFERROR(
  VLOOKUP(C134,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C134
    ), 
    7, FALSE
  ), 
  """"
)
"),35800.0)</f>
        <v>35800</v>
      </c>
      <c r="P134" s="22">
        <f>IFERROR(__xludf.DUMMYFUNCTION("IF(OR(ISBLANK(Q134), ISBLANK(O134), VALUE(SUBSTITUTE(INDEX(SPLIT(IF(ISBLANK(R134), Q134, R134), "" km""), 0, 1), "" "", """")) - O134 = 0), """", IF(ISBLANK(R134), VALUE(SUBSTITUTE(INDEX(SPLIT(Q134, "" km""), 0, 1), "" "", """")) - O134, VALUE(SUBSTITUTE("&amp;"INDEX(SPLIT(R134, "" km""), 0, 1), "" "", """")) - O134))"),-35791.0)</f>
        <v>-35791</v>
      </c>
      <c r="Q134" s="23" t="str">
        <f t="shared" si="4"/>
        <v>9 дней сохраняем так как вернул раньше</v>
      </c>
      <c r="R134" s="23" t="s">
        <v>346</v>
      </c>
      <c r="S134" s="41">
        <v>3000.0</v>
      </c>
      <c r="T134" s="50">
        <v>1.0</v>
      </c>
      <c r="U134" s="42" t="s">
        <v>302</v>
      </c>
      <c r="V134" s="13" t="s">
        <v>303</v>
      </c>
      <c r="W134" s="24" t="str">
        <f t="shared" si="5"/>
        <v>Завершена</v>
      </c>
      <c r="X134" s="13" t="str">
        <f>IFERROR(__xludf.DUMMYFUNCTION("IF(C134 = """", """", IF(REGEXMATCH(C134, ""PCX|NMAX|ADV|CLICK""), ""скутер"", ""мото""))"),"скутер")</f>
        <v>скутер</v>
      </c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</row>
    <row r="135" hidden="1">
      <c r="A135" s="25" t="s">
        <v>24</v>
      </c>
      <c r="B135" s="25" t="s">
        <v>25</v>
      </c>
      <c r="C135" s="26" t="s">
        <v>32</v>
      </c>
      <c r="D135" s="27" t="s">
        <v>281</v>
      </c>
      <c r="E135" s="43">
        <v>45031.0</v>
      </c>
      <c r="F135" s="39">
        <v>45064.0</v>
      </c>
      <c r="G135" s="30" t="str">
        <f t="shared" si="1"/>
        <v>1 М</v>
      </c>
      <c r="H135" s="40">
        <v>366.0</v>
      </c>
      <c r="I135" s="32" t="str">
        <f t="shared" si="2"/>
        <v/>
      </c>
      <c r="J135" s="33" t="str">
        <f t="shared" si="3"/>
        <v/>
      </c>
      <c r="K135" s="36">
        <f>2567+9515</f>
        <v>12082</v>
      </c>
      <c r="L135" s="36"/>
      <c r="M135" s="36"/>
      <c r="N135" s="44">
        <v>17300.0</v>
      </c>
      <c r="O135" s="35">
        <f>IFERROR(__xludf.DUMMYFUNCTION("IFERROR(
  VLOOKUP(C135,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C135
    ), 
    7, FALSE
  ), 
  """"
)
"),38640.0)</f>
        <v>38640</v>
      </c>
      <c r="P135" s="35">
        <f>IFERROR(__xludf.DUMMYFUNCTION("IF(OR(ISBLANK(Q135), ISBLANK(O135), VALUE(SUBSTITUTE(INDEX(SPLIT(IF(ISBLANK(R135), Q135, R135), "" km""), 0, 1), "" "", """")) - O135 = 0), """", IF(ISBLANK(R135), VALUE(SUBSTITUTE(INDEX(SPLIT(Q135, "" km""), 0, 1), "" "", """")) - O135, VALUE(SUBSTITUTE("&amp;"INDEX(SPLIT(R135, "" km""), 0, 1), "" "", """")) - O135))"),-21340.0)</f>
        <v>-21340</v>
      </c>
      <c r="Q135" s="36" t="str">
        <f t="shared" si="4"/>
        <v>17 300 Km, 15.04.2023</v>
      </c>
      <c r="R135" s="36"/>
      <c r="S135" s="40">
        <v>11000.0</v>
      </c>
      <c r="T135" s="45">
        <v>1.0</v>
      </c>
      <c r="U135" s="46" t="s">
        <v>282</v>
      </c>
      <c r="V135" s="25" t="s">
        <v>347</v>
      </c>
      <c r="W135" s="37" t="str">
        <f t="shared" si="5"/>
        <v>Завершена</v>
      </c>
      <c r="X135" s="25" t="str">
        <f>IFERROR(__xludf.DUMMYFUNCTION("IF(C135 = """", """", IF(REGEXMATCH(C135, ""PCX|NMAX|ADV|CLICK""), ""скутер"", ""мото""))"),"мото")</f>
        <v>мото</v>
      </c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</row>
    <row r="136" hidden="1">
      <c r="A136" s="13" t="s">
        <v>24</v>
      </c>
      <c r="B136" s="13" t="s">
        <v>25</v>
      </c>
      <c r="C136" s="14" t="s">
        <v>77</v>
      </c>
      <c r="D136" s="14" t="s">
        <v>348</v>
      </c>
      <c r="E136" s="48">
        <v>45036.0</v>
      </c>
      <c r="F136" s="38">
        <v>45066.0</v>
      </c>
      <c r="G136" s="17" t="str">
        <f t="shared" si="1"/>
        <v>30 Д</v>
      </c>
      <c r="H136" s="41">
        <v>200.0</v>
      </c>
      <c r="I136" s="19" t="str">
        <f t="shared" si="2"/>
        <v/>
      </c>
      <c r="J136" s="20" t="str">
        <f t="shared" si="3"/>
        <v/>
      </c>
      <c r="K136" s="23">
        <v>6000.0</v>
      </c>
      <c r="L136" s="23"/>
      <c r="M136" s="23"/>
      <c r="N136" s="49">
        <v>2050.0</v>
      </c>
      <c r="O136" s="22">
        <f>IFERROR(__xludf.DUMMYFUNCTION("IFERROR(
  VLOOKUP(C136,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C136
    ), 
    7, FALSE
  ), 
  """"
)
"),37300.0)</f>
        <v>37300</v>
      </c>
      <c r="P136" s="22" t="str">
        <f>IFERROR(__xludf.DUMMYFUNCTION("IF(OR(ISBLANK(Q136), ISBLANK(O136), VALUE(SUBSTITUTE(INDEX(SPLIT(IF(ISBLANK(R136), Q136, R136), "" km""), 0, 1), "" "", """")) - O136 = 0), """", IF(ISBLANK(R136), VALUE(SUBSTITUTE(INDEX(SPLIT(Q136, "" km""), 0, 1), "" "", """")) - O136, VALUE(SUBSTITUTE("&amp;"INDEX(SPLIT(R136, "" km""), 0, 1), "" "", """")) - O136))"),"#VALUE!")</f>
        <v>#VALUE!</v>
      </c>
      <c r="Q136" s="23" t="str">
        <f t="shared" si="4"/>
        <v>бесплатно</v>
      </c>
      <c r="R136" s="23" t="s">
        <v>349</v>
      </c>
      <c r="S136" s="41">
        <v>0.0</v>
      </c>
      <c r="T136" s="19"/>
      <c r="U136" s="17" t="s">
        <v>0</v>
      </c>
      <c r="V136" s="17"/>
      <c r="W136" s="24" t="str">
        <f t="shared" si="5"/>
        <v>Завершена</v>
      </c>
      <c r="X136" s="13" t="str">
        <f>IFERROR(__xludf.DUMMYFUNCTION("IF(C136 = """", """", IF(REGEXMATCH(C136, ""PCX|NMAX|ADV|CLICK""), ""скутер"", ""мото""))"),"скутер")</f>
        <v>скутер</v>
      </c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</row>
    <row r="137" hidden="1">
      <c r="A137" s="25" t="s">
        <v>24</v>
      </c>
      <c r="B137" s="25" t="s">
        <v>25</v>
      </c>
      <c r="C137" s="27" t="s">
        <v>113</v>
      </c>
      <c r="D137" s="27" t="s">
        <v>350</v>
      </c>
      <c r="E137" s="43">
        <v>45037.0</v>
      </c>
      <c r="F137" s="39">
        <v>45046.0</v>
      </c>
      <c r="G137" s="30" t="str">
        <f t="shared" si="1"/>
        <v>9 Д</v>
      </c>
      <c r="H137" s="40">
        <v>600.0</v>
      </c>
      <c r="I137" s="32" t="str">
        <f t="shared" si="2"/>
        <v/>
      </c>
      <c r="J137" s="33" t="str">
        <f t="shared" si="3"/>
        <v/>
      </c>
      <c r="K137" s="36">
        <v>5400.0</v>
      </c>
      <c r="L137" s="36"/>
      <c r="M137" s="36"/>
      <c r="N137" s="44">
        <v>21700.0</v>
      </c>
      <c r="O137" s="35" t="str">
        <f>IFERROR(__xludf.DUMMYFUNCTION("IFERROR(
  VLOOKUP(C137,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C137
    ), 
    7, FALSE
  ), 
  """"
)
"),"")</f>
        <v/>
      </c>
      <c r="P137" s="35">
        <f>IFERROR(__xludf.DUMMYFUNCTION("IF(OR(ISBLANK(Q137), ISBLANK(O137), VALUE(SUBSTITUTE(INDEX(SPLIT(IF(ISBLANK(R137), Q137, R137), "" km""), 0, 1), "" "", """")) - O137 = 0), """", IF(ISBLANK(R137), VALUE(SUBSTITUTE(INDEX(SPLIT(Q137, "" km""), 0, 1), "" "", """")) - O137, VALUE(SUBSTITUTE("&amp;"INDEX(SPLIT(R137, "" km""), 0, 1), "" "", """")) - O137))"),21700.0)</f>
        <v>21700</v>
      </c>
      <c r="Q137" s="36" t="str">
        <f t="shared" si="4"/>
        <v>21 700 Km, 21.04.2023</v>
      </c>
      <c r="R137" s="33"/>
      <c r="S137" s="40" t="s">
        <v>272</v>
      </c>
      <c r="T137" s="45">
        <v>2.0</v>
      </c>
      <c r="U137" s="46" t="s">
        <v>0</v>
      </c>
      <c r="V137" s="25" t="s">
        <v>351</v>
      </c>
      <c r="W137" s="37" t="str">
        <f t="shared" si="5"/>
        <v>Завершена</v>
      </c>
      <c r="X137" s="25" t="str">
        <f>IFERROR(__xludf.DUMMYFUNCTION("IF(C137 = """", """", IF(REGEXMATCH(C137, ""PCX|NMAX|ADV|CLICK""), ""скутер"", ""мото""))"),"мото")</f>
        <v>мото</v>
      </c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</row>
    <row r="138" hidden="1">
      <c r="A138" s="13" t="s">
        <v>24</v>
      </c>
      <c r="B138" s="13" t="s">
        <v>25</v>
      </c>
      <c r="C138" s="14" t="s">
        <v>73</v>
      </c>
      <c r="D138" s="14" t="s">
        <v>352</v>
      </c>
      <c r="E138" s="48">
        <v>45037.0</v>
      </c>
      <c r="F138" s="38">
        <v>45159.875</v>
      </c>
      <c r="G138" s="17" t="str">
        <f t="shared" si="1"/>
        <v>4 М</v>
      </c>
      <c r="H138" s="18">
        <f>5000/30</f>
        <v>166.6666667</v>
      </c>
      <c r="I138" s="19" t="str">
        <f t="shared" si="2"/>
        <v/>
      </c>
      <c r="J138" s="20" t="str">
        <f t="shared" si="3"/>
        <v/>
      </c>
      <c r="K138" s="23">
        <f>5000+5000+5000+5000</f>
        <v>20000</v>
      </c>
      <c r="L138" s="20"/>
      <c r="M138" s="20"/>
      <c r="N138" s="49">
        <v>37800.0</v>
      </c>
      <c r="O138" s="22">
        <f>IFERROR(__xludf.DUMMYFUNCTION("IFERROR(
  VLOOKUP(C138,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C138
    ), 
    7, FALSE
  ), 
  """"
)
"),31000.0)</f>
        <v>31000</v>
      </c>
      <c r="P138" s="22" t="str">
        <f>IFERROR(__xludf.DUMMYFUNCTION("IF(AND(Q138="""", R138=""""),
  """",
  IF(OR(ISBLANK(Q138), ISBLANK(O138)),
    """",
    IF(VALUE(SUBSTITUTE(INDEX(SPLIT(IF(ISBLANK(R138), Q138, R138), "",""), 0, 1), "" Km"", """")) - O138 = 0,
      """",
      VALUE(SUBSTITUTE(INDEX(SPLIT(IF(ISBLANK("&amp;"R138), Q138, R138), "",""), 0, 1), "" Km"", """")) - O138
    )
  )
)"),"#VALUE!")</f>
        <v>#VALUE!</v>
      </c>
      <c r="Q138" s="23" t="str">
        <f t="shared" si="4"/>
        <v>24001 km, 28.06.2023</v>
      </c>
      <c r="R138" s="23" t="s">
        <v>353</v>
      </c>
      <c r="S138" s="41">
        <v>3500.0</v>
      </c>
      <c r="T138" s="50">
        <v>0.0</v>
      </c>
      <c r="U138" s="42" t="s">
        <v>354</v>
      </c>
      <c r="V138" s="13" t="s">
        <v>355</v>
      </c>
      <c r="W138" s="24" t="str">
        <f t="shared" si="5"/>
        <v>Завершена</v>
      </c>
      <c r="X138" s="13" t="str">
        <f>IFERROR(__xludf.DUMMYFUNCTION("IF(C138 = """", """", IF(REGEXMATCH(C138, ""PCX|NMAX|ADV|CLICK""), ""скутер"", ""мото""))"),"скутер")</f>
        <v>скутер</v>
      </c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</row>
    <row r="139" hidden="1">
      <c r="A139" s="25" t="s">
        <v>24</v>
      </c>
      <c r="B139" s="25" t="s">
        <v>25</v>
      </c>
      <c r="C139" s="27" t="s">
        <v>102</v>
      </c>
      <c r="D139" s="27" t="s">
        <v>356</v>
      </c>
      <c r="E139" s="43">
        <v>45039.0</v>
      </c>
      <c r="F139" s="39">
        <v>45066.0</v>
      </c>
      <c r="G139" s="30" t="str">
        <f t="shared" si="1"/>
        <v>27 Д</v>
      </c>
      <c r="H139" s="40">
        <v>950.0</v>
      </c>
      <c r="I139" s="32" t="str">
        <f t="shared" si="2"/>
        <v/>
      </c>
      <c r="J139" s="33" t="str">
        <f t="shared" si="3"/>
        <v/>
      </c>
      <c r="K139" s="36">
        <f>12350+4750+7500</f>
        <v>24600</v>
      </c>
      <c r="L139" s="36"/>
      <c r="M139" s="36"/>
      <c r="N139" s="44">
        <v>32000.0</v>
      </c>
      <c r="O139" s="35">
        <f>IFERROR(__xludf.DUMMYFUNCTION("IFERROR(
  VLOOKUP(C139,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C139
    ), 
    7, FALSE
  ), 
  """"
)
"),63700.0)</f>
        <v>63700</v>
      </c>
      <c r="P139" s="35">
        <f>IFERROR(__xludf.DUMMYFUNCTION("IF(OR(ISBLANK(Q139), ISBLANK(O139), VALUE(SUBSTITUTE(INDEX(SPLIT(IF(ISBLANK(R139), Q139, R139), "" km""), 0, 1), "" "", """")) - O139 = 0), """", IF(ISBLANK(R139), VALUE(SUBSTITUTE(INDEX(SPLIT(Q139, "" km""), 0, 1), "" "", """")) - O139, VALUE(SUBSTITUTE("&amp;"INDEX(SPLIT(R139, "" km""), 0, 1), "" "", """")) - O139))"),-63697.0)</f>
        <v>-63697</v>
      </c>
      <c r="Q139" s="36" t="str">
        <f t="shared" si="4"/>
        <v>3 дня в запасе</v>
      </c>
      <c r="R139" s="36" t="s">
        <v>357</v>
      </c>
      <c r="S139" s="40" t="s">
        <v>358</v>
      </c>
      <c r="T139" s="45">
        <v>1.0</v>
      </c>
      <c r="U139" s="46" t="s">
        <v>359</v>
      </c>
      <c r="V139" s="25" t="s">
        <v>360</v>
      </c>
      <c r="W139" s="37" t="str">
        <f t="shared" si="5"/>
        <v>Завершена</v>
      </c>
      <c r="X139" s="25" t="str">
        <f>IFERROR(__xludf.DUMMYFUNCTION("IF(C139 = """", """", IF(REGEXMATCH(C139, ""PCX|NMAX|ADV|CLICK""), ""скутер"", ""мото""))"),"мото")</f>
        <v>мото</v>
      </c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</row>
    <row r="140" hidden="1">
      <c r="A140" s="52" t="s">
        <v>24</v>
      </c>
      <c r="B140" s="13" t="s">
        <v>25</v>
      </c>
      <c r="C140" s="14" t="s">
        <v>185</v>
      </c>
      <c r="D140" s="14" t="s">
        <v>217</v>
      </c>
      <c r="E140" s="48">
        <v>45039.0</v>
      </c>
      <c r="F140" s="38">
        <v>45250.541666666664</v>
      </c>
      <c r="G140" s="17" t="str">
        <f t="shared" si="1"/>
        <v>6 М</v>
      </c>
      <c r="H140" s="41">
        <f>5500/30</f>
        <v>183.3333333</v>
      </c>
      <c r="I140" s="19" t="str">
        <f t="shared" si="2"/>
        <v/>
      </c>
      <c r="J140" s="20" t="str">
        <f t="shared" si="3"/>
        <v/>
      </c>
      <c r="K140" s="23">
        <f>5500+5500+5500+5500+5500+5500+5500</f>
        <v>38500</v>
      </c>
      <c r="L140" s="23"/>
      <c r="M140" s="23"/>
      <c r="N140" s="49">
        <v>21500.0</v>
      </c>
      <c r="O140" s="22" t="str">
        <f>IFERROR(__xludf.DUMMYFUNCTION("IFERROR(
  VLOOKUP(C140,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C140
    ), 
    7, FALSE
  ), 
  """"
)
"),"")</f>
        <v/>
      </c>
      <c r="P140" s="22">
        <f>IFERROR(__xludf.DUMMYFUNCTION("IF(AND(Q140="""", R140=""""),
  """",
  IF(OR(ISBLANK(Q140), ISBLANK(O140)),
    """",
    IF(VALUE(SUBSTITUTE(INDEX(SPLIT(IF(ISBLANK(R140), Q140, R140), "",""), 0, 1), "" Km"", """")) - O140 = 0,
      """",
      VALUE(SUBSTITUTE(INDEX(SPLIT(IF(ISBLANK("&amp;"R140), Q140, R140), "",""), 0, 1), "" Km"", """")) - O140
    )
  )
)"),24800.0)</f>
        <v>24800</v>
      </c>
      <c r="Q140" s="23" t="str">
        <f t="shared" si="4"/>
        <v>24800 Km, 18.09.2023</v>
      </c>
      <c r="R140" s="23" t="s">
        <v>361</v>
      </c>
      <c r="S140" s="18">
        <v>3000.0</v>
      </c>
      <c r="T140" s="50">
        <v>0.0</v>
      </c>
      <c r="U140" s="13" t="s">
        <v>218</v>
      </c>
      <c r="V140" s="24"/>
      <c r="W140" s="24" t="str">
        <f t="shared" si="5"/>
        <v>Завершена</v>
      </c>
      <c r="X140" s="13" t="str">
        <f>IFERROR(__xludf.DUMMYFUNCTION("IF(C140 = """", """", IF(REGEXMATCH(C140, ""PCX|NMAX|ADV|CLICK""), ""скутер"", ""мото""))"),"скутер")</f>
        <v>скутер</v>
      </c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</row>
    <row r="141" hidden="1">
      <c r="A141" s="25" t="s">
        <v>24</v>
      </c>
      <c r="B141" s="25" t="s">
        <v>25</v>
      </c>
      <c r="C141" s="27" t="s">
        <v>114</v>
      </c>
      <c r="D141" s="27" t="s">
        <v>362</v>
      </c>
      <c r="E141" s="43">
        <v>45040.0</v>
      </c>
      <c r="F141" s="39">
        <v>45049.0</v>
      </c>
      <c r="G141" s="30" t="str">
        <f t="shared" si="1"/>
        <v>9 Д</v>
      </c>
      <c r="H141" s="40">
        <v>300.0</v>
      </c>
      <c r="I141" s="32" t="str">
        <f t="shared" si="2"/>
        <v/>
      </c>
      <c r="J141" s="33" t="str">
        <f t="shared" si="3"/>
        <v/>
      </c>
      <c r="K141" s="36">
        <v>2100.0</v>
      </c>
      <c r="L141" s="36"/>
      <c r="M141" s="36"/>
      <c r="N141" s="44">
        <v>15100.0</v>
      </c>
      <c r="O141" s="35">
        <f>IFERROR(__xludf.DUMMYFUNCTION("IFERROR(
  VLOOKUP(C141,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C141
    ), 
    7, FALSE
  ), 
  """"
)
"),31800.0)</f>
        <v>31800</v>
      </c>
      <c r="P141" s="35">
        <f>IFERROR(__xludf.DUMMYFUNCTION("IF(OR(ISBLANK(Q141), ISBLANK(O141), VALUE(SUBSTITUTE(INDEX(SPLIT(IF(ISBLANK(R141), Q141, R141), "" km""), 0, 1), "" "", """")) - O141 = 0), """", IF(ISBLANK(R141), VALUE(SUBSTITUTE(INDEX(SPLIT(Q141, "" km""), 0, 1), "" "", """")) - O141, VALUE(SUBSTITUTE("&amp;"INDEX(SPLIT(R141, "" km""), 0, 1), "" "", """")) - O141))"),-16700.0)</f>
        <v>-16700</v>
      </c>
      <c r="Q141" s="36" t="str">
        <f t="shared" si="4"/>
        <v>15 100 Km, 24.04.2023</v>
      </c>
      <c r="R141" s="33"/>
      <c r="S141" s="40">
        <v>100.0</v>
      </c>
      <c r="T141" s="45">
        <v>2.0</v>
      </c>
      <c r="U141" s="46" t="s">
        <v>0</v>
      </c>
      <c r="V141" s="25" t="s">
        <v>363</v>
      </c>
      <c r="W141" s="37" t="str">
        <f t="shared" si="5"/>
        <v>Завершена</v>
      </c>
      <c r="X141" s="25" t="str">
        <f>IFERROR(__xludf.DUMMYFUNCTION("IF(C141 = """", """", IF(REGEXMATCH(C141, ""PCX|NMAX|ADV|CLICK""), ""скутер"", ""мото""))"),"скутер")</f>
        <v>скутер</v>
      </c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</row>
    <row r="142" hidden="1">
      <c r="A142" s="13" t="s">
        <v>24</v>
      </c>
      <c r="B142" s="13" t="s">
        <v>25</v>
      </c>
      <c r="C142" s="14" t="s">
        <v>155</v>
      </c>
      <c r="D142" s="14" t="s">
        <v>323</v>
      </c>
      <c r="E142" s="48">
        <v>45044.0</v>
      </c>
      <c r="F142" s="38">
        <v>45049.0</v>
      </c>
      <c r="G142" s="17" t="str">
        <f t="shared" si="1"/>
        <v>5 Д</v>
      </c>
      <c r="H142" s="41">
        <v>700.0</v>
      </c>
      <c r="I142" s="19" t="str">
        <f t="shared" si="2"/>
        <v/>
      </c>
      <c r="J142" s="20" t="str">
        <f t="shared" si="3"/>
        <v/>
      </c>
      <c r="K142" s="23">
        <v>3500.0</v>
      </c>
      <c r="L142" s="23"/>
      <c r="M142" s="23"/>
      <c r="N142" s="49">
        <v>25200.0</v>
      </c>
      <c r="O142" s="22" t="str">
        <f>IFERROR(__xludf.DUMMYFUNCTION("IFERROR(
  VLOOKUP(C142,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C142
    ), 
    7, FALSE
  ), 
  """"
)
"),"")</f>
        <v/>
      </c>
      <c r="P142" s="22">
        <f>IFERROR(__xludf.DUMMYFUNCTION("IF(OR(ISBLANK(Q142), ISBLANK(O142), VALUE(SUBSTITUTE(INDEX(SPLIT(IF(ISBLANK(R142), Q142, R142), "" km""), 0, 1), "" "", """")) - O142 = 0), """", IF(ISBLANK(R142), VALUE(SUBSTITUTE(INDEX(SPLIT(Q142, "" km""), 0, 1), "" "", """")) - O142, VALUE(SUBSTITUTE("&amp;"INDEX(SPLIT(R142, "" km""), 0, 1), "" "", """")) - O142))"),25200.0)</f>
        <v>25200</v>
      </c>
      <c r="Q142" s="23" t="str">
        <f t="shared" si="4"/>
        <v>25 200 Km, 28.04.2023</v>
      </c>
      <c r="R142" s="20"/>
      <c r="S142" s="41">
        <v>200.0</v>
      </c>
      <c r="T142" s="50">
        <v>1.0</v>
      </c>
      <c r="U142" s="42" t="s">
        <v>324</v>
      </c>
      <c r="V142" s="13" t="s">
        <v>364</v>
      </c>
      <c r="W142" s="24" t="str">
        <f t="shared" si="5"/>
        <v>Завершена</v>
      </c>
      <c r="X142" s="13" t="str">
        <f>IFERROR(__xludf.DUMMYFUNCTION("IF(C142 = """", """", IF(REGEXMATCH(C142, ""PCX|NMAX|ADV|CLICK""), ""скутер"", ""мото""))"),"мото")</f>
        <v>мото</v>
      </c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</row>
    <row r="143" hidden="1">
      <c r="A143" s="25" t="s">
        <v>24</v>
      </c>
      <c r="B143" s="25" t="s">
        <v>25</v>
      </c>
      <c r="C143" s="27" t="s">
        <v>202</v>
      </c>
      <c r="D143" s="27" t="s">
        <v>365</v>
      </c>
      <c r="E143" s="43">
        <v>45044.0</v>
      </c>
      <c r="F143" s="39">
        <v>45058.0</v>
      </c>
      <c r="G143" s="30" t="str">
        <f t="shared" si="1"/>
        <v>14 Д</v>
      </c>
      <c r="H143" s="40">
        <v>500.0</v>
      </c>
      <c r="I143" s="32" t="str">
        <f t="shared" si="2"/>
        <v/>
      </c>
      <c r="J143" s="33" t="str">
        <f t="shared" si="3"/>
        <v/>
      </c>
      <c r="K143" s="36">
        <v>7500.0</v>
      </c>
      <c r="L143" s="36"/>
      <c r="M143" s="36"/>
      <c r="N143" s="44">
        <v>18300.0</v>
      </c>
      <c r="O143" s="35">
        <f>IFERROR(__xludf.DUMMYFUNCTION("IFERROR(
  VLOOKUP(C143,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C143
    ), 
    7, FALSE
  ), 
  """"
)
"),30225.0)</f>
        <v>30225</v>
      </c>
      <c r="P143" s="35">
        <f>IFERROR(__xludf.DUMMYFUNCTION("IF(OR(ISBLANK(Q143), ISBLANK(O143), VALUE(SUBSTITUTE(INDEX(SPLIT(IF(ISBLANK(R143), Q143, R143), "" km""), 0, 1), "" "", """")) - O143 = 0), """", IF(ISBLANK(R143), VALUE(SUBSTITUTE(INDEX(SPLIT(Q143, "" km""), 0, 1), "" "", """")) - O143, VALUE(SUBSTITUTE("&amp;"INDEX(SPLIT(R143, "" km""), 0, 1), "" "", """")) - O143))"),-11925.0)</f>
        <v>-11925</v>
      </c>
      <c r="Q143" s="36" t="str">
        <f t="shared" si="4"/>
        <v>18 300 Km, 28.04.2023</v>
      </c>
      <c r="R143" s="33"/>
      <c r="S143" s="40">
        <v>200.0</v>
      </c>
      <c r="T143" s="45">
        <v>2.0</v>
      </c>
      <c r="U143" s="46" t="s">
        <v>0</v>
      </c>
      <c r="V143" s="25" t="s">
        <v>366</v>
      </c>
      <c r="W143" s="37" t="str">
        <f t="shared" si="5"/>
        <v>Завершена</v>
      </c>
      <c r="X143" s="25" t="str">
        <f>IFERROR(__xludf.DUMMYFUNCTION("IF(C143 = """", """", IF(REGEXMATCH(C143, ""PCX|NMAX|ADV|CLICK""), ""скутер"", ""мото""))"),"мото")</f>
        <v>мото</v>
      </c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</row>
    <row r="144" hidden="1">
      <c r="A144" s="13" t="s">
        <v>24</v>
      </c>
      <c r="B144" s="13" t="s">
        <v>25</v>
      </c>
      <c r="C144" s="14" t="s">
        <v>132</v>
      </c>
      <c r="D144" s="14" t="s">
        <v>319</v>
      </c>
      <c r="E144" s="48">
        <v>45044.0</v>
      </c>
      <c r="F144" s="38">
        <v>45166.75</v>
      </c>
      <c r="G144" s="17" t="str">
        <f t="shared" si="1"/>
        <v>4 М</v>
      </c>
      <c r="H144" s="18">
        <f>5000/30</f>
        <v>166.6666667</v>
      </c>
      <c r="I144" s="19" t="str">
        <f t="shared" si="2"/>
        <v/>
      </c>
      <c r="J144" s="20" t="str">
        <f t="shared" si="3"/>
        <v/>
      </c>
      <c r="K144" s="23">
        <f>5000+5000+5000+5000-2490</f>
        <v>17510</v>
      </c>
      <c r="L144" s="20"/>
      <c r="M144" s="20"/>
      <c r="N144" s="49">
        <v>28800.0</v>
      </c>
      <c r="O144" s="22" t="str">
        <f>IFERROR(__xludf.DUMMYFUNCTION("IFERROR(
  VLOOKUP(C144,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C144
    ), 
    7, FALSE
  ), 
  """"
)
"),"")</f>
        <v/>
      </c>
      <c r="P144" s="22">
        <f>IFERROR(__xludf.DUMMYFUNCTION("IF(AND(Q144="""", R144=""""),
  """",
  IF(OR(ISBLANK(Q144), ISBLANK(O144)),
    """",
    IF(VALUE(SUBSTITUTE(INDEX(SPLIT(IF(ISBLANK(R144), Q144, R144), "",""), 0, 1), "" Km"", """")) - O144 = 0,
      """",
      VALUE(SUBSTITUTE(INDEX(SPLIT(IF(ISBLANK("&amp;"R144), Q144, R144), "",""), 0, 1), "" Km"", """")) - O144
    )
  )
)"),32300.0)</f>
        <v>32300</v>
      </c>
      <c r="Q144" s="23" t="str">
        <f t="shared" si="4"/>
        <v>32300 Km, 28.04.2023</v>
      </c>
      <c r="R144" s="23" t="s">
        <v>367</v>
      </c>
      <c r="S144" s="41">
        <v>3000.0</v>
      </c>
      <c r="T144" s="19">
        <v>2.0</v>
      </c>
      <c r="U144" s="13">
        <v>6.6825262344E10</v>
      </c>
      <c r="V144" s="17" t="s">
        <v>320</v>
      </c>
      <c r="W144" s="24" t="str">
        <f t="shared" si="5"/>
        <v>Завершена</v>
      </c>
      <c r="X144" s="13" t="str">
        <f>IFERROR(__xludf.DUMMYFUNCTION("IF(C144 = """", """", IF(REGEXMATCH(C144, ""PCX|NMAX|ADV|CLICK""), ""скутер"", ""мото""))"),"скутер")</f>
        <v>скутер</v>
      </c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</row>
    <row r="145" hidden="1">
      <c r="A145" s="25" t="s">
        <v>24</v>
      </c>
      <c r="B145" s="25" t="s">
        <v>25</v>
      </c>
      <c r="C145" s="27" t="s">
        <v>321</v>
      </c>
      <c r="D145" s="27" t="s">
        <v>368</v>
      </c>
      <c r="E145" s="43">
        <v>45045.0</v>
      </c>
      <c r="F145" s="39">
        <v>45048.0</v>
      </c>
      <c r="G145" s="30" t="str">
        <f t="shared" si="1"/>
        <v>3 Д</v>
      </c>
      <c r="H145" s="40">
        <f>1400/2</f>
        <v>700</v>
      </c>
      <c r="I145" s="32" t="str">
        <f t="shared" si="2"/>
        <v/>
      </c>
      <c r="J145" s="33" t="str">
        <f t="shared" si="3"/>
        <v/>
      </c>
      <c r="K145" s="36">
        <v>2100.0</v>
      </c>
      <c r="L145" s="36"/>
      <c r="M145" s="36"/>
      <c r="N145" s="44">
        <v>37000.0</v>
      </c>
      <c r="O145" s="35" t="str">
        <f>IFERROR(__xludf.DUMMYFUNCTION("IFERROR(
  VLOOKUP(C145,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C145
    ), 
    7, FALSE
  ), 
  """"
)
"),"")</f>
        <v/>
      </c>
      <c r="P145" s="35" t="str">
        <f>IFERROR(__xludf.DUMMYFUNCTION("IF(OR(ISBLANK(Q145), ISBLANK(O145), VALUE(SUBSTITUTE(INDEX(SPLIT(IF(ISBLANK(R145), Q145, R145), "" km""), 0, 1), "" "", """")) - O145 = 0), """", IF(ISBLANK(R145), VALUE(SUBSTITUTE(INDEX(SPLIT(Q145, "" km""), 0, 1), "" "", """")) - O145, VALUE(SUBSTITUTE("&amp;"INDEX(SPLIT(R145, "" km""), 0, 1), "" "", """")) - O145))"),"#VALUE!")</f>
        <v>#VALUE!</v>
      </c>
      <c r="Q145" s="36" t="str">
        <f t="shared" si="4"/>
        <v>я артему дожен 1825 с учетом бонуса за доставку и минус долг за обсуживание 225</v>
      </c>
      <c r="R145" s="36" t="s">
        <v>369</v>
      </c>
      <c r="S145" s="40">
        <v>25000.0</v>
      </c>
      <c r="T145" s="45">
        <v>0.0</v>
      </c>
      <c r="U145" s="46" t="s">
        <v>0</v>
      </c>
      <c r="V145" s="25" t="s">
        <v>300</v>
      </c>
      <c r="W145" s="37" t="str">
        <f t="shared" si="5"/>
        <v>Завершена</v>
      </c>
      <c r="X145" s="25" t="str">
        <f>IFERROR(__xludf.DUMMYFUNCTION("IF(C145 = """", """", IF(REGEXMATCH(C145, ""PCX|NMAX|ADV|CLICK""), ""скутер"", ""мото""))"),"мото")</f>
        <v>мото</v>
      </c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</row>
    <row r="146" hidden="1">
      <c r="A146" s="13" t="s">
        <v>24</v>
      </c>
      <c r="B146" s="13" t="s">
        <v>25</v>
      </c>
      <c r="C146" s="14" t="s">
        <v>113</v>
      </c>
      <c r="D146" s="14" t="s">
        <v>370</v>
      </c>
      <c r="E146" s="48">
        <v>45045.0</v>
      </c>
      <c r="F146" s="38">
        <v>45058.0</v>
      </c>
      <c r="G146" s="17" t="str">
        <f t="shared" si="1"/>
        <v>13 Д</v>
      </c>
      <c r="H146" s="41">
        <v>450.0</v>
      </c>
      <c r="I146" s="19" t="str">
        <f t="shared" si="2"/>
        <v/>
      </c>
      <c r="J146" s="20" t="str">
        <f t="shared" si="3"/>
        <v/>
      </c>
      <c r="K146" s="23">
        <v>0.0</v>
      </c>
      <c r="L146" s="23"/>
      <c r="M146" s="23"/>
      <c r="N146" s="49">
        <v>22300.0</v>
      </c>
      <c r="O146" s="22" t="str">
        <f>IFERROR(__xludf.DUMMYFUNCTION("IFERROR(
  VLOOKUP(C146,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C146
    ), 
    7, FALSE
  ), 
  """"
)
"),"")</f>
        <v/>
      </c>
      <c r="P146" s="22">
        <f>IFERROR(__xludf.DUMMYFUNCTION("IF(OR(ISBLANK(Q146), ISBLANK(O146), VALUE(SUBSTITUTE(INDEX(SPLIT(IF(ISBLANK(R146), Q146, R146), "" km""), 0, 1), "" "", """")) - O146 = 0), """", IF(ISBLANK(R146), VALUE(SUBSTITUTE(INDEX(SPLIT(Q146, "" km""), 0, 1), "" "", """")) - O146, VALUE(SUBSTITUTE("&amp;"INDEX(SPLIT(R146, "" km""), 0, 1), "" "", """")) - O146))"),22300.0)</f>
        <v>22300</v>
      </c>
      <c r="Q146" s="23" t="str">
        <f t="shared" si="4"/>
        <v>22 300 Km, 29.04.2023</v>
      </c>
      <c r="R146" s="20"/>
      <c r="S146" s="41">
        <v>5000.0</v>
      </c>
      <c r="T146" s="50">
        <v>0.0</v>
      </c>
      <c r="U146" s="42" t="s">
        <v>0</v>
      </c>
      <c r="V146" s="13" t="s">
        <v>371</v>
      </c>
      <c r="W146" s="24" t="str">
        <f t="shared" si="5"/>
        <v>Завершена</v>
      </c>
      <c r="X146" s="13" t="str">
        <f>IFERROR(__xludf.DUMMYFUNCTION("IF(C146 = """", """", IF(REGEXMATCH(C146, ""PCX|NMAX|ADV|CLICK""), ""скутер"", ""мото""))"),"мото")</f>
        <v>мото</v>
      </c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</row>
    <row r="147" hidden="1">
      <c r="A147" s="25" t="s">
        <v>24</v>
      </c>
      <c r="B147" s="25" t="s">
        <v>25</v>
      </c>
      <c r="C147" s="27" t="s">
        <v>92</v>
      </c>
      <c r="D147" s="27" t="s">
        <v>372</v>
      </c>
      <c r="E147" s="43">
        <v>45049.0</v>
      </c>
      <c r="F147" s="39">
        <v>45063.0</v>
      </c>
      <c r="G147" s="30" t="str">
        <f t="shared" si="1"/>
        <v>14 Д</v>
      </c>
      <c r="H147" s="40">
        <v>500.0</v>
      </c>
      <c r="I147" s="32" t="str">
        <f t="shared" si="2"/>
        <v/>
      </c>
      <c r="J147" s="33" t="str">
        <f t="shared" si="3"/>
        <v/>
      </c>
      <c r="K147" s="36">
        <v>7000.0</v>
      </c>
      <c r="L147" s="36"/>
      <c r="M147" s="36"/>
      <c r="N147" s="44">
        <v>32200.0</v>
      </c>
      <c r="O147" s="35">
        <f>IFERROR(__xludf.DUMMYFUNCTION("IFERROR(
  VLOOKUP(C147,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C147
    ), 
    7, FALSE
  ), 
  """"
)
"),23500.0)</f>
        <v>23500</v>
      </c>
      <c r="P147" s="35">
        <f>IFERROR(__xludf.DUMMYFUNCTION("IF(OR(ISBLANK(Q147), ISBLANK(O147), VALUE(SUBSTITUTE(INDEX(SPLIT(IF(ISBLANK(R147), Q147, R147), "" km""), 0, 1), "" "", """")) - O147 = 0), """", IF(ISBLANK(R147), VALUE(SUBSTITUTE(INDEX(SPLIT(Q147, "" km""), 0, 1), "" "", """")) - O147, VALUE(SUBSTITUTE("&amp;"INDEX(SPLIT(R147, "" km""), 0, 1), "" "", """")) - O147))"),8700.0)</f>
        <v>8700</v>
      </c>
      <c r="Q147" s="36" t="str">
        <f t="shared" si="4"/>
        <v>32 200 Km, 03.05.2023</v>
      </c>
      <c r="R147" s="36"/>
      <c r="S147" s="40">
        <v>200.0</v>
      </c>
      <c r="T147" s="45">
        <v>2.0</v>
      </c>
      <c r="U147" s="46" t="s">
        <v>0</v>
      </c>
      <c r="V147" s="25" t="s">
        <v>373</v>
      </c>
      <c r="W147" s="37" t="str">
        <f t="shared" si="5"/>
        <v>Завершена</v>
      </c>
      <c r="X147" s="25" t="str">
        <f>IFERROR(__xludf.DUMMYFUNCTION("IF(C147 = """", """", IF(REGEXMATCH(C147, ""PCX|NMAX|ADV|CLICK""), ""скутер"", ""мото""))"),"мото")</f>
        <v>мото</v>
      </c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</row>
    <row r="148" hidden="1">
      <c r="A148" s="13" t="s">
        <v>24</v>
      </c>
      <c r="B148" s="13" t="s">
        <v>25</v>
      </c>
      <c r="C148" s="14" t="s">
        <v>321</v>
      </c>
      <c r="D148" s="14" t="s">
        <v>374</v>
      </c>
      <c r="E148" s="48">
        <v>45050.0</v>
      </c>
      <c r="F148" s="38">
        <v>45053.0</v>
      </c>
      <c r="G148" s="17" t="str">
        <f t="shared" si="1"/>
        <v>3 Д</v>
      </c>
      <c r="H148" s="41">
        <v>700.0</v>
      </c>
      <c r="I148" s="19" t="str">
        <f t="shared" si="2"/>
        <v/>
      </c>
      <c r="J148" s="20" t="str">
        <f t="shared" si="3"/>
        <v/>
      </c>
      <c r="K148" s="23">
        <v>2100.0</v>
      </c>
      <c r="L148" s="23"/>
      <c r="M148" s="23"/>
      <c r="N148" s="49">
        <v>38200.0</v>
      </c>
      <c r="O148" s="22" t="str">
        <f>IFERROR(__xludf.DUMMYFUNCTION("IFERROR(
  VLOOKUP(C148,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C148
    ), 
    7, FALSE
  ), 
  """"
)
"),"")</f>
        <v/>
      </c>
      <c r="P148" s="22" t="str">
        <f>IFERROR(__xludf.DUMMYFUNCTION("IF(OR(ISBLANK(Q148), ISBLANK(O148), VALUE(SUBSTITUTE(INDEX(SPLIT(IF(ISBLANK(R148), Q148, R148), "" km""), 0, 1), "" "", """")) - O148 = 0), """", IF(ISBLANK(R148), VALUE(SUBSTITUTE(INDEX(SPLIT(Q148, "" km""), 0, 1), "" "", """")) - O148, VALUE(SUBSTITUTE("&amp;"INDEX(SPLIT(R148, "" km""), 0, 1), "" "", """")) - O148))"),"#VALUE!")</f>
        <v>#VALUE!</v>
      </c>
      <c r="Q148" s="23" t="str">
        <f t="shared" si="4"/>
        <v>ремонт абс 2300 и того артему= - замена масла</v>
      </c>
      <c r="R148" s="23" t="s">
        <v>375</v>
      </c>
      <c r="S148" s="41" t="s">
        <v>272</v>
      </c>
      <c r="T148" s="50">
        <v>0.0</v>
      </c>
      <c r="U148" s="42" t="s">
        <v>0</v>
      </c>
      <c r="V148" s="13" t="s">
        <v>376</v>
      </c>
      <c r="W148" s="24" t="str">
        <f t="shared" si="5"/>
        <v>Завершена</v>
      </c>
      <c r="X148" s="13" t="str">
        <f>IFERROR(__xludf.DUMMYFUNCTION("IF(C148 = """", """", IF(REGEXMATCH(C148, ""PCX|NMAX|ADV|CLICK""), ""скутер"", ""мото""))"),"мото")</f>
        <v>мото</v>
      </c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</row>
    <row r="149" hidden="1">
      <c r="A149" s="25" t="s">
        <v>24</v>
      </c>
      <c r="B149" s="25" t="s">
        <v>25</v>
      </c>
      <c r="C149" s="27" t="s">
        <v>173</v>
      </c>
      <c r="D149" s="27" t="s">
        <v>377</v>
      </c>
      <c r="E149" s="43">
        <v>45050.0</v>
      </c>
      <c r="F149" s="39">
        <v>45055.0</v>
      </c>
      <c r="G149" s="30" t="str">
        <f t="shared" si="1"/>
        <v>5 Д</v>
      </c>
      <c r="H149" s="40">
        <v>600.0</v>
      </c>
      <c r="I149" s="32" t="str">
        <f t="shared" si="2"/>
        <v/>
      </c>
      <c r="J149" s="33" t="str">
        <f t="shared" si="3"/>
        <v/>
      </c>
      <c r="K149" s="36">
        <v>3000.0</v>
      </c>
      <c r="L149" s="36"/>
      <c r="M149" s="36"/>
      <c r="N149" s="44">
        <v>9700.0</v>
      </c>
      <c r="O149" s="35">
        <f>IFERROR(__xludf.DUMMYFUNCTION("IFERROR(
  VLOOKUP(C149,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C149
    ), 
    7, FALSE
  ), 
  """"
)
"),27000.0)</f>
        <v>27000</v>
      </c>
      <c r="P149" s="35">
        <f>IFERROR(__xludf.DUMMYFUNCTION("IF(OR(ISBLANK(Q149), ISBLANK(O149), VALUE(SUBSTITUTE(INDEX(SPLIT(IF(ISBLANK(R149), Q149, R149), "" km""), 0, 1), "" "", """")) - O149 = 0), """", IF(ISBLANK(R149), VALUE(SUBSTITUTE(INDEX(SPLIT(Q149, "" km""), 0, 1), "" "", """")) - O149, VALUE(SUBSTITUTE("&amp;"INDEX(SPLIT(R149, "" km""), 0, 1), "" "", """")) - O149))"),-17300.0)</f>
        <v>-17300</v>
      </c>
      <c r="Q149" s="36" t="str">
        <f t="shared" si="4"/>
        <v>9 700 Km, 04.05.2023</v>
      </c>
      <c r="R149" s="33"/>
      <c r="S149" s="40">
        <v>9000.0</v>
      </c>
      <c r="T149" s="45">
        <v>1.0</v>
      </c>
      <c r="U149" s="46" t="s">
        <v>378</v>
      </c>
      <c r="V149" s="25" t="s">
        <v>379</v>
      </c>
      <c r="W149" s="37" t="str">
        <f t="shared" si="5"/>
        <v>Завершена</v>
      </c>
      <c r="X149" s="25" t="str">
        <f>IFERROR(__xludf.DUMMYFUNCTION("IF(C149 = """", """", IF(REGEXMATCH(C149, ""PCX|NMAX|ADV|CLICK""), ""скутер"", ""мото""))"),"мото")</f>
        <v>мото</v>
      </c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</row>
    <row r="150" hidden="1">
      <c r="A150" s="13" t="s">
        <v>24</v>
      </c>
      <c r="B150" s="13" t="s">
        <v>25</v>
      </c>
      <c r="C150" s="14" t="s">
        <v>88</v>
      </c>
      <c r="D150" s="14" t="s">
        <v>283</v>
      </c>
      <c r="E150" s="48">
        <v>45051.0</v>
      </c>
      <c r="F150" s="16">
        <v>45174.0</v>
      </c>
      <c r="G150" s="17" t="str">
        <f t="shared" si="1"/>
        <v>4 М</v>
      </c>
      <c r="H150" s="18">
        <f>7000/30</f>
        <v>233.3333333</v>
      </c>
      <c r="I150" s="19" t="str">
        <f t="shared" si="2"/>
        <v/>
      </c>
      <c r="J150" s="20" t="str">
        <f t="shared" si="3"/>
        <v/>
      </c>
      <c r="K150" s="23">
        <f>7000+7000</f>
        <v>14000</v>
      </c>
      <c r="L150" s="20"/>
      <c r="M150" s="20"/>
      <c r="N150" s="49">
        <v>16200.0</v>
      </c>
      <c r="O150" s="22" t="str">
        <f>IFERROR(__xludf.DUMMYFUNCTION("IFERROR(
  VLOOKUP(C150,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C150
    ), 
    7, FALSE
  ), 
  """"
)
"),"")</f>
        <v/>
      </c>
      <c r="P150" s="22">
        <f>IFERROR(__xludf.DUMMYFUNCTION("IF(AND(Q150="""", R150=""""),
  """",
  IF(OR(ISBLANK(Q150), ISBLANK(O150)),
    """",
    IF(VALUE(SUBSTITUTE(INDEX(SPLIT(IF(ISBLANK(R150), Q150, R150), "",""), 0, 1), "" Km"", """")) - O150 = 0,
      """",
      VALUE(SUBSTITUTE(INDEX(SPLIT(IF(ISBLANK("&amp;"R150), Q150, R150), "",""), 0, 1), "" Km"", """")) - O150
    )
  )
)"),31002.0)</f>
        <v>31002</v>
      </c>
      <c r="Q150" s="23" t="str">
        <f t="shared" si="4"/>
        <v>31002 Km, 28.04.2023</v>
      </c>
      <c r="R150" s="23" t="s">
        <v>380</v>
      </c>
      <c r="S150" s="18">
        <f>4000-500</f>
        <v>3500</v>
      </c>
      <c r="T150" s="19">
        <v>1.0</v>
      </c>
      <c r="U150" s="17" t="s">
        <v>284</v>
      </c>
      <c r="V150" s="17" t="s">
        <v>285</v>
      </c>
      <c r="W150" s="24" t="str">
        <f t="shared" si="5"/>
        <v>Завершена</v>
      </c>
      <c r="X150" s="13" t="str">
        <f>IFERROR(__xludf.DUMMYFUNCTION("IF(C150 = """", """", IF(REGEXMATCH(C150, ""PCX|NMAX|ADV|CLICK""), ""скутер"", ""мото""))"),"скутер")</f>
        <v>скутер</v>
      </c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</row>
    <row r="151" hidden="1">
      <c r="A151" s="25" t="s">
        <v>24</v>
      </c>
      <c r="B151" s="25" t="s">
        <v>25</v>
      </c>
      <c r="C151" s="27" t="s">
        <v>286</v>
      </c>
      <c r="D151" s="27" t="s">
        <v>381</v>
      </c>
      <c r="E151" s="43">
        <v>45052.0</v>
      </c>
      <c r="F151" s="39">
        <v>45059.0</v>
      </c>
      <c r="G151" s="30" t="str">
        <f t="shared" si="1"/>
        <v>7 Д</v>
      </c>
      <c r="H151" s="40">
        <v>500.0</v>
      </c>
      <c r="I151" s="32" t="str">
        <f t="shared" si="2"/>
        <v/>
      </c>
      <c r="J151" s="33" t="str">
        <f t="shared" si="3"/>
        <v/>
      </c>
      <c r="K151" s="36">
        <v>3500.0</v>
      </c>
      <c r="L151" s="36"/>
      <c r="M151" s="36"/>
      <c r="N151" s="44">
        <v>6600.0</v>
      </c>
      <c r="O151" s="35" t="str">
        <f>IFERROR(__xludf.DUMMYFUNCTION("IFERROR(
  VLOOKUP(C151,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C151
    ), 
    7, FALSE
  ), 
  """"
)
"),"")</f>
        <v/>
      </c>
      <c r="P151" s="35">
        <f>IFERROR(__xludf.DUMMYFUNCTION("IF(OR(ISBLANK(Q151), ISBLANK(O151), VALUE(SUBSTITUTE(INDEX(SPLIT(IF(ISBLANK(R151), Q151, R151), "" km""), 0, 1), "" "", """")) - O151 = 0), """", IF(ISBLANK(R151), VALUE(SUBSTITUTE(INDEX(SPLIT(Q151, "" km""), 0, 1), "" "", """")) - O151, VALUE(SUBSTITUTE("&amp;"INDEX(SPLIT(R151, "" km""), 0, 1), "" "", """")) - O151))"),6600.0)</f>
        <v>6600</v>
      </c>
      <c r="Q151" s="36" t="str">
        <f t="shared" si="4"/>
        <v>6 600 Km, 06.05.2023</v>
      </c>
      <c r="R151" s="33"/>
      <c r="S151" s="40">
        <v>8000.0</v>
      </c>
      <c r="T151" s="45">
        <v>1.0</v>
      </c>
      <c r="U151" s="46" t="s">
        <v>382</v>
      </c>
      <c r="V151" s="25" t="s">
        <v>383</v>
      </c>
      <c r="W151" s="37" t="str">
        <f t="shared" si="5"/>
        <v>Завершена</v>
      </c>
      <c r="X151" s="25" t="str">
        <f>IFERROR(__xludf.DUMMYFUNCTION("IF(C151 = """", """", IF(REGEXMATCH(C151, ""PCX|NMAX|ADV|CLICK""), ""скутер"", ""мото""))"),"мото")</f>
        <v>мото</v>
      </c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</row>
    <row r="152" hidden="1">
      <c r="A152" s="13" t="s">
        <v>24</v>
      </c>
      <c r="B152" s="13" t="s">
        <v>25</v>
      </c>
      <c r="C152" s="14" t="s">
        <v>321</v>
      </c>
      <c r="D152" s="14" t="s">
        <v>384</v>
      </c>
      <c r="E152" s="48">
        <v>45056.0</v>
      </c>
      <c r="F152" s="38">
        <v>45059.0</v>
      </c>
      <c r="G152" s="17" t="str">
        <f t="shared" si="1"/>
        <v>3 Д</v>
      </c>
      <c r="H152" s="41">
        <v>700.0</v>
      </c>
      <c r="I152" s="19" t="str">
        <f t="shared" si="2"/>
        <v/>
      </c>
      <c r="J152" s="20" t="str">
        <f t="shared" si="3"/>
        <v/>
      </c>
      <c r="K152" s="23">
        <f>2100+1400</f>
        <v>3500</v>
      </c>
      <c r="L152" s="23"/>
      <c r="M152" s="23"/>
      <c r="N152" s="21"/>
      <c r="O152" s="22" t="str">
        <f>IFERROR(__xludf.DUMMYFUNCTION("IFERROR(
  VLOOKUP(C152,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C152
    ), 
    7, FALSE
  ), 
  """"
)
"),"")</f>
        <v/>
      </c>
      <c r="P152" s="22" t="str">
        <f>IFERROR(__xludf.DUMMYFUNCTION("IF(OR(ISBLANK(Q152), ISBLANK(O152), VALUE(SUBSTITUTE(INDEX(SPLIT(IF(ISBLANK(R152), Q152, R152), "" km""), 0, 1), "" "", """")) - O152 = 0), """", IF(ISBLANK(R152), VALUE(SUBSTITUTE(INDEX(SPLIT(Q152, "" km""), 0, 1), "" "", """")) - O152, VALUE(SUBSTITUTE("&amp;"INDEX(SPLIT(R152, "" km""), 0, 1), "" "", """")) - O152))"),"#VALUE!")</f>
        <v>#VALUE!</v>
      </c>
      <c r="Q152" s="23" t="str">
        <f t="shared" si="4"/>
        <v>-мойка и доставка</v>
      </c>
      <c r="R152" s="23" t="s">
        <v>385</v>
      </c>
      <c r="S152" s="41" t="s">
        <v>386</v>
      </c>
      <c r="T152" s="19"/>
      <c r="U152" s="17" t="s">
        <v>0</v>
      </c>
      <c r="V152" s="17"/>
      <c r="W152" s="24" t="str">
        <f t="shared" si="5"/>
        <v>Завершена</v>
      </c>
      <c r="X152" s="13" t="str">
        <f>IFERROR(__xludf.DUMMYFUNCTION("IF(C152 = """", """", IF(REGEXMATCH(C152, ""PCX|NMAX|ADV|CLICK""), ""скутер"", ""мото""))"),"мото")</f>
        <v>мото</v>
      </c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</row>
    <row r="153" hidden="1">
      <c r="A153" s="25" t="s">
        <v>24</v>
      </c>
      <c r="B153" s="25" t="s">
        <v>25</v>
      </c>
      <c r="C153" s="27" t="s">
        <v>173</v>
      </c>
      <c r="D153" s="27" t="s">
        <v>387</v>
      </c>
      <c r="E153" s="43">
        <v>45066.0</v>
      </c>
      <c r="F153" s="39">
        <v>45071.0</v>
      </c>
      <c r="G153" s="30" t="str">
        <f t="shared" si="1"/>
        <v>5 Д</v>
      </c>
      <c r="H153" s="40">
        <v>500.0</v>
      </c>
      <c r="I153" s="32" t="str">
        <f t="shared" si="2"/>
        <v/>
      </c>
      <c r="J153" s="33" t="str">
        <f t="shared" si="3"/>
        <v/>
      </c>
      <c r="K153" s="36">
        <v>2500.0</v>
      </c>
      <c r="L153" s="36"/>
      <c r="M153" s="36"/>
      <c r="N153" s="44">
        <v>10080.0</v>
      </c>
      <c r="O153" s="35">
        <f>IFERROR(__xludf.DUMMYFUNCTION("IFERROR(
  VLOOKUP(C153,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C153
    ), 
    7, FALSE
  ), 
  """"
)
"),27000.0)</f>
        <v>27000</v>
      </c>
      <c r="P153" s="35">
        <f>IFERROR(__xludf.DUMMYFUNCTION("IF(OR(ISBLANK(Q153), ISBLANK(O153), VALUE(SUBSTITUTE(INDEX(SPLIT(IF(ISBLANK(R153), Q153, R153), "" km""), 0, 1), "" "", """")) - O153 = 0), """", IF(ISBLANK(R153), VALUE(SUBSTITUTE(INDEX(SPLIT(Q153, "" km""), 0, 1), "" "", """")) - O153, VALUE(SUBSTITUTE("&amp;"INDEX(SPLIT(R153, "" km""), 0, 1), "" "", """")) - O153))"),-16920.0)</f>
        <v>-16920</v>
      </c>
      <c r="Q153" s="36" t="str">
        <f t="shared" si="4"/>
        <v>10 080 Km, 20.05.2023</v>
      </c>
      <c r="R153" s="33"/>
      <c r="S153" s="40">
        <v>8000.0</v>
      </c>
      <c r="T153" s="45">
        <v>0.0</v>
      </c>
      <c r="U153" s="46" t="s">
        <v>0</v>
      </c>
      <c r="V153" s="25" t="s">
        <v>388</v>
      </c>
      <c r="W153" s="37" t="str">
        <f t="shared" si="5"/>
        <v>Завершена</v>
      </c>
      <c r="X153" s="25" t="str">
        <f>IFERROR(__xludf.DUMMYFUNCTION("IF(C153 = """", """", IF(REGEXMATCH(C153, ""PCX|NMAX|ADV|CLICK""), ""скутер"", ""мото""))"),"мото")</f>
        <v>мото</v>
      </c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</row>
    <row r="154" hidden="1">
      <c r="A154" s="13" t="s">
        <v>24</v>
      </c>
      <c r="B154" s="13" t="s">
        <v>25</v>
      </c>
      <c r="C154" s="14" t="s">
        <v>159</v>
      </c>
      <c r="D154" s="14" t="s">
        <v>255</v>
      </c>
      <c r="E154" s="48">
        <v>45067.0</v>
      </c>
      <c r="F154" s="38">
        <v>45099.0</v>
      </c>
      <c r="G154" s="17" t="str">
        <f t="shared" si="1"/>
        <v>1 М</v>
      </c>
      <c r="H154" s="18">
        <f>6000/30</f>
        <v>200</v>
      </c>
      <c r="I154" s="19" t="str">
        <f t="shared" si="2"/>
        <v/>
      </c>
      <c r="J154" s="20" t="str">
        <f t="shared" si="3"/>
        <v/>
      </c>
      <c r="K154" s="23">
        <v>6000.0</v>
      </c>
      <c r="L154" s="20"/>
      <c r="M154" s="20"/>
      <c r="N154" s="49">
        <v>15600.0</v>
      </c>
      <c r="O154" s="22" t="str">
        <f>IFERROR(__xludf.DUMMYFUNCTION("IFERROR(
  VLOOKUP(C154,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C154
    ), 
    7, FALSE
  ), 
  """"
)
"),"")</f>
        <v/>
      </c>
      <c r="P154" s="22">
        <f>IFERROR(__xludf.DUMMYFUNCTION("IF(OR(ISBLANK(Q154), ISBLANK(O154), VALUE(SUBSTITUTE(INDEX(SPLIT(IF(ISBLANK(R154), Q154, R154), "" km""), 0, 1), "" "", """")) - O154 = 0), """", IF(ISBLANK(R154), VALUE(SUBSTITUTE(INDEX(SPLIT(Q154, "" km""), 0, 1), "" "", """")) - O154, VALUE(SUBSTITUTE("&amp;"INDEX(SPLIT(R154, "" km""), 0, 1), "" "", """")) - O154))"),15600.0)</f>
        <v>15600</v>
      </c>
      <c r="Q154" s="23" t="str">
        <f t="shared" si="4"/>
        <v>15 600 Km, 21.05.2023</v>
      </c>
      <c r="R154" s="20"/>
      <c r="S154" s="41">
        <v>3000.0</v>
      </c>
      <c r="T154" s="50">
        <v>2.0</v>
      </c>
      <c r="U154" s="42" t="s">
        <v>257</v>
      </c>
      <c r="V154" s="13" t="s">
        <v>258</v>
      </c>
      <c r="W154" s="24" t="str">
        <f t="shared" si="5"/>
        <v>Завершена</v>
      </c>
      <c r="X154" s="13" t="str">
        <f>IFERROR(__xludf.DUMMYFUNCTION("IF(C154 = """", """", IF(REGEXMATCH(C154, ""PCX|NMAX|ADV|CLICK""), ""скутер"", ""мото""))"),"скутер")</f>
        <v>скутер</v>
      </c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</row>
    <row r="155" hidden="1">
      <c r="A155" s="54" t="s">
        <v>24</v>
      </c>
      <c r="B155" s="25" t="s">
        <v>25</v>
      </c>
      <c r="C155" s="27" t="s">
        <v>142</v>
      </c>
      <c r="D155" s="27" t="s">
        <v>89</v>
      </c>
      <c r="E155" s="43">
        <v>45074.0</v>
      </c>
      <c r="F155" s="39">
        <v>45227.833333333336</v>
      </c>
      <c r="G155" s="30" t="str">
        <f t="shared" si="1"/>
        <v>5 М</v>
      </c>
      <c r="H155" s="31">
        <f>11000/30</f>
        <v>366.6666667</v>
      </c>
      <c r="I155" s="32" t="str">
        <f t="shared" si="2"/>
        <v/>
      </c>
      <c r="J155" s="33" t="str">
        <f t="shared" si="3"/>
        <v/>
      </c>
      <c r="K155" s="36">
        <f>11000+11000+11000+11000+11000</f>
        <v>55000</v>
      </c>
      <c r="L155" s="33"/>
      <c r="M155" s="33"/>
      <c r="N155" s="44">
        <v>18800.0</v>
      </c>
      <c r="O155" s="35" t="str">
        <f>IFERROR(__xludf.DUMMYFUNCTION("IFERROR(
  VLOOKUP(C155,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C155
    ), 
    7, FALSE
  ), 
  """"
)
"),"")</f>
        <v/>
      </c>
      <c r="P155" s="35">
        <f>IFERROR(__xludf.DUMMYFUNCTION("IF(AND(Q155="""", R155=""""),
  """",
  IF(OR(ISBLANK(Q155), ISBLANK(O155)),
    """",
    IF(VALUE(SUBSTITUTE(INDEX(SPLIT(IF(ISBLANK(R155), Q155, R155), "",""), 0, 1), "" Km"", """")) - O155 = 0,
      """",
      VALUE(SUBSTITUTE(INDEX(SPLIT(IF(ISBLANK("&amp;"R155), Q155, R155), "",""), 0, 1), "" Km"", """")) - O155
    )
  )
)"),28000.0)</f>
        <v>28000</v>
      </c>
      <c r="Q155" s="36" t="str">
        <f t="shared" si="4"/>
        <v>28000 Km, 28.09.2023</v>
      </c>
      <c r="R155" s="36" t="s">
        <v>389</v>
      </c>
      <c r="S155" s="40">
        <v>5000.0</v>
      </c>
      <c r="T155" s="32">
        <v>1.0</v>
      </c>
      <c r="U155" s="30" t="s">
        <v>90</v>
      </c>
      <c r="V155" s="30" t="s">
        <v>91</v>
      </c>
      <c r="W155" s="37" t="str">
        <f t="shared" si="5"/>
        <v>Завершена</v>
      </c>
      <c r="X155" s="25" t="str">
        <f>IFERROR(__xludf.DUMMYFUNCTION("IF(C155 = """", """", IF(REGEXMATCH(C155, ""PCX|NMAX|ADV|CLICK""), ""скутер"", ""мото""))"),"мото")</f>
        <v>мото</v>
      </c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</row>
    <row r="156" hidden="1">
      <c r="A156" s="13" t="s">
        <v>24</v>
      </c>
      <c r="B156" s="13" t="s">
        <v>25</v>
      </c>
      <c r="C156" s="14" t="s">
        <v>286</v>
      </c>
      <c r="D156" s="14" t="s">
        <v>390</v>
      </c>
      <c r="E156" s="15">
        <v>45077.0</v>
      </c>
      <c r="F156" s="16">
        <v>45143.0</v>
      </c>
      <c r="G156" s="17" t="str">
        <f t="shared" si="1"/>
        <v>2 М</v>
      </c>
      <c r="H156" s="18">
        <v>500.0</v>
      </c>
      <c r="I156" s="19" t="str">
        <f t="shared" si="2"/>
        <v/>
      </c>
      <c r="J156" s="20" t="str">
        <f t="shared" si="3"/>
        <v/>
      </c>
      <c r="K156" s="23">
        <v>2500.0</v>
      </c>
      <c r="L156" s="20"/>
      <c r="M156" s="20"/>
      <c r="N156" s="21">
        <v>6913.0</v>
      </c>
      <c r="O156" s="22" t="str">
        <f>IFERROR(__xludf.DUMMYFUNCTION("IFERROR(
  VLOOKUP(C156,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C156
    ), 
    7, FALSE
  ), 
  """"
)
"),"")</f>
        <v/>
      </c>
      <c r="P156" s="22">
        <f>IFERROR(__xludf.DUMMYFUNCTION("IF(OR(ISBLANK(Q156), ISBLANK(O156), VALUE(SUBSTITUTE(INDEX(SPLIT(IF(ISBLANK(R156), Q156, R156), "" km""), 0, 1), "" "", """")) - O156 = 0), """", IF(ISBLANK(R156), VALUE(SUBSTITUTE(INDEX(SPLIT(Q156, "" km""), 0, 1), "" "", """")) - O156, VALUE(SUBSTITUTE("&amp;"INDEX(SPLIT(R156, "" km""), 0, 1), "" "", """")) - O156))"),6913.0)</f>
        <v>6913</v>
      </c>
      <c r="Q156" s="23" t="str">
        <f t="shared" si="4"/>
        <v>6 913 Km, 31.05.2023</v>
      </c>
      <c r="R156" s="20"/>
      <c r="S156" s="18" t="s">
        <v>272</v>
      </c>
      <c r="T156" s="19">
        <v>2.0</v>
      </c>
      <c r="U156" s="42" t="s">
        <v>391</v>
      </c>
      <c r="V156" s="42" t="s">
        <v>192</v>
      </c>
      <c r="W156" s="24" t="str">
        <f t="shared" si="5"/>
        <v>Завершена</v>
      </c>
      <c r="X156" s="13" t="str">
        <f>IFERROR(__xludf.DUMMYFUNCTION("IF(C156 = """", """", IF(REGEXMATCH(C156, ""PCX|NMAX|ADV|CLICK""), ""скутер"", ""мото""))"),"мото")</f>
        <v>мото</v>
      </c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</row>
    <row r="157" hidden="1">
      <c r="A157" s="25" t="s">
        <v>24</v>
      </c>
      <c r="B157" s="25" t="s">
        <v>25</v>
      </c>
      <c r="C157" s="27" t="s">
        <v>279</v>
      </c>
      <c r="D157" s="27" t="s">
        <v>107</v>
      </c>
      <c r="E157" s="43">
        <v>45079.0</v>
      </c>
      <c r="F157" s="39">
        <v>45143.0</v>
      </c>
      <c r="G157" s="30" t="str">
        <f t="shared" si="1"/>
        <v>2 М</v>
      </c>
      <c r="H157" s="40">
        <v>300.0</v>
      </c>
      <c r="I157" s="32" t="str">
        <f t="shared" si="2"/>
        <v/>
      </c>
      <c r="J157" s="33" t="str">
        <f t="shared" si="3"/>
        <v/>
      </c>
      <c r="K157" s="36">
        <v>9000.0</v>
      </c>
      <c r="L157" s="36"/>
      <c r="M157" s="36"/>
      <c r="N157" s="44">
        <v>3500.0</v>
      </c>
      <c r="O157" s="35">
        <f>IFERROR(__xludf.DUMMYFUNCTION("IFERROR(
  VLOOKUP(C157,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C157
    ), 
    7, FALSE
  ), 
  """"
)
"),9000.0)</f>
        <v>9000</v>
      </c>
      <c r="P157" s="35">
        <f>IFERROR(__xludf.DUMMYFUNCTION("IF(AND(Q157="""", R157=""""),
  """",
  IF(OR(ISBLANK(Q157), ISBLANK(O157)),
    """",
    IF(VALUE(SUBSTITUTE(INDEX(SPLIT(IF(ISBLANK(R157), Q157, R157), "",""), 0, 1), "" Km"", """")) - O157 = 0,
      """",
      VALUE(SUBSTITUTE(INDEX(SPLIT(IF(ISBLANK("&amp;"R157), Q157, R157), "",""), 0, 1), "" Km"", """")) - O157
    )
  )
)"),-5500.0)</f>
        <v>-5500</v>
      </c>
      <c r="Q157" s="36" t="str">
        <f t="shared" si="4"/>
        <v>3 500 Km, 02.06.2023</v>
      </c>
      <c r="R157" s="33"/>
      <c r="S157" s="40">
        <v>10000.0</v>
      </c>
      <c r="T157" s="45">
        <v>2.0</v>
      </c>
      <c r="U157" s="46" t="s">
        <v>109</v>
      </c>
      <c r="V157" s="25" t="s">
        <v>110</v>
      </c>
      <c r="W157" s="37" t="str">
        <f t="shared" si="5"/>
        <v>Завершена</v>
      </c>
      <c r="X157" s="25" t="str">
        <f>IFERROR(__xludf.DUMMYFUNCTION("IF(C157 = """", """", IF(REGEXMATCH(C157, ""PCX|NMAX|ADV|CLICK""), ""скутер"", ""мото""))"),"мото")</f>
        <v>мото</v>
      </c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</row>
    <row r="158" hidden="1">
      <c r="A158" s="13" t="s">
        <v>24</v>
      </c>
      <c r="B158" s="13" t="s">
        <v>25</v>
      </c>
      <c r="C158" s="14" t="s">
        <v>106</v>
      </c>
      <c r="D158" s="14" t="s">
        <v>392</v>
      </c>
      <c r="E158" s="15">
        <v>45080.0</v>
      </c>
      <c r="F158" s="16">
        <v>45110.0</v>
      </c>
      <c r="G158" s="17" t="str">
        <f t="shared" si="1"/>
        <v>30 Д</v>
      </c>
      <c r="H158" s="18">
        <f t="shared" ref="H158:H159" si="9">4500/30</f>
        <v>150</v>
      </c>
      <c r="I158" s="19" t="str">
        <f t="shared" si="2"/>
        <v/>
      </c>
      <c r="J158" s="20" t="str">
        <f t="shared" si="3"/>
        <v/>
      </c>
      <c r="K158" s="20">
        <v>4500.0</v>
      </c>
      <c r="L158" s="20"/>
      <c r="M158" s="20"/>
      <c r="N158" s="49">
        <v>16800.0</v>
      </c>
      <c r="O158" s="22">
        <f>IFERROR(__xludf.DUMMYFUNCTION("IFERROR(
  VLOOKUP(C158,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C158
    ), 
    7, FALSE
  ), 
  """"
)
"),26000.0)</f>
        <v>26000</v>
      </c>
      <c r="P158" s="22" t="str">
        <f>IFERROR(__xludf.DUMMYFUNCTION("IF(AND(Q158="""", R158=""""),
  """",
  IF(OR(ISBLANK(Q158), ISBLANK(O158)),
    """",
    IF(VALUE(SUBSTITUTE(INDEX(SPLIT(IF(ISBLANK(R158), Q158, R158), "",""), 0, 1), "" Km"", """")) - O158 = 0,
      """",
      VALUE(SUBSTITUTE(INDEX(SPLIT(IF(ISBLANK("&amp;"R158), Q158, R158), "",""), 0, 1), "" Km"", """")) - O158
    )
  )
)"),"#VALUE!")</f>
        <v>#VALUE!</v>
      </c>
      <c r="Q158" s="23" t="str">
        <f t="shared" si="4"/>
        <v>24002 km, 28.06.2023</v>
      </c>
      <c r="R158" s="23" t="s">
        <v>393</v>
      </c>
      <c r="S158" s="18">
        <v>2000.0</v>
      </c>
      <c r="T158" s="19">
        <v>2.0</v>
      </c>
      <c r="U158" s="42" t="s">
        <v>394</v>
      </c>
      <c r="V158" s="42" t="s">
        <v>395</v>
      </c>
      <c r="W158" s="24" t="str">
        <f t="shared" si="5"/>
        <v>Завершена</v>
      </c>
      <c r="X158" s="13" t="str">
        <f>IFERROR(__xludf.DUMMYFUNCTION("IF(C158 = """", """", IF(REGEXMATCH(C158, ""PCX|NMAX|ADV|CLICK""), ""скутер"", ""мото""))"),"скутер")</f>
        <v>скутер</v>
      </c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</row>
    <row r="159" hidden="1">
      <c r="A159" s="25" t="s">
        <v>24</v>
      </c>
      <c r="B159" s="25" t="s">
        <v>25</v>
      </c>
      <c r="C159" s="27" t="s">
        <v>114</v>
      </c>
      <c r="D159" s="27" t="s">
        <v>396</v>
      </c>
      <c r="E159" s="43">
        <v>45080.0</v>
      </c>
      <c r="F159" s="39">
        <v>45110.0</v>
      </c>
      <c r="G159" s="30" t="str">
        <f t="shared" si="1"/>
        <v>30 Д</v>
      </c>
      <c r="H159" s="31">
        <f t="shared" si="9"/>
        <v>150</v>
      </c>
      <c r="I159" s="32" t="str">
        <f t="shared" si="2"/>
        <v/>
      </c>
      <c r="J159" s="33" t="str">
        <f t="shared" si="3"/>
        <v/>
      </c>
      <c r="K159" s="36">
        <v>4500.0</v>
      </c>
      <c r="L159" s="33"/>
      <c r="M159" s="33"/>
      <c r="N159" s="44">
        <v>15090.0</v>
      </c>
      <c r="O159" s="35">
        <f>IFERROR(__xludf.DUMMYFUNCTION("IFERROR(
  VLOOKUP(C159,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C159
    ), 
    7, FALSE
  ), 
  """"
)
"),31800.0)</f>
        <v>31800</v>
      </c>
      <c r="P159" s="35" t="str">
        <f>IFERROR(__xludf.DUMMYFUNCTION("IF(AND(Q159="""", R159=""""),
  """",
  IF(OR(ISBLANK(Q159), ISBLANK(O159)),
    """",
    IF(VALUE(SUBSTITUTE(INDEX(SPLIT(IF(ISBLANK(R159), Q159, R159), "",""), 0, 1), "" Km"", """")) - O159 = 0,
      """",
      VALUE(SUBSTITUTE(INDEX(SPLIT(IF(ISBLANK("&amp;"R159), Q159, R159), "",""), 0, 1), "" Km"", """")) - O159
    )
  )
)"),"#VALUE!")</f>
        <v>#VALUE!</v>
      </c>
      <c r="Q159" s="36" t="str">
        <f t="shared" si="4"/>
        <v>24004 km, 28.06.2023</v>
      </c>
      <c r="R159" s="36" t="s">
        <v>397</v>
      </c>
      <c r="S159" s="40">
        <v>3000.0</v>
      </c>
      <c r="T159" s="45">
        <v>0.0</v>
      </c>
      <c r="U159" s="46" t="s">
        <v>394</v>
      </c>
      <c r="V159" s="25" t="s">
        <v>398</v>
      </c>
      <c r="W159" s="37" t="str">
        <f t="shared" si="5"/>
        <v>Завершена</v>
      </c>
      <c r="X159" s="25" t="str">
        <f>IFERROR(__xludf.DUMMYFUNCTION("IF(C159 = """", """", IF(REGEXMATCH(C159, ""PCX|NMAX|ADV|CLICK""), ""скутер"", ""мото""))"),"скутер")</f>
        <v>скутер</v>
      </c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</row>
    <row r="160" hidden="1">
      <c r="A160" s="13" t="s">
        <v>24</v>
      </c>
      <c r="B160" s="13" t="s">
        <v>25</v>
      </c>
      <c r="C160" s="14" t="s">
        <v>48</v>
      </c>
      <c r="D160" s="14" t="s">
        <v>399</v>
      </c>
      <c r="E160" s="48">
        <v>45083.0</v>
      </c>
      <c r="F160" s="38">
        <v>45161.541666666664</v>
      </c>
      <c r="G160" s="17" t="str">
        <f t="shared" si="1"/>
        <v>2 М</v>
      </c>
      <c r="H160" s="41">
        <f>5000/30</f>
        <v>166.6666667</v>
      </c>
      <c r="I160" s="19" t="str">
        <f t="shared" si="2"/>
        <v/>
      </c>
      <c r="J160" s="20" t="str">
        <f t="shared" si="3"/>
        <v/>
      </c>
      <c r="K160" s="23">
        <f>5000+5000+2672</f>
        <v>12672</v>
      </c>
      <c r="L160" s="23"/>
      <c r="M160" s="23"/>
      <c r="N160" s="49">
        <v>18700.0</v>
      </c>
      <c r="O160" s="22">
        <f>IFERROR(__xludf.DUMMYFUNCTION("IFERROR(
  VLOOKUP(C160,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C160
    ), 
    7, FALSE
  ), 
  """"
)
"),35800.0)</f>
        <v>35800</v>
      </c>
      <c r="P160" s="22">
        <f>IFERROR(__xludf.DUMMYFUNCTION("IF(AND(Q160="""", R160=""""),
  """",
  IF(OR(ISBLANK(Q160), ISBLANK(O160)),
    """",
    IF(VALUE(SUBSTITUTE(INDEX(SPLIT(IF(ISBLANK(R160), Q160, R160), "",""), 0, 1), "" Km"", """")) - O160 = 0,
      """",
      VALUE(SUBSTITUTE(INDEX(SPLIT(IF(ISBLANK("&amp;"R160), Q160, R160), "",""), 0, 1), "" Km"", """")) - O160
    )
  )
)"),-16800.0)</f>
        <v>-16800</v>
      </c>
      <c r="Q160" s="23" t="str">
        <f t="shared" si="4"/>
        <v>19000 Km, 06.07.2023</v>
      </c>
      <c r="R160" s="23" t="s">
        <v>400</v>
      </c>
      <c r="S160" s="41">
        <v>5000.0</v>
      </c>
      <c r="T160" s="50">
        <v>1.0</v>
      </c>
      <c r="U160" s="42" t="s">
        <v>401</v>
      </c>
      <c r="V160" s="13" t="s">
        <v>402</v>
      </c>
      <c r="W160" s="24" t="str">
        <f t="shared" si="5"/>
        <v>Завершена</v>
      </c>
      <c r="X160" s="13" t="str">
        <f>IFERROR(__xludf.DUMMYFUNCTION("IF(C160 = """", """", IF(REGEXMATCH(C160, ""PCX|NMAX|ADV|CLICK""), ""скутер"", ""мото""))"),"скутер")</f>
        <v>скутер</v>
      </c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</row>
    <row r="161" hidden="1">
      <c r="A161" s="25" t="s">
        <v>24</v>
      </c>
      <c r="B161" s="25" t="s">
        <v>25</v>
      </c>
      <c r="C161" s="27" t="s">
        <v>173</v>
      </c>
      <c r="D161" s="27" t="s">
        <v>403</v>
      </c>
      <c r="E161" s="43">
        <v>45087.0</v>
      </c>
      <c r="F161" s="39">
        <v>45091.0</v>
      </c>
      <c r="G161" s="30" t="str">
        <f t="shared" si="1"/>
        <v>4 Д</v>
      </c>
      <c r="H161" s="40">
        <v>600.0</v>
      </c>
      <c r="I161" s="32" t="str">
        <f t="shared" si="2"/>
        <v/>
      </c>
      <c r="J161" s="33" t="str">
        <f t="shared" si="3"/>
        <v/>
      </c>
      <c r="K161" s="36">
        <v>2400.0</v>
      </c>
      <c r="L161" s="36"/>
      <c r="M161" s="36"/>
      <c r="N161" s="44">
        <v>10500.0</v>
      </c>
      <c r="O161" s="35">
        <f>IFERROR(__xludf.DUMMYFUNCTION("IFERROR(
  VLOOKUP(C161,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C161
    ), 
    7, FALSE
  ), 
  """"
)
"),27000.0)</f>
        <v>27000</v>
      </c>
      <c r="P161" s="35">
        <f>IFERROR(__xludf.DUMMYFUNCTION("IF(OR(ISBLANK(Q161), ISBLANK(O161), VALUE(SUBSTITUTE(INDEX(SPLIT(IF(ISBLANK(R161), Q161, R161), "" km""), 0, 1), "" "", """")) - O161 = 0), """", IF(ISBLANK(R161), VALUE(SUBSTITUTE(INDEX(SPLIT(Q161, "" km""), 0, 1), "" "", """")) - O161, VALUE(SUBSTITUTE("&amp;"INDEX(SPLIT(R161, "" km""), 0, 1), "" "", """")) - O161))"),-16500.0)</f>
        <v>-16500</v>
      </c>
      <c r="Q161" s="36" t="str">
        <f t="shared" si="4"/>
        <v>10 500 Km, 10.06.2023</v>
      </c>
      <c r="R161" s="33"/>
      <c r="S161" s="40">
        <v>8000.0</v>
      </c>
      <c r="T161" s="45">
        <v>0.0</v>
      </c>
      <c r="U161" s="46" t="s">
        <v>404</v>
      </c>
      <c r="V161" s="25" t="s">
        <v>405</v>
      </c>
      <c r="W161" s="37" t="str">
        <f t="shared" si="5"/>
        <v>Завершена</v>
      </c>
      <c r="X161" s="25" t="str">
        <f>IFERROR(__xludf.DUMMYFUNCTION("IF(C161 = """", """", IF(REGEXMATCH(C161, ""PCX|NMAX|ADV|CLICK""), ""скутер"", ""мото""))"),"мото")</f>
        <v>мото</v>
      </c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</row>
    <row r="162" hidden="1">
      <c r="A162" s="13" t="s">
        <v>24</v>
      </c>
      <c r="B162" s="13" t="s">
        <v>25</v>
      </c>
      <c r="C162" s="14" t="s">
        <v>286</v>
      </c>
      <c r="D162" s="14" t="s">
        <v>406</v>
      </c>
      <c r="E162" s="48">
        <v>45089.0</v>
      </c>
      <c r="F162" s="38">
        <v>45094.0</v>
      </c>
      <c r="G162" s="17" t="str">
        <f t="shared" si="1"/>
        <v>5 Д</v>
      </c>
      <c r="H162" s="41">
        <v>500.0</v>
      </c>
      <c r="I162" s="19" t="str">
        <f t="shared" si="2"/>
        <v/>
      </c>
      <c r="J162" s="20" t="str">
        <f t="shared" si="3"/>
        <v/>
      </c>
      <c r="K162" s="23">
        <v>3500.0</v>
      </c>
      <c r="L162" s="23"/>
      <c r="M162" s="23"/>
      <c r="N162" s="49">
        <v>7800.0</v>
      </c>
      <c r="O162" s="22" t="str">
        <f>IFERROR(__xludf.DUMMYFUNCTION("IFERROR(
  VLOOKUP(C162,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C162
    ), 
    7, FALSE
  ), 
  """"
)
"),"")</f>
        <v/>
      </c>
      <c r="P162" s="22">
        <f>IFERROR(__xludf.DUMMYFUNCTION("IF(OR(ISBLANK(Q162), ISBLANK(O162), VALUE(SUBSTITUTE(INDEX(SPLIT(IF(ISBLANK(R162), Q162, R162), "" km""), 0, 1), "" "", """")) - O162 = 0), """", IF(ISBLANK(R162), VALUE(SUBSTITUTE(INDEX(SPLIT(Q162, "" km""), 0, 1), "" "", """")) - O162, VALUE(SUBSTITUTE("&amp;"INDEX(SPLIT(R162, "" km""), 0, 1), "" "", """")) - O162))"),7800.0)</f>
        <v>7800</v>
      </c>
      <c r="Q162" s="23" t="str">
        <f t="shared" si="4"/>
        <v>7 800 Km, 12.06.2023</v>
      </c>
      <c r="R162" s="20"/>
      <c r="S162" s="41">
        <v>8000.0</v>
      </c>
      <c r="T162" s="50">
        <v>0.0</v>
      </c>
      <c r="U162" s="42" t="s">
        <v>0</v>
      </c>
      <c r="V162" s="13" t="s">
        <v>407</v>
      </c>
      <c r="W162" s="24" t="str">
        <f t="shared" si="5"/>
        <v>Завершена</v>
      </c>
      <c r="X162" s="13" t="str">
        <f>IFERROR(__xludf.DUMMYFUNCTION("IF(C162 = """", """", IF(REGEXMATCH(C162, ""PCX|NMAX|ADV|CLICK""), ""скутер"", ""мото""))"),"мото")</f>
        <v>мото</v>
      </c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</row>
    <row r="163" hidden="1">
      <c r="A163" s="25" t="s">
        <v>24</v>
      </c>
      <c r="B163" s="25" t="s">
        <v>25</v>
      </c>
      <c r="C163" s="27" t="s">
        <v>408</v>
      </c>
      <c r="D163" s="27" t="s">
        <v>409</v>
      </c>
      <c r="E163" s="43">
        <v>45089.0</v>
      </c>
      <c r="F163" s="39">
        <v>45105.0</v>
      </c>
      <c r="G163" s="30" t="str">
        <f t="shared" si="1"/>
        <v>16 Д</v>
      </c>
      <c r="H163" s="40">
        <f>10000/30</f>
        <v>333.3333333</v>
      </c>
      <c r="I163" s="32" t="str">
        <f t="shared" si="2"/>
        <v/>
      </c>
      <c r="J163" s="33" t="str">
        <f t="shared" si="3"/>
        <v/>
      </c>
      <c r="K163" s="36">
        <f>333*16</f>
        <v>5328</v>
      </c>
      <c r="L163" s="36"/>
      <c r="M163" s="36"/>
      <c r="N163" s="44">
        <v>11500.0</v>
      </c>
      <c r="O163" s="35" t="str">
        <f>IFERROR(__xludf.DUMMYFUNCTION("IFERROR(
  VLOOKUP(C163,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C163
    ), 
    7, FALSE
  ), 
  """"
)
"),"")</f>
        <v/>
      </c>
      <c r="P163" s="35">
        <f>IFERROR(__xludf.DUMMYFUNCTION("IF(OR(ISBLANK(Q163), ISBLANK(O163), VALUE(SUBSTITUTE(INDEX(SPLIT(IF(ISBLANK(R163), Q163, R163), "" km""), 0, 1), "" "", """")) - O163 = 0), """", IF(ISBLANK(R163), VALUE(SUBSTITUTE(INDEX(SPLIT(Q163, "" km""), 0, 1), "" "", """")) - O163, VALUE(SUBSTITUTE("&amp;"INDEX(SPLIT(R163, "" km""), 0, 1), "" "", """")) - O163))"),11500.0)</f>
        <v>11500</v>
      </c>
      <c r="Q163" s="36" t="str">
        <f t="shared" si="4"/>
        <v>11 500 Km, 12.06.2023</v>
      </c>
      <c r="R163" s="36"/>
      <c r="S163" s="40">
        <v>10000.0</v>
      </c>
      <c r="T163" s="45">
        <v>0.0</v>
      </c>
      <c r="U163" s="46" t="s">
        <v>410</v>
      </c>
      <c r="V163" s="25" t="s">
        <v>411</v>
      </c>
      <c r="W163" s="37" t="str">
        <f t="shared" si="5"/>
        <v>Завершена</v>
      </c>
      <c r="X163" s="25" t="str">
        <f>IFERROR(__xludf.DUMMYFUNCTION("IF(C163 = """", """", IF(REGEXMATCH(C163, ""PCX|NMAX|ADV|CLICK""), ""скутер"", ""мото""))"),"мото")</f>
        <v>мото</v>
      </c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</row>
    <row r="164" hidden="1">
      <c r="A164" s="13" t="s">
        <v>24</v>
      </c>
      <c r="B164" s="13" t="s">
        <v>25</v>
      </c>
      <c r="C164" s="14" t="s">
        <v>193</v>
      </c>
      <c r="D164" s="14" t="s">
        <v>412</v>
      </c>
      <c r="E164" s="48">
        <v>45090.0</v>
      </c>
      <c r="F164" s="38">
        <v>45095.0</v>
      </c>
      <c r="G164" s="17" t="str">
        <f t="shared" si="1"/>
        <v>5 Д</v>
      </c>
      <c r="H164" s="41">
        <v>400.0</v>
      </c>
      <c r="I164" s="19" t="str">
        <f t="shared" si="2"/>
        <v/>
      </c>
      <c r="J164" s="20" t="str">
        <f t="shared" si="3"/>
        <v/>
      </c>
      <c r="K164" s="23">
        <v>2000.0</v>
      </c>
      <c r="L164" s="23"/>
      <c r="M164" s="23"/>
      <c r="N164" s="49">
        <v>9300.0</v>
      </c>
      <c r="O164" s="22" t="str">
        <f>IFERROR(__xludf.DUMMYFUNCTION("IFERROR(
  VLOOKUP(C164,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C164
    ), 
    7, FALSE
  ), 
  """"
)
"),"")</f>
        <v/>
      </c>
      <c r="P164" s="22">
        <f>IFERROR(__xludf.DUMMYFUNCTION("IF(OR(ISBLANK(Q164), ISBLANK(O164), VALUE(SUBSTITUTE(INDEX(SPLIT(IF(ISBLANK(R164), Q164, R164), "" km""), 0, 1), "" "", """")) - O164 = 0), """", IF(ISBLANK(R164), VALUE(SUBSTITUTE(INDEX(SPLIT(Q164, "" km""), 0, 1), "" "", """")) - O164, VALUE(SUBSTITUTE("&amp;"INDEX(SPLIT(R164, "" km""), 0, 1), "" "", """")) - O164))"),9300.0)</f>
        <v>9300</v>
      </c>
      <c r="Q164" s="23" t="str">
        <f t="shared" si="4"/>
        <v>9 300 Km, 13.06.2023</v>
      </c>
      <c r="R164" s="20"/>
      <c r="S164" s="41">
        <v>6000.0</v>
      </c>
      <c r="T164" s="50">
        <v>1.0</v>
      </c>
      <c r="U164" s="42" t="s">
        <v>413</v>
      </c>
      <c r="V164" s="13" t="s">
        <v>414</v>
      </c>
      <c r="W164" s="24" t="str">
        <f t="shared" si="5"/>
        <v>Завершена</v>
      </c>
      <c r="X164" s="13" t="str">
        <f>IFERROR(__xludf.DUMMYFUNCTION("IF(C164 = """", """", IF(REGEXMATCH(C164, ""PCX|NMAX|ADV|CLICK""), ""скутер"", ""мото""))"),"мото")</f>
        <v>мото</v>
      </c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</row>
    <row r="165" hidden="1">
      <c r="A165" s="25" t="s">
        <v>24</v>
      </c>
      <c r="B165" s="25" t="s">
        <v>25</v>
      </c>
      <c r="C165" s="27" t="s">
        <v>52</v>
      </c>
      <c r="D165" s="27" t="s">
        <v>415</v>
      </c>
      <c r="E165" s="43">
        <v>45094.0</v>
      </c>
      <c r="F165" s="39">
        <v>45154.958333333336</v>
      </c>
      <c r="G165" s="30" t="str">
        <f t="shared" si="1"/>
        <v>1 М</v>
      </c>
      <c r="H165" s="40">
        <v>100.0</v>
      </c>
      <c r="I165" s="32" t="str">
        <f t="shared" si="2"/>
        <v/>
      </c>
      <c r="J165" s="33" t="str">
        <f t="shared" si="3"/>
        <v/>
      </c>
      <c r="K165" s="36">
        <f>3000+3000</f>
        <v>6000</v>
      </c>
      <c r="L165" s="36"/>
      <c r="M165" s="36"/>
      <c r="N165" s="44">
        <v>28800.0</v>
      </c>
      <c r="O165" s="35">
        <f>IFERROR(__xludf.DUMMYFUNCTION("IFERROR(
  VLOOKUP(C165,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C165
    ), 
    7, FALSE
  ), 
  """"
)
"),33515.0)</f>
        <v>33515</v>
      </c>
      <c r="P165" s="35">
        <f>IFERROR(__xludf.DUMMYFUNCTION("IF(AND(Q165="""", R165=""""),
  """",
  IF(OR(ISBLANK(Q165), ISBLANK(O165)),
    """",
    IF(VALUE(SUBSTITUTE(INDEX(SPLIT(IF(ISBLANK(R165), Q165, R165), "",""), 0, 1), "" Km"", """")) - O165 = 0,
      """",
      VALUE(SUBSTITUTE(INDEX(SPLIT(IF(ISBLANK("&amp;"R165), Q165, R165), "",""), 0, 1), "" Km"", """")) - O165
    )
  )
)"),-2514.0)</f>
        <v>-2514</v>
      </c>
      <c r="Q165" s="36" t="str">
        <f t="shared" si="4"/>
        <v>31001 Km, 28.04.2023</v>
      </c>
      <c r="R165" s="36" t="s">
        <v>416</v>
      </c>
      <c r="S165" s="40">
        <v>2000.0</v>
      </c>
      <c r="T165" s="45">
        <v>2.0</v>
      </c>
      <c r="U165" s="46" t="s">
        <v>417</v>
      </c>
      <c r="V165" s="25" t="s">
        <v>418</v>
      </c>
      <c r="W165" s="37" t="str">
        <f t="shared" si="5"/>
        <v>Завершена</v>
      </c>
      <c r="X165" s="25" t="str">
        <f>IFERROR(__xludf.DUMMYFUNCTION("IF(C165 = """", """", IF(REGEXMATCH(C165, ""PCX|NMAX|ADV|CLICK""), ""скутер"", ""мото""))"),"скутер")</f>
        <v>скутер</v>
      </c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</row>
    <row r="166" hidden="1">
      <c r="A166" s="13" t="s">
        <v>24</v>
      </c>
      <c r="B166" s="13" t="s">
        <v>25</v>
      </c>
      <c r="C166" s="14" t="s">
        <v>151</v>
      </c>
      <c r="D166" s="14" t="s">
        <v>419</v>
      </c>
      <c r="E166" s="48">
        <v>45095.0</v>
      </c>
      <c r="F166" s="38">
        <v>45125.0</v>
      </c>
      <c r="G166" s="17" t="str">
        <f t="shared" si="1"/>
        <v>30 Д</v>
      </c>
      <c r="H166" s="18">
        <f>5000/30</f>
        <v>166.6666667</v>
      </c>
      <c r="I166" s="19" t="str">
        <f t="shared" si="2"/>
        <v/>
      </c>
      <c r="J166" s="20" t="str">
        <f t="shared" si="3"/>
        <v/>
      </c>
      <c r="K166" s="23">
        <v>5000.0</v>
      </c>
      <c r="L166" s="20"/>
      <c r="M166" s="20"/>
      <c r="N166" s="49">
        <v>19860.0</v>
      </c>
      <c r="O166" s="22">
        <f>IFERROR(__xludf.DUMMYFUNCTION("IFERROR(
  VLOOKUP(C166,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C166
    ), 
    7, FALSE
  ), 
  """"
)
"),35800.0)</f>
        <v>35800</v>
      </c>
      <c r="P166" s="22" t="str">
        <f>IFERROR(__xludf.DUMMYFUNCTION("IF(AND(Q166="""", R166=""""),
  """",
  IF(OR(ISBLANK(Q166), ISBLANK(O166)),
    """",
    IF(VALUE(SUBSTITUTE(INDEX(SPLIT(IF(ISBLANK(R166), Q166, R166), "",""), 0, 1), "" Km"", """")) - O166 = 0,
      """",
      VALUE(SUBSTITUTE(INDEX(SPLIT(IF(ISBLANK("&amp;"R166), Q166, R166), "",""), 0, 1), "" Km"", """")) - O166
    )
  )
)"),"#VALUE!")</f>
        <v>#VALUE!</v>
      </c>
      <c r="Q166" s="23" t="str">
        <f t="shared" si="4"/>
        <v>24003 km, 28.06.2023</v>
      </c>
      <c r="R166" s="23" t="s">
        <v>420</v>
      </c>
      <c r="S166" s="41">
        <v>3000.0</v>
      </c>
      <c r="T166" s="50">
        <v>1.0</v>
      </c>
      <c r="U166" s="42" t="s">
        <v>421</v>
      </c>
      <c r="V166" s="13" t="s">
        <v>422</v>
      </c>
      <c r="W166" s="24" t="str">
        <f t="shared" si="5"/>
        <v>Завершена</v>
      </c>
      <c r="X166" s="13" t="str">
        <f>IFERROR(__xludf.DUMMYFUNCTION("IF(C166 = """", """", IF(REGEXMATCH(C166, ""PCX|NMAX|ADV|CLICK""), ""скутер"", ""мото""))"),"скутер")</f>
        <v>скутер</v>
      </c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</row>
    <row r="167" hidden="1">
      <c r="A167" s="25" t="s">
        <v>24</v>
      </c>
      <c r="B167" s="25" t="s">
        <v>25</v>
      </c>
      <c r="C167" s="27" t="s">
        <v>423</v>
      </c>
      <c r="D167" s="27" t="s">
        <v>424</v>
      </c>
      <c r="E167" s="28">
        <v>45096.0</v>
      </c>
      <c r="F167" s="39">
        <v>45121.0</v>
      </c>
      <c r="G167" s="30" t="str">
        <f t="shared" si="1"/>
        <v>25 Д</v>
      </c>
      <c r="H167" s="40">
        <v>350.0</v>
      </c>
      <c r="I167" s="32" t="str">
        <f t="shared" si="2"/>
        <v/>
      </c>
      <c r="J167" s="33" t="str">
        <f t="shared" si="3"/>
        <v/>
      </c>
      <c r="K167" s="36">
        <v>9100.0</v>
      </c>
      <c r="L167" s="36"/>
      <c r="M167" s="36"/>
      <c r="N167" s="34">
        <v>7745.0</v>
      </c>
      <c r="O167" s="35" t="str">
        <f>IFERROR(__xludf.DUMMYFUNCTION("IFERROR(
  VLOOKUP(C167,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C167
    ), 
    7, FALSE
  ), 
  """"
)
"),"")</f>
        <v/>
      </c>
      <c r="P167" s="35">
        <f>IFERROR(__xludf.DUMMYFUNCTION("IF(AND(Q167="""", R167=""""),
  """",
  IF(OR(ISBLANK(Q167), ISBLANK(O167)),
    """",
    IF(VALUE(SUBSTITUTE(INDEX(SPLIT(IF(ISBLANK(R167), Q167, R167), "",""), 0, 1), "" Km"", """")) - O167 = 0,
      """",
      VALUE(SUBSTITUTE(INDEX(SPLIT(IF(ISBLANK("&amp;"R167), Q167, R167), "",""), 0, 1), "" Km"", """")) - O167
    )
  )
)"),7745.0)</f>
        <v>7745</v>
      </c>
      <c r="Q167" s="36" t="str">
        <f t="shared" si="4"/>
        <v>7 745 Km, 19.06.2023</v>
      </c>
      <c r="R167" s="33"/>
      <c r="S167" s="31">
        <v>10000.0</v>
      </c>
      <c r="T167" s="45">
        <v>1.0</v>
      </c>
      <c r="U167" s="55" t="s">
        <v>425</v>
      </c>
      <c r="V167" s="55" t="s">
        <v>426</v>
      </c>
      <c r="W167" s="37" t="str">
        <f t="shared" si="5"/>
        <v>Завершена</v>
      </c>
      <c r="X167" s="25" t="str">
        <f>IFERROR(__xludf.DUMMYFUNCTION("IF(C167 = """", """", IF(REGEXMATCH(C167, ""PCX|NMAX|ADV|CLICK""), ""скутер"", ""мото""))"),"мото")</f>
        <v>мото</v>
      </c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</row>
    <row r="168" hidden="1">
      <c r="A168" s="13" t="s">
        <v>24</v>
      </c>
      <c r="B168" s="13" t="s">
        <v>25</v>
      </c>
      <c r="C168" s="14" t="s">
        <v>427</v>
      </c>
      <c r="D168" s="14" t="s">
        <v>428</v>
      </c>
      <c r="E168" s="15">
        <v>45100.0</v>
      </c>
      <c r="F168" s="16">
        <v>45103.0</v>
      </c>
      <c r="G168" s="17" t="str">
        <f t="shared" si="1"/>
        <v>3 Д</v>
      </c>
      <c r="H168" s="18">
        <v>800.0</v>
      </c>
      <c r="I168" s="19" t="str">
        <f t="shared" si="2"/>
        <v/>
      </c>
      <c r="J168" s="20" t="str">
        <f t="shared" si="3"/>
        <v/>
      </c>
      <c r="K168" s="20">
        <v>2400.0</v>
      </c>
      <c r="L168" s="20"/>
      <c r="M168" s="20"/>
      <c r="N168" s="21">
        <v>13000.0</v>
      </c>
      <c r="O168" s="22" t="str">
        <f>IFERROR(__xludf.DUMMYFUNCTION("IFERROR(
  VLOOKUP(C168,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C168
    ), 
    7, FALSE
  ), 
  """"
)
"),"")</f>
        <v/>
      </c>
      <c r="P168" s="22">
        <f>IFERROR(__xludf.DUMMYFUNCTION("IF(OR(ISBLANK(Q168), ISBLANK(O168), VALUE(SUBSTITUTE(INDEX(SPLIT(IF(ISBLANK(R168), Q168, R168), "" km""), 0, 1), "" "", """")) - O168 = 0), """", IF(ISBLANK(R168), VALUE(SUBSTITUTE(INDEX(SPLIT(Q168, "" km""), 0, 1), "" "", """")) - O168, VALUE(SUBSTITUTE("&amp;"INDEX(SPLIT(R168, "" km""), 0, 1), "" "", """")) - O168))"),13000.0)</f>
        <v>13000</v>
      </c>
      <c r="Q168" s="23" t="str">
        <f t="shared" si="4"/>
        <v>13 000 Km, 23.06.2023</v>
      </c>
      <c r="R168" s="20"/>
      <c r="S168" s="18">
        <v>10000.0</v>
      </c>
      <c r="T168" s="19">
        <v>0.0</v>
      </c>
      <c r="U168" s="24" t="s">
        <v>0</v>
      </c>
      <c r="V168" s="24" t="s">
        <v>429</v>
      </c>
      <c r="W168" s="24" t="str">
        <f t="shared" si="5"/>
        <v>Завершена</v>
      </c>
      <c r="X168" s="13" t="str">
        <f>IFERROR(__xludf.DUMMYFUNCTION("IF(C168 = """", """", IF(REGEXMATCH(C168, ""PCX|NMAX|ADV|CLICK""), ""скутер"", ""мото""))"),"мото")</f>
        <v>мото</v>
      </c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</row>
    <row r="169" hidden="1">
      <c r="A169" s="25" t="s">
        <v>24</v>
      </c>
      <c r="B169" s="25" t="s">
        <v>25</v>
      </c>
      <c r="C169" s="27" t="s">
        <v>102</v>
      </c>
      <c r="D169" s="27" t="s">
        <v>319</v>
      </c>
      <c r="E169" s="43">
        <v>45100.0</v>
      </c>
      <c r="F169" s="39">
        <v>45103.0</v>
      </c>
      <c r="G169" s="30" t="str">
        <f t="shared" si="1"/>
        <v>3 Д</v>
      </c>
      <c r="H169" s="40">
        <v>1000.0</v>
      </c>
      <c r="I169" s="32" t="str">
        <f t="shared" si="2"/>
        <v/>
      </c>
      <c r="J169" s="33" t="str">
        <f t="shared" si="3"/>
        <v/>
      </c>
      <c r="K169" s="36">
        <v>3000.0</v>
      </c>
      <c r="L169" s="36"/>
      <c r="M169" s="36"/>
      <c r="N169" s="44">
        <v>33000.0</v>
      </c>
      <c r="O169" s="35">
        <f>IFERROR(__xludf.DUMMYFUNCTION("IFERROR(
  VLOOKUP(C169,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C169
    ), 
    7, FALSE
  ), 
  """"
)
"),63700.0)</f>
        <v>63700</v>
      </c>
      <c r="P169" s="35">
        <f>IFERROR(__xludf.DUMMYFUNCTION("IF(OR(ISBLANK(Q169), ISBLANK(O169), VALUE(SUBSTITUTE(INDEX(SPLIT(IF(ISBLANK(R169), Q169, R169), "" km""), 0, 1), "" "", """")) - O169 = 0), """", IF(ISBLANK(R169), VALUE(SUBSTITUTE(INDEX(SPLIT(Q169, "" km""), 0, 1), "" "", """")) - O169, VALUE(SUBSTITUTE("&amp;"INDEX(SPLIT(R169, "" km""), 0, 1), "" "", """")) - O169))"),-30700.0)</f>
        <v>-30700</v>
      </c>
      <c r="Q169" s="36" t="str">
        <f t="shared" si="4"/>
        <v>33 000 Km, 23.06.2023</v>
      </c>
      <c r="R169" s="33"/>
      <c r="S169" s="40" t="s">
        <v>430</v>
      </c>
      <c r="T169" s="32">
        <v>2.0</v>
      </c>
      <c r="U169" s="30" t="s">
        <v>0</v>
      </c>
      <c r="V169" s="30" t="s">
        <v>320</v>
      </c>
      <c r="W169" s="37" t="str">
        <f t="shared" si="5"/>
        <v>Завершена</v>
      </c>
      <c r="X169" s="25" t="str">
        <f>IFERROR(__xludf.DUMMYFUNCTION("IF(C169 = """", """", IF(REGEXMATCH(C169, ""PCX|NMAX|ADV|CLICK""), ""скутер"", ""мото""))"),"мото")</f>
        <v>мото</v>
      </c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</row>
    <row r="170" hidden="1">
      <c r="A170" s="13" t="s">
        <v>24</v>
      </c>
      <c r="B170" s="13" t="s">
        <v>25</v>
      </c>
      <c r="C170" s="14" t="s">
        <v>427</v>
      </c>
      <c r="D170" s="14" t="s">
        <v>431</v>
      </c>
      <c r="E170" s="48">
        <v>45102.0</v>
      </c>
      <c r="F170" s="38">
        <v>45104.0</v>
      </c>
      <c r="G170" s="17" t="str">
        <f t="shared" si="1"/>
        <v>2 Д</v>
      </c>
      <c r="H170" s="41">
        <v>1000.0</v>
      </c>
      <c r="I170" s="19" t="str">
        <f t="shared" si="2"/>
        <v/>
      </c>
      <c r="J170" s="20" t="str">
        <f t="shared" si="3"/>
        <v/>
      </c>
      <c r="K170" s="23">
        <v>2000.0</v>
      </c>
      <c r="L170" s="23"/>
      <c r="M170" s="23"/>
      <c r="N170" s="49">
        <v>13455.0</v>
      </c>
      <c r="O170" s="22" t="str">
        <f>IFERROR(__xludf.DUMMYFUNCTION("IFERROR(
  VLOOKUP(C170,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C170
    ), 
    7, FALSE
  ), 
  """"
)
"),"")</f>
        <v/>
      </c>
      <c r="P170" s="22">
        <f>IFERROR(__xludf.DUMMYFUNCTION("IF(OR(ISBLANK(Q170), ISBLANK(O170), VALUE(SUBSTITUTE(INDEX(SPLIT(IF(ISBLANK(R170), Q170, R170), "" km""), 0, 1), "" "", """")) - O170 = 0), """", IF(ISBLANK(R170), VALUE(SUBSTITUTE(INDEX(SPLIT(Q170, "" km""), 0, 1), "" "", """")) - O170, VALUE(SUBSTITUTE("&amp;"INDEX(SPLIT(R170, "" km""), 0, 1), "" "", """")) - O170))"),13455.0)</f>
        <v>13455</v>
      </c>
      <c r="Q170" s="23" t="str">
        <f t="shared" si="4"/>
        <v>13 455 Km, 25.06.2023</v>
      </c>
      <c r="R170" s="20"/>
      <c r="S170" s="41">
        <v>12000.0</v>
      </c>
      <c r="T170" s="19">
        <v>0.0</v>
      </c>
      <c r="U170" s="42" t="s">
        <v>0</v>
      </c>
      <c r="V170" s="13" t="s">
        <v>432</v>
      </c>
      <c r="W170" s="24" t="str">
        <f t="shared" si="5"/>
        <v>Завершена</v>
      </c>
      <c r="X170" s="13" t="str">
        <f>IFERROR(__xludf.DUMMYFUNCTION("IF(C170 = """", """", IF(REGEXMATCH(C170, ""PCX|NMAX|ADV|CLICK""), ""скутер"", ""мото""))"),"мото")</f>
        <v>мото</v>
      </c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</row>
    <row r="171" hidden="1">
      <c r="A171" s="25" t="s">
        <v>24</v>
      </c>
      <c r="B171" s="25" t="s">
        <v>25</v>
      </c>
      <c r="C171" s="27" t="s">
        <v>193</v>
      </c>
      <c r="D171" s="27" t="s">
        <v>433</v>
      </c>
      <c r="E171" s="43">
        <v>45104.0</v>
      </c>
      <c r="F171" s="39">
        <v>45109.0</v>
      </c>
      <c r="G171" s="30" t="str">
        <f t="shared" si="1"/>
        <v>5 Д</v>
      </c>
      <c r="H171" s="40">
        <v>400.0</v>
      </c>
      <c r="I171" s="32" t="str">
        <f t="shared" si="2"/>
        <v/>
      </c>
      <c r="J171" s="33" t="str">
        <f t="shared" si="3"/>
        <v/>
      </c>
      <c r="K171" s="36">
        <v>2800.0</v>
      </c>
      <c r="L171" s="36"/>
      <c r="M171" s="36"/>
      <c r="N171" s="44">
        <v>9619.0</v>
      </c>
      <c r="O171" s="35" t="str">
        <f>IFERROR(__xludf.DUMMYFUNCTION("IFERROR(
  VLOOKUP(C171,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C171
    ), 
    7, FALSE
  ), 
  """"
)
"),"")</f>
        <v/>
      </c>
      <c r="P171" s="35">
        <f>IFERROR(__xludf.DUMMYFUNCTION("IF(AND(Q171="""", R171=""""),
  """",
  IF(OR(ISBLANK(Q171), ISBLANK(O171)),
    """",
    IF(VALUE(SUBSTITUTE(INDEX(SPLIT(IF(ISBLANK(R171), Q171, R171), "",""), 0, 1), "" Km"", """")) - O171 = 0,
      """",
      VALUE(SUBSTITUTE(INDEX(SPLIT(IF(ISBLANK("&amp;"R171), Q171, R171), "",""), 0, 1), "" Km"", """")) - O171
    )
  )
)"),9619.0)</f>
        <v>9619</v>
      </c>
      <c r="Q171" s="36" t="str">
        <f t="shared" si="4"/>
        <v>9 619 Km, 27.06.2023</v>
      </c>
      <c r="R171" s="33"/>
      <c r="S171" s="40">
        <v>4000.0</v>
      </c>
      <c r="T171" s="25">
        <v>1.0</v>
      </c>
      <c r="U171" s="46" t="s">
        <v>0</v>
      </c>
      <c r="V171" s="25" t="s">
        <v>434</v>
      </c>
      <c r="W171" s="37" t="str">
        <f t="shared" si="5"/>
        <v>Завершена</v>
      </c>
      <c r="X171" s="25" t="str">
        <f>IFERROR(__xludf.DUMMYFUNCTION("IF(C171 = """", """", IF(REGEXMATCH(C171, ""PCX|NMAX|ADV|CLICK""), ""скутер"", ""мото""))"),"мото")</f>
        <v>мото</v>
      </c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</row>
    <row r="172" hidden="1">
      <c r="A172" s="13" t="s">
        <v>24</v>
      </c>
      <c r="B172" s="13" t="s">
        <v>25</v>
      </c>
      <c r="C172" s="14" t="s">
        <v>286</v>
      </c>
      <c r="D172" s="14" t="s">
        <v>435</v>
      </c>
      <c r="E172" s="48">
        <v>45105.0</v>
      </c>
      <c r="F172" s="38">
        <v>45118.0</v>
      </c>
      <c r="G172" s="17" t="str">
        <f t="shared" si="1"/>
        <v>13 Д</v>
      </c>
      <c r="H172" s="41">
        <v>369.0</v>
      </c>
      <c r="I172" s="19" t="str">
        <f t="shared" si="2"/>
        <v/>
      </c>
      <c r="J172" s="20" t="str">
        <f t="shared" si="3"/>
        <v/>
      </c>
      <c r="K172" s="23">
        <v>4800.0</v>
      </c>
      <c r="L172" s="23"/>
      <c r="M172" s="23"/>
      <c r="N172" s="49">
        <v>8048.0</v>
      </c>
      <c r="O172" s="22" t="str">
        <f>IFERROR(__xludf.DUMMYFUNCTION("IFERROR(
  VLOOKUP(C172,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C172
    ), 
    7, FALSE
  ), 
  """"
)
"),"")</f>
        <v/>
      </c>
      <c r="P172" s="22">
        <f>IFERROR(__xludf.DUMMYFUNCTION("IF(AND(Q172="""", R172=""""),
  """",
  IF(OR(ISBLANK(Q172), ISBLANK(O172)),
    """",
    IF(VALUE(SUBSTITUTE(INDEX(SPLIT(IF(ISBLANK(R172), Q172, R172), "",""), 0, 1), "" Km"", """")) - O172 = 0,
      """",
      VALUE(SUBSTITUTE(INDEX(SPLIT(IF(ISBLANK("&amp;"R172), Q172, R172), "",""), 0, 1), "" Km"", """")) - O172
    )
  )
)"),8048.0)</f>
        <v>8048</v>
      </c>
      <c r="Q172" s="23" t="str">
        <f t="shared" si="4"/>
        <v>8 048 Km, 28.06.2023</v>
      </c>
      <c r="R172" s="20"/>
      <c r="S172" s="41">
        <v>7000.0</v>
      </c>
      <c r="T172" s="13">
        <v>2.0</v>
      </c>
      <c r="U172" s="42" t="s">
        <v>436</v>
      </c>
      <c r="V172" s="13" t="s">
        <v>437</v>
      </c>
      <c r="W172" s="24" t="str">
        <f t="shared" si="5"/>
        <v>Завершена</v>
      </c>
      <c r="X172" s="13" t="str">
        <f>IFERROR(__xludf.DUMMYFUNCTION("IF(C172 = """", """", IF(REGEXMATCH(C172, ""PCX|NMAX|ADV|CLICK""), ""скутер"", ""мото""))"),"мото")</f>
        <v>мото</v>
      </c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</row>
    <row r="173" hidden="1">
      <c r="A173" s="25" t="s">
        <v>24</v>
      </c>
      <c r="B173" s="25" t="s">
        <v>25</v>
      </c>
      <c r="C173" s="27" t="s">
        <v>64</v>
      </c>
      <c r="D173" s="27" t="s">
        <v>301</v>
      </c>
      <c r="E173" s="43">
        <v>45105.0</v>
      </c>
      <c r="F173" s="39">
        <v>45135.0</v>
      </c>
      <c r="G173" s="30" t="str">
        <f t="shared" si="1"/>
        <v>30 Д</v>
      </c>
      <c r="H173" s="40">
        <v>300.0</v>
      </c>
      <c r="I173" s="32" t="str">
        <f t="shared" si="2"/>
        <v/>
      </c>
      <c r="J173" s="33" t="str">
        <f t="shared" si="3"/>
        <v/>
      </c>
      <c r="K173" s="36">
        <v>9000.0</v>
      </c>
      <c r="L173" s="36"/>
      <c r="M173" s="36"/>
      <c r="N173" s="44">
        <v>15470.0</v>
      </c>
      <c r="O173" s="35">
        <f>IFERROR(__xludf.DUMMYFUNCTION("IFERROR(
  VLOOKUP(C173,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C173
    ), 
    7, FALSE
  ), 
  """"
)
"),32600.0)</f>
        <v>32600</v>
      </c>
      <c r="P173" s="35">
        <f>IFERROR(__xludf.DUMMYFUNCTION("IF(AND(Q173="""", R173=""""),
  """",
  IF(OR(ISBLANK(Q173), ISBLANK(O173)),
    """",
    IF(VALUE(SUBSTITUTE(INDEX(SPLIT(IF(ISBLANK(R173), Q173, R173), "",""), 0, 1), "" Km"", """")) - O173 = 0,
      """",
      VALUE(SUBSTITUTE(INDEX(SPLIT(IF(ISBLANK("&amp;"R173), Q173, R173), "",""), 0, 1), "" Km"", """")) - O173
    )
  )
)"),-17130.0)</f>
        <v>-17130</v>
      </c>
      <c r="Q173" s="36" t="str">
        <f t="shared" si="4"/>
        <v>15 470 Km, 28.06.2023</v>
      </c>
      <c r="R173" s="33"/>
      <c r="S173" s="40">
        <v>5000.0</v>
      </c>
      <c r="T173" s="56">
        <v>1.0</v>
      </c>
      <c r="U173" s="37" t="s">
        <v>302</v>
      </c>
      <c r="V173" s="56" t="s">
        <v>303</v>
      </c>
      <c r="W173" s="37" t="str">
        <f t="shared" si="5"/>
        <v>Завершена</v>
      </c>
      <c r="X173" s="25" t="str">
        <f>IFERROR(__xludf.DUMMYFUNCTION("IF(C173 = """", """", IF(REGEXMATCH(C173, ""PCX|NMAX|ADV|CLICK""), ""скутер"", ""мото""))"),"мото")</f>
        <v>мото</v>
      </c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</row>
    <row r="174" hidden="1">
      <c r="A174" s="52" t="s">
        <v>24</v>
      </c>
      <c r="B174" s="13" t="s">
        <v>25</v>
      </c>
      <c r="C174" s="14" t="s">
        <v>438</v>
      </c>
      <c r="D174" s="14" t="s">
        <v>409</v>
      </c>
      <c r="E174" s="48">
        <v>45105.0</v>
      </c>
      <c r="F174" s="57">
        <v>45211.666666666664</v>
      </c>
      <c r="G174" s="17" t="str">
        <f t="shared" si="1"/>
        <v>3 М</v>
      </c>
      <c r="H174" s="41">
        <f>10000/30</f>
        <v>333.3333333</v>
      </c>
      <c r="I174" s="19" t="str">
        <f t="shared" si="2"/>
        <v/>
      </c>
      <c r="J174" s="20" t="str">
        <f t="shared" si="3"/>
        <v/>
      </c>
      <c r="K174" s="23">
        <f>10000-5328+10000+10000+10000</f>
        <v>34672</v>
      </c>
      <c r="L174" s="23"/>
      <c r="M174" s="23"/>
      <c r="N174" s="49">
        <v>5000.0</v>
      </c>
      <c r="O174" s="22">
        <f>IFERROR(__xludf.DUMMYFUNCTION("IFERROR(
  VLOOKUP(C174,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C174
    ), 
    7, FALSE
  ), 
  """"
)
"),37823.0)</f>
        <v>37823</v>
      </c>
      <c r="P174" s="22">
        <f>IFERROR(__xludf.DUMMYFUNCTION("IF(AND(Q174="""", R174=""""),
  """",
  IF(OR(ISBLANK(Q174), ISBLANK(O174)),
    """",
    IF(VALUE(SUBSTITUTE(INDEX(SPLIT(IF(ISBLANK(R174), Q174, R174), "",""), 0, 1), "" Km"", """")) - O174 = 0,
      """",
      VALUE(SUBSTITUTE(INDEX(SPLIT(IF(ISBLANK("&amp;"R174), Q174, R174), "",""), 0, 1), "" Km"", """")) - O174
    )
  )
)"),-25073.0)</f>
        <v>-25073</v>
      </c>
      <c r="Q174" s="23" t="str">
        <f t="shared" si="4"/>
        <v>12750 Km, 12.00.2023</v>
      </c>
      <c r="R174" s="23" t="s">
        <v>439</v>
      </c>
      <c r="S174" s="41">
        <v>10000.0</v>
      </c>
      <c r="T174" s="50">
        <v>0.0</v>
      </c>
      <c r="U174" s="42" t="s">
        <v>410</v>
      </c>
      <c r="V174" s="13" t="s">
        <v>440</v>
      </c>
      <c r="W174" s="24" t="str">
        <f t="shared" si="5"/>
        <v>Завершена</v>
      </c>
      <c r="X174" s="13" t="str">
        <f>IFERROR(__xludf.DUMMYFUNCTION("IF(C174 = """", """", IF(REGEXMATCH(C174, ""PCX|NMAX|ADV|CLICK""), ""скутер"", ""мото""))"),"мото")</f>
        <v>мото</v>
      </c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</row>
    <row r="175" hidden="1">
      <c r="A175" s="25" t="s">
        <v>24</v>
      </c>
      <c r="B175" s="25" t="s">
        <v>25</v>
      </c>
      <c r="C175" s="27" t="s">
        <v>408</v>
      </c>
      <c r="D175" s="27" t="s">
        <v>441</v>
      </c>
      <c r="E175" s="43">
        <v>45106.0</v>
      </c>
      <c r="F175" s="39">
        <v>45107.0</v>
      </c>
      <c r="G175" s="30" t="str">
        <f t="shared" si="1"/>
        <v>1 Д</v>
      </c>
      <c r="H175" s="40">
        <v>700.0</v>
      </c>
      <c r="I175" s="32" t="str">
        <f t="shared" si="2"/>
        <v/>
      </c>
      <c r="J175" s="33" t="str">
        <f t="shared" si="3"/>
        <v/>
      </c>
      <c r="K175" s="36">
        <v>700.0</v>
      </c>
      <c r="L175" s="36"/>
      <c r="M175" s="36"/>
      <c r="N175" s="44">
        <v>13365.0</v>
      </c>
      <c r="O175" s="35" t="str">
        <f>IFERROR(__xludf.DUMMYFUNCTION("IFERROR(
  VLOOKUP(C175,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C175
    ), 
    7, FALSE
  ), 
  """"
)
"),"")</f>
        <v/>
      </c>
      <c r="P175" s="35">
        <f>IFERROR(__xludf.DUMMYFUNCTION("IF(AND(Q175="""", R175=""""),
  """",
  IF(OR(ISBLANK(Q175), ISBLANK(O175)),
    """",
    IF(VALUE(SUBSTITUTE(INDEX(SPLIT(IF(ISBLANK(R175), Q175, R175), "",""), 0, 1), "" Km"", """")) - O175 = 0,
      """",
      VALUE(SUBSTITUTE(INDEX(SPLIT(IF(ISBLANK("&amp;"R175), Q175, R175), "",""), 0, 1), "" Km"", """")) - O175
    )
  )
)"),13365.0)</f>
        <v>13365</v>
      </c>
      <c r="Q175" s="36" t="str">
        <f t="shared" si="4"/>
        <v>13 365 Km, 29.06.2023</v>
      </c>
      <c r="R175" s="33"/>
      <c r="S175" s="40">
        <v>12000.0</v>
      </c>
      <c r="T175" s="25">
        <v>1.0</v>
      </c>
      <c r="U175" s="46" t="s">
        <v>0</v>
      </c>
      <c r="V175" s="25" t="s">
        <v>434</v>
      </c>
      <c r="W175" s="37" t="str">
        <f t="shared" si="5"/>
        <v>Завершена</v>
      </c>
      <c r="X175" s="25" t="str">
        <f>IFERROR(__xludf.DUMMYFUNCTION("IF(C175 = """", """", IF(REGEXMATCH(C175, ""PCX|NMAX|ADV|CLICK""), ""скутер"", ""мото""))"),"мото")</f>
        <v>мото</v>
      </c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</row>
    <row r="176" hidden="1">
      <c r="A176" s="13" t="s">
        <v>24</v>
      </c>
      <c r="B176" s="13" t="s">
        <v>25</v>
      </c>
      <c r="C176" s="14" t="s">
        <v>173</v>
      </c>
      <c r="D176" s="14" t="s">
        <v>441</v>
      </c>
      <c r="E176" s="48">
        <v>45107.0</v>
      </c>
      <c r="F176" s="38">
        <v>45109.0</v>
      </c>
      <c r="G176" s="17" t="str">
        <f t="shared" si="1"/>
        <v>2 Д</v>
      </c>
      <c r="H176" s="41">
        <v>400.0</v>
      </c>
      <c r="I176" s="19" t="str">
        <f t="shared" si="2"/>
        <v/>
      </c>
      <c r="J176" s="20" t="str">
        <f t="shared" si="3"/>
        <v/>
      </c>
      <c r="K176" s="23">
        <v>1600.0</v>
      </c>
      <c r="L176" s="23"/>
      <c r="M176" s="23"/>
      <c r="N176" s="49">
        <v>10400.0</v>
      </c>
      <c r="O176" s="22">
        <f>IFERROR(__xludf.DUMMYFUNCTION("IFERROR(
  VLOOKUP(C176,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C176
    ), 
    7, FALSE
  ), 
  """"
)
"),27000.0)</f>
        <v>27000</v>
      </c>
      <c r="P176" s="22">
        <f>IFERROR(__xludf.DUMMYFUNCTION("IF(AND(Q176="""", R176=""""),
  """",
  IF(OR(ISBLANK(Q176), ISBLANK(O176)),
    """",
    IF(VALUE(SUBSTITUTE(INDEX(SPLIT(IF(ISBLANK(R176), Q176, R176), "",""), 0, 1), "" Km"", """")) - O176 = 0,
      """",
      VALUE(SUBSTITUTE(INDEX(SPLIT(IF(ISBLANK("&amp;"R176), Q176, R176), "",""), 0, 1), "" Km"", """")) - O176
    )
  )
)"),-16600.0)</f>
        <v>-16600</v>
      </c>
      <c r="Q176" s="23" t="str">
        <f t="shared" si="4"/>
        <v>10 400 Km, 30.06.2023</v>
      </c>
      <c r="R176" s="20"/>
      <c r="S176" s="41">
        <v>8000.0</v>
      </c>
      <c r="T176" s="13">
        <v>1.0</v>
      </c>
      <c r="U176" s="42" t="s">
        <v>0</v>
      </c>
      <c r="V176" s="13" t="s">
        <v>434</v>
      </c>
      <c r="W176" s="24" t="str">
        <f t="shared" si="5"/>
        <v>Завершена</v>
      </c>
      <c r="X176" s="13" t="str">
        <f>IFERROR(__xludf.DUMMYFUNCTION("IF(C176 = """", """", IF(REGEXMATCH(C176, ""PCX|NMAX|ADV|CLICK""), ""скутер"", ""мото""))"),"мото")</f>
        <v>мото</v>
      </c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</row>
    <row r="177" hidden="1">
      <c r="A177" s="25" t="s">
        <v>24</v>
      </c>
      <c r="B177" s="25" t="s">
        <v>25</v>
      </c>
      <c r="C177" s="27" t="s">
        <v>68</v>
      </c>
      <c r="D177" s="27" t="s">
        <v>307</v>
      </c>
      <c r="E177" s="43">
        <v>45109.0</v>
      </c>
      <c r="F177" s="39">
        <v>45115.0</v>
      </c>
      <c r="G177" s="30" t="str">
        <f t="shared" si="1"/>
        <v>6 Д</v>
      </c>
      <c r="H177" s="40">
        <f>1700/6</f>
        <v>283.3333333</v>
      </c>
      <c r="I177" s="32" t="str">
        <f t="shared" si="2"/>
        <v/>
      </c>
      <c r="J177" s="33" t="str">
        <f t="shared" si="3"/>
        <v/>
      </c>
      <c r="K177" s="36">
        <v>1700.0</v>
      </c>
      <c r="L177" s="36"/>
      <c r="M177" s="36"/>
      <c r="N177" s="44">
        <v>17000.0</v>
      </c>
      <c r="O177" s="35">
        <f>IFERROR(__xludf.DUMMYFUNCTION("IFERROR(
  VLOOKUP(C177,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C177
    ), 
    7, FALSE
  ), 
  """"
)
"),24094.0)</f>
        <v>24094</v>
      </c>
      <c r="P177" s="35">
        <f>IFERROR(__xludf.DUMMYFUNCTION("IF(AND(Q177="""", R177=""""),
  """",
  IF(OR(ISBLANK(Q177), ISBLANK(O177)),
    """",
    IF(VALUE(SUBSTITUTE(INDEX(SPLIT(IF(ISBLANK(R177), Q177, R177), "",""), 0, 1), "" Km"", """")) - O177 = 0,
      """",
      VALUE(SUBSTITUTE(INDEX(SPLIT(IF(ISBLANK("&amp;"R177), Q177, R177), "",""), 0, 1), "" Km"", """")) - O177
    )
  )
)"),-7094.0)</f>
        <v>-7094</v>
      </c>
      <c r="Q177" s="36" t="str">
        <f t="shared" si="4"/>
        <v>17 000 Km, 02.07.2023</v>
      </c>
      <c r="R177" s="33"/>
      <c r="S177" s="40" t="s">
        <v>442</v>
      </c>
      <c r="T177" s="25">
        <v>1.0</v>
      </c>
      <c r="U177" s="46" t="s">
        <v>443</v>
      </c>
      <c r="V177" s="25" t="s">
        <v>444</v>
      </c>
      <c r="W177" s="37" t="str">
        <f t="shared" si="5"/>
        <v>Завершена</v>
      </c>
      <c r="X177" s="25" t="str">
        <f>IFERROR(__xludf.DUMMYFUNCTION("IF(C177 = """", """", IF(REGEXMATCH(C177, ""PCX|NMAX|ADV|CLICK""), ""скутер"", ""мото""))"),"скутер")</f>
        <v>скутер</v>
      </c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</row>
    <row r="178" hidden="1">
      <c r="A178" s="13" t="s">
        <v>24</v>
      </c>
      <c r="B178" s="13" t="s">
        <v>25</v>
      </c>
      <c r="C178" s="14" t="s">
        <v>427</v>
      </c>
      <c r="D178" s="14" t="s">
        <v>107</v>
      </c>
      <c r="E178" s="48">
        <v>45109.0</v>
      </c>
      <c r="F178" s="38">
        <v>45140.0</v>
      </c>
      <c r="G178" s="17" t="str">
        <f t="shared" si="1"/>
        <v>1 М</v>
      </c>
      <c r="H178" s="41">
        <v>400.0</v>
      </c>
      <c r="I178" s="19" t="str">
        <f t="shared" si="2"/>
        <v/>
      </c>
      <c r="J178" s="20" t="str">
        <f t="shared" si="3"/>
        <v/>
      </c>
      <c r="K178" s="23">
        <v>12000.0</v>
      </c>
      <c r="L178" s="23"/>
      <c r="M178" s="23"/>
      <c r="N178" s="49">
        <v>13400.0</v>
      </c>
      <c r="O178" s="22" t="str">
        <f>IFERROR(__xludf.DUMMYFUNCTION("IFERROR(
  VLOOKUP(C178,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C178
    ), 
    7, FALSE
  ), 
  """"
)
"),"")</f>
        <v/>
      </c>
      <c r="P178" s="22">
        <f>IFERROR(__xludf.DUMMYFUNCTION("IF(AND(Q178="""", R178=""""),
  """",
  IF(OR(ISBLANK(Q178), ISBLANK(O178)),
    """",
    IF(VALUE(SUBSTITUTE(INDEX(SPLIT(IF(ISBLANK(R178), Q178, R178), "",""), 0, 1), "" Km"", """")) - O178 = 0,
      """",
      VALUE(SUBSTITUTE(INDEX(SPLIT(IF(ISBLANK("&amp;"R178), Q178, R178), "",""), 0, 1), "" Km"", """")) - O178
    )
  )
)"),13400.0)</f>
        <v>13400</v>
      </c>
      <c r="Q178" s="23" t="str">
        <f t="shared" si="4"/>
        <v>13 400 Km, 02.07.2023</v>
      </c>
      <c r="R178" s="20"/>
      <c r="S178" s="41">
        <v>10000.0</v>
      </c>
      <c r="T178" s="50">
        <v>0.0</v>
      </c>
      <c r="U178" s="42" t="s">
        <v>109</v>
      </c>
      <c r="V178" s="13" t="s">
        <v>110</v>
      </c>
      <c r="W178" s="24" t="str">
        <f t="shared" si="5"/>
        <v>Завершена</v>
      </c>
      <c r="X178" s="13" t="str">
        <f>IFERROR(__xludf.DUMMYFUNCTION("IF(C178 = """", """", IF(REGEXMATCH(C178, ""PCX|NMAX|ADV|CLICK""), ""скутер"", ""мото""))"),"мото")</f>
        <v>мото</v>
      </c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</row>
    <row r="179" hidden="1">
      <c r="A179" s="25" t="s">
        <v>24</v>
      </c>
      <c r="B179" s="25" t="s">
        <v>25</v>
      </c>
      <c r="C179" s="27" t="s">
        <v>159</v>
      </c>
      <c r="D179" s="27" t="s">
        <v>445</v>
      </c>
      <c r="E179" s="43">
        <v>45118.0</v>
      </c>
      <c r="F179" s="39">
        <v>45241.791666666664</v>
      </c>
      <c r="G179" s="30" t="str">
        <f t="shared" si="1"/>
        <v>4 М</v>
      </c>
      <c r="H179" s="31">
        <f t="shared" ref="H179:H190" si="10">IF(L179&lt;&gt;"", VALUE(L179)/30, IF(M179&lt;&gt;"", VALUE(M179)/1, ""))
</f>
        <v>166.6666667</v>
      </c>
      <c r="I179" s="32" t="str">
        <f t="shared" si="2"/>
        <v/>
      </c>
      <c r="J179" s="33" t="str">
        <f t="shared" si="3"/>
        <v/>
      </c>
      <c r="K179" s="36">
        <f>5000+5000+5000+5000</f>
        <v>20000</v>
      </c>
      <c r="L179" s="36">
        <v>5000.0</v>
      </c>
      <c r="M179" s="33"/>
      <c r="N179" s="44">
        <v>16500.0</v>
      </c>
      <c r="O179" s="35" t="str">
        <f>IFERROR(__xludf.DUMMYFUNCTION("IFERROR(
  VLOOKUP(C179,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C179
    ), 
    7, FALSE
  ), 
  """"
)
"),"")</f>
        <v/>
      </c>
      <c r="P179" s="35">
        <f>IFERROR(__xludf.DUMMYFUNCTION("IF(AND(Q179="""", R179=""""),
  """",
  IF(OR(ISBLANK(Q179), ISBLANK(O179)),
    """",
    IF(VALUE(SUBSTITUTE(INDEX(SPLIT(IF(ISBLANK(R179), Q179, R179), "",""), 0, 1), "" Km"", """")) - O179 = 0,
      """",
      VALUE(SUBSTITUTE(INDEX(SPLIT(IF(ISBLANK("&amp;"R179), Q179, R179), "",""), 0, 1), "" Km"", """")) - O179
    )
  )
)"),19861.0)</f>
        <v>19861</v>
      </c>
      <c r="Q179" s="36" t="str">
        <f t="shared" si="4"/>
        <v>19861 Km, 18.10.2023</v>
      </c>
      <c r="R179" s="58" t="s">
        <v>446</v>
      </c>
      <c r="S179" s="40">
        <v>3000.0</v>
      </c>
      <c r="T179" s="25">
        <v>2.0</v>
      </c>
      <c r="U179" s="25" t="s">
        <v>447</v>
      </c>
      <c r="V179" s="25" t="s">
        <v>448</v>
      </c>
      <c r="W179" s="37" t="str">
        <f t="shared" si="5"/>
        <v>Завершена</v>
      </c>
      <c r="X179" s="25" t="str">
        <f>IFERROR(__xludf.DUMMYFUNCTION("IF(C179 = """", """", IF(REGEXMATCH(C179, ""PCX|NMAX|ADV|CLICK""), ""скутер"", ""мото""))"),"скутер")</f>
        <v>скутер</v>
      </c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</row>
    <row r="180" hidden="1">
      <c r="A180" s="13" t="s">
        <v>24</v>
      </c>
      <c r="B180" s="13" t="s">
        <v>25</v>
      </c>
      <c r="C180" s="14" t="s">
        <v>102</v>
      </c>
      <c r="D180" s="14" t="s">
        <v>449</v>
      </c>
      <c r="E180" s="48">
        <v>45121.0</v>
      </c>
      <c r="F180" s="38">
        <v>45124.0</v>
      </c>
      <c r="G180" s="17" t="str">
        <f t="shared" si="1"/>
        <v>3 Д</v>
      </c>
      <c r="H180" s="18">
        <f t="shared" si="10"/>
        <v>1333</v>
      </c>
      <c r="I180" s="19" t="str">
        <f t="shared" si="2"/>
        <v/>
      </c>
      <c r="J180" s="20" t="str">
        <f t="shared" si="3"/>
        <v/>
      </c>
      <c r="K180" s="23">
        <v>4000.0</v>
      </c>
      <c r="L180" s="20"/>
      <c r="M180" s="23">
        <v>1333.0</v>
      </c>
      <c r="N180" s="49">
        <v>33000.0</v>
      </c>
      <c r="O180" s="22">
        <f>IFERROR(__xludf.DUMMYFUNCTION("IFERROR(
  VLOOKUP(C180,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C180
    ), 
    7, FALSE
  ), 
  """"
)
"),63700.0)</f>
        <v>63700</v>
      </c>
      <c r="P180" s="22">
        <f>IFERROR(__xludf.DUMMYFUNCTION("IF(AND(Q180="""", R180=""""),
  """",
  IF(OR(ISBLANK(Q180), ISBLANK(O180)),
    """",
    IF(VALUE(SUBSTITUTE(INDEX(SPLIT(IF(ISBLANK(R180), Q180, R180), "",""), 0, 1), "" Km"", """")) - O180 = 0,
      """",
      VALUE(SUBSTITUTE(INDEX(SPLIT(IF(ISBLANK("&amp;"R180), Q180, R180), "",""), 0, 1), "" Km"", """")) - O180
    )
  )
)"),-30700.0)</f>
        <v>-30700</v>
      </c>
      <c r="Q180" s="23" t="str">
        <f t="shared" si="4"/>
        <v>33 000 Km, 14.07.2023</v>
      </c>
      <c r="R180" s="20"/>
      <c r="S180" s="41" t="s">
        <v>450</v>
      </c>
      <c r="T180" s="13">
        <v>0.0</v>
      </c>
      <c r="U180" s="13" t="s">
        <v>451</v>
      </c>
      <c r="V180" s="13" t="s">
        <v>452</v>
      </c>
      <c r="W180" s="24" t="str">
        <f t="shared" si="5"/>
        <v>Завершена</v>
      </c>
      <c r="X180" s="13" t="str">
        <f>IFERROR(__xludf.DUMMYFUNCTION("IF(C180 = """", """", IF(REGEXMATCH(C180, ""PCX|NMAX|ADV|CLICK""), ""скутер"", ""мото""))"),"мото")</f>
        <v>мото</v>
      </c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</row>
    <row r="181" hidden="1">
      <c r="A181" s="25" t="s">
        <v>24</v>
      </c>
      <c r="B181" s="25" t="s">
        <v>25</v>
      </c>
      <c r="C181" s="27" t="s">
        <v>193</v>
      </c>
      <c r="D181" s="27" t="s">
        <v>453</v>
      </c>
      <c r="E181" s="43">
        <v>45123.0</v>
      </c>
      <c r="F181" s="39">
        <v>45130.0</v>
      </c>
      <c r="G181" s="30" t="str">
        <f t="shared" si="1"/>
        <v>7 Д</v>
      </c>
      <c r="H181" s="31">
        <f t="shared" si="10"/>
        <v>450</v>
      </c>
      <c r="I181" s="32" t="str">
        <f t="shared" si="2"/>
        <v/>
      </c>
      <c r="J181" s="33" t="str">
        <f t="shared" si="3"/>
        <v/>
      </c>
      <c r="K181" s="36">
        <v>3150.0</v>
      </c>
      <c r="L181" s="33"/>
      <c r="M181" s="36">
        <v>450.0</v>
      </c>
      <c r="N181" s="44">
        <v>10000.0</v>
      </c>
      <c r="O181" s="35" t="str">
        <f>IFERROR(__xludf.DUMMYFUNCTION("IFERROR(
  VLOOKUP(C181,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C181
    ), 
    7, FALSE
  ), 
  """"
)
"),"")</f>
        <v/>
      </c>
      <c r="P181" s="35">
        <f>IFERROR(__xludf.DUMMYFUNCTION("IF(AND(Q181="""", R181=""""),
  """",
  IF(OR(ISBLANK(Q181), ISBLANK(O181)),
    """",
    IF(VALUE(SUBSTITUTE(INDEX(SPLIT(IF(ISBLANK(R181), Q181, R181), "",""), 0, 1), "" Km"", """")) - O181 = 0,
      """",
      VALUE(SUBSTITUTE(INDEX(SPLIT(IF(ISBLANK("&amp;"R181), Q181, R181), "",""), 0, 1), "" Km"", """")) - O181
    )
  )
)"),10000.0)</f>
        <v>10000</v>
      </c>
      <c r="Q181" s="36" t="str">
        <f t="shared" si="4"/>
        <v>10 000 Km, 16.07.2023</v>
      </c>
      <c r="R181" s="33"/>
      <c r="S181" s="40">
        <v>8000.0</v>
      </c>
      <c r="T181" s="25">
        <v>2.0</v>
      </c>
      <c r="U181" s="37">
        <f>79299707070</f>
        <v>79299707070</v>
      </c>
      <c r="V181" s="25" t="s">
        <v>454</v>
      </c>
      <c r="W181" s="37" t="str">
        <f t="shared" si="5"/>
        <v>Завершена</v>
      </c>
      <c r="X181" s="25" t="str">
        <f>IFERROR(__xludf.DUMMYFUNCTION("IF(C181 = """", """", IF(REGEXMATCH(C181, ""PCX|NMAX|ADV|CLICK""), ""скутер"", ""мото""))"),"мото")</f>
        <v>мото</v>
      </c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</row>
    <row r="182" hidden="1">
      <c r="A182" s="13" t="s">
        <v>24</v>
      </c>
      <c r="B182" s="13" t="s">
        <v>25</v>
      </c>
      <c r="C182" s="14" t="s">
        <v>286</v>
      </c>
      <c r="D182" s="14" t="s">
        <v>455</v>
      </c>
      <c r="E182" s="48">
        <v>45123.0</v>
      </c>
      <c r="F182" s="38">
        <v>45154.583333333336</v>
      </c>
      <c r="G182" s="17" t="str">
        <f t="shared" si="1"/>
        <v>1 М</v>
      </c>
      <c r="H182" s="18">
        <f t="shared" si="10"/>
        <v>250</v>
      </c>
      <c r="I182" s="19" t="str">
        <f t="shared" si="2"/>
        <v/>
      </c>
      <c r="J182" s="20" t="str">
        <f t="shared" si="3"/>
        <v/>
      </c>
      <c r="K182" s="23">
        <v>7500.0</v>
      </c>
      <c r="L182" s="23">
        <v>7500.0</v>
      </c>
      <c r="M182" s="20"/>
      <c r="N182" s="49">
        <v>8300.0</v>
      </c>
      <c r="O182" s="22" t="str">
        <f>IFERROR(__xludf.DUMMYFUNCTION("IFERROR(
  VLOOKUP(C182,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C182
    ), 
    7, FALSE
  ), 
  """"
)
"),"")</f>
        <v/>
      </c>
      <c r="P182" s="22">
        <f>IFERROR(__xludf.DUMMYFUNCTION("IF(AND(Q182="""", R182=""""),
  """",
  IF(OR(ISBLANK(Q182), ISBLANK(O182)),
    """",
    IF(VALUE(SUBSTITUTE(INDEX(SPLIT(IF(ISBLANK(R182), Q182, R182), "",""), 0, 1), "" Km"", """")) - O182 = 0,
      """",
      VALUE(SUBSTITUTE(INDEX(SPLIT(IF(ISBLANK("&amp;"R182), Q182, R182), "",""), 0, 1), "" Km"", """")) - O182
    )
  )
)"),8300.0)</f>
        <v>8300</v>
      </c>
      <c r="Q182" s="23" t="str">
        <f t="shared" si="4"/>
        <v>8 300 Km, 16.07.2023</v>
      </c>
      <c r="R182" s="20"/>
      <c r="S182" s="41" t="s">
        <v>456</v>
      </c>
      <c r="T182" s="13">
        <v>1.0</v>
      </c>
      <c r="U182" s="24"/>
      <c r="V182" s="13" t="s">
        <v>457</v>
      </c>
      <c r="W182" s="24" t="str">
        <f t="shared" si="5"/>
        <v>Завершена</v>
      </c>
      <c r="X182" s="13" t="str">
        <f>IFERROR(__xludf.DUMMYFUNCTION("IF(C182 = """", """", IF(REGEXMATCH(C182, ""PCX|NMAX|ADV|CLICK""), ""скутер"", ""мото""))"),"мото")</f>
        <v>мото</v>
      </c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</row>
    <row r="183" hidden="1">
      <c r="A183" s="25" t="s">
        <v>24</v>
      </c>
      <c r="B183" s="25" t="s">
        <v>25</v>
      </c>
      <c r="C183" s="27" t="s">
        <v>423</v>
      </c>
      <c r="D183" s="27" t="s">
        <v>458</v>
      </c>
      <c r="E183" s="43">
        <v>45123.0</v>
      </c>
      <c r="F183" s="39">
        <v>45154.958333333336</v>
      </c>
      <c r="G183" s="30" t="str">
        <f t="shared" si="1"/>
        <v>1 М</v>
      </c>
      <c r="H183" s="31">
        <f t="shared" si="10"/>
        <v>333.3333333</v>
      </c>
      <c r="I183" s="32" t="str">
        <f t="shared" si="2"/>
        <v/>
      </c>
      <c r="J183" s="33" t="str">
        <f t="shared" si="3"/>
        <v/>
      </c>
      <c r="K183" s="36">
        <v>10500.0</v>
      </c>
      <c r="L183" s="36">
        <v>10000.0</v>
      </c>
      <c r="M183" s="33"/>
      <c r="N183" s="44">
        <v>8300.0</v>
      </c>
      <c r="O183" s="35" t="str">
        <f>IFERROR(__xludf.DUMMYFUNCTION("IFERROR(
  VLOOKUP(C183,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C183
    ), 
    7, FALSE
  ), 
  """"
)
"),"")</f>
        <v/>
      </c>
      <c r="P183" s="35">
        <f>IFERROR(__xludf.DUMMYFUNCTION("IF(AND(Q183="""", R183=""""),
  """",
  IF(OR(ISBLANK(Q183), ISBLANK(O183)),
    """",
    IF(VALUE(SUBSTITUTE(INDEX(SPLIT(IF(ISBLANK(R183), Q183, R183), "",""), 0, 1), "" Km"", """")) - O183 = 0,
      """",
      VALUE(SUBSTITUTE(INDEX(SPLIT(IF(ISBLANK("&amp;"R183), Q183, R183), "",""), 0, 1), "" Km"", """")) - O183
    )
  )
)"),8300.0)</f>
        <v>8300</v>
      </c>
      <c r="Q183" s="36" t="str">
        <f t="shared" si="4"/>
        <v>8 300 Km, 16.07.2023</v>
      </c>
      <c r="R183" s="33"/>
      <c r="S183" s="40">
        <v>10000.0</v>
      </c>
      <c r="T183" s="25">
        <v>0.0</v>
      </c>
      <c r="U183" s="25" t="s">
        <v>459</v>
      </c>
      <c r="V183" s="25" t="s">
        <v>460</v>
      </c>
      <c r="W183" s="37" t="str">
        <f t="shared" si="5"/>
        <v>Завершена</v>
      </c>
      <c r="X183" s="25" t="str">
        <f>IFERROR(__xludf.DUMMYFUNCTION("IF(C183 = """", """", IF(REGEXMATCH(C183, ""PCX|NMAX|ADV|CLICK""), ""скутер"", ""мото""))"),"мото")</f>
        <v>мото</v>
      </c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</row>
    <row r="184" hidden="1">
      <c r="A184" s="13" t="s">
        <v>24</v>
      </c>
      <c r="B184" s="13" t="s">
        <v>25</v>
      </c>
      <c r="C184" s="14" t="s">
        <v>102</v>
      </c>
      <c r="D184" s="14" t="s">
        <v>449</v>
      </c>
      <c r="E184" s="48">
        <v>45124.0</v>
      </c>
      <c r="F184" s="38">
        <v>45127.0</v>
      </c>
      <c r="G184" s="17" t="str">
        <f t="shared" si="1"/>
        <v>3 Д</v>
      </c>
      <c r="H184" s="18">
        <f t="shared" si="10"/>
        <v>1100</v>
      </c>
      <c r="I184" s="19" t="str">
        <f t="shared" si="2"/>
        <v/>
      </c>
      <c r="J184" s="20" t="str">
        <f t="shared" si="3"/>
        <v/>
      </c>
      <c r="K184" s="23">
        <v>6600.0</v>
      </c>
      <c r="L184" s="20"/>
      <c r="M184" s="23">
        <v>1100.0</v>
      </c>
      <c r="N184" s="49">
        <v>33000.0</v>
      </c>
      <c r="O184" s="22">
        <f>IFERROR(__xludf.DUMMYFUNCTION("IFERROR(
  VLOOKUP(C184,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C184
    ), 
    7, FALSE
  ), 
  """"
)
"),63700.0)</f>
        <v>63700</v>
      </c>
      <c r="P184" s="22">
        <f>IFERROR(__xludf.DUMMYFUNCTION("IF(AND(Q184="""", R184=""""),
  """",
  IF(OR(ISBLANK(Q184), ISBLANK(O184)),
    """",
    IF(VALUE(SUBSTITUTE(INDEX(SPLIT(IF(ISBLANK(R184), Q184, R184), "",""), 0, 1), "" Km"", """")) - O184 = 0,
      """",
      VALUE(SUBSTITUTE(INDEX(SPLIT(IF(ISBLANK("&amp;"R184), Q184, R184), "",""), 0, 1), "" Km"", """")) - O184
    )
  )
)"),-30700.0)</f>
        <v>-30700</v>
      </c>
      <c r="Q184" s="23" t="str">
        <f t="shared" si="4"/>
        <v>33 000 Km, 17.07.2023</v>
      </c>
      <c r="R184" s="20"/>
      <c r="S184" s="41" t="s">
        <v>450</v>
      </c>
      <c r="T184" s="13">
        <v>0.0</v>
      </c>
      <c r="U184" s="13" t="s">
        <v>451</v>
      </c>
      <c r="V184" s="13" t="s">
        <v>452</v>
      </c>
      <c r="W184" s="24" t="str">
        <f t="shared" si="5"/>
        <v>Завершена</v>
      </c>
      <c r="X184" s="13" t="str">
        <f>IFERROR(__xludf.DUMMYFUNCTION("IF(C184 = """", """", IF(REGEXMATCH(C184, ""PCX|NMAX|ADV|CLICK""), ""скутер"", ""мото""))"),"мото")</f>
        <v>мото</v>
      </c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</row>
    <row r="185" hidden="1">
      <c r="A185" s="25" t="s">
        <v>24</v>
      </c>
      <c r="B185" s="25" t="s">
        <v>25</v>
      </c>
      <c r="C185" s="27" t="s">
        <v>461</v>
      </c>
      <c r="D185" s="27" t="s">
        <v>462</v>
      </c>
      <c r="E185" s="43">
        <v>45140.0</v>
      </c>
      <c r="F185" s="39">
        <v>45171.708333333336</v>
      </c>
      <c r="G185" s="30" t="str">
        <f t="shared" si="1"/>
        <v>1 М</v>
      </c>
      <c r="H185" s="31">
        <f t="shared" si="10"/>
        <v>300</v>
      </c>
      <c r="I185" s="32" t="str">
        <f t="shared" si="2"/>
        <v/>
      </c>
      <c r="J185" s="33" t="str">
        <f t="shared" si="3"/>
        <v/>
      </c>
      <c r="K185" s="36">
        <f>9000-2700</f>
        <v>6300</v>
      </c>
      <c r="L185" s="36">
        <v>9000.0</v>
      </c>
      <c r="M185" s="33"/>
      <c r="N185" s="44">
        <v>22000.0</v>
      </c>
      <c r="O185" s="35">
        <f>IFERROR(__xludf.DUMMYFUNCTION("IFERROR(
  VLOOKUP(C185,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C185
    ), 
    7, FALSE
  ), 
  """"
)
"),30500.0)</f>
        <v>30500</v>
      </c>
      <c r="P185" s="35">
        <f>IFERROR(__xludf.DUMMYFUNCTION("IF(AND(Q185="""", R185=""""),
  """",
  IF(OR(ISBLANK(Q185), ISBLANK(O185)),
    """",
    IF(VALUE(SUBSTITUTE(INDEX(SPLIT(IF(ISBLANK(R185), Q185, R185), "",""), 0, 1), "" Km"", """")) - O185 = 0,
      """",
      VALUE(SUBSTITUTE(INDEX(SPLIT(IF(ISBLANK("&amp;"R185), Q185, R185), "",""), 0, 1), "" Km"", """")) - O185
    )
  )
)"),-8500.0)</f>
        <v>-8500</v>
      </c>
      <c r="Q185" s="36" t="str">
        <f t="shared" si="4"/>
        <v>22 000 Km, 02.08.2023</v>
      </c>
      <c r="R185" s="36"/>
      <c r="S185" s="40">
        <v>10000.0</v>
      </c>
      <c r="T185" s="25">
        <v>2.0</v>
      </c>
      <c r="U185" s="25" t="s">
        <v>463</v>
      </c>
      <c r="V185" s="25" t="s">
        <v>110</v>
      </c>
      <c r="W185" s="37" t="str">
        <f t="shared" si="5"/>
        <v>Завершена</v>
      </c>
      <c r="X185" s="25" t="str">
        <f>IFERROR(__xludf.DUMMYFUNCTION("IF(C185 = """", """", IF(REGEXMATCH(C185, ""PCX|NMAX|ADV|CLICK""), ""скутер"", ""мото""))"),"мото")</f>
        <v>мото</v>
      </c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</row>
    <row r="186" hidden="1">
      <c r="A186" s="13" t="s">
        <v>24</v>
      </c>
      <c r="B186" s="13" t="s">
        <v>25</v>
      </c>
      <c r="C186" s="14" t="s">
        <v>427</v>
      </c>
      <c r="D186" s="14" t="s">
        <v>464</v>
      </c>
      <c r="E186" s="48">
        <v>45141.0</v>
      </c>
      <c r="F186" s="38">
        <v>45172.541666666664</v>
      </c>
      <c r="G186" s="17" t="str">
        <f t="shared" si="1"/>
        <v>1 М</v>
      </c>
      <c r="H186" s="18">
        <f t="shared" si="10"/>
        <v>333.3333333</v>
      </c>
      <c r="I186" s="19" t="str">
        <f t="shared" si="2"/>
        <v/>
      </c>
      <c r="J186" s="20" t="str">
        <f t="shared" si="3"/>
        <v/>
      </c>
      <c r="K186" s="23">
        <v>10000.0</v>
      </c>
      <c r="L186" s="23">
        <v>10000.0</v>
      </c>
      <c r="M186" s="23"/>
      <c r="N186" s="49">
        <v>14300.0</v>
      </c>
      <c r="O186" s="22" t="str">
        <f>IFERROR(__xludf.DUMMYFUNCTION("IFERROR(
  VLOOKUP(C186,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C186
    ), 
    7, FALSE
  ), 
  """"
)
"),"")</f>
        <v/>
      </c>
      <c r="P186" s="22">
        <f>IFERROR(__xludf.DUMMYFUNCTION("IF(AND(Q186="""", R186=""""),
  """",
  IF(OR(ISBLANK(Q186), ISBLANK(O186)),
    """",
    IF(VALUE(SUBSTITUTE(INDEX(SPLIT(IF(ISBLANK(R186), Q186, R186), "",""), 0, 1), "" Km"", """")) - O186 = 0,
      """",
      VALUE(SUBSTITUTE(INDEX(SPLIT(IF(ISBLANK("&amp;"R186), Q186, R186), "",""), 0, 1), "" Km"", """")) - O186
    )
  )
)"),14510.0)</f>
        <v>14510</v>
      </c>
      <c r="Q186" s="23" t="str">
        <f t="shared" si="4"/>
        <v>14510 Km, 19.08.2023</v>
      </c>
      <c r="R186" s="23" t="s">
        <v>465</v>
      </c>
      <c r="S186" s="41">
        <v>10000.0</v>
      </c>
      <c r="T186" s="13">
        <v>2.0</v>
      </c>
      <c r="U186" s="13" t="s">
        <v>466</v>
      </c>
      <c r="V186" s="13" t="s">
        <v>467</v>
      </c>
      <c r="W186" s="24" t="str">
        <f t="shared" si="5"/>
        <v>Завершена</v>
      </c>
      <c r="X186" s="13" t="str">
        <f>IFERROR(__xludf.DUMMYFUNCTION("IF(C186 = """", """", IF(REGEXMATCH(C186, ""PCX|NMAX|ADV|CLICK""), ""скутер"", ""мото""))"),"мото")</f>
        <v>мото</v>
      </c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</row>
    <row r="187" hidden="1">
      <c r="A187" s="25" t="s">
        <v>24</v>
      </c>
      <c r="B187" s="25" t="s">
        <v>25</v>
      </c>
      <c r="C187" s="27" t="s">
        <v>468</v>
      </c>
      <c r="D187" s="27" t="s">
        <v>469</v>
      </c>
      <c r="E187" s="43">
        <v>45145.0</v>
      </c>
      <c r="F187" s="39">
        <v>45176.833333333336</v>
      </c>
      <c r="G187" s="30" t="str">
        <f t="shared" si="1"/>
        <v>1 М</v>
      </c>
      <c r="H187" s="31">
        <f t="shared" si="10"/>
        <v>366.6666667</v>
      </c>
      <c r="I187" s="32" t="str">
        <f t="shared" si="2"/>
        <v/>
      </c>
      <c r="J187" s="33" t="str">
        <f t="shared" si="3"/>
        <v/>
      </c>
      <c r="K187" s="36">
        <v>11000.0</v>
      </c>
      <c r="L187" s="36">
        <v>11000.0</v>
      </c>
      <c r="M187" s="33"/>
      <c r="N187" s="44">
        <v>9600.0</v>
      </c>
      <c r="O187" s="35">
        <f>IFERROR(__xludf.DUMMYFUNCTION("IFERROR(
  VLOOKUP(C187,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C187
    ), 
    7, FALSE
  ), 
  """"
)
"),22200.0)</f>
        <v>22200</v>
      </c>
      <c r="P187" s="35">
        <f>IFERROR(__xludf.DUMMYFUNCTION("IF(AND(Q187="""", R187=""""),
  """",
  IF(OR(ISBLANK(Q187), ISBLANK(O187)),
    """",
    IF(VALUE(SUBSTITUTE(INDEX(SPLIT(IF(ISBLANK(R187), Q187, R187), "",""), 0, 1), "" Km"", """")) - O187 = 0,
      """",
      VALUE(SUBSTITUTE(INDEX(SPLIT(IF(ISBLANK("&amp;"R187), Q187, R187), "",""), 0, 1), "" Km"", """")) - O187
    )
  )
)"),-12600.0)</f>
        <v>-12600</v>
      </c>
      <c r="Q187" s="36" t="str">
        <f t="shared" si="4"/>
        <v>9 600 Km, 07.08.2023</v>
      </c>
      <c r="R187" s="33"/>
      <c r="S187" s="40">
        <v>10000.0</v>
      </c>
      <c r="T187" s="25">
        <v>2.0</v>
      </c>
      <c r="U187" s="25" t="s">
        <v>470</v>
      </c>
      <c r="V187" s="25" t="s">
        <v>471</v>
      </c>
      <c r="W187" s="37" t="str">
        <f t="shared" si="5"/>
        <v>Завершена</v>
      </c>
      <c r="X187" s="25" t="str">
        <f>IFERROR(__xludf.DUMMYFUNCTION("IF(C187 = """", """", IF(REGEXMATCH(C187, ""PCX|NMAX|ADV|CLICK""), ""скутер"", ""мото""))"),"мото")</f>
        <v>мото</v>
      </c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</row>
    <row r="188" hidden="1">
      <c r="A188" s="13" t="s">
        <v>24</v>
      </c>
      <c r="B188" s="13" t="s">
        <v>25</v>
      </c>
      <c r="C188" s="14" t="s">
        <v>472</v>
      </c>
      <c r="D188" s="14" t="s">
        <v>473</v>
      </c>
      <c r="E188" s="48">
        <v>45150.0</v>
      </c>
      <c r="F188" s="38">
        <v>45153.833333333336</v>
      </c>
      <c r="G188" s="17" t="str">
        <f>IF((E188="")+(F188=""), "", IF(DATEDIF(DATEVALUE(E188), DATEVALUE(LEFT(F188, SEARCH(" ", F188)-1)), "d") &gt; 30, DATEDIF(DATEVALUE(E188), DATEVALUE(LEFT(F188, SEARCH(" ", F188)-1)), "m") &amp; " М", DATEDIF(DATEVALUE(E188), DATEVALUE(LEFT(F188, SEARCH(" ", F188)-1)), "d") &amp; " Д"))</f>
        <v>3 Д</v>
      </c>
      <c r="H188" s="18">
        <f t="shared" si="10"/>
        <v>700</v>
      </c>
      <c r="I188" s="19" t="str">
        <f t="shared" si="2"/>
        <v/>
      </c>
      <c r="J188" s="20" t="str">
        <f t="shared" si="3"/>
        <v/>
      </c>
      <c r="K188" s="23">
        <v>2100.0</v>
      </c>
      <c r="L188" s="20"/>
      <c r="M188" s="23">
        <v>700.0</v>
      </c>
      <c r="N188" s="49">
        <v>14751.0</v>
      </c>
      <c r="O188" s="22" t="str">
        <f>IFERROR(__xludf.DUMMYFUNCTION("IFERROR(
  VLOOKUP(C188,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C188
    ), 
    7, FALSE
  ), 
  """"
)
"),"")</f>
        <v/>
      </c>
      <c r="P188" s="22">
        <f>IFERROR(__xludf.DUMMYFUNCTION("IF(AND(Q188="""", R188=""""),
  """",
  IF(OR(ISBLANK(Q188), ISBLANK(O188)),
    """",
    IF(VALUE(SUBSTITUTE(INDEX(SPLIT(IF(ISBLANK(R188), Q188, R188), "",""), 0, 1), "" Km"", """")) - O188 = 0,
      """",
      VALUE(SUBSTITUTE(INDEX(SPLIT(IF(ISBLANK("&amp;"R188), Q188, R188), "",""), 0, 1), "" Km"", """")) - O188
    )
  )
)"),14751.0)</f>
        <v>14751</v>
      </c>
      <c r="Q188" s="23" t="str">
        <f t="shared" si="4"/>
        <v>14 751 Km, 12.08.2023</v>
      </c>
      <c r="R188" s="20"/>
      <c r="S188" s="41" t="s">
        <v>474</v>
      </c>
      <c r="T188" s="13">
        <v>0.0</v>
      </c>
      <c r="U188" s="13" t="s">
        <v>475</v>
      </c>
      <c r="V188" s="13" t="s">
        <v>476</v>
      </c>
      <c r="W188" s="24" t="str">
        <f t="shared" si="5"/>
        <v>Завершена</v>
      </c>
      <c r="X188" s="13" t="str">
        <f>IFERROR(__xludf.DUMMYFUNCTION("IF(C188 = """", """", IF(REGEXMATCH(C188, ""PCX|NMAX|ADV|CLICK""), ""скутер"", ""мото""))"),"мото")</f>
        <v>мото</v>
      </c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</row>
    <row r="189" hidden="1">
      <c r="A189" s="25" t="s">
        <v>24</v>
      </c>
      <c r="B189" s="25" t="s">
        <v>25</v>
      </c>
      <c r="C189" s="27" t="s">
        <v>173</v>
      </c>
      <c r="D189" s="27" t="s">
        <v>477</v>
      </c>
      <c r="E189" s="43">
        <v>45151.0</v>
      </c>
      <c r="F189" s="39">
        <v>45171.708333333336</v>
      </c>
      <c r="G189" s="30" t="str">
        <f>IF((E189="")+(F189=""), "", IF(DATEDIF(E189, F189, "d") &gt; 30, DATEDIF(E189, F189, "m") &amp; " М", DATEDIF(E189, F189, "d") &amp; " Д"))
</f>
        <v>20 Д</v>
      </c>
      <c r="H189" s="31">
        <f t="shared" si="10"/>
        <v>428</v>
      </c>
      <c r="I189" s="32" t="str">
        <f t="shared" si="2"/>
        <v/>
      </c>
      <c r="J189" s="33" t="str">
        <f t="shared" si="3"/>
        <v/>
      </c>
      <c r="K189" s="36">
        <f>6000+3000-868</f>
        <v>8132</v>
      </c>
      <c r="L189" s="33"/>
      <c r="M189" s="36">
        <v>428.0</v>
      </c>
      <c r="N189" s="44">
        <v>11140.0</v>
      </c>
      <c r="O189" s="35">
        <f>IFERROR(__xludf.DUMMYFUNCTION("IFERROR(
  VLOOKUP(C189,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C189
    ), 
    7, FALSE
  ), 
  """"
)
"),27000.0)</f>
        <v>27000</v>
      </c>
      <c r="P189" s="35">
        <f>IFERROR(__xludf.DUMMYFUNCTION("IF(AND(Q189="""", R189=""""),
  """",
  IF(OR(ISBLANK(Q189), ISBLANK(O189)),
    """",
    IF(VALUE(SUBSTITUTE(INDEX(SPLIT(IF(ISBLANK(R189), Q189, R189), "",""), 0, 1), "" Km"", """")) - O189 = 0,
      """",
      VALUE(SUBSTITUTE(INDEX(SPLIT(IF(ISBLANK("&amp;"R189), Q189, R189), "",""), 0, 1), "" Km"", """")) - O189
    )
  )
)"),-15860.0)</f>
        <v>-15860</v>
      </c>
      <c r="Q189" s="36" t="str">
        <f t="shared" si="4"/>
        <v>11 140 Km, 13.08.2023</v>
      </c>
      <c r="R189" s="33"/>
      <c r="S189" s="40">
        <v>5000.0</v>
      </c>
      <c r="T189" s="25">
        <v>1.0</v>
      </c>
      <c r="U189" s="25" t="s">
        <v>478</v>
      </c>
      <c r="V189" s="25" t="s">
        <v>479</v>
      </c>
      <c r="W189" s="37" t="str">
        <f t="shared" si="5"/>
        <v>Завершена</v>
      </c>
      <c r="X189" s="25" t="str">
        <f>IFERROR(__xludf.DUMMYFUNCTION("IF(C189 = """", """", IF(REGEXMATCH(C189, ""PCX|NMAX|ADV|CLICK""), ""скутер"", ""мото""))"),"мото")</f>
        <v>мото</v>
      </c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</row>
    <row r="190" hidden="1">
      <c r="A190" s="13" t="s">
        <v>24</v>
      </c>
      <c r="B190" s="13" t="s">
        <v>25</v>
      </c>
      <c r="C190" s="14" t="s">
        <v>102</v>
      </c>
      <c r="D190" s="14" t="s">
        <v>480</v>
      </c>
      <c r="E190" s="48">
        <v>45154.0</v>
      </c>
      <c r="F190" s="38">
        <v>45155.416666666664</v>
      </c>
      <c r="G190" s="17" t="str">
        <f>IF((E190="")+(F190=""), "", IF(DATEDIF(DATEVALUE(E190), DATEVALUE(LEFT(F190, SEARCH(" ", F190)-1)), "d") &gt; 30, DATEDIF(DATEVALUE(E190), DATEVALUE(LEFT(F190, SEARCH(" ", F190)-1)), "m") &amp; " М", DATEDIF(DATEVALUE(E190), DATEVALUE(LEFT(F190, SEARCH(" ", F190)-1)), "d") &amp; " Д"))</f>
        <v>1 Д</v>
      </c>
      <c r="H190" s="18">
        <f t="shared" si="10"/>
        <v>1000</v>
      </c>
      <c r="I190" s="19" t="str">
        <f t="shared" si="2"/>
        <v/>
      </c>
      <c r="J190" s="20" t="str">
        <f t="shared" si="3"/>
        <v/>
      </c>
      <c r="K190" s="23">
        <v>1000.0</v>
      </c>
      <c r="L190" s="20"/>
      <c r="M190" s="23">
        <v>1000.0</v>
      </c>
      <c r="N190" s="49">
        <v>34405.0</v>
      </c>
      <c r="O190" s="22">
        <f>IFERROR(__xludf.DUMMYFUNCTION("IFERROR(
  VLOOKUP(C190,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C190
    ), 
    7, FALSE
  ), 
  """"
)
"),63700.0)</f>
        <v>63700</v>
      </c>
      <c r="P190" s="22">
        <f>IFERROR(__xludf.DUMMYFUNCTION("IF(AND(Q190="""", R190=""""),
  """",
  IF(OR(ISBLANK(Q190), ISBLANK(O190)),
    """",
    IF(VALUE(SUBSTITUTE(INDEX(SPLIT(IF(ISBLANK(R190), Q190, R190), "",""), 0, 1), "" Km"", """")) - O190 = 0,
      """",
      VALUE(SUBSTITUTE(INDEX(SPLIT(IF(ISBLANK("&amp;"R190), Q190, R190), "",""), 0, 1), "" Km"", """")) - O190
    )
  )
)"),-29295.0)</f>
        <v>-29295</v>
      </c>
      <c r="Q190" s="23" t="str">
        <f t="shared" si="4"/>
        <v>34 405 Km, 16.08.2023</v>
      </c>
      <c r="R190" s="20"/>
      <c r="S190" s="41" t="s">
        <v>481</v>
      </c>
      <c r="T190" s="13">
        <v>1.0</v>
      </c>
      <c r="U190" s="13">
        <v>6.6825262344E10</v>
      </c>
      <c r="V190" s="17" t="s">
        <v>320</v>
      </c>
      <c r="W190" s="24" t="str">
        <f t="shared" si="5"/>
        <v>Завершена</v>
      </c>
      <c r="X190" s="13" t="str">
        <f>IFERROR(__xludf.DUMMYFUNCTION("IF(C190 = """", """", IF(REGEXMATCH(C190, ""PCX|NMAX|ADV|CLICK""), ""скутер"", ""мото""))"),"мото")</f>
        <v>мото</v>
      </c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</row>
    <row r="191" hidden="1">
      <c r="A191" s="25" t="s">
        <v>24</v>
      </c>
      <c r="B191" s="25" t="s">
        <v>25</v>
      </c>
      <c r="C191" s="27" t="s">
        <v>125</v>
      </c>
      <c r="D191" s="27" t="s">
        <v>319</v>
      </c>
      <c r="E191" s="43">
        <v>45154.0</v>
      </c>
      <c r="F191" s="39">
        <v>45197.75</v>
      </c>
      <c r="G191" s="30" t="str">
        <f t="shared" ref="G191:G192" si="11">IF((E191="")+(F191=""), "", IF(DATEDIF(E191, F191, "d") &gt; 30, DATEDIF(E191, F191, "m") &amp; " М", DATEDIF(E191, F191, "d") &amp; " Д"))
</f>
        <v>1 М</v>
      </c>
      <c r="H191" s="31">
        <f t="shared" ref="H191:H192" si="12">5000/30</f>
        <v>166.6666667</v>
      </c>
      <c r="I191" s="32" t="str">
        <f t="shared" si="2"/>
        <v/>
      </c>
      <c r="J191" s="33" t="str">
        <f t="shared" si="3"/>
        <v/>
      </c>
      <c r="K191" s="36">
        <f>2490+3500+1400</f>
        <v>7390</v>
      </c>
      <c r="L191" s="33"/>
      <c r="M191" s="33"/>
      <c r="N191" s="44">
        <v>14900.0</v>
      </c>
      <c r="O191" s="35" t="str">
        <f>IFERROR(__xludf.DUMMYFUNCTION("IFERROR(
  VLOOKUP(C191,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C191
    ), 
    7, FALSE
  ), 
  """"
)
"),"")</f>
        <v/>
      </c>
      <c r="P191" s="35">
        <f>IFERROR(__xludf.DUMMYFUNCTION("IF(AND(Q191="""", R191=""""),
  """",
  IF(OR(ISBLANK(Q191), ISBLANK(O191)),
    """",
    IF(VALUE(SUBSTITUTE(INDEX(SPLIT(IF(ISBLANK(R191), Q191, R191), "",""), 0, 1), "" Km"", """")) - O191 = 0,
      """",
      VALUE(SUBSTITUTE(INDEX(SPLIT(IF(ISBLANK("&amp;"R191), Q191, R191), "",""), 0, 1), "" Km"", """")) - O191
    )
  )
)"),15900.0)</f>
        <v>15900</v>
      </c>
      <c r="Q191" s="36" t="str">
        <f t="shared" si="4"/>
        <v>15900 Km, 18.09.2023</v>
      </c>
      <c r="R191" s="36" t="s">
        <v>482</v>
      </c>
      <c r="S191" s="40">
        <v>0.0</v>
      </c>
      <c r="T191" s="32">
        <v>2.0</v>
      </c>
      <c r="U191" s="25">
        <v>6.6825262344E10</v>
      </c>
      <c r="V191" s="30" t="s">
        <v>320</v>
      </c>
      <c r="W191" s="37" t="str">
        <f t="shared" si="5"/>
        <v>Завершена</v>
      </c>
      <c r="X191" s="25" t="str">
        <f>IFERROR(__xludf.DUMMYFUNCTION("IF(C191 = """", """", IF(REGEXMATCH(C191, ""PCX|NMAX|ADV|CLICK""), ""скутер"", ""мото""))"),"скутер")</f>
        <v>скутер</v>
      </c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</row>
    <row r="192" hidden="1">
      <c r="A192" s="13" t="s">
        <v>24</v>
      </c>
      <c r="B192" s="13" t="s">
        <v>25</v>
      </c>
      <c r="C192" s="14" t="s">
        <v>483</v>
      </c>
      <c r="D192" s="14" t="s">
        <v>319</v>
      </c>
      <c r="E192" s="48">
        <v>45154.0</v>
      </c>
      <c r="F192" s="38">
        <v>45197.75</v>
      </c>
      <c r="G192" s="17" t="str">
        <f t="shared" si="11"/>
        <v>1 М</v>
      </c>
      <c r="H192" s="18">
        <f t="shared" si="12"/>
        <v>166.6666667</v>
      </c>
      <c r="I192" s="19" t="str">
        <f t="shared" si="2"/>
        <v/>
      </c>
      <c r="J192" s="20" t="str">
        <f t="shared" si="3"/>
        <v/>
      </c>
      <c r="K192" s="23">
        <v>3000.0</v>
      </c>
      <c r="L192" s="20"/>
      <c r="M192" s="20"/>
      <c r="N192" s="49">
        <v>14900.0</v>
      </c>
      <c r="O192" s="22">
        <f>IFERROR(__xludf.DUMMYFUNCTION("IFERROR(
  VLOOKUP(C192,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C192
    ), 
    7, FALSE
  ), 
  """"
)
"),41500.0)</f>
        <v>41500</v>
      </c>
      <c r="P192" s="22">
        <f>IFERROR(__xludf.DUMMYFUNCTION("IF(AND(Q192="""", R192=""""),
  """",
  IF(OR(ISBLANK(Q192), ISBLANK(O192)),
    """",
    IF(VALUE(SUBSTITUTE(INDEX(SPLIT(IF(ISBLANK(R192), Q192, R192), "",""), 0, 1), "" Km"", """")) - O192 = 0,
      """",
      VALUE(SUBSTITUTE(INDEX(SPLIT(IF(ISBLANK("&amp;"R192), Q192, R192), "",""), 0, 1), "" Km"", """")) - O192
    )
  )
)"),-25600.0)</f>
        <v>-25600</v>
      </c>
      <c r="Q192" s="23" t="str">
        <f t="shared" si="4"/>
        <v>15900 Km, 18.09.2023</v>
      </c>
      <c r="R192" s="23" t="s">
        <v>482</v>
      </c>
      <c r="S192" s="41">
        <v>0.0</v>
      </c>
      <c r="T192" s="19">
        <v>2.0</v>
      </c>
      <c r="U192" s="13">
        <v>6.6825262344E10</v>
      </c>
      <c r="V192" s="17" t="s">
        <v>320</v>
      </c>
      <c r="W192" s="24" t="str">
        <f t="shared" si="5"/>
        <v>Завершена</v>
      </c>
      <c r="X192" s="13" t="str">
        <f>IFERROR(__xludf.DUMMYFUNCTION("IF(C192 = """", """", IF(REGEXMATCH(C192, ""PCX|NMAX|ADV|CLICK""), ""скутер"", ""мото""))"),"мото")</f>
        <v>мото</v>
      </c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</row>
    <row r="193" hidden="1">
      <c r="A193" s="25" t="s">
        <v>24</v>
      </c>
      <c r="B193" s="25" t="s">
        <v>25</v>
      </c>
      <c r="C193" s="27" t="s">
        <v>483</v>
      </c>
      <c r="D193" s="27" t="s">
        <v>480</v>
      </c>
      <c r="E193" s="43">
        <v>45155.0</v>
      </c>
      <c r="F193" s="39">
        <v>45158.541666666664</v>
      </c>
      <c r="G193" s="30" t="str">
        <f t="shared" ref="G193:G194" si="13">IF((E193="")+(F193=""), "", IF(DATEDIF(DATEVALUE(E193), DATEVALUE(LEFT(F193, SEARCH(" ", F193)-1)), "d") &gt; 30, DATEDIF(DATEVALUE(E193), DATEVALUE(LEFT(F193, SEARCH(" ", F193)-1)), "m") &amp; " М", DATEDIF(DATEVALUE(E193), DATEVALUE(LEFT(F193, SEARCH(" ", F193)-1)), "d") &amp; " Д"))</f>
        <v>3 Д</v>
      </c>
      <c r="H193" s="31">
        <f t="shared" ref="H193:H239" si="14">IF(L193&lt;&gt;"", VALUE(L193)/30, IF(M193&lt;&gt;"", VALUE(M193)/1, ""))
</f>
        <v>1000</v>
      </c>
      <c r="I193" s="32" t="str">
        <f t="shared" si="2"/>
        <v/>
      </c>
      <c r="J193" s="33" t="str">
        <f t="shared" si="3"/>
        <v/>
      </c>
      <c r="K193" s="36">
        <v>3000.0</v>
      </c>
      <c r="L193" s="33"/>
      <c r="M193" s="36">
        <v>1000.0</v>
      </c>
      <c r="N193" s="44">
        <v>18500.0</v>
      </c>
      <c r="O193" s="35">
        <f>IFERROR(__xludf.DUMMYFUNCTION("IFERROR(
  VLOOKUP(C193,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C193
    ), 
    7, FALSE
  ), 
  """"
)
"),41500.0)</f>
        <v>41500</v>
      </c>
      <c r="P193" s="35">
        <f>IFERROR(__xludf.DUMMYFUNCTION("IF(AND(Q193="""", R193=""""),
  """",
  IF(OR(ISBLANK(Q193), ISBLANK(O193)),
    """",
    IF(VALUE(SUBSTITUTE(INDEX(SPLIT(IF(ISBLANK(R193), Q193, R193), "",""), 0, 1), "" Km"", """")) - O193 = 0,
      """",
      VALUE(SUBSTITUTE(INDEX(SPLIT(IF(ISBLANK("&amp;"R193), Q193, R193), "",""), 0, 1), "" Km"", """")) - O193
    )
  )
)"),-23000.0)</f>
        <v>-23000</v>
      </c>
      <c r="Q193" s="36" t="str">
        <f t="shared" si="4"/>
        <v>18 500 Km, 17.08.2023</v>
      </c>
      <c r="R193" s="33"/>
      <c r="S193" s="40" t="s">
        <v>430</v>
      </c>
      <c r="T193" s="25">
        <v>1.0</v>
      </c>
      <c r="U193" s="25">
        <v>6.6825262344E10</v>
      </c>
      <c r="V193" s="30" t="s">
        <v>320</v>
      </c>
      <c r="W193" s="37" t="str">
        <f t="shared" si="5"/>
        <v>Завершена</v>
      </c>
      <c r="X193" s="25" t="str">
        <f>IFERROR(__xludf.DUMMYFUNCTION("IF(C193 = """", """", IF(REGEXMATCH(C193, ""PCX|NMAX|ADV|CLICK""), ""скутер"", ""мото""))"),"мото")</f>
        <v>мото</v>
      </c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</row>
    <row r="194" hidden="1">
      <c r="A194" s="13" t="s">
        <v>24</v>
      </c>
      <c r="B194" s="13" t="s">
        <v>25</v>
      </c>
      <c r="C194" s="14" t="s">
        <v>52</v>
      </c>
      <c r="D194" s="14" t="s">
        <v>484</v>
      </c>
      <c r="E194" s="48">
        <v>45156.0</v>
      </c>
      <c r="F194" s="38">
        <v>45166.75</v>
      </c>
      <c r="G194" s="17" t="str">
        <f t="shared" si="13"/>
        <v>10 Д</v>
      </c>
      <c r="H194" s="18">
        <f t="shared" si="14"/>
        <v>200</v>
      </c>
      <c r="I194" s="19" t="str">
        <f t="shared" si="2"/>
        <v/>
      </c>
      <c r="J194" s="20" t="str">
        <f t="shared" si="3"/>
        <v/>
      </c>
      <c r="K194" s="23">
        <v>2000.0</v>
      </c>
      <c r="L194" s="20"/>
      <c r="M194" s="23">
        <v>200.0</v>
      </c>
      <c r="N194" s="49">
        <v>29500.0</v>
      </c>
      <c r="O194" s="22">
        <f>IFERROR(__xludf.DUMMYFUNCTION("IFERROR(
  VLOOKUP(C194,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C194
    ), 
    7, FALSE
  ), 
  """"
)
"),33515.0)</f>
        <v>33515</v>
      </c>
      <c r="P194" s="22">
        <f>IFERROR(__xludf.DUMMYFUNCTION("IF(AND(Q194="""", R194=""""),
  """",
  IF(OR(ISBLANK(Q194), ISBLANK(O194)),
    """",
    IF(VALUE(SUBSTITUTE(INDEX(SPLIT(IF(ISBLANK(R194), Q194, R194), "",""), 0, 1), "" Km"", """")) - O194 = 0,
      """",
      VALUE(SUBSTITUTE(INDEX(SPLIT(IF(ISBLANK("&amp;"R194), Q194, R194), "",""), 0, 1), "" Km"", """")) - O194
    )
  )
)"),-4015.0)</f>
        <v>-4015</v>
      </c>
      <c r="Q194" s="23" t="str">
        <f t="shared" si="4"/>
        <v>29 500 Km, 18.08.2023</v>
      </c>
      <c r="R194" s="20"/>
      <c r="S194" s="41">
        <v>0.0</v>
      </c>
      <c r="T194" s="13">
        <v>1.0</v>
      </c>
      <c r="U194" s="13" t="s">
        <v>485</v>
      </c>
      <c r="V194" s="13" t="s">
        <v>486</v>
      </c>
      <c r="W194" s="24" t="str">
        <f t="shared" si="5"/>
        <v>Завершена</v>
      </c>
      <c r="X194" s="13" t="str">
        <f>IFERROR(__xludf.DUMMYFUNCTION("IF(C194 = """", """", IF(REGEXMATCH(C194, ""PCX|NMAX|ADV|CLICK""), ""скутер"", ""мото""))"),"скутер")</f>
        <v>скутер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</row>
    <row r="195" hidden="1">
      <c r="A195" s="25" t="s">
        <v>24</v>
      </c>
      <c r="B195" s="25" t="s">
        <v>25</v>
      </c>
      <c r="C195" s="27" t="s">
        <v>472</v>
      </c>
      <c r="D195" s="27" t="s">
        <v>487</v>
      </c>
      <c r="E195" s="43">
        <v>45160.0</v>
      </c>
      <c r="F195" s="39">
        <v>45162.666666666664</v>
      </c>
      <c r="G195" s="30" t="str">
        <f t="shared" ref="G195:G373" si="15">IF((E195="")+(F195=""), "", IF(DATEDIF(E195, F195, "d") &gt; 30, DATEDIF(E195, F195, "m") &amp; " М", DATEDIF(E195, F195, "d") &amp; " Д"))
</f>
        <v>2 Д</v>
      </c>
      <c r="H195" s="31">
        <f t="shared" si="14"/>
        <v>700</v>
      </c>
      <c r="I195" s="32" t="str">
        <f t="shared" si="2"/>
        <v/>
      </c>
      <c r="J195" s="33" t="str">
        <f t="shared" si="3"/>
        <v/>
      </c>
      <c r="K195" s="36">
        <v>1400.0</v>
      </c>
      <c r="L195" s="33"/>
      <c r="M195" s="36">
        <v>700.0</v>
      </c>
      <c r="N195" s="44">
        <v>15150.0</v>
      </c>
      <c r="O195" s="35" t="str">
        <f>IFERROR(__xludf.DUMMYFUNCTION("IFERROR(
  VLOOKUP(C195,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C195
    ), 
    7, FALSE
  ), 
  """"
)
"),"")</f>
        <v/>
      </c>
      <c r="P195" s="35">
        <f>IFERROR(__xludf.DUMMYFUNCTION("IF(AND(Q195="""", R195=""""),
  """",
  IF(OR(ISBLANK(Q195), ISBLANK(O195)),
    """",
    IF(VALUE(SUBSTITUTE(INDEX(SPLIT(IF(ISBLANK(R195), Q195, R195), "",""), 0, 1), "" Km"", """")) - O195 = 0,
      """",
      VALUE(SUBSTITUTE(INDEX(SPLIT(IF(ISBLANK("&amp;"R195), Q195, R195), "",""), 0, 1), "" Km"", """")) - O195
    )
  )
)"),15150.0)</f>
        <v>15150</v>
      </c>
      <c r="Q195" s="36" t="str">
        <f t="shared" si="4"/>
        <v>15 150 Km, 22.08.2023</v>
      </c>
      <c r="R195" s="33"/>
      <c r="S195" s="40">
        <v>100.0</v>
      </c>
      <c r="T195" s="25">
        <v>0.0</v>
      </c>
      <c r="U195" s="25" t="s">
        <v>488</v>
      </c>
      <c r="V195" s="25" t="s">
        <v>489</v>
      </c>
      <c r="W195" s="37" t="str">
        <f t="shared" si="5"/>
        <v>Завершена</v>
      </c>
      <c r="X195" s="25" t="str">
        <f>IFERROR(__xludf.DUMMYFUNCTION("IF(C195 = """", """", IF(REGEXMATCH(C195, ""PCX|NMAX|ADV|CLICK""), ""скутер"", ""мото""))"),"мото")</f>
        <v>мото</v>
      </c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</row>
    <row r="196" hidden="1">
      <c r="A196" s="13" t="s">
        <v>24</v>
      </c>
      <c r="B196" s="13" t="s">
        <v>25</v>
      </c>
      <c r="C196" s="14" t="s">
        <v>423</v>
      </c>
      <c r="D196" s="14" t="s">
        <v>490</v>
      </c>
      <c r="E196" s="48">
        <v>45161.0</v>
      </c>
      <c r="F196" s="38">
        <v>45232.666666666664</v>
      </c>
      <c r="G196" s="17" t="str">
        <f t="shared" si="15"/>
        <v>2 М</v>
      </c>
      <c r="H196" s="18">
        <f t="shared" si="14"/>
        <v>366.6666667</v>
      </c>
      <c r="I196" s="19" t="str">
        <f t="shared" si="2"/>
        <v/>
      </c>
      <c r="J196" s="20" t="str">
        <f t="shared" si="3"/>
        <v/>
      </c>
      <c r="K196" s="23">
        <f>3000+11000+11000</f>
        <v>25000</v>
      </c>
      <c r="L196" s="23">
        <v>11000.0</v>
      </c>
      <c r="M196" s="20"/>
      <c r="N196" s="49">
        <v>9804.0</v>
      </c>
      <c r="O196" s="22" t="str">
        <f>IFERROR(__xludf.DUMMYFUNCTION("IFERROR(
  VLOOKUP(C196,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C196
    ), 
    7, FALSE
  ), 
  """"
)
"),"")</f>
        <v/>
      </c>
      <c r="P196" s="22">
        <f>IFERROR(__xludf.DUMMYFUNCTION("IF(AND(Q196="""", R196=""""),
  """",
  IF(OR(ISBLANK(Q196), ISBLANK(O196)),
    """",
    IF(VALUE(SUBSTITUTE(INDEX(SPLIT(IF(ISBLANK(R196), Q196, R196), "",""), 0, 1), "" Km"", """")) - O196 = 0,
      """",
      VALUE(SUBSTITUTE(INDEX(SPLIT(IF(ISBLANK("&amp;"R196), Q196, R196), "",""), 0, 1), "" Km"", """")) - O196
    )
  )
)"),11261.0)</f>
        <v>11261</v>
      </c>
      <c r="Q196" s="23" t="str">
        <f t="shared" si="4"/>
        <v>11261 Km, 28.10.2023</v>
      </c>
      <c r="R196" s="53" t="s">
        <v>491</v>
      </c>
      <c r="S196" s="41">
        <v>10000.0</v>
      </c>
      <c r="T196" s="13">
        <v>2.0</v>
      </c>
      <c r="U196" s="13" t="s">
        <v>463</v>
      </c>
      <c r="V196" s="13" t="s">
        <v>110</v>
      </c>
      <c r="W196" s="24" t="str">
        <f t="shared" si="5"/>
        <v>Завершена</v>
      </c>
      <c r="X196" s="13" t="str">
        <f>IFERROR(__xludf.DUMMYFUNCTION("IF(C196 = """", """", IF(REGEXMATCH(C196, ""PCX|NMAX|ADV|CLICK""), ""скутер"", ""мото""))"),"мото")</f>
        <v>мото</v>
      </c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</row>
    <row r="197" hidden="1">
      <c r="A197" s="25" t="s">
        <v>24</v>
      </c>
      <c r="B197" s="25" t="s">
        <v>25</v>
      </c>
      <c r="C197" s="27" t="s">
        <v>461</v>
      </c>
      <c r="D197" s="27" t="s">
        <v>492</v>
      </c>
      <c r="E197" s="43">
        <v>45162.0</v>
      </c>
      <c r="F197" s="39">
        <v>45165.5</v>
      </c>
      <c r="G197" s="30" t="str">
        <f t="shared" si="15"/>
        <v>3 Д</v>
      </c>
      <c r="H197" s="31">
        <f t="shared" si="14"/>
        <v>637</v>
      </c>
      <c r="I197" s="32" t="str">
        <f t="shared" si="2"/>
        <v/>
      </c>
      <c r="J197" s="33" t="str">
        <f t="shared" si="3"/>
        <v/>
      </c>
      <c r="K197" s="36">
        <v>1911.0</v>
      </c>
      <c r="L197" s="33"/>
      <c r="M197" s="36">
        <v>637.0</v>
      </c>
      <c r="N197" s="44">
        <v>23127.0</v>
      </c>
      <c r="O197" s="35">
        <f>IFERROR(__xludf.DUMMYFUNCTION("IFERROR(
  VLOOKUP(C197,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C197
    ), 
    7, FALSE
  ), 
  """"
)
"),30500.0)</f>
        <v>30500</v>
      </c>
      <c r="P197" s="35">
        <f>IFERROR(__xludf.DUMMYFUNCTION("IF(AND(Q197="""", R197=""""),
  """",
  IF(OR(ISBLANK(Q197), ISBLANK(O197)),
    """",
    IF(VALUE(SUBSTITUTE(INDEX(SPLIT(IF(ISBLANK(R197), Q197, R197), "",""), 0, 1), "" Km"", """")) - O197 = 0,
      """",
      VALUE(SUBSTITUTE(INDEX(SPLIT(IF(ISBLANK("&amp;"R197), Q197, R197), "",""), 0, 1), "" Km"", """")) - O197
    )
  )
)"),-7373.0)</f>
        <v>-7373</v>
      </c>
      <c r="Q197" s="36" t="str">
        <f t="shared" si="4"/>
        <v>23 127 Km, 24.08.2023</v>
      </c>
      <c r="R197" s="33"/>
      <c r="S197" s="40" t="s">
        <v>493</v>
      </c>
      <c r="T197" s="25">
        <v>1.0</v>
      </c>
      <c r="U197" s="25" t="s">
        <v>494</v>
      </c>
      <c r="V197" s="25" t="s">
        <v>495</v>
      </c>
      <c r="W197" s="37" t="str">
        <f t="shared" si="5"/>
        <v>Завершена</v>
      </c>
      <c r="X197" s="25" t="str">
        <f>IFERROR(__xludf.DUMMYFUNCTION("IF(C197 = """", """", IF(REGEXMATCH(C197, ""PCX|NMAX|ADV|CLICK""), ""скутер"", ""мото""))"),"мото")</f>
        <v>мото</v>
      </c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</row>
    <row r="198" hidden="1">
      <c r="A198" s="13" t="s">
        <v>24</v>
      </c>
      <c r="B198" s="13" t="s">
        <v>25</v>
      </c>
      <c r="C198" s="14" t="s">
        <v>279</v>
      </c>
      <c r="D198" s="14" t="s">
        <v>496</v>
      </c>
      <c r="E198" s="48">
        <v>45162.0</v>
      </c>
      <c r="F198" s="38">
        <v>45193.541666666664</v>
      </c>
      <c r="G198" s="17" t="str">
        <f t="shared" si="15"/>
        <v>1 М</v>
      </c>
      <c r="H198" s="18">
        <f t="shared" si="14"/>
        <v>250</v>
      </c>
      <c r="I198" s="19" t="str">
        <f t="shared" si="2"/>
        <v/>
      </c>
      <c r="J198" s="20" t="str">
        <f t="shared" si="3"/>
        <v/>
      </c>
      <c r="K198" s="23">
        <v>7500.0</v>
      </c>
      <c r="L198" s="23">
        <v>7500.0</v>
      </c>
      <c r="M198" s="20"/>
      <c r="N198" s="49">
        <v>6150.0</v>
      </c>
      <c r="O198" s="22">
        <f>IFERROR(__xludf.DUMMYFUNCTION("IFERROR(
  VLOOKUP(C198,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C198
    ), 
    7, FALSE
  ), 
  """"
)
"),9000.0)</f>
        <v>9000</v>
      </c>
      <c r="P198" s="22">
        <f>IFERROR(__xludf.DUMMYFUNCTION("IF(AND(Q198="""", R198=""""),
  """",
  IF(OR(ISBLANK(Q198), ISBLANK(O198)),
    """",
    IF(VALUE(SUBSTITUTE(INDEX(SPLIT(IF(ISBLANK(R198), Q198, R198), "",""), 0, 1), "" Km"", """")) - O198 = 0,
      """",
      VALUE(SUBSTITUTE(INDEX(SPLIT(IF(ISBLANK("&amp;"R198), Q198, R198), "",""), 0, 1), "" Km"", """")) - O198
    )
  )
)"),-2850.0)</f>
        <v>-2850</v>
      </c>
      <c r="Q198" s="23" t="str">
        <f t="shared" si="4"/>
        <v>6 150 Km, 24.08.2023</v>
      </c>
      <c r="R198" s="20"/>
      <c r="S198" s="41">
        <v>7500.0</v>
      </c>
      <c r="T198" s="13">
        <v>1.0</v>
      </c>
      <c r="U198" s="13" t="s">
        <v>497</v>
      </c>
      <c r="V198" s="13" t="s">
        <v>498</v>
      </c>
      <c r="W198" s="24" t="str">
        <f t="shared" si="5"/>
        <v>Завершена</v>
      </c>
      <c r="X198" s="13" t="str">
        <f>IFERROR(__xludf.DUMMYFUNCTION("IF(C198 = """", """", IF(REGEXMATCH(C198, ""PCX|NMAX|ADV|CLICK""), ""скутер"", ""мото""))"),"мото")</f>
        <v>мото</v>
      </c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</row>
    <row r="199" hidden="1">
      <c r="A199" s="25" t="s">
        <v>24</v>
      </c>
      <c r="B199" s="25" t="s">
        <v>25</v>
      </c>
      <c r="C199" s="27" t="s">
        <v>472</v>
      </c>
      <c r="D199" s="27" t="s">
        <v>492</v>
      </c>
      <c r="E199" s="43">
        <v>45165.0</v>
      </c>
      <c r="F199" s="39">
        <v>45170.5</v>
      </c>
      <c r="G199" s="30" t="str">
        <f t="shared" si="15"/>
        <v>5 Д</v>
      </c>
      <c r="H199" s="31">
        <f t="shared" si="14"/>
        <v>637</v>
      </c>
      <c r="I199" s="32" t="str">
        <f t="shared" si="2"/>
        <v/>
      </c>
      <c r="J199" s="33" t="str">
        <f t="shared" si="3"/>
        <v/>
      </c>
      <c r="K199" s="36">
        <f>5089-1700</f>
        <v>3389</v>
      </c>
      <c r="L199" s="33"/>
      <c r="M199" s="36">
        <v>637.0</v>
      </c>
      <c r="N199" s="44">
        <v>15200.0</v>
      </c>
      <c r="O199" s="35" t="str">
        <f>IFERROR(__xludf.DUMMYFUNCTION("IFERROR(
  VLOOKUP(C199,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C199
    ), 
    7, FALSE
  ), 
  """"
)
"),"")</f>
        <v/>
      </c>
      <c r="P199" s="35">
        <f>IFERROR(__xludf.DUMMYFUNCTION("IF(AND(Q199="""", R199=""""),
  """",
  IF(OR(ISBLANK(Q199), ISBLANK(O199)),
    """",
    IF(VALUE(SUBSTITUTE(INDEX(SPLIT(IF(ISBLANK(R199), Q199, R199), "",""), 0, 1), "" Km"", """")) - O199 = 0,
      """",
      VALUE(SUBSTITUTE(INDEX(SPLIT(IF(ISBLANK("&amp;"R199), Q199, R199), "",""), 0, 1), "" Km"", """")) - O199
    )
  )
)"),15200.0)</f>
        <v>15200</v>
      </c>
      <c r="Q199" s="36" t="str">
        <f t="shared" si="4"/>
        <v>15 200 Km, 27.08.2023</v>
      </c>
      <c r="R199" s="33"/>
      <c r="S199" s="40" t="s">
        <v>493</v>
      </c>
      <c r="T199" s="25">
        <v>1.0</v>
      </c>
      <c r="U199" s="25" t="s">
        <v>494</v>
      </c>
      <c r="V199" s="25" t="s">
        <v>495</v>
      </c>
      <c r="W199" s="37" t="str">
        <f t="shared" si="5"/>
        <v>Завершена</v>
      </c>
      <c r="X199" s="25" t="str">
        <f>IFERROR(__xludf.DUMMYFUNCTION("IF(C199 = """", """", IF(REGEXMATCH(C199, ""PCX|NMAX|ADV|CLICK""), ""скутер"", ""мото""))"),"мото")</f>
        <v>мото</v>
      </c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</row>
    <row r="200" hidden="1">
      <c r="A200" s="13" t="s">
        <v>24</v>
      </c>
      <c r="B200" s="13" t="s">
        <v>25</v>
      </c>
      <c r="C200" s="14" t="s">
        <v>461</v>
      </c>
      <c r="D200" s="14" t="s">
        <v>499</v>
      </c>
      <c r="E200" s="48">
        <v>45165.0</v>
      </c>
      <c r="F200" s="38">
        <v>45171.75</v>
      </c>
      <c r="G200" s="17" t="str">
        <f t="shared" si="15"/>
        <v>6 Д</v>
      </c>
      <c r="H200" s="18">
        <f t="shared" si="14"/>
        <v>800</v>
      </c>
      <c r="I200" s="19" t="str">
        <f t="shared" si="2"/>
        <v/>
      </c>
      <c r="J200" s="20" t="str">
        <f t="shared" si="3"/>
        <v/>
      </c>
      <c r="K200" s="23">
        <f>3200+1500</f>
        <v>4700</v>
      </c>
      <c r="L200" s="20"/>
      <c r="M200" s="23">
        <v>800.0</v>
      </c>
      <c r="N200" s="49">
        <v>23200.0</v>
      </c>
      <c r="O200" s="22">
        <f>IFERROR(__xludf.DUMMYFUNCTION("IFERROR(
  VLOOKUP(C200,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C200
    ), 
    7, FALSE
  ), 
  """"
)
"),30500.0)</f>
        <v>30500</v>
      </c>
      <c r="P200" s="22">
        <f>IFERROR(__xludf.DUMMYFUNCTION("IF(AND(Q200="""", R200=""""),
  """",
  IF(OR(ISBLANK(Q200), ISBLANK(O200)),
    """",
    IF(VALUE(SUBSTITUTE(INDEX(SPLIT(IF(ISBLANK(R200), Q200, R200), "",""), 0, 1), "" Km"", """")) - O200 = 0,
      """",
      VALUE(SUBSTITUTE(INDEX(SPLIT(IF(ISBLANK("&amp;"R200), Q200, R200), "",""), 0, 1), "" Km"", """")) - O200
    )
  )
)"),-7300.0)</f>
        <v>-7300</v>
      </c>
      <c r="Q200" s="23" t="str">
        <f t="shared" si="4"/>
        <v>23 200 Km, 27.08.2023</v>
      </c>
      <c r="R200" s="20"/>
      <c r="S200" s="41">
        <v>300.0</v>
      </c>
      <c r="T200" s="13">
        <v>2.0</v>
      </c>
      <c r="U200" s="13" t="s">
        <v>500</v>
      </c>
      <c r="V200" s="13" t="s">
        <v>501</v>
      </c>
      <c r="W200" s="24" t="str">
        <f t="shared" si="5"/>
        <v>Завершена</v>
      </c>
      <c r="X200" s="13" t="str">
        <f>IFERROR(__xludf.DUMMYFUNCTION("IF(C200 = """", """", IF(REGEXMATCH(C200, ""PCX|NMAX|ADV|CLICK""), ""скутер"", ""мото""))"),"мото")</f>
        <v>мото</v>
      </c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</row>
    <row r="201" hidden="1">
      <c r="A201" s="25" t="s">
        <v>24</v>
      </c>
      <c r="B201" s="25" t="s">
        <v>25</v>
      </c>
      <c r="C201" s="27" t="s">
        <v>483</v>
      </c>
      <c r="D201" s="27" t="s">
        <v>502</v>
      </c>
      <c r="E201" s="59">
        <v>45169.0</v>
      </c>
      <c r="F201" s="39">
        <v>45170.875</v>
      </c>
      <c r="G201" s="30" t="str">
        <f t="shared" si="15"/>
        <v>1 Д</v>
      </c>
      <c r="H201" s="31">
        <f t="shared" si="14"/>
        <v>2000</v>
      </c>
      <c r="I201" s="32" t="str">
        <f t="shared" si="2"/>
        <v/>
      </c>
      <c r="J201" s="33" t="str">
        <f t="shared" si="3"/>
        <v/>
      </c>
      <c r="K201" s="36">
        <v>2000.0</v>
      </c>
      <c r="L201" s="33"/>
      <c r="M201" s="36">
        <v>2000.0</v>
      </c>
      <c r="N201" s="44">
        <v>20000.0</v>
      </c>
      <c r="O201" s="35">
        <f>IFERROR(__xludf.DUMMYFUNCTION("IFERROR(
  VLOOKUP(C201,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C201
    ), 
    7, FALSE
  ), 
  """"
)
"),41500.0)</f>
        <v>41500</v>
      </c>
      <c r="P201" s="35">
        <f>IFERROR(__xludf.DUMMYFUNCTION("IF(AND(Q201="""", R201=""""),
  """",
  IF(OR(ISBLANK(Q201), ISBLANK(O201)),
    """",
    IF(VALUE(SUBSTITUTE(INDEX(SPLIT(IF(ISBLANK(R201), Q201, R201), "",""), 0, 1), "" Km"", """")) - O201 = 0,
      """",
      VALUE(SUBSTITUTE(INDEX(SPLIT(IF(ISBLANK("&amp;"R201), Q201, R201), "",""), 0, 1), "" Km"", """")) - O201
    )
  )
)"),-21500.0)</f>
        <v>-21500</v>
      </c>
      <c r="Q201" s="36" t="str">
        <f t="shared" si="4"/>
        <v>20 000 Km, 31.08.2023</v>
      </c>
      <c r="R201" s="36"/>
      <c r="S201" s="40">
        <v>200.0</v>
      </c>
      <c r="T201" s="25">
        <v>0.0</v>
      </c>
      <c r="U201" s="25" t="s">
        <v>503</v>
      </c>
      <c r="V201" s="25" t="s">
        <v>504</v>
      </c>
      <c r="W201" s="37" t="str">
        <f t="shared" si="5"/>
        <v>Завершена</v>
      </c>
      <c r="X201" s="25" t="str">
        <f>IFERROR(__xludf.DUMMYFUNCTION("IF(C201 = """", """", IF(REGEXMATCH(C201, ""PCX|NMAX|ADV|CLICK""), ""скутер"", ""мото""))"),"мото")</f>
        <v>мото</v>
      </c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</row>
    <row r="202" hidden="1">
      <c r="A202" s="13" t="s">
        <v>24</v>
      </c>
      <c r="B202" s="13" t="s">
        <v>25</v>
      </c>
      <c r="C202" s="14" t="s">
        <v>113</v>
      </c>
      <c r="D202" s="14" t="s">
        <v>477</v>
      </c>
      <c r="E202" s="48">
        <v>45170.0</v>
      </c>
      <c r="F202" s="38">
        <v>45177.708333333336</v>
      </c>
      <c r="G202" s="17" t="str">
        <f t="shared" si="15"/>
        <v>7 Д</v>
      </c>
      <c r="H202" s="18">
        <f t="shared" si="14"/>
        <v>500</v>
      </c>
      <c r="I202" s="19" t="str">
        <f t="shared" si="2"/>
        <v/>
      </c>
      <c r="J202" s="20" t="str">
        <f t="shared" si="3"/>
        <v/>
      </c>
      <c r="K202" s="23">
        <v>3500.0</v>
      </c>
      <c r="L202" s="20"/>
      <c r="M202" s="23">
        <v>500.0</v>
      </c>
      <c r="N202" s="49">
        <v>23000.0</v>
      </c>
      <c r="O202" s="22" t="str">
        <f>IFERROR(__xludf.DUMMYFUNCTION("IFERROR(
  VLOOKUP(C202,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C202
    ), 
    7, FALSE
  ), 
  """"
)
"),"")</f>
        <v/>
      </c>
      <c r="P202" s="22">
        <f>IFERROR(__xludf.DUMMYFUNCTION("IF(AND(Q202="""", R202=""""),
  """",
  IF(OR(ISBLANK(Q202), ISBLANK(O202)),
    """",
    IF(VALUE(SUBSTITUTE(INDEX(SPLIT(IF(ISBLANK(R202), Q202, R202), "",""), 0, 1), "" Km"", """")) - O202 = 0,
      """",
      VALUE(SUBSTITUTE(INDEX(SPLIT(IF(ISBLANK("&amp;"R202), Q202, R202), "",""), 0, 1), "" Km"", """")) - O202
    )
  )
)"),23000.0)</f>
        <v>23000</v>
      </c>
      <c r="Q202" s="23" t="str">
        <f t="shared" si="4"/>
        <v>23 000 Km, 01.09.2023</v>
      </c>
      <c r="R202" s="20"/>
      <c r="S202" s="41">
        <v>5000.0</v>
      </c>
      <c r="T202" s="13">
        <v>1.0</v>
      </c>
      <c r="U202" s="13" t="s">
        <v>478</v>
      </c>
      <c r="V202" s="13" t="s">
        <v>479</v>
      </c>
      <c r="W202" s="24" t="str">
        <f t="shared" si="5"/>
        <v>Завершена</v>
      </c>
      <c r="X202" s="13" t="str">
        <f>IFERROR(__xludf.DUMMYFUNCTION("IF(C202 = """", """", IF(REGEXMATCH(C202, ""PCX|NMAX|ADV|CLICK""), ""скутер"", ""мото""))"),"мото")</f>
        <v>мото</v>
      </c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</row>
    <row r="203" hidden="1">
      <c r="A203" s="25" t="s">
        <v>24</v>
      </c>
      <c r="B203" s="25" t="s">
        <v>25</v>
      </c>
      <c r="C203" s="27" t="s">
        <v>461</v>
      </c>
      <c r="D203" s="27" t="s">
        <v>505</v>
      </c>
      <c r="E203" s="43">
        <v>45171.0</v>
      </c>
      <c r="F203" s="39">
        <v>45175.666666666664</v>
      </c>
      <c r="G203" s="30" t="str">
        <f t="shared" si="15"/>
        <v>4 Д</v>
      </c>
      <c r="H203" s="31">
        <f t="shared" si="14"/>
        <v>700</v>
      </c>
      <c r="I203" s="32" t="str">
        <f t="shared" si="2"/>
        <v/>
      </c>
      <c r="J203" s="33" t="str">
        <f t="shared" si="3"/>
        <v/>
      </c>
      <c r="K203" s="36">
        <v>2100.0</v>
      </c>
      <c r="L203" s="33"/>
      <c r="M203" s="36">
        <v>700.0</v>
      </c>
      <c r="N203" s="44">
        <v>23730.0</v>
      </c>
      <c r="O203" s="35">
        <f>IFERROR(__xludf.DUMMYFUNCTION("IFERROR(
  VLOOKUP(C203,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C203
    ), 
    7, FALSE
  ), 
  """"
)
"),30500.0)</f>
        <v>30500</v>
      </c>
      <c r="P203" s="35">
        <f>IFERROR(__xludf.DUMMYFUNCTION("IF(AND(Q203="""", R203=""""),
  """",
  IF(OR(ISBLANK(Q203), ISBLANK(O203)),
    """",
    IF(VALUE(SUBSTITUTE(INDEX(SPLIT(IF(ISBLANK(R203), Q203, R203), "",""), 0, 1), "" Km"", """")) - O203 = 0,
      """",
      VALUE(SUBSTITUTE(INDEX(SPLIT(IF(ISBLANK("&amp;"R203), Q203, R203), "",""), 0, 1), "" Km"", """")) - O203
    )
  )
)"),-6770.0)</f>
        <v>-6770</v>
      </c>
      <c r="Q203" s="36" t="str">
        <f t="shared" si="4"/>
        <v>23 730 Km, 02.09.2023</v>
      </c>
      <c r="R203" s="33"/>
      <c r="S203" s="40">
        <v>10000.0</v>
      </c>
      <c r="T203" s="25">
        <v>0.0</v>
      </c>
      <c r="U203" s="25" t="s">
        <v>506</v>
      </c>
      <c r="V203" s="37"/>
      <c r="W203" s="37" t="str">
        <f t="shared" si="5"/>
        <v>Завершена</v>
      </c>
      <c r="X203" s="25" t="str">
        <f>IFERROR(__xludf.DUMMYFUNCTION("IF(C203 = """", """", IF(REGEXMATCH(C203, ""PCX|NMAX|ADV|CLICK""), ""скутер"", ""мото""))"),"мото")</f>
        <v>мото</v>
      </c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</row>
    <row r="204" hidden="1">
      <c r="A204" s="13" t="s">
        <v>24</v>
      </c>
      <c r="B204" s="13" t="s">
        <v>25</v>
      </c>
      <c r="C204" s="14" t="s">
        <v>483</v>
      </c>
      <c r="D204" s="14" t="s">
        <v>507</v>
      </c>
      <c r="E204" s="48">
        <v>45172.0</v>
      </c>
      <c r="F204" s="38">
        <v>45202.708333333336</v>
      </c>
      <c r="G204" s="17" t="str">
        <f t="shared" si="15"/>
        <v>30 Д</v>
      </c>
      <c r="H204" s="18">
        <f t="shared" si="14"/>
        <v>566.6666667</v>
      </c>
      <c r="I204" s="19" t="str">
        <f t="shared" si="2"/>
        <v/>
      </c>
      <c r="J204" s="20" t="str">
        <f t="shared" si="3"/>
        <v/>
      </c>
      <c r="K204" s="23">
        <f>7000+10000</f>
        <v>17000</v>
      </c>
      <c r="L204" s="23">
        <v>17000.0</v>
      </c>
      <c r="M204" s="20"/>
      <c r="N204" s="49">
        <v>20500.0</v>
      </c>
      <c r="O204" s="22">
        <f>IFERROR(__xludf.DUMMYFUNCTION("IFERROR(
  VLOOKUP(C204,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C204
    ), 
    7, FALSE
  ), 
  """"
)
"),41500.0)</f>
        <v>41500</v>
      </c>
      <c r="P204" s="22">
        <f>IFERROR(__xludf.DUMMYFUNCTION("IF(AND(Q204="""", R204=""""),
  """",
  IF(OR(ISBLANK(Q204), ISBLANK(O204)),
    """",
    IF(VALUE(SUBSTITUTE(INDEX(SPLIT(IF(ISBLANK(R204), Q204, R204), "",""), 0, 1), "" Km"", """")) - O204 = 0,
      """",
      VALUE(SUBSTITUTE(INDEX(SPLIT(IF(ISBLANK("&amp;"R204), Q204, R204), "",""), 0, 1), "" Km"", """")) - O204
    )
  )
)"),-20600.0)</f>
        <v>-20600</v>
      </c>
      <c r="Q204" s="23" t="str">
        <f t="shared" si="4"/>
        <v>20900 Km, 24.09.2023</v>
      </c>
      <c r="R204" s="23" t="s">
        <v>508</v>
      </c>
      <c r="S204" s="41">
        <v>600.0</v>
      </c>
      <c r="T204" s="13">
        <v>2.0</v>
      </c>
      <c r="U204" s="13" t="s">
        <v>509</v>
      </c>
      <c r="V204" s="13" t="s">
        <v>510</v>
      </c>
      <c r="W204" s="24" t="str">
        <f t="shared" si="5"/>
        <v>Завершена</v>
      </c>
      <c r="X204" s="13" t="str">
        <f>IFERROR(__xludf.DUMMYFUNCTION("IF(C204 = """", """", IF(REGEXMATCH(C204, ""PCX|NMAX|ADV|CLICK""), ""скутер"", ""мото""))"),"мото")</f>
        <v>мото</v>
      </c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</row>
    <row r="205" hidden="1">
      <c r="A205" s="25" t="s">
        <v>24</v>
      </c>
      <c r="B205" s="25" t="s">
        <v>25</v>
      </c>
      <c r="C205" s="27" t="s">
        <v>427</v>
      </c>
      <c r="D205" s="27" t="s">
        <v>511</v>
      </c>
      <c r="E205" s="43">
        <v>45172.0</v>
      </c>
      <c r="F205" s="39">
        <v>45202.708333333336</v>
      </c>
      <c r="G205" s="30" t="str">
        <f t="shared" si="15"/>
        <v>30 Д</v>
      </c>
      <c r="H205" s="31">
        <f t="shared" si="14"/>
        <v>333.3333333</v>
      </c>
      <c r="I205" s="32" t="str">
        <f t="shared" si="2"/>
        <v/>
      </c>
      <c r="J205" s="33" t="str">
        <f t="shared" si="3"/>
        <v/>
      </c>
      <c r="K205" s="36">
        <v>10000.0</v>
      </c>
      <c r="L205" s="36">
        <v>10000.0</v>
      </c>
      <c r="M205" s="33"/>
      <c r="N205" s="44">
        <v>15000.0</v>
      </c>
      <c r="O205" s="35" t="str">
        <f>IFERROR(__xludf.DUMMYFUNCTION("IFERROR(
  VLOOKUP(C205,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C205
    ), 
    7, FALSE
  ), 
  """"
)
"),"")</f>
        <v/>
      </c>
      <c r="P205" s="35">
        <f>IFERROR(__xludf.DUMMYFUNCTION("IF(AND(Q205="""", R205=""""),
  """",
  IF(OR(ISBLANK(Q205), ISBLANK(O205)),
    """",
    IF(VALUE(SUBSTITUTE(INDEX(SPLIT(IF(ISBLANK(R205), Q205, R205), "",""), 0, 1), "" Km"", """")) - O205 = 0,
      """",
      VALUE(SUBSTITUTE(INDEX(SPLIT(IF(ISBLANK("&amp;"R205), Q205, R205), "",""), 0, 1), "" Km"", """")) - O205
    )
  )
)"),15000.0)</f>
        <v>15000</v>
      </c>
      <c r="Q205" s="36" t="str">
        <f t="shared" si="4"/>
        <v>15 000 Km, 03.09.2023</v>
      </c>
      <c r="R205" s="33"/>
      <c r="S205" s="40">
        <v>10000.0</v>
      </c>
      <c r="T205" s="25">
        <v>0.0</v>
      </c>
      <c r="U205" s="25" t="s">
        <v>512</v>
      </c>
      <c r="V205" s="25" t="s">
        <v>513</v>
      </c>
      <c r="W205" s="37" t="str">
        <f t="shared" si="5"/>
        <v>Завершена</v>
      </c>
      <c r="X205" s="25" t="str">
        <f>IFERROR(__xludf.DUMMYFUNCTION("IF(C205 = """", """", IF(REGEXMATCH(C205, ""PCX|NMAX|ADV|CLICK""), ""скутер"", ""мото""))"),"мото")</f>
        <v>мото</v>
      </c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</row>
    <row r="206" hidden="1">
      <c r="A206" s="13" t="s">
        <v>24</v>
      </c>
      <c r="B206" s="13" t="s">
        <v>25</v>
      </c>
      <c r="C206" s="14" t="s">
        <v>468</v>
      </c>
      <c r="D206" s="14" t="s">
        <v>514</v>
      </c>
      <c r="E206" s="48">
        <v>45174.0</v>
      </c>
      <c r="F206" s="38">
        <v>45186.583333333336</v>
      </c>
      <c r="G206" s="17" t="str">
        <f t="shared" si="15"/>
        <v>12 Д</v>
      </c>
      <c r="H206" s="18">
        <f t="shared" si="14"/>
        <v>458</v>
      </c>
      <c r="I206" s="19" t="str">
        <f t="shared" si="2"/>
        <v/>
      </c>
      <c r="J206" s="20" t="str">
        <f t="shared" si="3"/>
        <v/>
      </c>
      <c r="K206" s="23">
        <v>5500.0</v>
      </c>
      <c r="L206" s="20"/>
      <c r="M206" s="23">
        <v>458.0</v>
      </c>
      <c r="N206" s="49">
        <v>10500.0</v>
      </c>
      <c r="O206" s="22">
        <f>IFERROR(__xludf.DUMMYFUNCTION("IFERROR(
  VLOOKUP(C206,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C206
    ), 
    7, FALSE
  ), 
  """"
)
"),22200.0)</f>
        <v>22200</v>
      </c>
      <c r="P206" s="22">
        <f>IFERROR(__xludf.DUMMYFUNCTION("IF(AND(Q206="""", R206=""""),
  """",
  IF(OR(ISBLANK(Q206), ISBLANK(O206)),
    """",
    IF(VALUE(SUBSTITUTE(INDEX(SPLIT(IF(ISBLANK(R206), Q206, R206), "",""), 0, 1), "" Km"", """")) - O206 = 0,
      """",
      VALUE(SUBSTITUTE(INDEX(SPLIT(IF(ISBLANK("&amp;"R206), Q206, R206), "",""), 0, 1), "" Km"", """")) - O206
    )
  )
)"),-11700.0)</f>
        <v>-11700</v>
      </c>
      <c r="Q206" s="23" t="str">
        <f t="shared" si="4"/>
        <v>10 500 Km, 05.09.2023</v>
      </c>
      <c r="R206" s="20"/>
      <c r="S206" s="41" t="s">
        <v>515</v>
      </c>
      <c r="T206" s="13">
        <v>1.0</v>
      </c>
      <c r="U206" s="13" t="s">
        <v>516</v>
      </c>
      <c r="V206" s="13" t="s">
        <v>517</v>
      </c>
      <c r="W206" s="24" t="str">
        <f t="shared" si="5"/>
        <v>Завершена</v>
      </c>
      <c r="X206" s="13" t="str">
        <f>IFERROR(__xludf.DUMMYFUNCTION("IF(C206 = """", """", IF(REGEXMATCH(C206, ""PCX|NMAX|ADV|CLICK""), ""скутер"", ""мото""))"),"мото")</f>
        <v>мото</v>
      </c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</row>
    <row r="207" hidden="1">
      <c r="A207" s="25" t="s">
        <v>24</v>
      </c>
      <c r="B207" s="27" t="s">
        <v>25</v>
      </c>
      <c r="C207" s="60" t="s">
        <v>461</v>
      </c>
      <c r="D207" s="27" t="s">
        <v>505</v>
      </c>
      <c r="E207" s="43">
        <v>45174.0</v>
      </c>
      <c r="F207" s="39">
        <v>45232.666666666664</v>
      </c>
      <c r="G207" s="30" t="str">
        <f t="shared" si="15"/>
        <v>1 М</v>
      </c>
      <c r="H207" s="31">
        <f t="shared" si="14"/>
        <v>316</v>
      </c>
      <c r="I207" s="32" t="str">
        <f t="shared" si="2"/>
        <v/>
      </c>
      <c r="J207" s="33" t="str">
        <f t="shared" si="3"/>
        <v/>
      </c>
      <c r="K207" s="36">
        <f>7900+10000</f>
        <v>17900</v>
      </c>
      <c r="L207" s="33"/>
      <c r="M207" s="33">
        <f>7900/25</f>
        <v>316</v>
      </c>
      <c r="N207" s="34">
        <v>23730.0</v>
      </c>
      <c r="O207" s="35">
        <f>IFERROR(__xludf.DUMMYFUNCTION("IFERROR(
  VLOOKUP(C207,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C207
    ), 
    7, FALSE
  ), 
  """"
)
"),30500.0)</f>
        <v>30500</v>
      </c>
      <c r="P207" s="35">
        <f>IFERROR(__xludf.DUMMYFUNCTION("IF(AND(Q207="""", R207=""""),
  """",
  IF(OR(ISBLANK(Q207), ISBLANK(O207)),
    """",
    IF(VALUE(SUBSTITUTE(INDEX(SPLIT(IF(ISBLANK(R207), Q207, R207), "",""), 0, 1), "" Km"", """")) - O207 = 0,
      """",
      VALUE(SUBSTITUTE(INDEX(SPLIT(IF(ISBLANK("&amp;"R207), Q207, R207), "",""), 0, 1), "" Km"", """")) - O207
    )
  )
)"),-6000.0)</f>
        <v>-6000</v>
      </c>
      <c r="Q207" s="33" t="str">
        <f t="shared" si="4"/>
        <v>24500 Km, 18.10.2023</v>
      </c>
      <c r="R207" s="58" t="s">
        <v>518</v>
      </c>
      <c r="S207" s="31">
        <v>10000.0</v>
      </c>
      <c r="T207" s="37">
        <v>0.0</v>
      </c>
      <c r="U207" s="37" t="s">
        <v>506</v>
      </c>
      <c r="V207" s="37"/>
      <c r="W207" s="37" t="str">
        <f t="shared" si="5"/>
        <v>Завершена</v>
      </c>
      <c r="X207" s="25" t="str">
        <f>IFERROR(__xludf.DUMMYFUNCTION("IF(C207 = """", """", IF(REGEXMATCH(C207, ""PCX|NMAX|ADV|CLICK""), ""скутер"", ""мото""))"),"мото")</f>
        <v>мото</v>
      </c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</row>
    <row r="208" hidden="1">
      <c r="A208" s="13" t="s">
        <v>24</v>
      </c>
      <c r="B208" s="13" t="s">
        <v>25</v>
      </c>
      <c r="C208" s="14" t="s">
        <v>472</v>
      </c>
      <c r="D208" s="14" t="s">
        <v>519</v>
      </c>
      <c r="E208" s="48">
        <v>45175.0</v>
      </c>
      <c r="F208" s="38">
        <v>45178.5</v>
      </c>
      <c r="G208" s="17" t="str">
        <f t="shared" si="15"/>
        <v>3 Д</v>
      </c>
      <c r="H208" s="18">
        <f t="shared" si="14"/>
        <v>800</v>
      </c>
      <c r="I208" s="19" t="str">
        <f t="shared" si="2"/>
        <v/>
      </c>
      <c r="J208" s="20" t="str">
        <f t="shared" si="3"/>
        <v/>
      </c>
      <c r="K208" s="23">
        <v>2400.0</v>
      </c>
      <c r="L208" s="20"/>
      <c r="M208" s="23">
        <v>800.0</v>
      </c>
      <c r="N208" s="49">
        <v>15640.0</v>
      </c>
      <c r="O208" s="22" t="str">
        <f>IFERROR(__xludf.DUMMYFUNCTION("IFERROR(
  VLOOKUP(C208,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C208
    ), 
    7, FALSE
  ), 
  """"
)
"),"")</f>
        <v/>
      </c>
      <c r="P208" s="22">
        <f>IFERROR(__xludf.DUMMYFUNCTION("IF(AND(Q208="""", R208=""""),
  """",
  IF(OR(ISBLANK(Q208), ISBLANK(O208)),
    """",
    IF(VALUE(SUBSTITUTE(INDEX(SPLIT(IF(ISBLANK(R208), Q208, R208), "",""), 0, 1), "" Km"", """")) - O208 = 0,
      """",
      VALUE(SUBSTITUTE(INDEX(SPLIT(IF(ISBLANK("&amp;"R208), Q208, R208), "",""), 0, 1), "" Km"", """")) - O208
    )
  )
)"),15640.0)</f>
        <v>15640</v>
      </c>
      <c r="Q208" s="23" t="str">
        <f t="shared" si="4"/>
        <v>15 640 Km, 06.09.2023</v>
      </c>
      <c r="R208" s="20"/>
      <c r="S208" s="41" t="s">
        <v>515</v>
      </c>
      <c r="T208" s="13">
        <v>0.0</v>
      </c>
      <c r="U208" s="13" t="s">
        <v>520</v>
      </c>
      <c r="V208" s="13" t="s">
        <v>521</v>
      </c>
      <c r="W208" s="24" t="str">
        <f t="shared" si="5"/>
        <v>Завершена</v>
      </c>
      <c r="X208" s="13" t="str">
        <f>IFERROR(__xludf.DUMMYFUNCTION("IF(C208 = """", """", IF(REGEXMATCH(C208, ""PCX|NMAX|ADV|CLICK""), ""скутер"", ""мото""))"),"мото")</f>
        <v>мото</v>
      </c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</row>
    <row r="209" hidden="1">
      <c r="A209" s="25" t="s">
        <v>24</v>
      </c>
      <c r="B209" s="25" t="s">
        <v>25</v>
      </c>
      <c r="C209" s="27" t="s">
        <v>48</v>
      </c>
      <c r="D209" s="27" t="s">
        <v>522</v>
      </c>
      <c r="E209" s="43">
        <v>45176.0</v>
      </c>
      <c r="F209" s="39">
        <v>45192.791666666664</v>
      </c>
      <c r="G209" s="30" t="str">
        <f t="shared" si="15"/>
        <v>16 Д</v>
      </c>
      <c r="H209" s="31">
        <f t="shared" si="14"/>
        <v>281</v>
      </c>
      <c r="I209" s="32" t="str">
        <f t="shared" si="2"/>
        <v/>
      </c>
      <c r="J209" s="33" t="str">
        <f t="shared" si="3"/>
        <v/>
      </c>
      <c r="K209" s="36">
        <v>4500.0</v>
      </c>
      <c r="L209" s="33"/>
      <c r="M209" s="36">
        <v>281.0</v>
      </c>
      <c r="N209" s="44">
        <v>19300.0</v>
      </c>
      <c r="O209" s="35">
        <f>IFERROR(__xludf.DUMMYFUNCTION("IFERROR(
  VLOOKUP(C209,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C209
    ), 
    7, FALSE
  ), 
  """"
)
"),35800.0)</f>
        <v>35800</v>
      </c>
      <c r="P209" s="35">
        <f>IFERROR(__xludf.DUMMYFUNCTION("IF(AND(Q209="""", R209=""""),
  """",
  IF(OR(ISBLANK(Q209), ISBLANK(O209)),
    """",
    IF(VALUE(SUBSTITUTE(INDEX(SPLIT(IF(ISBLANK(R209), Q209, R209), "",""), 0, 1), "" Km"", """")) - O209 = 0,
      """",
      VALUE(SUBSTITUTE(INDEX(SPLIT(IF(ISBLANK("&amp;"R209), Q209, R209), "",""), 0, 1), "" Km"", """")) - O209
    )
  )
)"),-16500.0)</f>
        <v>-16500</v>
      </c>
      <c r="Q209" s="36" t="str">
        <f t="shared" si="4"/>
        <v>19 300 Km, 07.09.2023</v>
      </c>
      <c r="R209" s="33"/>
      <c r="S209" s="40">
        <v>100.0</v>
      </c>
      <c r="T209" s="25">
        <v>2.0</v>
      </c>
      <c r="U209" s="25" t="s">
        <v>523</v>
      </c>
      <c r="V209" s="25" t="s">
        <v>524</v>
      </c>
      <c r="W209" s="37" t="str">
        <f t="shared" si="5"/>
        <v>Завершена</v>
      </c>
      <c r="X209" s="25" t="str">
        <f>IFERROR(__xludf.DUMMYFUNCTION("IF(C209 = """", """", IF(REGEXMATCH(C209, ""PCX|NMAX|ADV|CLICK""), ""скутер"", ""мото""))"),"скутер")</f>
        <v>скутер</v>
      </c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</row>
    <row r="210" hidden="1">
      <c r="A210" s="13" t="s">
        <v>24</v>
      </c>
      <c r="B210" s="13" t="s">
        <v>25</v>
      </c>
      <c r="C210" s="14" t="s">
        <v>472</v>
      </c>
      <c r="D210" s="14" t="s">
        <v>519</v>
      </c>
      <c r="E210" s="48">
        <v>45178.0</v>
      </c>
      <c r="F210" s="38">
        <v>45205.5</v>
      </c>
      <c r="G210" s="17" t="str">
        <f t="shared" si="15"/>
        <v>27 Д</v>
      </c>
      <c r="H210" s="18">
        <f t="shared" si="14"/>
        <v>356</v>
      </c>
      <c r="I210" s="19" t="str">
        <f t="shared" si="2"/>
        <v/>
      </c>
      <c r="J210" s="20" t="str">
        <f t="shared" si="3"/>
        <v/>
      </c>
      <c r="K210" s="23">
        <v>9600.0</v>
      </c>
      <c r="L210" s="23"/>
      <c r="M210" s="23">
        <v>356.0</v>
      </c>
      <c r="N210" s="49">
        <v>15640.0</v>
      </c>
      <c r="O210" s="22" t="str">
        <f>IFERROR(__xludf.DUMMYFUNCTION("IFERROR(
  VLOOKUP(C210,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C210
    ), 
    7, FALSE
  ), 
  """"
)
"),"")</f>
        <v/>
      </c>
      <c r="P210" s="22">
        <f>IFERROR(__xludf.DUMMYFUNCTION("IF(AND(Q210="""", R210=""""),
  """",
  IF(OR(ISBLANK(Q210), ISBLANK(O210)),
    """",
    IF(VALUE(SUBSTITUTE(INDEX(SPLIT(IF(ISBLANK(R210), Q210, R210), "",""), 0, 1), "" Km"", """")) - O210 = 0,
      """",
      VALUE(SUBSTITUTE(INDEX(SPLIT(IF(ISBLANK("&amp;"R210), Q210, R210), "",""), 0, 1), "" Km"", """")) - O210
    )
  )
)"),15640.0)</f>
        <v>15640</v>
      </c>
      <c r="Q210" s="23" t="str">
        <f t="shared" si="4"/>
        <v>15 640 Km, 09.09.2023</v>
      </c>
      <c r="R210" s="20"/>
      <c r="S210" s="41" t="s">
        <v>515</v>
      </c>
      <c r="T210" s="13">
        <v>0.0</v>
      </c>
      <c r="U210" s="13" t="s">
        <v>525</v>
      </c>
      <c r="V210" s="13" t="s">
        <v>521</v>
      </c>
      <c r="W210" s="24" t="str">
        <f t="shared" si="5"/>
        <v>Завершена</v>
      </c>
      <c r="X210" s="13" t="str">
        <f>IFERROR(__xludf.DUMMYFUNCTION("IF(C210 = """", """", IF(REGEXMATCH(C210, ""PCX|NMAX|ADV|CLICK""), ""скутер"", ""мото""))"),"мото")</f>
        <v>мото</v>
      </c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</row>
    <row r="211" hidden="1">
      <c r="A211" s="25" t="s">
        <v>24</v>
      </c>
      <c r="B211" s="25" t="s">
        <v>25</v>
      </c>
      <c r="C211" s="27" t="s">
        <v>56</v>
      </c>
      <c r="D211" s="27" t="s">
        <v>526</v>
      </c>
      <c r="E211" s="43">
        <v>45180.0</v>
      </c>
      <c r="F211" s="39">
        <v>45241.541666666664</v>
      </c>
      <c r="G211" s="30" t="str">
        <f t="shared" si="15"/>
        <v>2 М</v>
      </c>
      <c r="H211" s="31">
        <f t="shared" si="14"/>
        <v>166.6666667</v>
      </c>
      <c r="I211" s="32" t="str">
        <f t="shared" si="2"/>
        <v/>
      </c>
      <c r="J211" s="33" t="str">
        <f t="shared" si="3"/>
        <v/>
      </c>
      <c r="K211" s="36">
        <f>5000+5000</f>
        <v>10000</v>
      </c>
      <c r="L211" s="36">
        <v>5000.0</v>
      </c>
      <c r="M211" s="33"/>
      <c r="N211" s="44">
        <v>17001.0</v>
      </c>
      <c r="O211" s="35">
        <f>IFERROR(__xludf.DUMMYFUNCTION("IFERROR(
  VLOOKUP(C211,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C211
    ), 
    7, FALSE
  ), 
  """"
)
"),36400.0)</f>
        <v>36400</v>
      </c>
      <c r="P211" s="35">
        <f>IFERROR(__xludf.DUMMYFUNCTION("IF(AND(Q211="""", R211=""""),
  """",
  IF(OR(ISBLANK(Q211), ISBLANK(O211)),
    """",
    IF(VALUE(SUBSTITUTE(INDEX(SPLIT(IF(ISBLANK(R211), Q211, R211), "",""), 0, 1), "" Km"", """")) - O211 = 0,
      """",
      VALUE(SUBSTITUTE(INDEX(SPLIT(IF(ISBLANK("&amp;"R211), Q211, R211), "",""), 0, 1), "" Km"", """")) - O211
    )
  )
)"),-17300.0)</f>
        <v>-17300</v>
      </c>
      <c r="Q211" s="36" t="str">
        <f t="shared" si="4"/>
        <v>19100 Km, 28.10.2023</v>
      </c>
      <c r="R211" s="58" t="s">
        <v>527</v>
      </c>
      <c r="S211" s="40">
        <v>3000.0</v>
      </c>
      <c r="T211" s="25">
        <v>0.0</v>
      </c>
      <c r="U211" s="25" t="s">
        <v>528</v>
      </c>
      <c r="V211" s="25" t="s">
        <v>529</v>
      </c>
      <c r="W211" s="37" t="str">
        <f t="shared" si="5"/>
        <v>Завершена</v>
      </c>
      <c r="X211" s="25" t="str">
        <f>IFERROR(__xludf.DUMMYFUNCTION("IF(C211 = """", """", IF(REGEXMATCH(C211, ""PCX|NMAX|ADV|CLICK""), ""скутер"", ""мото""))"),"скутер")</f>
        <v>скутер</v>
      </c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</row>
    <row r="212" hidden="1">
      <c r="A212" s="13" t="s">
        <v>24</v>
      </c>
      <c r="B212" s="13" t="s">
        <v>25</v>
      </c>
      <c r="C212" s="14" t="s">
        <v>113</v>
      </c>
      <c r="D212" s="14" t="s">
        <v>530</v>
      </c>
      <c r="E212" s="48">
        <v>45183.0</v>
      </c>
      <c r="F212" s="38">
        <v>45190.666666666664</v>
      </c>
      <c r="G212" s="17" t="str">
        <f t="shared" si="15"/>
        <v>7 Д</v>
      </c>
      <c r="H212" s="18">
        <f t="shared" si="14"/>
        <v>600</v>
      </c>
      <c r="I212" s="19" t="str">
        <f t="shared" si="2"/>
        <v/>
      </c>
      <c r="J212" s="20" t="str">
        <f t="shared" si="3"/>
        <v/>
      </c>
      <c r="K212" s="23">
        <v>4200.0</v>
      </c>
      <c r="L212" s="20"/>
      <c r="M212" s="23">
        <v>600.0</v>
      </c>
      <c r="N212" s="49">
        <v>23500.0</v>
      </c>
      <c r="O212" s="22" t="str">
        <f>IFERROR(__xludf.DUMMYFUNCTION("IFERROR(
  VLOOKUP(C212,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C212
    ), 
    7, FALSE
  ), 
  """"
)
"),"")</f>
        <v/>
      </c>
      <c r="P212" s="22">
        <f>IFERROR(__xludf.DUMMYFUNCTION("IF(AND(Q212="""", R212=""""),
  """",
  IF(OR(ISBLANK(Q212), ISBLANK(O212)),
    """",
    IF(VALUE(SUBSTITUTE(INDEX(SPLIT(IF(ISBLANK(R212), Q212, R212), "",""), 0, 1), "" Km"", """")) - O212 = 0,
      """",
      VALUE(SUBSTITUTE(INDEX(SPLIT(IF(ISBLANK("&amp;"R212), Q212, R212), "",""), 0, 1), "" Km"", """")) - O212
    )
  )
)"),23500.0)</f>
        <v>23500</v>
      </c>
      <c r="Q212" s="23" t="str">
        <f t="shared" si="4"/>
        <v>23 500 Km, 14.09.2023</v>
      </c>
      <c r="R212" s="20"/>
      <c r="S212" s="41">
        <v>5000.0</v>
      </c>
      <c r="T212" s="13">
        <v>2.0</v>
      </c>
      <c r="U212" s="13" t="s">
        <v>531</v>
      </c>
      <c r="V212" s="13" t="s">
        <v>532</v>
      </c>
      <c r="W212" s="24" t="str">
        <f t="shared" si="5"/>
        <v>Завершена</v>
      </c>
      <c r="X212" s="13" t="str">
        <f>IFERROR(__xludf.DUMMYFUNCTION("IF(C212 = """", """", IF(REGEXMATCH(C212, ""PCX|NMAX|ADV|CLICK""), ""скутер"", ""мото""))"),"мото")</f>
        <v>мото</v>
      </c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</row>
    <row r="213" hidden="1">
      <c r="A213" s="25" t="s">
        <v>24</v>
      </c>
      <c r="B213" s="25" t="s">
        <v>25</v>
      </c>
      <c r="C213" s="27" t="s">
        <v>155</v>
      </c>
      <c r="D213" s="27" t="s">
        <v>477</v>
      </c>
      <c r="E213" s="43">
        <v>45187.0</v>
      </c>
      <c r="F213" s="39">
        <v>45197.5</v>
      </c>
      <c r="G213" s="30" t="str">
        <f t="shared" si="15"/>
        <v>10 Д</v>
      </c>
      <c r="H213" s="31">
        <f t="shared" si="14"/>
        <v>500</v>
      </c>
      <c r="I213" s="32" t="str">
        <f t="shared" si="2"/>
        <v/>
      </c>
      <c r="J213" s="33" t="str">
        <f t="shared" si="3"/>
        <v/>
      </c>
      <c r="K213" s="36">
        <v>4800.0</v>
      </c>
      <c r="L213" s="33"/>
      <c r="M213" s="36">
        <v>500.0</v>
      </c>
      <c r="N213" s="44">
        <v>25637.0</v>
      </c>
      <c r="O213" s="35" t="str">
        <f>IFERROR(__xludf.DUMMYFUNCTION("IFERROR(
  VLOOKUP(C213,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C213
    ), 
    7, FALSE
  ), 
  """"
)
"),"")</f>
        <v/>
      </c>
      <c r="P213" s="35">
        <f>IFERROR(__xludf.DUMMYFUNCTION("IF(AND(Q213="""", R213=""""),
  """",
  IF(OR(ISBLANK(Q213), ISBLANK(O213)),
    """",
    IF(VALUE(SUBSTITUTE(INDEX(SPLIT(IF(ISBLANK(R213), Q213, R213), "",""), 0, 1), "" Km"", """")) - O213 = 0,
      """",
      VALUE(SUBSTITUTE(INDEX(SPLIT(IF(ISBLANK("&amp;"R213), Q213, R213), "",""), 0, 1), "" Km"", """")) - O213
    )
  )
)"),25637.0)</f>
        <v>25637</v>
      </c>
      <c r="Q213" s="36" t="str">
        <f t="shared" si="4"/>
        <v>25 637 Km, 18.09.2023</v>
      </c>
      <c r="R213" s="33"/>
      <c r="S213" s="40">
        <v>5000.0</v>
      </c>
      <c r="T213" s="25">
        <v>1.0</v>
      </c>
      <c r="U213" s="25" t="s">
        <v>533</v>
      </c>
      <c r="V213" s="25" t="s">
        <v>534</v>
      </c>
      <c r="W213" s="37" t="str">
        <f t="shared" si="5"/>
        <v>Завершена</v>
      </c>
      <c r="X213" s="25" t="str">
        <f>IFERROR(__xludf.DUMMYFUNCTION("IF(C213 = """", """", IF(REGEXMATCH(C213, ""PCX|NMAX|ADV|CLICK""), ""скутер"", ""мото""))"),"мото")</f>
        <v>мото</v>
      </c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</row>
    <row r="214" hidden="1">
      <c r="A214" s="13" t="s">
        <v>24</v>
      </c>
      <c r="B214" s="13" t="s">
        <v>25</v>
      </c>
      <c r="C214" s="14" t="s">
        <v>468</v>
      </c>
      <c r="D214" s="14" t="s">
        <v>535</v>
      </c>
      <c r="E214" s="48">
        <v>45193.0</v>
      </c>
      <c r="F214" s="38">
        <v>45223.541666666664</v>
      </c>
      <c r="G214" s="17" t="str">
        <f t="shared" si="15"/>
        <v>30 Д</v>
      </c>
      <c r="H214" s="18">
        <f t="shared" si="14"/>
        <v>400</v>
      </c>
      <c r="I214" s="19" t="str">
        <f t="shared" si="2"/>
        <v/>
      </c>
      <c r="J214" s="20" t="str">
        <f t="shared" si="3"/>
        <v/>
      </c>
      <c r="K214" s="23">
        <v>12000.0</v>
      </c>
      <c r="L214" s="23">
        <v>12000.0</v>
      </c>
      <c r="M214" s="20"/>
      <c r="N214" s="49">
        <v>10900.0</v>
      </c>
      <c r="O214" s="22">
        <f>IFERROR(__xludf.DUMMYFUNCTION("IFERROR(
  VLOOKUP(C214,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C214
    ), 
    7, FALSE
  ), 
  """"
)
"),22200.0)</f>
        <v>22200</v>
      </c>
      <c r="P214" s="22">
        <f>IFERROR(__xludf.DUMMYFUNCTION("IF(AND(Q214="""", R214=""""),
  """",
  IF(OR(ISBLANK(Q214), ISBLANK(O214)),
    """",
    IF(VALUE(SUBSTITUTE(INDEX(SPLIT(IF(ISBLANK(R214), Q214, R214), "",""), 0, 1), "" Km"", """")) - O214 = 0,
      """",
      VALUE(SUBSTITUTE(INDEX(SPLIT(IF(ISBLANK("&amp;"R214), Q214, R214), "",""), 0, 1), "" Km"", """")) - O214
    )
  )
)"),-11300.0)</f>
        <v>-11300</v>
      </c>
      <c r="Q214" s="23" t="str">
        <f t="shared" si="4"/>
        <v>10 900 Km, 24.09.2023</v>
      </c>
      <c r="R214" s="20"/>
      <c r="S214" s="41">
        <v>10000.0</v>
      </c>
      <c r="T214" s="13">
        <v>1.0</v>
      </c>
      <c r="U214" s="13" t="s">
        <v>536</v>
      </c>
      <c r="V214" s="13" t="s">
        <v>537</v>
      </c>
      <c r="W214" s="24" t="str">
        <f t="shared" si="5"/>
        <v>Завершена</v>
      </c>
      <c r="X214" s="13" t="str">
        <f>IFERROR(__xludf.DUMMYFUNCTION("IF(C214 = """", """", IF(REGEXMATCH(C214, ""PCX|NMAX|ADV|CLICK""), ""скутер"", ""мото""))"),"мото")</f>
        <v>мото</v>
      </c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</row>
    <row r="215" hidden="1">
      <c r="A215" s="25" t="s">
        <v>24</v>
      </c>
      <c r="B215" s="25" t="s">
        <v>25</v>
      </c>
      <c r="C215" s="27" t="s">
        <v>48</v>
      </c>
      <c r="D215" s="27" t="s">
        <v>538</v>
      </c>
      <c r="E215" s="43">
        <v>45196.0</v>
      </c>
      <c r="F215" s="39">
        <v>45199.958333333336</v>
      </c>
      <c r="G215" s="30" t="str">
        <f t="shared" si="15"/>
        <v>3 Д</v>
      </c>
      <c r="H215" s="31">
        <f t="shared" si="14"/>
        <v>250</v>
      </c>
      <c r="I215" s="32" t="str">
        <f t="shared" si="2"/>
        <v/>
      </c>
      <c r="J215" s="33" t="str">
        <f t="shared" si="3"/>
        <v/>
      </c>
      <c r="K215" s="36">
        <v>1000.0</v>
      </c>
      <c r="L215" s="33"/>
      <c r="M215" s="36">
        <v>250.0</v>
      </c>
      <c r="N215" s="44">
        <v>19715.0</v>
      </c>
      <c r="O215" s="35">
        <f>IFERROR(__xludf.DUMMYFUNCTION("IFERROR(
  VLOOKUP(C215,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C215
    ), 
    7, FALSE
  ), 
  """"
)
"),35800.0)</f>
        <v>35800</v>
      </c>
      <c r="P215" s="35">
        <f>IFERROR(__xludf.DUMMYFUNCTION("IF(AND(Q215="""", R215=""""),
  """",
  IF(OR(ISBLANK(Q215), ISBLANK(O215)),
    """",
    IF(VALUE(SUBSTITUTE(INDEX(SPLIT(IF(ISBLANK(R215), Q215, R215), "",""), 0, 1), "" Km"", """")) - O215 = 0,
      """",
      VALUE(SUBSTITUTE(INDEX(SPLIT(IF(ISBLANK("&amp;"R215), Q215, R215), "",""), 0, 1), "" Km"", """")) - O215
    )
  )
)"),-16085.0)</f>
        <v>-16085</v>
      </c>
      <c r="Q215" s="36" t="str">
        <f t="shared" si="4"/>
        <v>19 715 Km, 27.09.2023</v>
      </c>
      <c r="R215" s="33"/>
      <c r="S215" s="40">
        <v>3000.0</v>
      </c>
      <c r="T215" s="25">
        <v>2.0</v>
      </c>
      <c r="U215" s="25" t="s">
        <v>539</v>
      </c>
      <c r="V215" s="25" t="s">
        <v>540</v>
      </c>
      <c r="W215" s="37" t="str">
        <f t="shared" si="5"/>
        <v>Завершена</v>
      </c>
      <c r="X215" s="25" t="str">
        <f>IFERROR(__xludf.DUMMYFUNCTION("IF(C215 = """", """", IF(REGEXMATCH(C215, ""PCX|NMAX|ADV|CLICK""), ""скутер"", ""мото""))"),"скутер")</f>
        <v>скутер</v>
      </c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</row>
    <row r="216" hidden="1">
      <c r="A216" s="13" t="s">
        <v>24</v>
      </c>
      <c r="B216" s="13" t="s">
        <v>25</v>
      </c>
      <c r="C216" s="14" t="s">
        <v>286</v>
      </c>
      <c r="D216" s="14" t="s">
        <v>473</v>
      </c>
      <c r="E216" s="48">
        <v>45198.0</v>
      </c>
      <c r="F216" s="38">
        <v>45201.916666666664</v>
      </c>
      <c r="G216" s="17" t="str">
        <f t="shared" si="15"/>
        <v>3 Д</v>
      </c>
      <c r="H216" s="18">
        <f t="shared" si="14"/>
        <v>600</v>
      </c>
      <c r="I216" s="19" t="str">
        <f t="shared" si="2"/>
        <v/>
      </c>
      <c r="J216" s="20" t="str">
        <f t="shared" si="3"/>
        <v/>
      </c>
      <c r="K216" s="23">
        <v>1800.0</v>
      </c>
      <c r="L216" s="20"/>
      <c r="M216" s="23">
        <v>600.0</v>
      </c>
      <c r="N216" s="49">
        <v>8900.0</v>
      </c>
      <c r="O216" s="22" t="str">
        <f>IFERROR(__xludf.DUMMYFUNCTION("IFERROR(
  VLOOKUP(C216,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C216
    ), 
    7, FALSE
  ), 
  """"
)
"),"")</f>
        <v/>
      </c>
      <c r="P216" s="22">
        <f>IFERROR(__xludf.DUMMYFUNCTION("IF(AND(Q216="""", R216=""""),
  """",
  IF(OR(ISBLANK(Q216), ISBLANK(O216)),
    """",
    IF(VALUE(SUBSTITUTE(INDEX(SPLIT(IF(ISBLANK(R216), Q216, R216), "",""), 0, 1), "" Km"", """")) - O216 = 0,
      """",
      VALUE(SUBSTITUTE(INDEX(SPLIT(IF(ISBLANK("&amp;"R216), Q216, R216), "",""), 0, 1), "" Km"", """")) - O216
    )
  )
)"),8900.0)</f>
        <v>8900</v>
      </c>
      <c r="Q216" s="23" t="str">
        <f t="shared" si="4"/>
        <v>8 900 Km, 29.09.2023</v>
      </c>
      <c r="R216" s="20"/>
      <c r="S216" s="41">
        <v>8000.0</v>
      </c>
      <c r="T216" s="13">
        <v>0.0</v>
      </c>
      <c r="U216" s="13" t="s">
        <v>516</v>
      </c>
      <c r="V216" s="13" t="s">
        <v>541</v>
      </c>
      <c r="W216" s="24" t="str">
        <f t="shared" si="5"/>
        <v>Завершена</v>
      </c>
      <c r="X216" s="13" t="str">
        <f>IFERROR(__xludf.DUMMYFUNCTION("IF(C216 = """", """", IF(REGEXMATCH(C216, ""PCX|NMAX|ADV|CLICK""), ""скутер"", ""мото""))"),"мото")</f>
        <v>мото</v>
      </c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</row>
    <row r="217" hidden="1">
      <c r="A217" s="25" t="s">
        <v>24</v>
      </c>
      <c r="B217" s="25" t="s">
        <v>25</v>
      </c>
      <c r="C217" s="27" t="s">
        <v>193</v>
      </c>
      <c r="D217" s="27" t="s">
        <v>542</v>
      </c>
      <c r="E217" s="43">
        <v>45200.0</v>
      </c>
      <c r="F217" s="39">
        <v>45203.583333333336</v>
      </c>
      <c r="G217" s="30" t="str">
        <f t="shared" si="15"/>
        <v>3 Д</v>
      </c>
      <c r="H217" s="31">
        <f t="shared" si="14"/>
        <v>600</v>
      </c>
      <c r="I217" s="32" t="str">
        <f t="shared" si="2"/>
        <v/>
      </c>
      <c r="J217" s="33" t="str">
        <f t="shared" si="3"/>
        <v/>
      </c>
      <c r="K217" s="36">
        <v>1800.0</v>
      </c>
      <c r="L217" s="33"/>
      <c r="M217" s="36">
        <v>600.0</v>
      </c>
      <c r="N217" s="44">
        <v>10300.0</v>
      </c>
      <c r="O217" s="35" t="str">
        <f>IFERROR(__xludf.DUMMYFUNCTION("IFERROR(
  VLOOKUP(C217,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C217
    ), 
    7, FALSE
  ), 
  """"
)
"),"")</f>
        <v/>
      </c>
      <c r="P217" s="35">
        <f>IFERROR(__xludf.DUMMYFUNCTION("IF(AND(Q217="""", R217=""""),
  """",
  IF(OR(ISBLANK(Q217), ISBLANK(O217)),
    """",
    IF(VALUE(SUBSTITUTE(INDEX(SPLIT(IF(ISBLANK(R217), Q217, R217), "",""), 0, 1), "" Km"", """")) - O217 = 0,
      """",
      VALUE(SUBSTITUTE(INDEX(SPLIT(IF(ISBLANK("&amp;"R217), Q217, R217), "",""), 0, 1), "" Km"", """")) - O217
    )
  )
)"),10300.0)</f>
        <v>10300</v>
      </c>
      <c r="Q217" s="36" t="str">
        <f t="shared" si="4"/>
        <v>10 300 Km, 01.10.2023</v>
      </c>
      <c r="R217" s="33"/>
      <c r="S217" s="40">
        <v>7500.0</v>
      </c>
      <c r="T217" s="25">
        <v>2.0</v>
      </c>
      <c r="U217" s="25" t="s">
        <v>543</v>
      </c>
      <c r="V217" s="25" t="s">
        <v>544</v>
      </c>
      <c r="W217" s="37" t="str">
        <f t="shared" si="5"/>
        <v>Завершена</v>
      </c>
      <c r="X217" s="25" t="str">
        <f>IFERROR(__xludf.DUMMYFUNCTION("IF(C217 = """", """", IF(REGEXMATCH(C217, ""PCX|NMAX|ADV|CLICK""), ""скутер"", ""мото""))"),"мото")</f>
        <v>мото</v>
      </c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</row>
    <row r="218" hidden="1">
      <c r="A218" s="13" t="s">
        <v>24</v>
      </c>
      <c r="B218" s="13" t="s">
        <v>25</v>
      </c>
      <c r="C218" s="14" t="s">
        <v>483</v>
      </c>
      <c r="D218" s="14" t="s">
        <v>511</v>
      </c>
      <c r="E218" s="48">
        <v>45202.0</v>
      </c>
      <c r="F218" s="38">
        <v>45233.708333333336</v>
      </c>
      <c r="G218" s="17" t="str">
        <f t="shared" si="15"/>
        <v>1 М</v>
      </c>
      <c r="H218" s="18">
        <f t="shared" si="14"/>
        <v>566.6666667</v>
      </c>
      <c r="I218" s="19" t="str">
        <f t="shared" si="2"/>
        <v/>
      </c>
      <c r="J218" s="20" t="str">
        <f t="shared" si="3"/>
        <v/>
      </c>
      <c r="K218" s="23">
        <v>17000.0</v>
      </c>
      <c r="L218" s="23">
        <v>17000.0</v>
      </c>
      <c r="M218" s="20"/>
      <c r="N218" s="49">
        <v>21220.0</v>
      </c>
      <c r="O218" s="22">
        <f>IFERROR(__xludf.DUMMYFUNCTION("IFERROR(
  VLOOKUP(C218,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C218
    ), 
    7, FALSE
  ), 
  """"
)
"),41500.0)</f>
        <v>41500</v>
      </c>
      <c r="P218" s="22">
        <f>IFERROR(__xludf.DUMMYFUNCTION("IF(AND(Q218="""", R218=""""),
  """",
  IF(OR(ISBLANK(Q218), ISBLANK(O218)),
    """",
    IF(VALUE(SUBSTITUTE(INDEX(SPLIT(IF(ISBLANK(R218), Q218, R218), "",""), 0, 1), "" Km"", """")) - O218 = 0,
      """",
      VALUE(SUBSTITUTE(INDEX(SPLIT(IF(ISBLANK("&amp;"R218), Q218, R218), "",""), 0, 1), "" Km"", """")) - O218
    )
  )
)"),-20280.0)</f>
        <v>-20280</v>
      </c>
      <c r="Q218" s="23" t="str">
        <f t="shared" si="4"/>
        <v>21 220 Km, 03.10.2023</v>
      </c>
      <c r="R218" s="20"/>
      <c r="S218" s="41">
        <v>20000.0</v>
      </c>
      <c r="T218" s="13">
        <v>0.0</v>
      </c>
      <c r="U218" s="13" t="s">
        <v>512</v>
      </c>
      <c r="V218" s="13" t="s">
        <v>513</v>
      </c>
      <c r="W218" s="24" t="str">
        <f t="shared" si="5"/>
        <v>Завершена</v>
      </c>
      <c r="X218" s="13" t="str">
        <f>IFERROR(__xludf.DUMMYFUNCTION("IF(C218 = """", """", IF(REGEXMATCH(C218, ""PCX|NMAX|ADV|CLICK""), ""скутер"", ""мото""))"),"мото")</f>
        <v>мото</v>
      </c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</row>
    <row r="219" hidden="1">
      <c r="A219" s="25" t="s">
        <v>24</v>
      </c>
      <c r="B219" s="25" t="s">
        <v>25</v>
      </c>
      <c r="C219" s="27" t="s">
        <v>64</v>
      </c>
      <c r="D219" s="27" t="s">
        <v>545</v>
      </c>
      <c r="E219" s="43">
        <v>45204.0</v>
      </c>
      <c r="F219" s="39">
        <v>45211.708333333336</v>
      </c>
      <c r="G219" s="30" t="str">
        <f t="shared" si="15"/>
        <v>7 Д</v>
      </c>
      <c r="H219" s="31">
        <f t="shared" si="14"/>
        <v>571</v>
      </c>
      <c r="I219" s="32" t="str">
        <f t="shared" si="2"/>
        <v/>
      </c>
      <c r="J219" s="33" t="str">
        <f t="shared" si="3"/>
        <v/>
      </c>
      <c r="K219" s="36">
        <v>4000.0</v>
      </c>
      <c r="L219" s="33"/>
      <c r="M219" s="36">
        <v>571.0</v>
      </c>
      <c r="N219" s="44">
        <v>16500.0</v>
      </c>
      <c r="O219" s="35">
        <f>IFERROR(__xludf.DUMMYFUNCTION("IFERROR(
  VLOOKUP(C219,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C219
    ), 
    7, FALSE
  ), 
  """"
)
"),32600.0)</f>
        <v>32600</v>
      </c>
      <c r="P219" s="35">
        <f>IFERROR(__xludf.DUMMYFUNCTION("IF(AND(Q219="""", R219=""""),
  """",
  IF(OR(ISBLANK(Q219), ISBLANK(O219)),
    """",
    IF(VALUE(SUBSTITUTE(INDEX(SPLIT(IF(ISBLANK(R219), Q219, R219), "",""), 0, 1), "" Km"", """")) - O219 = 0,
      """",
      VALUE(SUBSTITUTE(INDEX(SPLIT(IF(ISBLANK("&amp;"R219), Q219, R219), "",""), 0, 1), "" Km"", """")) - O219
    )
  )
)"),-16100.0)</f>
        <v>-16100</v>
      </c>
      <c r="Q219" s="36" t="str">
        <f t="shared" si="4"/>
        <v>16 500 Km, 05.10.2023</v>
      </c>
      <c r="R219" s="33"/>
      <c r="S219" s="40">
        <v>5000.0</v>
      </c>
      <c r="T219" s="25">
        <v>2.0</v>
      </c>
      <c r="U219" s="25" t="s">
        <v>546</v>
      </c>
      <c r="V219" s="25" t="s">
        <v>547</v>
      </c>
      <c r="W219" s="37" t="str">
        <f t="shared" si="5"/>
        <v>Завершена</v>
      </c>
      <c r="X219" s="25" t="str">
        <f>IFERROR(__xludf.DUMMYFUNCTION("IF(C219 = """", """", IF(REGEXMATCH(C219, ""PCX|NMAX|ADV|CLICK""), ""скутер"", ""мото""))"),"мото")</f>
        <v>мото</v>
      </c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</row>
    <row r="220" hidden="1">
      <c r="A220" s="13" t="s">
        <v>24</v>
      </c>
      <c r="B220" s="13" t="s">
        <v>25</v>
      </c>
      <c r="C220" s="14" t="s">
        <v>279</v>
      </c>
      <c r="D220" s="14" t="s">
        <v>548</v>
      </c>
      <c r="E220" s="48">
        <v>45208.0</v>
      </c>
      <c r="F220" s="38">
        <v>45211.541666666664</v>
      </c>
      <c r="G220" s="17" t="str">
        <f t="shared" si="15"/>
        <v>3 Д</v>
      </c>
      <c r="H220" s="18">
        <f t="shared" si="14"/>
        <v>600</v>
      </c>
      <c r="I220" s="19" t="str">
        <f t="shared" si="2"/>
        <v/>
      </c>
      <c r="J220" s="20" t="str">
        <f t="shared" si="3"/>
        <v/>
      </c>
      <c r="K220" s="23">
        <v>1800.0</v>
      </c>
      <c r="L220" s="20"/>
      <c r="M220" s="23">
        <v>600.0</v>
      </c>
      <c r="N220" s="49">
        <v>6500.0</v>
      </c>
      <c r="O220" s="22">
        <f>IFERROR(__xludf.DUMMYFUNCTION("IFERROR(
  VLOOKUP(C220,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C220
    ), 
    7, FALSE
  ), 
  """"
)
"),9000.0)</f>
        <v>9000</v>
      </c>
      <c r="P220" s="22">
        <f>IFERROR(__xludf.DUMMYFUNCTION("IF(AND(Q220="""", R220=""""),
  """",
  IF(OR(ISBLANK(Q220), ISBLANK(O220)),
    """",
    IF(VALUE(SUBSTITUTE(INDEX(SPLIT(IF(ISBLANK(R220), Q220, R220), "",""), 0, 1), "" Km"", """")) - O220 = 0,
      """",
      VALUE(SUBSTITUTE(INDEX(SPLIT(IF(ISBLANK("&amp;"R220), Q220, R220), "",""), 0, 1), "" Km"", """")) - O220
    )
  )
)"),-2500.0)</f>
        <v>-2500</v>
      </c>
      <c r="Q220" s="23" t="str">
        <f t="shared" si="4"/>
        <v>6 500 Km, 09.10.2023</v>
      </c>
      <c r="R220" s="20"/>
      <c r="S220" s="41">
        <v>5000.0</v>
      </c>
      <c r="T220" s="13">
        <v>0.0</v>
      </c>
      <c r="U220" s="13" t="s">
        <v>549</v>
      </c>
      <c r="V220" s="24"/>
      <c r="W220" s="24" t="str">
        <f t="shared" si="5"/>
        <v>Завершена</v>
      </c>
      <c r="X220" s="13" t="str">
        <f>IFERROR(__xludf.DUMMYFUNCTION("IF(C220 = """", """", IF(REGEXMATCH(C220, ""PCX|NMAX|ADV|CLICK""), ""скутер"", ""мото""))"),"мото")</f>
        <v>мото</v>
      </c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</row>
    <row r="221" hidden="1">
      <c r="A221" s="25" t="s">
        <v>24</v>
      </c>
      <c r="B221" s="25" t="s">
        <v>25</v>
      </c>
      <c r="C221" s="27" t="s">
        <v>427</v>
      </c>
      <c r="D221" s="27" t="s">
        <v>550</v>
      </c>
      <c r="E221" s="43">
        <v>45210.0</v>
      </c>
      <c r="F221" s="39">
        <v>45213.666666666664</v>
      </c>
      <c r="G221" s="30" t="str">
        <f t="shared" si="15"/>
        <v>3 Д</v>
      </c>
      <c r="H221" s="31">
        <f t="shared" si="14"/>
        <v>800</v>
      </c>
      <c r="I221" s="32" t="str">
        <f t="shared" si="2"/>
        <v/>
      </c>
      <c r="J221" s="33" t="str">
        <f t="shared" si="3"/>
        <v/>
      </c>
      <c r="K221" s="36">
        <v>2400.0</v>
      </c>
      <c r="L221" s="33"/>
      <c r="M221" s="36">
        <v>800.0</v>
      </c>
      <c r="N221" s="44">
        <v>15500.0</v>
      </c>
      <c r="O221" s="35" t="str">
        <f>IFERROR(__xludf.DUMMYFUNCTION("IFERROR(
  VLOOKUP(C221,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C221
    ), 
    7, FALSE
  ), 
  """"
)
"),"")</f>
        <v/>
      </c>
      <c r="P221" s="35">
        <f>IFERROR(__xludf.DUMMYFUNCTION("IF(AND(Q221="""", R221=""""),
  """",
  IF(OR(ISBLANK(Q221), ISBLANK(O221)),
    """",
    IF(VALUE(SUBSTITUTE(INDEX(SPLIT(IF(ISBLANK(R221), Q221, R221), "",""), 0, 1), "" Km"", """")) - O221 = 0,
      """",
      VALUE(SUBSTITUTE(INDEX(SPLIT(IF(ISBLANK("&amp;"R221), Q221, R221), "",""), 0, 1), "" Km"", """")) - O221
    )
  )
)"),15500.0)</f>
        <v>15500</v>
      </c>
      <c r="Q221" s="36" t="str">
        <f t="shared" si="4"/>
        <v>15 500 Km, 11.10.2023</v>
      </c>
      <c r="R221" s="33"/>
      <c r="S221" s="40">
        <v>10000.0</v>
      </c>
      <c r="T221" s="25">
        <v>2.0</v>
      </c>
      <c r="U221" s="25" t="s">
        <v>551</v>
      </c>
      <c r="V221" s="37"/>
      <c r="W221" s="37" t="str">
        <f t="shared" si="5"/>
        <v>Завершена</v>
      </c>
      <c r="X221" s="25" t="str">
        <f>IFERROR(__xludf.DUMMYFUNCTION("IF(C221 = """", """", IF(REGEXMATCH(C221, ""PCX|NMAX|ADV|CLICK""), ""скутер"", ""мото""))"),"мото")</f>
        <v>мото</v>
      </c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</row>
    <row r="222" hidden="1">
      <c r="A222" s="13" t="s">
        <v>24</v>
      </c>
      <c r="B222" s="13" t="s">
        <v>25</v>
      </c>
      <c r="C222" s="14" t="s">
        <v>68</v>
      </c>
      <c r="D222" s="14" t="s">
        <v>552</v>
      </c>
      <c r="E222" s="48">
        <v>45211.0</v>
      </c>
      <c r="F222" s="38">
        <v>45216.5</v>
      </c>
      <c r="G222" s="17" t="str">
        <f t="shared" si="15"/>
        <v>5 Д</v>
      </c>
      <c r="H222" s="18">
        <f t="shared" si="14"/>
        <v>300</v>
      </c>
      <c r="I222" s="19" t="str">
        <f t="shared" si="2"/>
        <v/>
      </c>
      <c r="J222" s="20" t="str">
        <f t="shared" si="3"/>
        <v/>
      </c>
      <c r="K222" s="23">
        <v>1500.0</v>
      </c>
      <c r="L222" s="20"/>
      <c r="M222" s="23">
        <v>300.0</v>
      </c>
      <c r="N222" s="49">
        <v>17001.0</v>
      </c>
      <c r="O222" s="22">
        <f>IFERROR(__xludf.DUMMYFUNCTION("IFERROR(
  VLOOKUP(C222,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C222
    ), 
    7, FALSE
  ), 
  """"
)
"),24094.0)</f>
        <v>24094</v>
      </c>
      <c r="P222" s="22">
        <f>IFERROR(__xludf.DUMMYFUNCTION("IF(AND(Q222="""", R222=""""),
  """",
  IF(OR(ISBLANK(Q222), ISBLANK(O222)),
    """",
    IF(VALUE(SUBSTITUTE(INDEX(SPLIT(IF(ISBLANK(R222), Q222, R222), "",""), 0, 1), "" Km"", """")) - O222 = 0,
      """",
      VALUE(SUBSTITUTE(INDEX(SPLIT(IF(ISBLANK("&amp;"R222), Q222, R222), "",""), 0, 1), "" Km"", """")) - O222
    )
  )
)"),-7093.0)</f>
        <v>-7093</v>
      </c>
      <c r="Q222" s="23" t="str">
        <f t="shared" si="4"/>
        <v>17 001 Km, 12.10.2023</v>
      </c>
      <c r="R222" s="20"/>
      <c r="S222" s="41">
        <v>3000.0</v>
      </c>
      <c r="T222" s="13">
        <v>2.0</v>
      </c>
      <c r="U222" s="13" t="s">
        <v>553</v>
      </c>
      <c r="V222" s="13" t="s">
        <v>554</v>
      </c>
      <c r="W222" s="24" t="str">
        <f t="shared" si="5"/>
        <v>Завершена</v>
      </c>
      <c r="X222" s="13" t="str">
        <f>IFERROR(__xludf.DUMMYFUNCTION("IF(C222 = """", """", IF(REGEXMATCH(C222, ""PCX|NMAX|ADV|CLICK""), ""скутер"", ""мото""))"),"скутер")</f>
        <v>скутер</v>
      </c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</row>
    <row r="223" hidden="1">
      <c r="A223" s="25" t="s">
        <v>24</v>
      </c>
      <c r="B223" s="25" t="s">
        <v>25</v>
      </c>
      <c r="C223" s="27" t="s">
        <v>438</v>
      </c>
      <c r="D223" s="27" t="s">
        <v>473</v>
      </c>
      <c r="E223" s="43">
        <v>45214.0</v>
      </c>
      <c r="F223" s="39">
        <v>45216.625</v>
      </c>
      <c r="G223" s="30" t="str">
        <f t="shared" si="15"/>
        <v>2 Д</v>
      </c>
      <c r="H223" s="31">
        <f t="shared" si="14"/>
        <v>1000</v>
      </c>
      <c r="I223" s="32" t="str">
        <f t="shared" si="2"/>
        <v/>
      </c>
      <c r="J223" s="33" t="str">
        <f t="shared" si="3"/>
        <v/>
      </c>
      <c r="K223" s="36">
        <v>2000.0</v>
      </c>
      <c r="L223" s="33"/>
      <c r="M223" s="36">
        <v>1000.0</v>
      </c>
      <c r="N223" s="44">
        <v>14800.0</v>
      </c>
      <c r="O223" s="35">
        <f>IFERROR(__xludf.DUMMYFUNCTION("IFERROR(
  VLOOKUP(C223,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C223
    ), 
    7, FALSE
  ), 
  """"
)
"),37823.0)</f>
        <v>37823</v>
      </c>
      <c r="P223" s="35">
        <f>IFERROR(__xludf.DUMMYFUNCTION("IF(AND(Q223="""", R223=""""),
  """",
  IF(OR(ISBLANK(Q223), ISBLANK(O223)),
    """",
    IF(VALUE(SUBSTITUTE(INDEX(SPLIT(IF(ISBLANK(R223), Q223, R223), "",""), 0, 1), "" Km"", """")) - O223 = 0,
      """",
      VALUE(SUBSTITUTE(INDEX(SPLIT(IF(ISBLANK("&amp;"R223), Q223, R223), "",""), 0, 1), "" Km"", """")) - O223
    )
  )
)"),-23023.0)</f>
        <v>-23023</v>
      </c>
      <c r="Q223" s="36" t="str">
        <f t="shared" si="4"/>
        <v>14 800 Km, 15.10.2023</v>
      </c>
      <c r="R223" s="33"/>
      <c r="S223" s="40">
        <v>15000.0</v>
      </c>
      <c r="T223" s="25">
        <v>0.0</v>
      </c>
      <c r="U223" s="25" t="s">
        <v>516</v>
      </c>
      <c r="V223" s="37"/>
      <c r="W223" s="37" t="str">
        <f t="shared" si="5"/>
        <v>Завершена</v>
      </c>
      <c r="X223" s="25" t="str">
        <f>IFERROR(__xludf.DUMMYFUNCTION("IF(C223 = """", """", IF(REGEXMATCH(C223, ""PCX|NMAX|ADV|CLICK""), ""скутер"", ""мото""))"),"мото")</f>
        <v>мото</v>
      </c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</row>
    <row r="224" hidden="1">
      <c r="A224" s="13" t="s">
        <v>24</v>
      </c>
      <c r="B224" s="13" t="s">
        <v>25</v>
      </c>
      <c r="C224" s="14" t="s">
        <v>438</v>
      </c>
      <c r="D224" s="14" t="s">
        <v>555</v>
      </c>
      <c r="E224" s="48">
        <v>45214.0</v>
      </c>
      <c r="F224" s="38">
        <v>45216.708333333336</v>
      </c>
      <c r="G224" s="17" t="str">
        <f t="shared" si="15"/>
        <v>2 Д</v>
      </c>
      <c r="H224" s="18">
        <f t="shared" si="14"/>
        <v>1000</v>
      </c>
      <c r="I224" s="19" t="str">
        <f t="shared" si="2"/>
        <v/>
      </c>
      <c r="J224" s="20" t="str">
        <f t="shared" si="3"/>
        <v/>
      </c>
      <c r="K224" s="23"/>
      <c r="L224" s="20"/>
      <c r="M224" s="23">
        <v>1000.0</v>
      </c>
      <c r="N224" s="49">
        <v>14800.0</v>
      </c>
      <c r="O224" s="22">
        <f>IFERROR(__xludf.DUMMYFUNCTION("IFERROR(
  VLOOKUP(C224,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C224
    ), 
    7, FALSE
  ), 
  """"
)
"),37823.0)</f>
        <v>37823</v>
      </c>
      <c r="P224" s="22">
        <f>IFERROR(__xludf.DUMMYFUNCTION("IF(AND(Q224="""", R224=""""),
  """",
  IF(OR(ISBLANK(Q224), ISBLANK(O224)),
    """",
    IF(VALUE(SUBSTITUTE(INDEX(SPLIT(IF(ISBLANK(R224), Q224, R224), "",""), 0, 1), "" Km"", """")) - O224 = 0,
      """",
      VALUE(SUBSTITUTE(INDEX(SPLIT(IF(ISBLANK("&amp;"R224), Q224, R224), "",""), 0, 1), "" Km"", """")) - O224
    )
  )
)"),-23023.0)</f>
        <v>-23023</v>
      </c>
      <c r="Q224" s="23" t="str">
        <f t="shared" si="4"/>
        <v>14 800 Km, 15.10.2023</v>
      </c>
      <c r="R224" s="20"/>
      <c r="S224" s="41">
        <v>12000.0</v>
      </c>
      <c r="T224" s="13">
        <v>1.0</v>
      </c>
      <c r="U224" s="13" t="s">
        <v>556</v>
      </c>
      <c r="V224" s="13" t="s">
        <v>557</v>
      </c>
      <c r="W224" s="24" t="str">
        <f t="shared" si="5"/>
        <v>Завершена</v>
      </c>
      <c r="X224" s="13" t="str">
        <f>IFERROR(__xludf.DUMMYFUNCTION("IF(C224 = """", """", IF(REGEXMATCH(C224, ""PCX|NMAX|ADV|CLICK""), ""скутер"", ""мото""))"),"мото")</f>
        <v>мото</v>
      </c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</row>
    <row r="225" hidden="1">
      <c r="A225" s="25" t="s">
        <v>24</v>
      </c>
      <c r="B225" s="25" t="s">
        <v>25</v>
      </c>
      <c r="C225" s="27" t="s">
        <v>64</v>
      </c>
      <c r="D225" s="27" t="s">
        <v>558</v>
      </c>
      <c r="E225" s="43">
        <v>45214.0</v>
      </c>
      <c r="F225" s="39">
        <v>45217.708333333336</v>
      </c>
      <c r="G225" s="30" t="str">
        <f t="shared" si="15"/>
        <v>3 Д</v>
      </c>
      <c r="H225" s="31">
        <f t="shared" si="14"/>
        <v>600</v>
      </c>
      <c r="I225" s="32" t="str">
        <f t="shared" si="2"/>
        <v/>
      </c>
      <c r="J225" s="33" t="str">
        <f t="shared" si="3"/>
        <v/>
      </c>
      <c r="K225" s="36">
        <v>1800.0</v>
      </c>
      <c r="L225" s="33"/>
      <c r="M225" s="36">
        <v>600.0</v>
      </c>
      <c r="N225" s="44">
        <v>16742.0</v>
      </c>
      <c r="O225" s="35">
        <f>IFERROR(__xludf.DUMMYFUNCTION("IFERROR(
  VLOOKUP(C225,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C225
    ), 
    7, FALSE
  ), 
  """"
)
"),32600.0)</f>
        <v>32600</v>
      </c>
      <c r="P225" s="35">
        <f>IFERROR(__xludf.DUMMYFUNCTION("IF(AND(Q225="""", R225=""""),
  """",
  IF(OR(ISBLANK(Q225), ISBLANK(O225)),
    """",
    IF(VALUE(SUBSTITUTE(INDEX(SPLIT(IF(ISBLANK(R225), Q225, R225), "",""), 0, 1), "" Km"", """")) - O225 = 0,
      """",
      VALUE(SUBSTITUTE(INDEX(SPLIT(IF(ISBLANK("&amp;"R225), Q225, R225), "",""), 0, 1), "" Km"", """")) - O225
    )
  )
)"),-15858.0)</f>
        <v>-15858</v>
      </c>
      <c r="Q225" s="36" t="str">
        <f t="shared" si="4"/>
        <v>16 742 Km, 15.10.2023</v>
      </c>
      <c r="R225" s="33"/>
      <c r="S225" s="40">
        <v>150.0</v>
      </c>
      <c r="T225" s="25">
        <v>2.0</v>
      </c>
      <c r="U225" s="25" t="s">
        <v>559</v>
      </c>
      <c r="V225" s="25" t="s">
        <v>560</v>
      </c>
      <c r="W225" s="37" t="str">
        <f t="shared" si="5"/>
        <v>Завершена</v>
      </c>
      <c r="X225" s="25" t="str">
        <f>IFERROR(__xludf.DUMMYFUNCTION("IF(C225 = """", """", IF(REGEXMATCH(C225, ""PCX|NMAX|ADV|CLICK""), ""скутер"", ""мото""))"),"мото")</f>
        <v>мото</v>
      </c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</row>
    <row r="226" hidden="1">
      <c r="A226" s="13" t="s">
        <v>24</v>
      </c>
      <c r="B226" s="13" t="s">
        <v>25</v>
      </c>
      <c r="C226" s="14" t="s">
        <v>193</v>
      </c>
      <c r="D226" s="14" t="s">
        <v>561</v>
      </c>
      <c r="E226" s="48">
        <v>45214.0</v>
      </c>
      <c r="F226" s="38">
        <v>45244.5</v>
      </c>
      <c r="G226" s="17" t="str">
        <f t="shared" si="15"/>
        <v>30 Д</v>
      </c>
      <c r="H226" s="18">
        <f t="shared" si="14"/>
        <v>266.6666667</v>
      </c>
      <c r="I226" s="19" t="str">
        <f t="shared" si="2"/>
        <v/>
      </c>
      <c r="J226" s="20" t="str">
        <f t="shared" si="3"/>
        <v/>
      </c>
      <c r="K226" s="23">
        <v>8000.0</v>
      </c>
      <c r="L226" s="23">
        <v>8000.0</v>
      </c>
      <c r="M226" s="20"/>
      <c r="N226" s="49">
        <v>10500.0</v>
      </c>
      <c r="O226" s="22" t="str">
        <f>IFERROR(__xludf.DUMMYFUNCTION("IFERROR(
  VLOOKUP(C226,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C226
    ), 
    7, FALSE
  ), 
  """"
)
"),"")</f>
        <v/>
      </c>
      <c r="P226" s="22">
        <f>IFERROR(__xludf.DUMMYFUNCTION("IF(AND(Q226="""", R226=""""),
  """",
  IF(OR(ISBLANK(Q226), ISBLANK(O226)),
    """",
    IF(VALUE(SUBSTITUTE(INDEX(SPLIT(IF(ISBLANK(R226), Q226, R226), "",""), 0, 1), "" Km"", """")) - O226 = 0,
      """",
      VALUE(SUBSTITUTE(INDEX(SPLIT(IF(ISBLANK("&amp;"R226), Q226, R226), "",""), 0, 1), "" Km"", """")) - O226
    )
  )
)"),10500.0)</f>
        <v>10500</v>
      </c>
      <c r="Q226" s="23" t="str">
        <f t="shared" si="4"/>
        <v>10 500 Km, 15.10.2023</v>
      </c>
      <c r="R226" s="20"/>
      <c r="S226" s="41">
        <v>250.0</v>
      </c>
      <c r="T226" s="13">
        <v>1.0</v>
      </c>
      <c r="U226" s="13" t="s">
        <v>562</v>
      </c>
      <c r="V226" s="13" t="s">
        <v>563</v>
      </c>
      <c r="W226" s="24" t="str">
        <f t="shared" si="5"/>
        <v>Завершена</v>
      </c>
      <c r="X226" s="13" t="str">
        <f>IFERROR(__xludf.DUMMYFUNCTION("IF(C226 = """", """", IF(REGEXMATCH(C226, ""PCX|NMAX|ADV|CLICK""), ""скутер"", ""мото""))"),"мото")</f>
        <v>мото</v>
      </c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</row>
    <row r="227" hidden="1">
      <c r="A227" s="25" t="s">
        <v>24</v>
      </c>
      <c r="B227" s="25" t="s">
        <v>25</v>
      </c>
      <c r="C227" s="27" t="s">
        <v>48</v>
      </c>
      <c r="D227" s="27" t="s">
        <v>564</v>
      </c>
      <c r="E227" s="43">
        <v>45216.0</v>
      </c>
      <c r="F227" s="39">
        <v>45282.708333333336</v>
      </c>
      <c r="G227" s="30" t="str">
        <f t="shared" si="15"/>
        <v>2 М</v>
      </c>
      <c r="H227" s="31">
        <f t="shared" si="14"/>
        <v>233.3333333</v>
      </c>
      <c r="I227" s="32" t="str">
        <f t="shared" si="2"/>
        <v/>
      </c>
      <c r="J227" s="33" t="str">
        <f t="shared" si="3"/>
        <v/>
      </c>
      <c r="K227" s="36">
        <f>7000+8000</f>
        <v>15000</v>
      </c>
      <c r="L227" s="36">
        <v>7000.0</v>
      </c>
      <c r="M227" s="33"/>
      <c r="N227" s="44">
        <v>19900.0</v>
      </c>
      <c r="O227" s="35">
        <f>IFERROR(__xludf.DUMMYFUNCTION("IFERROR(
  VLOOKUP(C227,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C227
    ), 
    7, FALSE
  ), 
  """"
)
"),35800.0)</f>
        <v>35800</v>
      </c>
      <c r="P227" s="35">
        <f>IFERROR(__xludf.DUMMYFUNCTION("IF(AND(Q227="""", R227=""""),
  """",
  IF(OR(ISBLANK(Q227), ISBLANK(O227)),
    """",
    IF(VALUE(SUBSTITUTE(INDEX(SPLIT(IF(ISBLANK(R227), Q227, R227), "",""), 0, 1), "" Km"", """")) - O227 = 0,
      """",
      VALUE(SUBSTITUTE(INDEX(SPLIT(IF(ISBLANK("&amp;"R227), Q227, R227), "",""), 0, 1), "" Km"", """")) - O227
    )
  )
)"),-14560.0)</f>
        <v>-14560</v>
      </c>
      <c r="Q227" s="36" t="str">
        <f t="shared" si="4"/>
        <v>21240 Km, 11.12.2023</v>
      </c>
      <c r="R227" s="58" t="s">
        <v>565</v>
      </c>
      <c r="S227" s="40">
        <v>3000.0</v>
      </c>
      <c r="T227" s="25">
        <v>2.0</v>
      </c>
      <c r="U227" s="25" t="s">
        <v>566</v>
      </c>
      <c r="V227" s="25" t="s">
        <v>567</v>
      </c>
      <c r="W227" s="37" t="str">
        <f t="shared" si="5"/>
        <v>Завершена</v>
      </c>
      <c r="X227" s="25" t="str">
        <f>IFERROR(__xludf.DUMMYFUNCTION("IF(C227 = """", """", IF(REGEXMATCH(C227, ""PCX|NMAX|ADV|CLICK""), ""скутер"", ""мото""))"),"скутер")</f>
        <v>скутер</v>
      </c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</row>
    <row r="228" hidden="1">
      <c r="A228" s="13" t="s">
        <v>24</v>
      </c>
      <c r="B228" s="13" t="s">
        <v>25</v>
      </c>
      <c r="C228" s="14" t="s">
        <v>52</v>
      </c>
      <c r="D228" s="14" t="s">
        <v>568</v>
      </c>
      <c r="E228" s="48">
        <v>45218.0</v>
      </c>
      <c r="F228" s="38">
        <v>45219.583333333336</v>
      </c>
      <c r="G228" s="17" t="str">
        <f t="shared" si="15"/>
        <v>1 Д</v>
      </c>
      <c r="H228" s="18">
        <f t="shared" si="14"/>
        <v>200</v>
      </c>
      <c r="I228" s="19" t="str">
        <f t="shared" si="2"/>
        <v/>
      </c>
      <c r="J228" s="20" t="str">
        <f t="shared" si="3"/>
        <v/>
      </c>
      <c r="K228" s="23"/>
      <c r="L228" s="20"/>
      <c r="M228" s="23">
        <v>200.0</v>
      </c>
      <c r="N228" s="49">
        <v>30000.0</v>
      </c>
      <c r="O228" s="22">
        <f>IFERROR(__xludf.DUMMYFUNCTION("IFERROR(
  VLOOKUP(C228,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C228
    ), 
    7, FALSE
  ), 
  """"
)
"),33515.0)</f>
        <v>33515</v>
      </c>
      <c r="P228" s="22">
        <f>IFERROR(__xludf.DUMMYFUNCTION("IF(AND(Q228="""", R228=""""),
  """",
  IF(OR(ISBLANK(Q228), ISBLANK(O228)),
    """",
    IF(VALUE(SUBSTITUTE(INDEX(SPLIT(IF(ISBLANK(R228), Q228, R228), "",""), 0, 1), "" Km"", """")) - O228 = 0,
      """",
      VALUE(SUBSTITUTE(INDEX(SPLIT(IF(ISBLANK("&amp;"R228), Q228, R228), "",""), 0, 1), "" Km"", """")) - O228
    )
  )
)"),-3515.0)</f>
        <v>-3515</v>
      </c>
      <c r="Q228" s="23" t="str">
        <f t="shared" si="4"/>
        <v>30 000 Km, 19.10.2023</v>
      </c>
      <c r="R228" s="20"/>
      <c r="S228" s="41">
        <v>1000.0</v>
      </c>
      <c r="T228" s="13">
        <v>1.0</v>
      </c>
      <c r="U228" s="13" t="s">
        <v>569</v>
      </c>
      <c r="V228" s="24"/>
      <c r="W228" s="24" t="str">
        <f t="shared" si="5"/>
        <v>Завершена</v>
      </c>
      <c r="X228" s="13" t="str">
        <f>IFERROR(__xludf.DUMMYFUNCTION("IF(C228 = """", """", IF(REGEXMATCH(C228, ""PCX|NMAX|ADV|CLICK""), ""скутер"", ""мото""))"),"скутер")</f>
        <v>скутер</v>
      </c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</row>
    <row r="229" hidden="1">
      <c r="A229" s="25" t="s">
        <v>24</v>
      </c>
      <c r="B229" s="25" t="s">
        <v>25</v>
      </c>
      <c r="C229" s="27" t="s">
        <v>68</v>
      </c>
      <c r="D229" s="27" t="s">
        <v>570</v>
      </c>
      <c r="E229" s="43">
        <v>45218.0</v>
      </c>
      <c r="F229" s="39">
        <v>45221.583333333336</v>
      </c>
      <c r="G229" s="30" t="str">
        <f t="shared" si="15"/>
        <v>3 Д</v>
      </c>
      <c r="H229" s="31">
        <f t="shared" si="14"/>
        <v>300</v>
      </c>
      <c r="I229" s="32" t="str">
        <f t="shared" si="2"/>
        <v/>
      </c>
      <c r="J229" s="33" t="str">
        <f t="shared" si="3"/>
        <v/>
      </c>
      <c r="K229" s="36"/>
      <c r="L229" s="33"/>
      <c r="M229" s="36">
        <v>300.0</v>
      </c>
      <c r="N229" s="44">
        <v>17700.0</v>
      </c>
      <c r="O229" s="35">
        <f>IFERROR(__xludf.DUMMYFUNCTION("IFERROR(
  VLOOKUP(C229,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C229
    ), 
    7, FALSE
  ), 
  """"
)
"),24094.0)</f>
        <v>24094</v>
      </c>
      <c r="P229" s="35">
        <f>IFERROR(__xludf.DUMMYFUNCTION("IF(AND(Q229="""", R229=""""),
  """",
  IF(OR(ISBLANK(Q229), ISBLANK(O229)),
    """",
    IF(VALUE(SUBSTITUTE(INDEX(SPLIT(IF(ISBLANK(R229), Q229, R229), "",""), 0, 1), "" Km"", """")) - O229 = 0,
      """",
      VALUE(SUBSTITUTE(INDEX(SPLIT(IF(ISBLANK("&amp;"R229), Q229, R229), "",""), 0, 1), "" Km"", """")) - O229
    )
  )
)"),-6394.0)</f>
        <v>-6394</v>
      </c>
      <c r="Q229" s="36" t="str">
        <f t="shared" si="4"/>
        <v>17 700 Km, 19.10.2023</v>
      </c>
      <c r="R229" s="33"/>
      <c r="S229" s="40">
        <v>3000.0</v>
      </c>
      <c r="T229" s="25">
        <v>2.0</v>
      </c>
      <c r="U229" s="25" t="s">
        <v>571</v>
      </c>
      <c r="V229" s="25" t="s">
        <v>572</v>
      </c>
      <c r="W229" s="37" t="str">
        <f t="shared" si="5"/>
        <v>Завершена</v>
      </c>
      <c r="X229" s="25" t="str">
        <f>IFERROR(__xludf.DUMMYFUNCTION("IF(C229 = """", """", IF(REGEXMATCH(C229, ""PCX|NMAX|ADV|CLICK""), ""скутер"", ""мото""))"),"скутер")</f>
        <v>скутер</v>
      </c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</row>
    <row r="230" hidden="1">
      <c r="A230" s="13" t="s">
        <v>24</v>
      </c>
      <c r="B230" s="13" t="s">
        <v>25</v>
      </c>
      <c r="C230" s="14" t="s">
        <v>68</v>
      </c>
      <c r="D230" s="14" t="s">
        <v>573</v>
      </c>
      <c r="E230" s="48">
        <v>45219.0</v>
      </c>
      <c r="F230" s="38">
        <v>45223.916666666664</v>
      </c>
      <c r="G230" s="17" t="str">
        <f t="shared" si="15"/>
        <v>4 Д</v>
      </c>
      <c r="H230" s="18">
        <f t="shared" si="14"/>
        <v>250</v>
      </c>
      <c r="I230" s="19" t="str">
        <f t="shared" si="2"/>
        <v/>
      </c>
      <c r="J230" s="20" t="str">
        <f t="shared" si="3"/>
        <v/>
      </c>
      <c r="K230" s="23">
        <v>1000.0</v>
      </c>
      <c r="L230" s="20"/>
      <c r="M230" s="23">
        <v>250.0</v>
      </c>
      <c r="N230" s="49">
        <v>17700.0</v>
      </c>
      <c r="O230" s="22">
        <f>IFERROR(__xludf.DUMMYFUNCTION("IFERROR(
  VLOOKUP(C230,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C230
    ), 
    7, FALSE
  ), 
  """"
)
"),24094.0)</f>
        <v>24094</v>
      </c>
      <c r="P230" s="22">
        <f>IFERROR(__xludf.DUMMYFUNCTION("IF(AND(Q230="""", R230=""""),
  """",
  IF(OR(ISBLANK(Q230), ISBLANK(O230)),
    """",
    IF(VALUE(SUBSTITUTE(INDEX(SPLIT(IF(ISBLANK(R230), Q230, R230), "",""), 0, 1), "" Km"", """")) - O230 = 0,
      """",
      VALUE(SUBSTITUTE(INDEX(SPLIT(IF(ISBLANK("&amp;"R230), Q230, R230), "",""), 0, 1), "" Km"", """")) - O230
    )
  )
)"),-6394.0)</f>
        <v>-6394</v>
      </c>
      <c r="Q230" s="23" t="str">
        <f t="shared" si="4"/>
        <v>17 700 Km, 20.10.2023</v>
      </c>
      <c r="R230" s="20"/>
      <c r="S230" s="41">
        <v>3000.0</v>
      </c>
      <c r="T230" s="13">
        <v>2.0</v>
      </c>
      <c r="U230" s="13" t="s">
        <v>574</v>
      </c>
      <c r="V230" s="13" t="s">
        <v>575</v>
      </c>
      <c r="W230" s="24" t="str">
        <f t="shared" si="5"/>
        <v>Завершена</v>
      </c>
      <c r="X230" s="13" t="str">
        <f>IFERROR(__xludf.DUMMYFUNCTION("IF(C230 = """", """", IF(REGEXMATCH(C230, ""PCX|NMAX|ADV|CLICK""), ""скутер"", ""мото""))"),"скутер")</f>
        <v>скутер</v>
      </c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</row>
    <row r="231" hidden="1">
      <c r="A231" s="25" t="s">
        <v>24</v>
      </c>
      <c r="B231" s="25" t="s">
        <v>25</v>
      </c>
      <c r="C231" s="27" t="s">
        <v>438</v>
      </c>
      <c r="D231" s="27" t="s">
        <v>505</v>
      </c>
      <c r="E231" s="43">
        <v>45222.0</v>
      </c>
      <c r="F231" s="39">
        <v>45224.958333333336</v>
      </c>
      <c r="G231" s="30" t="str">
        <f t="shared" si="15"/>
        <v>2 Д</v>
      </c>
      <c r="H231" s="31">
        <f t="shared" si="14"/>
        <v>1000</v>
      </c>
      <c r="I231" s="32" t="str">
        <f t="shared" si="2"/>
        <v/>
      </c>
      <c r="J231" s="33" t="str">
        <f t="shared" si="3"/>
        <v/>
      </c>
      <c r="K231" s="36">
        <v>2000.0</v>
      </c>
      <c r="L231" s="33"/>
      <c r="M231" s="36">
        <v>1000.0</v>
      </c>
      <c r="N231" s="44">
        <v>15150.0</v>
      </c>
      <c r="O231" s="35">
        <f>IFERROR(__xludf.DUMMYFUNCTION("IFERROR(
  VLOOKUP(C231,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C231
    ), 
    7, FALSE
  ), 
  """"
)
"),37823.0)</f>
        <v>37823</v>
      </c>
      <c r="P231" s="35">
        <f>IFERROR(__xludf.DUMMYFUNCTION("IF(AND(Q231="""", R231=""""),
  """",
  IF(OR(ISBLANK(Q231), ISBLANK(O231)),
    """",
    IF(VALUE(SUBSTITUTE(INDEX(SPLIT(IF(ISBLANK(R231), Q231, R231), "",""), 0, 1), "" Km"", """")) - O231 = 0,
      """",
      VALUE(SUBSTITUTE(INDEX(SPLIT(IF(ISBLANK("&amp;"R231), Q231, R231), "",""), 0, 1), "" Km"", """")) - O231
    )
  )
)"),-22673.0)</f>
        <v>-22673</v>
      </c>
      <c r="Q231" s="36" t="str">
        <f t="shared" si="4"/>
        <v>15 150 Km, 23.10.2023</v>
      </c>
      <c r="R231" s="33"/>
      <c r="S231" s="40">
        <v>5000.0</v>
      </c>
      <c r="T231" s="25">
        <v>0.0</v>
      </c>
      <c r="U231" s="25" t="s">
        <v>576</v>
      </c>
      <c r="V231" s="37"/>
      <c r="W231" s="37" t="str">
        <f t="shared" si="5"/>
        <v>Завершена</v>
      </c>
      <c r="X231" s="25" t="str">
        <f>IFERROR(__xludf.DUMMYFUNCTION("IF(C231 = """", """", IF(REGEXMATCH(C231, ""PCX|NMAX|ADV|CLICK""), ""скутер"", ""мото""))"),"мото")</f>
        <v>мото</v>
      </c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</row>
    <row r="232" hidden="1">
      <c r="A232" s="13" t="s">
        <v>24</v>
      </c>
      <c r="B232" s="13" t="s">
        <v>25</v>
      </c>
      <c r="C232" s="14" t="s">
        <v>155</v>
      </c>
      <c r="D232" s="14" t="s">
        <v>577</v>
      </c>
      <c r="E232" s="48">
        <v>45222.0</v>
      </c>
      <c r="F232" s="38">
        <v>45236.5</v>
      </c>
      <c r="G232" s="17" t="str">
        <f t="shared" si="15"/>
        <v>14 Д</v>
      </c>
      <c r="H232" s="18">
        <f t="shared" si="14"/>
        <v>464</v>
      </c>
      <c r="I232" s="19" t="str">
        <f t="shared" si="2"/>
        <v/>
      </c>
      <c r="J232" s="20" t="str">
        <f t="shared" si="3"/>
        <v/>
      </c>
      <c r="K232" s="23">
        <v>6500.0</v>
      </c>
      <c r="L232" s="20"/>
      <c r="M232" s="23">
        <v>464.0</v>
      </c>
      <c r="N232" s="49">
        <v>26200.0</v>
      </c>
      <c r="O232" s="22" t="str">
        <f>IFERROR(__xludf.DUMMYFUNCTION("IFERROR(
  VLOOKUP(C232,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C232
    ), 
    7, FALSE
  ), 
  """"
)
"),"")</f>
        <v/>
      </c>
      <c r="P232" s="22">
        <f>IFERROR(__xludf.DUMMYFUNCTION("IF(AND(Q232="""", R232=""""),
  """",
  IF(OR(ISBLANK(Q232), ISBLANK(O232)),
    """",
    IF(VALUE(SUBSTITUTE(INDEX(SPLIT(IF(ISBLANK(R232), Q232, R232), "",""), 0, 1), "" Km"", """")) - O232 = 0,
      """",
      VALUE(SUBSTITUTE(INDEX(SPLIT(IF(ISBLANK("&amp;"R232), Q232, R232), "",""), 0, 1), "" Km"", """")) - O232
    )
  )
)"),26200.0)</f>
        <v>26200</v>
      </c>
      <c r="Q232" s="23" t="str">
        <f t="shared" si="4"/>
        <v>26 200 Km, 23.10.2023</v>
      </c>
      <c r="R232" s="20"/>
      <c r="S232" s="41">
        <v>5000.0</v>
      </c>
      <c r="T232" s="13">
        <v>2.0</v>
      </c>
      <c r="U232" s="13" t="s">
        <v>578</v>
      </c>
      <c r="V232" s="24"/>
      <c r="W232" s="24" t="str">
        <f t="shared" si="5"/>
        <v>Завершена</v>
      </c>
      <c r="X232" s="13" t="str">
        <f>IFERROR(__xludf.DUMMYFUNCTION("IF(C232 = """", """", IF(REGEXMATCH(C232, ""PCX|NMAX|ADV|CLICK""), ""скутер"", ""мото""))"),"мото")</f>
        <v>мото</v>
      </c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</row>
    <row r="233" hidden="1">
      <c r="A233" s="25" t="s">
        <v>24</v>
      </c>
      <c r="B233" s="25" t="s">
        <v>25</v>
      </c>
      <c r="C233" s="27" t="s">
        <v>193</v>
      </c>
      <c r="D233" s="27" t="s">
        <v>579</v>
      </c>
      <c r="E233" s="43">
        <v>45223.0</v>
      </c>
      <c r="F233" s="39">
        <v>45226.666666666664</v>
      </c>
      <c r="G233" s="30" t="str">
        <f t="shared" si="15"/>
        <v>3 Д</v>
      </c>
      <c r="H233" s="31">
        <f t="shared" si="14"/>
        <v>600</v>
      </c>
      <c r="I233" s="32" t="str">
        <f t="shared" si="2"/>
        <v/>
      </c>
      <c r="J233" s="33" t="str">
        <f t="shared" si="3"/>
        <v/>
      </c>
      <c r="K233" s="36">
        <v>1800.0</v>
      </c>
      <c r="L233" s="33"/>
      <c r="M233" s="36">
        <v>600.0</v>
      </c>
      <c r="N233" s="44">
        <v>6500.0</v>
      </c>
      <c r="O233" s="35" t="str">
        <f>IFERROR(__xludf.DUMMYFUNCTION("IFERROR(
  VLOOKUP(C233,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C233
    ), 
    7, FALSE
  ), 
  """"
)
"),"")</f>
        <v/>
      </c>
      <c r="P233" s="35">
        <f>IFERROR(__xludf.DUMMYFUNCTION("IF(AND(Q233="""", R233=""""),
  """",
  IF(OR(ISBLANK(Q233), ISBLANK(O233)),
    """",
    IF(VALUE(SUBSTITUTE(INDEX(SPLIT(IF(ISBLANK(R233), Q233, R233), "",""), 0, 1), "" Km"", """")) - O233 = 0,
      """",
      VALUE(SUBSTITUTE(INDEX(SPLIT(IF(ISBLANK("&amp;"R233), Q233, R233), "",""), 0, 1), "" Km"", """")) - O233
    )
  )
)"),6500.0)</f>
        <v>6500</v>
      </c>
      <c r="Q233" s="36" t="str">
        <f t="shared" si="4"/>
        <v>6 500 Km, 24.10.2023</v>
      </c>
      <c r="R233" s="33"/>
      <c r="S233" s="40">
        <v>250.0</v>
      </c>
      <c r="T233" s="25">
        <v>2.0</v>
      </c>
      <c r="U233" s="25" t="s">
        <v>580</v>
      </c>
      <c r="V233" s="37"/>
      <c r="W233" s="37" t="str">
        <f t="shared" si="5"/>
        <v>Завершена</v>
      </c>
      <c r="X233" s="25" t="str">
        <f>IFERROR(__xludf.DUMMYFUNCTION("IF(C233 = """", """", IF(REGEXMATCH(C233, ""PCX|NMAX|ADV|CLICK""), ""скутер"", ""мото""))"),"мото")</f>
        <v>мото</v>
      </c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</row>
    <row r="234" hidden="1">
      <c r="A234" s="13" t="s">
        <v>24</v>
      </c>
      <c r="B234" s="13" t="s">
        <v>25</v>
      </c>
      <c r="C234" s="14" t="s">
        <v>102</v>
      </c>
      <c r="D234" s="14" t="s">
        <v>581</v>
      </c>
      <c r="E234" s="48">
        <v>45224.0</v>
      </c>
      <c r="F234" s="38">
        <v>45227.708333333336</v>
      </c>
      <c r="G234" s="17" t="str">
        <f t="shared" si="15"/>
        <v>3 Д</v>
      </c>
      <c r="H234" s="18">
        <f t="shared" si="14"/>
        <v>1500</v>
      </c>
      <c r="I234" s="19" t="str">
        <f t="shared" si="2"/>
        <v/>
      </c>
      <c r="J234" s="20" t="str">
        <f t="shared" si="3"/>
        <v/>
      </c>
      <c r="K234" s="23">
        <v>4500.0</v>
      </c>
      <c r="L234" s="20"/>
      <c r="M234" s="23">
        <v>1500.0</v>
      </c>
      <c r="N234" s="49">
        <v>34500.0</v>
      </c>
      <c r="O234" s="22">
        <f>IFERROR(__xludf.DUMMYFUNCTION("IFERROR(
  VLOOKUP(C234,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C234
    ), 
    7, FALSE
  ), 
  """"
)
"),63700.0)</f>
        <v>63700</v>
      </c>
      <c r="P234" s="22">
        <f>IFERROR(__xludf.DUMMYFUNCTION("IF(AND(Q234="""", R234=""""),
  """",
  IF(OR(ISBLANK(Q234), ISBLANK(O234)),
    """",
    IF(VALUE(SUBSTITUTE(INDEX(SPLIT(IF(ISBLANK(R234), Q234, R234), "",""), 0, 1), "" Km"", """")) - O234 = 0,
      """",
      VALUE(SUBSTITUTE(INDEX(SPLIT(IF(ISBLANK("&amp;"R234), Q234, R234), "",""), 0, 1), "" Km"", """")) - O234
    )
  )
)"),-29200.0)</f>
        <v>-29200</v>
      </c>
      <c r="Q234" s="23" t="str">
        <f t="shared" si="4"/>
        <v>34 500 Km, 25.10.2023</v>
      </c>
      <c r="R234" s="20"/>
      <c r="S234" s="41" t="s">
        <v>515</v>
      </c>
      <c r="T234" s="13">
        <v>1.0</v>
      </c>
      <c r="U234" s="13" t="s">
        <v>582</v>
      </c>
      <c r="V234" s="24"/>
      <c r="W234" s="24" t="str">
        <f t="shared" si="5"/>
        <v>Завершена</v>
      </c>
      <c r="X234" s="13" t="str">
        <f>IFERROR(__xludf.DUMMYFUNCTION("IF(C234 = """", """", IF(REGEXMATCH(C234, ""PCX|NMAX|ADV|CLICK""), ""скутер"", ""мото""))"),"мото")</f>
        <v>мото</v>
      </c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</row>
    <row r="235" hidden="1">
      <c r="A235" s="25" t="s">
        <v>24</v>
      </c>
      <c r="B235" s="25" t="s">
        <v>25</v>
      </c>
      <c r="C235" s="27" t="s">
        <v>113</v>
      </c>
      <c r="D235" s="27" t="s">
        <v>583</v>
      </c>
      <c r="E235" s="43">
        <v>45224.0</v>
      </c>
      <c r="F235" s="39">
        <v>45231.708333333336</v>
      </c>
      <c r="G235" s="30" t="str">
        <f t="shared" si="15"/>
        <v>7 Д</v>
      </c>
      <c r="H235" s="31">
        <f t="shared" si="14"/>
        <v>500</v>
      </c>
      <c r="I235" s="32" t="str">
        <f t="shared" si="2"/>
        <v/>
      </c>
      <c r="J235" s="33" t="str">
        <f t="shared" si="3"/>
        <v/>
      </c>
      <c r="K235" s="36">
        <v>3500.0</v>
      </c>
      <c r="L235" s="33"/>
      <c r="M235" s="36">
        <v>500.0</v>
      </c>
      <c r="N235" s="44">
        <v>24200.0</v>
      </c>
      <c r="O235" s="35" t="str">
        <f>IFERROR(__xludf.DUMMYFUNCTION("IFERROR(
  VLOOKUP(C235,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C235
    ), 
    7, FALSE
  ), 
  """"
)
"),"")</f>
        <v/>
      </c>
      <c r="P235" s="35">
        <f>IFERROR(__xludf.DUMMYFUNCTION("IF(AND(Q235="""", R235=""""),
  """",
  IF(OR(ISBLANK(Q235), ISBLANK(O235)),
    """",
    IF(VALUE(SUBSTITUTE(INDEX(SPLIT(IF(ISBLANK(R235), Q235, R235), "",""), 0, 1), "" Km"", """")) - O235 = 0,
      """",
      VALUE(SUBSTITUTE(INDEX(SPLIT(IF(ISBLANK("&amp;"R235), Q235, R235), "",""), 0, 1), "" Km"", """")) - O235
    )
  )
)"),24200.0)</f>
        <v>24200</v>
      </c>
      <c r="Q235" s="36" t="str">
        <f t="shared" si="4"/>
        <v>24 200 Km, 25.10.2023</v>
      </c>
      <c r="R235" s="33"/>
      <c r="S235" s="40">
        <v>138.0</v>
      </c>
      <c r="T235" s="25">
        <v>2.0</v>
      </c>
      <c r="U235" s="25" t="s">
        <v>584</v>
      </c>
      <c r="V235" s="37"/>
      <c r="W235" s="37" t="str">
        <f t="shared" si="5"/>
        <v>Завершена</v>
      </c>
      <c r="X235" s="25" t="str">
        <f>IFERROR(__xludf.DUMMYFUNCTION("IF(C235 = """", """", IF(REGEXMATCH(C235, ""PCX|NMAX|ADV|CLICK""), ""скутер"", ""мото""))"),"мото")</f>
        <v>мото</v>
      </c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</row>
    <row r="236" hidden="1">
      <c r="A236" s="13" t="s">
        <v>24</v>
      </c>
      <c r="B236" s="13" t="s">
        <v>25</v>
      </c>
      <c r="C236" s="14" t="s">
        <v>92</v>
      </c>
      <c r="D236" s="14" t="s">
        <v>585</v>
      </c>
      <c r="E236" s="48">
        <v>45225.0</v>
      </c>
      <c r="F236" s="61">
        <v>45227.0</v>
      </c>
      <c r="G236" s="17" t="str">
        <f t="shared" si="15"/>
        <v>2 Д</v>
      </c>
      <c r="H236" s="18">
        <f t="shared" si="14"/>
        <v>500</v>
      </c>
      <c r="I236" s="19" t="str">
        <f t="shared" si="2"/>
        <v/>
      </c>
      <c r="J236" s="20" t="str">
        <f t="shared" si="3"/>
        <v/>
      </c>
      <c r="K236" s="23">
        <f>500+500</f>
        <v>1000</v>
      </c>
      <c r="L236" s="20"/>
      <c r="M236" s="23">
        <v>500.0</v>
      </c>
      <c r="N236" s="49">
        <v>21000.0</v>
      </c>
      <c r="O236" s="22">
        <f>IFERROR(__xludf.DUMMYFUNCTION("IFERROR(
  VLOOKUP(C236,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C236
    ), 
    7, FALSE
  ), 
  """"
)
"),23500.0)</f>
        <v>23500</v>
      </c>
      <c r="P236" s="22">
        <f>IFERROR(__xludf.DUMMYFUNCTION("IF(AND(Q236="""", R236=""""),
  """",
  IF(OR(ISBLANK(Q236), ISBLANK(O236)),
    """",
    IF(VALUE(SUBSTITUTE(INDEX(SPLIT(IF(ISBLANK(R236), Q236, R236), "",""), 0, 1), "" Km"", """")) - O236 = 0,
      """",
      VALUE(SUBSTITUTE(INDEX(SPLIT(IF(ISBLANK("&amp;"R236), Q236, R236), "",""), 0, 1), "" Km"", """")) - O236
    )
  )
)"),-2500.0)</f>
        <v>-2500</v>
      </c>
      <c r="Q236" s="23" t="str">
        <f t="shared" si="4"/>
        <v>21 000 Km, 26.10.2023</v>
      </c>
      <c r="R236" s="20"/>
      <c r="S236" s="41">
        <v>5000.0</v>
      </c>
      <c r="T236" s="13">
        <v>1.0</v>
      </c>
      <c r="U236" s="13" t="s">
        <v>516</v>
      </c>
      <c r="V236" s="13" t="s">
        <v>586</v>
      </c>
      <c r="W236" s="24" t="str">
        <f t="shared" si="5"/>
        <v>#VALUE!</v>
      </c>
      <c r="X236" s="13" t="str">
        <f>IFERROR(__xludf.DUMMYFUNCTION("IF(C236 = """", """", IF(REGEXMATCH(C236, ""PCX|NMAX|ADV|CLICK""), ""скутер"", ""мото""))"),"мото")</f>
        <v>мото</v>
      </c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</row>
    <row r="237" hidden="1">
      <c r="A237" s="25" t="s">
        <v>24</v>
      </c>
      <c r="B237" s="25" t="s">
        <v>25</v>
      </c>
      <c r="C237" s="27" t="s">
        <v>68</v>
      </c>
      <c r="D237" s="27" t="s">
        <v>587</v>
      </c>
      <c r="E237" s="43">
        <v>45225.0</v>
      </c>
      <c r="F237" s="39">
        <v>45228.541666666664</v>
      </c>
      <c r="G237" s="30" t="str">
        <f t="shared" si="15"/>
        <v>3 Д</v>
      </c>
      <c r="H237" s="31">
        <f t="shared" si="14"/>
        <v>300</v>
      </c>
      <c r="I237" s="32" t="str">
        <f t="shared" si="2"/>
        <v/>
      </c>
      <c r="J237" s="33" t="str">
        <f t="shared" si="3"/>
        <v/>
      </c>
      <c r="K237" s="36">
        <v>900.0</v>
      </c>
      <c r="L237" s="33"/>
      <c r="M237" s="36">
        <v>300.0</v>
      </c>
      <c r="N237" s="44">
        <v>17600.0</v>
      </c>
      <c r="O237" s="35">
        <f>IFERROR(__xludf.DUMMYFUNCTION("IFERROR(
  VLOOKUP(C237,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C237
    ), 
    7, FALSE
  ), 
  """"
)
"),24094.0)</f>
        <v>24094</v>
      </c>
      <c r="P237" s="35">
        <f>IFERROR(__xludf.DUMMYFUNCTION("IF(AND(Q237="""", R237=""""),
  """",
  IF(OR(ISBLANK(Q237), ISBLANK(O237)),
    """",
    IF(VALUE(SUBSTITUTE(INDEX(SPLIT(IF(ISBLANK(R237), Q237, R237), "",""), 0, 1), "" Km"", """")) - O237 = 0,
      """",
      VALUE(SUBSTITUTE(INDEX(SPLIT(IF(ISBLANK("&amp;"R237), Q237, R237), "",""), 0, 1), "" Km"", """")) - O237
    )
  )
)"),-6494.0)</f>
        <v>-6494</v>
      </c>
      <c r="Q237" s="36" t="str">
        <f t="shared" si="4"/>
        <v>17 600 Km, 26.10.2023</v>
      </c>
      <c r="R237" s="33"/>
      <c r="S237" s="40">
        <v>3000.0</v>
      </c>
      <c r="T237" s="25">
        <v>1.0</v>
      </c>
      <c r="U237" s="25" t="s">
        <v>588</v>
      </c>
      <c r="V237" s="25" t="s">
        <v>589</v>
      </c>
      <c r="W237" s="37" t="str">
        <f t="shared" si="5"/>
        <v>Завершена</v>
      </c>
      <c r="X237" s="25" t="str">
        <f>IFERROR(__xludf.DUMMYFUNCTION("IF(C237 = """", """", IF(REGEXMATCH(C237, ""PCX|NMAX|ADV|CLICK""), ""скутер"", ""мото""))"),"скутер")</f>
        <v>скутер</v>
      </c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</row>
    <row r="238" hidden="1">
      <c r="A238" s="13" t="s">
        <v>24</v>
      </c>
      <c r="B238" s="13" t="s">
        <v>25</v>
      </c>
      <c r="C238" s="14" t="s">
        <v>438</v>
      </c>
      <c r="D238" s="14" t="s">
        <v>473</v>
      </c>
      <c r="E238" s="48">
        <v>45226.0</v>
      </c>
      <c r="F238" s="38">
        <v>45228.791666666664</v>
      </c>
      <c r="G238" s="17" t="str">
        <f t="shared" si="15"/>
        <v>2 Д</v>
      </c>
      <c r="H238" s="18">
        <f t="shared" si="14"/>
        <v>1000</v>
      </c>
      <c r="I238" s="19" t="str">
        <f t="shared" si="2"/>
        <v/>
      </c>
      <c r="J238" s="20" t="str">
        <f t="shared" si="3"/>
        <v/>
      </c>
      <c r="K238" s="23">
        <v>2000.0</v>
      </c>
      <c r="L238" s="20"/>
      <c r="M238" s="23">
        <v>1000.0</v>
      </c>
      <c r="N238" s="49">
        <v>15600.0</v>
      </c>
      <c r="O238" s="22">
        <f>IFERROR(__xludf.DUMMYFUNCTION("IFERROR(
  VLOOKUP(C238,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C238
    ), 
    7, FALSE
  ), 
  """"
)
"),37823.0)</f>
        <v>37823</v>
      </c>
      <c r="P238" s="22">
        <f>IFERROR(__xludf.DUMMYFUNCTION("IF(AND(Q238="""", R238=""""),
  """",
  IF(OR(ISBLANK(Q238), ISBLANK(O238)),
    """",
    IF(VALUE(SUBSTITUTE(INDEX(SPLIT(IF(ISBLANK(R238), Q238, R238), "",""), 0, 1), "" Km"", """")) - O238 = 0,
      """",
      VALUE(SUBSTITUTE(INDEX(SPLIT(IF(ISBLANK("&amp;"R238), Q238, R238), "",""), 0, 1), "" Km"", """")) - O238
    )
  )
)"),-22223.0)</f>
        <v>-22223</v>
      </c>
      <c r="Q238" s="23" t="str">
        <f t="shared" si="4"/>
        <v>15 600 Km, 27.10.2023</v>
      </c>
      <c r="R238" s="20"/>
      <c r="S238" s="41">
        <v>15000.0</v>
      </c>
      <c r="T238" s="24"/>
      <c r="U238" s="13" t="s">
        <v>516</v>
      </c>
      <c r="V238" s="24"/>
      <c r="W238" s="24" t="str">
        <f t="shared" si="5"/>
        <v>Завершена</v>
      </c>
      <c r="X238" s="13" t="str">
        <f>IFERROR(__xludf.DUMMYFUNCTION("IF(C238 = """", """", IF(REGEXMATCH(C238, ""PCX|NMAX|ADV|CLICK""), ""скутер"", ""мото""))"),"мото")</f>
        <v>мото</v>
      </c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</row>
    <row r="239" hidden="1">
      <c r="A239" s="25" t="s">
        <v>24</v>
      </c>
      <c r="B239" s="25" t="s">
        <v>25</v>
      </c>
      <c r="C239" s="27" t="s">
        <v>32</v>
      </c>
      <c r="D239" s="27" t="s">
        <v>590</v>
      </c>
      <c r="E239" s="43">
        <v>45227.0</v>
      </c>
      <c r="F239" s="39">
        <v>45230.833333333336</v>
      </c>
      <c r="G239" s="30" t="str">
        <f t="shared" si="15"/>
        <v>3 Д</v>
      </c>
      <c r="H239" s="31">
        <f t="shared" si="14"/>
        <v>600</v>
      </c>
      <c r="I239" s="32" t="str">
        <f t="shared" si="2"/>
        <v/>
      </c>
      <c r="J239" s="33" t="str">
        <f t="shared" si="3"/>
        <v/>
      </c>
      <c r="K239" s="36">
        <v>1800.0</v>
      </c>
      <c r="L239" s="33"/>
      <c r="M239" s="36">
        <v>600.0</v>
      </c>
      <c r="N239" s="44">
        <v>19610.0</v>
      </c>
      <c r="O239" s="35">
        <f>IFERROR(__xludf.DUMMYFUNCTION("IFERROR(
  VLOOKUP(C239,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C239
    ), 
    7, FALSE
  ), 
  """"
)
"),38640.0)</f>
        <v>38640</v>
      </c>
      <c r="P239" s="35">
        <f>IFERROR(__xludf.DUMMYFUNCTION("IF(AND(Q239="""", R239=""""),
  """",
  IF(OR(ISBLANK(Q239), ISBLANK(O239)),
    """",
    IF(VALUE(SUBSTITUTE(INDEX(SPLIT(IF(ISBLANK(R239), Q239, R239), "",""), 0, 1), "" Km"", """")) - O239 = 0,
      """",
      VALUE(SUBSTITUTE(INDEX(SPLIT(IF(ISBLANK("&amp;"R239), Q239, R239), "",""), 0, 1), "" Km"", """")) - O239
    )
  )
)"),-19030.0)</f>
        <v>-19030</v>
      </c>
      <c r="Q239" s="36" t="str">
        <f t="shared" si="4"/>
        <v>19 610 Km, 28.10.2023</v>
      </c>
      <c r="R239" s="33"/>
      <c r="S239" s="40">
        <v>5000.0</v>
      </c>
      <c r="T239" s="25">
        <v>2.0</v>
      </c>
      <c r="U239" s="25" t="s">
        <v>591</v>
      </c>
      <c r="V239" s="37"/>
      <c r="W239" s="37" t="str">
        <f t="shared" si="5"/>
        <v>Завершена</v>
      </c>
      <c r="X239" s="25" t="str">
        <f>IFERROR(__xludf.DUMMYFUNCTION("IF(C239 = """", """", IF(REGEXMATCH(C239, ""PCX|NMAX|ADV|CLICK""), ""скутер"", ""мото""))"),"мото")</f>
        <v>мото</v>
      </c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</row>
    <row r="240" hidden="1">
      <c r="A240" s="13" t="s">
        <v>24</v>
      </c>
      <c r="B240" s="14" t="s">
        <v>25</v>
      </c>
      <c r="C240" s="62" t="s">
        <v>142</v>
      </c>
      <c r="D240" s="14" t="s">
        <v>89</v>
      </c>
      <c r="E240" s="48">
        <v>45227.0</v>
      </c>
      <c r="F240" s="38">
        <v>45379.833333333336</v>
      </c>
      <c r="G240" s="17" t="str">
        <f t="shared" si="15"/>
        <v>5 М</v>
      </c>
      <c r="H240" s="18">
        <f>IF(L240&lt;&gt;"", VALUE(L240)/31, IF(M240&lt;&gt;"", VALUE(M240)/1, ""))
</f>
        <v>451.6129032</v>
      </c>
      <c r="I240" s="19" t="str">
        <f t="shared" si="2"/>
        <v/>
      </c>
      <c r="J240" s="20" t="str">
        <f t="shared" si="3"/>
        <v/>
      </c>
      <c r="K240" s="23">
        <f>14000+14000+14000+14000+14000</f>
        <v>70000</v>
      </c>
      <c r="L240" s="63">
        <v>14000.0</v>
      </c>
      <c r="M240" s="64"/>
      <c r="N240" s="49">
        <v>28500.0</v>
      </c>
      <c r="O240" s="22" t="str">
        <f>IFERROR(__xludf.DUMMYFUNCTION("IFERROR(
  VLOOKUP(C240,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C240
    ), 
    7, FALSE
  ), 
  """"
)
"),"")</f>
        <v/>
      </c>
      <c r="P240" s="22">
        <f>IFERROR(__xludf.DUMMYFUNCTION("IF(AND(Q240="""", R240=""""),
  """",
  IF(OR(ISBLANK(Q240), ISBLANK(O240)),
    """",
    IF(VALUE(SUBSTITUTE(INDEX(SPLIT(IF(ISBLANK(R240), Q240, R240), "",""), 0, 1), "" Km"", """")) - O240 = 0,
      """",
      VALUE(SUBSTITUTE(INDEX(SPLIT(IF(ISBLANK("&amp;"R240), Q240, R240), "",""), 0, 1), "" Km"", """")) - O240
    )
  )
)"),30700.0)</f>
        <v>30700</v>
      </c>
      <c r="Q240" s="20" t="str">
        <f t="shared" si="4"/>
        <v>30700 Km, 01.02.2024</v>
      </c>
      <c r="R240" s="53" t="s">
        <v>592</v>
      </c>
      <c r="S240" s="18">
        <v>5000.0</v>
      </c>
      <c r="T240" s="19">
        <v>1.0</v>
      </c>
      <c r="U240" s="24" t="s">
        <v>90</v>
      </c>
      <c r="V240" s="24" t="s">
        <v>91</v>
      </c>
      <c r="W240" s="24" t="str">
        <f t="shared" si="5"/>
        <v>Завершена</v>
      </c>
      <c r="X240" s="13" t="str">
        <f>IFERROR(__xludf.DUMMYFUNCTION("IF(C240 = """", """", IF(REGEXMATCH(C240, ""PCX|NMAX|ADV|CLICK""), ""скутер"", ""мото""))"),"мото")</f>
        <v>мото</v>
      </c>
      <c r="Y240" s="13"/>
      <c r="Z240" s="13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</row>
    <row r="241" hidden="1">
      <c r="A241" s="25" t="s">
        <v>24</v>
      </c>
      <c r="B241" s="25" t="s">
        <v>25</v>
      </c>
      <c r="C241" s="27" t="s">
        <v>472</v>
      </c>
      <c r="D241" s="27" t="s">
        <v>579</v>
      </c>
      <c r="E241" s="43">
        <v>45228.0</v>
      </c>
      <c r="F241" s="39">
        <v>45229.625</v>
      </c>
      <c r="G241" s="30" t="str">
        <f t="shared" si="15"/>
        <v>1 Д</v>
      </c>
      <c r="H241" s="31">
        <f t="shared" ref="H241:H279" si="16">IF(L241&lt;&gt;"", VALUE(L241)/30, IF(M241&lt;&gt;"", VALUE(M241)/1, ""))
</f>
        <v>900</v>
      </c>
      <c r="I241" s="32" t="str">
        <f t="shared" si="2"/>
        <v/>
      </c>
      <c r="J241" s="33" t="str">
        <f t="shared" si="3"/>
        <v/>
      </c>
      <c r="K241" s="36"/>
      <c r="L241" s="33"/>
      <c r="M241" s="36">
        <v>900.0</v>
      </c>
      <c r="N241" s="44">
        <v>18200.0</v>
      </c>
      <c r="O241" s="35" t="str">
        <f>IFERROR(__xludf.DUMMYFUNCTION("IFERROR(
  VLOOKUP(C241,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C241
    ), 
    7, FALSE
  ), 
  """"
)
"),"")</f>
        <v/>
      </c>
      <c r="P241" s="35">
        <f>IFERROR(__xludf.DUMMYFUNCTION("IF(AND(Q241="""", R241=""""),
  """",
  IF(OR(ISBLANK(Q241), ISBLANK(O241)),
    """",
    IF(VALUE(SUBSTITUTE(INDEX(SPLIT(IF(ISBLANK(R241), Q241, R241), "",""), 0, 1), "" Km"", """")) - O241 = 0,
      """",
      VALUE(SUBSTITUTE(INDEX(SPLIT(IF(ISBLANK("&amp;"R241), Q241, R241), "",""), 0, 1), "" Km"", """")) - O241
    )
  )
)"),18200.0)</f>
        <v>18200</v>
      </c>
      <c r="Q241" s="36" t="str">
        <f t="shared" si="4"/>
        <v>18 200 Km, 29.10.2023</v>
      </c>
      <c r="R241" s="33"/>
      <c r="S241" s="40">
        <v>400.0</v>
      </c>
      <c r="T241" s="25">
        <v>1.0</v>
      </c>
      <c r="U241" s="25" t="s">
        <v>593</v>
      </c>
      <c r="V241" s="37"/>
      <c r="W241" s="37" t="str">
        <f t="shared" si="5"/>
        <v>Завершена</v>
      </c>
      <c r="X241" s="25" t="str">
        <f>IFERROR(__xludf.DUMMYFUNCTION("IF(C241 = """", """", IF(REGEXMATCH(C241, ""PCX|NMAX|ADV|CLICK""), ""скутер"", ""мото""))"),"мото")</f>
        <v>мото</v>
      </c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</row>
    <row r="242" hidden="1">
      <c r="A242" s="13" t="s">
        <v>24</v>
      </c>
      <c r="B242" s="13" t="s">
        <v>25</v>
      </c>
      <c r="C242" s="14" t="s">
        <v>438</v>
      </c>
      <c r="D242" s="14" t="s">
        <v>579</v>
      </c>
      <c r="E242" s="48">
        <v>45228.0</v>
      </c>
      <c r="F242" s="38">
        <v>45230.625</v>
      </c>
      <c r="G242" s="17" t="str">
        <f t="shared" si="15"/>
        <v>2 Д</v>
      </c>
      <c r="H242" s="18">
        <f t="shared" si="16"/>
        <v>950</v>
      </c>
      <c r="I242" s="19" t="str">
        <f t="shared" si="2"/>
        <v/>
      </c>
      <c r="J242" s="20" t="str">
        <f t="shared" si="3"/>
        <v/>
      </c>
      <c r="K242" s="23">
        <v>1900.0</v>
      </c>
      <c r="L242" s="20"/>
      <c r="M242" s="23">
        <v>950.0</v>
      </c>
      <c r="N242" s="49">
        <v>16000.0</v>
      </c>
      <c r="O242" s="22">
        <f>IFERROR(__xludf.DUMMYFUNCTION("IFERROR(
  VLOOKUP(C242,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C242
    ), 
    7, FALSE
  ), 
  """"
)
"),37823.0)</f>
        <v>37823</v>
      </c>
      <c r="P242" s="22">
        <f>IFERROR(__xludf.DUMMYFUNCTION("IF(AND(Q242="""", R242=""""),
  """",
  IF(OR(ISBLANK(Q242), ISBLANK(O242)),
    """",
    IF(VALUE(SUBSTITUTE(INDEX(SPLIT(IF(ISBLANK(R242), Q242, R242), "",""), 0, 1), "" Km"", """")) - O242 = 0,
      """",
      VALUE(SUBSTITUTE(INDEX(SPLIT(IF(ISBLANK("&amp;"R242), Q242, R242), "",""), 0, 1), "" Km"", """")) - O242
    )
  )
)"),-21823.0)</f>
        <v>-21823</v>
      </c>
      <c r="Q242" s="23" t="str">
        <f t="shared" si="4"/>
        <v>16 000 Km, 29.10.2023</v>
      </c>
      <c r="R242" s="20"/>
      <c r="S242" s="41">
        <v>550.0</v>
      </c>
      <c r="T242" s="13">
        <v>1.0</v>
      </c>
      <c r="U242" s="13" t="s">
        <v>593</v>
      </c>
      <c r="V242" s="13" t="s">
        <v>594</v>
      </c>
      <c r="W242" s="24" t="str">
        <f t="shared" si="5"/>
        <v>Завершена</v>
      </c>
      <c r="X242" s="13" t="str">
        <f>IFERROR(__xludf.DUMMYFUNCTION("IF(C242 = """", """", IF(REGEXMATCH(C242, ""PCX|NMAX|ADV|CLICK""), ""скутер"", ""мото""))"),"мото")</f>
        <v>мото</v>
      </c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</row>
    <row r="243" hidden="1">
      <c r="A243" s="25" t="s">
        <v>24</v>
      </c>
      <c r="B243" s="25" t="s">
        <v>25</v>
      </c>
      <c r="C243" s="27" t="s">
        <v>472</v>
      </c>
      <c r="D243" s="27" t="s">
        <v>473</v>
      </c>
      <c r="E243" s="43">
        <v>45229.0</v>
      </c>
      <c r="F243" s="39">
        <v>45232.708333333336</v>
      </c>
      <c r="G243" s="30" t="str">
        <f t="shared" si="15"/>
        <v>3 Д</v>
      </c>
      <c r="H243" s="31">
        <f t="shared" si="16"/>
        <v>900</v>
      </c>
      <c r="I243" s="32" t="str">
        <f t="shared" si="2"/>
        <v/>
      </c>
      <c r="J243" s="33" t="str">
        <f t="shared" si="3"/>
        <v/>
      </c>
      <c r="K243" s="36">
        <v>1800.0</v>
      </c>
      <c r="L243" s="33"/>
      <c r="M243" s="36">
        <v>900.0</v>
      </c>
      <c r="N243" s="44">
        <v>18600.0</v>
      </c>
      <c r="O243" s="35" t="str">
        <f>IFERROR(__xludf.DUMMYFUNCTION("IFERROR(
  VLOOKUP(C243,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C243
    ), 
    7, FALSE
  ), 
  """"
)
"),"")</f>
        <v/>
      </c>
      <c r="P243" s="35">
        <f>IFERROR(__xludf.DUMMYFUNCTION("IF(AND(Q243="""", R243=""""),
  """",
  IF(OR(ISBLANK(Q243), ISBLANK(O243)),
    """",
    IF(VALUE(SUBSTITUTE(INDEX(SPLIT(IF(ISBLANK(R243), Q243, R243), "",""), 0, 1), "" Km"", """")) - O243 = 0,
      """",
      VALUE(SUBSTITUTE(INDEX(SPLIT(IF(ISBLANK("&amp;"R243), Q243, R243), "",""), 0, 1), "" Km"", """")) - O243
    )
  )
)"),18600.0)</f>
        <v>18600</v>
      </c>
      <c r="Q243" s="36" t="str">
        <f t="shared" si="4"/>
        <v>18 600 Km, 30.10.2023</v>
      </c>
      <c r="R243" s="33"/>
      <c r="S243" s="40">
        <v>13100.0</v>
      </c>
      <c r="T243" s="25">
        <v>0.0</v>
      </c>
      <c r="U243" s="25" t="s">
        <v>516</v>
      </c>
      <c r="V243" s="37"/>
      <c r="W243" s="37" t="str">
        <f t="shared" si="5"/>
        <v>Завершена</v>
      </c>
      <c r="X243" s="25" t="str">
        <f>IFERROR(__xludf.DUMMYFUNCTION("IF(C243 = """", """", IF(REGEXMATCH(C243, ""PCX|NMAX|ADV|CLICK""), ""скутер"", ""мото""))"),"мото")</f>
        <v>мото</v>
      </c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</row>
    <row r="244" hidden="1">
      <c r="A244" s="13" t="s">
        <v>24</v>
      </c>
      <c r="B244" s="13" t="s">
        <v>25</v>
      </c>
      <c r="C244" s="14" t="s">
        <v>438</v>
      </c>
      <c r="D244" s="14" t="s">
        <v>505</v>
      </c>
      <c r="E244" s="48">
        <v>45232.0</v>
      </c>
      <c r="F244" s="38">
        <v>45262.708333333336</v>
      </c>
      <c r="G244" s="17" t="str">
        <f t="shared" si="15"/>
        <v>30 Д</v>
      </c>
      <c r="H244" s="18">
        <f t="shared" si="16"/>
        <v>533.3333333</v>
      </c>
      <c r="I244" s="19" t="str">
        <f t="shared" si="2"/>
        <v/>
      </c>
      <c r="J244" s="20" t="str">
        <f t="shared" si="3"/>
        <v/>
      </c>
      <c r="K244" s="23"/>
      <c r="L244" s="23">
        <v>16000.0</v>
      </c>
      <c r="M244" s="20"/>
      <c r="N244" s="49"/>
      <c r="O244" s="22">
        <f>IFERROR(__xludf.DUMMYFUNCTION("IFERROR(
  VLOOKUP(C244,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C244
    ), 
    7, FALSE
  ), 
  """"
)
"),37823.0)</f>
        <v>37823</v>
      </c>
      <c r="P244" s="22">
        <f>IFERROR(__xludf.DUMMYFUNCTION("IF(AND(Q244="""", R244=""""),
  """",
  IF(OR(ISBLANK(Q244), ISBLANK(O244)),
    """",
    IF(VALUE(SUBSTITUTE(INDEX(SPLIT(IF(ISBLANK(R244), Q244, R244), "",""), 0, 1), "" Km"", """")) - O244 = 0,
      """",
      VALUE(SUBSTITUTE(INDEX(SPLIT(IF(ISBLANK("&amp;"R244), Q244, R244), "",""), 0, 1), "" Km"", """")) - O244
    )
  )
)"),-37823.0)</f>
        <v>-37823</v>
      </c>
      <c r="Q244" s="23" t="str">
        <f t="shared" si="4"/>
        <v>0 Km, 02.11.2023</v>
      </c>
      <c r="R244" s="20"/>
      <c r="S244" s="41">
        <v>15000.0</v>
      </c>
      <c r="T244" s="13">
        <v>0.0</v>
      </c>
      <c r="U244" s="13" t="s">
        <v>576</v>
      </c>
      <c r="V244" s="24"/>
      <c r="W244" s="24" t="str">
        <f t="shared" si="5"/>
        <v>Завершена</v>
      </c>
      <c r="X244" s="13" t="str">
        <f>IFERROR(__xludf.DUMMYFUNCTION("IF(C244 = """", """", IF(REGEXMATCH(C244, ""PCX|NMAX|ADV|CLICK""), ""скутер"", ""мото""))"),"мото")</f>
        <v>мото</v>
      </c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</row>
    <row r="245" hidden="1">
      <c r="A245" s="25" t="s">
        <v>24</v>
      </c>
      <c r="B245" s="25" t="s">
        <v>25</v>
      </c>
      <c r="C245" s="27" t="s">
        <v>423</v>
      </c>
      <c r="D245" s="27" t="s">
        <v>490</v>
      </c>
      <c r="E245" s="43">
        <v>45232.0</v>
      </c>
      <c r="F245" s="39">
        <v>45293.666666666664</v>
      </c>
      <c r="G245" s="30" t="str">
        <f t="shared" si="15"/>
        <v>2 М</v>
      </c>
      <c r="H245" s="31">
        <f t="shared" si="16"/>
        <v>466.6666667</v>
      </c>
      <c r="I245" s="32" t="str">
        <f t="shared" si="2"/>
        <v/>
      </c>
      <c r="J245" s="33" t="str">
        <f t="shared" si="3"/>
        <v/>
      </c>
      <c r="K245" s="36">
        <v>14000.0</v>
      </c>
      <c r="L245" s="36">
        <v>14000.0</v>
      </c>
      <c r="M245" s="33"/>
      <c r="N245" s="44">
        <v>9804.0</v>
      </c>
      <c r="O245" s="35" t="str">
        <f>IFERROR(__xludf.DUMMYFUNCTION("IFERROR(
  VLOOKUP(C245,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C245
    ), 
    7, FALSE
  ), 
  """"
)
"),"")</f>
        <v/>
      </c>
      <c r="P245" s="35">
        <f>IFERROR(__xludf.DUMMYFUNCTION("IF(AND(Q245="""", R245=""""),
  """",
  IF(OR(ISBLANK(Q245), ISBLANK(O245)),
    """",
    IF(VALUE(SUBSTITUTE(INDEX(SPLIT(IF(ISBLANK(R245), Q245, R245), "",""), 0, 1), "" Km"", """")) - O245 = 0,
      """",
      VALUE(SUBSTITUTE(INDEX(SPLIT(IF(ISBLANK("&amp;"R245), Q245, R245), "",""), 0, 1), "" Km"", """")) - O245
    )
  )
)"),11261.0)</f>
        <v>11261</v>
      </c>
      <c r="Q245" s="36" t="str">
        <f t="shared" si="4"/>
        <v>11261 Km, 28.10.2023</v>
      </c>
      <c r="R245" s="58" t="s">
        <v>491</v>
      </c>
      <c r="S245" s="40">
        <v>10000.0</v>
      </c>
      <c r="T245" s="25">
        <v>2.0</v>
      </c>
      <c r="U245" s="25" t="s">
        <v>463</v>
      </c>
      <c r="V245" s="25" t="s">
        <v>110</v>
      </c>
      <c r="W245" s="37" t="str">
        <f t="shared" si="5"/>
        <v>Завершена</v>
      </c>
      <c r="X245" s="25" t="str">
        <f>IFERROR(__xludf.DUMMYFUNCTION("IF(C245 = """", """", IF(REGEXMATCH(C245, ""PCX|NMAX|ADV|CLICK""), ""скутер"", ""мото""))"),"мото")</f>
        <v>мото</v>
      </c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</row>
    <row r="246" hidden="1">
      <c r="A246" s="13" t="s">
        <v>24</v>
      </c>
      <c r="B246" s="13" t="s">
        <v>25</v>
      </c>
      <c r="C246" s="14" t="s">
        <v>438</v>
      </c>
      <c r="D246" s="14" t="s">
        <v>505</v>
      </c>
      <c r="E246" s="48">
        <v>45232.0</v>
      </c>
      <c r="F246" s="38">
        <v>45293.666666666664</v>
      </c>
      <c r="G246" s="17" t="str">
        <f t="shared" si="15"/>
        <v>2 М</v>
      </c>
      <c r="H246" s="18">
        <f t="shared" si="16"/>
        <v>533.3333333</v>
      </c>
      <c r="I246" s="19" t="str">
        <f t="shared" si="2"/>
        <v/>
      </c>
      <c r="J246" s="20" t="str">
        <f t="shared" si="3"/>
        <v/>
      </c>
      <c r="K246" s="23">
        <v>16000.0</v>
      </c>
      <c r="L246" s="23">
        <v>16000.0</v>
      </c>
      <c r="M246" s="20"/>
      <c r="N246" s="49">
        <v>15500.0</v>
      </c>
      <c r="O246" s="22">
        <f>IFERROR(__xludf.DUMMYFUNCTION("IFERROR(
  VLOOKUP(C246,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C246
    ), 
    7, FALSE
  ), 
  """"
)
"),37823.0)</f>
        <v>37823</v>
      </c>
      <c r="P246" s="22">
        <f>IFERROR(__xludf.DUMMYFUNCTION("IF(AND(Q246="""", R246=""""),
  """",
  IF(OR(ISBLANK(Q246), ISBLANK(O246)),
    """",
    IF(VALUE(SUBSTITUTE(INDEX(SPLIT(IF(ISBLANK(R246), Q246, R246), "",""), 0, 1), "" Km"", """")) - O246 = 0,
      """",
      VALUE(SUBSTITUTE(INDEX(SPLIT(IF(ISBLANK("&amp;"R246), Q246, R246), "",""), 0, 1), "" Km"", """")) - O246
    )
  )
)"),-22323.0)</f>
        <v>-22323</v>
      </c>
      <c r="Q246" s="23" t="str">
        <f t="shared" si="4"/>
        <v>15 500 Km, 02.11.2023</v>
      </c>
      <c r="R246" s="20"/>
      <c r="S246" s="41">
        <v>20000.0</v>
      </c>
      <c r="T246" s="13">
        <v>0.0</v>
      </c>
      <c r="U246" s="13" t="s">
        <v>576</v>
      </c>
      <c r="V246" s="24"/>
      <c r="W246" s="24" t="str">
        <f t="shared" si="5"/>
        <v>Завершена</v>
      </c>
      <c r="X246" s="13" t="str">
        <f>IFERROR(__xludf.DUMMYFUNCTION("IF(C246 = """", """", IF(REGEXMATCH(C246, ""PCX|NMAX|ADV|CLICK""), ""скутер"", ""мото""))"),"мото")</f>
        <v>мото</v>
      </c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</row>
    <row r="247" hidden="1">
      <c r="A247" s="25" t="s">
        <v>24</v>
      </c>
      <c r="B247" s="25" t="s">
        <v>25</v>
      </c>
      <c r="C247" s="27" t="s">
        <v>472</v>
      </c>
      <c r="D247" s="27" t="s">
        <v>579</v>
      </c>
      <c r="E247" s="43">
        <v>45233.0</v>
      </c>
      <c r="F247" s="39">
        <v>45234.583333333336</v>
      </c>
      <c r="G247" s="30" t="str">
        <f t="shared" si="15"/>
        <v>1 Д</v>
      </c>
      <c r="H247" s="31">
        <f t="shared" si="16"/>
        <v>900</v>
      </c>
      <c r="I247" s="32" t="str">
        <f t="shared" si="2"/>
        <v/>
      </c>
      <c r="J247" s="33" t="str">
        <f t="shared" si="3"/>
        <v/>
      </c>
      <c r="K247" s="36">
        <v>900.0</v>
      </c>
      <c r="L247" s="33"/>
      <c r="M247" s="36">
        <v>900.0</v>
      </c>
      <c r="N247" s="44">
        <v>19000.0</v>
      </c>
      <c r="O247" s="35" t="str">
        <f>IFERROR(__xludf.DUMMYFUNCTION("IFERROR(
  VLOOKUP(C247,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C247
    ), 
    7, FALSE
  ), 
  """"
)
"),"")</f>
        <v/>
      </c>
      <c r="P247" s="35">
        <f>IFERROR(__xludf.DUMMYFUNCTION("IF(AND(Q247="""", R247=""""),
  """",
  IF(OR(ISBLANK(Q247), ISBLANK(O247)),
    """",
    IF(VALUE(SUBSTITUTE(INDEX(SPLIT(IF(ISBLANK(R247), Q247, R247), "",""), 0, 1), "" Km"", """")) - O247 = 0,
      """",
      VALUE(SUBSTITUTE(INDEX(SPLIT(IF(ISBLANK("&amp;"R247), Q247, R247), "",""), 0, 1), "" Km"", """")) - O247
    )
  )
)"),19000.0)</f>
        <v>19000</v>
      </c>
      <c r="Q247" s="36" t="str">
        <f t="shared" si="4"/>
        <v>19 000 Km, 03.11.2023</v>
      </c>
      <c r="R247" s="33"/>
      <c r="S247" s="40">
        <v>400.0</v>
      </c>
      <c r="T247" s="25">
        <v>0.0</v>
      </c>
      <c r="U247" s="25" t="s">
        <v>516</v>
      </c>
      <c r="V247" s="37"/>
      <c r="W247" s="37" t="str">
        <f t="shared" si="5"/>
        <v>Завершена</v>
      </c>
      <c r="X247" s="25" t="str">
        <f>IFERROR(__xludf.DUMMYFUNCTION("IF(C247 = """", """", IF(REGEXMATCH(C247, ""PCX|NMAX|ADV|CLICK""), ""скутер"", ""мото""))"),"мото")</f>
        <v>мото</v>
      </c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</row>
    <row r="248" hidden="1">
      <c r="A248" s="13" t="s">
        <v>24</v>
      </c>
      <c r="B248" s="13" t="s">
        <v>25</v>
      </c>
      <c r="C248" s="14" t="s">
        <v>468</v>
      </c>
      <c r="D248" s="14" t="s">
        <v>595</v>
      </c>
      <c r="E248" s="48">
        <v>45233.0</v>
      </c>
      <c r="F248" s="38">
        <v>45235.666666666664</v>
      </c>
      <c r="G248" s="17" t="str">
        <f t="shared" si="15"/>
        <v>2 Д</v>
      </c>
      <c r="H248" s="18">
        <f t="shared" si="16"/>
        <v>1000</v>
      </c>
      <c r="I248" s="19" t="str">
        <f t="shared" si="2"/>
        <v/>
      </c>
      <c r="J248" s="20" t="str">
        <f t="shared" si="3"/>
        <v/>
      </c>
      <c r="K248" s="23">
        <v>2000.0</v>
      </c>
      <c r="L248" s="20"/>
      <c r="M248" s="23">
        <v>1000.0</v>
      </c>
      <c r="N248" s="49">
        <v>11500.0</v>
      </c>
      <c r="O248" s="22">
        <f>IFERROR(__xludf.DUMMYFUNCTION("IFERROR(
  VLOOKUP(C248,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C248
    ), 
    7, FALSE
  ), 
  """"
)
"),22200.0)</f>
        <v>22200</v>
      </c>
      <c r="P248" s="22">
        <f>IFERROR(__xludf.DUMMYFUNCTION("IF(AND(Q248="""", R248=""""),
  """",
  IF(OR(ISBLANK(Q248), ISBLANK(O248)),
    """",
    IF(VALUE(SUBSTITUTE(INDEX(SPLIT(IF(ISBLANK(R248), Q248, R248), "",""), 0, 1), "" Km"", """")) - O248 = 0,
      """",
      VALUE(SUBSTITUTE(INDEX(SPLIT(IF(ISBLANK("&amp;"R248), Q248, R248), "",""), 0, 1), "" Km"", """")) - O248
    )
  )
)"),-10700.0)</f>
        <v>-10700</v>
      </c>
      <c r="Q248" s="23" t="str">
        <f t="shared" si="4"/>
        <v>11 500 Km, 03.11.2023</v>
      </c>
      <c r="R248" s="20"/>
      <c r="S248" s="41">
        <v>15000.0</v>
      </c>
      <c r="T248" s="13">
        <v>2.0</v>
      </c>
      <c r="U248" s="66" t="s">
        <v>596</v>
      </c>
      <c r="V248" s="13" t="s">
        <v>597</v>
      </c>
      <c r="W248" s="24" t="str">
        <f t="shared" si="5"/>
        <v>Завершена</v>
      </c>
      <c r="X248" s="13" t="str">
        <f>IFERROR(__xludf.DUMMYFUNCTION("IF(C248 = """", """", IF(REGEXMATCH(C248, ""PCX|NMAX|ADV|CLICK""), ""скутер"", ""мото""))"),"мото")</f>
        <v>мото</v>
      </c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</row>
    <row r="249" hidden="1">
      <c r="A249" s="25" t="s">
        <v>24</v>
      </c>
      <c r="B249" s="25" t="s">
        <v>25</v>
      </c>
      <c r="C249" s="27" t="s">
        <v>68</v>
      </c>
      <c r="D249" s="27" t="s">
        <v>598</v>
      </c>
      <c r="E249" s="43">
        <v>45233.0</v>
      </c>
      <c r="F249" s="39">
        <v>45242.833333333336</v>
      </c>
      <c r="G249" s="30" t="str">
        <f t="shared" si="15"/>
        <v>9 Д</v>
      </c>
      <c r="H249" s="31">
        <f t="shared" si="16"/>
        <v>333</v>
      </c>
      <c r="I249" s="32" t="str">
        <f t="shared" si="2"/>
        <v/>
      </c>
      <c r="J249" s="33" t="str">
        <f t="shared" si="3"/>
        <v/>
      </c>
      <c r="K249" s="36">
        <v>3000.0</v>
      </c>
      <c r="L249" s="33"/>
      <c r="M249" s="36">
        <v>333.0</v>
      </c>
      <c r="N249" s="44">
        <v>18000.0</v>
      </c>
      <c r="O249" s="35">
        <f>IFERROR(__xludf.DUMMYFUNCTION("IFERROR(
  VLOOKUP(C249,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C249
    ), 
    7, FALSE
  ), 
  """"
)
"),24094.0)</f>
        <v>24094</v>
      </c>
      <c r="P249" s="35">
        <f>IFERROR(__xludf.DUMMYFUNCTION("IF(AND(Q249="""", R249=""""),
  """",
  IF(OR(ISBLANK(Q249), ISBLANK(O249)),
    """",
    IF(VALUE(SUBSTITUTE(INDEX(SPLIT(IF(ISBLANK(R249), Q249, R249), "",""), 0, 1), "" Km"", """")) - O249 = 0,
      """",
      VALUE(SUBSTITUTE(INDEX(SPLIT(IF(ISBLANK("&amp;"R249), Q249, R249), "",""), 0, 1), "" Km"", """")) - O249
    )
  )
)"),-6094.0)</f>
        <v>-6094</v>
      </c>
      <c r="Q249" s="36" t="str">
        <f t="shared" si="4"/>
        <v>18 000 Km, 03.11.2023</v>
      </c>
      <c r="R249" s="33"/>
      <c r="S249" s="40" t="s">
        <v>430</v>
      </c>
      <c r="T249" s="25">
        <v>2.0</v>
      </c>
      <c r="U249" s="25" t="s">
        <v>599</v>
      </c>
      <c r="V249" s="37"/>
      <c r="W249" s="37" t="str">
        <f t="shared" si="5"/>
        <v>Завершена</v>
      </c>
      <c r="X249" s="25" t="str">
        <f>IFERROR(__xludf.DUMMYFUNCTION("IF(C249 = """", """", IF(REGEXMATCH(C249, ""PCX|NMAX|ADV|CLICK""), ""скутер"", ""мото""))"),"скутер")</f>
        <v>скутер</v>
      </c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</row>
    <row r="250" hidden="1">
      <c r="A250" s="13" t="s">
        <v>24</v>
      </c>
      <c r="B250" s="13" t="s">
        <v>25</v>
      </c>
      <c r="C250" s="14" t="s">
        <v>113</v>
      </c>
      <c r="D250" s="14" t="s">
        <v>511</v>
      </c>
      <c r="E250" s="48">
        <v>45233.0</v>
      </c>
      <c r="F250" s="38">
        <v>45263.708333333336</v>
      </c>
      <c r="G250" s="17" t="str">
        <f t="shared" si="15"/>
        <v>30 Д</v>
      </c>
      <c r="H250" s="18">
        <f t="shared" si="16"/>
        <v>366.6666667</v>
      </c>
      <c r="I250" s="19" t="str">
        <f t="shared" si="2"/>
        <v/>
      </c>
      <c r="J250" s="20" t="str">
        <f t="shared" si="3"/>
        <v/>
      </c>
      <c r="K250" s="23">
        <v>11000.0</v>
      </c>
      <c r="L250" s="23">
        <v>11000.0</v>
      </c>
      <c r="M250" s="20"/>
      <c r="N250" s="49">
        <v>25200.0</v>
      </c>
      <c r="O250" s="22" t="str">
        <f>IFERROR(__xludf.DUMMYFUNCTION("IFERROR(
  VLOOKUP(C250,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C250
    ), 
    7, FALSE
  ), 
  """"
)
"),"")</f>
        <v/>
      </c>
      <c r="P250" s="22">
        <f>IFERROR(__xludf.DUMMYFUNCTION("IF(AND(Q250="""", R250=""""),
  """",
  IF(OR(ISBLANK(Q250), ISBLANK(O250)),
    """",
    IF(VALUE(SUBSTITUTE(INDEX(SPLIT(IF(ISBLANK(R250), Q250, R250), "",""), 0, 1), "" Km"", """")) - O250 = 0,
      """",
      VALUE(SUBSTITUTE(INDEX(SPLIT(IF(ISBLANK("&amp;"R250), Q250, R250), "",""), 0, 1), "" Km"", """")) - O250
    )
  )
)"),25200.0)</f>
        <v>25200</v>
      </c>
      <c r="Q250" s="23" t="str">
        <f t="shared" si="4"/>
        <v>25 200 Km, 03.11.2023</v>
      </c>
      <c r="R250" s="20"/>
      <c r="S250" s="41">
        <v>5000.0</v>
      </c>
      <c r="T250" s="13">
        <v>0.0</v>
      </c>
      <c r="U250" s="13" t="s">
        <v>512</v>
      </c>
      <c r="V250" s="24"/>
      <c r="W250" s="24" t="str">
        <f t="shared" si="5"/>
        <v>Завершена</v>
      </c>
      <c r="X250" s="13" t="str">
        <f>IFERROR(__xludf.DUMMYFUNCTION("IF(C250 = """", """", IF(REGEXMATCH(C250, ""PCX|NMAX|ADV|CLICK""), ""скутер"", ""мото""))"),"мото")</f>
        <v>мото</v>
      </c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</row>
    <row r="251" hidden="1">
      <c r="A251" s="25" t="s">
        <v>24</v>
      </c>
      <c r="B251" s="25" t="s">
        <v>25</v>
      </c>
      <c r="C251" s="27" t="s">
        <v>64</v>
      </c>
      <c r="D251" s="27" t="s">
        <v>587</v>
      </c>
      <c r="E251" s="43">
        <v>45234.0</v>
      </c>
      <c r="F251" s="39">
        <v>45237.541666666664</v>
      </c>
      <c r="G251" s="30" t="str">
        <f t="shared" si="15"/>
        <v>3 Д</v>
      </c>
      <c r="H251" s="31">
        <f t="shared" si="16"/>
        <v>500</v>
      </c>
      <c r="I251" s="32" t="str">
        <f t="shared" si="2"/>
        <v/>
      </c>
      <c r="J251" s="33" t="str">
        <f t="shared" si="3"/>
        <v/>
      </c>
      <c r="K251" s="36">
        <v>1500.0</v>
      </c>
      <c r="L251" s="33"/>
      <c r="M251" s="36">
        <v>500.0</v>
      </c>
      <c r="N251" s="44">
        <v>16986.0</v>
      </c>
      <c r="O251" s="35">
        <f>IFERROR(__xludf.DUMMYFUNCTION("IFERROR(
  VLOOKUP(C251,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C251
    ), 
    7, FALSE
  ), 
  """"
)
"),32600.0)</f>
        <v>32600</v>
      </c>
      <c r="P251" s="35">
        <f>IFERROR(__xludf.DUMMYFUNCTION("IF(AND(Q251="""", R251=""""),
  """",
  IF(OR(ISBLANK(Q251), ISBLANK(O251)),
    """",
    IF(VALUE(SUBSTITUTE(INDEX(SPLIT(IF(ISBLANK(R251), Q251, R251), "",""), 0, 1), "" Km"", """")) - O251 = 0,
      """",
      VALUE(SUBSTITUTE(INDEX(SPLIT(IF(ISBLANK("&amp;"R251), Q251, R251), "",""), 0, 1), "" Km"", """")) - O251
    )
  )
)"),-15614.0)</f>
        <v>-15614</v>
      </c>
      <c r="Q251" s="36" t="str">
        <f t="shared" si="4"/>
        <v>16 986 Km, 04.11.2023</v>
      </c>
      <c r="R251" s="33"/>
      <c r="S251" s="40" t="s">
        <v>600</v>
      </c>
      <c r="T251" s="25">
        <v>1.0</v>
      </c>
      <c r="U251" s="25" t="s">
        <v>601</v>
      </c>
      <c r="V251" s="37"/>
      <c r="W251" s="37" t="str">
        <f t="shared" si="5"/>
        <v>Завершена</v>
      </c>
      <c r="X251" s="25" t="str">
        <f>IFERROR(__xludf.DUMMYFUNCTION("IF(C251 = """", """", IF(REGEXMATCH(C251, ""PCX|NMAX|ADV|CLICK""), ""скутер"", ""мото""))"),"мото")</f>
        <v>мото</v>
      </c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</row>
    <row r="252" hidden="1">
      <c r="A252" s="13" t="s">
        <v>24</v>
      </c>
      <c r="B252" s="13" t="s">
        <v>25</v>
      </c>
      <c r="C252" s="14" t="s">
        <v>483</v>
      </c>
      <c r="D252" s="14" t="s">
        <v>602</v>
      </c>
      <c r="E252" s="48">
        <v>45235.0</v>
      </c>
      <c r="F252" s="38">
        <v>45238.541666666664</v>
      </c>
      <c r="G252" s="17" t="str">
        <f t="shared" si="15"/>
        <v>3 Д</v>
      </c>
      <c r="H252" s="18">
        <f t="shared" si="16"/>
        <v>1800</v>
      </c>
      <c r="I252" s="19" t="str">
        <f t="shared" si="2"/>
        <v/>
      </c>
      <c r="J252" s="20" t="str">
        <f t="shared" si="3"/>
        <v/>
      </c>
      <c r="K252" s="23">
        <v>5400.0</v>
      </c>
      <c r="L252" s="23"/>
      <c r="M252" s="23">
        <v>1800.0</v>
      </c>
      <c r="N252" s="49">
        <v>22000.0</v>
      </c>
      <c r="O252" s="22">
        <f>IFERROR(__xludf.DUMMYFUNCTION("IFERROR(
  VLOOKUP(C252,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C252
    ), 
    7, FALSE
  ), 
  """"
)
"),41500.0)</f>
        <v>41500</v>
      </c>
      <c r="P252" s="22">
        <f>IFERROR(__xludf.DUMMYFUNCTION("IF(AND(Q252="""", R252=""""),
  """",
  IF(OR(ISBLANK(Q252), ISBLANK(O252)),
    """",
    IF(VALUE(SUBSTITUTE(INDEX(SPLIT(IF(ISBLANK(R252), Q252, R252), "",""), 0, 1), "" Km"", """")) - O252 = 0,
      """",
      VALUE(SUBSTITUTE(INDEX(SPLIT(IF(ISBLANK("&amp;"R252), Q252, R252), "",""), 0, 1), "" Km"", """")) - O252
    )
  )
)"),-19500.0)</f>
        <v>-19500</v>
      </c>
      <c r="Q252" s="23" t="str">
        <f t="shared" si="4"/>
        <v>22 000 Km, 05.11.2023</v>
      </c>
      <c r="R252" s="20"/>
      <c r="S252" s="41">
        <v>24000.0</v>
      </c>
      <c r="T252" s="13">
        <v>2.0</v>
      </c>
      <c r="U252" s="13" t="s">
        <v>603</v>
      </c>
      <c r="V252" s="13" t="s">
        <v>604</v>
      </c>
      <c r="W252" s="24" t="str">
        <f t="shared" si="5"/>
        <v>Завершена</v>
      </c>
      <c r="X252" s="13" t="str">
        <f>IFERROR(__xludf.DUMMYFUNCTION("IF(C252 = """", """", IF(REGEXMATCH(C252, ""PCX|NMAX|ADV|CLICK""), ""скутер"", ""мото""))"),"мото")</f>
        <v>мото</v>
      </c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</row>
    <row r="253" hidden="1">
      <c r="A253" s="25" t="s">
        <v>24</v>
      </c>
      <c r="B253" s="27" t="s">
        <v>25</v>
      </c>
      <c r="C253" s="60" t="s">
        <v>468</v>
      </c>
      <c r="D253" s="27" t="s">
        <v>595</v>
      </c>
      <c r="E253" s="43">
        <v>45235.0</v>
      </c>
      <c r="F253" s="39">
        <v>45242.666666666664</v>
      </c>
      <c r="G253" s="30" t="str">
        <f t="shared" si="15"/>
        <v>7 Д</v>
      </c>
      <c r="H253" s="31">
        <f t="shared" si="16"/>
        <v>900</v>
      </c>
      <c r="I253" s="32" t="str">
        <f t="shared" si="2"/>
        <v/>
      </c>
      <c r="J253" s="33" t="str">
        <f t="shared" si="3"/>
        <v/>
      </c>
      <c r="K253" s="36">
        <f>2700+3600</f>
        <v>6300</v>
      </c>
      <c r="L253" s="67"/>
      <c r="M253" s="36">
        <v>900.0</v>
      </c>
      <c r="N253" s="34">
        <v>11500.0</v>
      </c>
      <c r="O253" s="35">
        <f>IFERROR(__xludf.DUMMYFUNCTION("IFERROR(
  VLOOKUP(C253,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C253
    ), 
    7, FALSE
  ), 
  """"
)
"),22200.0)</f>
        <v>22200</v>
      </c>
      <c r="P253" s="35">
        <f>IFERROR(__xludf.DUMMYFUNCTION("IF(AND(Q253="""", R253=""""),
  """",
  IF(OR(ISBLANK(Q253), ISBLANK(O253)),
    """",
    IF(VALUE(SUBSTITUTE(INDEX(SPLIT(IF(ISBLANK(R253), Q253, R253), "",""), 0, 1), "" Km"", """")) - O253 = 0,
      """",
      VALUE(SUBSTITUTE(INDEX(SPLIT(IF(ISBLANK("&amp;"R253), Q253, R253), "",""), 0, 1), "" Km"", """")) - O253
    )
  )
)"),-10700.0)</f>
        <v>-10700</v>
      </c>
      <c r="Q253" s="33" t="str">
        <f t="shared" si="4"/>
        <v>11 500 Km, 05.11.2023</v>
      </c>
      <c r="R253" s="67"/>
      <c r="S253" s="40" t="s">
        <v>600</v>
      </c>
      <c r="T253" s="37">
        <v>2.0</v>
      </c>
      <c r="U253" s="68" t="s">
        <v>596</v>
      </c>
      <c r="V253" s="37" t="s">
        <v>597</v>
      </c>
      <c r="W253" s="37" t="str">
        <f t="shared" si="5"/>
        <v>Завершена</v>
      </c>
      <c r="X253" s="46" t="str">
        <f>IFERROR(__xludf.DUMMYFUNCTION("IF(C253 = """", """", IF(REGEXMATCH(C253, ""PCX|NMAX|ADV|CLICK""), ""скутер"", ""мото""))"),"мото")</f>
        <v>мото</v>
      </c>
      <c r="Y253" s="25"/>
      <c r="Z253" s="25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</row>
    <row r="254" hidden="1">
      <c r="A254" s="13" t="s">
        <v>24</v>
      </c>
      <c r="B254" s="13" t="s">
        <v>25</v>
      </c>
      <c r="C254" s="14" t="s">
        <v>52</v>
      </c>
      <c r="D254" s="14" t="s">
        <v>605</v>
      </c>
      <c r="E254" s="48">
        <v>45235.0</v>
      </c>
      <c r="F254" s="38">
        <v>45356.666666666664</v>
      </c>
      <c r="G254" s="17" t="str">
        <f t="shared" si="15"/>
        <v>4 М</v>
      </c>
      <c r="H254" s="18">
        <f t="shared" si="16"/>
        <v>100</v>
      </c>
      <c r="I254" s="19" t="str">
        <f t="shared" si="2"/>
        <v/>
      </c>
      <c r="J254" s="20" t="str">
        <f t="shared" si="3"/>
        <v/>
      </c>
      <c r="K254" s="23">
        <f>6000+3000</f>
        <v>9000</v>
      </c>
      <c r="L254" s="23">
        <v>3000.0</v>
      </c>
      <c r="M254" s="20"/>
      <c r="N254" s="49">
        <v>28900.0</v>
      </c>
      <c r="O254" s="22">
        <f>IFERROR(__xludf.DUMMYFUNCTION("IFERROR(
  VLOOKUP(C254,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C254
    ), 
    7, FALSE
  ), 
  """"
)
"),33515.0)</f>
        <v>33515</v>
      </c>
      <c r="P254" s="22">
        <f>IFERROR(__xludf.DUMMYFUNCTION("IF(AND(Q254="""", R254=""""),
  """",
  IF(OR(ISBLANK(Q254), ISBLANK(O254)),
    """",
    IF(VALUE(SUBSTITUTE(INDEX(SPLIT(IF(ISBLANK(R254), Q254, R254), "",""), 0, 1), "" Km"", """")) - O254 = 0,
      """",
      VALUE(SUBSTITUTE(INDEX(SPLIT(IF(ISBLANK("&amp;"R254), Q254, R254), "",""), 0, 1), "" Km"", """")) - O254
    )
  )
)"),-1899.0)</f>
        <v>-1899</v>
      </c>
      <c r="Q254" s="23" t="str">
        <f t="shared" si="4"/>
        <v>31616 Km, 30.01.2024</v>
      </c>
      <c r="R254" s="53" t="s">
        <v>606</v>
      </c>
      <c r="S254" s="41">
        <v>0.0</v>
      </c>
      <c r="T254" s="13">
        <v>0.0</v>
      </c>
      <c r="U254" s="13" t="s">
        <v>607</v>
      </c>
      <c r="V254" s="24"/>
      <c r="W254" s="24" t="str">
        <f t="shared" si="5"/>
        <v>Завершена</v>
      </c>
      <c r="X254" s="13" t="str">
        <f>IFERROR(__xludf.DUMMYFUNCTION("IF(C254 = """", """", IF(REGEXMATCH(C254, ""PCX|NMAX|ADV|CLICK""), ""скутер"", ""мото""))"),"скутер")</f>
        <v>скутер</v>
      </c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</row>
    <row r="255" hidden="1">
      <c r="A255" s="25" t="s">
        <v>24</v>
      </c>
      <c r="B255" s="25" t="s">
        <v>25</v>
      </c>
      <c r="C255" s="27" t="s">
        <v>102</v>
      </c>
      <c r="D255" s="27" t="s">
        <v>608</v>
      </c>
      <c r="E255" s="43">
        <v>45236.0</v>
      </c>
      <c r="F255" s="39">
        <v>45243.708333333336</v>
      </c>
      <c r="G255" s="30" t="str">
        <f t="shared" si="15"/>
        <v>7 Д</v>
      </c>
      <c r="H255" s="31">
        <f t="shared" si="16"/>
        <v>2000</v>
      </c>
      <c r="I255" s="32" t="str">
        <f t="shared" si="2"/>
        <v/>
      </c>
      <c r="J255" s="33" t="str">
        <f t="shared" si="3"/>
        <v/>
      </c>
      <c r="K255" s="36">
        <v>10000.0</v>
      </c>
      <c r="L255" s="33"/>
      <c r="M255" s="36">
        <v>2000.0</v>
      </c>
      <c r="N255" s="44">
        <v>35000.0</v>
      </c>
      <c r="O255" s="35">
        <f>IFERROR(__xludf.DUMMYFUNCTION("IFERROR(
  VLOOKUP(C255,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C255
    ), 
    7, FALSE
  ), 
  """"
)
"),63700.0)</f>
        <v>63700</v>
      </c>
      <c r="P255" s="35">
        <f>IFERROR(__xludf.DUMMYFUNCTION("IF(AND(Q255="""", R255=""""),
  """",
  IF(OR(ISBLANK(Q255), ISBLANK(O255)),
    """",
    IF(VALUE(SUBSTITUTE(INDEX(SPLIT(IF(ISBLANK(R255), Q255, R255), "",""), 0, 1), "" Km"", """")) - O255 = 0,
      """",
      VALUE(SUBSTITUTE(INDEX(SPLIT(IF(ISBLANK("&amp;"R255), Q255, R255), "",""), 0, 1), "" Km"", """")) - O255
    )
  )
)"),-28700.0)</f>
        <v>-28700</v>
      </c>
      <c r="Q255" s="36" t="str">
        <f t="shared" si="4"/>
        <v>35 000 Km, 06.11.2023</v>
      </c>
      <c r="R255" s="33"/>
      <c r="S255" s="40" t="s">
        <v>609</v>
      </c>
      <c r="T255" s="25">
        <v>2.0</v>
      </c>
      <c r="U255" s="25" t="s">
        <v>610</v>
      </c>
      <c r="V255" s="25" t="s">
        <v>611</v>
      </c>
      <c r="W255" s="37" t="str">
        <f t="shared" si="5"/>
        <v>Завершена</v>
      </c>
      <c r="X255" s="25" t="str">
        <f>IFERROR(__xludf.DUMMYFUNCTION("IF(C255 = """", """", IF(REGEXMATCH(C255, ""PCX|NMAX|ADV|CLICK""), ""скутер"", ""мото""))"),"мото")</f>
        <v>мото</v>
      </c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</row>
    <row r="256" hidden="1">
      <c r="A256" s="13" t="s">
        <v>24</v>
      </c>
      <c r="B256" s="13" t="s">
        <v>25</v>
      </c>
      <c r="C256" s="14" t="s">
        <v>151</v>
      </c>
      <c r="D256" s="14" t="s">
        <v>612</v>
      </c>
      <c r="E256" s="48">
        <v>45236.0</v>
      </c>
      <c r="F256" s="38">
        <v>45246.875</v>
      </c>
      <c r="G256" s="17" t="str">
        <f t="shared" si="15"/>
        <v>10 Д</v>
      </c>
      <c r="H256" s="18">
        <f t="shared" si="16"/>
        <v>300</v>
      </c>
      <c r="I256" s="19" t="str">
        <f t="shared" si="2"/>
        <v/>
      </c>
      <c r="J256" s="20" t="str">
        <f t="shared" si="3"/>
        <v/>
      </c>
      <c r="K256" s="23">
        <v>900.0</v>
      </c>
      <c r="L256" s="20"/>
      <c r="M256" s="23">
        <v>300.0</v>
      </c>
      <c r="N256" s="49">
        <v>20900.0</v>
      </c>
      <c r="O256" s="22">
        <f>IFERROR(__xludf.DUMMYFUNCTION("IFERROR(
  VLOOKUP(C256,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C256
    ), 
    7, FALSE
  ), 
  """"
)
"),35800.0)</f>
        <v>35800</v>
      </c>
      <c r="P256" s="22">
        <f>IFERROR(__xludf.DUMMYFUNCTION("IF(AND(Q256="""", R256=""""),
  """",
  IF(OR(ISBLANK(Q256), ISBLANK(O256)),
    """",
    IF(VALUE(SUBSTITUTE(INDEX(SPLIT(IF(ISBLANK(R256), Q256, R256), "",""), 0, 1), "" Km"", """")) - O256 = 0,
      """",
      VALUE(SUBSTITUTE(INDEX(SPLIT(IF(ISBLANK("&amp;"R256), Q256, R256), "",""), 0, 1), "" Km"", """")) - O256
    )
  )
)"),-14900.0)</f>
        <v>-14900</v>
      </c>
      <c r="Q256" s="23" t="str">
        <f t="shared" si="4"/>
        <v>20 900 Km, 06.11.2023</v>
      </c>
      <c r="R256" s="20"/>
      <c r="S256" s="41">
        <v>100.0</v>
      </c>
      <c r="T256" s="13">
        <v>2.0</v>
      </c>
      <c r="U256" s="13" t="s">
        <v>613</v>
      </c>
      <c r="V256" s="13" t="s">
        <v>614</v>
      </c>
      <c r="W256" s="24" t="str">
        <f t="shared" si="5"/>
        <v>Завершена</v>
      </c>
      <c r="X256" s="13" t="str">
        <f>IFERROR(__xludf.DUMMYFUNCTION("IF(C256 = """", """", IF(REGEXMATCH(C256, ""PCX|NMAX|ADV|CLICK""), ""скутер"", ""мото""))"),"скутер")</f>
        <v>скутер</v>
      </c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</row>
    <row r="257" hidden="1">
      <c r="A257" s="25" t="s">
        <v>24</v>
      </c>
      <c r="B257" s="25" t="s">
        <v>25</v>
      </c>
      <c r="C257" s="27" t="s">
        <v>73</v>
      </c>
      <c r="D257" s="27" t="s">
        <v>615</v>
      </c>
      <c r="E257" s="43">
        <v>45237.0</v>
      </c>
      <c r="F257" s="39">
        <v>45255.916666666664</v>
      </c>
      <c r="G257" s="30" t="str">
        <f t="shared" si="15"/>
        <v>18 Д</v>
      </c>
      <c r="H257" s="31">
        <f t="shared" si="16"/>
        <v>283</v>
      </c>
      <c r="I257" s="32" t="str">
        <f t="shared" si="2"/>
        <v/>
      </c>
      <c r="J257" s="33" t="str">
        <f t="shared" si="3"/>
        <v/>
      </c>
      <c r="K257" s="36">
        <v>5100.0</v>
      </c>
      <c r="L257" s="33"/>
      <c r="M257" s="36">
        <v>283.0</v>
      </c>
      <c r="N257" s="44">
        <v>17041.0</v>
      </c>
      <c r="O257" s="35">
        <f>IFERROR(__xludf.DUMMYFUNCTION("IFERROR(
  VLOOKUP(C257,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C257
    ), 
    7, FALSE
  ), 
  """"
)
"),31000.0)</f>
        <v>31000</v>
      </c>
      <c r="P257" s="35">
        <f>IFERROR(__xludf.DUMMYFUNCTION("IF(AND(Q257="""", R257=""""),
  """",
  IF(OR(ISBLANK(Q257), ISBLANK(O257)),
    """",
    IF(VALUE(SUBSTITUTE(INDEX(SPLIT(IF(ISBLANK(R257), Q257, R257), "",""), 0, 1), "" Km"", """")) - O257 = 0,
      """",
      VALUE(SUBSTITUTE(INDEX(SPLIT(IF(ISBLANK("&amp;"R257), Q257, R257), "",""), 0, 1), "" Km"", """")) - O257
    )
  )
)"),-13959.0)</f>
        <v>-13959</v>
      </c>
      <c r="Q257" s="36" t="str">
        <f t="shared" si="4"/>
        <v>17 041 Km, 07.11.2023</v>
      </c>
      <c r="R257" s="33"/>
      <c r="S257" s="40">
        <v>3000.0</v>
      </c>
      <c r="T257" s="25">
        <v>2.0</v>
      </c>
      <c r="U257" s="25" t="s">
        <v>616</v>
      </c>
      <c r="V257" s="37"/>
      <c r="W257" s="37" t="str">
        <f t="shared" si="5"/>
        <v>Завершена</v>
      </c>
      <c r="X257" s="25" t="str">
        <f>IFERROR(__xludf.DUMMYFUNCTION("IF(C257 = """", """", IF(REGEXMATCH(C257, ""PCX|NMAX|ADV|CLICK""), ""скутер"", ""мото""))"),"скутер")</f>
        <v>скутер</v>
      </c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</row>
    <row r="258" hidden="1">
      <c r="A258" s="13" t="s">
        <v>24</v>
      </c>
      <c r="B258" s="13" t="s">
        <v>25</v>
      </c>
      <c r="C258" s="14" t="s">
        <v>64</v>
      </c>
      <c r="D258" s="14" t="s">
        <v>583</v>
      </c>
      <c r="E258" s="48">
        <v>45238.0</v>
      </c>
      <c r="F258" s="38">
        <v>45242.666666666664</v>
      </c>
      <c r="G258" s="17" t="str">
        <f t="shared" si="15"/>
        <v>4 Д</v>
      </c>
      <c r="H258" s="18">
        <f t="shared" si="16"/>
        <v>500</v>
      </c>
      <c r="I258" s="19" t="str">
        <f t="shared" si="2"/>
        <v/>
      </c>
      <c r="J258" s="20" t="str">
        <f t="shared" si="3"/>
        <v/>
      </c>
      <c r="K258" s="23">
        <v>2300.0</v>
      </c>
      <c r="L258" s="20"/>
      <c r="M258" s="23">
        <v>500.0</v>
      </c>
      <c r="N258" s="49">
        <v>17200.0</v>
      </c>
      <c r="O258" s="22">
        <f>IFERROR(__xludf.DUMMYFUNCTION("IFERROR(
  VLOOKUP(C258,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C258
    ), 
    7, FALSE
  ), 
  """"
)
"),32600.0)</f>
        <v>32600</v>
      </c>
      <c r="P258" s="22">
        <f>IFERROR(__xludf.DUMMYFUNCTION("IF(AND(Q258="""", R258=""""),
  """",
  IF(OR(ISBLANK(Q258), ISBLANK(O258)),
    """",
    IF(VALUE(SUBSTITUTE(INDEX(SPLIT(IF(ISBLANK(R258), Q258, R258), "",""), 0, 1), "" Km"", """")) - O258 = 0,
      """",
      VALUE(SUBSTITUTE(INDEX(SPLIT(IF(ISBLANK("&amp;"R258), Q258, R258), "",""), 0, 1), "" Km"", """")) - O258
    )
  )
)"),-15400.0)</f>
        <v>-15400</v>
      </c>
      <c r="Q258" s="23" t="str">
        <f t="shared" si="4"/>
        <v>17 200 Km, 08.11.2023</v>
      </c>
      <c r="R258" s="20"/>
      <c r="S258" s="41" t="s">
        <v>617</v>
      </c>
      <c r="T258" s="13">
        <v>2.0</v>
      </c>
      <c r="U258" s="13" t="s">
        <v>618</v>
      </c>
      <c r="V258" s="13" t="s">
        <v>619</v>
      </c>
      <c r="W258" s="24" t="str">
        <f t="shared" si="5"/>
        <v>Завершена</v>
      </c>
      <c r="X258" s="13" t="str">
        <f>IFERROR(__xludf.DUMMYFUNCTION("IF(C258 = """", """", IF(REGEXMATCH(C258, ""PCX|NMAX|ADV|CLICK""), ""скутер"", ""мото""))"),"мото")</f>
        <v>мото</v>
      </c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</row>
    <row r="259" hidden="1">
      <c r="A259" s="25" t="s">
        <v>24</v>
      </c>
      <c r="B259" s="25" t="s">
        <v>25</v>
      </c>
      <c r="C259" s="27" t="s">
        <v>32</v>
      </c>
      <c r="D259" s="27" t="s">
        <v>602</v>
      </c>
      <c r="E259" s="43">
        <v>45238.0</v>
      </c>
      <c r="F259" s="39">
        <v>45247.5</v>
      </c>
      <c r="G259" s="30" t="str">
        <f t="shared" si="15"/>
        <v>9 Д</v>
      </c>
      <c r="H259" s="31">
        <f t="shared" si="16"/>
        <v>600</v>
      </c>
      <c r="I259" s="32" t="str">
        <f t="shared" si="2"/>
        <v/>
      </c>
      <c r="J259" s="33" t="str">
        <f t="shared" si="3"/>
        <v/>
      </c>
      <c r="K259" s="36">
        <v>5400.0</v>
      </c>
      <c r="L259" s="33"/>
      <c r="M259" s="36">
        <v>600.0</v>
      </c>
      <c r="N259" s="44">
        <v>19900.0</v>
      </c>
      <c r="O259" s="35">
        <f>IFERROR(__xludf.DUMMYFUNCTION("IFERROR(
  VLOOKUP(C259,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C259
    ), 
    7, FALSE
  ), 
  """"
)
"),38640.0)</f>
        <v>38640</v>
      </c>
      <c r="P259" s="35">
        <f>IFERROR(__xludf.DUMMYFUNCTION("IF(AND(Q259="""", R259=""""),
  """",
  IF(OR(ISBLANK(Q259), ISBLANK(O259)),
    """",
    IF(VALUE(SUBSTITUTE(INDEX(SPLIT(IF(ISBLANK(R259), Q259, R259), "",""), 0, 1), "" Km"", """")) - O259 = 0,
      """",
      VALUE(SUBSTITUTE(INDEX(SPLIT(IF(ISBLANK("&amp;"R259), Q259, R259), "",""), 0, 1), "" Km"", """")) - O259
    )
  )
)"),-18740.0)</f>
        <v>-18740</v>
      </c>
      <c r="Q259" s="36" t="str">
        <f t="shared" si="4"/>
        <v>19 900 Km, 08.11.2023</v>
      </c>
      <c r="R259" s="33"/>
      <c r="S259" s="40">
        <v>5000.0</v>
      </c>
      <c r="T259" s="25">
        <v>2.0</v>
      </c>
      <c r="U259" s="25" t="s">
        <v>620</v>
      </c>
      <c r="V259" s="37"/>
      <c r="W259" s="37" t="str">
        <f t="shared" si="5"/>
        <v>Завершена</v>
      </c>
      <c r="X259" s="25" t="str">
        <f>IFERROR(__xludf.DUMMYFUNCTION("IF(C259 = """", """", IF(REGEXMATCH(C259, ""PCX|NMAX|ADV|CLICK""), ""скутер"", ""мото""))"),"мото")</f>
        <v>мото</v>
      </c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</row>
    <row r="260" hidden="1">
      <c r="A260" s="13" t="s">
        <v>24</v>
      </c>
      <c r="B260" s="13" t="s">
        <v>25</v>
      </c>
      <c r="C260" s="14" t="s">
        <v>427</v>
      </c>
      <c r="D260" s="14" t="s">
        <v>621</v>
      </c>
      <c r="E260" s="48">
        <v>45238.0</v>
      </c>
      <c r="F260" s="38">
        <v>45247.916666666664</v>
      </c>
      <c r="G260" s="17" t="str">
        <f t="shared" si="15"/>
        <v>9 Д</v>
      </c>
      <c r="H260" s="18">
        <f t="shared" si="16"/>
        <v>900</v>
      </c>
      <c r="I260" s="19" t="str">
        <f t="shared" si="2"/>
        <v/>
      </c>
      <c r="J260" s="20" t="str">
        <f t="shared" si="3"/>
        <v/>
      </c>
      <c r="K260" s="23">
        <v>8100.0</v>
      </c>
      <c r="L260" s="20"/>
      <c r="M260" s="23">
        <v>900.0</v>
      </c>
      <c r="N260" s="49">
        <v>15791.0</v>
      </c>
      <c r="O260" s="22" t="str">
        <f>IFERROR(__xludf.DUMMYFUNCTION("IFERROR(
  VLOOKUP(C260,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C260
    ), 
    7, FALSE
  ), 
  """"
)
"),"")</f>
        <v/>
      </c>
      <c r="P260" s="22">
        <f>IFERROR(__xludf.DUMMYFUNCTION("IF(AND(Q260="""", R260=""""),
  """",
  IF(OR(ISBLANK(Q260), ISBLANK(O260)),
    """",
    IF(VALUE(SUBSTITUTE(INDEX(SPLIT(IF(ISBLANK(R260), Q260, R260), "",""), 0, 1), "" Km"", """")) - O260 = 0,
      """",
      VALUE(SUBSTITUTE(INDEX(SPLIT(IF(ISBLANK("&amp;"R260), Q260, R260), "",""), 0, 1), "" Km"", """")) - O260
    )
  )
)"),15791.0)</f>
        <v>15791</v>
      </c>
      <c r="Q260" s="23" t="str">
        <f t="shared" si="4"/>
        <v>15 791 Km, 08.11.2023</v>
      </c>
      <c r="R260" s="20"/>
      <c r="S260" s="41">
        <v>300.0</v>
      </c>
      <c r="T260" s="13">
        <v>2.0</v>
      </c>
      <c r="U260" s="13" t="s">
        <v>622</v>
      </c>
      <c r="V260" s="24"/>
      <c r="W260" s="24" t="str">
        <f t="shared" si="5"/>
        <v>Завершена</v>
      </c>
      <c r="X260" s="13" t="str">
        <f>IFERROR(__xludf.DUMMYFUNCTION("IF(C260 = """", """", IF(REGEXMATCH(C260, ""PCX|NMAX|ADV|CLICK""), ""скутер"", ""мото""))"),"мото")</f>
        <v>мото</v>
      </c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</row>
    <row r="261" hidden="1">
      <c r="A261" s="25" t="s">
        <v>24</v>
      </c>
      <c r="B261" s="25" t="s">
        <v>25</v>
      </c>
      <c r="C261" s="27" t="s">
        <v>106</v>
      </c>
      <c r="D261" s="27" t="s">
        <v>623</v>
      </c>
      <c r="E261" s="43">
        <v>45238.0</v>
      </c>
      <c r="F261" s="39">
        <v>45268.625</v>
      </c>
      <c r="G261" s="30" t="str">
        <f t="shared" si="15"/>
        <v>30 Д</v>
      </c>
      <c r="H261" s="31">
        <f t="shared" si="16"/>
        <v>233.3333333</v>
      </c>
      <c r="I261" s="32" t="str">
        <f t="shared" si="2"/>
        <v/>
      </c>
      <c r="J261" s="33" t="str">
        <f t="shared" si="3"/>
        <v/>
      </c>
      <c r="K261" s="36">
        <v>7000.0</v>
      </c>
      <c r="L261" s="36">
        <v>7000.0</v>
      </c>
      <c r="M261" s="33"/>
      <c r="N261" s="44">
        <v>18697.0</v>
      </c>
      <c r="O261" s="35">
        <f>IFERROR(__xludf.DUMMYFUNCTION("IFERROR(
  VLOOKUP(C261,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C261
    ), 
    7, FALSE
  ), 
  """"
)
"),26000.0)</f>
        <v>26000</v>
      </c>
      <c r="P261" s="35">
        <f>IFERROR(__xludf.DUMMYFUNCTION("IF(AND(Q261="""", R261=""""),
  """",
  IF(OR(ISBLANK(Q261), ISBLANK(O261)),
    """",
    IF(VALUE(SUBSTITUTE(INDEX(SPLIT(IF(ISBLANK(R261), Q261, R261), "",""), 0, 1), "" Km"", """")) - O261 = 0,
      """",
      VALUE(SUBSTITUTE(INDEX(SPLIT(IF(ISBLANK("&amp;"R261), Q261, R261), "",""), 0, 1), "" Km"", """")) - O261
    )
  )
)"),-7303.0)</f>
        <v>-7303</v>
      </c>
      <c r="Q261" s="36" t="str">
        <f t="shared" si="4"/>
        <v>18 697 Km, 08.11.2023</v>
      </c>
      <c r="R261" s="33"/>
      <c r="S261" s="40">
        <v>75.0</v>
      </c>
      <c r="T261" s="25">
        <v>2.0</v>
      </c>
      <c r="U261" s="25" t="s">
        <v>624</v>
      </c>
      <c r="V261" s="25" t="s">
        <v>625</v>
      </c>
      <c r="W261" s="37" t="str">
        <f t="shared" si="5"/>
        <v>Завершена</v>
      </c>
      <c r="X261" s="25" t="str">
        <f>IFERROR(__xludf.DUMMYFUNCTION("IF(C261 = """", """", IF(REGEXMATCH(C261, ""PCX|NMAX|ADV|CLICK""), ""скутер"", ""мото""))"),"скутер")</f>
        <v>скутер</v>
      </c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</row>
    <row r="262" hidden="1">
      <c r="A262" s="13" t="s">
        <v>24</v>
      </c>
      <c r="B262" s="13" t="s">
        <v>25</v>
      </c>
      <c r="C262" s="14" t="s">
        <v>114</v>
      </c>
      <c r="D262" s="14" t="s">
        <v>623</v>
      </c>
      <c r="E262" s="48">
        <v>45238.0</v>
      </c>
      <c r="F262" s="38">
        <v>45268.625</v>
      </c>
      <c r="G262" s="17" t="str">
        <f t="shared" si="15"/>
        <v>30 Д</v>
      </c>
      <c r="H262" s="18">
        <f t="shared" si="16"/>
        <v>233.3333333</v>
      </c>
      <c r="I262" s="19" t="str">
        <f t="shared" si="2"/>
        <v/>
      </c>
      <c r="J262" s="20" t="str">
        <f t="shared" si="3"/>
        <v/>
      </c>
      <c r="K262" s="23">
        <v>5000.0</v>
      </c>
      <c r="L262" s="23">
        <v>7000.0</v>
      </c>
      <c r="M262" s="20"/>
      <c r="N262" s="49">
        <v>15900.0</v>
      </c>
      <c r="O262" s="22">
        <f>IFERROR(__xludf.DUMMYFUNCTION("IFERROR(
  VLOOKUP(C262,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C262
    ), 
    7, FALSE
  ), 
  """"
)
"),31800.0)</f>
        <v>31800</v>
      </c>
      <c r="P262" s="22">
        <f>IFERROR(__xludf.DUMMYFUNCTION("IF(AND(Q262="""", R262=""""),
  """",
  IF(OR(ISBLANK(Q262), ISBLANK(O262)),
    """",
    IF(VALUE(SUBSTITUTE(INDEX(SPLIT(IF(ISBLANK(R262), Q262, R262), "",""), 0, 1), "" Km"", """")) - O262 = 0,
      """",
      VALUE(SUBSTITUTE(INDEX(SPLIT(IF(ISBLANK("&amp;"R262), Q262, R262), "",""), 0, 1), "" Km"", """")) - O262
    )
  )
)"),-15900.0)</f>
        <v>-15900</v>
      </c>
      <c r="Q262" s="23" t="str">
        <f t="shared" si="4"/>
        <v>15 900 Km, 08.11.2023</v>
      </c>
      <c r="R262" s="20"/>
      <c r="S262" s="41">
        <v>75.0</v>
      </c>
      <c r="T262" s="13">
        <v>2.0</v>
      </c>
      <c r="U262" s="13" t="s">
        <v>624</v>
      </c>
      <c r="V262" s="13" t="s">
        <v>626</v>
      </c>
      <c r="W262" s="24" t="str">
        <f t="shared" si="5"/>
        <v>Завершена</v>
      </c>
      <c r="X262" s="13" t="str">
        <f>IFERROR(__xludf.DUMMYFUNCTION("IF(C262 = """", """", IF(REGEXMATCH(C262, ""PCX|NMAX|ADV|CLICK""), ""скутер"", ""мото""))"),"скутер")</f>
        <v>скутер</v>
      </c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</row>
    <row r="263" hidden="1">
      <c r="A263" s="25" t="s">
        <v>24</v>
      </c>
      <c r="B263" s="25" t="s">
        <v>25</v>
      </c>
      <c r="C263" s="27" t="s">
        <v>461</v>
      </c>
      <c r="D263" s="27" t="s">
        <v>612</v>
      </c>
      <c r="E263" s="43">
        <v>45239.0</v>
      </c>
      <c r="F263" s="70">
        <v>45241.0</v>
      </c>
      <c r="G263" s="30" t="str">
        <f t="shared" si="15"/>
        <v>2 Д</v>
      </c>
      <c r="H263" s="31">
        <f t="shared" si="16"/>
        <v>700</v>
      </c>
      <c r="I263" s="32" t="str">
        <f t="shared" si="2"/>
        <v/>
      </c>
      <c r="J263" s="33" t="str">
        <f t="shared" si="3"/>
        <v/>
      </c>
      <c r="K263" s="36">
        <v>1400.0</v>
      </c>
      <c r="L263" s="33"/>
      <c r="M263" s="36">
        <v>700.0</v>
      </c>
      <c r="N263" s="44">
        <v>25100.0</v>
      </c>
      <c r="O263" s="35">
        <f>IFERROR(__xludf.DUMMYFUNCTION("IFERROR(
  VLOOKUP(C263,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C263
    ), 
    7, FALSE
  ), 
  """"
)
"),30500.0)</f>
        <v>30500</v>
      </c>
      <c r="P263" s="35">
        <f>IFERROR(__xludf.DUMMYFUNCTION("IF(AND(Q263="""", R263=""""),
  """",
  IF(OR(ISBLANK(Q263), ISBLANK(O263)),
    """",
    IF(VALUE(SUBSTITUTE(INDEX(SPLIT(IF(ISBLANK(R263), Q263, R263), "",""), 0, 1), "" Km"", """")) - O263 = 0,
      """",
      VALUE(SUBSTITUTE(INDEX(SPLIT(IF(ISBLANK("&amp;"R263), Q263, R263), "",""), 0, 1), "" Km"", """")) - O263
    )
  )
)"),-5400.0)</f>
        <v>-5400</v>
      </c>
      <c r="Q263" s="36" t="str">
        <f t="shared" si="4"/>
        <v>25 100 Km, 09.11.2023</v>
      </c>
      <c r="R263" s="33"/>
      <c r="S263" s="40" t="s">
        <v>627</v>
      </c>
      <c r="T263" s="25">
        <v>2.0</v>
      </c>
      <c r="U263" s="25" t="s">
        <v>613</v>
      </c>
      <c r="V263" s="37"/>
      <c r="W263" s="37" t="str">
        <f t="shared" si="5"/>
        <v>#VALUE!</v>
      </c>
      <c r="X263" s="25" t="str">
        <f>IFERROR(__xludf.DUMMYFUNCTION("IF(C263 = """", """", IF(REGEXMATCH(C263, ""PCX|NMAX|ADV|CLICK""), ""скутер"", ""мото""))"),"мото")</f>
        <v>мото</v>
      </c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</row>
    <row r="264" hidden="1">
      <c r="A264" s="13" t="s">
        <v>24</v>
      </c>
      <c r="B264" s="13" t="s">
        <v>25</v>
      </c>
      <c r="C264" s="14" t="s">
        <v>26</v>
      </c>
      <c r="D264" s="14" t="s">
        <v>628</v>
      </c>
      <c r="E264" s="48">
        <v>45239.0</v>
      </c>
      <c r="F264" s="38">
        <v>45245.75</v>
      </c>
      <c r="G264" s="17" t="str">
        <f t="shared" si="15"/>
        <v>6 Д</v>
      </c>
      <c r="H264" s="18">
        <f t="shared" si="16"/>
        <v>290</v>
      </c>
      <c r="I264" s="19" t="str">
        <f t="shared" si="2"/>
        <v/>
      </c>
      <c r="J264" s="20" t="str">
        <f t="shared" si="3"/>
        <v/>
      </c>
      <c r="K264" s="23">
        <v>1740.0</v>
      </c>
      <c r="L264" s="20"/>
      <c r="M264" s="23">
        <v>290.0</v>
      </c>
      <c r="N264" s="49">
        <v>22000.0</v>
      </c>
      <c r="O264" s="22" t="str">
        <f>IFERROR(__xludf.DUMMYFUNCTION("IFERROR(
  VLOOKUP(C264,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C264
    ), 
    7, FALSE
  ), 
  """"
)
"),"")</f>
        <v/>
      </c>
      <c r="P264" s="22">
        <f>IFERROR(__xludf.DUMMYFUNCTION("IF(AND(Q264="""", R264=""""),
  """",
  IF(OR(ISBLANK(Q264), ISBLANK(O264)),
    """",
    IF(VALUE(SUBSTITUTE(INDEX(SPLIT(IF(ISBLANK(R264), Q264, R264), "",""), 0, 1), "" Km"", """")) - O264 = 0,
      """",
      VALUE(SUBSTITUTE(INDEX(SPLIT(IF(ISBLANK("&amp;"R264), Q264, R264), "",""), 0, 1), "" Km"", """")) - O264
    )
  )
)"),22000.0)</f>
        <v>22000</v>
      </c>
      <c r="Q264" s="23" t="str">
        <f t="shared" si="4"/>
        <v>22 000 Km, 09.11.2023</v>
      </c>
      <c r="R264" s="20"/>
      <c r="S264" s="41">
        <v>3000.0</v>
      </c>
      <c r="T264" s="13">
        <v>2.0</v>
      </c>
      <c r="U264" s="13" t="s">
        <v>629</v>
      </c>
      <c r="V264" s="24"/>
      <c r="W264" s="24" t="str">
        <f t="shared" si="5"/>
        <v>Завершена</v>
      </c>
      <c r="X264" s="13" t="str">
        <f>IFERROR(__xludf.DUMMYFUNCTION("IF(C264 = """", """", IF(REGEXMATCH(C264, ""PCX|NMAX|ADV|CLICK""), ""скутер"", ""мото""))"),"скутер")</f>
        <v>скутер</v>
      </c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</row>
    <row r="265" hidden="1">
      <c r="A265" s="25" t="s">
        <v>24</v>
      </c>
      <c r="B265" s="25" t="s">
        <v>25</v>
      </c>
      <c r="C265" s="27" t="s">
        <v>472</v>
      </c>
      <c r="D265" s="27" t="s">
        <v>579</v>
      </c>
      <c r="E265" s="43">
        <v>45240.0</v>
      </c>
      <c r="F265" s="39">
        <v>45242.833333333336</v>
      </c>
      <c r="G265" s="30" t="str">
        <f t="shared" si="15"/>
        <v>2 Д</v>
      </c>
      <c r="H265" s="31">
        <f t="shared" si="16"/>
        <v>900</v>
      </c>
      <c r="I265" s="32" t="str">
        <f t="shared" si="2"/>
        <v/>
      </c>
      <c r="J265" s="33" t="str">
        <f t="shared" si="3"/>
        <v/>
      </c>
      <c r="K265" s="36">
        <v>1800.0</v>
      </c>
      <c r="L265" s="33"/>
      <c r="M265" s="36">
        <v>900.0</v>
      </c>
      <c r="N265" s="44">
        <v>18800.0</v>
      </c>
      <c r="O265" s="35" t="str">
        <f>IFERROR(__xludf.DUMMYFUNCTION("IFERROR(
  VLOOKUP(C265,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C265
    ), 
    7, FALSE
  ), 
  """"
)
"),"")</f>
        <v/>
      </c>
      <c r="P265" s="35">
        <f>IFERROR(__xludf.DUMMYFUNCTION("IF(AND(Q265="""", R265=""""),
  """",
  IF(OR(ISBLANK(Q265), ISBLANK(O265)),
    """",
    IF(VALUE(SUBSTITUTE(INDEX(SPLIT(IF(ISBLANK(R265), Q265, R265), "",""), 0, 1), "" Km"", """")) - O265 = 0,
      """",
      VALUE(SUBSTITUTE(INDEX(SPLIT(IF(ISBLANK("&amp;"R265), Q265, R265), "",""), 0, 1), "" Km"", """")) - O265
    )
  )
)"),18800.0)</f>
        <v>18800</v>
      </c>
      <c r="Q265" s="36" t="str">
        <f t="shared" si="4"/>
        <v>18 800 Km, 10.11.2023</v>
      </c>
      <c r="R265" s="33"/>
      <c r="S265" s="40">
        <v>400.0</v>
      </c>
      <c r="T265" s="25">
        <v>1.0</v>
      </c>
      <c r="U265" s="25" t="s">
        <v>516</v>
      </c>
      <c r="V265" s="37"/>
      <c r="W265" s="37" t="str">
        <f t="shared" si="5"/>
        <v>Завершена</v>
      </c>
      <c r="X265" s="25" t="str">
        <f>IFERROR(__xludf.DUMMYFUNCTION("IF(C265 = """", """", IF(REGEXMATCH(C265, ""PCX|NMAX|ADV|CLICK""), ""скутер"", ""мото""))"),"мото")</f>
        <v>мото</v>
      </c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</row>
    <row r="266" hidden="1">
      <c r="A266" s="13" t="s">
        <v>24</v>
      </c>
      <c r="B266" s="13" t="s">
        <v>25</v>
      </c>
      <c r="C266" s="14" t="s">
        <v>44</v>
      </c>
      <c r="D266" s="14" t="s">
        <v>630</v>
      </c>
      <c r="E266" s="48">
        <v>45240.0</v>
      </c>
      <c r="F266" s="38">
        <v>45270.583333333336</v>
      </c>
      <c r="G266" s="17" t="str">
        <f t="shared" si="15"/>
        <v>30 Д</v>
      </c>
      <c r="H266" s="18">
        <f t="shared" si="16"/>
        <v>300</v>
      </c>
      <c r="I266" s="19" t="str">
        <f t="shared" si="2"/>
        <v/>
      </c>
      <c r="J266" s="20" t="str">
        <f t="shared" si="3"/>
        <v/>
      </c>
      <c r="K266" s="23">
        <f>6000+3000</f>
        <v>9000</v>
      </c>
      <c r="L266" s="20"/>
      <c r="M266" s="23">
        <v>300.0</v>
      </c>
      <c r="N266" s="49">
        <v>15500.0</v>
      </c>
      <c r="O266" s="22">
        <f>IFERROR(__xludf.DUMMYFUNCTION("IFERROR(
  VLOOKUP(C266,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C266
    ), 
    7, FALSE
  ), 
  """"
)
"),30800.0)</f>
        <v>30800</v>
      </c>
      <c r="P266" s="22">
        <f>IFERROR(__xludf.DUMMYFUNCTION("IF(AND(Q266="""", R266=""""),
  """",
  IF(OR(ISBLANK(Q266), ISBLANK(O266)),
    """",
    IF(VALUE(SUBSTITUTE(INDEX(SPLIT(IF(ISBLANK(R266), Q266, R266), "",""), 0, 1), "" Km"", """")) - O266 = 0,
      """",
      VALUE(SUBSTITUTE(INDEX(SPLIT(IF(ISBLANK("&amp;"R266), Q266, R266), "",""), 0, 1), "" Km"", """")) - O266
    )
  )
)"),-15300.0)</f>
        <v>-15300</v>
      </c>
      <c r="Q266" s="23" t="str">
        <f t="shared" si="4"/>
        <v>15 500 Km, 10.11.2023</v>
      </c>
      <c r="R266" s="20"/>
      <c r="S266" s="41">
        <v>84.0</v>
      </c>
      <c r="T266" s="13">
        <v>1.0</v>
      </c>
      <c r="U266" s="13" t="s">
        <v>631</v>
      </c>
      <c r="V266" s="24"/>
      <c r="W266" s="24" t="str">
        <f t="shared" si="5"/>
        <v>Завершена</v>
      </c>
      <c r="X266" s="13" t="str">
        <f>IFERROR(__xludf.DUMMYFUNCTION("IF(C266 = """", """", IF(REGEXMATCH(C266, ""PCX|NMAX|ADV|CLICK""), ""скутер"", ""мото""))"),"скутер")</f>
        <v>скутер</v>
      </c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</row>
    <row r="267" hidden="1">
      <c r="A267" s="25" t="s">
        <v>24</v>
      </c>
      <c r="B267" s="25" t="s">
        <v>25</v>
      </c>
      <c r="C267" s="27" t="s">
        <v>198</v>
      </c>
      <c r="D267" s="27" t="s">
        <v>612</v>
      </c>
      <c r="E267" s="43">
        <v>45241.0</v>
      </c>
      <c r="F267" s="39">
        <v>45246.833333333336</v>
      </c>
      <c r="G267" s="30" t="str">
        <f t="shared" si="15"/>
        <v>5 Д</v>
      </c>
      <c r="H267" s="31">
        <f t="shared" si="16"/>
        <v>500</v>
      </c>
      <c r="I267" s="32" t="str">
        <f t="shared" si="2"/>
        <v/>
      </c>
      <c r="J267" s="33" t="str">
        <f t="shared" si="3"/>
        <v/>
      </c>
      <c r="K267" s="36">
        <v>2500.0</v>
      </c>
      <c r="L267" s="33"/>
      <c r="M267" s="36">
        <v>500.0</v>
      </c>
      <c r="N267" s="44">
        <v>15500.0</v>
      </c>
      <c r="O267" s="35" t="str">
        <f>IFERROR(__xludf.DUMMYFUNCTION("IFERROR(
  VLOOKUP(C267,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C267
    ), 
    7, FALSE
  ), 
  """"
)
"),"")</f>
        <v/>
      </c>
      <c r="P267" s="35">
        <f>IFERROR(__xludf.DUMMYFUNCTION("IF(AND(Q267="""", R267=""""),
  """",
  IF(OR(ISBLANK(Q267), ISBLANK(O267)),
    """",
    IF(VALUE(SUBSTITUTE(INDEX(SPLIT(IF(ISBLANK(R267), Q267, R267), "",""), 0, 1), "" Km"", """")) - O267 = 0,
      """",
      VALUE(SUBSTITUTE(INDEX(SPLIT(IF(ISBLANK("&amp;"R267), Q267, R267), "",""), 0, 1), "" Km"", """")) - O267
    )
  )
)"),15500.0)</f>
        <v>15500</v>
      </c>
      <c r="Q267" s="36" t="str">
        <f t="shared" si="4"/>
        <v>15 500 Km, 11.11.2023</v>
      </c>
      <c r="R267" s="33"/>
      <c r="S267" s="40" t="s">
        <v>632</v>
      </c>
      <c r="T267" s="25">
        <v>3.0</v>
      </c>
      <c r="U267" s="25" t="s">
        <v>516</v>
      </c>
      <c r="V267" s="37"/>
      <c r="W267" s="37" t="str">
        <f t="shared" si="5"/>
        <v>Завершена</v>
      </c>
      <c r="X267" s="25" t="str">
        <f>IFERROR(__xludf.DUMMYFUNCTION("IF(C267 = """", """", IF(REGEXMATCH(C267, ""PCX|NMAX|ADV|CLICK""), ""скутер"", ""мото""))"),"мото")</f>
        <v>мото</v>
      </c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</row>
    <row r="268" hidden="1">
      <c r="A268" s="13" t="s">
        <v>24</v>
      </c>
      <c r="B268" s="13" t="s">
        <v>25</v>
      </c>
      <c r="C268" s="14" t="s">
        <v>88</v>
      </c>
      <c r="D268" s="14" t="s">
        <v>633</v>
      </c>
      <c r="E268" s="48">
        <v>45241.0</v>
      </c>
      <c r="F268" s="38">
        <v>45269.375</v>
      </c>
      <c r="G268" s="17" t="str">
        <f t="shared" si="15"/>
        <v>28 Д</v>
      </c>
      <c r="H268" s="18">
        <f t="shared" si="16"/>
        <v>400</v>
      </c>
      <c r="I268" s="19" t="str">
        <f t="shared" si="2"/>
        <v/>
      </c>
      <c r="J268" s="20" t="str">
        <f t="shared" si="3"/>
        <v/>
      </c>
      <c r="K268" s="23">
        <f>8000+3200</f>
        <v>11200</v>
      </c>
      <c r="L268" s="20"/>
      <c r="M268" s="23">
        <v>400.0</v>
      </c>
      <c r="N268" s="49">
        <v>17200.0</v>
      </c>
      <c r="O268" s="22" t="str">
        <f>IFERROR(__xludf.DUMMYFUNCTION("IFERROR(
  VLOOKUP(C268,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C268
    ), 
    7, FALSE
  ), 
  """"
)
"),"")</f>
        <v/>
      </c>
      <c r="P268" s="22">
        <f>IFERROR(__xludf.DUMMYFUNCTION("IF(AND(Q268="""", R268=""""),
  """",
  IF(OR(ISBLANK(Q268), ISBLANK(O268)),
    """",
    IF(VALUE(SUBSTITUTE(INDEX(SPLIT(IF(ISBLANK(R268), Q268, R268), "",""), 0, 1), "" Km"", """")) - O268 = 0,
      """",
      VALUE(SUBSTITUTE(INDEX(SPLIT(IF(ISBLANK("&amp;"R268), Q268, R268), "",""), 0, 1), "" Km"", """")) - O268
    )
  )
)"),17200.0)</f>
        <v>17200</v>
      </c>
      <c r="Q268" s="23" t="str">
        <f t="shared" si="4"/>
        <v>17 200 Km, 11.11.2023</v>
      </c>
      <c r="R268" s="20"/>
      <c r="S268" s="41" t="s">
        <v>634</v>
      </c>
      <c r="T268" s="13">
        <v>1.0</v>
      </c>
      <c r="U268" s="13" t="s">
        <v>635</v>
      </c>
      <c r="V268" s="13" t="s">
        <v>636</v>
      </c>
      <c r="W268" s="24" t="str">
        <f t="shared" si="5"/>
        <v>Завершена</v>
      </c>
      <c r="X268" s="13" t="str">
        <f>IFERROR(__xludf.DUMMYFUNCTION("IF(C268 = """", """", IF(REGEXMATCH(C268, ""PCX|NMAX|ADV|CLICK""), ""скутер"", ""мото""))"),"скутер")</f>
        <v>скутер</v>
      </c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</row>
    <row r="269" hidden="1">
      <c r="A269" s="25" t="s">
        <v>24</v>
      </c>
      <c r="B269" s="25" t="s">
        <v>25</v>
      </c>
      <c r="C269" s="27" t="s">
        <v>68</v>
      </c>
      <c r="D269" s="27" t="s">
        <v>637</v>
      </c>
      <c r="E269" s="43">
        <v>45242.0</v>
      </c>
      <c r="F269" s="39">
        <v>45255.458333333336</v>
      </c>
      <c r="G269" s="30" t="str">
        <f t="shared" si="15"/>
        <v>13 Д</v>
      </c>
      <c r="H269" s="31">
        <f t="shared" si="16"/>
        <v>300</v>
      </c>
      <c r="I269" s="32" t="str">
        <f t="shared" si="2"/>
        <v/>
      </c>
      <c r="J269" s="33" t="str">
        <f t="shared" si="3"/>
        <v/>
      </c>
      <c r="K269" s="36">
        <v>3900.0</v>
      </c>
      <c r="L269" s="33"/>
      <c r="M269" s="36">
        <v>300.0</v>
      </c>
      <c r="N269" s="44">
        <v>18300.0</v>
      </c>
      <c r="O269" s="35">
        <f>IFERROR(__xludf.DUMMYFUNCTION("IFERROR(
  VLOOKUP(C269,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C269
    ), 
    7, FALSE
  ), 
  """"
)
"),24094.0)</f>
        <v>24094</v>
      </c>
      <c r="P269" s="35">
        <f>IFERROR(__xludf.DUMMYFUNCTION("IF(AND(Q269="""", R269=""""),
  """",
  IF(OR(ISBLANK(Q269), ISBLANK(O269)),
    """",
    IF(VALUE(SUBSTITUTE(INDEX(SPLIT(IF(ISBLANK(R269), Q269, R269), "",""), 0, 1), "" Km"", """")) - O269 = 0,
      """",
      VALUE(SUBSTITUTE(INDEX(SPLIT(IF(ISBLANK("&amp;"R269), Q269, R269), "",""), 0, 1), "" Km"", """")) - O269
    )
  )
)"),-5794.0)</f>
        <v>-5794</v>
      </c>
      <c r="Q269" s="36" t="str">
        <f t="shared" si="4"/>
        <v>18 300 Km, 12.11.2023</v>
      </c>
      <c r="R269" s="33"/>
      <c r="S269" s="40">
        <v>100.0</v>
      </c>
      <c r="T269" s="25">
        <v>2.0</v>
      </c>
      <c r="U269" s="25" t="s">
        <v>638</v>
      </c>
      <c r="V269" s="37"/>
      <c r="W269" s="37" t="str">
        <f t="shared" si="5"/>
        <v>Завершена</v>
      </c>
      <c r="X269" s="25" t="str">
        <f>IFERROR(__xludf.DUMMYFUNCTION("IF(C269 = """", """", IF(REGEXMATCH(C269, ""PCX|NMAX|ADV|CLICK""), ""скутер"", ""мото""))"),"скутер")</f>
        <v>скутер</v>
      </c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</row>
    <row r="270" hidden="1">
      <c r="A270" s="13" t="s">
        <v>24</v>
      </c>
      <c r="B270" s="13" t="s">
        <v>25</v>
      </c>
      <c r="C270" s="14" t="s">
        <v>92</v>
      </c>
      <c r="D270" s="14" t="s">
        <v>587</v>
      </c>
      <c r="E270" s="48">
        <v>45243.0</v>
      </c>
      <c r="F270" s="38">
        <v>45245.5</v>
      </c>
      <c r="G270" s="17" t="str">
        <f t="shared" si="15"/>
        <v>2 Д</v>
      </c>
      <c r="H270" s="18">
        <f t="shared" si="16"/>
        <v>500</v>
      </c>
      <c r="I270" s="19" t="str">
        <f t="shared" si="2"/>
        <v/>
      </c>
      <c r="J270" s="20" t="str">
        <f t="shared" si="3"/>
        <v/>
      </c>
      <c r="K270" s="23">
        <v>1000.0</v>
      </c>
      <c r="L270" s="20"/>
      <c r="M270" s="23">
        <v>500.0</v>
      </c>
      <c r="N270" s="49">
        <v>21000.0</v>
      </c>
      <c r="O270" s="22">
        <f>IFERROR(__xludf.DUMMYFUNCTION("IFERROR(
  VLOOKUP(C270,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C270
    ), 
    7, FALSE
  ), 
  """"
)
"),23500.0)</f>
        <v>23500</v>
      </c>
      <c r="P270" s="22">
        <f>IFERROR(__xludf.DUMMYFUNCTION("IF(AND(Q270="""", R270=""""),
  """",
  IF(OR(ISBLANK(Q270), ISBLANK(O270)),
    """",
    IF(VALUE(SUBSTITUTE(INDEX(SPLIT(IF(ISBLANK(R270), Q270, R270), "",""), 0, 1), "" Km"", """")) - O270 = 0,
      """",
      VALUE(SUBSTITUTE(INDEX(SPLIT(IF(ISBLANK("&amp;"R270), Q270, R270), "",""), 0, 1), "" Km"", """")) - O270
    )
  )
)"),-2500.0)</f>
        <v>-2500</v>
      </c>
      <c r="Q270" s="23" t="str">
        <f t="shared" si="4"/>
        <v>21 000 Km, 13.11.2023</v>
      </c>
      <c r="R270" s="20"/>
      <c r="S270" s="41" t="s">
        <v>639</v>
      </c>
      <c r="T270" s="13">
        <v>2.0</v>
      </c>
      <c r="U270" s="13" t="s">
        <v>516</v>
      </c>
      <c r="V270" s="24"/>
      <c r="W270" s="24" t="str">
        <f t="shared" si="5"/>
        <v>Завершена</v>
      </c>
      <c r="X270" s="13" t="str">
        <f>IFERROR(__xludf.DUMMYFUNCTION("IF(C270 = """", """", IF(REGEXMATCH(C270, ""PCX|NMAX|ADV|CLICK""), ""скутер"", ""мото""))"),"мото")</f>
        <v>мото</v>
      </c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</row>
    <row r="271" hidden="1">
      <c r="A271" s="25" t="s">
        <v>24</v>
      </c>
      <c r="B271" s="25" t="s">
        <v>25</v>
      </c>
      <c r="C271" s="27" t="s">
        <v>64</v>
      </c>
      <c r="D271" s="27" t="s">
        <v>640</v>
      </c>
      <c r="E271" s="43">
        <v>45243.0</v>
      </c>
      <c r="F271" s="39">
        <v>45250.458333333336</v>
      </c>
      <c r="G271" s="30" t="str">
        <f t="shared" si="15"/>
        <v>7 Д</v>
      </c>
      <c r="H271" s="31">
        <f t="shared" si="16"/>
        <v>590</v>
      </c>
      <c r="I271" s="32" t="str">
        <f t="shared" si="2"/>
        <v/>
      </c>
      <c r="J271" s="33" t="str">
        <f t="shared" si="3"/>
        <v/>
      </c>
      <c r="K271" s="36">
        <v>4100.0</v>
      </c>
      <c r="L271" s="33"/>
      <c r="M271" s="36">
        <v>590.0</v>
      </c>
      <c r="N271" s="44">
        <v>17000.0</v>
      </c>
      <c r="O271" s="35">
        <f>IFERROR(__xludf.DUMMYFUNCTION("IFERROR(
  VLOOKUP(C271,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C271
    ), 
    7, FALSE
  ), 
  """"
)
"),32600.0)</f>
        <v>32600</v>
      </c>
      <c r="P271" s="35">
        <f>IFERROR(__xludf.DUMMYFUNCTION("IF(AND(Q271="""", R271=""""),
  """",
  IF(OR(ISBLANK(Q271), ISBLANK(O271)),
    """",
    IF(VALUE(SUBSTITUTE(INDEX(SPLIT(IF(ISBLANK(R271), Q271, R271), "",""), 0, 1), "" Km"", """")) - O271 = 0,
      """",
      VALUE(SUBSTITUTE(INDEX(SPLIT(IF(ISBLANK("&amp;"R271), Q271, R271), "",""), 0, 1), "" Km"", """")) - O271
    )
  )
)"),-15600.0)</f>
        <v>-15600</v>
      </c>
      <c r="Q271" s="36" t="str">
        <f t="shared" si="4"/>
        <v>17 000 Km, 13.11.2023</v>
      </c>
      <c r="R271" s="33"/>
      <c r="S271" s="40">
        <v>5500.0</v>
      </c>
      <c r="T271" s="25">
        <v>2.0</v>
      </c>
      <c r="U271" s="25" t="s">
        <v>641</v>
      </c>
      <c r="V271" s="37"/>
      <c r="W271" s="37" t="str">
        <f t="shared" si="5"/>
        <v>Завершена</v>
      </c>
      <c r="X271" s="25" t="str">
        <f>IFERROR(__xludf.DUMMYFUNCTION("IF(C271 = """", """", IF(REGEXMATCH(C271, ""PCX|NMAX|ADV|CLICK""), ""скутер"", ""мото""))"),"мото")</f>
        <v>мото</v>
      </c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</row>
    <row r="272" hidden="1">
      <c r="A272" s="13" t="s">
        <v>24</v>
      </c>
      <c r="B272" s="13" t="s">
        <v>25</v>
      </c>
      <c r="C272" s="14" t="s">
        <v>56</v>
      </c>
      <c r="D272" s="14" t="s">
        <v>642</v>
      </c>
      <c r="E272" s="48">
        <v>45244.0</v>
      </c>
      <c r="F272" s="38">
        <v>45247.708333333336</v>
      </c>
      <c r="G272" s="17" t="str">
        <f t="shared" si="15"/>
        <v>3 Д</v>
      </c>
      <c r="H272" s="18">
        <f t="shared" si="16"/>
        <v>400</v>
      </c>
      <c r="I272" s="19" t="str">
        <f t="shared" si="2"/>
        <v/>
      </c>
      <c r="J272" s="20" t="str">
        <f t="shared" si="3"/>
        <v/>
      </c>
      <c r="K272" s="23">
        <v>1200.0</v>
      </c>
      <c r="L272" s="20"/>
      <c r="M272" s="23">
        <v>400.0</v>
      </c>
      <c r="N272" s="49">
        <v>19800.0</v>
      </c>
      <c r="O272" s="22">
        <f>IFERROR(__xludf.DUMMYFUNCTION("IFERROR(
  VLOOKUP(C272,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C272
    ), 
    7, FALSE
  ), 
  """"
)
"),36400.0)</f>
        <v>36400</v>
      </c>
      <c r="P272" s="22">
        <f>IFERROR(__xludf.DUMMYFUNCTION("IF(AND(Q272="""", R272=""""),
  """",
  IF(OR(ISBLANK(Q272), ISBLANK(O272)),
    """",
    IF(VALUE(SUBSTITUTE(INDEX(SPLIT(IF(ISBLANK(R272), Q272, R272), "",""), 0, 1), "" Km"", """")) - O272 = 0,
      """",
      VALUE(SUBSTITUTE(INDEX(SPLIT(IF(ISBLANK("&amp;"R272), Q272, R272), "",""), 0, 1), "" Km"", """")) - O272
    )
  )
)"),-16600.0)</f>
        <v>-16600</v>
      </c>
      <c r="Q272" s="23" t="str">
        <f t="shared" si="4"/>
        <v>19 800 Km, 14.11.2023</v>
      </c>
      <c r="R272" s="20"/>
      <c r="S272" s="41">
        <v>3000.0</v>
      </c>
      <c r="T272" s="13">
        <v>2.0</v>
      </c>
      <c r="U272" s="13" t="s">
        <v>643</v>
      </c>
      <c r="V272" s="24"/>
      <c r="W272" s="24" t="str">
        <f t="shared" si="5"/>
        <v>Завершена</v>
      </c>
      <c r="X272" s="13" t="str">
        <f>IFERROR(__xludf.DUMMYFUNCTION("IF(C272 = """", """", IF(REGEXMATCH(C272, ""PCX|NMAX|ADV|CLICK""), ""скутер"", ""мото""))"),"скутер")</f>
        <v>скутер</v>
      </c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</row>
    <row r="273" hidden="1">
      <c r="A273" s="25" t="s">
        <v>24</v>
      </c>
      <c r="B273" s="25" t="s">
        <v>25</v>
      </c>
      <c r="C273" s="27" t="s">
        <v>132</v>
      </c>
      <c r="D273" s="27" t="s">
        <v>644</v>
      </c>
      <c r="E273" s="43">
        <v>45245.0</v>
      </c>
      <c r="F273" s="39">
        <v>45250.875</v>
      </c>
      <c r="G273" s="30" t="str">
        <f t="shared" si="15"/>
        <v>5 Д</v>
      </c>
      <c r="H273" s="31">
        <f t="shared" si="16"/>
        <v>290</v>
      </c>
      <c r="I273" s="32" t="str">
        <f t="shared" si="2"/>
        <v/>
      </c>
      <c r="J273" s="33" t="str">
        <f t="shared" si="3"/>
        <v/>
      </c>
      <c r="K273" s="36">
        <v>1450.0</v>
      </c>
      <c r="L273" s="33"/>
      <c r="M273" s="36">
        <v>290.0</v>
      </c>
      <c r="N273" s="44">
        <v>32000.0</v>
      </c>
      <c r="O273" s="35" t="str">
        <f>IFERROR(__xludf.DUMMYFUNCTION("IFERROR(
  VLOOKUP(C273,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C273
    ), 
    7, FALSE
  ), 
  """"
)
"),"")</f>
        <v/>
      </c>
      <c r="P273" s="35">
        <f>IFERROR(__xludf.DUMMYFUNCTION("IF(AND(Q273="""", R273=""""),
  """",
  IF(OR(ISBLANK(Q273), ISBLANK(O273)),
    """",
    IF(VALUE(SUBSTITUTE(INDEX(SPLIT(IF(ISBLANK(R273), Q273, R273), "",""), 0, 1), "" Km"", """")) - O273 = 0,
      """",
      VALUE(SUBSTITUTE(INDEX(SPLIT(IF(ISBLANK("&amp;"R273), Q273, R273), "",""), 0, 1), "" Km"", """")) - O273
    )
  )
)"),32000.0)</f>
        <v>32000</v>
      </c>
      <c r="Q273" s="36" t="str">
        <f t="shared" si="4"/>
        <v>32 000 Km, 15.11.2023</v>
      </c>
      <c r="R273" s="33"/>
      <c r="S273" s="40">
        <v>3000.0</v>
      </c>
      <c r="T273" s="25">
        <v>1.0</v>
      </c>
      <c r="U273" s="25" t="s">
        <v>645</v>
      </c>
      <c r="V273" s="37"/>
      <c r="W273" s="37" t="str">
        <f t="shared" si="5"/>
        <v>Завершена</v>
      </c>
      <c r="X273" s="25" t="str">
        <f>IFERROR(__xludf.DUMMYFUNCTION("IF(C273 = """", """", IF(REGEXMATCH(C273, ""PCX|NMAX|ADV|CLICK""), ""скутер"", ""мото""))"),"скутер")</f>
        <v>скутер</v>
      </c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</row>
    <row r="274" hidden="1">
      <c r="A274" s="13" t="s">
        <v>24</v>
      </c>
      <c r="B274" s="13" t="s">
        <v>25</v>
      </c>
      <c r="C274" s="14" t="s">
        <v>173</v>
      </c>
      <c r="D274" s="14" t="s">
        <v>646</v>
      </c>
      <c r="E274" s="48">
        <v>45245.0</v>
      </c>
      <c r="F274" s="38">
        <v>45259.5</v>
      </c>
      <c r="G274" s="17" t="str">
        <f t="shared" si="15"/>
        <v>14 Д</v>
      </c>
      <c r="H274" s="18">
        <f t="shared" si="16"/>
        <v>450</v>
      </c>
      <c r="I274" s="19" t="str">
        <f t="shared" si="2"/>
        <v/>
      </c>
      <c r="J274" s="20" t="str">
        <f t="shared" si="3"/>
        <v/>
      </c>
      <c r="K274" s="23">
        <v>6300.0</v>
      </c>
      <c r="L274" s="20"/>
      <c r="M274" s="23">
        <v>450.0</v>
      </c>
      <c r="N274" s="21"/>
      <c r="O274" s="22">
        <f>IFERROR(__xludf.DUMMYFUNCTION("IFERROR(
  VLOOKUP(C274,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C274
    ), 
    7, FALSE
  ), 
  """"
)
"),27000.0)</f>
        <v>27000</v>
      </c>
      <c r="P274" s="22">
        <f>IFERROR(__xludf.DUMMYFUNCTION("IF(AND(Q274="""", R274=""""),
  """",
  IF(OR(ISBLANK(Q274), ISBLANK(O274)),
    """",
    IF(VALUE(SUBSTITUTE(INDEX(SPLIT(IF(ISBLANK(R274), Q274, R274), "",""), 0, 1), "" Km"", """")) - O274 = 0,
      """",
      VALUE(SUBSTITUTE(INDEX(SPLIT(IF(ISBLANK("&amp;"R274), Q274, R274), "",""), 0, 1), "" Km"", """")) - O274
    )
  )
)"),-27000.0)</f>
        <v>-27000</v>
      </c>
      <c r="Q274" s="23" t="str">
        <f t="shared" si="4"/>
        <v>0 Km, 15.11.2023</v>
      </c>
      <c r="R274" s="20"/>
      <c r="S274" s="41" t="s">
        <v>647</v>
      </c>
      <c r="T274" s="13">
        <v>2.0</v>
      </c>
      <c r="U274" s="66" t="s">
        <v>648</v>
      </c>
      <c r="V274" s="24"/>
      <c r="W274" s="24" t="str">
        <f t="shared" si="5"/>
        <v>Завершена</v>
      </c>
      <c r="X274" s="13" t="str">
        <f>IFERROR(__xludf.DUMMYFUNCTION("IF(C274 = """", """", IF(REGEXMATCH(C274, ""PCX|NMAX|ADV|CLICK""), ""скутер"", ""мото""))"),"мото")</f>
        <v>мото</v>
      </c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</row>
    <row r="275" hidden="1">
      <c r="A275" s="25" t="s">
        <v>24</v>
      </c>
      <c r="B275" s="25" t="s">
        <v>25</v>
      </c>
      <c r="C275" s="27" t="s">
        <v>102</v>
      </c>
      <c r="D275" s="27" t="s">
        <v>595</v>
      </c>
      <c r="E275" s="43">
        <v>45246.0</v>
      </c>
      <c r="F275" s="39">
        <v>45248.583333333336</v>
      </c>
      <c r="G275" s="30" t="str">
        <f t="shared" si="15"/>
        <v>2 Д</v>
      </c>
      <c r="H275" s="31">
        <f t="shared" si="16"/>
        <v>1600</v>
      </c>
      <c r="I275" s="32" t="str">
        <f t="shared" si="2"/>
        <v/>
      </c>
      <c r="J275" s="33" t="str">
        <f t="shared" si="3"/>
        <v/>
      </c>
      <c r="K275" s="36">
        <v>3200.0</v>
      </c>
      <c r="L275" s="33"/>
      <c r="M275" s="36">
        <v>1600.0</v>
      </c>
      <c r="N275" s="44">
        <v>34900.0</v>
      </c>
      <c r="O275" s="35">
        <f>IFERROR(__xludf.DUMMYFUNCTION("IFERROR(
  VLOOKUP(C275,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C275
    ), 
    7, FALSE
  ), 
  """"
)
"),63700.0)</f>
        <v>63700</v>
      </c>
      <c r="P275" s="35">
        <f>IFERROR(__xludf.DUMMYFUNCTION("IF(AND(Q275="""", R275=""""),
  """",
  IF(OR(ISBLANK(Q275), ISBLANK(O275)),
    """",
    IF(VALUE(SUBSTITUTE(INDEX(SPLIT(IF(ISBLANK(R275), Q275, R275), "",""), 0, 1), "" Km"", """")) - O275 = 0,
      """",
      VALUE(SUBSTITUTE(INDEX(SPLIT(IF(ISBLANK("&amp;"R275), Q275, R275), "",""), 0, 1), "" Km"", """")) - O275
    )
  )
)"),-28800.0)</f>
        <v>-28800</v>
      </c>
      <c r="Q275" s="36" t="str">
        <f t="shared" si="4"/>
        <v>34 900 Km, 16.11.2023</v>
      </c>
      <c r="R275" s="33"/>
      <c r="S275" s="40" t="s">
        <v>515</v>
      </c>
      <c r="T275" s="25">
        <v>1.0</v>
      </c>
      <c r="U275" s="71" t="s">
        <v>649</v>
      </c>
      <c r="V275" s="37"/>
      <c r="W275" s="37" t="str">
        <f t="shared" si="5"/>
        <v>Завершена</v>
      </c>
      <c r="X275" s="25" t="str">
        <f>IFERROR(__xludf.DUMMYFUNCTION("IF(C275 = """", """", IF(REGEXMATCH(C275, ""PCX|NMAX|ADV|CLICK""), ""скутер"", ""мото""))"),"мото")</f>
        <v>мото</v>
      </c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</row>
    <row r="276" hidden="1">
      <c r="A276" s="13" t="s">
        <v>24</v>
      </c>
      <c r="B276" s="13" t="s">
        <v>25</v>
      </c>
      <c r="C276" s="14" t="s">
        <v>461</v>
      </c>
      <c r="D276" s="14" t="s">
        <v>650</v>
      </c>
      <c r="E276" s="48">
        <v>45247.0</v>
      </c>
      <c r="F276" s="38">
        <v>45250.458333333336</v>
      </c>
      <c r="G276" s="17" t="str">
        <f t="shared" si="15"/>
        <v>3 Д</v>
      </c>
      <c r="H276" s="18">
        <f t="shared" si="16"/>
        <v>990</v>
      </c>
      <c r="I276" s="19" t="str">
        <f t="shared" si="2"/>
        <v/>
      </c>
      <c r="J276" s="20" t="str">
        <f t="shared" si="3"/>
        <v/>
      </c>
      <c r="K276" s="23">
        <v>2970.0</v>
      </c>
      <c r="L276" s="20"/>
      <c r="M276" s="23">
        <v>990.0</v>
      </c>
      <c r="N276" s="49">
        <v>25200.0</v>
      </c>
      <c r="O276" s="22">
        <f>IFERROR(__xludf.DUMMYFUNCTION("IFERROR(
  VLOOKUP(C276,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C276
    ), 
    7, FALSE
  ), 
  """"
)
"),30500.0)</f>
        <v>30500</v>
      </c>
      <c r="P276" s="22">
        <f>IFERROR(__xludf.DUMMYFUNCTION("IF(AND(Q276="""", R276=""""),
  """",
  IF(OR(ISBLANK(Q276), ISBLANK(O276)),
    """",
    IF(VALUE(SUBSTITUTE(INDEX(SPLIT(IF(ISBLANK(R276), Q276, R276), "",""), 0, 1), "" Km"", """")) - O276 = 0,
      """",
      VALUE(SUBSTITUTE(INDEX(SPLIT(IF(ISBLANK("&amp;"R276), Q276, R276), "",""), 0, 1), "" Km"", """")) - O276
    )
  )
)"),-5300.0)</f>
        <v>-5300</v>
      </c>
      <c r="Q276" s="23" t="str">
        <f t="shared" si="4"/>
        <v>25 200 Km, 17.11.2023</v>
      </c>
      <c r="R276" s="20"/>
      <c r="S276" s="41" t="s">
        <v>600</v>
      </c>
      <c r="T276" s="13">
        <v>1.0</v>
      </c>
      <c r="U276" s="13" t="s">
        <v>651</v>
      </c>
      <c r="V276" s="13" t="s">
        <v>652</v>
      </c>
      <c r="W276" s="24" t="str">
        <f t="shared" si="5"/>
        <v>Завершена</v>
      </c>
      <c r="X276" s="13" t="str">
        <f>IFERROR(__xludf.DUMMYFUNCTION("IF(C276 = """", """", IF(REGEXMATCH(C276, ""PCX|NMAX|ADV|CLICK""), ""скутер"", ""мото""))"),"мото")</f>
        <v>мото</v>
      </c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</row>
    <row r="277" hidden="1">
      <c r="A277" s="25" t="s">
        <v>24</v>
      </c>
      <c r="B277" s="25" t="s">
        <v>25</v>
      </c>
      <c r="C277" s="27" t="s">
        <v>286</v>
      </c>
      <c r="D277" s="27" t="s">
        <v>653</v>
      </c>
      <c r="E277" s="43">
        <v>45247.0</v>
      </c>
      <c r="F277" s="39">
        <v>45317.75</v>
      </c>
      <c r="G277" s="30" t="str">
        <f t="shared" si="15"/>
        <v>2 М</v>
      </c>
      <c r="H277" s="31">
        <f t="shared" si="16"/>
        <v>296.6666667</v>
      </c>
      <c r="I277" s="32" t="str">
        <f t="shared" si="2"/>
        <v/>
      </c>
      <c r="J277" s="33" t="str">
        <f t="shared" si="3"/>
        <v/>
      </c>
      <c r="K277" s="36">
        <f>8900+8900+2673</f>
        <v>20473</v>
      </c>
      <c r="L277" s="36">
        <f>8900</f>
        <v>8900</v>
      </c>
      <c r="M277" s="33"/>
      <c r="N277" s="44">
        <v>9400.0</v>
      </c>
      <c r="O277" s="35" t="str">
        <f>IFERROR(__xludf.DUMMYFUNCTION("IFERROR(
  VLOOKUP(C277,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C277
    ), 
    7, FALSE
  ), 
  """"
)
"),"")</f>
        <v/>
      </c>
      <c r="P277" s="35">
        <f>IFERROR(__xludf.DUMMYFUNCTION("IF(AND(Q277="""", R277=""""),
  """",
  IF(OR(ISBLANK(Q277), ISBLANK(O277)),
    """",
    IF(VALUE(SUBSTITUTE(INDEX(SPLIT(IF(ISBLANK(R277), Q277, R277), "",""), 0, 1), "" Km"", """")) - O277 = 0,
      """",
      VALUE(SUBSTITUTE(INDEX(SPLIT(IF(ISBLANK("&amp;"R277), Q277, R277), "",""), 0, 1), "" Km"", """")) - O277
    )
  )
)"),9400.0)</f>
        <v>9400</v>
      </c>
      <c r="Q277" s="36" t="str">
        <f t="shared" si="4"/>
        <v>9 400 Km, 17.11.2023</v>
      </c>
      <c r="R277" s="33"/>
      <c r="S277" s="40">
        <v>8000.0</v>
      </c>
      <c r="T277" s="25">
        <v>2.0</v>
      </c>
      <c r="U277" s="25" t="s">
        <v>654</v>
      </c>
      <c r="V277" s="37"/>
      <c r="W277" s="37" t="str">
        <f t="shared" si="5"/>
        <v>Завершена</v>
      </c>
      <c r="X277" s="25" t="str">
        <f>IFERROR(__xludf.DUMMYFUNCTION("IF(C277 = """", """", IF(REGEXMATCH(C277, ""PCX|NMAX|ADV|CLICK""), ""скутер"", ""мото""))"),"мото")</f>
        <v>мото</v>
      </c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</row>
    <row r="278" hidden="1">
      <c r="A278" s="13" t="s">
        <v>24</v>
      </c>
      <c r="B278" s="13" t="s">
        <v>25</v>
      </c>
      <c r="C278" s="14" t="s">
        <v>483</v>
      </c>
      <c r="D278" s="14" t="s">
        <v>595</v>
      </c>
      <c r="E278" s="48">
        <v>45248.0</v>
      </c>
      <c r="F278" s="38">
        <v>45250.583333333336</v>
      </c>
      <c r="G278" s="17" t="str">
        <f t="shared" si="15"/>
        <v>2 Д</v>
      </c>
      <c r="H278" s="18">
        <f t="shared" si="16"/>
        <v>1700</v>
      </c>
      <c r="I278" s="19" t="str">
        <f t="shared" si="2"/>
        <v/>
      </c>
      <c r="J278" s="20" t="str">
        <f t="shared" si="3"/>
        <v/>
      </c>
      <c r="K278" s="23">
        <v>3400.0</v>
      </c>
      <c r="L278" s="20"/>
      <c r="M278" s="23">
        <v>1700.0</v>
      </c>
      <c r="N278" s="49">
        <v>22500.0</v>
      </c>
      <c r="O278" s="22">
        <f>IFERROR(__xludf.DUMMYFUNCTION("IFERROR(
  VLOOKUP(C278,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C278
    ), 
    7, FALSE
  ), 
  """"
)
"),41500.0)</f>
        <v>41500</v>
      </c>
      <c r="P278" s="22">
        <f>IFERROR(__xludf.DUMMYFUNCTION("IF(AND(Q278="""", R278=""""),
  """",
  IF(OR(ISBLANK(Q278), ISBLANK(O278)),
    """",
    IF(VALUE(SUBSTITUTE(INDEX(SPLIT(IF(ISBLANK(R278), Q278, R278), "",""), 0, 1), "" Km"", """")) - O278 = 0,
      """",
      VALUE(SUBSTITUTE(INDEX(SPLIT(IF(ISBLANK("&amp;"R278), Q278, R278), "",""), 0, 1), "" Km"", """")) - O278
    )
  )
)"),-19000.0)</f>
        <v>-19000</v>
      </c>
      <c r="Q278" s="23" t="str">
        <f t="shared" si="4"/>
        <v>22 500 Km, 18.11.2023</v>
      </c>
      <c r="R278" s="20"/>
      <c r="S278" s="41" t="s">
        <v>600</v>
      </c>
      <c r="T278" s="13">
        <v>1.0</v>
      </c>
      <c r="U278" s="13" t="s">
        <v>516</v>
      </c>
      <c r="V278" s="24"/>
      <c r="W278" s="24" t="str">
        <f t="shared" si="5"/>
        <v>Завершена</v>
      </c>
      <c r="X278" s="13" t="str">
        <f>IFERROR(__xludf.DUMMYFUNCTION("IF(C278 = """", """", IF(REGEXMATCH(C278, ""PCX|NMAX|ADV|CLICK""), ""скутер"", ""мото""))"),"мото")</f>
        <v>мото</v>
      </c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</row>
    <row r="279" hidden="1">
      <c r="A279" s="25" t="s">
        <v>24</v>
      </c>
      <c r="B279" s="25" t="s">
        <v>25</v>
      </c>
      <c r="C279" s="27" t="s">
        <v>472</v>
      </c>
      <c r="D279" s="27" t="s">
        <v>655</v>
      </c>
      <c r="E279" s="43">
        <v>45249.0</v>
      </c>
      <c r="F279" s="39">
        <v>45279.5</v>
      </c>
      <c r="G279" s="30" t="str">
        <f t="shared" si="15"/>
        <v>30 Д</v>
      </c>
      <c r="H279" s="31">
        <f t="shared" si="16"/>
        <v>530</v>
      </c>
      <c r="I279" s="32" t="str">
        <f t="shared" si="2"/>
        <v/>
      </c>
      <c r="J279" s="33" t="str">
        <f t="shared" si="3"/>
        <v/>
      </c>
      <c r="K279" s="36">
        <v>15900.0</v>
      </c>
      <c r="L279" s="36">
        <v>15900.0</v>
      </c>
      <c r="M279" s="33"/>
      <c r="N279" s="44">
        <v>19000.0</v>
      </c>
      <c r="O279" s="35" t="str">
        <f>IFERROR(__xludf.DUMMYFUNCTION("IFERROR(
  VLOOKUP(C279,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C279
    ), 
    7, FALSE
  ), 
  """"
)
"),"")</f>
        <v/>
      </c>
      <c r="P279" s="35">
        <f>IFERROR(__xludf.DUMMYFUNCTION("IF(AND(Q279="""", R279=""""),
  """",
  IF(OR(ISBLANK(Q279), ISBLANK(O279)),
    """",
    IF(VALUE(SUBSTITUTE(INDEX(SPLIT(IF(ISBLANK(R279), Q279, R279), "",""), 0, 1), "" Km"", """")) - O279 = 0,
      """",
      VALUE(SUBSTITUTE(INDEX(SPLIT(IF(ISBLANK("&amp;"R279), Q279, R279), "",""), 0, 1), "" Km"", """")) - O279
    )
  )
)"),19000.0)</f>
        <v>19000</v>
      </c>
      <c r="Q279" s="36" t="str">
        <f t="shared" si="4"/>
        <v>19 000 Km, 19.11.2023</v>
      </c>
      <c r="R279" s="33"/>
      <c r="S279" s="40">
        <v>15000.0</v>
      </c>
      <c r="T279" s="25">
        <v>0.0</v>
      </c>
      <c r="U279" s="25" t="s">
        <v>656</v>
      </c>
      <c r="V279" s="37"/>
      <c r="W279" s="37" t="str">
        <f t="shared" si="5"/>
        <v>Завершена</v>
      </c>
      <c r="X279" s="25" t="str">
        <f>IFERROR(__xludf.DUMMYFUNCTION("IF(C279 = """", """", IF(REGEXMATCH(C279, ""PCX|NMAX|ADV|CLICK""), ""скутер"", ""мото""))"),"мото")</f>
        <v>мото</v>
      </c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</row>
    <row r="280" hidden="1">
      <c r="A280" s="13" t="s">
        <v>24</v>
      </c>
      <c r="B280" s="13" t="s">
        <v>25</v>
      </c>
      <c r="C280" s="14" t="s">
        <v>193</v>
      </c>
      <c r="D280" s="14" t="s">
        <v>473</v>
      </c>
      <c r="E280" s="48">
        <v>45250.0</v>
      </c>
      <c r="F280" s="38">
        <v>45252.833333333336</v>
      </c>
      <c r="G280" s="17" t="str">
        <f t="shared" si="15"/>
        <v>2 Д</v>
      </c>
      <c r="H280" s="41">
        <v>600.0</v>
      </c>
      <c r="I280" s="19" t="str">
        <f t="shared" si="2"/>
        <v/>
      </c>
      <c r="J280" s="20" t="str">
        <f t="shared" si="3"/>
        <v/>
      </c>
      <c r="K280" s="23">
        <v>1200.0</v>
      </c>
      <c r="L280" s="20"/>
      <c r="M280" s="23">
        <v>900.0</v>
      </c>
      <c r="N280" s="49">
        <v>11249.0</v>
      </c>
      <c r="O280" s="22" t="str">
        <f>IFERROR(__xludf.DUMMYFUNCTION("IFERROR(
  VLOOKUP(C280,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C280
    ), 
    7, FALSE
  ), 
  """"
)
"),"")</f>
        <v/>
      </c>
      <c r="P280" s="22">
        <f>IFERROR(__xludf.DUMMYFUNCTION("IF(AND(Q280="""", R280=""""),
  """",
  IF(OR(ISBLANK(Q280), ISBLANK(O280)),
    """",
    IF(VALUE(SUBSTITUTE(INDEX(SPLIT(IF(ISBLANK(R280), Q280, R280), "",""), 0, 1), "" Km"", """")) - O280 = 0,
      """",
      VALUE(SUBSTITUTE(INDEX(SPLIT(IF(ISBLANK("&amp;"R280), Q280, R280), "",""), 0, 1), "" Km"", """")) - O280
    )
  )
)"),11249.0)</f>
        <v>11249</v>
      </c>
      <c r="Q280" s="23" t="str">
        <f t="shared" si="4"/>
        <v>11 249 Km, 20.11.2023</v>
      </c>
      <c r="R280" s="20"/>
      <c r="S280" s="41">
        <v>8000.0</v>
      </c>
      <c r="T280" s="13">
        <v>0.0</v>
      </c>
      <c r="U280" s="13" t="s">
        <v>516</v>
      </c>
      <c r="V280" s="24"/>
      <c r="W280" s="24" t="str">
        <f t="shared" si="5"/>
        <v>Завершена</v>
      </c>
      <c r="X280" s="13" t="str">
        <f>IFERROR(__xludf.DUMMYFUNCTION("IF(C280 = """", """", IF(REGEXMATCH(C280, ""PCX|NMAX|ADV|CLICK""), ""скутер"", ""мото""))"),"мото")</f>
        <v>мото</v>
      </c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</row>
    <row r="281" hidden="1">
      <c r="A281" s="25" t="s">
        <v>24</v>
      </c>
      <c r="B281" s="25" t="s">
        <v>25</v>
      </c>
      <c r="C281" s="27" t="s">
        <v>279</v>
      </c>
      <c r="D281" s="27" t="s">
        <v>473</v>
      </c>
      <c r="E281" s="43">
        <v>45250.0</v>
      </c>
      <c r="F281" s="39">
        <v>45252.833333333336</v>
      </c>
      <c r="G281" s="30" t="str">
        <f t="shared" si="15"/>
        <v>2 Д</v>
      </c>
      <c r="H281" s="40">
        <v>600.0</v>
      </c>
      <c r="I281" s="32" t="str">
        <f t="shared" si="2"/>
        <v/>
      </c>
      <c r="J281" s="33" t="str">
        <f t="shared" si="3"/>
        <v/>
      </c>
      <c r="K281" s="36">
        <v>1200.0</v>
      </c>
      <c r="L281" s="33"/>
      <c r="M281" s="36">
        <v>900.0</v>
      </c>
      <c r="N281" s="44">
        <v>6718.0</v>
      </c>
      <c r="O281" s="35">
        <f>IFERROR(__xludf.DUMMYFUNCTION("IFERROR(
  VLOOKUP(C281,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C281
    ), 
    7, FALSE
  ), 
  """"
)
"),9000.0)</f>
        <v>9000</v>
      </c>
      <c r="P281" s="35">
        <f>IFERROR(__xludf.DUMMYFUNCTION("IF(AND(Q281="""", R281=""""),
  """",
  IF(OR(ISBLANK(Q281), ISBLANK(O281)),
    """",
    IF(VALUE(SUBSTITUTE(INDEX(SPLIT(IF(ISBLANK(R281), Q281, R281), "",""), 0, 1), "" Km"", """")) - O281 = 0,
      """",
      VALUE(SUBSTITUTE(INDEX(SPLIT(IF(ISBLANK("&amp;"R281), Q281, R281), "",""), 0, 1), "" Km"", """")) - O281
    )
  )
)"),-2282.0)</f>
        <v>-2282</v>
      </c>
      <c r="Q281" s="36" t="str">
        <f t="shared" si="4"/>
        <v>6 718 Km, 20.11.2023</v>
      </c>
      <c r="R281" s="33"/>
      <c r="S281" s="40">
        <v>8000.0</v>
      </c>
      <c r="T281" s="25">
        <v>0.0</v>
      </c>
      <c r="U281" s="25" t="s">
        <v>516</v>
      </c>
      <c r="V281" s="37"/>
      <c r="W281" s="37" t="str">
        <f t="shared" si="5"/>
        <v>Завершена</v>
      </c>
      <c r="X281" s="25" t="str">
        <f>IFERROR(__xludf.DUMMYFUNCTION("IF(C281 = """", """", IF(REGEXMATCH(C281, ""PCX|NMAX|ADV|CLICK""), ""скутер"", ""мото""))"),"мото")</f>
        <v>мото</v>
      </c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</row>
    <row r="282" hidden="1">
      <c r="A282" s="13" t="s">
        <v>24</v>
      </c>
      <c r="B282" s="13" t="s">
        <v>25</v>
      </c>
      <c r="C282" s="14" t="s">
        <v>92</v>
      </c>
      <c r="D282" s="14" t="s">
        <v>657</v>
      </c>
      <c r="E282" s="48">
        <v>45250.0</v>
      </c>
      <c r="F282" s="38">
        <v>45255.416666666664</v>
      </c>
      <c r="G282" s="17" t="str">
        <f t="shared" si="15"/>
        <v>5 Д</v>
      </c>
      <c r="H282" s="18">
        <f>IF(L282&lt;&gt;"", VALUE(L282)/30, IF(M282&lt;&gt;"", VALUE(M282)/1, ""))
</f>
        <v>690</v>
      </c>
      <c r="I282" s="19" t="str">
        <f t="shared" si="2"/>
        <v/>
      </c>
      <c r="J282" s="20" t="str">
        <f t="shared" si="3"/>
        <v/>
      </c>
      <c r="K282" s="23">
        <v>3450.0</v>
      </c>
      <c r="L282" s="20"/>
      <c r="M282" s="23">
        <v>690.0</v>
      </c>
      <c r="N282" s="49">
        <v>22000.0</v>
      </c>
      <c r="O282" s="22">
        <f>IFERROR(__xludf.DUMMYFUNCTION("IFERROR(
  VLOOKUP(C282,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C282
    ), 
    7, FALSE
  ), 
  """"
)
"),23500.0)</f>
        <v>23500</v>
      </c>
      <c r="P282" s="22">
        <f>IFERROR(__xludf.DUMMYFUNCTION("IF(AND(Q282="""", R282=""""),
  """",
  IF(OR(ISBLANK(Q282), ISBLANK(O282)),
    """",
    IF(VALUE(SUBSTITUTE(INDEX(SPLIT(IF(ISBLANK(R282), Q282, R282), "",""), 0, 1), "" Km"", """")) - O282 = 0,
      """",
      VALUE(SUBSTITUTE(INDEX(SPLIT(IF(ISBLANK("&amp;"R282), Q282, R282), "",""), 0, 1), "" Km"", """")) - O282
    )
  )
)"),-1500.0)</f>
        <v>-1500</v>
      </c>
      <c r="Q282" s="23" t="str">
        <f t="shared" si="4"/>
        <v>22 000 Km, 20.11.2023</v>
      </c>
      <c r="R282" s="20"/>
      <c r="S282" s="41">
        <v>200.0</v>
      </c>
      <c r="T282" s="13">
        <v>2.0</v>
      </c>
      <c r="U282" s="13" t="s">
        <v>658</v>
      </c>
      <c r="V282" s="24"/>
      <c r="W282" s="24" t="str">
        <f t="shared" si="5"/>
        <v>Завершена</v>
      </c>
      <c r="X282" s="13" t="str">
        <f>IFERROR(__xludf.DUMMYFUNCTION("IF(C282 = """", """", IF(REGEXMATCH(C282, ""PCX|NMAX|ADV|CLICK""), ""скутер"", ""мото""))"),"мото")</f>
        <v>мото</v>
      </c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</row>
    <row r="283" hidden="1">
      <c r="A283" s="25" t="s">
        <v>24</v>
      </c>
      <c r="B283" s="25" t="s">
        <v>25</v>
      </c>
      <c r="C283" s="27" t="s">
        <v>468</v>
      </c>
      <c r="D283" s="27" t="s">
        <v>595</v>
      </c>
      <c r="E283" s="43">
        <v>45250.0</v>
      </c>
      <c r="F283" s="39">
        <v>45255.666666666664</v>
      </c>
      <c r="G283" s="30" t="str">
        <f t="shared" si="15"/>
        <v>5 Д</v>
      </c>
      <c r="H283" s="40">
        <v>900.0</v>
      </c>
      <c r="I283" s="32" t="str">
        <f t="shared" si="2"/>
        <v/>
      </c>
      <c r="J283" s="33" t="str">
        <f t="shared" si="3"/>
        <v/>
      </c>
      <c r="K283" s="36">
        <v>4500.0</v>
      </c>
      <c r="L283" s="33"/>
      <c r="M283" s="36">
        <v>1000.0</v>
      </c>
      <c r="N283" s="44">
        <v>11800.0</v>
      </c>
      <c r="O283" s="35">
        <f>IFERROR(__xludf.DUMMYFUNCTION("IFERROR(
  VLOOKUP(C283,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C283
    ), 
    7, FALSE
  ), 
  """"
)
"),22200.0)</f>
        <v>22200</v>
      </c>
      <c r="P283" s="35">
        <f>IFERROR(__xludf.DUMMYFUNCTION("IF(AND(Q283="""", R283=""""),
  """",
  IF(OR(ISBLANK(Q283), ISBLANK(O283)),
    """",
    IF(VALUE(SUBSTITUTE(INDEX(SPLIT(IF(ISBLANK(R283), Q283, R283), "",""), 0, 1), "" Km"", """")) - O283 = 0,
      """",
      VALUE(SUBSTITUTE(INDEX(SPLIT(IF(ISBLANK("&amp;"R283), Q283, R283), "",""), 0, 1), "" Km"", """")) - O283
    )
  )
)"),-10400.0)</f>
        <v>-10400</v>
      </c>
      <c r="Q283" s="36" t="str">
        <f t="shared" si="4"/>
        <v>11 800 Km, 20.11.2023</v>
      </c>
      <c r="R283" s="33"/>
      <c r="S283" s="40">
        <v>15000.0</v>
      </c>
      <c r="T283" s="25">
        <v>2.0</v>
      </c>
      <c r="U283" s="71" t="s">
        <v>596</v>
      </c>
      <c r="V283" s="25" t="s">
        <v>597</v>
      </c>
      <c r="W283" s="37" t="str">
        <f t="shared" si="5"/>
        <v>Завершена</v>
      </c>
      <c r="X283" s="25" t="str">
        <f>IFERROR(__xludf.DUMMYFUNCTION("IF(C283 = """", """", IF(REGEXMATCH(C283, ""PCX|NMAX|ADV|CLICK""), ""скутер"", ""мото""))"),"мото")</f>
        <v>мото</v>
      </c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</row>
    <row r="284" hidden="1">
      <c r="A284" s="13" t="s">
        <v>24</v>
      </c>
      <c r="B284" s="13" t="s">
        <v>25</v>
      </c>
      <c r="C284" s="14" t="s">
        <v>461</v>
      </c>
      <c r="D284" s="14" t="s">
        <v>650</v>
      </c>
      <c r="E284" s="48">
        <v>45250.0</v>
      </c>
      <c r="F284" s="38">
        <v>45257.458333333336</v>
      </c>
      <c r="G284" s="17" t="str">
        <f t="shared" si="15"/>
        <v>7 Д</v>
      </c>
      <c r="H284" s="18">
        <f t="shared" ref="H284:H321" si="17">IF(L284&lt;&gt;"", VALUE(L284)/30, IF(M284&lt;&gt;"", VALUE(M284)/1, ""))
</f>
        <v>850</v>
      </c>
      <c r="I284" s="19" t="str">
        <f t="shared" si="2"/>
        <v/>
      </c>
      <c r="J284" s="20" t="str">
        <f t="shared" si="3"/>
        <v/>
      </c>
      <c r="K284" s="23">
        <f>1700+1000+1780+2000</f>
        <v>6480</v>
      </c>
      <c r="L284" s="20"/>
      <c r="M284" s="23">
        <v>850.0</v>
      </c>
      <c r="N284" s="49">
        <v>25200.0</v>
      </c>
      <c r="O284" s="22">
        <f>IFERROR(__xludf.DUMMYFUNCTION("IFERROR(
  VLOOKUP(C284,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C284
    ), 
    7, FALSE
  ), 
  """"
)
"),30500.0)</f>
        <v>30500</v>
      </c>
      <c r="P284" s="22">
        <f>IFERROR(__xludf.DUMMYFUNCTION("IF(AND(Q284="""", R284=""""),
  """",
  IF(OR(ISBLANK(Q284), ISBLANK(O284)),
    """",
    IF(VALUE(SUBSTITUTE(INDEX(SPLIT(IF(ISBLANK(R284), Q284, R284), "",""), 0, 1), "" Km"", """")) - O284 = 0,
      """",
      VALUE(SUBSTITUTE(INDEX(SPLIT(IF(ISBLANK("&amp;"R284), Q284, R284), "",""), 0, 1), "" Km"", """")) - O284
    )
  )
)"),-5300.0)</f>
        <v>-5300</v>
      </c>
      <c r="Q284" s="23" t="str">
        <f t="shared" si="4"/>
        <v>25 200 Km, 20.11.2023</v>
      </c>
      <c r="R284" s="20"/>
      <c r="S284" s="41" t="s">
        <v>600</v>
      </c>
      <c r="T284" s="13">
        <v>1.0</v>
      </c>
      <c r="U284" s="13" t="s">
        <v>651</v>
      </c>
      <c r="V284" s="13" t="s">
        <v>652</v>
      </c>
      <c r="W284" s="24" t="str">
        <f t="shared" si="5"/>
        <v>Завершена</v>
      </c>
      <c r="X284" s="13" t="str">
        <f>IFERROR(__xludf.DUMMYFUNCTION("IF(C284 = """", """", IF(REGEXMATCH(C284, ""PCX|NMAX|ADV|CLICK""), ""скутер"", ""мото""))"),"мото")</f>
        <v>мото</v>
      </c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</row>
    <row r="285" hidden="1">
      <c r="A285" s="25" t="s">
        <v>24</v>
      </c>
      <c r="B285" s="25" t="s">
        <v>25</v>
      </c>
      <c r="C285" s="27" t="s">
        <v>427</v>
      </c>
      <c r="D285" s="27" t="s">
        <v>659</v>
      </c>
      <c r="E285" s="43">
        <v>45250.0</v>
      </c>
      <c r="F285" s="39">
        <v>45270.416666666664</v>
      </c>
      <c r="G285" s="30" t="str">
        <f t="shared" si="15"/>
        <v>20 Д</v>
      </c>
      <c r="H285" s="31">
        <f t="shared" si="17"/>
        <v>396.6666667</v>
      </c>
      <c r="I285" s="32" t="str">
        <f t="shared" si="2"/>
        <v/>
      </c>
      <c r="J285" s="33" t="str">
        <f t="shared" si="3"/>
        <v/>
      </c>
      <c r="K285" s="36">
        <v>10000.0</v>
      </c>
      <c r="L285" s="36">
        <v>11900.0</v>
      </c>
      <c r="M285" s="33"/>
      <c r="N285" s="44">
        <v>16200.0</v>
      </c>
      <c r="O285" s="35" t="str">
        <f>IFERROR(__xludf.DUMMYFUNCTION("IFERROR(
  VLOOKUP(C285,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C285
    ), 
    7, FALSE
  ), 
  """"
)
"),"")</f>
        <v/>
      </c>
      <c r="P285" s="35">
        <f>IFERROR(__xludf.DUMMYFUNCTION("IF(AND(Q285="""", R285=""""),
  """",
  IF(OR(ISBLANK(Q285), ISBLANK(O285)),
    """",
    IF(VALUE(SUBSTITUTE(INDEX(SPLIT(IF(ISBLANK(R285), Q285, R285), "",""), 0, 1), "" Km"", """")) - O285 = 0,
      """",
      VALUE(SUBSTITUTE(INDEX(SPLIT(IF(ISBLANK("&amp;"R285), Q285, R285), "",""), 0, 1), "" Km"", """")) - O285
    )
  )
)"),16200.0)</f>
        <v>16200</v>
      </c>
      <c r="Q285" s="36" t="str">
        <f t="shared" si="4"/>
        <v>16 200 Km, 20.11.2023</v>
      </c>
      <c r="R285" s="33"/>
      <c r="S285" s="40" t="s">
        <v>430</v>
      </c>
      <c r="T285" s="25">
        <v>1.0</v>
      </c>
      <c r="U285" s="25" t="s">
        <v>660</v>
      </c>
      <c r="V285" s="37"/>
      <c r="W285" s="37" t="str">
        <f t="shared" si="5"/>
        <v>Завершена</v>
      </c>
      <c r="X285" s="25" t="str">
        <f>IFERROR(__xludf.DUMMYFUNCTION("IF(C285 = """", """", IF(REGEXMATCH(C285, ""PCX|NMAX|ADV|CLICK""), ""скутер"", ""мото""))"),"мото")</f>
        <v>мото</v>
      </c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</row>
    <row r="286" hidden="1">
      <c r="A286" s="13" t="s">
        <v>24</v>
      </c>
      <c r="B286" s="13" t="s">
        <v>25</v>
      </c>
      <c r="C286" s="14" t="s">
        <v>321</v>
      </c>
      <c r="D286" s="14" t="s">
        <v>490</v>
      </c>
      <c r="E286" s="48">
        <v>45251.0</v>
      </c>
      <c r="F286" s="38">
        <v>45253.583333333336</v>
      </c>
      <c r="G286" s="17" t="str">
        <f t="shared" si="15"/>
        <v>2 Д</v>
      </c>
      <c r="H286" s="18">
        <f t="shared" si="17"/>
        <v>875</v>
      </c>
      <c r="I286" s="19" t="str">
        <f t="shared" si="2"/>
        <v/>
      </c>
      <c r="J286" s="20" t="str">
        <f t="shared" si="3"/>
        <v/>
      </c>
      <c r="K286" s="23">
        <v>1750.0</v>
      </c>
      <c r="L286" s="20"/>
      <c r="M286" s="23">
        <v>875.0</v>
      </c>
      <c r="N286" s="49">
        <v>39300.0</v>
      </c>
      <c r="O286" s="22" t="str">
        <f>IFERROR(__xludf.DUMMYFUNCTION("IFERROR(
  VLOOKUP(C286,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C286
    ), 
    7, FALSE
  ), 
  """"
)
"),"")</f>
        <v/>
      </c>
      <c r="P286" s="22">
        <f>IFERROR(__xludf.DUMMYFUNCTION("IF(AND(Q286="""", R286=""""),
  """",
  IF(OR(ISBLANK(Q286), ISBLANK(O286)),
    """",
    IF(VALUE(SUBSTITUTE(INDEX(SPLIT(IF(ISBLANK(R286), Q286, R286), "",""), 0, 1), "" Km"", """")) - O286 = 0,
      """",
      VALUE(SUBSTITUTE(INDEX(SPLIT(IF(ISBLANK("&amp;"R286), Q286, R286), "",""), 0, 1), "" Km"", """")) - O286
    )
  )
)"),39300.0)</f>
        <v>39300</v>
      </c>
      <c r="Q286" s="23" t="str">
        <f t="shared" si="4"/>
        <v>39 300 Km, 21.11.2023</v>
      </c>
      <c r="R286" s="20"/>
      <c r="S286" s="41">
        <v>20000.0</v>
      </c>
      <c r="T286" s="13">
        <v>0.0</v>
      </c>
      <c r="U286" s="13" t="s">
        <v>516</v>
      </c>
      <c r="V286" s="13" t="s">
        <v>661</v>
      </c>
      <c r="W286" s="24" t="str">
        <f t="shared" si="5"/>
        <v>Завершена</v>
      </c>
      <c r="X286" s="13" t="str">
        <f>IFERROR(__xludf.DUMMYFUNCTION("IF(C286 = """", """", IF(REGEXMATCH(C286, ""PCX|NMAX|ADV|CLICK""), ""скутер"", ""мото""))"),"мото")</f>
        <v>мото</v>
      </c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</row>
    <row r="287" hidden="1">
      <c r="A287" s="25" t="s">
        <v>24</v>
      </c>
      <c r="B287" s="25" t="s">
        <v>25</v>
      </c>
      <c r="C287" s="27" t="s">
        <v>193</v>
      </c>
      <c r="D287" s="27" t="s">
        <v>473</v>
      </c>
      <c r="E287" s="43">
        <v>45252.0</v>
      </c>
      <c r="F287" s="39">
        <v>45254.833333333336</v>
      </c>
      <c r="G287" s="30" t="str">
        <f t="shared" si="15"/>
        <v>2 Д</v>
      </c>
      <c r="H287" s="31">
        <f t="shared" si="17"/>
        <v>0</v>
      </c>
      <c r="I287" s="32" t="str">
        <f t="shared" si="2"/>
        <v/>
      </c>
      <c r="J287" s="33" t="str">
        <f t="shared" si="3"/>
        <v/>
      </c>
      <c r="K287" s="36">
        <v>0.0</v>
      </c>
      <c r="L287" s="33"/>
      <c r="M287" s="36">
        <v>0.0</v>
      </c>
      <c r="N287" s="44">
        <v>11249.0</v>
      </c>
      <c r="O287" s="35" t="str">
        <f>IFERROR(__xludf.DUMMYFUNCTION("IFERROR(
  VLOOKUP(C287,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C287
    ), 
    7, FALSE
  ), 
  """"
)
"),"")</f>
        <v/>
      </c>
      <c r="P287" s="35">
        <f>IFERROR(__xludf.DUMMYFUNCTION("IF(AND(Q287="""", R287=""""),
  """",
  IF(OR(ISBLANK(Q287), ISBLANK(O287)),
    """",
    IF(VALUE(SUBSTITUTE(INDEX(SPLIT(IF(ISBLANK(R287), Q287, R287), "",""), 0, 1), "" Km"", """")) - O287 = 0,
      """",
      VALUE(SUBSTITUTE(INDEX(SPLIT(IF(ISBLANK("&amp;"R287), Q287, R287), "",""), 0, 1), "" Km"", """")) - O287
    )
  )
)"),11249.0)</f>
        <v>11249</v>
      </c>
      <c r="Q287" s="36" t="str">
        <f t="shared" si="4"/>
        <v>11 249 Km, 22.11.2023</v>
      </c>
      <c r="R287" s="33"/>
      <c r="S287" s="40">
        <v>8000.0</v>
      </c>
      <c r="T287" s="25">
        <v>0.0</v>
      </c>
      <c r="U287" s="25" t="s">
        <v>516</v>
      </c>
      <c r="V287" s="37"/>
      <c r="W287" s="37" t="str">
        <f t="shared" si="5"/>
        <v>Завершена</v>
      </c>
      <c r="X287" s="25" t="str">
        <f>IFERROR(__xludf.DUMMYFUNCTION("IF(C287 = """", """", IF(REGEXMATCH(C287, ""PCX|NMAX|ADV|CLICK""), ""скутер"", ""мото""))"),"мото")</f>
        <v>мото</v>
      </c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</row>
    <row r="288" hidden="1">
      <c r="A288" s="13" t="s">
        <v>24</v>
      </c>
      <c r="B288" s="13" t="s">
        <v>25</v>
      </c>
      <c r="C288" s="14" t="s">
        <v>56</v>
      </c>
      <c r="D288" s="14" t="s">
        <v>662</v>
      </c>
      <c r="E288" s="48">
        <v>45252.0</v>
      </c>
      <c r="F288" s="38">
        <v>45258.625</v>
      </c>
      <c r="G288" s="17" t="str">
        <f t="shared" si="15"/>
        <v>6 Д</v>
      </c>
      <c r="H288" s="18">
        <f t="shared" si="17"/>
        <v>390</v>
      </c>
      <c r="I288" s="19" t="str">
        <f t="shared" si="2"/>
        <v/>
      </c>
      <c r="J288" s="20" t="str">
        <f t="shared" si="3"/>
        <v/>
      </c>
      <c r="K288" s="23">
        <f>1950+390</f>
        <v>2340</v>
      </c>
      <c r="L288" s="20"/>
      <c r="M288" s="23">
        <v>390.0</v>
      </c>
      <c r="N288" s="49">
        <v>19694.0</v>
      </c>
      <c r="O288" s="22">
        <f>IFERROR(__xludf.DUMMYFUNCTION("IFERROR(
  VLOOKUP(C288,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C288
    ), 
    7, FALSE
  ), 
  """"
)
"),36400.0)</f>
        <v>36400</v>
      </c>
      <c r="P288" s="22">
        <f>IFERROR(__xludf.DUMMYFUNCTION("IF(AND(Q288="""", R288=""""),
  """",
  IF(OR(ISBLANK(Q288), ISBLANK(O288)),
    """",
    IF(VALUE(SUBSTITUTE(INDEX(SPLIT(IF(ISBLANK(R288), Q288, R288), "",""), 0, 1), "" Km"", """")) - O288 = 0,
      """",
      VALUE(SUBSTITUTE(INDEX(SPLIT(IF(ISBLANK("&amp;"R288), Q288, R288), "",""), 0, 1), "" Km"", """")) - O288
    )
  )
)"),-16706.0)</f>
        <v>-16706</v>
      </c>
      <c r="Q288" s="23" t="str">
        <f t="shared" si="4"/>
        <v>19 694 Km, 22.11.2023</v>
      </c>
      <c r="R288" s="20"/>
      <c r="S288" s="41" t="s">
        <v>663</v>
      </c>
      <c r="T288" s="13">
        <v>1.0</v>
      </c>
      <c r="U288" s="13" t="s">
        <v>664</v>
      </c>
      <c r="V288" s="24"/>
      <c r="W288" s="24" t="str">
        <f t="shared" si="5"/>
        <v>Завершена</v>
      </c>
      <c r="X288" s="13" t="str">
        <f>IFERROR(__xludf.DUMMYFUNCTION("IF(C288 = """", """", IF(REGEXMATCH(C288, ""PCX|NMAX|ADV|CLICK""), ""скутер"", ""мото""))"),"скутер")</f>
        <v>скутер</v>
      </c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</row>
    <row r="289" hidden="1">
      <c r="A289" s="25" t="s">
        <v>24</v>
      </c>
      <c r="B289" s="25" t="s">
        <v>25</v>
      </c>
      <c r="C289" s="27" t="s">
        <v>155</v>
      </c>
      <c r="D289" s="27" t="s">
        <v>665</v>
      </c>
      <c r="E289" s="43">
        <v>45252.0</v>
      </c>
      <c r="F289" s="39">
        <v>45261.416666666664</v>
      </c>
      <c r="G289" s="30" t="str">
        <f t="shared" si="15"/>
        <v>9 Д</v>
      </c>
      <c r="H289" s="31">
        <f t="shared" si="17"/>
        <v>750</v>
      </c>
      <c r="I289" s="32" t="str">
        <f t="shared" si="2"/>
        <v/>
      </c>
      <c r="J289" s="33" t="str">
        <f t="shared" si="3"/>
        <v/>
      </c>
      <c r="K289" s="36">
        <v>6750.0</v>
      </c>
      <c r="L289" s="33"/>
      <c r="M289" s="36">
        <v>750.0</v>
      </c>
      <c r="N289" s="44">
        <v>27200.0</v>
      </c>
      <c r="O289" s="35" t="str">
        <f>IFERROR(__xludf.DUMMYFUNCTION("IFERROR(
  VLOOKUP(C289,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C289
    ), 
    7, FALSE
  ), 
  """"
)
"),"")</f>
        <v/>
      </c>
      <c r="P289" s="35">
        <f>IFERROR(__xludf.DUMMYFUNCTION("IF(AND(Q289="""", R289=""""),
  """",
  IF(OR(ISBLANK(Q289), ISBLANK(O289)),
    """",
    IF(VALUE(SUBSTITUTE(INDEX(SPLIT(IF(ISBLANK(R289), Q289, R289), "",""), 0, 1), "" Km"", """")) - O289 = 0,
      """",
      VALUE(SUBSTITUTE(INDEX(SPLIT(IF(ISBLANK("&amp;"R289), Q289, R289), "",""), 0, 1), "" Km"", """")) - O289
    )
  )
)"),27200.0)</f>
        <v>27200</v>
      </c>
      <c r="Q289" s="36" t="str">
        <f t="shared" si="4"/>
        <v>27 200 Km, 22.11.2023</v>
      </c>
      <c r="R289" s="33"/>
      <c r="S289" s="40">
        <v>200.0</v>
      </c>
      <c r="T289" s="25">
        <v>2.0</v>
      </c>
      <c r="U289" s="25" t="s">
        <v>516</v>
      </c>
      <c r="V289" s="25" t="s">
        <v>666</v>
      </c>
      <c r="W289" s="37" t="str">
        <f t="shared" si="5"/>
        <v>Завершена</v>
      </c>
      <c r="X289" s="25" t="str">
        <f>IFERROR(__xludf.DUMMYFUNCTION("IF(C289 = """", """", IF(REGEXMATCH(C289, ""PCX|NMAX|ADV|CLICK""), ""скутер"", ""мото""))"),"мото")</f>
        <v>мото</v>
      </c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</row>
    <row r="290" hidden="1">
      <c r="A290" s="13" t="s">
        <v>24</v>
      </c>
      <c r="B290" s="14" t="s">
        <v>25</v>
      </c>
      <c r="C290" s="62" t="s">
        <v>321</v>
      </c>
      <c r="D290" s="14" t="s">
        <v>490</v>
      </c>
      <c r="E290" s="48">
        <v>45253.0</v>
      </c>
      <c r="F290" s="38">
        <v>45256.583333333336</v>
      </c>
      <c r="G290" s="17" t="str">
        <f t="shared" si="15"/>
        <v>3 Д</v>
      </c>
      <c r="H290" s="18">
        <f t="shared" si="17"/>
        <v>0</v>
      </c>
      <c r="I290" s="19" t="str">
        <f t="shared" si="2"/>
        <v/>
      </c>
      <c r="J290" s="20" t="str">
        <f t="shared" si="3"/>
        <v/>
      </c>
      <c r="K290" s="23">
        <v>0.0</v>
      </c>
      <c r="L290" s="64"/>
      <c r="M290" s="23">
        <v>0.0</v>
      </c>
      <c r="N290" s="21">
        <v>39300.0</v>
      </c>
      <c r="O290" s="22" t="str">
        <f>IFERROR(__xludf.DUMMYFUNCTION("IFERROR(
  VLOOKUP(C290,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C290
    ), 
    7, FALSE
  ), 
  """"
)
"),"")</f>
        <v/>
      </c>
      <c r="P290" s="22">
        <f>IFERROR(__xludf.DUMMYFUNCTION("IF(AND(Q290="""", R290=""""),
  """",
  IF(OR(ISBLANK(Q290), ISBLANK(O290)),
    """",
    IF(VALUE(SUBSTITUTE(INDEX(SPLIT(IF(ISBLANK(R290), Q290, R290), "",""), 0, 1), "" Km"", """")) - O290 = 0,
      """",
      VALUE(SUBSTITUTE(INDEX(SPLIT(IF(ISBLANK("&amp;"R290), Q290, R290), "",""), 0, 1), "" Km"", """")) - O290
    )
  )
)"),39300.0)</f>
        <v>39300</v>
      </c>
      <c r="Q290" s="20" t="str">
        <f t="shared" si="4"/>
        <v>39 300 Km, 23.11.2023</v>
      </c>
      <c r="R290" s="64"/>
      <c r="S290" s="18">
        <v>20000.0</v>
      </c>
      <c r="T290" s="24">
        <v>0.0</v>
      </c>
      <c r="U290" s="24" t="s">
        <v>516</v>
      </c>
      <c r="V290" s="24" t="s">
        <v>661</v>
      </c>
      <c r="W290" s="24" t="str">
        <f t="shared" si="5"/>
        <v>Завершена</v>
      </c>
      <c r="X290" s="42" t="str">
        <f>IFERROR(__xludf.DUMMYFUNCTION("IF(C290 = """", """", IF(REGEXMATCH(C290, ""PCX|NMAX|ADV|CLICK""), ""скутер"", ""мото""))"),"мото")</f>
        <v>мото</v>
      </c>
      <c r="Y290" s="13"/>
      <c r="Z290" s="13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</row>
    <row r="291" hidden="1">
      <c r="A291" s="25" t="s">
        <v>24</v>
      </c>
      <c r="B291" s="25" t="s">
        <v>25</v>
      </c>
      <c r="C291" s="27" t="s">
        <v>32</v>
      </c>
      <c r="D291" s="27" t="s">
        <v>667</v>
      </c>
      <c r="E291" s="43">
        <v>45253.0</v>
      </c>
      <c r="F291" s="39">
        <v>45268.75</v>
      </c>
      <c r="G291" s="30" t="str">
        <f t="shared" si="15"/>
        <v>15 Д</v>
      </c>
      <c r="H291" s="31">
        <f t="shared" si="17"/>
        <v>650</v>
      </c>
      <c r="I291" s="32" t="str">
        <f t="shared" si="2"/>
        <v/>
      </c>
      <c r="J291" s="33" t="str">
        <f t="shared" si="3"/>
        <v/>
      </c>
      <c r="K291" s="36">
        <v>9750.0</v>
      </c>
      <c r="L291" s="33"/>
      <c r="M291" s="36">
        <v>650.0</v>
      </c>
      <c r="N291" s="44">
        <v>20000.0</v>
      </c>
      <c r="O291" s="35">
        <f>IFERROR(__xludf.DUMMYFUNCTION("IFERROR(
  VLOOKUP(C291,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C291
    ), 
    7, FALSE
  ), 
  """"
)
"),38640.0)</f>
        <v>38640</v>
      </c>
      <c r="P291" s="35">
        <f>IFERROR(__xludf.DUMMYFUNCTION("IF(AND(Q291="""", R291=""""),
  """",
  IF(OR(ISBLANK(Q291), ISBLANK(O291)),
    """",
    IF(VALUE(SUBSTITUTE(INDEX(SPLIT(IF(ISBLANK(R291), Q291, R291), "",""), 0, 1), "" Km"", """")) - O291 = 0,
      """",
      VALUE(SUBSTITUTE(INDEX(SPLIT(IF(ISBLANK("&amp;"R291), Q291, R291), "",""), 0, 1), "" Km"", """")) - O291
    )
  )
)"),-18640.0)</f>
        <v>-18640</v>
      </c>
      <c r="Q291" s="36" t="str">
        <f t="shared" si="4"/>
        <v>20 000 Km, 23.11.2023</v>
      </c>
      <c r="R291" s="33"/>
      <c r="S291" s="40">
        <v>5000.0</v>
      </c>
      <c r="T291" s="25">
        <v>2.0</v>
      </c>
      <c r="U291" s="25" t="s">
        <v>668</v>
      </c>
      <c r="V291" s="25" t="s">
        <v>669</v>
      </c>
      <c r="W291" s="37" t="str">
        <f t="shared" si="5"/>
        <v>Завершена</v>
      </c>
      <c r="X291" s="25" t="str">
        <f>IFERROR(__xludf.DUMMYFUNCTION("IF(C291 = """", """", IF(REGEXMATCH(C291, ""PCX|NMAX|ADV|CLICK""), ""скутер"", ""мото""))"),"мото")</f>
        <v>мото</v>
      </c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</row>
    <row r="292" hidden="1">
      <c r="A292" s="13" t="s">
        <v>24</v>
      </c>
      <c r="B292" s="13" t="s">
        <v>25</v>
      </c>
      <c r="C292" s="14" t="s">
        <v>468</v>
      </c>
      <c r="D292" s="14" t="s">
        <v>670</v>
      </c>
      <c r="E292" s="48">
        <v>45255.0</v>
      </c>
      <c r="F292" s="38">
        <v>45258.625</v>
      </c>
      <c r="G292" s="17" t="str">
        <f t="shared" si="15"/>
        <v>3 Д</v>
      </c>
      <c r="H292" s="18">
        <f t="shared" si="17"/>
        <v>1090</v>
      </c>
      <c r="I292" s="19" t="str">
        <f t="shared" si="2"/>
        <v/>
      </c>
      <c r="J292" s="20" t="str">
        <f t="shared" si="3"/>
        <v/>
      </c>
      <c r="K292" s="23">
        <v>3270.0</v>
      </c>
      <c r="L292" s="20"/>
      <c r="M292" s="23">
        <v>1090.0</v>
      </c>
      <c r="N292" s="49">
        <v>12800.0</v>
      </c>
      <c r="O292" s="22">
        <f>IFERROR(__xludf.DUMMYFUNCTION("IFERROR(
  VLOOKUP(C292,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C292
    ), 
    7, FALSE
  ), 
  """"
)
"),22200.0)</f>
        <v>22200</v>
      </c>
      <c r="P292" s="22">
        <f>IFERROR(__xludf.DUMMYFUNCTION("IF(AND(Q292="""", R292=""""),
  """",
  IF(OR(ISBLANK(Q292), ISBLANK(O292)),
    """",
    IF(VALUE(SUBSTITUTE(INDEX(SPLIT(IF(ISBLANK(R292), Q292, R292), "",""), 0, 1), "" Km"", """")) - O292 = 0,
      """",
      VALUE(SUBSTITUTE(INDEX(SPLIT(IF(ISBLANK("&amp;"R292), Q292, R292), "",""), 0, 1), "" Km"", """")) - O292
    )
  )
)"),-9400.0)</f>
        <v>-9400</v>
      </c>
      <c r="Q292" s="23" t="str">
        <f t="shared" si="4"/>
        <v>12 800 Km, 25.11.2023</v>
      </c>
      <c r="R292" s="20"/>
      <c r="S292" s="41" t="s">
        <v>430</v>
      </c>
      <c r="T292" s="13">
        <v>0.0</v>
      </c>
      <c r="U292" s="13" t="s">
        <v>671</v>
      </c>
      <c r="V292" s="13" t="s">
        <v>672</v>
      </c>
      <c r="W292" s="24" t="str">
        <f t="shared" si="5"/>
        <v>Завершена</v>
      </c>
      <c r="X292" s="13" t="str">
        <f>IFERROR(__xludf.DUMMYFUNCTION("IF(C292 = """", """", IF(REGEXMATCH(C292, ""PCX|NMAX|ADV|CLICK""), ""скутер"", ""мото""))"),"мото")</f>
        <v>мото</v>
      </c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</row>
    <row r="293" hidden="1">
      <c r="A293" s="25" t="s">
        <v>24</v>
      </c>
      <c r="B293" s="25" t="s">
        <v>25</v>
      </c>
      <c r="C293" s="27" t="s">
        <v>77</v>
      </c>
      <c r="D293" s="27" t="s">
        <v>673</v>
      </c>
      <c r="E293" s="43">
        <v>45255.0</v>
      </c>
      <c r="F293" s="39">
        <v>45288.416666666664</v>
      </c>
      <c r="G293" s="30" t="str">
        <f t="shared" si="15"/>
        <v>1 М</v>
      </c>
      <c r="H293" s="31">
        <f t="shared" si="17"/>
        <v>250</v>
      </c>
      <c r="I293" s="32" t="str">
        <f t="shared" si="2"/>
        <v/>
      </c>
      <c r="J293" s="33" t="str">
        <f t="shared" si="3"/>
        <v/>
      </c>
      <c r="K293" s="36">
        <v>7500.0</v>
      </c>
      <c r="L293" s="36">
        <v>7500.0</v>
      </c>
      <c r="M293" s="33"/>
      <c r="N293" s="44">
        <v>24971.0</v>
      </c>
      <c r="O293" s="35">
        <f>IFERROR(__xludf.DUMMYFUNCTION("IFERROR(
  VLOOKUP(C293,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C293
    ), 
    7, FALSE
  ), 
  """"
)
"),37300.0)</f>
        <v>37300</v>
      </c>
      <c r="P293" s="35">
        <f>IFERROR(__xludf.DUMMYFUNCTION("IF(AND(Q293="""", R293=""""),
  """",
  IF(OR(ISBLANK(Q293), ISBLANK(O293)),
    """",
    IF(VALUE(SUBSTITUTE(INDEX(SPLIT(IF(ISBLANK(R293), Q293, R293), "",""), 0, 1), "" Km"", """")) - O293 = 0,
      """",
      VALUE(SUBSTITUTE(INDEX(SPLIT(IF(ISBLANK("&amp;"R293), Q293, R293), "",""), 0, 1), "" Km"", """")) - O293
    )
  )
)"),-12329.0)</f>
        <v>-12329</v>
      </c>
      <c r="Q293" s="36" t="str">
        <f t="shared" si="4"/>
        <v>24 971 Km, 25.11.2023</v>
      </c>
      <c r="R293" s="33"/>
      <c r="S293" s="40" t="s">
        <v>674</v>
      </c>
      <c r="T293" s="25">
        <v>2.0</v>
      </c>
      <c r="U293" s="25" t="s">
        <v>675</v>
      </c>
      <c r="V293" s="25" t="s">
        <v>676</v>
      </c>
      <c r="W293" s="37" t="str">
        <f t="shared" si="5"/>
        <v>Завершена</v>
      </c>
      <c r="X293" s="25" t="str">
        <f>IFERROR(__xludf.DUMMYFUNCTION("IF(C293 = """", """", IF(REGEXMATCH(C293, ""PCX|NMAX|ADV|CLICK""), ""скутер"", ""мото""))"),"скутер")</f>
        <v>скутер</v>
      </c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</row>
    <row r="294" hidden="1">
      <c r="A294" s="13" t="s">
        <v>24</v>
      </c>
      <c r="B294" s="13" t="s">
        <v>25</v>
      </c>
      <c r="C294" s="14" t="s">
        <v>159</v>
      </c>
      <c r="D294" s="14" t="s">
        <v>677</v>
      </c>
      <c r="E294" s="48">
        <v>45255.0</v>
      </c>
      <c r="F294" s="38">
        <v>45300.375</v>
      </c>
      <c r="G294" s="17" t="str">
        <f t="shared" si="15"/>
        <v>1 М</v>
      </c>
      <c r="H294" s="18">
        <f t="shared" si="17"/>
        <v>250</v>
      </c>
      <c r="I294" s="19" t="str">
        <f t="shared" si="2"/>
        <v/>
      </c>
      <c r="J294" s="20" t="str">
        <f t="shared" si="3"/>
        <v/>
      </c>
      <c r="K294" s="23">
        <f>7500+1750+1750+200</f>
        <v>11200</v>
      </c>
      <c r="L294" s="23">
        <v>7500.0</v>
      </c>
      <c r="M294" s="20"/>
      <c r="N294" s="49">
        <v>21000.0</v>
      </c>
      <c r="O294" s="22" t="str">
        <f>IFERROR(__xludf.DUMMYFUNCTION("IFERROR(
  VLOOKUP(C294,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C294
    ), 
    7, FALSE
  ), 
  """"
)
"),"")</f>
        <v/>
      </c>
      <c r="P294" s="22">
        <f>IFERROR(__xludf.DUMMYFUNCTION("IF(AND(Q294="""", R294=""""),
  """",
  IF(OR(ISBLANK(Q294), ISBLANK(O294)),
    """",
    IF(VALUE(SUBSTITUTE(INDEX(SPLIT(IF(ISBLANK(R294), Q294, R294), "",""), 0, 1), "" Km"", """")) - O294 = 0,
      """",
      VALUE(SUBSTITUTE(INDEX(SPLIT(IF(ISBLANK("&amp;"R294), Q294, R294), "",""), 0, 1), "" Km"", """")) - O294
    )
  )
)"),21000.0)</f>
        <v>21000</v>
      </c>
      <c r="Q294" s="23" t="str">
        <f t="shared" si="4"/>
        <v>21 000 Km, 25.11.2023</v>
      </c>
      <c r="R294" s="20"/>
      <c r="S294" s="41" t="s">
        <v>674</v>
      </c>
      <c r="T294" s="13">
        <v>2.0</v>
      </c>
      <c r="U294" s="13" t="s">
        <v>678</v>
      </c>
      <c r="V294" s="13" t="s">
        <v>679</v>
      </c>
      <c r="W294" s="24" t="str">
        <f t="shared" si="5"/>
        <v>Завершена</v>
      </c>
      <c r="X294" s="13" t="str">
        <f>IFERROR(__xludf.DUMMYFUNCTION("IF(C294 = """", """", IF(REGEXMATCH(C294, ""PCX|NMAX|ADV|CLICK""), ""скутер"", ""мото""))"),"скутер")</f>
        <v>скутер</v>
      </c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</row>
    <row r="295" hidden="1">
      <c r="A295" s="25" t="s">
        <v>24</v>
      </c>
      <c r="B295" s="25" t="s">
        <v>25</v>
      </c>
      <c r="C295" s="27" t="s">
        <v>193</v>
      </c>
      <c r="D295" s="27" t="s">
        <v>680</v>
      </c>
      <c r="E295" s="43">
        <v>45258.0</v>
      </c>
      <c r="F295" s="39">
        <v>45271.5</v>
      </c>
      <c r="G295" s="30" t="str">
        <f t="shared" si="15"/>
        <v>13 Д</v>
      </c>
      <c r="H295" s="31">
        <f t="shared" si="17"/>
        <v>590</v>
      </c>
      <c r="I295" s="32" t="str">
        <f t="shared" si="2"/>
        <v/>
      </c>
      <c r="J295" s="33" t="str">
        <f t="shared" si="3"/>
        <v/>
      </c>
      <c r="K295" s="36">
        <f>6000+3*590</f>
        <v>7770</v>
      </c>
      <c r="L295" s="33"/>
      <c r="M295" s="36">
        <v>590.0</v>
      </c>
      <c r="N295" s="44">
        <v>11900.0</v>
      </c>
      <c r="O295" s="35" t="str">
        <f>IFERROR(__xludf.DUMMYFUNCTION("IFERROR(
  VLOOKUP(C295,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C295
    ), 
    7, FALSE
  ), 
  """"
)
"),"")</f>
        <v/>
      </c>
      <c r="P295" s="35">
        <f>IFERROR(__xludf.DUMMYFUNCTION("IF(AND(Q295="""", R295=""""),
  """",
  IF(OR(ISBLANK(Q295), ISBLANK(O295)),
    """",
    IF(VALUE(SUBSTITUTE(INDEX(SPLIT(IF(ISBLANK(R295), Q295, R295), "",""), 0, 1), "" Km"", """")) - O295 = 0,
      """",
      VALUE(SUBSTITUTE(INDEX(SPLIT(IF(ISBLANK("&amp;"R295), Q295, R295), "",""), 0, 1), "" Km"", """")) - O295
    )
  )
)"),11900.0)</f>
        <v>11900</v>
      </c>
      <c r="Q295" s="36" t="str">
        <f t="shared" si="4"/>
        <v>11 900 Km, 28.11.2023</v>
      </c>
      <c r="R295" s="33"/>
      <c r="S295" s="40" t="s">
        <v>430</v>
      </c>
      <c r="T295" s="25">
        <v>2.0</v>
      </c>
      <c r="U295" s="71" t="s">
        <v>681</v>
      </c>
      <c r="V295" s="25" t="s">
        <v>682</v>
      </c>
      <c r="W295" s="37" t="str">
        <f t="shared" si="5"/>
        <v>Завершена</v>
      </c>
      <c r="X295" s="25" t="str">
        <f>IFERROR(__xludf.DUMMYFUNCTION("IF(C295 = """", """", IF(REGEXMATCH(C295, ""PCX|NMAX|ADV|CLICK""), ""скутер"", ""мото""))"),"мото")</f>
        <v>мото</v>
      </c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</row>
    <row r="296" hidden="1">
      <c r="A296" s="13" t="s">
        <v>24</v>
      </c>
      <c r="B296" s="13" t="s">
        <v>25</v>
      </c>
      <c r="C296" s="14" t="s">
        <v>468</v>
      </c>
      <c r="D296" s="14" t="s">
        <v>683</v>
      </c>
      <c r="E296" s="48">
        <v>45258.0</v>
      </c>
      <c r="F296" s="61">
        <v>45278.0</v>
      </c>
      <c r="G296" s="17" t="str">
        <f t="shared" si="15"/>
        <v>20 Д</v>
      </c>
      <c r="H296" s="18">
        <f t="shared" si="17"/>
        <v>1080</v>
      </c>
      <c r="I296" s="19" t="str">
        <f t="shared" si="2"/>
        <v/>
      </c>
      <c r="J296" s="20" t="str">
        <f t="shared" si="3"/>
        <v/>
      </c>
      <c r="K296" s="23">
        <f>7560+7560+11000-5200</f>
        <v>20920</v>
      </c>
      <c r="L296" s="20"/>
      <c r="M296" s="23">
        <v>1080.0</v>
      </c>
      <c r="N296" s="49">
        <v>12900.0</v>
      </c>
      <c r="O296" s="22">
        <f>IFERROR(__xludf.DUMMYFUNCTION("IFERROR(
  VLOOKUP(C296,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C296
    ), 
    7, FALSE
  ), 
  """"
)
"),22200.0)</f>
        <v>22200</v>
      </c>
      <c r="P296" s="22">
        <f>IFERROR(__xludf.DUMMYFUNCTION("IF(AND(Q296="""", R296=""""),
  """",
  IF(OR(ISBLANK(Q296), ISBLANK(O296)),
    """",
    IF(VALUE(SUBSTITUTE(INDEX(SPLIT(IF(ISBLANK(R296), Q296, R296), "",""), 0, 1), "" Km"", """")) - O296 = 0,
      """",
      VALUE(SUBSTITUTE(INDEX(SPLIT(IF(ISBLANK("&amp;"R296), Q296, R296), "",""), 0, 1), "" Km"", """")) - O296
    )
  )
)"),-9300.0)</f>
        <v>-9300</v>
      </c>
      <c r="Q296" s="23" t="str">
        <f t="shared" si="4"/>
        <v>12 900 Km, 28.11.2023</v>
      </c>
      <c r="R296" s="20"/>
      <c r="S296" s="41" t="s">
        <v>515</v>
      </c>
      <c r="T296" s="13">
        <v>1.0</v>
      </c>
      <c r="U296" s="13" t="s">
        <v>684</v>
      </c>
      <c r="V296" s="24"/>
      <c r="W296" s="24" t="str">
        <f t="shared" si="5"/>
        <v>#VALUE!</v>
      </c>
      <c r="X296" s="13" t="str">
        <f>IFERROR(__xludf.DUMMYFUNCTION("IF(C296 = """", """", IF(REGEXMATCH(C296, ""PCX|NMAX|ADV|CLICK""), ""скутер"", ""мото""))"),"мото")</f>
        <v>мото</v>
      </c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</row>
    <row r="297" hidden="1">
      <c r="A297" s="25" t="s">
        <v>24</v>
      </c>
      <c r="B297" s="25" t="s">
        <v>25</v>
      </c>
      <c r="C297" s="27" t="s">
        <v>483</v>
      </c>
      <c r="D297" s="27" t="s">
        <v>685</v>
      </c>
      <c r="E297" s="43">
        <v>45260.0</v>
      </c>
      <c r="F297" s="39">
        <v>45270.708333333336</v>
      </c>
      <c r="G297" s="30" t="str">
        <f t="shared" si="15"/>
        <v>10 Д</v>
      </c>
      <c r="H297" s="31">
        <f t="shared" si="17"/>
        <v>1700</v>
      </c>
      <c r="I297" s="32" t="str">
        <f t="shared" si="2"/>
        <v/>
      </c>
      <c r="J297" s="33" t="str">
        <f t="shared" si="3"/>
        <v/>
      </c>
      <c r="K297" s="36">
        <f>17000-6800</f>
        <v>10200</v>
      </c>
      <c r="L297" s="33"/>
      <c r="M297" s="36">
        <v>1700.0</v>
      </c>
      <c r="N297" s="44">
        <v>22600.0</v>
      </c>
      <c r="O297" s="35">
        <f>IFERROR(__xludf.DUMMYFUNCTION("IFERROR(
  VLOOKUP(C297,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C297
    ), 
    7, FALSE
  ), 
  """"
)
"),41500.0)</f>
        <v>41500</v>
      </c>
      <c r="P297" s="35">
        <f>IFERROR(__xludf.DUMMYFUNCTION("IF(AND(Q297="""", R297=""""),
  """",
  IF(OR(ISBLANK(Q297), ISBLANK(O297)),
    """",
    IF(VALUE(SUBSTITUTE(INDEX(SPLIT(IF(ISBLANK(R297), Q297, R297), "",""), 0, 1), "" Km"", """")) - O297 = 0,
      """",
      VALUE(SUBSTITUTE(INDEX(SPLIT(IF(ISBLANK("&amp;"R297), Q297, R297), "",""), 0, 1), "" Km"", """")) - O297
    )
  )
)"),-18900.0)</f>
        <v>-18900</v>
      </c>
      <c r="Q297" s="36" t="str">
        <f t="shared" si="4"/>
        <v>22 600 Km, 30.11.2023</v>
      </c>
      <c r="R297" s="33"/>
      <c r="S297" s="40" t="s">
        <v>430</v>
      </c>
      <c r="T297" s="25">
        <v>2.0</v>
      </c>
      <c r="U297" s="25" t="s">
        <v>686</v>
      </c>
      <c r="V297" s="37"/>
      <c r="W297" s="37" t="str">
        <f t="shared" si="5"/>
        <v>Завершена</v>
      </c>
      <c r="X297" s="25" t="str">
        <f>IFERROR(__xludf.DUMMYFUNCTION("IF(C297 = """", """", IF(REGEXMATCH(C297, ""PCX|NMAX|ADV|CLICK""), ""скутер"", ""мото""))"),"мото")</f>
        <v>мото</v>
      </c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</row>
    <row r="298" hidden="1">
      <c r="A298" s="13" t="s">
        <v>24</v>
      </c>
      <c r="B298" s="13" t="s">
        <v>25</v>
      </c>
      <c r="C298" s="14" t="s">
        <v>461</v>
      </c>
      <c r="D298" s="14" t="s">
        <v>646</v>
      </c>
      <c r="E298" s="48">
        <v>45260.0</v>
      </c>
      <c r="F298" s="72">
        <v>45310.5</v>
      </c>
      <c r="G298" s="17" t="str">
        <f t="shared" si="15"/>
        <v>1 М</v>
      </c>
      <c r="H298" s="18">
        <f t="shared" si="17"/>
        <v>600</v>
      </c>
      <c r="I298" s="19" t="str">
        <f t="shared" si="2"/>
        <v/>
      </c>
      <c r="J298" s="20" t="str">
        <f t="shared" si="3"/>
        <v/>
      </c>
      <c r="K298" s="23">
        <f>18000+600*8</f>
        <v>22800</v>
      </c>
      <c r="L298" s="23">
        <v>18000.0</v>
      </c>
      <c r="M298" s="20"/>
      <c r="N298" s="49">
        <v>25200.0</v>
      </c>
      <c r="O298" s="22">
        <f>IFERROR(__xludf.DUMMYFUNCTION("IFERROR(
  VLOOKUP(C298,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C298
    ), 
    7, FALSE
  ), 
  """"
)
"),30500.0)</f>
        <v>30500</v>
      </c>
      <c r="P298" s="22">
        <f>IFERROR(__xludf.DUMMYFUNCTION("IF(AND(Q298="""", R298=""""),
  """",
  IF(OR(ISBLANK(Q298), ISBLANK(O298)),
    """",
    IF(VALUE(SUBSTITUTE(INDEX(SPLIT(IF(ISBLANK(R298), Q298, R298), "",""), 0, 1), "" Km"", """")) - O298 = 0,
      """",
      VALUE(SUBSTITUTE(INDEX(SPLIT(IF(ISBLANK("&amp;"R298), Q298, R298), "",""), 0, 1), "" Km"", """")) - O298
    )
  )
)"),-5300.0)</f>
        <v>-5300</v>
      </c>
      <c r="Q298" s="23" t="str">
        <f t="shared" si="4"/>
        <v>25 200 Km, 30.11.2023</v>
      </c>
      <c r="R298" s="20"/>
      <c r="S298" s="41" t="s">
        <v>687</v>
      </c>
      <c r="T298" s="13">
        <v>1.0</v>
      </c>
      <c r="U298" s="13" t="s">
        <v>516</v>
      </c>
      <c r="V298" s="13" t="s">
        <v>688</v>
      </c>
      <c r="W298" s="24" t="str">
        <f t="shared" si="5"/>
        <v>#VALUE!</v>
      </c>
      <c r="X298" s="13" t="str">
        <f>IFERROR(__xludf.DUMMYFUNCTION("IF(C298 = """", """", IF(REGEXMATCH(C298, ""PCX|NMAX|ADV|CLICK""), ""скутер"", ""мото""))"),"мото")</f>
        <v>мото</v>
      </c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</row>
    <row r="299" hidden="1">
      <c r="A299" s="25" t="s">
        <v>24</v>
      </c>
      <c r="B299" s="25" t="s">
        <v>25</v>
      </c>
      <c r="C299" s="27" t="s">
        <v>92</v>
      </c>
      <c r="D299" s="27" t="s">
        <v>689</v>
      </c>
      <c r="E299" s="43">
        <v>45261.0</v>
      </c>
      <c r="F299" s="39">
        <v>45268.916666666664</v>
      </c>
      <c r="G299" s="30" t="str">
        <f t="shared" si="15"/>
        <v>7 Д</v>
      </c>
      <c r="H299" s="31">
        <f t="shared" si="17"/>
        <v>750</v>
      </c>
      <c r="I299" s="32" t="str">
        <f t="shared" si="2"/>
        <v/>
      </c>
      <c r="J299" s="33" t="str">
        <f t="shared" si="3"/>
        <v/>
      </c>
      <c r="K299" s="36">
        <v>5250.0</v>
      </c>
      <c r="L299" s="33"/>
      <c r="M299" s="36">
        <v>750.0</v>
      </c>
      <c r="N299" s="44">
        <v>23000.0</v>
      </c>
      <c r="O299" s="35">
        <f>IFERROR(__xludf.DUMMYFUNCTION("IFERROR(
  VLOOKUP(C299,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C299
    ), 
    7, FALSE
  ), 
  """"
)
"),23500.0)</f>
        <v>23500</v>
      </c>
      <c r="P299" s="35">
        <f>IFERROR(__xludf.DUMMYFUNCTION("IF(AND(Q299="""", R299=""""),
  """",
  IF(OR(ISBLANK(Q299), ISBLANK(O299)),
    """",
    IF(VALUE(SUBSTITUTE(INDEX(SPLIT(IF(ISBLANK(R299), Q299, R299), "",""), 0, 1), "" Km"", """")) - O299 = 0,
      """",
      VALUE(SUBSTITUTE(INDEX(SPLIT(IF(ISBLANK("&amp;"R299), Q299, R299), "",""), 0, 1), "" Km"", """")) - O299
    )
  )
)"),-500.0)</f>
        <v>-500</v>
      </c>
      <c r="Q299" s="36" t="str">
        <f t="shared" si="4"/>
        <v>23 000 Km, 01.12.2023</v>
      </c>
      <c r="R299" s="33"/>
      <c r="S299" s="40">
        <v>13500.0</v>
      </c>
      <c r="T299" s="25">
        <v>2.0</v>
      </c>
      <c r="U299" s="25" t="s">
        <v>516</v>
      </c>
      <c r="V299" s="37"/>
      <c r="W299" s="37" t="str">
        <f t="shared" si="5"/>
        <v>Завершена</v>
      </c>
      <c r="X299" s="25" t="str">
        <f>IFERROR(__xludf.DUMMYFUNCTION("IF(C299 = """", """", IF(REGEXMATCH(C299, ""PCX|NMAX|ADV|CLICK""), ""скутер"", ""мото""))"),"мото")</f>
        <v>мото</v>
      </c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</row>
    <row r="300" hidden="1">
      <c r="A300" s="13" t="s">
        <v>24</v>
      </c>
      <c r="B300" s="13" t="s">
        <v>25</v>
      </c>
      <c r="C300" s="14" t="s">
        <v>56</v>
      </c>
      <c r="D300" s="14" t="s">
        <v>690</v>
      </c>
      <c r="E300" s="48">
        <v>45261.0</v>
      </c>
      <c r="F300" s="38">
        <v>45268.916666666664</v>
      </c>
      <c r="G300" s="17" t="str">
        <f t="shared" si="15"/>
        <v>7 Д</v>
      </c>
      <c r="H300" s="18">
        <f t="shared" si="17"/>
        <v>500</v>
      </c>
      <c r="I300" s="19" t="str">
        <f t="shared" si="2"/>
        <v/>
      </c>
      <c r="J300" s="20" t="str">
        <f t="shared" si="3"/>
        <v/>
      </c>
      <c r="K300" s="23">
        <v>3500.0</v>
      </c>
      <c r="L300" s="20"/>
      <c r="M300" s="23">
        <v>500.0</v>
      </c>
      <c r="N300" s="49">
        <v>19800.0</v>
      </c>
      <c r="O300" s="22">
        <f>IFERROR(__xludf.DUMMYFUNCTION("IFERROR(
  VLOOKUP(C300,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C300
    ), 
    7, FALSE
  ), 
  """"
)
"),36400.0)</f>
        <v>36400</v>
      </c>
      <c r="P300" s="22">
        <f>IFERROR(__xludf.DUMMYFUNCTION("IF(AND(Q300="""", R300=""""),
  """",
  IF(OR(ISBLANK(Q300), ISBLANK(O300)),
    """",
    IF(VALUE(SUBSTITUTE(INDEX(SPLIT(IF(ISBLANK(R300), Q300, R300), "",""), 0, 1), "" Km"", """")) - O300 = 0,
      """",
      VALUE(SUBSTITUTE(INDEX(SPLIT(IF(ISBLANK("&amp;"R300), Q300, R300), "",""), 0, 1), "" Km"", """")) - O300
    )
  )
)"),-16600.0)</f>
        <v>-16600</v>
      </c>
      <c r="Q300" s="23" t="str">
        <f t="shared" si="4"/>
        <v>19 800 Km, 01.12.2023</v>
      </c>
      <c r="R300" s="20"/>
      <c r="S300" s="41">
        <v>8000.0</v>
      </c>
      <c r="T300" s="13">
        <v>2.0</v>
      </c>
      <c r="U300" s="13" t="s">
        <v>516</v>
      </c>
      <c r="V300" s="24"/>
      <c r="W300" s="24" t="str">
        <f t="shared" si="5"/>
        <v>Завершена</v>
      </c>
      <c r="X300" s="13" t="str">
        <f>IFERROR(__xludf.DUMMYFUNCTION("IF(C300 = """", """", IF(REGEXMATCH(C300, ""PCX|NMAX|ADV|CLICK""), ""скутер"", ""мото""))"),"скутер")</f>
        <v>скутер</v>
      </c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</row>
    <row r="301" hidden="1">
      <c r="A301" s="25" t="s">
        <v>24</v>
      </c>
      <c r="B301" s="25" t="s">
        <v>25</v>
      </c>
      <c r="C301" s="27" t="s">
        <v>155</v>
      </c>
      <c r="D301" s="27" t="s">
        <v>691</v>
      </c>
      <c r="E301" s="43">
        <v>45261.0</v>
      </c>
      <c r="F301" s="39">
        <v>45268.916666666664</v>
      </c>
      <c r="G301" s="30" t="str">
        <f t="shared" si="15"/>
        <v>7 Д</v>
      </c>
      <c r="H301" s="31">
        <f t="shared" si="17"/>
        <v>750</v>
      </c>
      <c r="I301" s="32" t="str">
        <f t="shared" si="2"/>
        <v/>
      </c>
      <c r="J301" s="33" t="str">
        <f t="shared" si="3"/>
        <v/>
      </c>
      <c r="K301" s="36">
        <v>5250.0</v>
      </c>
      <c r="L301" s="33"/>
      <c r="M301" s="36">
        <v>750.0</v>
      </c>
      <c r="N301" s="44">
        <v>28000.0</v>
      </c>
      <c r="O301" s="35" t="str">
        <f>IFERROR(__xludf.DUMMYFUNCTION("IFERROR(
  VLOOKUP(C301,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C301
    ), 
    7, FALSE
  ), 
  """"
)
"),"")</f>
        <v/>
      </c>
      <c r="P301" s="35">
        <f>IFERROR(__xludf.DUMMYFUNCTION("IF(AND(Q301="""", R301=""""),
  """",
  IF(OR(ISBLANK(Q301), ISBLANK(O301)),
    """",
    IF(VALUE(SUBSTITUTE(INDEX(SPLIT(IF(ISBLANK(R301), Q301, R301), "",""), 0, 1), "" Km"", """")) - O301 = 0,
      """",
      VALUE(SUBSTITUTE(INDEX(SPLIT(IF(ISBLANK("&amp;"R301), Q301, R301), "",""), 0, 1), "" Km"", """")) - O301
    )
  )
)"),28000.0)</f>
        <v>28000</v>
      </c>
      <c r="Q301" s="36" t="str">
        <f t="shared" si="4"/>
        <v>28 000 Km, 01.12.2023</v>
      </c>
      <c r="R301" s="33"/>
      <c r="S301" s="40">
        <v>13500.0</v>
      </c>
      <c r="T301" s="25">
        <v>2.0</v>
      </c>
      <c r="U301" s="25" t="s">
        <v>516</v>
      </c>
      <c r="V301" s="37"/>
      <c r="W301" s="37" t="str">
        <f t="shared" si="5"/>
        <v>Завершена</v>
      </c>
      <c r="X301" s="25" t="str">
        <f>IFERROR(__xludf.DUMMYFUNCTION("IF(C301 = """", """", IF(REGEXMATCH(C301, ""PCX|NMAX|ADV|CLICK""), ""скутер"", ""мото""))"),"мото")</f>
        <v>мото</v>
      </c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</row>
    <row r="302" hidden="1">
      <c r="A302" s="13" t="s">
        <v>24</v>
      </c>
      <c r="B302" s="13" t="s">
        <v>25</v>
      </c>
      <c r="C302" s="14" t="s">
        <v>185</v>
      </c>
      <c r="D302" s="14" t="s">
        <v>692</v>
      </c>
      <c r="E302" s="48">
        <v>45261.0</v>
      </c>
      <c r="F302" s="38">
        <v>45271.583333333336</v>
      </c>
      <c r="G302" s="17" t="str">
        <f t="shared" si="15"/>
        <v>10 Д</v>
      </c>
      <c r="H302" s="18">
        <f t="shared" si="17"/>
        <v>390</v>
      </c>
      <c r="I302" s="19" t="str">
        <f t="shared" si="2"/>
        <v/>
      </c>
      <c r="J302" s="20" t="str">
        <f t="shared" si="3"/>
        <v/>
      </c>
      <c r="K302" s="23">
        <v>3900.0</v>
      </c>
      <c r="L302" s="20"/>
      <c r="M302" s="23">
        <v>390.0</v>
      </c>
      <c r="N302" s="49">
        <v>25700.0</v>
      </c>
      <c r="O302" s="22" t="str">
        <f>IFERROR(__xludf.DUMMYFUNCTION("IFERROR(
  VLOOKUP(C302,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C302
    ), 
    7, FALSE
  ), 
  """"
)
"),"")</f>
        <v/>
      </c>
      <c r="P302" s="22">
        <f>IFERROR(__xludf.DUMMYFUNCTION("IF(AND(Q302="""", R302=""""),
  """",
  IF(OR(ISBLANK(Q302), ISBLANK(O302)),
    """",
    IF(VALUE(SUBSTITUTE(INDEX(SPLIT(IF(ISBLANK(R302), Q302, R302), "",""), 0, 1), "" Km"", """")) - O302 = 0,
      """",
      VALUE(SUBSTITUTE(INDEX(SPLIT(IF(ISBLANK("&amp;"R302), Q302, R302), "",""), 0, 1), "" Km"", """")) - O302
    )
  )
)"),25700.0)</f>
        <v>25700</v>
      </c>
      <c r="Q302" s="23" t="str">
        <f t="shared" si="4"/>
        <v>25 700 Km, 01.12.2023</v>
      </c>
      <c r="R302" s="20"/>
      <c r="S302" s="41" t="s">
        <v>693</v>
      </c>
      <c r="T302" s="13">
        <v>2.0</v>
      </c>
      <c r="U302" s="13" t="s">
        <v>694</v>
      </c>
      <c r="V302" s="24"/>
      <c r="W302" s="24" t="str">
        <f t="shared" si="5"/>
        <v>Завершена</v>
      </c>
      <c r="X302" s="13" t="str">
        <f>IFERROR(__xludf.DUMMYFUNCTION("IF(C302 = """", """", IF(REGEXMATCH(C302, ""PCX|NMAX|ADV|CLICK""), ""скутер"", ""мото""))"),"скутер")</f>
        <v>скутер</v>
      </c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</row>
    <row r="303" hidden="1">
      <c r="A303" s="25" t="s">
        <v>24</v>
      </c>
      <c r="B303" s="25" t="s">
        <v>25</v>
      </c>
      <c r="C303" s="27" t="s">
        <v>423</v>
      </c>
      <c r="D303" s="27" t="s">
        <v>650</v>
      </c>
      <c r="E303" s="43">
        <v>45262.0</v>
      </c>
      <c r="F303" s="39">
        <v>45265.583333333336</v>
      </c>
      <c r="G303" s="30" t="str">
        <f t="shared" si="15"/>
        <v>3 Д</v>
      </c>
      <c r="H303" s="31">
        <f t="shared" si="17"/>
        <v>1090</v>
      </c>
      <c r="I303" s="32" t="str">
        <f t="shared" si="2"/>
        <v/>
      </c>
      <c r="J303" s="33" t="str">
        <f t="shared" si="3"/>
        <v/>
      </c>
      <c r="K303" s="36">
        <v>3270.0</v>
      </c>
      <c r="L303" s="33"/>
      <c r="M303" s="36">
        <v>1090.0</v>
      </c>
      <c r="N303" s="44">
        <v>12030.0</v>
      </c>
      <c r="O303" s="35" t="str">
        <f>IFERROR(__xludf.DUMMYFUNCTION("IFERROR(
  VLOOKUP(C303,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C303
    ), 
    7, FALSE
  ), 
  """"
)
"),"")</f>
        <v/>
      </c>
      <c r="P303" s="35">
        <f>IFERROR(__xludf.DUMMYFUNCTION("IF(AND(Q303="""", R303=""""),
  """",
  IF(OR(ISBLANK(Q303), ISBLANK(O303)),
    """",
    IF(VALUE(SUBSTITUTE(INDEX(SPLIT(IF(ISBLANK(R303), Q303, R303), "",""), 0, 1), "" Km"", """")) - O303 = 0,
      """",
      VALUE(SUBSTITUTE(INDEX(SPLIT(IF(ISBLANK("&amp;"R303), Q303, R303), "",""), 0, 1), "" Km"", """")) - O303
    )
  )
)"),12030.0)</f>
        <v>12030</v>
      </c>
      <c r="Q303" s="36" t="str">
        <f t="shared" si="4"/>
        <v>12 030 Km, 02.12.2023</v>
      </c>
      <c r="R303" s="33"/>
      <c r="S303" s="40" t="s">
        <v>695</v>
      </c>
      <c r="T303" s="25">
        <v>1.0</v>
      </c>
      <c r="U303" s="25" t="s">
        <v>516</v>
      </c>
      <c r="V303" s="37"/>
      <c r="W303" s="37" t="str">
        <f t="shared" si="5"/>
        <v>Завершена</v>
      </c>
      <c r="X303" s="25" t="str">
        <f>IFERROR(__xludf.DUMMYFUNCTION("IF(C303 = """", """", IF(REGEXMATCH(C303, ""PCX|NMAX|ADV|CLICK""), ""скутер"", ""мото""))"),"мото")</f>
        <v>мото</v>
      </c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</row>
    <row r="304" hidden="1">
      <c r="A304" s="13" t="s">
        <v>24</v>
      </c>
      <c r="B304" s="14" t="s">
        <v>25</v>
      </c>
      <c r="C304" s="62" t="s">
        <v>438</v>
      </c>
      <c r="D304" s="14" t="s">
        <v>505</v>
      </c>
      <c r="E304" s="48">
        <v>45262.0</v>
      </c>
      <c r="F304" s="38">
        <v>45353.666666666664</v>
      </c>
      <c r="G304" s="17" t="str">
        <f t="shared" si="15"/>
        <v>3 М</v>
      </c>
      <c r="H304" s="18">
        <f t="shared" si="17"/>
        <v>600</v>
      </c>
      <c r="I304" s="19" t="str">
        <f t="shared" si="2"/>
        <v/>
      </c>
      <c r="J304" s="20" t="str">
        <f t="shared" si="3"/>
        <v/>
      </c>
      <c r="K304" s="23">
        <f>18000+18000+18000</f>
        <v>54000</v>
      </c>
      <c r="L304" s="23">
        <v>18000.0</v>
      </c>
      <c r="M304" s="64"/>
      <c r="N304" s="21">
        <v>15500.0</v>
      </c>
      <c r="O304" s="22">
        <f>IFERROR(__xludf.DUMMYFUNCTION("IFERROR(
  VLOOKUP(C304,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C304
    ), 
    7, FALSE
  ), 
  """"
)
"),37823.0)</f>
        <v>37823</v>
      </c>
      <c r="P304" s="22">
        <f>IFERROR(__xludf.DUMMYFUNCTION("IF(AND(Q304="""", R304=""""),
  """",
  IF(OR(ISBLANK(Q304), ISBLANK(O304)),
    """",
    IF(VALUE(SUBSTITUTE(INDEX(SPLIT(IF(ISBLANK(R304), Q304, R304), "",""), 0, 1), "" Km"", """")) - O304 = 0,
      """",
      VALUE(SUBSTITUTE(INDEX(SPLIT(IF(ISBLANK("&amp;"R304), Q304, R304), "",""), 0, 1), "" Km"", """")) - O304
    )
  )
)"),-18823.0)</f>
        <v>-18823</v>
      </c>
      <c r="Q304" s="20" t="str">
        <f t="shared" si="4"/>
        <v>19000 Km, 03.03.2024</v>
      </c>
      <c r="R304" s="53" t="s">
        <v>696</v>
      </c>
      <c r="S304" s="18">
        <v>20000.0</v>
      </c>
      <c r="T304" s="24">
        <v>0.0</v>
      </c>
      <c r="U304" s="24" t="s">
        <v>576</v>
      </c>
      <c r="V304" s="73"/>
      <c r="W304" s="24" t="str">
        <f t="shared" si="5"/>
        <v>Завершена</v>
      </c>
      <c r="X304" s="42" t="str">
        <f>IFERROR(__xludf.DUMMYFUNCTION("IF(C304 = """", """", IF(REGEXMATCH(C304, ""PCX|NMAX|ADV|CLICK""), ""скутер"", ""мото""))"),"мото")</f>
        <v>мото</v>
      </c>
      <c r="Y304" s="13"/>
      <c r="Z304" s="13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</row>
    <row r="305" hidden="1">
      <c r="A305" s="25" t="s">
        <v>24</v>
      </c>
      <c r="B305" s="25" t="s">
        <v>25</v>
      </c>
      <c r="C305" s="27" t="s">
        <v>64</v>
      </c>
      <c r="D305" s="27" t="s">
        <v>697</v>
      </c>
      <c r="E305" s="43">
        <v>45263.0</v>
      </c>
      <c r="F305" s="39">
        <v>45267.958333333336</v>
      </c>
      <c r="G305" s="30" t="str">
        <f t="shared" si="15"/>
        <v>4 Д</v>
      </c>
      <c r="H305" s="31">
        <f t="shared" si="17"/>
        <v>790</v>
      </c>
      <c r="I305" s="32" t="str">
        <f t="shared" si="2"/>
        <v/>
      </c>
      <c r="J305" s="33" t="str">
        <f t="shared" si="3"/>
        <v/>
      </c>
      <c r="K305" s="36">
        <v>3160.0</v>
      </c>
      <c r="L305" s="33"/>
      <c r="M305" s="36">
        <v>790.0</v>
      </c>
      <c r="N305" s="44">
        <v>17800.0</v>
      </c>
      <c r="O305" s="35">
        <f>IFERROR(__xludf.DUMMYFUNCTION("IFERROR(
  VLOOKUP(C305,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C305
    ), 
    7, FALSE
  ), 
  """"
)
"),32600.0)</f>
        <v>32600</v>
      </c>
      <c r="P305" s="35">
        <f>IFERROR(__xludf.DUMMYFUNCTION("IF(AND(Q305="""", R305=""""),
  """",
  IF(OR(ISBLANK(Q305), ISBLANK(O305)),
    """",
    IF(VALUE(SUBSTITUTE(INDEX(SPLIT(IF(ISBLANK(R305), Q305, R305), "",""), 0, 1), "" Km"", """")) - O305 = 0,
      """",
      VALUE(SUBSTITUTE(INDEX(SPLIT(IF(ISBLANK("&amp;"R305), Q305, R305), "",""), 0, 1), "" Km"", """")) - O305
    )
  )
)"),-14800.0)</f>
        <v>-14800</v>
      </c>
      <c r="Q305" s="36" t="str">
        <f t="shared" si="4"/>
        <v>17 800 Km, 03.12.2023</v>
      </c>
      <c r="R305" s="33"/>
      <c r="S305" s="40">
        <v>5000.0</v>
      </c>
      <c r="T305" s="25">
        <v>2.0</v>
      </c>
      <c r="U305" s="25" t="s">
        <v>698</v>
      </c>
      <c r="V305" s="25" t="s">
        <v>699</v>
      </c>
      <c r="W305" s="37" t="str">
        <f t="shared" si="5"/>
        <v>Завершена</v>
      </c>
      <c r="X305" s="25" t="str">
        <f>IFERROR(__xludf.DUMMYFUNCTION("IF(C305 = """", """", IF(REGEXMATCH(C305, ""PCX|NMAX|ADV|CLICK""), ""скутер"", ""мото""))"),"мото")</f>
        <v>мото</v>
      </c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</row>
    <row r="306" hidden="1">
      <c r="A306" s="13" t="s">
        <v>24</v>
      </c>
      <c r="B306" s="13" t="s">
        <v>25</v>
      </c>
      <c r="C306" s="14" t="s">
        <v>198</v>
      </c>
      <c r="D306" s="14" t="s">
        <v>700</v>
      </c>
      <c r="E306" s="48">
        <v>45263.0</v>
      </c>
      <c r="F306" s="38">
        <v>45270.833333333336</v>
      </c>
      <c r="G306" s="17" t="str">
        <f t="shared" si="15"/>
        <v>7 Д</v>
      </c>
      <c r="H306" s="18">
        <f t="shared" si="17"/>
        <v>590</v>
      </c>
      <c r="I306" s="19" t="str">
        <f t="shared" si="2"/>
        <v/>
      </c>
      <c r="J306" s="20" t="str">
        <f t="shared" si="3"/>
        <v/>
      </c>
      <c r="K306" s="23">
        <f>590*7</f>
        <v>4130</v>
      </c>
      <c r="L306" s="20"/>
      <c r="M306" s="23">
        <v>590.0</v>
      </c>
      <c r="N306" s="49">
        <v>15600.0</v>
      </c>
      <c r="O306" s="22" t="str">
        <f>IFERROR(__xludf.DUMMYFUNCTION("IFERROR(
  VLOOKUP(C306,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C306
    ), 
    7, FALSE
  ), 
  """"
)
"),"")</f>
        <v/>
      </c>
      <c r="P306" s="22">
        <f>IFERROR(__xludf.DUMMYFUNCTION("IF(AND(Q306="""", R306=""""),
  """",
  IF(OR(ISBLANK(Q306), ISBLANK(O306)),
    """",
    IF(VALUE(SUBSTITUTE(INDEX(SPLIT(IF(ISBLANK(R306), Q306, R306), "",""), 0, 1), "" Km"", """")) - O306 = 0,
      """",
      VALUE(SUBSTITUTE(INDEX(SPLIT(IF(ISBLANK("&amp;"R306), Q306, R306), "",""), 0, 1), "" Km"", """")) - O306
    )
  )
)"),15600.0)</f>
        <v>15600</v>
      </c>
      <c r="Q306" s="23" t="str">
        <f t="shared" si="4"/>
        <v>15 600 Km, 03.12.2023</v>
      </c>
      <c r="R306" s="20"/>
      <c r="S306" s="41" t="s">
        <v>701</v>
      </c>
      <c r="T306" s="13">
        <v>3.0</v>
      </c>
      <c r="U306" s="13" t="s">
        <v>702</v>
      </c>
      <c r="V306" s="24"/>
      <c r="W306" s="24" t="str">
        <f t="shared" si="5"/>
        <v>Завершена</v>
      </c>
      <c r="X306" s="13" t="str">
        <f>IFERROR(__xludf.DUMMYFUNCTION("IF(C306 = """", """", IF(REGEXMATCH(C306, ""PCX|NMAX|ADV|CLICK""), ""скутер"", ""мото""))"),"мото")</f>
        <v>мото</v>
      </c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</row>
    <row r="307" hidden="1">
      <c r="A307" s="25" t="s">
        <v>24</v>
      </c>
      <c r="B307" s="25" t="s">
        <v>25</v>
      </c>
      <c r="C307" s="27" t="s">
        <v>26</v>
      </c>
      <c r="D307" s="27" t="s">
        <v>703</v>
      </c>
      <c r="E307" s="43">
        <v>45264.0</v>
      </c>
      <c r="F307" s="39">
        <v>45270.958333333336</v>
      </c>
      <c r="G307" s="30" t="str">
        <f t="shared" si="15"/>
        <v>6 Д</v>
      </c>
      <c r="H307" s="31">
        <f t="shared" si="17"/>
        <v>280</v>
      </c>
      <c r="I307" s="32" t="str">
        <f t="shared" si="2"/>
        <v/>
      </c>
      <c r="J307" s="33" t="str">
        <f t="shared" si="3"/>
        <v/>
      </c>
      <c r="K307" s="36">
        <v>1700.0</v>
      </c>
      <c r="L307" s="33"/>
      <c r="M307" s="36">
        <v>280.0</v>
      </c>
      <c r="N307" s="44">
        <v>22500.0</v>
      </c>
      <c r="O307" s="35" t="str">
        <f>IFERROR(__xludf.DUMMYFUNCTION("IFERROR(
  VLOOKUP(C307,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C307
    ), 
    7, FALSE
  ), 
  """"
)
"),"")</f>
        <v/>
      </c>
      <c r="P307" s="35">
        <f>IFERROR(__xludf.DUMMYFUNCTION("IF(AND(Q307="""", R307=""""),
  """",
  IF(OR(ISBLANK(Q307), ISBLANK(O307)),
    """",
    IF(VALUE(SUBSTITUTE(INDEX(SPLIT(IF(ISBLANK(R307), Q307, R307), "",""), 0, 1), "" Km"", """")) - O307 = 0,
      """",
      VALUE(SUBSTITUTE(INDEX(SPLIT(IF(ISBLANK("&amp;"R307), Q307, R307), "",""), 0, 1), "" Km"", """")) - O307
    )
  )
)"),22500.0)</f>
        <v>22500</v>
      </c>
      <c r="Q307" s="36" t="str">
        <f t="shared" si="4"/>
        <v>22 500 Km, 04.12.2023</v>
      </c>
      <c r="R307" s="33"/>
      <c r="S307" s="40" t="s">
        <v>704</v>
      </c>
      <c r="T307" s="25">
        <v>2.0</v>
      </c>
      <c r="U307" s="25" t="s">
        <v>705</v>
      </c>
      <c r="V307" s="37"/>
      <c r="W307" s="37" t="str">
        <f t="shared" si="5"/>
        <v>Завершена</v>
      </c>
      <c r="X307" s="25" t="str">
        <f>IFERROR(__xludf.DUMMYFUNCTION("IF(C307 = """", """", IF(REGEXMATCH(C307, ""PCX|NMAX|ADV|CLICK""), ""скутер"", ""мото""))"),"скутер")</f>
        <v>скутер</v>
      </c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</row>
    <row r="308" hidden="1">
      <c r="A308" s="13" t="s">
        <v>24</v>
      </c>
      <c r="B308" s="13" t="s">
        <v>25</v>
      </c>
      <c r="C308" s="14" t="s">
        <v>202</v>
      </c>
      <c r="D308" s="14" t="s">
        <v>706</v>
      </c>
      <c r="E308" s="48">
        <v>45265.0</v>
      </c>
      <c r="F308" s="38">
        <v>45289.583333333336</v>
      </c>
      <c r="G308" s="17" t="str">
        <f t="shared" si="15"/>
        <v>24 Д</v>
      </c>
      <c r="H308" s="18">
        <f t="shared" si="17"/>
        <v>350</v>
      </c>
      <c r="I308" s="19" t="str">
        <f t="shared" si="2"/>
        <v/>
      </c>
      <c r="J308" s="20" t="str">
        <f t="shared" si="3"/>
        <v/>
      </c>
      <c r="K308" s="23">
        <f>350*3</f>
        <v>1050</v>
      </c>
      <c r="L308" s="20"/>
      <c r="M308" s="23">
        <v>350.0</v>
      </c>
      <c r="N308" s="49">
        <v>18860.0</v>
      </c>
      <c r="O308" s="22">
        <f>IFERROR(__xludf.DUMMYFUNCTION("IFERROR(
  VLOOKUP(C308,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C308
    ), 
    7, FALSE
  ), 
  """"
)
"),30225.0)</f>
        <v>30225</v>
      </c>
      <c r="P308" s="22">
        <f>IFERROR(__xludf.DUMMYFUNCTION("IF(AND(Q308="""", R308=""""),
  """",
  IF(OR(ISBLANK(Q308), ISBLANK(O308)),
    """",
    IF(VALUE(SUBSTITUTE(INDEX(SPLIT(IF(ISBLANK(R308), Q308, R308), "",""), 0, 1), "" Km"", """")) - O308 = 0,
      """",
      VALUE(SUBSTITUTE(INDEX(SPLIT(IF(ISBLANK("&amp;"R308), Q308, R308), "",""), 0, 1), "" Km"", """")) - O308
    )
  )
)"),-11365.0)</f>
        <v>-11365</v>
      </c>
      <c r="Q308" s="23" t="str">
        <f t="shared" si="4"/>
        <v>18 860 Km, 05.12.2023</v>
      </c>
      <c r="R308" s="20"/>
      <c r="S308" s="41">
        <v>5000.0</v>
      </c>
      <c r="T308" s="13">
        <v>2.0</v>
      </c>
      <c r="U308" s="13" t="s">
        <v>707</v>
      </c>
      <c r="V308" s="24"/>
      <c r="W308" s="24" t="str">
        <f t="shared" si="5"/>
        <v>Завершена</v>
      </c>
      <c r="X308" s="13" t="str">
        <f>IFERROR(__xludf.DUMMYFUNCTION("IF(C308 = """", """", IF(REGEXMATCH(C308, ""PCX|NMAX|ADV|CLICK""), ""скутер"", ""мото""))"),"мото")</f>
        <v>мото</v>
      </c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</row>
    <row r="309" hidden="1">
      <c r="A309" s="25" t="s">
        <v>24</v>
      </c>
      <c r="B309" s="25" t="s">
        <v>25</v>
      </c>
      <c r="C309" s="27" t="s">
        <v>98</v>
      </c>
      <c r="D309" s="27" t="s">
        <v>708</v>
      </c>
      <c r="E309" s="43">
        <v>45266.0</v>
      </c>
      <c r="F309" s="39">
        <v>45270.666666666664</v>
      </c>
      <c r="G309" s="30" t="str">
        <f t="shared" si="15"/>
        <v>4 Д</v>
      </c>
      <c r="H309" s="31">
        <f t="shared" si="17"/>
        <v>390</v>
      </c>
      <c r="I309" s="32" t="str">
        <f t="shared" si="2"/>
        <v/>
      </c>
      <c r="J309" s="33" t="str">
        <f t="shared" si="3"/>
        <v/>
      </c>
      <c r="K309" s="36">
        <v>1560.0</v>
      </c>
      <c r="L309" s="33"/>
      <c r="M309" s="36">
        <v>390.0</v>
      </c>
      <c r="N309" s="44">
        <v>17700.0</v>
      </c>
      <c r="O309" s="35">
        <f>IFERROR(__xludf.DUMMYFUNCTION("IFERROR(
  VLOOKUP(C309,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C309
    ), 
    7, FALSE
  ), 
  """"
)
"),32200.0)</f>
        <v>32200</v>
      </c>
      <c r="P309" s="35">
        <f>IFERROR(__xludf.DUMMYFUNCTION("IF(AND(Q309="""", R309=""""),
  """",
  IF(OR(ISBLANK(Q309), ISBLANK(O309)),
    """",
    IF(VALUE(SUBSTITUTE(INDEX(SPLIT(IF(ISBLANK(R309), Q309, R309), "",""), 0, 1), "" Km"", """")) - O309 = 0,
      """",
      VALUE(SUBSTITUTE(INDEX(SPLIT(IF(ISBLANK("&amp;"R309), Q309, R309), "",""), 0, 1), "" Km"", """")) - O309
    )
  )
)"),-14500.0)</f>
        <v>-14500</v>
      </c>
      <c r="Q309" s="36" t="str">
        <f t="shared" si="4"/>
        <v>17 700 Km, 06.12.2023</v>
      </c>
      <c r="R309" s="33"/>
      <c r="S309" s="40">
        <v>3000.0</v>
      </c>
      <c r="T309" s="25">
        <v>1.0</v>
      </c>
      <c r="U309" s="25" t="s">
        <v>709</v>
      </c>
      <c r="V309" s="37"/>
      <c r="W309" s="37" t="str">
        <f t="shared" si="5"/>
        <v>Завершена</v>
      </c>
      <c r="X309" s="25" t="str">
        <f>IFERROR(__xludf.DUMMYFUNCTION("IF(C309 = """", """", IF(REGEXMATCH(C309, ""PCX|NMAX|ADV|CLICK""), ""скутер"", ""мото""))"),"скутер")</f>
        <v>скутер</v>
      </c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</row>
    <row r="310" hidden="1">
      <c r="A310" s="13" t="s">
        <v>24</v>
      </c>
      <c r="B310" s="13" t="s">
        <v>25</v>
      </c>
      <c r="C310" s="14" t="s">
        <v>73</v>
      </c>
      <c r="D310" s="14" t="s">
        <v>708</v>
      </c>
      <c r="E310" s="48">
        <v>45266.0</v>
      </c>
      <c r="F310" s="38">
        <v>45270.666666666664</v>
      </c>
      <c r="G310" s="17" t="str">
        <f t="shared" si="15"/>
        <v>4 Д</v>
      </c>
      <c r="H310" s="18">
        <f t="shared" si="17"/>
        <v>390</v>
      </c>
      <c r="I310" s="19" t="str">
        <f t="shared" si="2"/>
        <v/>
      </c>
      <c r="J310" s="20" t="str">
        <f t="shared" si="3"/>
        <v/>
      </c>
      <c r="K310" s="23">
        <v>1560.0</v>
      </c>
      <c r="L310" s="20"/>
      <c r="M310" s="23">
        <v>390.0</v>
      </c>
      <c r="N310" s="49">
        <v>19500.0</v>
      </c>
      <c r="O310" s="22">
        <f>IFERROR(__xludf.DUMMYFUNCTION("IFERROR(
  VLOOKUP(C310,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C310
    ), 
    7, FALSE
  ), 
  """"
)
"),31000.0)</f>
        <v>31000</v>
      </c>
      <c r="P310" s="22">
        <f>IFERROR(__xludf.DUMMYFUNCTION("IF(AND(Q310="""", R310=""""),
  """",
  IF(OR(ISBLANK(Q310), ISBLANK(O310)),
    """",
    IF(VALUE(SUBSTITUTE(INDEX(SPLIT(IF(ISBLANK(R310), Q310, R310), "",""), 0, 1), "" Km"", """")) - O310 = 0,
      """",
      VALUE(SUBSTITUTE(INDEX(SPLIT(IF(ISBLANK("&amp;"R310), Q310, R310), "",""), 0, 1), "" Km"", """")) - O310
    )
  )
)"),-11500.0)</f>
        <v>-11500</v>
      </c>
      <c r="Q310" s="23" t="str">
        <f t="shared" si="4"/>
        <v>19 500 Km, 06.12.2023</v>
      </c>
      <c r="R310" s="20"/>
      <c r="S310" s="41">
        <v>3000.0</v>
      </c>
      <c r="T310" s="13">
        <v>1.0</v>
      </c>
      <c r="U310" s="13" t="s">
        <v>709</v>
      </c>
      <c r="V310" s="24"/>
      <c r="W310" s="24" t="str">
        <f t="shared" si="5"/>
        <v>Завершена</v>
      </c>
      <c r="X310" s="13" t="str">
        <f>IFERROR(__xludf.DUMMYFUNCTION("IF(C310 = """", """", IF(REGEXMATCH(C310, ""PCX|NMAX|ADV|CLICK""), ""скутер"", ""мото""))"),"скутер")</f>
        <v>скутер</v>
      </c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</row>
    <row r="311" hidden="1">
      <c r="A311" s="25" t="s">
        <v>24</v>
      </c>
      <c r="B311" s="25" t="s">
        <v>25</v>
      </c>
      <c r="C311" s="27" t="s">
        <v>102</v>
      </c>
      <c r="D311" s="27" t="s">
        <v>685</v>
      </c>
      <c r="E311" s="43">
        <v>45266.0</v>
      </c>
      <c r="F311" s="39">
        <v>45277.708333333336</v>
      </c>
      <c r="G311" s="30" t="str">
        <f t="shared" si="15"/>
        <v>11 Д</v>
      </c>
      <c r="H311" s="31">
        <f t="shared" si="17"/>
        <v>1784</v>
      </c>
      <c r="I311" s="32" t="str">
        <f t="shared" si="2"/>
        <v/>
      </c>
      <c r="J311" s="33" t="str">
        <f t="shared" si="3"/>
        <v/>
      </c>
      <c r="K311" s="36">
        <f>1700*4</f>
        <v>6800</v>
      </c>
      <c r="L311" s="33"/>
      <c r="M311" s="36">
        <v>1784.0</v>
      </c>
      <c r="N311" s="44">
        <v>35000.0</v>
      </c>
      <c r="O311" s="35">
        <f>IFERROR(__xludf.DUMMYFUNCTION("IFERROR(
  VLOOKUP(C311,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C311
    ), 
    7, FALSE
  ), 
  """"
)
"),63700.0)</f>
        <v>63700</v>
      </c>
      <c r="P311" s="35">
        <f>IFERROR(__xludf.DUMMYFUNCTION("IF(AND(Q311="""", R311=""""),
  """",
  IF(OR(ISBLANK(Q311), ISBLANK(O311)),
    """",
    IF(VALUE(SUBSTITUTE(INDEX(SPLIT(IF(ISBLANK(R311), Q311, R311), "",""), 0, 1), "" Km"", """")) - O311 = 0,
      """",
      VALUE(SUBSTITUTE(INDEX(SPLIT(IF(ISBLANK("&amp;"R311), Q311, R311), "",""), 0, 1), "" Km"", """")) - O311
    )
  )
)"),-28700.0)</f>
        <v>-28700</v>
      </c>
      <c r="Q311" s="36" t="str">
        <f t="shared" si="4"/>
        <v>35 000 Km, 06.12.2023</v>
      </c>
      <c r="R311" s="33"/>
      <c r="S311" s="40" t="s">
        <v>430</v>
      </c>
      <c r="T311" s="25">
        <v>2.0</v>
      </c>
      <c r="U311" s="25" t="s">
        <v>686</v>
      </c>
      <c r="V311" s="37"/>
      <c r="W311" s="37" t="str">
        <f t="shared" si="5"/>
        <v>Завершена</v>
      </c>
      <c r="X311" s="25" t="str">
        <f>IFERROR(__xludf.DUMMYFUNCTION("IF(C311 = """", """", IF(REGEXMATCH(C311, ""PCX|NMAX|ADV|CLICK""), ""скутер"", ""мото""))"),"мото")</f>
        <v>мото</v>
      </c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</row>
    <row r="312" hidden="1">
      <c r="A312" s="13" t="s">
        <v>24</v>
      </c>
      <c r="B312" s="13" t="s">
        <v>25</v>
      </c>
      <c r="C312" s="14" t="s">
        <v>113</v>
      </c>
      <c r="D312" s="14" t="s">
        <v>710</v>
      </c>
      <c r="E312" s="48">
        <v>45267.0</v>
      </c>
      <c r="F312" s="38">
        <v>45271.416666666664</v>
      </c>
      <c r="G312" s="17" t="str">
        <f t="shared" si="15"/>
        <v>4 Д</v>
      </c>
      <c r="H312" s="18">
        <f t="shared" si="17"/>
        <v>750</v>
      </c>
      <c r="I312" s="19" t="str">
        <f t="shared" si="2"/>
        <v/>
      </c>
      <c r="J312" s="20" t="str">
        <f t="shared" si="3"/>
        <v/>
      </c>
      <c r="K312" s="23">
        <v>3000.0</v>
      </c>
      <c r="L312" s="20"/>
      <c r="M312" s="23">
        <v>750.0</v>
      </c>
      <c r="N312" s="49">
        <v>25600.0</v>
      </c>
      <c r="O312" s="22" t="str">
        <f>IFERROR(__xludf.DUMMYFUNCTION("IFERROR(
  VLOOKUP(C312,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C312
    ), 
    7, FALSE
  ), 
  """"
)
"),"")</f>
        <v/>
      </c>
      <c r="P312" s="22">
        <f>IFERROR(__xludf.DUMMYFUNCTION("IF(AND(Q312="""", R312=""""),
  """",
  IF(OR(ISBLANK(Q312), ISBLANK(O312)),
    """",
    IF(VALUE(SUBSTITUTE(INDEX(SPLIT(IF(ISBLANK(R312), Q312, R312), "",""), 0, 1), "" Km"", """")) - O312 = 0,
      """",
      VALUE(SUBSTITUTE(INDEX(SPLIT(IF(ISBLANK("&amp;"R312), Q312, R312), "",""), 0, 1), "" Km"", """")) - O312
    )
  )
)"),25600.0)</f>
        <v>25600</v>
      </c>
      <c r="Q312" s="23" t="str">
        <f t="shared" si="4"/>
        <v>25 600 Km, 07.12.2023</v>
      </c>
      <c r="R312" s="20"/>
      <c r="S312" s="41">
        <v>13500.0</v>
      </c>
      <c r="T312" s="13">
        <v>0.0</v>
      </c>
      <c r="U312" s="13" t="s">
        <v>516</v>
      </c>
      <c r="V312" s="13" t="s">
        <v>711</v>
      </c>
      <c r="W312" s="24" t="str">
        <f t="shared" si="5"/>
        <v>Завершена</v>
      </c>
      <c r="X312" s="13" t="str">
        <f>IFERROR(__xludf.DUMMYFUNCTION("IF(C312 = """", """", IF(REGEXMATCH(C312, ""PCX|NMAX|ADV|CLICK""), ""скутер"", ""мото""))"),"мото")</f>
        <v>мото</v>
      </c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</row>
    <row r="313" hidden="1">
      <c r="A313" s="25" t="s">
        <v>24</v>
      </c>
      <c r="B313" s="27" t="s">
        <v>25</v>
      </c>
      <c r="C313" s="27" t="s">
        <v>423</v>
      </c>
      <c r="D313" s="27" t="s">
        <v>650</v>
      </c>
      <c r="E313" s="43">
        <v>45268.0</v>
      </c>
      <c r="F313" s="39">
        <v>45286.791666666664</v>
      </c>
      <c r="G313" s="30" t="str">
        <f t="shared" si="15"/>
        <v>18 Д</v>
      </c>
      <c r="H313" s="31">
        <f t="shared" si="17"/>
        <v>980</v>
      </c>
      <c r="I313" s="74" t="str">
        <f t="shared" si="2"/>
        <v/>
      </c>
      <c r="J313" s="67" t="str">
        <f t="shared" si="3"/>
        <v/>
      </c>
      <c r="K313" s="36">
        <f>9800+180*35.1+900</f>
        <v>17018</v>
      </c>
      <c r="L313" s="67"/>
      <c r="M313" s="36">
        <v>980.0</v>
      </c>
      <c r="N313" s="44">
        <v>17800.0</v>
      </c>
      <c r="O313" s="35" t="str">
        <f>IFERROR(__xludf.DUMMYFUNCTION("IFERROR(
  VLOOKUP(C313,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C313
    ), 
    7, FALSE
  ), 
  """"
)
"),"")</f>
        <v/>
      </c>
      <c r="P313" s="35">
        <f>IFERROR(__xludf.DUMMYFUNCTION("IF(AND(Q313="""", R313=""""),
  """",
  IF(OR(ISBLANK(Q313), ISBLANK(O313)),
    """",
    IF(VALUE(SUBSTITUTE(INDEX(SPLIT(IF(ISBLANK(R313), Q313, R313), "",""), 0, 1), "" Km"", """")) - O313 = 0,
      """",
      VALUE(SUBSTITUTE(INDEX(SPLIT(IF(ISBLANK("&amp;"R313), Q313, R313), "",""), 0, 1), "" Km"", """")) - O313
    )
  )
)"),17800.0)</f>
        <v>17800</v>
      </c>
      <c r="Q313" s="33" t="str">
        <f t="shared" si="4"/>
        <v>17 800 Km, 08.12.2023</v>
      </c>
      <c r="R313" s="67"/>
      <c r="S313" s="31" t="s">
        <v>695</v>
      </c>
      <c r="T313" s="37">
        <v>1.0</v>
      </c>
      <c r="U313" s="37" t="s">
        <v>516</v>
      </c>
      <c r="V313" s="75"/>
      <c r="W313" s="37" t="str">
        <f t="shared" si="5"/>
        <v>Завершена</v>
      </c>
      <c r="X313" s="46" t="str">
        <f>IFERROR(__xludf.DUMMYFUNCTION("IF(C313 = """", """", IF(REGEXMATCH(C313, ""PCX|NMAX|ADV|CLICK""), ""скутер"", ""мото""))"),"мото")</f>
        <v>мото</v>
      </c>
      <c r="Y313" s="25"/>
      <c r="Z313" s="25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</row>
    <row r="314" hidden="1">
      <c r="A314" s="13" t="s">
        <v>24</v>
      </c>
      <c r="B314" s="13" t="s">
        <v>25</v>
      </c>
      <c r="C314" s="14" t="s">
        <v>155</v>
      </c>
      <c r="D314" s="14" t="s">
        <v>706</v>
      </c>
      <c r="E314" s="48">
        <v>45268.0</v>
      </c>
      <c r="F314" s="38">
        <v>45290.583333333336</v>
      </c>
      <c r="G314" s="17" t="str">
        <f t="shared" si="15"/>
        <v>22 Д</v>
      </c>
      <c r="H314" s="18">
        <f t="shared" si="17"/>
        <v>450</v>
      </c>
      <c r="I314" s="19" t="str">
        <f t="shared" si="2"/>
        <v/>
      </c>
      <c r="J314" s="20" t="str">
        <f t="shared" si="3"/>
        <v/>
      </c>
      <c r="K314" s="23">
        <f>8400-1050+2100+450</f>
        <v>9900</v>
      </c>
      <c r="L314" s="20"/>
      <c r="M314" s="23">
        <v>450.0</v>
      </c>
      <c r="N314" s="49">
        <v>27980.0</v>
      </c>
      <c r="O314" s="22" t="str">
        <f>IFERROR(__xludf.DUMMYFUNCTION("IFERROR(
  VLOOKUP(C314,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C314
    ), 
    7, FALSE
  ), 
  """"
)
"),"")</f>
        <v/>
      </c>
      <c r="P314" s="22">
        <f>IFERROR(__xludf.DUMMYFUNCTION("IF(AND(Q314="""", R314=""""),
  """",
  IF(OR(ISBLANK(Q314), ISBLANK(O314)),
    """",
    IF(VALUE(SUBSTITUTE(INDEX(SPLIT(IF(ISBLANK(R314), Q314, R314), "",""), 0, 1), "" Km"", """")) - O314 = 0,
      """",
      VALUE(SUBSTITUTE(INDEX(SPLIT(IF(ISBLANK("&amp;"R314), Q314, R314), "",""), 0, 1), "" Km"", """")) - O314
    )
  )
)"),27980.0)</f>
        <v>27980</v>
      </c>
      <c r="Q314" s="23" t="str">
        <f t="shared" si="4"/>
        <v>27 980 Km, 08.12.2023</v>
      </c>
      <c r="R314" s="20"/>
      <c r="S314" s="41">
        <v>5000.0</v>
      </c>
      <c r="T314" s="13">
        <v>2.0</v>
      </c>
      <c r="U314" s="13" t="s">
        <v>707</v>
      </c>
      <c r="V314" s="24"/>
      <c r="W314" s="24" t="str">
        <f t="shared" si="5"/>
        <v>Завершена</v>
      </c>
      <c r="X314" s="13" t="str">
        <f>IFERROR(__xludf.DUMMYFUNCTION("IF(C314 = """", """", IF(REGEXMATCH(C314, ""PCX|NMAX|ADV|CLICK""), ""скутер"", ""мото""))"),"мото")</f>
        <v>мото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</row>
    <row r="315" hidden="1">
      <c r="A315" s="25" t="s">
        <v>24</v>
      </c>
      <c r="B315" s="25" t="s">
        <v>25</v>
      </c>
      <c r="C315" s="27" t="s">
        <v>321</v>
      </c>
      <c r="D315" s="27" t="s">
        <v>712</v>
      </c>
      <c r="E315" s="43">
        <v>45268.0</v>
      </c>
      <c r="F315" s="39">
        <v>45305.583333333336</v>
      </c>
      <c r="G315" s="30" t="str">
        <f t="shared" si="15"/>
        <v>1 М</v>
      </c>
      <c r="H315" s="31">
        <f t="shared" si="17"/>
        <v>391.5</v>
      </c>
      <c r="I315" s="32" t="str">
        <f t="shared" si="2"/>
        <v/>
      </c>
      <c r="J315" s="33" t="str">
        <f t="shared" si="3"/>
        <v/>
      </c>
      <c r="K315" s="33">
        <f>90*35.1/2+100*35/2+5000/2+4000/2+2000/2+2000/2+8000/2+1312/2</f>
        <v>14485.5</v>
      </c>
      <c r="L315" s="33"/>
      <c r="M315" s="36">
        <f>783/2</f>
        <v>391.5</v>
      </c>
      <c r="N315" s="44">
        <v>39600.0</v>
      </c>
      <c r="O315" s="35" t="str">
        <f>IFERROR(__xludf.DUMMYFUNCTION("IFERROR(
  VLOOKUP(C315,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C315
    ), 
    7, FALSE
  ), 
  """"
)
"),"")</f>
        <v/>
      </c>
      <c r="P315" s="35">
        <f>IFERROR(__xludf.DUMMYFUNCTION("IF(AND(Q315="""", R315=""""),
  """",
  IF(OR(ISBLANK(Q315), ISBLANK(O315)),
    """",
    IF(VALUE(SUBSTITUTE(INDEX(SPLIT(IF(ISBLANK(R315), Q315, R315), "",""), 0, 1), "" Km"", """")) - O315 = 0,
      """",
      VALUE(SUBSTITUTE(INDEX(SPLIT(IF(ISBLANK("&amp;"R315), Q315, R315), "",""), 0, 1), "" Km"", """")) - O315
    )
  )
)"),39600.0)</f>
        <v>39600</v>
      </c>
      <c r="Q315" s="36" t="str">
        <f t="shared" si="4"/>
        <v>39 600 Km, 08.12.2023</v>
      </c>
      <c r="R315" s="33"/>
      <c r="S315" s="40" t="s">
        <v>600</v>
      </c>
      <c r="T315" s="25">
        <v>1.0</v>
      </c>
      <c r="U315" s="25" t="s">
        <v>713</v>
      </c>
      <c r="V315" s="25" t="s">
        <v>714</v>
      </c>
      <c r="W315" s="37" t="str">
        <f t="shared" si="5"/>
        <v>Завершена</v>
      </c>
      <c r="X315" s="25" t="str">
        <f>IFERROR(__xludf.DUMMYFUNCTION("IF(C315 = """", """", IF(REGEXMATCH(C315, ""PCX|NMAX|ADV|CLICK""), ""скутер"", ""мото""))"),"мото")</f>
        <v>мото</v>
      </c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</row>
    <row r="316" hidden="1">
      <c r="A316" s="13" t="s">
        <v>24</v>
      </c>
      <c r="B316" s="13" t="s">
        <v>25</v>
      </c>
      <c r="C316" s="14" t="s">
        <v>132</v>
      </c>
      <c r="D316" s="14" t="s">
        <v>715</v>
      </c>
      <c r="E316" s="48">
        <v>45269.0</v>
      </c>
      <c r="F316" s="38">
        <v>45279.833333333336</v>
      </c>
      <c r="G316" s="17" t="str">
        <f t="shared" si="15"/>
        <v>10 Д</v>
      </c>
      <c r="H316" s="18">
        <f t="shared" si="17"/>
        <v>290</v>
      </c>
      <c r="I316" s="19" t="str">
        <f t="shared" si="2"/>
        <v/>
      </c>
      <c r="J316" s="20" t="str">
        <f t="shared" si="3"/>
        <v/>
      </c>
      <c r="K316" s="23">
        <v>2900.0</v>
      </c>
      <c r="L316" s="20"/>
      <c r="M316" s="23">
        <v>290.0</v>
      </c>
      <c r="N316" s="49">
        <v>32700.0</v>
      </c>
      <c r="O316" s="22" t="str">
        <f>IFERROR(__xludf.DUMMYFUNCTION("IFERROR(
  VLOOKUP(C316,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C316
    ), 
    7, FALSE
  ), 
  """"
)
"),"")</f>
        <v/>
      </c>
      <c r="P316" s="22">
        <f>IFERROR(__xludf.DUMMYFUNCTION("IF(AND(Q316="""", R316=""""),
  """",
  IF(OR(ISBLANK(Q316), ISBLANK(O316)),
    """",
    IF(VALUE(SUBSTITUTE(INDEX(SPLIT(IF(ISBLANK(R316), Q316, R316), "",""), 0, 1), "" Km"", """")) - O316 = 0,
      """",
      VALUE(SUBSTITUTE(INDEX(SPLIT(IF(ISBLANK("&amp;"R316), Q316, R316), "",""), 0, 1), "" Km"", """")) - O316
    )
  )
)"),32700.0)</f>
        <v>32700</v>
      </c>
      <c r="Q316" s="23" t="str">
        <f t="shared" si="4"/>
        <v>32 700 Km, 09.12.2023</v>
      </c>
      <c r="R316" s="20"/>
      <c r="S316" s="41">
        <v>3000.0</v>
      </c>
      <c r="T316" s="13">
        <v>2.0</v>
      </c>
      <c r="U316" s="66" t="s">
        <v>716</v>
      </c>
      <c r="V316" s="24"/>
      <c r="W316" s="24" t="str">
        <f t="shared" si="5"/>
        <v>Завершена</v>
      </c>
      <c r="X316" s="13" t="str">
        <f>IFERROR(__xludf.DUMMYFUNCTION("IF(C316 = """", """", IF(REGEXMATCH(C316, ""PCX|NMAX|ADV|CLICK""), ""скутер"", ""мото""))"),"скутер")</f>
        <v>скутер</v>
      </c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</row>
    <row r="317" hidden="1">
      <c r="A317" s="25" t="s">
        <v>24</v>
      </c>
      <c r="B317" s="25" t="s">
        <v>25</v>
      </c>
      <c r="C317" s="27" t="s">
        <v>114</v>
      </c>
      <c r="D317" s="27" t="s">
        <v>490</v>
      </c>
      <c r="E317" s="43">
        <v>45269.0</v>
      </c>
      <c r="F317" s="39">
        <v>45421.583333333336</v>
      </c>
      <c r="G317" s="30" t="str">
        <f t="shared" si="15"/>
        <v>5 М</v>
      </c>
      <c r="H317" s="31">
        <f t="shared" si="17"/>
        <v>233.3333333</v>
      </c>
      <c r="I317" s="74" t="str">
        <f t="shared" si="2"/>
        <v/>
      </c>
      <c r="J317" s="76" t="str">
        <f>IF(OR(A317="в аренде", A317="в аренде 1", A317="в аренде 2"), DATEDIF(E317, F317, "D")*H317, "")</f>
        <v/>
      </c>
      <c r="K317" s="36">
        <f>7000+7000+7000+7000+4000+3000</f>
        <v>35000</v>
      </c>
      <c r="L317" s="36">
        <v>7000.0</v>
      </c>
      <c r="M317" s="33"/>
      <c r="N317" s="44">
        <v>16200.0</v>
      </c>
      <c r="O317" s="35">
        <f>IFERROR(__xludf.DUMMYFUNCTION("IFERROR(
  VLOOKUP(C317,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C317
    ), 
    7, FALSE
  ), 
  """"
)
"),31800.0)</f>
        <v>31800</v>
      </c>
      <c r="P317" s="35">
        <f>IFERROR(__xludf.DUMMYFUNCTION("IF(AND(Q317="""", R317=""""),
  """",
  IF(OR(ISBLANK(Q317), ISBLANK(O317)),
    """",
    IF(VALUE(SUBSTITUTE(INDEX(SPLIT(IF(ISBLANK(R317), Q317, R317), "",""), 0, 1), "" Km"", """")) - O317 = 0,
      """",
      VALUE(SUBSTITUTE(INDEX(SPLIT(IF(ISBLANK("&amp;"R317), Q317, R317), "",""), 0, 1), "" Km"", """")) - O317
    )
  )
)"),-12850.0)</f>
        <v>-12850</v>
      </c>
      <c r="Q317" s="36" t="str">
        <f t="shared" si="4"/>
        <v>18950 Km, 01.02.2024</v>
      </c>
      <c r="R317" s="58" t="s">
        <v>717</v>
      </c>
      <c r="S317" s="40"/>
      <c r="T317" s="25">
        <v>0.0</v>
      </c>
      <c r="U317" s="25" t="s">
        <v>607</v>
      </c>
      <c r="V317" s="37"/>
      <c r="W317" s="37" t="str">
        <f t="shared" si="5"/>
        <v>Завершена</v>
      </c>
      <c r="X317" s="25" t="str">
        <f>IFERROR(__xludf.DUMMYFUNCTION("IF(C317 = """", """", IF(REGEXMATCH(C317, ""PCX|NMAX|ADV 150|CLICK""), ""скутер"", ""мото""))"),"скутер")</f>
        <v>скутер</v>
      </c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</row>
    <row r="318" hidden="1">
      <c r="A318" s="13" t="s">
        <v>24</v>
      </c>
      <c r="B318" s="13" t="s">
        <v>25</v>
      </c>
      <c r="C318" s="14" t="s">
        <v>427</v>
      </c>
      <c r="D318" s="14" t="s">
        <v>718</v>
      </c>
      <c r="E318" s="48">
        <v>45270.0</v>
      </c>
      <c r="F318" s="38">
        <v>45275.625</v>
      </c>
      <c r="G318" s="17" t="str">
        <f t="shared" si="15"/>
        <v>5 Д</v>
      </c>
      <c r="H318" s="18">
        <f t="shared" si="17"/>
        <v>1000</v>
      </c>
      <c r="I318" s="19" t="str">
        <f t="shared" si="2"/>
        <v/>
      </c>
      <c r="J318" s="20" t="str">
        <f t="shared" ref="J318:J390" si="18">IF(OR(A318="в аренде", A318="в аренде 1", A318="в аренде 2"), DATEDIF(E318, TODAY(), "D")*H318, "")</f>
        <v/>
      </c>
      <c r="K318" s="23">
        <v>5000.0</v>
      </c>
      <c r="L318" s="20"/>
      <c r="M318" s="23">
        <v>1000.0</v>
      </c>
      <c r="N318" s="49">
        <v>17695.0</v>
      </c>
      <c r="O318" s="22" t="str">
        <f>IFERROR(__xludf.DUMMYFUNCTION("IFERROR(
  VLOOKUP(C318,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C318
    ), 
    7, FALSE
  ), 
  """"
)
"),"")</f>
        <v/>
      </c>
      <c r="P318" s="22">
        <f>IFERROR(__xludf.DUMMYFUNCTION("IF(AND(Q318="""", R318=""""),
  """",
  IF(OR(ISBLANK(Q318), ISBLANK(O318)),
    """",
    IF(VALUE(SUBSTITUTE(INDEX(SPLIT(IF(ISBLANK(R318), Q318, R318), "",""), 0, 1), "" Km"", """")) - O318 = 0,
      """",
      VALUE(SUBSTITUTE(INDEX(SPLIT(IF(ISBLANK("&amp;"R318), Q318, R318), "",""), 0, 1), "" Km"", """")) - O318
    )
  )
)"),17695.0)</f>
        <v>17695</v>
      </c>
      <c r="Q318" s="23" t="str">
        <f t="shared" si="4"/>
        <v>17 695 Km, 10.12.2023</v>
      </c>
      <c r="R318" s="20"/>
      <c r="S318" s="41">
        <v>300.0</v>
      </c>
      <c r="T318" s="13">
        <v>2.0</v>
      </c>
      <c r="U318" s="13" t="s">
        <v>719</v>
      </c>
      <c r="V318" s="13" t="s">
        <v>720</v>
      </c>
      <c r="W318" s="24" t="str">
        <f t="shared" si="5"/>
        <v>Завершена</v>
      </c>
      <c r="X318" s="13" t="str">
        <f>IFERROR(__xludf.DUMMYFUNCTION("IF(C318 = """", """", IF(REGEXMATCH(C318, ""PCX|NMAX|ADV|CLICK""), ""скутер"", ""мото""))"),"мото")</f>
        <v>мото</v>
      </c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</row>
    <row r="319" hidden="1">
      <c r="A319" s="25" t="s">
        <v>24</v>
      </c>
      <c r="B319" s="25" t="s">
        <v>25</v>
      </c>
      <c r="C319" s="27" t="s">
        <v>483</v>
      </c>
      <c r="D319" s="27" t="s">
        <v>700</v>
      </c>
      <c r="E319" s="43">
        <v>45270.0</v>
      </c>
      <c r="F319" s="39">
        <v>45276.833333333336</v>
      </c>
      <c r="G319" s="30" t="str">
        <f t="shared" si="15"/>
        <v>6 Д</v>
      </c>
      <c r="H319" s="31">
        <f t="shared" si="17"/>
        <v>1780</v>
      </c>
      <c r="I319" s="32" t="str">
        <f t="shared" si="2"/>
        <v/>
      </c>
      <c r="J319" s="33" t="str">
        <f t="shared" si="18"/>
        <v/>
      </c>
      <c r="K319" s="36">
        <f>1780*6</f>
        <v>10680</v>
      </c>
      <c r="L319" s="33"/>
      <c r="M319" s="36">
        <v>1780.0</v>
      </c>
      <c r="N319" s="44">
        <v>23300.0</v>
      </c>
      <c r="O319" s="35">
        <f>IFERROR(__xludf.DUMMYFUNCTION("IFERROR(
  VLOOKUP(C319,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C319
    ), 
    7, FALSE
  ), 
  """"
)
"),41500.0)</f>
        <v>41500</v>
      </c>
      <c r="P319" s="35">
        <f>IFERROR(__xludf.DUMMYFUNCTION("IF(AND(Q319="""", R319=""""),
  """",
  IF(OR(ISBLANK(Q319), ISBLANK(O319)),
    """",
    IF(VALUE(SUBSTITUTE(INDEX(SPLIT(IF(ISBLANK(R319), Q319, R319), "",""), 0, 1), "" Km"", """")) - O319 = 0,
      """",
      VALUE(SUBSTITUTE(INDEX(SPLIT(IF(ISBLANK("&amp;"R319), Q319, R319), "",""), 0, 1), "" Km"", """")) - O319
    )
  )
)"),-18200.0)</f>
        <v>-18200</v>
      </c>
      <c r="Q319" s="36" t="str">
        <f t="shared" si="4"/>
        <v>23 300 Km, 10.12.2023</v>
      </c>
      <c r="R319" s="33"/>
      <c r="S319" s="40" t="s">
        <v>701</v>
      </c>
      <c r="T319" s="25">
        <v>3.0</v>
      </c>
      <c r="U319" s="25" t="s">
        <v>702</v>
      </c>
      <c r="V319" s="37"/>
      <c r="W319" s="37" t="str">
        <f t="shared" si="5"/>
        <v>Завершена</v>
      </c>
      <c r="X319" s="25" t="str">
        <f>IFERROR(__xludf.DUMMYFUNCTION("IF(C319 = """", """", IF(REGEXMATCH(C319, ""PCX|NMAX|ADV|CLICK""), ""скутер"", ""мото""))"),"мото")</f>
        <v>мото</v>
      </c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</row>
    <row r="320" hidden="1">
      <c r="A320" s="13" t="s">
        <v>24</v>
      </c>
      <c r="B320" s="13" t="s">
        <v>25</v>
      </c>
      <c r="C320" s="14" t="s">
        <v>102</v>
      </c>
      <c r="D320" s="14" t="s">
        <v>685</v>
      </c>
      <c r="E320" s="48">
        <v>45270.0</v>
      </c>
      <c r="F320" s="38">
        <v>45277.708333333336</v>
      </c>
      <c r="G320" s="17" t="str">
        <f t="shared" si="15"/>
        <v>7 Д</v>
      </c>
      <c r="H320" s="18">
        <f t="shared" si="17"/>
        <v>1600</v>
      </c>
      <c r="I320" s="19" t="str">
        <f t="shared" si="2"/>
        <v/>
      </c>
      <c r="J320" s="20" t="str">
        <f t="shared" si="18"/>
        <v/>
      </c>
      <c r="K320" s="23">
        <v>11200.0</v>
      </c>
      <c r="L320" s="20"/>
      <c r="M320" s="23">
        <v>1600.0</v>
      </c>
      <c r="N320" s="49">
        <v>35000.0</v>
      </c>
      <c r="O320" s="22">
        <f>IFERROR(__xludf.DUMMYFUNCTION("IFERROR(
  VLOOKUP(C320,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C320
    ), 
    7, FALSE
  ), 
  """"
)
"),63700.0)</f>
        <v>63700</v>
      </c>
      <c r="P320" s="22">
        <f>IFERROR(__xludf.DUMMYFUNCTION("IF(AND(Q320="""", R320=""""),
  """",
  IF(OR(ISBLANK(Q320), ISBLANK(O320)),
    """",
    IF(VALUE(SUBSTITUTE(INDEX(SPLIT(IF(ISBLANK(R320), Q320, R320), "",""), 0, 1), "" Km"", """")) - O320 = 0,
      """",
      VALUE(SUBSTITUTE(INDEX(SPLIT(IF(ISBLANK("&amp;"R320), Q320, R320), "",""), 0, 1), "" Km"", """")) - O320
    )
  )
)"),-28700.0)</f>
        <v>-28700</v>
      </c>
      <c r="Q320" s="23" t="str">
        <f t="shared" si="4"/>
        <v>35 000 Km, 10.12.2023</v>
      </c>
      <c r="R320" s="20"/>
      <c r="S320" s="41" t="s">
        <v>430</v>
      </c>
      <c r="T320" s="13">
        <v>2.0</v>
      </c>
      <c r="U320" s="13" t="s">
        <v>686</v>
      </c>
      <c r="V320" s="24"/>
      <c r="W320" s="24" t="str">
        <f t="shared" si="5"/>
        <v>Завершена</v>
      </c>
      <c r="X320" s="13" t="str">
        <f>IFERROR(__xludf.DUMMYFUNCTION("IF(C320 = """", """", IF(REGEXMATCH(C320, ""PCX|NMAX|ADV|CLICK""), ""скутер"", ""мото""))"),"мото")</f>
        <v>мото</v>
      </c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</row>
    <row r="321" hidden="1">
      <c r="A321" s="25" t="s">
        <v>24</v>
      </c>
      <c r="B321" s="25" t="s">
        <v>25</v>
      </c>
      <c r="C321" s="27" t="s">
        <v>202</v>
      </c>
      <c r="D321" s="27" t="s">
        <v>721</v>
      </c>
      <c r="E321" s="43">
        <v>45271.0</v>
      </c>
      <c r="F321" s="39">
        <v>45302.666666666664</v>
      </c>
      <c r="G321" s="30" t="str">
        <f t="shared" si="15"/>
        <v>1 М</v>
      </c>
      <c r="H321" s="31">
        <f t="shared" si="17"/>
        <v>333.3333333</v>
      </c>
      <c r="I321" s="32" t="str">
        <f t="shared" si="2"/>
        <v/>
      </c>
      <c r="J321" s="33" t="str">
        <f t="shared" si="18"/>
        <v/>
      </c>
      <c r="K321" s="36">
        <v>10000.0</v>
      </c>
      <c r="L321" s="36">
        <v>10000.0</v>
      </c>
      <c r="M321" s="33"/>
      <c r="N321" s="44">
        <v>19000.0</v>
      </c>
      <c r="O321" s="35">
        <f>IFERROR(__xludf.DUMMYFUNCTION("IFERROR(
  VLOOKUP(C321,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C321
    ), 
    7, FALSE
  ), 
  """"
)
"),30225.0)</f>
        <v>30225</v>
      </c>
      <c r="P321" s="35">
        <f>IFERROR(__xludf.DUMMYFUNCTION("IF(AND(Q321="""", R321=""""),
  """",
  IF(OR(ISBLANK(Q321), ISBLANK(O321)),
    """",
    IF(VALUE(SUBSTITUTE(INDEX(SPLIT(IF(ISBLANK(R321), Q321, R321), "",""), 0, 1), "" Km"", """")) - O321 = 0,
      """",
      VALUE(SUBSTITUTE(INDEX(SPLIT(IF(ISBLANK("&amp;"R321), Q321, R321), "",""), 0, 1), "" Km"", """")) - O321
    )
  )
)"),-11225.0)</f>
        <v>-11225</v>
      </c>
      <c r="Q321" s="36" t="str">
        <f t="shared" si="4"/>
        <v>19 000 Km, 11.12.2023</v>
      </c>
      <c r="R321" s="33"/>
      <c r="S321" s="40">
        <v>5000.0</v>
      </c>
      <c r="T321" s="25">
        <v>3.0</v>
      </c>
      <c r="U321" s="25" t="s">
        <v>722</v>
      </c>
      <c r="V321" s="37"/>
      <c r="W321" s="37" t="str">
        <f t="shared" si="5"/>
        <v>Завершена</v>
      </c>
      <c r="X321" s="25" t="str">
        <f>IFERROR(__xludf.DUMMYFUNCTION("IF(C321 = """", """", IF(REGEXMATCH(C321, ""PCX|NMAX|ADV|CLICK""), ""скутер"", ""мото""))"),"мото")</f>
        <v>мото</v>
      </c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</row>
    <row r="322" hidden="1">
      <c r="A322" s="13" t="s">
        <v>24</v>
      </c>
      <c r="B322" s="13" t="s">
        <v>25</v>
      </c>
      <c r="C322" s="14" t="s">
        <v>98</v>
      </c>
      <c r="D322" s="14" t="s">
        <v>723</v>
      </c>
      <c r="E322" s="48">
        <v>45275.0</v>
      </c>
      <c r="F322" s="38">
        <v>45277.625</v>
      </c>
      <c r="G322" s="17" t="str">
        <f t="shared" si="15"/>
        <v>2 Д</v>
      </c>
      <c r="H322" s="41">
        <v>350.0</v>
      </c>
      <c r="I322" s="19" t="str">
        <f t="shared" si="2"/>
        <v/>
      </c>
      <c r="J322" s="20" t="str">
        <f t="shared" si="18"/>
        <v/>
      </c>
      <c r="K322" s="23">
        <v>700.0</v>
      </c>
      <c r="L322" s="20"/>
      <c r="M322" s="23">
        <v>390.0</v>
      </c>
      <c r="N322" s="49">
        <v>17700.0</v>
      </c>
      <c r="O322" s="22">
        <f>IFERROR(__xludf.DUMMYFUNCTION("IFERROR(
  VLOOKUP(C322,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C322
    ), 
    7, FALSE
  ), 
  """"
)
"),32200.0)</f>
        <v>32200</v>
      </c>
      <c r="P322" s="22">
        <f>IFERROR(__xludf.DUMMYFUNCTION("IF(AND(Q322="""", R322=""""),
  """",
  IF(OR(ISBLANK(Q322), ISBLANK(O322)),
    """",
    IF(VALUE(SUBSTITUTE(INDEX(SPLIT(IF(ISBLANK(R322), Q322, R322), "",""), 0, 1), "" Km"", """")) - O322 = 0,
      """",
      VALUE(SUBSTITUTE(INDEX(SPLIT(IF(ISBLANK("&amp;"R322), Q322, R322), "",""), 0, 1), "" Km"", """")) - O322
    )
  )
)"),-14500.0)</f>
        <v>-14500</v>
      </c>
      <c r="Q322" s="23" t="str">
        <f t="shared" si="4"/>
        <v>17 700 Km, 15.12.2023</v>
      </c>
      <c r="R322" s="20"/>
      <c r="S322" s="41">
        <v>3000.0</v>
      </c>
      <c r="T322" s="13">
        <v>1.0</v>
      </c>
      <c r="U322" s="13" t="s">
        <v>724</v>
      </c>
      <c r="V322" s="24"/>
      <c r="W322" s="24" t="str">
        <f t="shared" si="5"/>
        <v>Завершена</v>
      </c>
      <c r="X322" s="13" t="str">
        <f>IFERROR(__xludf.DUMMYFUNCTION("IF(C322 = """", """", IF(REGEXMATCH(C322, ""PCX|NMAX|ADV|CLICK""), ""скутер"", ""мото""))"),"скутер")</f>
        <v>скутер</v>
      </c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</row>
    <row r="323" hidden="1">
      <c r="A323" s="25" t="s">
        <v>24</v>
      </c>
      <c r="B323" s="25" t="s">
        <v>25</v>
      </c>
      <c r="C323" s="27" t="s">
        <v>73</v>
      </c>
      <c r="D323" s="27" t="s">
        <v>725</v>
      </c>
      <c r="E323" s="43">
        <v>45275.0</v>
      </c>
      <c r="F323" s="39">
        <v>45296.458333333336</v>
      </c>
      <c r="G323" s="30" t="str">
        <f t="shared" si="15"/>
        <v>21 Д</v>
      </c>
      <c r="H323" s="31">
        <f t="shared" ref="H323:H443" si="19">IF(L323&lt;&gt;"", VALUE(L323)/30, IF(M323&lt;&gt;"", VALUE(M323)/1, ""))
</f>
        <v>390</v>
      </c>
      <c r="I323" s="32" t="str">
        <f t="shared" si="2"/>
        <v/>
      </c>
      <c r="J323" s="33" t="str">
        <f t="shared" si="18"/>
        <v/>
      </c>
      <c r="K323" s="36">
        <v>8190.0</v>
      </c>
      <c r="L323" s="33"/>
      <c r="M323" s="36">
        <v>390.0</v>
      </c>
      <c r="N323" s="44">
        <v>20000.0</v>
      </c>
      <c r="O323" s="35">
        <f>IFERROR(__xludf.DUMMYFUNCTION("IFERROR(
  VLOOKUP(C323,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C323
    ), 
    7, FALSE
  ), 
  """"
)
"),31000.0)</f>
        <v>31000</v>
      </c>
      <c r="P323" s="35">
        <f>IFERROR(__xludf.DUMMYFUNCTION("IF(AND(Q323="""", R323=""""),
  """",
  IF(OR(ISBLANK(Q323), ISBLANK(O323)),
    """",
    IF(VALUE(SUBSTITUTE(INDEX(SPLIT(IF(ISBLANK(R323), Q323, R323), "",""), 0, 1), "" Km"", """")) - O323 = 0,
      """",
      VALUE(SUBSTITUTE(INDEX(SPLIT(IF(ISBLANK("&amp;"R323), Q323, R323), "",""), 0, 1), "" Km"", """")) - O323
    )
  )
)"),-11000.0)</f>
        <v>-11000</v>
      </c>
      <c r="Q323" s="36" t="str">
        <f t="shared" si="4"/>
        <v>20 000 Km, 15.12.2023</v>
      </c>
      <c r="R323" s="33"/>
      <c r="S323" s="40">
        <v>3000.0</v>
      </c>
      <c r="T323" s="25">
        <v>2.0</v>
      </c>
      <c r="U323" s="25" t="s">
        <v>726</v>
      </c>
      <c r="V323" s="37"/>
      <c r="W323" s="37" t="str">
        <f t="shared" si="5"/>
        <v>Завершена</v>
      </c>
      <c r="X323" s="25" t="str">
        <f>IFERROR(__xludf.DUMMYFUNCTION("IF(C323 = """", """", IF(REGEXMATCH(C323, ""PCX|NMAX|ADV|CLICK""), ""скутер"", ""мото""))"),"скутер")</f>
        <v>скутер</v>
      </c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</row>
    <row r="324" hidden="1">
      <c r="A324" s="13" t="s">
        <v>24</v>
      </c>
      <c r="B324" s="13" t="s">
        <v>25</v>
      </c>
      <c r="C324" s="14" t="s">
        <v>88</v>
      </c>
      <c r="D324" s="14" t="s">
        <v>727</v>
      </c>
      <c r="E324" s="48">
        <v>45276.0</v>
      </c>
      <c r="F324" s="38">
        <v>45288.5</v>
      </c>
      <c r="G324" s="17" t="str">
        <f t="shared" si="15"/>
        <v>12 Д</v>
      </c>
      <c r="H324" s="18">
        <f t="shared" si="19"/>
        <v>370</v>
      </c>
      <c r="I324" s="19" t="str">
        <f t="shared" si="2"/>
        <v/>
      </c>
      <c r="J324" s="20" t="str">
        <f t="shared" si="18"/>
        <v/>
      </c>
      <c r="K324" s="23">
        <f>3700+740</f>
        <v>4440</v>
      </c>
      <c r="L324" s="20"/>
      <c r="M324" s="23">
        <v>370.0</v>
      </c>
      <c r="N324" s="49">
        <v>17800.0</v>
      </c>
      <c r="O324" s="22" t="str">
        <f>IFERROR(__xludf.DUMMYFUNCTION("IFERROR(
  VLOOKUP(C324,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C324
    ), 
    7, FALSE
  ), 
  """"
)
"),"")</f>
        <v/>
      </c>
      <c r="P324" s="22">
        <f>IFERROR(__xludf.DUMMYFUNCTION("IF(AND(Q324="""", R324=""""),
  """",
  IF(OR(ISBLANK(Q324), ISBLANK(O324)),
    """",
    IF(VALUE(SUBSTITUTE(INDEX(SPLIT(IF(ISBLANK(R324), Q324, R324), "",""), 0, 1), "" Km"", """")) - O324 = 0,
      """",
      VALUE(SUBSTITUTE(INDEX(SPLIT(IF(ISBLANK("&amp;"R324), Q324, R324), "",""), 0, 1), "" Km"", """")) - O324
    )
  )
)"),17800.0)</f>
        <v>17800</v>
      </c>
      <c r="Q324" s="23" t="str">
        <f t="shared" si="4"/>
        <v>17 800 Km, 16.12.2023</v>
      </c>
      <c r="R324" s="20"/>
      <c r="S324" s="41">
        <v>100.0</v>
      </c>
      <c r="T324" s="13">
        <v>3.0</v>
      </c>
      <c r="U324" s="13" t="s">
        <v>728</v>
      </c>
      <c r="V324" s="24"/>
      <c r="W324" s="24" t="str">
        <f t="shared" si="5"/>
        <v>Завершена</v>
      </c>
      <c r="X324" s="13" t="str">
        <f>IFERROR(__xludf.DUMMYFUNCTION("IF(C324 = """", """", IF(REGEXMATCH(C324, ""PCX|NMAX|ADV|CLICK""), ""скутер"", ""мото""))"),"скутер")</f>
        <v>скутер</v>
      </c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</row>
    <row r="325" hidden="1">
      <c r="A325" s="25" t="s">
        <v>24</v>
      </c>
      <c r="B325" s="25" t="s">
        <v>25</v>
      </c>
      <c r="C325" s="27" t="s">
        <v>32</v>
      </c>
      <c r="D325" s="27" t="s">
        <v>729</v>
      </c>
      <c r="E325" s="43">
        <v>45276.0</v>
      </c>
      <c r="F325" s="39">
        <v>45294.583333333336</v>
      </c>
      <c r="G325" s="30" t="str">
        <f t="shared" si="15"/>
        <v>18 Д</v>
      </c>
      <c r="H325" s="31">
        <f t="shared" si="19"/>
        <v>555</v>
      </c>
      <c r="I325" s="32" t="str">
        <f t="shared" si="2"/>
        <v/>
      </c>
      <c r="J325" s="33" t="str">
        <f t="shared" si="18"/>
        <v/>
      </c>
      <c r="K325" s="36">
        <v>10000.0</v>
      </c>
      <c r="L325" s="36"/>
      <c r="M325" s="36">
        <v>555.0</v>
      </c>
      <c r="N325" s="44">
        <v>20000.0</v>
      </c>
      <c r="O325" s="35">
        <f>IFERROR(__xludf.DUMMYFUNCTION("IFERROR(
  VLOOKUP(C325,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C325
    ), 
    7, FALSE
  ), 
  """"
)
"),38640.0)</f>
        <v>38640</v>
      </c>
      <c r="P325" s="35">
        <f>IFERROR(__xludf.DUMMYFUNCTION("IF(AND(Q325="""", R325=""""),
  """",
  IF(OR(ISBLANK(Q325), ISBLANK(O325)),
    """",
    IF(VALUE(SUBSTITUTE(INDEX(SPLIT(IF(ISBLANK(R325), Q325, R325), "",""), 0, 1), "" Km"", """")) - O325 = 0,
      """",
      VALUE(SUBSTITUTE(INDEX(SPLIT(IF(ISBLANK("&amp;"R325), Q325, R325), "",""), 0, 1), "" Km"", """")) - O325
    )
  )
)"),-18640.0)</f>
        <v>-18640</v>
      </c>
      <c r="Q325" s="36" t="str">
        <f t="shared" si="4"/>
        <v>20 000 Km, 16.12.2023</v>
      </c>
      <c r="R325" s="33"/>
      <c r="S325" s="40">
        <v>5000.0</v>
      </c>
      <c r="T325" s="25">
        <v>3.0</v>
      </c>
      <c r="U325" s="25" t="s">
        <v>730</v>
      </c>
      <c r="V325" s="37"/>
      <c r="W325" s="37" t="str">
        <f t="shared" si="5"/>
        <v>Завершена</v>
      </c>
      <c r="X325" s="25" t="str">
        <f>IFERROR(__xludf.DUMMYFUNCTION("IF(C325 = """", """", IF(REGEXMATCH(C325, ""PCX|NMAX|ADV|CLICK""), ""скутер"", ""мото""))"),"мото")</f>
        <v>мото</v>
      </c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</row>
    <row r="326" hidden="1">
      <c r="A326" s="13" t="s">
        <v>24</v>
      </c>
      <c r="B326" s="13" t="s">
        <v>25</v>
      </c>
      <c r="C326" s="14" t="s">
        <v>483</v>
      </c>
      <c r="D326" s="14" t="s">
        <v>731</v>
      </c>
      <c r="E326" s="48">
        <v>45277.0</v>
      </c>
      <c r="F326" s="38">
        <v>45278.625</v>
      </c>
      <c r="G326" s="17" t="str">
        <f t="shared" si="15"/>
        <v>1 Д</v>
      </c>
      <c r="H326" s="18">
        <f t="shared" si="19"/>
        <v>1780</v>
      </c>
      <c r="I326" s="19" t="str">
        <f t="shared" si="2"/>
        <v/>
      </c>
      <c r="J326" s="20" t="str">
        <f t="shared" si="18"/>
        <v/>
      </c>
      <c r="K326" s="23">
        <v>1780.0</v>
      </c>
      <c r="L326" s="20"/>
      <c r="M326" s="23">
        <v>1780.0</v>
      </c>
      <c r="N326" s="49">
        <v>23300.0</v>
      </c>
      <c r="O326" s="22">
        <f>IFERROR(__xludf.DUMMYFUNCTION("IFERROR(
  VLOOKUP(C326,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C326
    ), 
    7, FALSE
  ), 
  """"
)
"),41500.0)</f>
        <v>41500</v>
      </c>
      <c r="P326" s="22">
        <f>IFERROR(__xludf.DUMMYFUNCTION("IF(AND(Q326="""", R326=""""),
  """",
  IF(OR(ISBLANK(Q326), ISBLANK(O326)),
    """",
    IF(VALUE(SUBSTITUTE(INDEX(SPLIT(IF(ISBLANK(R326), Q326, R326), "",""), 0, 1), "" Km"", """")) - O326 = 0,
      """",
      VALUE(SUBSTITUTE(INDEX(SPLIT(IF(ISBLANK("&amp;"R326), Q326, R326), "",""), 0, 1), "" Km"", """")) - O326
    )
  )
)"),-18200.0)</f>
        <v>-18200</v>
      </c>
      <c r="Q326" s="23" t="str">
        <f t="shared" si="4"/>
        <v>23 300 Km, 17.12.2023</v>
      </c>
      <c r="R326" s="20"/>
      <c r="S326" s="41" t="s">
        <v>515</v>
      </c>
      <c r="T326" s="13">
        <v>0.0</v>
      </c>
      <c r="U326" s="13" t="s">
        <v>732</v>
      </c>
      <c r="V326" s="24"/>
      <c r="W326" s="24" t="str">
        <f t="shared" si="5"/>
        <v>Завершена</v>
      </c>
      <c r="X326" s="13" t="str">
        <f>IFERROR(__xludf.DUMMYFUNCTION("IF(C326 = """", """", IF(REGEXMATCH(C326, ""PCX|NMAX|ADV|CLICK""), ""скутер"", ""мото""))"),"мото")</f>
        <v>мото</v>
      </c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</row>
    <row r="327" hidden="1">
      <c r="A327" s="25" t="s">
        <v>24</v>
      </c>
      <c r="B327" s="25" t="s">
        <v>25</v>
      </c>
      <c r="C327" s="27" t="s">
        <v>56</v>
      </c>
      <c r="D327" s="27" t="s">
        <v>733</v>
      </c>
      <c r="E327" s="43">
        <v>45277.0</v>
      </c>
      <c r="F327" s="39">
        <v>45286.375</v>
      </c>
      <c r="G327" s="30" t="str">
        <f t="shared" si="15"/>
        <v>9 Д</v>
      </c>
      <c r="H327" s="31">
        <f t="shared" si="19"/>
        <v>390</v>
      </c>
      <c r="I327" s="32" t="str">
        <f t="shared" si="2"/>
        <v/>
      </c>
      <c r="J327" s="33" t="str">
        <f t="shared" si="18"/>
        <v/>
      </c>
      <c r="K327" s="36">
        <f>3510-2730</f>
        <v>780</v>
      </c>
      <c r="L327" s="33"/>
      <c r="M327" s="36">
        <v>390.0</v>
      </c>
      <c r="N327" s="44">
        <v>20500.0</v>
      </c>
      <c r="O327" s="35">
        <f>IFERROR(__xludf.DUMMYFUNCTION("IFERROR(
  VLOOKUP(C327,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C327
    ), 
    7, FALSE
  ), 
  """"
)
"),36400.0)</f>
        <v>36400</v>
      </c>
      <c r="P327" s="35">
        <f>IFERROR(__xludf.DUMMYFUNCTION("IF(AND(Q327="""", R327=""""),
  """",
  IF(OR(ISBLANK(Q327), ISBLANK(O327)),
    """",
    IF(VALUE(SUBSTITUTE(INDEX(SPLIT(IF(ISBLANK(R327), Q327, R327), "",""), 0, 1), "" Km"", """")) - O327 = 0,
      """",
      VALUE(SUBSTITUTE(INDEX(SPLIT(IF(ISBLANK("&amp;"R327), Q327, R327), "",""), 0, 1), "" Km"", """")) - O327
    )
  )
)"),-15900.0)</f>
        <v>-15900</v>
      </c>
      <c r="Q327" s="36" t="str">
        <f t="shared" si="4"/>
        <v>20 500 Km, 17.12.2023</v>
      </c>
      <c r="R327" s="33"/>
      <c r="S327" s="40">
        <v>3000.0</v>
      </c>
      <c r="T327" s="25">
        <v>2.0</v>
      </c>
      <c r="U327" s="25" t="s">
        <v>734</v>
      </c>
      <c r="V327" s="37"/>
      <c r="W327" s="37" t="str">
        <f t="shared" si="5"/>
        <v>Завершена</v>
      </c>
      <c r="X327" s="25" t="str">
        <f>IFERROR(__xludf.DUMMYFUNCTION("IF(C327 = """", """", IF(REGEXMATCH(C327, ""PCX|NMAX|ADV|CLICK""), ""скутер"", ""мото""))"),"скутер")</f>
        <v>скутер</v>
      </c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</row>
    <row r="328" hidden="1">
      <c r="A328" s="13" t="s">
        <v>24</v>
      </c>
      <c r="B328" s="13" t="s">
        <v>25</v>
      </c>
      <c r="C328" s="14" t="s">
        <v>98</v>
      </c>
      <c r="D328" s="14" t="s">
        <v>735</v>
      </c>
      <c r="E328" s="48">
        <v>45277.0</v>
      </c>
      <c r="F328" s="38">
        <v>45308.708333333336</v>
      </c>
      <c r="G328" s="17" t="str">
        <f t="shared" si="15"/>
        <v>1 М</v>
      </c>
      <c r="H328" s="18">
        <f t="shared" si="19"/>
        <v>230</v>
      </c>
      <c r="I328" s="19" t="str">
        <f t="shared" si="2"/>
        <v/>
      </c>
      <c r="J328" s="20" t="str">
        <f t="shared" si="18"/>
        <v/>
      </c>
      <c r="K328" s="23">
        <v>6900.0</v>
      </c>
      <c r="L328" s="23">
        <v>6900.0</v>
      </c>
      <c r="M328" s="20"/>
      <c r="N328" s="49">
        <v>18000.0</v>
      </c>
      <c r="O328" s="22">
        <f>IFERROR(__xludf.DUMMYFUNCTION("IFERROR(
  VLOOKUP(C328,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C328
    ), 
    7, FALSE
  ), 
  """"
)
"),32200.0)</f>
        <v>32200</v>
      </c>
      <c r="P328" s="22">
        <f>IFERROR(__xludf.DUMMYFUNCTION("IF(AND(Q328="""", R328=""""),
  """",
  IF(OR(ISBLANK(Q328), ISBLANK(O328)),
    """",
    IF(VALUE(SUBSTITUTE(INDEX(SPLIT(IF(ISBLANK(R328), Q328, R328), "",""), 0, 1), "" Km"", """")) - O328 = 0,
      """",
      VALUE(SUBSTITUTE(INDEX(SPLIT(IF(ISBLANK("&amp;"R328), Q328, R328), "",""), 0, 1), "" Km"", """")) - O328
    )
  )
)"),-14200.0)</f>
        <v>-14200</v>
      </c>
      <c r="Q328" s="23" t="str">
        <f t="shared" si="4"/>
        <v>18 000 Km, 17.12.2023</v>
      </c>
      <c r="R328" s="20"/>
      <c r="S328" s="41">
        <v>3000.0</v>
      </c>
      <c r="T328" s="13">
        <v>2.0</v>
      </c>
      <c r="U328" s="13" t="s">
        <v>736</v>
      </c>
      <c r="V328" s="24"/>
      <c r="W328" s="24" t="str">
        <f t="shared" si="5"/>
        <v>Завершена</v>
      </c>
      <c r="X328" s="13" t="str">
        <f>IFERROR(__xludf.DUMMYFUNCTION("IF(C328 = """", """", IF(REGEXMATCH(C328, ""PCX|NMAX|ADV|CLICK""), ""скутер"", ""мото""))"),"скутер")</f>
        <v>скутер</v>
      </c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</row>
    <row r="329" hidden="1">
      <c r="A329" s="25" t="s">
        <v>24</v>
      </c>
      <c r="B329" s="25" t="s">
        <v>25</v>
      </c>
      <c r="C329" s="27" t="s">
        <v>125</v>
      </c>
      <c r="D329" s="27" t="s">
        <v>735</v>
      </c>
      <c r="E329" s="43">
        <v>45277.0</v>
      </c>
      <c r="F329" s="39">
        <v>45308.708333333336</v>
      </c>
      <c r="G329" s="30" t="str">
        <f t="shared" si="15"/>
        <v>1 М</v>
      </c>
      <c r="H329" s="31">
        <f t="shared" si="19"/>
        <v>230</v>
      </c>
      <c r="I329" s="32" t="str">
        <f t="shared" si="2"/>
        <v/>
      </c>
      <c r="J329" s="33" t="str">
        <f t="shared" si="18"/>
        <v/>
      </c>
      <c r="K329" s="36">
        <v>6900.0</v>
      </c>
      <c r="L329" s="36">
        <v>6900.0</v>
      </c>
      <c r="M329" s="33"/>
      <c r="N329" s="44">
        <v>16300.0</v>
      </c>
      <c r="O329" s="35" t="str">
        <f>IFERROR(__xludf.DUMMYFUNCTION("IFERROR(
  VLOOKUP(C329,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C329
    ), 
    7, FALSE
  ), 
  """"
)
"),"")</f>
        <v/>
      </c>
      <c r="P329" s="35">
        <f>IFERROR(__xludf.DUMMYFUNCTION("IF(AND(Q329="""", R329=""""),
  """",
  IF(OR(ISBLANK(Q329), ISBLANK(O329)),
    """",
    IF(VALUE(SUBSTITUTE(INDEX(SPLIT(IF(ISBLANK(R329), Q329, R329), "",""), 0, 1), "" Km"", """")) - O329 = 0,
      """",
      VALUE(SUBSTITUTE(INDEX(SPLIT(IF(ISBLANK("&amp;"R329), Q329, R329), "",""), 0, 1), "" Km"", """")) - O329
    )
  )
)"),16300.0)</f>
        <v>16300</v>
      </c>
      <c r="Q329" s="36" t="str">
        <f t="shared" si="4"/>
        <v>16 300 Km, 17.12.2023</v>
      </c>
      <c r="R329" s="33"/>
      <c r="S329" s="40">
        <v>3000.0</v>
      </c>
      <c r="T329" s="25">
        <v>2.0</v>
      </c>
      <c r="U329" s="25" t="s">
        <v>736</v>
      </c>
      <c r="V329" s="37"/>
      <c r="W329" s="37" t="str">
        <f t="shared" si="5"/>
        <v>Завершена</v>
      </c>
      <c r="X329" s="25" t="str">
        <f>IFERROR(__xludf.DUMMYFUNCTION("IF(C329 = """", """", IF(REGEXMATCH(C329, ""PCX|NMAX|ADV|CLICK""), ""скутер"", ""мото""))"),"скутер")</f>
        <v>скутер</v>
      </c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</row>
    <row r="330" hidden="1">
      <c r="A330" s="13" t="s">
        <v>24</v>
      </c>
      <c r="B330" s="13" t="s">
        <v>25</v>
      </c>
      <c r="C330" s="14" t="s">
        <v>185</v>
      </c>
      <c r="D330" s="14" t="s">
        <v>737</v>
      </c>
      <c r="E330" s="48">
        <v>45277.0</v>
      </c>
      <c r="F330" s="38">
        <v>45316.666666666664</v>
      </c>
      <c r="G330" s="17" t="str">
        <f t="shared" si="15"/>
        <v>1 М</v>
      </c>
      <c r="H330" s="18">
        <f t="shared" si="19"/>
        <v>263.3333333</v>
      </c>
      <c r="I330" s="19" t="str">
        <f t="shared" si="2"/>
        <v/>
      </c>
      <c r="J330" s="20" t="str">
        <f t="shared" si="18"/>
        <v/>
      </c>
      <c r="K330" s="23">
        <f>7900+1841+400</f>
        <v>10141</v>
      </c>
      <c r="L330" s="23">
        <v>7900.0</v>
      </c>
      <c r="M330" s="20"/>
      <c r="N330" s="49">
        <v>23300.0</v>
      </c>
      <c r="O330" s="22" t="str">
        <f>IFERROR(__xludf.DUMMYFUNCTION("IFERROR(
  VLOOKUP(C330,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C330
    ), 
    7, FALSE
  ), 
  """"
)
"),"")</f>
        <v/>
      </c>
      <c r="P330" s="22">
        <f>IFERROR(__xludf.DUMMYFUNCTION("IF(AND(Q330="""", R330=""""),
  """",
  IF(OR(ISBLANK(Q330), ISBLANK(O330)),
    """",
    IF(VALUE(SUBSTITUTE(INDEX(SPLIT(IF(ISBLANK(R330), Q330, R330), "",""), 0, 1), "" Km"", """")) - O330 = 0,
      """",
      VALUE(SUBSTITUTE(INDEX(SPLIT(IF(ISBLANK("&amp;"R330), Q330, R330), "",""), 0, 1), "" Km"", """")) - O330
    )
  )
)"),23300.0)</f>
        <v>23300</v>
      </c>
      <c r="Q330" s="23" t="str">
        <f t="shared" si="4"/>
        <v>23 300 Km, 17.12.2023</v>
      </c>
      <c r="R330" s="20"/>
      <c r="S330" s="41">
        <v>3000.0</v>
      </c>
      <c r="T330" s="13">
        <v>2.0</v>
      </c>
      <c r="U330" s="13" t="s">
        <v>738</v>
      </c>
      <c r="V330" s="24"/>
      <c r="W330" s="24" t="str">
        <f t="shared" si="5"/>
        <v>Завершена</v>
      </c>
      <c r="X330" s="13" t="str">
        <f>IFERROR(__xludf.DUMMYFUNCTION("IF(C330 = """", """", IF(REGEXMATCH(C330, ""PCX|NMAX|ADV|CLICK""), ""скутер"", ""мото""))"),"скутер")</f>
        <v>скутер</v>
      </c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</row>
    <row r="331" hidden="1">
      <c r="A331" s="25" t="s">
        <v>24</v>
      </c>
      <c r="B331" s="25" t="s">
        <v>25</v>
      </c>
      <c r="C331" s="27" t="s">
        <v>26</v>
      </c>
      <c r="D331" s="27" t="s">
        <v>739</v>
      </c>
      <c r="E331" s="43">
        <v>45278.0</v>
      </c>
      <c r="F331" s="39">
        <v>45292.791666666664</v>
      </c>
      <c r="G331" s="30" t="str">
        <f t="shared" si="15"/>
        <v>14 Д</v>
      </c>
      <c r="H331" s="31">
        <f t="shared" si="19"/>
        <v>250</v>
      </c>
      <c r="I331" s="32" t="str">
        <f t="shared" si="2"/>
        <v/>
      </c>
      <c r="J331" s="33" t="str">
        <f t="shared" si="18"/>
        <v/>
      </c>
      <c r="K331" s="36">
        <v>3250.0</v>
      </c>
      <c r="L331" s="33"/>
      <c r="M331" s="36">
        <v>250.0</v>
      </c>
      <c r="N331" s="44">
        <v>22500.0</v>
      </c>
      <c r="O331" s="35" t="str">
        <f>IFERROR(__xludf.DUMMYFUNCTION("IFERROR(
  VLOOKUP(C331,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C331
    ), 
    7, FALSE
  ), 
  """"
)
"),"")</f>
        <v/>
      </c>
      <c r="P331" s="35">
        <f>IFERROR(__xludf.DUMMYFUNCTION("IF(AND(Q331="""", R331=""""),
  """",
  IF(OR(ISBLANK(Q331), ISBLANK(O331)),
    """",
    IF(VALUE(SUBSTITUTE(INDEX(SPLIT(IF(ISBLANK(R331), Q331, R331), "",""), 0, 1), "" Km"", """")) - O331 = 0,
      """",
      VALUE(SUBSTITUTE(INDEX(SPLIT(IF(ISBLANK("&amp;"R331), Q331, R331), "",""), 0, 1), "" Km"", """")) - O331
    )
  )
)"),22500.0)</f>
        <v>22500</v>
      </c>
      <c r="Q331" s="36" t="str">
        <f t="shared" si="4"/>
        <v>22 500 Km, 18.12.2023</v>
      </c>
      <c r="R331" s="33"/>
      <c r="S331" s="40" t="s">
        <v>704</v>
      </c>
      <c r="T331" s="25">
        <v>2.0</v>
      </c>
      <c r="U331" s="25" t="s">
        <v>705</v>
      </c>
      <c r="V331" s="37"/>
      <c r="W331" s="37" t="str">
        <f t="shared" si="5"/>
        <v>Завершена</v>
      </c>
      <c r="X331" s="25" t="str">
        <f>IFERROR(__xludf.DUMMYFUNCTION("IF(C331 = """", """", IF(REGEXMATCH(C331, ""PCX|NMAX|ADV|CLICK""), ""скутер"", ""мото""))"),"скутер")</f>
        <v>скутер</v>
      </c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</row>
    <row r="332" hidden="1">
      <c r="A332" s="13" t="s">
        <v>24</v>
      </c>
      <c r="B332" s="13" t="s">
        <v>25</v>
      </c>
      <c r="C332" s="14" t="s">
        <v>198</v>
      </c>
      <c r="D332" s="14" t="s">
        <v>733</v>
      </c>
      <c r="E332" s="48">
        <v>45279.0</v>
      </c>
      <c r="F332" s="38">
        <v>45286.375</v>
      </c>
      <c r="G332" s="17" t="str">
        <f t="shared" si="15"/>
        <v>7 Д</v>
      </c>
      <c r="H332" s="18">
        <f t="shared" si="19"/>
        <v>690</v>
      </c>
      <c r="I332" s="19" t="str">
        <f t="shared" si="2"/>
        <v/>
      </c>
      <c r="J332" s="20" t="str">
        <f t="shared" si="18"/>
        <v/>
      </c>
      <c r="K332" s="23">
        <f>3510-780+2000</f>
        <v>4730</v>
      </c>
      <c r="L332" s="20"/>
      <c r="M332" s="23">
        <v>690.0</v>
      </c>
      <c r="N332" s="49">
        <v>16000.0</v>
      </c>
      <c r="O332" s="22" t="str">
        <f>IFERROR(__xludf.DUMMYFUNCTION("IFERROR(
  VLOOKUP(C332,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C332
    ), 
    7, FALSE
  ), 
  """"
)
"),"")</f>
        <v/>
      </c>
      <c r="P332" s="22">
        <f>IFERROR(__xludf.DUMMYFUNCTION("IF(AND(Q332="""", R332=""""),
  """",
  IF(OR(ISBLANK(Q332), ISBLANK(O332)),
    """",
    IF(VALUE(SUBSTITUTE(INDEX(SPLIT(IF(ISBLANK(R332), Q332, R332), "",""), 0, 1), "" Km"", """")) - O332 = 0,
      """",
      VALUE(SUBSTITUTE(INDEX(SPLIT(IF(ISBLANK("&amp;"R332), Q332, R332), "",""), 0, 1), "" Km"", """")) - O332
    )
  )
)"),16000.0)</f>
        <v>16000</v>
      </c>
      <c r="Q332" s="23" t="str">
        <f t="shared" si="4"/>
        <v>16 000 Km, 19.12.2023</v>
      </c>
      <c r="R332" s="20"/>
      <c r="S332" s="41">
        <v>3000.0</v>
      </c>
      <c r="T332" s="13">
        <v>2.0</v>
      </c>
      <c r="U332" s="13" t="s">
        <v>734</v>
      </c>
      <c r="V332" s="24"/>
      <c r="W332" s="24" t="str">
        <f t="shared" si="5"/>
        <v>Завершена</v>
      </c>
      <c r="X332" s="13" t="str">
        <f>IFERROR(__xludf.DUMMYFUNCTION("IF(C332 = """", """", IF(REGEXMATCH(C332, ""PCX|NMAX|ADV|CLICK""), ""скутер"", ""мото""))"),"мото")</f>
        <v>мото</v>
      </c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</row>
    <row r="333" hidden="1">
      <c r="A333" s="25" t="s">
        <v>24</v>
      </c>
      <c r="B333" s="25" t="s">
        <v>25</v>
      </c>
      <c r="C333" s="27" t="s">
        <v>64</v>
      </c>
      <c r="D333" s="27" t="s">
        <v>740</v>
      </c>
      <c r="E333" s="43">
        <v>45280.0</v>
      </c>
      <c r="F333" s="39">
        <v>45307.875</v>
      </c>
      <c r="G333" s="30" t="str">
        <f t="shared" si="15"/>
        <v>27 Д</v>
      </c>
      <c r="H333" s="31">
        <f t="shared" si="19"/>
        <v>600</v>
      </c>
      <c r="I333" s="32" t="str">
        <f t="shared" si="2"/>
        <v/>
      </c>
      <c r="J333" s="33" t="str">
        <f t="shared" si="18"/>
        <v/>
      </c>
      <c r="K333" s="36">
        <v>16000.0</v>
      </c>
      <c r="L333" s="33"/>
      <c r="M333" s="36">
        <v>600.0</v>
      </c>
      <c r="N333" s="44">
        <v>19800.0</v>
      </c>
      <c r="O333" s="35">
        <f>IFERROR(__xludf.DUMMYFUNCTION("IFERROR(
  VLOOKUP(C333,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C333
    ), 
    7, FALSE
  ), 
  """"
)
"),32600.0)</f>
        <v>32600</v>
      </c>
      <c r="P333" s="35">
        <f>IFERROR(__xludf.DUMMYFUNCTION("IF(AND(Q333="""", R333=""""),
  """",
  IF(OR(ISBLANK(Q333), ISBLANK(O333)),
    """",
    IF(VALUE(SUBSTITUTE(INDEX(SPLIT(IF(ISBLANK(R333), Q333, R333), "",""), 0, 1), "" Km"", """")) - O333 = 0,
      """",
      VALUE(SUBSTITUTE(INDEX(SPLIT(IF(ISBLANK("&amp;"R333), Q333, R333), "",""), 0, 1), "" Km"", """")) - O333
    )
  )
)"),-12800.0)</f>
        <v>-12800</v>
      </c>
      <c r="Q333" s="36" t="str">
        <f t="shared" si="4"/>
        <v>19 800 Km, 20.12.2023</v>
      </c>
      <c r="R333" s="33"/>
      <c r="S333" s="40">
        <v>5000.0</v>
      </c>
      <c r="T333" s="25">
        <v>2.0</v>
      </c>
      <c r="U333" s="25" t="s">
        <v>741</v>
      </c>
      <c r="V333" s="25" t="s">
        <v>742</v>
      </c>
      <c r="W333" s="37" t="str">
        <f t="shared" si="5"/>
        <v>Завершена</v>
      </c>
      <c r="X333" s="25" t="str">
        <f>IFERROR(__xludf.DUMMYFUNCTION("IF(C333 = """", """", IF(REGEXMATCH(C333, ""PCX|NMAX|ADV|CLICK""), ""скутер"", ""мото""))"),"мото")</f>
        <v>мото</v>
      </c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</row>
    <row r="334" hidden="1">
      <c r="A334" s="13" t="s">
        <v>24</v>
      </c>
      <c r="B334" s="13" t="s">
        <v>25</v>
      </c>
      <c r="C334" s="14" t="s">
        <v>92</v>
      </c>
      <c r="D334" s="14" t="s">
        <v>743</v>
      </c>
      <c r="E334" s="48">
        <v>45281.0</v>
      </c>
      <c r="F334" s="38">
        <v>45284.5</v>
      </c>
      <c r="G334" s="17" t="str">
        <f t="shared" si="15"/>
        <v>3 Д</v>
      </c>
      <c r="H334" s="18">
        <f t="shared" si="19"/>
        <v>690</v>
      </c>
      <c r="I334" s="19" t="str">
        <f t="shared" si="2"/>
        <v/>
      </c>
      <c r="J334" s="20" t="str">
        <f t="shared" si="18"/>
        <v/>
      </c>
      <c r="K334" s="23">
        <v>1980.0</v>
      </c>
      <c r="L334" s="20"/>
      <c r="M334" s="23">
        <v>690.0</v>
      </c>
      <c r="N334" s="49">
        <v>22500.0</v>
      </c>
      <c r="O334" s="22">
        <f>IFERROR(__xludf.DUMMYFUNCTION("IFERROR(
  VLOOKUP(C334,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C334
    ), 
    7, FALSE
  ), 
  """"
)
"),23500.0)</f>
        <v>23500</v>
      </c>
      <c r="P334" s="22">
        <f>IFERROR(__xludf.DUMMYFUNCTION("IF(AND(Q334="""", R334=""""),
  """",
  IF(OR(ISBLANK(Q334), ISBLANK(O334)),
    """",
    IF(VALUE(SUBSTITUTE(INDEX(SPLIT(IF(ISBLANK(R334), Q334, R334), "",""), 0, 1), "" Km"", """")) - O334 = 0,
      """",
      VALUE(SUBSTITUTE(INDEX(SPLIT(IF(ISBLANK("&amp;"R334), Q334, R334), "",""), 0, 1), "" Km"", """")) - O334
    )
  )
)"),-1000.0)</f>
        <v>-1000</v>
      </c>
      <c r="Q334" s="23" t="str">
        <f t="shared" si="4"/>
        <v>22 500 Km, 21.12.2023</v>
      </c>
      <c r="R334" s="20"/>
      <c r="S334" s="41">
        <v>5000.0</v>
      </c>
      <c r="T334" s="13">
        <v>3.0</v>
      </c>
      <c r="U334" s="13" t="s">
        <v>744</v>
      </c>
      <c r="V334" s="24"/>
      <c r="W334" s="24" t="str">
        <f t="shared" si="5"/>
        <v>Завершена</v>
      </c>
      <c r="X334" s="13" t="str">
        <f>IFERROR(__xludf.DUMMYFUNCTION("IF(C334 = """", """", IF(REGEXMATCH(C334, ""PCX|NMAX|ADV|CLICK""), ""скутер"", ""мото""))"),"мото")</f>
        <v>мото</v>
      </c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</row>
    <row r="335" hidden="1">
      <c r="A335" s="25" t="s">
        <v>24</v>
      </c>
      <c r="B335" s="25" t="s">
        <v>25</v>
      </c>
      <c r="C335" s="27" t="s">
        <v>472</v>
      </c>
      <c r="D335" s="27" t="s">
        <v>473</v>
      </c>
      <c r="E335" s="43">
        <v>45281.0</v>
      </c>
      <c r="F335" s="39">
        <v>45284.708333333336</v>
      </c>
      <c r="G335" s="30" t="str">
        <f t="shared" si="15"/>
        <v>3 Д</v>
      </c>
      <c r="H335" s="31">
        <f t="shared" si="19"/>
        <v>900</v>
      </c>
      <c r="I335" s="32" t="str">
        <f t="shared" si="2"/>
        <v/>
      </c>
      <c r="J335" s="33" t="str">
        <f t="shared" si="18"/>
        <v/>
      </c>
      <c r="K335" s="36">
        <v>2700.0</v>
      </c>
      <c r="L335" s="33"/>
      <c r="M335" s="36">
        <v>900.0</v>
      </c>
      <c r="N335" s="44">
        <v>20600.0</v>
      </c>
      <c r="O335" s="35" t="str">
        <f>IFERROR(__xludf.DUMMYFUNCTION("IFERROR(
  VLOOKUP(C335,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C335
    ), 
    7, FALSE
  ), 
  """"
)
"),"")</f>
        <v/>
      </c>
      <c r="P335" s="35">
        <f>IFERROR(__xludf.DUMMYFUNCTION("IF(AND(Q335="""", R335=""""),
  """",
  IF(OR(ISBLANK(Q335), ISBLANK(O335)),
    """",
    IF(VALUE(SUBSTITUTE(INDEX(SPLIT(IF(ISBLANK(R335), Q335, R335), "",""), 0, 1), "" Km"", """")) - O335 = 0,
      """",
      VALUE(SUBSTITUTE(INDEX(SPLIT(IF(ISBLANK("&amp;"R335), Q335, R335), "",""), 0, 1), "" Km"", """")) - O335
    )
  )
)"),20600.0)</f>
        <v>20600</v>
      </c>
      <c r="Q335" s="36" t="str">
        <f t="shared" si="4"/>
        <v>20 600 Km, 21.12.2023</v>
      </c>
      <c r="R335" s="33"/>
      <c r="S335" s="40">
        <v>15000.0</v>
      </c>
      <c r="T335" s="25">
        <v>0.0</v>
      </c>
      <c r="U335" s="25" t="s">
        <v>516</v>
      </c>
      <c r="V335" s="37"/>
      <c r="W335" s="37" t="str">
        <f t="shared" si="5"/>
        <v>Завершена</v>
      </c>
      <c r="X335" s="25" t="str">
        <f>IFERROR(__xludf.DUMMYFUNCTION("IF(C335 = """", """", IF(REGEXMATCH(C335, ""PCX|NMAX|ADV|CLICK""), ""скутер"", ""мото""))"),"мото")</f>
        <v>мото</v>
      </c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</row>
    <row r="336" hidden="1">
      <c r="A336" s="13" t="s">
        <v>24</v>
      </c>
      <c r="B336" s="13" t="s">
        <v>25</v>
      </c>
      <c r="C336" s="14" t="s">
        <v>60</v>
      </c>
      <c r="D336" s="14" t="s">
        <v>745</v>
      </c>
      <c r="E336" s="48">
        <v>45281.0</v>
      </c>
      <c r="F336" s="38">
        <v>45287.833333333336</v>
      </c>
      <c r="G336" s="17" t="str">
        <f t="shared" si="15"/>
        <v>6 Д</v>
      </c>
      <c r="H336" s="18">
        <f t="shared" si="19"/>
        <v>590</v>
      </c>
      <c r="I336" s="19" t="str">
        <f t="shared" si="2"/>
        <v/>
      </c>
      <c r="J336" s="20" t="str">
        <f t="shared" si="18"/>
        <v/>
      </c>
      <c r="K336" s="23">
        <v>3540.0</v>
      </c>
      <c r="L336" s="20"/>
      <c r="M336" s="23">
        <v>590.0</v>
      </c>
      <c r="N336" s="49">
        <v>24500.0</v>
      </c>
      <c r="O336" s="22" t="str">
        <f>IFERROR(__xludf.DUMMYFUNCTION("IFERROR(
  VLOOKUP(C336,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C336
    ), 
    7, FALSE
  ), 
  """"
)
"),"")</f>
        <v/>
      </c>
      <c r="P336" s="22">
        <f>IFERROR(__xludf.DUMMYFUNCTION("IF(AND(Q336="""", R336=""""),
  """",
  IF(OR(ISBLANK(Q336), ISBLANK(O336)),
    """",
    IF(VALUE(SUBSTITUTE(INDEX(SPLIT(IF(ISBLANK(R336), Q336, R336), "",""), 0, 1), "" Km"", """")) - O336 = 0,
      """",
      VALUE(SUBSTITUTE(INDEX(SPLIT(IF(ISBLANK("&amp;"R336), Q336, R336), "",""), 0, 1), "" Km"", """")) - O336
    )
  )
)"),24500.0)</f>
        <v>24500</v>
      </c>
      <c r="Q336" s="23" t="str">
        <f t="shared" si="4"/>
        <v>24 500 Km, 21.12.2023</v>
      </c>
      <c r="R336" s="20"/>
      <c r="S336" s="41">
        <v>13500.0</v>
      </c>
      <c r="T336" s="13">
        <v>2.0</v>
      </c>
      <c r="U336" s="66" t="s">
        <v>746</v>
      </c>
      <c r="V336" s="24"/>
      <c r="W336" s="24" t="str">
        <f t="shared" si="5"/>
        <v>Завершена</v>
      </c>
      <c r="X336" s="13" t="str">
        <f>IFERROR(__xludf.DUMMYFUNCTION("IF(C336 = """", """", IF(REGEXMATCH(C336, ""PCX|NMAX|ADV|CLICK""), ""скутер"", ""мото""))"),"мото")</f>
        <v>мото</v>
      </c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</row>
    <row r="337" hidden="1">
      <c r="A337" s="25" t="s">
        <v>24</v>
      </c>
      <c r="B337" s="25" t="s">
        <v>25</v>
      </c>
      <c r="C337" s="27" t="s">
        <v>113</v>
      </c>
      <c r="D337" s="27" t="s">
        <v>747</v>
      </c>
      <c r="E337" s="43">
        <v>45281.0</v>
      </c>
      <c r="F337" s="39">
        <v>45307.875</v>
      </c>
      <c r="G337" s="30" t="str">
        <f t="shared" si="15"/>
        <v>26 Д</v>
      </c>
      <c r="H337" s="31">
        <f t="shared" si="19"/>
        <v>600</v>
      </c>
      <c r="I337" s="32" t="str">
        <f t="shared" si="2"/>
        <v/>
      </c>
      <c r="J337" s="33" t="str">
        <f t="shared" si="18"/>
        <v/>
      </c>
      <c r="K337" s="36">
        <v>15600.0</v>
      </c>
      <c r="L337" s="33"/>
      <c r="M337" s="36">
        <v>600.0</v>
      </c>
      <c r="N337" s="44">
        <v>26700.0</v>
      </c>
      <c r="O337" s="35" t="str">
        <f>IFERROR(__xludf.DUMMYFUNCTION("IFERROR(
  VLOOKUP(C337,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C337
    ), 
    7, FALSE
  ), 
  """"
)
"),"")</f>
        <v/>
      </c>
      <c r="P337" s="35">
        <f>IFERROR(__xludf.DUMMYFUNCTION("IF(AND(Q337="""", R337=""""),
  """",
  IF(OR(ISBLANK(Q337), ISBLANK(O337)),
    """",
    IF(VALUE(SUBSTITUTE(INDEX(SPLIT(IF(ISBLANK(R337), Q337, R337), "",""), 0, 1), "" Km"", """")) - O337 = 0,
      """",
      VALUE(SUBSTITUTE(INDEX(SPLIT(IF(ISBLANK("&amp;"R337), Q337, R337), "",""), 0, 1), "" Km"", """")) - O337
    )
  )
)"),26700.0)</f>
        <v>26700</v>
      </c>
      <c r="Q337" s="36" t="str">
        <f t="shared" si="4"/>
        <v>26 700 Km, 21.12.2023</v>
      </c>
      <c r="R337" s="33"/>
      <c r="S337" s="40">
        <v>200.0</v>
      </c>
      <c r="T337" s="25">
        <v>2.0</v>
      </c>
      <c r="U337" s="25" t="s">
        <v>748</v>
      </c>
      <c r="V337" s="25" t="s">
        <v>749</v>
      </c>
      <c r="W337" s="37" t="str">
        <f t="shared" si="5"/>
        <v>Завершена</v>
      </c>
      <c r="X337" s="25" t="str">
        <f>IFERROR(__xludf.DUMMYFUNCTION("IF(C337 = """", """", IF(REGEXMATCH(C337, ""PCX|NMAX|ADV|CLICK""), ""скутер"", ""мото""))"),"мото")</f>
        <v>мото</v>
      </c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</row>
    <row r="338" hidden="1">
      <c r="A338" s="13" t="s">
        <v>24</v>
      </c>
      <c r="B338" s="13" t="s">
        <v>25</v>
      </c>
      <c r="C338" s="14" t="s">
        <v>750</v>
      </c>
      <c r="D338" s="14" t="s">
        <v>480</v>
      </c>
      <c r="E338" s="48">
        <v>45282.0</v>
      </c>
      <c r="F338" s="38">
        <v>45285.458333333336</v>
      </c>
      <c r="G338" s="17" t="str">
        <f t="shared" si="15"/>
        <v>3 Д</v>
      </c>
      <c r="H338" s="18">
        <f t="shared" si="19"/>
        <v>500</v>
      </c>
      <c r="I338" s="19" t="str">
        <f t="shared" si="2"/>
        <v/>
      </c>
      <c r="J338" s="20" t="str">
        <f t="shared" si="18"/>
        <v/>
      </c>
      <c r="K338" s="23">
        <v>1500.0</v>
      </c>
      <c r="L338" s="20"/>
      <c r="M338" s="23">
        <v>500.0</v>
      </c>
      <c r="N338" s="49">
        <v>41000.0</v>
      </c>
      <c r="O338" s="22" t="str">
        <f>IFERROR(__xludf.DUMMYFUNCTION("IFERROR(
  VLOOKUP(C338,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C338
    ), 
    7, FALSE
  ), 
  """"
)
"),"")</f>
        <v/>
      </c>
      <c r="P338" s="22">
        <f>IFERROR(__xludf.DUMMYFUNCTION("IF(AND(Q338="""", R338=""""),
  """",
  IF(OR(ISBLANK(Q338), ISBLANK(O338)),
    """",
    IF(VALUE(SUBSTITUTE(INDEX(SPLIT(IF(ISBLANK(R338), Q338, R338), "",""), 0, 1), "" Km"", """")) - O338 = 0,
      """",
      VALUE(SUBSTITUTE(INDEX(SPLIT(IF(ISBLANK("&amp;"R338), Q338, R338), "",""), 0, 1), "" Km"", """")) - O338
    )
  )
)"),41000.0)</f>
        <v>41000</v>
      </c>
      <c r="Q338" s="23" t="str">
        <f t="shared" si="4"/>
        <v>41 000 Km, 22.12.2023</v>
      </c>
      <c r="R338" s="20"/>
      <c r="S338" s="41">
        <v>0.0</v>
      </c>
      <c r="T338" s="13">
        <v>1.0</v>
      </c>
      <c r="U338" s="13" t="s">
        <v>516</v>
      </c>
      <c r="V338" s="24"/>
      <c r="W338" s="24" t="str">
        <f t="shared" si="5"/>
        <v>Завершена</v>
      </c>
      <c r="X338" s="13" t="str">
        <f>IFERROR(__xludf.DUMMYFUNCTION("IF(C338 = """", """", IF(REGEXMATCH(C338, ""PCX|NMAX|ADV|CLICK""), ""скутер"", ""мото""))"),"мото")</f>
        <v>мото</v>
      </c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</row>
    <row r="339" hidden="1">
      <c r="A339" s="25" t="s">
        <v>24</v>
      </c>
      <c r="B339" s="25" t="s">
        <v>25</v>
      </c>
      <c r="C339" s="27" t="s">
        <v>56</v>
      </c>
      <c r="D339" s="27" t="s">
        <v>708</v>
      </c>
      <c r="E339" s="43">
        <v>45282.0</v>
      </c>
      <c r="F339" s="39">
        <v>45289.458333333336</v>
      </c>
      <c r="G339" s="30" t="str">
        <f t="shared" si="15"/>
        <v>7 Д</v>
      </c>
      <c r="H339" s="31">
        <f t="shared" si="19"/>
        <v>390</v>
      </c>
      <c r="I339" s="32" t="str">
        <f t="shared" si="2"/>
        <v/>
      </c>
      <c r="J339" s="33" t="str">
        <f t="shared" si="18"/>
        <v/>
      </c>
      <c r="K339" s="36">
        <v>2730.0</v>
      </c>
      <c r="L339" s="33"/>
      <c r="M339" s="36">
        <v>390.0</v>
      </c>
      <c r="N339" s="44">
        <v>20500.0</v>
      </c>
      <c r="O339" s="35">
        <f>IFERROR(__xludf.DUMMYFUNCTION("IFERROR(
  VLOOKUP(C339,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C339
    ), 
    7, FALSE
  ), 
  """"
)
"),36400.0)</f>
        <v>36400</v>
      </c>
      <c r="P339" s="35">
        <f>IFERROR(__xludf.DUMMYFUNCTION("IF(AND(Q339="""", R339=""""),
  """",
  IF(OR(ISBLANK(Q339), ISBLANK(O339)),
    """",
    IF(VALUE(SUBSTITUTE(INDEX(SPLIT(IF(ISBLANK(R339), Q339, R339), "",""), 0, 1), "" Km"", """")) - O339 = 0,
      """",
      VALUE(SUBSTITUTE(INDEX(SPLIT(IF(ISBLANK("&amp;"R339), Q339, R339), "",""), 0, 1), "" Km"", """")) - O339
    )
  )
)"),-15900.0)</f>
        <v>-15900</v>
      </c>
      <c r="Q339" s="36" t="str">
        <f t="shared" si="4"/>
        <v>20 500 Km, 22.12.2023</v>
      </c>
      <c r="R339" s="33"/>
      <c r="S339" s="40">
        <v>3000.0</v>
      </c>
      <c r="T339" s="25">
        <v>1.0</v>
      </c>
      <c r="U339" s="25" t="s">
        <v>751</v>
      </c>
      <c r="V339" s="37"/>
      <c r="W339" s="37" t="str">
        <f t="shared" si="5"/>
        <v>Завершена</v>
      </c>
      <c r="X339" s="25" t="str">
        <f>IFERROR(__xludf.DUMMYFUNCTION("IF(C339 = """", """", IF(REGEXMATCH(C339, ""PCX|NMAX|ADV|CLICK""), ""скутер"", ""мото""))"),"скутер")</f>
        <v>скутер</v>
      </c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</row>
    <row r="340" hidden="1">
      <c r="A340" s="13" t="s">
        <v>24</v>
      </c>
      <c r="B340" s="13" t="s">
        <v>25</v>
      </c>
      <c r="C340" s="14" t="s">
        <v>193</v>
      </c>
      <c r="D340" s="14" t="s">
        <v>752</v>
      </c>
      <c r="E340" s="48">
        <v>45282.0</v>
      </c>
      <c r="F340" s="38">
        <v>45350.541666666664</v>
      </c>
      <c r="G340" s="17" t="str">
        <f t="shared" si="15"/>
        <v>2 М</v>
      </c>
      <c r="H340" s="18">
        <f t="shared" si="19"/>
        <v>296.6666667</v>
      </c>
      <c r="I340" s="19" t="str">
        <f t="shared" si="2"/>
        <v/>
      </c>
      <c r="J340" s="20" t="str">
        <f t="shared" si="18"/>
        <v/>
      </c>
      <c r="K340" s="23">
        <f>8900+8900+1500+891</f>
        <v>20191</v>
      </c>
      <c r="L340" s="23">
        <v>8900.0</v>
      </c>
      <c r="M340" s="20"/>
      <c r="N340" s="49">
        <v>12000.0</v>
      </c>
      <c r="O340" s="22" t="str">
        <f>IFERROR(__xludf.DUMMYFUNCTION("IFERROR(
  VLOOKUP(C340,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C340
    ), 
    7, FALSE
  ), 
  """"
)
"),"")</f>
        <v/>
      </c>
      <c r="P340" s="22">
        <f>IFERROR(__xludf.DUMMYFUNCTION("IF(AND(Q340="""", R340=""""),
  """",
  IF(OR(ISBLANK(Q340), ISBLANK(O340)),
    """",
    IF(VALUE(SUBSTITUTE(INDEX(SPLIT(IF(ISBLANK(R340), Q340, R340), "",""), 0, 1), "" Km"", """")) - O340 = 0,
      """",
      VALUE(SUBSTITUTE(INDEX(SPLIT(IF(ISBLANK("&amp;"R340), Q340, R340), "",""), 0, 1), "" Km"", """")) - O340
    )
  )
)"),12000.0)</f>
        <v>12000</v>
      </c>
      <c r="Q340" s="23" t="str">
        <f t="shared" si="4"/>
        <v>12 000 Km, 22.12.2023</v>
      </c>
      <c r="R340" s="20"/>
      <c r="S340" s="41" t="s">
        <v>753</v>
      </c>
      <c r="T340" s="13">
        <v>2.0</v>
      </c>
      <c r="U340" s="13" t="s">
        <v>754</v>
      </c>
      <c r="V340" s="24"/>
      <c r="W340" s="24" t="str">
        <f t="shared" si="5"/>
        <v>Завершена</v>
      </c>
      <c r="X340" s="13" t="str">
        <f>IFERROR(__xludf.DUMMYFUNCTION("IF(C340 = """", """", IF(REGEXMATCH(C340, ""PCX|NMAX|ADV|CLICK""), ""скутер"", ""мото""))"),"мото")</f>
        <v>мото</v>
      </c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</row>
    <row r="341" hidden="1">
      <c r="A341" s="25" t="s">
        <v>24</v>
      </c>
      <c r="B341" s="25" t="s">
        <v>25</v>
      </c>
      <c r="C341" s="27" t="s">
        <v>427</v>
      </c>
      <c r="D341" s="27" t="s">
        <v>755</v>
      </c>
      <c r="E341" s="43">
        <v>45283.0</v>
      </c>
      <c r="F341" s="39">
        <v>45285.541666666664</v>
      </c>
      <c r="G341" s="30" t="str">
        <f t="shared" si="15"/>
        <v>2 Д</v>
      </c>
      <c r="H341" s="31">
        <f t="shared" si="19"/>
        <v>800</v>
      </c>
      <c r="I341" s="32" t="str">
        <f t="shared" si="2"/>
        <v/>
      </c>
      <c r="J341" s="33" t="str">
        <f t="shared" si="18"/>
        <v/>
      </c>
      <c r="K341" s="36">
        <v>1600.0</v>
      </c>
      <c r="L341" s="33"/>
      <c r="M341" s="36">
        <v>800.0</v>
      </c>
      <c r="N341" s="44">
        <v>18111.0</v>
      </c>
      <c r="O341" s="35" t="str">
        <f>IFERROR(__xludf.DUMMYFUNCTION("IFERROR(
  VLOOKUP(C341,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C341
    ), 
    7, FALSE
  ), 
  """"
)
"),"")</f>
        <v/>
      </c>
      <c r="P341" s="35">
        <f>IFERROR(__xludf.DUMMYFUNCTION("IF(AND(Q341="""", R341=""""),
  """",
  IF(OR(ISBLANK(Q341), ISBLANK(O341)),
    """",
    IF(VALUE(SUBSTITUTE(INDEX(SPLIT(IF(ISBLANK(R341), Q341, R341), "",""), 0, 1), "" Km"", """")) - O341 = 0,
      """",
      VALUE(SUBSTITUTE(INDEX(SPLIT(IF(ISBLANK("&amp;"R341), Q341, R341), "",""), 0, 1), "" Km"", """")) - O341
    )
  )
)"),18111.0)</f>
        <v>18111</v>
      </c>
      <c r="Q341" s="36" t="str">
        <f t="shared" si="4"/>
        <v>18 111 Km, 23.12.2023</v>
      </c>
      <c r="R341" s="33"/>
      <c r="S341" s="40">
        <v>2000.0</v>
      </c>
      <c r="T341" s="25">
        <v>0.0</v>
      </c>
      <c r="U341" s="25" t="s">
        <v>756</v>
      </c>
      <c r="V341" s="25" t="s">
        <v>757</v>
      </c>
      <c r="W341" s="37" t="str">
        <f t="shared" si="5"/>
        <v>Завершена</v>
      </c>
      <c r="X341" s="25" t="str">
        <f>IFERROR(__xludf.DUMMYFUNCTION("IF(C341 = """", """", IF(REGEXMATCH(C341, ""PCX|NMAX|ADV|CLICK""), ""скутер"", ""мото""))"),"мото")</f>
        <v>мото</v>
      </c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</row>
    <row r="342" hidden="1">
      <c r="A342" s="13" t="s">
        <v>24</v>
      </c>
      <c r="B342" s="13" t="s">
        <v>25</v>
      </c>
      <c r="C342" s="14" t="s">
        <v>151</v>
      </c>
      <c r="D342" s="14" t="s">
        <v>758</v>
      </c>
      <c r="E342" s="48">
        <v>45283.0</v>
      </c>
      <c r="F342" s="38">
        <v>45290.541666666664</v>
      </c>
      <c r="G342" s="17" t="str">
        <f t="shared" si="15"/>
        <v>7 Д</v>
      </c>
      <c r="H342" s="18">
        <f t="shared" si="19"/>
        <v>390</v>
      </c>
      <c r="I342" s="19" t="str">
        <f t="shared" si="2"/>
        <v/>
      </c>
      <c r="J342" s="20" t="str">
        <f t="shared" si="18"/>
        <v/>
      </c>
      <c r="K342" s="23">
        <v>2730.0</v>
      </c>
      <c r="L342" s="20"/>
      <c r="M342" s="23">
        <v>390.0</v>
      </c>
      <c r="N342" s="49">
        <v>21200.0</v>
      </c>
      <c r="O342" s="22">
        <f>IFERROR(__xludf.DUMMYFUNCTION("IFERROR(
  VLOOKUP(C342,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C342
    ), 
    7, FALSE
  ), 
  """"
)
"),35800.0)</f>
        <v>35800</v>
      </c>
      <c r="P342" s="22">
        <f>IFERROR(__xludf.DUMMYFUNCTION("IF(AND(Q342="""", R342=""""),
  """",
  IF(OR(ISBLANK(Q342), ISBLANK(O342)),
    """",
    IF(VALUE(SUBSTITUTE(INDEX(SPLIT(IF(ISBLANK(R342), Q342, R342), "",""), 0, 1), "" Km"", """")) - O342 = 0,
      """",
      VALUE(SUBSTITUTE(INDEX(SPLIT(IF(ISBLANK("&amp;"R342), Q342, R342), "",""), 0, 1), "" Km"", """")) - O342
    )
  )
)"),-14600.0)</f>
        <v>-14600</v>
      </c>
      <c r="Q342" s="23" t="str">
        <f t="shared" si="4"/>
        <v>21 200 Km, 23.12.2023</v>
      </c>
      <c r="R342" s="20"/>
      <c r="S342" s="41">
        <v>3000.0</v>
      </c>
      <c r="T342" s="13">
        <v>3.0</v>
      </c>
      <c r="U342" s="13" t="s">
        <v>759</v>
      </c>
      <c r="V342" s="24"/>
      <c r="W342" s="24" t="str">
        <f t="shared" si="5"/>
        <v>Завершена</v>
      </c>
      <c r="X342" s="13" t="str">
        <f>IFERROR(__xludf.DUMMYFUNCTION("IF(C342 = """", """", IF(REGEXMATCH(C342, ""PCX|NMAX|ADV|CLICK""), ""скутер"", ""мото""))"),"скутер")</f>
        <v>скутер</v>
      </c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</row>
    <row r="343" hidden="1">
      <c r="A343" s="25" t="s">
        <v>24</v>
      </c>
      <c r="B343" s="25" t="s">
        <v>25</v>
      </c>
      <c r="C343" s="27" t="s">
        <v>132</v>
      </c>
      <c r="D343" s="27" t="s">
        <v>760</v>
      </c>
      <c r="E343" s="43">
        <v>45283.0</v>
      </c>
      <c r="F343" s="39">
        <v>45294.75</v>
      </c>
      <c r="G343" s="30" t="str">
        <f t="shared" si="15"/>
        <v>11 Д</v>
      </c>
      <c r="H343" s="31">
        <f t="shared" si="19"/>
        <v>290</v>
      </c>
      <c r="I343" s="32" t="str">
        <f t="shared" si="2"/>
        <v/>
      </c>
      <c r="J343" s="33" t="str">
        <f t="shared" si="18"/>
        <v/>
      </c>
      <c r="K343" s="36">
        <f>2030+1160</f>
        <v>3190</v>
      </c>
      <c r="L343" s="33"/>
      <c r="M343" s="36">
        <v>290.0</v>
      </c>
      <c r="N343" s="44">
        <v>33200.0</v>
      </c>
      <c r="O343" s="35" t="str">
        <f>IFERROR(__xludf.DUMMYFUNCTION("IFERROR(
  VLOOKUP(C343,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C343
    ), 
    7, FALSE
  ), 
  """"
)
"),"")</f>
        <v/>
      </c>
      <c r="P343" s="35">
        <f>IFERROR(__xludf.DUMMYFUNCTION("IF(AND(Q343="""", R343=""""),
  """",
  IF(OR(ISBLANK(Q343), ISBLANK(O343)),
    """",
    IF(VALUE(SUBSTITUTE(INDEX(SPLIT(IF(ISBLANK(R343), Q343, R343), "",""), 0, 1), "" Km"", """")) - O343 = 0,
      """",
      VALUE(SUBSTITUTE(INDEX(SPLIT(IF(ISBLANK("&amp;"R343), Q343, R343), "",""), 0, 1), "" Km"", """")) - O343
    )
  )
)"),33200.0)</f>
        <v>33200</v>
      </c>
      <c r="Q343" s="36" t="str">
        <f t="shared" si="4"/>
        <v>33 200 Km, 23.12.2023</v>
      </c>
      <c r="R343" s="33"/>
      <c r="S343" s="40">
        <v>3000.0</v>
      </c>
      <c r="T343" s="25">
        <v>2.0</v>
      </c>
      <c r="U343" s="25" t="s">
        <v>761</v>
      </c>
      <c r="V343" s="37"/>
      <c r="W343" s="37" t="str">
        <f t="shared" si="5"/>
        <v>Завершена</v>
      </c>
      <c r="X343" s="25" t="str">
        <f>IFERROR(__xludf.DUMMYFUNCTION("IF(C343 = """", """", IF(REGEXMATCH(C343, ""PCX|NMAX|ADV|CLICK""), ""скутер"", ""мото""))"),"скутер")</f>
        <v>скутер</v>
      </c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</row>
    <row r="344" hidden="1">
      <c r="A344" s="13" t="s">
        <v>24</v>
      </c>
      <c r="B344" s="13" t="s">
        <v>25</v>
      </c>
      <c r="C344" s="14" t="s">
        <v>102</v>
      </c>
      <c r="D344" s="14" t="s">
        <v>762</v>
      </c>
      <c r="E344" s="48">
        <v>45284.0</v>
      </c>
      <c r="F344" s="38">
        <v>45289.75</v>
      </c>
      <c r="G344" s="17" t="str">
        <f t="shared" si="15"/>
        <v>5 Д</v>
      </c>
      <c r="H344" s="18">
        <f t="shared" si="19"/>
        <v>1780</v>
      </c>
      <c r="I344" s="19" t="str">
        <f t="shared" si="2"/>
        <v/>
      </c>
      <c r="J344" s="20" t="str">
        <f t="shared" si="18"/>
        <v/>
      </c>
      <c r="K344" s="23">
        <f>5340+3560</f>
        <v>8900</v>
      </c>
      <c r="L344" s="20"/>
      <c r="M344" s="23">
        <v>1780.0</v>
      </c>
      <c r="N344" s="49">
        <v>35300.0</v>
      </c>
      <c r="O344" s="22">
        <f>IFERROR(__xludf.DUMMYFUNCTION("IFERROR(
  VLOOKUP(C344,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C344
    ), 
    7, FALSE
  ), 
  """"
)
"),63700.0)</f>
        <v>63700</v>
      </c>
      <c r="P344" s="22">
        <f>IFERROR(__xludf.DUMMYFUNCTION("IF(AND(Q344="""", R344=""""),
  """",
  IF(OR(ISBLANK(Q344), ISBLANK(O344)),
    """",
    IF(VALUE(SUBSTITUTE(INDEX(SPLIT(IF(ISBLANK(R344), Q344, R344), "",""), 0, 1), "" Km"", """")) - O344 = 0,
      """",
      VALUE(SUBSTITUTE(INDEX(SPLIT(IF(ISBLANK("&amp;"R344), Q344, R344), "",""), 0, 1), "" Km"", """")) - O344
    )
  )
)"),-28400.0)</f>
        <v>-28400</v>
      </c>
      <c r="Q344" s="23" t="str">
        <f t="shared" si="4"/>
        <v>35 300 Km, 24.12.2023</v>
      </c>
      <c r="R344" s="20"/>
      <c r="S344" s="41" t="s">
        <v>515</v>
      </c>
      <c r="T344" s="13">
        <v>2.0</v>
      </c>
      <c r="U344" s="13" t="s">
        <v>763</v>
      </c>
      <c r="V344" s="13" t="s">
        <v>764</v>
      </c>
      <c r="W344" s="24" t="str">
        <f t="shared" si="5"/>
        <v>Завершена</v>
      </c>
      <c r="X344" s="13" t="str">
        <f>IFERROR(__xludf.DUMMYFUNCTION("IF(C344 = """", """", IF(REGEXMATCH(C344, ""PCX|NMAX|ADV|CLICK""), ""скутер"", ""мото""))"),"мото")</f>
        <v>мото</v>
      </c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</row>
    <row r="345" hidden="1">
      <c r="A345" s="25" t="s">
        <v>24</v>
      </c>
      <c r="B345" s="25" t="s">
        <v>25</v>
      </c>
      <c r="C345" s="27" t="s">
        <v>48</v>
      </c>
      <c r="D345" s="27" t="s">
        <v>765</v>
      </c>
      <c r="E345" s="43">
        <v>45284.0</v>
      </c>
      <c r="F345" s="39">
        <v>45293.583333333336</v>
      </c>
      <c r="G345" s="30" t="str">
        <f t="shared" si="15"/>
        <v>9 Д</v>
      </c>
      <c r="H345" s="31">
        <f t="shared" si="19"/>
        <v>390</v>
      </c>
      <c r="I345" s="32" t="str">
        <f t="shared" si="2"/>
        <v/>
      </c>
      <c r="J345" s="33" t="str">
        <f t="shared" si="18"/>
        <v/>
      </c>
      <c r="K345" s="36">
        <v>3510.0</v>
      </c>
      <c r="L345" s="33"/>
      <c r="M345" s="36">
        <v>390.0</v>
      </c>
      <c r="N345" s="44">
        <v>21534.0</v>
      </c>
      <c r="O345" s="35">
        <f>IFERROR(__xludf.DUMMYFUNCTION("IFERROR(
  VLOOKUP(C345,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C345
    ), 
    7, FALSE
  ), 
  """"
)
"),35800.0)</f>
        <v>35800</v>
      </c>
      <c r="P345" s="35">
        <f>IFERROR(__xludf.DUMMYFUNCTION("IF(AND(Q345="""", R345=""""),
  """",
  IF(OR(ISBLANK(Q345), ISBLANK(O345)),
    """",
    IF(VALUE(SUBSTITUTE(INDEX(SPLIT(IF(ISBLANK(R345), Q345, R345), "",""), 0, 1), "" Km"", """")) - O345 = 0,
      """",
      VALUE(SUBSTITUTE(INDEX(SPLIT(IF(ISBLANK("&amp;"R345), Q345, R345), "",""), 0, 1), "" Km"", """")) - O345
    )
  )
)"),-14266.0)</f>
        <v>-14266</v>
      </c>
      <c r="Q345" s="36" t="str">
        <f t="shared" si="4"/>
        <v>21 534 Km, 24.12.2023</v>
      </c>
      <c r="R345" s="33"/>
      <c r="S345" s="40" t="s">
        <v>766</v>
      </c>
      <c r="T345" s="25">
        <v>2.0</v>
      </c>
      <c r="U345" s="25" t="s">
        <v>767</v>
      </c>
      <c r="V345" s="37"/>
      <c r="W345" s="37" t="str">
        <f t="shared" si="5"/>
        <v>Завершена</v>
      </c>
      <c r="X345" s="25" t="str">
        <f>IFERROR(__xludf.DUMMYFUNCTION("IF(C345 = """", """", IF(REGEXMATCH(C345, ""PCX|NMAX|ADV|CLICK""), ""скутер"", ""мото""))"),"скутер")</f>
        <v>скутер</v>
      </c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</row>
    <row r="346" hidden="1">
      <c r="A346" s="13" t="s">
        <v>24</v>
      </c>
      <c r="B346" s="13" t="s">
        <v>25</v>
      </c>
      <c r="C346" s="14" t="s">
        <v>68</v>
      </c>
      <c r="D346" s="14" t="s">
        <v>765</v>
      </c>
      <c r="E346" s="48">
        <v>45284.0</v>
      </c>
      <c r="F346" s="38">
        <v>45296.75</v>
      </c>
      <c r="G346" s="17" t="str">
        <f t="shared" si="15"/>
        <v>12 Д</v>
      </c>
      <c r="H346" s="18">
        <f t="shared" si="19"/>
        <v>390</v>
      </c>
      <c r="I346" s="19" t="str">
        <f t="shared" si="2"/>
        <v/>
      </c>
      <c r="J346" s="20" t="str">
        <f t="shared" si="18"/>
        <v/>
      </c>
      <c r="K346" s="23">
        <v>4680.0</v>
      </c>
      <c r="L346" s="20"/>
      <c r="M346" s="23">
        <v>390.0</v>
      </c>
      <c r="N346" s="49">
        <v>19500.0</v>
      </c>
      <c r="O346" s="22">
        <f>IFERROR(__xludf.DUMMYFUNCTION("IFERROR(
  VLOOKUP(C346,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C346
    ), 
    7, FALSE
  ), 
  """"
)
"),24094.0)</f>
        <v>24094</v>
      </c>
      <c r="P346" s="22">
        <f>IFERROR(__xludf.DUMMYFUNCTION("IF(AND(Q346="""", R346=""""),
  """",
  IF(OR(ISBLANK(Q346), ISBLANK(O346)),
    """",
    IF(VALUE(SUBSTITUTE(INDEX(SPLIT(IF(ISBLANK(R346), Q346, R346), "",""), 0, 1), "" Km"", """")) - O346 = 0,
      """",
      VALUE(SUBSTITUTE(INDEX(SPLIT(IF(ISBLANK("&amp;"R346), Q346, R346), "",""), 0, 1), "" Km"", """")) - O346
    )
  )
)"),-4594.0)</f>
        <v>-4594</v>
      </c>
      <c r="Q346" s="23" t="str">
        <f t="shared" si="4"/>
        <v>19 500 Km, 24.12.2023</v>
      </c>
      <c r="R346" s="20"/>
      <c r="S346" s="41" t="s">
        <v>766</v>
      </c>
      <c r="T346" s="13">
        <v>2.0</v>
      </c>
      <c r="U346" s="13" t="s">
        <v>767</v>
      </c>
      <c r="V346" s="24"/>
      <c r="W346" s="24" t="str">
        <f t="shared" si="5"/>
        <v>Завершена</v>
      </c>
      <c r="X346" s="13" t="str">
        <f>IFERROR(__xludf.DUMMYFUNCTION("IF(C346 = """", """", IF(REGEXMATCH(C346, ""PCX|NMAX|ADV|CLICK""), ""скутер"", ""мото""))"),"скутер")</f>
        <v>скутер</v>
      </c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</row>
    <row r="347" hidden="1">
      <c r="A347" s="25" t="s">
        <v>24</v>
      </c>
      <c r="B347" s="25" t="s">
        <v>25</v>
      </c>
      <c r="C347" s="27" t="s">
        <v>92</v>
      </c>
      <c r="D347" s="27" t="s">
        <v>768</v>
      </c>
      <c r="E347" s="43">
        <v>45284.0</v>
      </c>
      <c r="F347" s="39">
        <v>45297.416666666664</v>
      </c>
      <c r="G347" s="30" t="str">
        <f t="shared" si="15"/>
        <v>13 Д</v>
      </c>
      <c r="H347" s="31">
        <f t="shared" si="19"/>
        <v>690</v>
      </c>
      <c r="I347" s="32" t="str">
        <f t="shared" si="2"/>
        <v/>
      </c>
      <c r="J347" s="33" t="str">
        <f t="shared" si="18"/>
        <v/>
      </c>
      <c r="K347" s="36">
        <f>8280+690</f>
        <v>8970</v>
      </c>
      <c r="L347" s="36"/>
      <c r="M347" s="36">
        <v>690.0</v>
      </c>
      <c r="N347" s="44">
        <v>22500.0</v>
      </c>
      <c r="O347" s="35">
        <f>IFERROR(__xludf.DUMMYFUNCTION("IFERROR(
  VLOOKUP(C347,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C347
    ), 
    7, FALSE
  ), 
  """"
)
"),23500.0)</f>
        <v>23500</v>
      </c>
      <c r="P347" s="35">
        <f>IFERROR(__xludf.DUMMYFUNCTION("IF(AND(Q347="""", R347=""""),
  """",
  IF(OR(ISBLANK(Q347), ISBLANK(O347)),
    """",
    IF(VALUE(SUBSTITUTE(INDEX(SPLIT(IF(ISBLANK(R347), Q347, R347), "",""), 0, 1), "" Km"", """")) - O347 = 0,
      """",
      VALUE(SUBSTITUTE(INDEX(SPLIT(IF(ISBLANK("&amp;"R347), Q347, R347), "",""), 0, 1), "" Km"", """")) - O347
    )
  )
)"),-1000.0)</f>
        <v>-1000</v>
      </c>
      <c r="Q347" s="36" t="str">
        <f t="shared" si="4"/>
        <v>22 500 Km, 24.12.2023</v>
      </c>
      <c r="R347" s="33"/>
      <c r="S347" s="40">
        <v>5000.0</v>
      </c>
      <c r="T347" s="25">
        <v>2.0</v>
      </c>
      <c r="U347" s="25" t="s">
        <v>769</v>
      </c>
      <c r="V347" s="37"/>
      <c r="W347" s="37" t="str">
        <f t="shared" si="5"/>
        <v>Завершена</v>
      </c>
      <c r="X347" s="25" t="str">
        <f>IFERROR(__xludf.DUMMYFUNCTION("IF(C347 = """", """", IF(REGEXMATCH(C347, ""PCX|NMAX|ADV|CLICK""), ""скутер"", ""мото""))"),"мото")</f>
        <v>мото</v>
      </c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</row>
    <row r="348" hidden="1">
      <c r="A348" s="13" t="s">
        <v>24</v>
      </c>
      <c r="B348" s="13" t="s">
        <v>25</v>
      </c>
      <c r="C348" s="14" t="s">
        <v>173</v>
      </c>
      <c r="D348" s="14" t="s">
        <v>770</v>
      </c>
      <c r="E348" s="48">
        <v>45286.0</v>
      </c>
      <c r="F348" s="38">
        <v>45290.708333333336</v>
      </c>
      <c r="G348" s="17" t="str">
        <f t="shared" si="15"/>
        <v>4 Д</v>
      </c>
      <c r="H348" s="18">
        <f t="shared" si="19"/>
        <v>620</v>
      </c>
      <c r="I348" s="19" t="str">
        <f t="shared" si="2"/>
        <v/>
      </c>
      <c r="J348" s="20" t="str">
        <f t="shared" si="18"/>
        <v/>
      </c>
      <c r="K348" s="23">
        <v>620.0</v>
      </c>
      <c r="L348" s="20"/>
      <c r="M348" s="23">
        <v>620.0</v>
      </c>
      <c r="N348" s="49">
        <v>13200.0</v>
      </c>
      <c r="O348" s="22">
        <f>IFERROR(__xludf.DUMMYFUNCTION("IFERROR(
  VLOOKUP(C348,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C348
    ), 
    7, FALSE
  ), 
  """"
)
"),27000.0)</f>
        <v>27000</v>
      </c>
      <c r="P348" s="22">
        <f>IFERROR(__xludf.DUMMYFUNCTION("IF(AND(Q348="""", R348=""""),
  """",
  IF(OR(ISBLANK(Q348), ISBLANK(O348)),
    """",
    IF(VALUE(SUBSTITUTE(INDEX(SPLIT(IF(ISBLANK(R348), Q348, R348), "",""), 0, 1), "" Km"", """")) - O348 = 0,
      """",
      VALUE(SUBSTITUTE(INDEX(SPLIT(IF(ISBLANK("&amp;"R348), Q348, R348), "",""), 0, 1), "" Km"", """")) - O348
    )
  )
)"),-13800.0)</f>
        <v>-13800</v>
      </c>
      <c r="Q348" s="23" t="str">
        <f t="shared" si="4"/>
        <v>13 200 Km, 26.12.2023</v>
      </c>
      <c r="R348" s="20"/>
      <c r="S348" s="41">
        <v>8000.0</v>
      </c>
      <c r="T348" s="13">
        <v>2.0</v>
      </c>
      <c r="U348" s="13" t="s">
        <v>771</v>
      </c>
      <c r="V348" s="24"/>
      <c r="W348" s="24" t="str">
        <f t="shared" si="5"/>
        <v>Завершена</v>
      </c>
      <c r="X348" s="13" t="str">
        <f>IFERROR(__xludf.DUMMYFUNCTION("IF(C348 = """", """", IF(REGEXMATCH(C348, ""PCX|NMAX|ADV|CLICK""), ""скутер"", ""мото""))"),"мото")</f>
        <v>мото</v>
      </c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</row>
    <row r="349" hidden="1">
      <c r="A349" s="25" t="s">
        <v>24</v>
      </c>
      <c r="B349" s="25" t="s">
        <v>25</v>
      </c>
      <c r="C349" s="27" t="s">
        <v>198</v>
      </c>
      <c r="D349" s="27" t="s">
        <v>772</v>
      </c>
      <c r="E349" s="43">
        <v>45286.0</v>
      </c>
      <c r="F349" s="39">
        <v>45298.666666666664</v>
      </c>
      <c r="G349" s="30" t="str">
        <f t="shared" si="15"/>
        <v>12 Д</v>
      </c>
      <c r="H349" s="31">
        <f t="shared" si="19"/>
        <v>690</v>
      </c>
      <c r="I349" s="32" t="str">
        <f t="shared" si="2"/>
        <v/>
      </c>
      <c r="J349" s="33" t="str">
        <f t="shared" si="18"/>
        <v/>
      </c>
      <c r="K349" s="36">
        <f>7590+690</f>
        <v>8280</v>
      </c>
      <c r="L349" s="33"/>
      <c r="M349" s="36">
        <v>690.0</v>
      </c>
      <c r="N349" s="44">
        <v>17000.0</v>
      </c>
      <c r="O349" s="35" t="str">
        <f>IFERROR(__xludf.DUMMYFUNCTION("IFERROR(
  VLOOKUP(C349,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C349
    ), 
    7, FALSE
  ), 
  """"
)
"),"")</f>
        <v/>
      </c>
      <c r="P349" s="35">
        <f>IFERROR(__xludf.DUMMYFUNCTION("IF(AND(Q349="""", R349=""""),
  """",
  IF(OR(ISBLANK(Q349), ISBLANK(O349)),
    """",
    IF(VALUE(SUBSTITUTE(INDEX(SPLIT(IF(ISBLANK(R349), Q349, R349), "",""), 0, 1), "" Km"", """")) - O349 = 0,
      """",
      VALUE(SUBSTITUTE(INDEX(SPLIT(IF(ISBLANK("&amp;"R349), Q349, R349), "",""), 0, 1), "" Km"", """")) - O349
    )
  )
)"),17000.0)</f>
        <v>17000</v>
      </c>
      <c r="Q349" s="36" t="str">
        <f t="shared" si="4"/>
        <v>17 000 Km, 26.12.2023</v>
      </c>
      <c r="R349" s="33"/>
      <c r="S349" s="40">
        <v>5000.0</v>
      </c>
      <c r="T349" s="25">
        <v>0.0</v>
      </c>
      <c r="U349" s="25" t="s">
        <v>516</v>
      </c>
      <c r="V349" s="37"/>
      <c r="W349" s="37" t="str">
        <f t="shared" si="5"/>
        <v>Завершена</v>
      </c>
      <c r="X349" s="25" t="str">
        <f>IFERROR(__xludf.DUMMYFUNCTION("IF(C349 = """", """", IF(REGEXMATCH(C349, ""PCX|NMAX|ADV|CLICK""), ""скутер"", ""мото""))"),"мото")</f>
        <v>мото</v>
      </c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</row>
    <row r="350" hidden="1">
      <c r="A350" s="13" t="s">
        <v>24</v>
      </c>
      <c r="B350" s="13" t="s">
        <v>25</v>
      </c>
      <c r="C350" s="14" t="s">
        <v>483</v>
      </c>
      <c r="D350" s="14" t="s">
        <v>770</v>
      </c>
      <c r="E350" s="48">
        <v>45287.0</v>
      </c>
      <c r="F350" s="38">
        <v>45291.625</v>
      </c>
      <c r="G350" s="17" t="str">
        <f t="shared" si="15"/>
        <v>4 Д</v>
      </c>
      <c r="H350" s="18">
        <f t="shared" si="19"/>
        <v>1690</v>
      </c>
      <c r="I350" s="19" t="str">
        <f t="shared" si="2"/>
        <v/>
      </c>
      <c r="J350" s="20" t="str">
        <f t="shared" si="18"/>
        <v/>
      </c>
      <c r="K350" s="23">
        <f>1680*4</f>
        <v>6720</v>
      </c>
      <c r="L350" s="20"/>
      <c r="M350" s="23">
        <v>1690.0</v>
      </c>
      <c r="N350" s="49">
        <v>23300.0</v>
      </c>
      <c r="O350" s="22">
        <f>IFERROR(__xludf.DUMMYFUNCTION("IFERROR(
  VLOOKUP(C350,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C350
    ), 
    7, FALSE
  ), 
  """"
)
"),41500.0)</f>
        <v>41500</v>
      </c>
      <c r="P350" s="22">
        <f>IFERROR(__xludf.DUMMYFUNCTION("IF(AND(Q350="""", R350=""""),
  """",
  IF(OR(ISBLANK(Q350), ISBLANK(O350)),
    """",
    IF(VALUE(SUBSTITUTE(INDEX(SPLIT(IF(ISBLANK(R350), Q350, R350), "",""), 0, 1), "" Km"", """")) - O350 = 0,
      """",
      VALUE(SUBSTITUTE(INDEX(SPLIT(IF(ISBLANK("&amp;"R350), Q350, R350), "",""), 0, 1), "" Km"", """")) - O350
    )
  )
)"),-18200.0)</f>
        <v>-18200</v>
      </c>
      <c r="Q350" s="23" t="str">
        <f t="shared" si="4"/>
        <v>23 300 Km, 27.12.2023</v>
      </c>
      <c r="R350" s="20"/>
      <c r="S350" s="41" t="s">
        <v>701</v>
      </c>
      <c r="T350" s="13">
        <v>3.0</v>
      </c>
      <c r="U350" s="13" t="s">
        <v>702</v>
      </c>
      <c r="V350" s="24"/>
      <c r="W350" s="24" t="str">
        <f t="shared" si="5"/>
        <v>Завершена</v>
      </c>
      <c r="X350" s="13" t="str">
        <f>IFERROR(__xludf.DUMMYFUNCTION("IF(C350 = """", """", IF(REGEXMATCH(C350, ""PCX|NMAX|ADV|CLICK""), ""скутер"", ""мото""))"),"мото")</f>
        <v>мото</v>
      </c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</row>
    <row r="351" hidden="1">
      <c r="A351" s="25" t="s">
        <v>24</v>
      </c>
      <c r="B351" s="25" t="s">
        <v>25</v>
      </c>
      <c r="C351" s="27" t="s">
        <v>472</v>
      </c>
      <c r="D351" s="27" t="s">
        <v>773</v>
      </c>
      <c r="E351" s="43">
        <v>45288.0</v>
      </c>
      <c r="F351" s="39">
        <v>45290.583333333336</v>
      </c>
      <c r="G351" s="30" t="str">
        <f t="shared" si="15"/>
        <v>2 Д</v>
      </c>
      <c r="H351" s="31">
        <f t="shared" si="19"/>
        <v>1280</v>
      </c>
      <c r="I351" s="32" t="str">
        <f t="shared" si="2"/>
        <v/>
      </c>
      <c r="J351" s="33" t="str">
        <f t="shared" si="18"/>
        <v/>
      </c>
      <c r="K351" s="36">
        <v>2560.0</v>
      </c>
      <c r="L351" s="33"/>
      <c r="M351" s="36">
        <v>1280.0</v>
      </c>
      <c r="N351" s="44">
        <v>19000.0</v>
      </c>
      <c r="O351" s="35" t="str">
        <f>IFERROR(__xludf.DUMMYFUNCTION("IFERROR(
  VLOOKUP(C351,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C351
    ), 
    7, FALSE
  ), 
  """"
)
"),"")</f>
        <v/>
      </c>
      <c r="P351" s="35">
        <f>IFERROR(__xludf.DUMMYFUNCTION("IF(AND(Q351="""", R351=""""),
  """",
  IF(OR(ISBLANK(Q351), ISBLANK(O351)),
    """",
    IF(VALUE(SUBSTITUTE(INDEX(SPLIT(IF(ISBLANK(R351), Q351, R351), "",""), 0, 1), "" Km"", """")) - O351 = 0,
      """",
      VALUE(SUBSTITUTE(INDEX(SPLIT(IF(ISBLANK("&amp;"R351), Q351, R351), "",""), 0, 1), "" Km"", """")) - O351
    )
  )
)"),19000.0)</f>
        <v>19000</v>
      </c>
      <c r="Q351" s="36" t="str">
        <f t="shared" si="4"/>
        <v>19 000 Km, 28.12.2023</v>
      </c>
      <c r="R351" s="33"/>
      <c r="S351" s="40">
        <v>30000.0</v>
      </c>
      <c r="T351" s="25">
        <v>2.0</v>
      </c>
      <c r="U351" s="71" t="s">
        <v>774</v>
      </c>
      <c r="V351" s="37"/>
      <c r="W351" s="37" t="str">
        <f t="shared" si="5"/>
        <v>Завершена</v>
      </c>
      <c r="X351" s="25" t="str">
        <f>IFERROR(__xludf.DUMMYFUNCTION("IF(C351 = """", """", IF(REGEXMATCH(C351, ""PCX|NMAX|ADV|CLICK""), ""скутер"", ""мото""))"),"мото")</f>
        <v>мото</v>
      </c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</row>
    <row r="352" hidden="1">
      <c r="A352" s="13" t="s">
        <v>24</v>
      </c>
      <c r="B352" s="13" t="s">
        <v>25</v>
      </c>
      <c r="C352" s="14" t="s">
        <v>423</v>
      </c>
      <c r="D352" s="14" t="s">
        <v>773</v>
      </c>
      <c r="E352" s="48">
        <v>45288.0</v>
      </c>
      <c r="F352" s="38">
        <v>45299.416666666664</v>
      </c>
      <c r="G352" s="17" t="str">
        <f t="shared" si="15"/>
        <v>11 Д</v>
      </c>
      <c r="H352" s="18">
        <f t="shared" si="19"/>
        <v>1080</v>
      </c>
      <c r="I352" s="19" t="str">
        <f t="shared" si="2"/>
        <v/>
      </c>
      <c r="J352" s="20" t="str">
        <f t="shared" si="18"/>
        <v/>
      </c>
      <c r="K352" s="23">
        <v>10800.0</v>
      </c>
      <c r="L352" s="20"/>
      <c r="M352" s="23">
        <v>1080.0</v>
      </c>
      <c r="N352" s="49">
        <v>19000.0</v>
      </c>
      <c r="O352" s="22" t="str">
        <f>IFERROR(__xludf.DUMMYFUNCTION("IFERROR(
  VLOOKUP(C352,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C352
    ), 
    7, FALSE
  ), 
  """"
)
"),"")</f>
        <v/>
      </c>
      <c r="P352" s="22">
        <f>IFERROR(__xludf.DUMMYFUNCTION("IF(AND(Q352="""", R352=""""),
  """",
  IF(OR(ISBLANK(Q352), ISBLANK(O352)),
    """",
    IF(VALUE(SUBSTITUTE(INDEX(SPLIT(IF(ISBLANK(R352), Q352, R352), "",""), 0, 1), "" Km"", """")) - O352 = 0,
      """",
      VALUE(SUBSTITUTE(INDEX(SPLIT(IF(ISBLANK("&amp;"R352), Q352, R352), "",""), 0, 1), "" Km"", """")) - O352
    )
  )
)"),19000.0)</f>
        <v>19000</v>
      </c>
      <c r="Q352" s="23" t="str">
        <f t="shared" si="4"/>
        <v>19 000 Km, 28.12.2023</v>
      </c>
      <c r="R352" s="20"/>
      <c r="S352" s="41" t="s">
        <v>775</v>
      </c>
      <c r="T352" s="13">
        <v>2.0</v>
      </c>
      <c r="U352" s="66" t="s">
        <v>776</v>
      </c>
      <c r="V352" s="13" t="s">
        <v>777</v>
      </c>
      <c r="W352" s="24" t="str">
        <f t="shared" si="5"/>
        <v>Завершена</v>
      </c>
      <c r="X352" s="13" t="str">
        <f>IFERROR(__xludf.DUMMYFUNCTION("IF(C352 = """", """", IF(REGEXMATCH(C352, ""PCX|NMAX|ADV|CLICK""), ""скутер"", ""мото""))"),"мото")</f>
        <v>мото</v>
      </c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</row>
    <row r="353" hidden="1">
      <c r="A353" s="25" t="s">
        <v>24</v>
      </c>
      <c r="B353" s="27" t="s">
        <v>25</v>
      </c>
      <c r="C353" s="60" t="s">
        <v>778</v>
      </c>
      <c r="D353" s="27" t="s">
        <v>480</v>
      </c>
      <c r="E353" s="43">
        <v>45289.0</v>
      </c>
      <c r="F353" s="39">
        <v>45294.375</v>
      </c>
      <c r="G353" s="30" t="str">
        <f t="shared" si="15"/>
        <v>5 Д</v>
      </c>
      <c r="H353" s="31">
        <f t="shared" si="19"/>
        <v>400</v>
      </c>
      <c r="I353" s="74" t="str">
        <f t="shared" si="2"/>
        <v/>
      </c>
      <c r="J353" s="67" t="str">
        <f t="shared" si="18"/>
        <v/>
      </c>
      <c r="K353" s="36">
        <v>2000.0</v>
      </c>
      <c r="L353" s="67"/>
      <c r="M353" s="36">
        <v>400.0</v>
      </c>
      <c r="N353" s="34">
        <v>41000.0</v>
      </c>
      <c r="O353" s="35" t="str">
        <f>IFERROR(__xludf.DUMMYFUNCTION("IFERROR(
  VLOOKUP(C353,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C353
    ), 
    7, FALSE
  ), 
  """"
)
"),"")</f>
        <v/>
      </c>
      <c r="P353" s="35">
        <f>IFERROR(__xludf.DUMMYFUNCTION("IF(AND(Q353="""", R353=""""),
  """",
  IF(OR(ISBLANK(Q353), ISBLANK(O353)),
    """",
    IF(VALUE(SUBSTITUTE(INDEX(SPLIT(IF(ISBLANK(R353), Q353, R353), "",""), 0, 1), "" Km"", """")) - O353 = 0,
      """",
      VALUE(SUBSTITUTE(INDEX(SPLIT(IF(ISBLANK("&amp;"R353), Q353, R353), "",""), 0, 1), "" Km"", """")) - O353
    )
  )
)"),41000.0)</f>
        <v>41000</v>
      </c>
      <c r="Q353" s="33" t="str">
        <f t="shared" si="4"/>
        <v>41 000 Km, 29.12.2023</v>
      </c>
      <c r="R353" s="77"/>
      <c r="S353" s="31">
        <v>0.0</v>
      </c>
      <c r="T353" s="37">
        <v>1.0</v>
      </c>
      <c r="U353" s="37" t="s">
        <v>516</v>
      </c>
      <c r="V353" s="78"/>
      <c r="W353" s="37" t="str">
        <f t="shared" si="5"/>
        <v>Завершена</v>
      </c>
      <c r="X353" s="46" t="str">
        <f>IFERROR(__xludf.DUMMYFUNCTION("IF(C353 = """", """", IF(REGEXMATCH(C353, ""PCX|NMAX|ADV|CLICK""), ""скутер"", ""мото""))"),"мото")</f>
        <v>мото</v>
      </c>
      <c r="Y353" s="25"/>
      <c r="Z353" s="25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</row>
    <row r="354" hidden="1">
      <c r="A354" s="13" t="s">
        <v>24</v>
      </c>
      <c r="B354" s="13" t="s">
        <v>25</v>
      </c>
      <c r="C354" s="14" t="s">
        <v>173</v>
      </c>
      <c r="D354" s="14" t="s">
        <v>779</v>
      </c>
      <c r="E354" s="48">
        <v>45289.0</v>
      </c>
      <c r="F354" s="38">
        <v>45294.75</v>
      </c>
      <c r="G354" s="17" t="str">
        <f t="shared" si="15"/>
        <v>5 Д</v>
      </c>
      <c r="H354" s="18">
        <f t="shared" si="19"/>
        <v>590</v>
      </c>
      <c r="I354" s="19" t="str">
        <f t="shared" si="2"/>
        <v/>
      </c>
      <c r="J354" s="20" t="str">
        <f t="shared" si="18"/>
        <v/>
      </c>
      <c r="K354" s="23">
        <v>2950.0</v>
      </c>
      <c r="L354" s="20"/>
      <c r="M354" s="23">
        <v>590.0</v>
      </c>
      <c r="N354" s="49">
        <v>13000.0</v>
      </c>
      <c r="O354" s="22">
        <f>IFERROR(__xludf.DUMMYFUNCTION("IFERROR(
  VLOOKUP(C354,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C354
    ), 
    7, FALSE
  ), 
  """"
)
"),27000.0)</f>
        <v>27000</v>
      </c>
      <c r="P354" s="22">
        <f>IFERROR(__xludf.DUMMYFUNCTION("IF(AND(Q354="""", R354=""""),
  """",
  IF(OR(ISBLANK(Q354), ISBLANK(O354)),
    """",
    IF(VALUE(SUBSTITUTE(INDEX(SPLIT(IF(ISBLANK(R354), Q354, R354), "",""), 0, 1), "" Km"", """")) - O354 = 0,
      """",
      VALUE(SUBSTITUTE(INDEX(SPLIT(IF(ISBLANK("&amp;"R354), Q354, R354), "",""), 0, 1), "" Km"", """")) - O354
    )
  )
)"),-14000.0)</f>
        <v>-14000</v>
      </c>
      <c r="Q354" s="23" t="str">
        <f t="shared" si="4"/>
        <v>13 000 Km, 29.12.2023</v>
      </c>
      <c r="R354" s="20"/>
      <c r="S354" s="41">
        <v>8000.0</v>
      </c>
      <c r="T354" s="13">
        <v>0.0</v>
      </c>
      <c r="U354" s="13" t="s">
        <v>516</v>
      </c>
      <c r="V354" s="24"/>
      <c r="W354" s="24" t="str">
        <f t="shared" si="5"/>
        <v>Завершена</v>
      </c>
      <c r="X354" s="13" t="str">
        <f>IFERROR(__xludf.DUMMYFUNCTION("IF(C354 = """", """", IF(REGEXMATCH(C354, ""PCX|NMAX|ADV|CLICK""), ""скутер"", ""мото""))"),"мото")</f>
        <v>мото</v>
      </c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</row>
    <row r="355" hidden="1">
      <c r="A355" s="25" t="s">
        <v>24</v>
      </c>
      <c r="B355" s="25" t="s">
        <v>25</v>
      </c>
      <c r="C355" s="27" t="s">
        <v>88</v>
      </c>
      <c r="D355" s="27" t="s">
        <v>780</v>
      </c>
      <c r="E355" s="43">
        <v>45289.0</v>
      </c>
      <c r="F355" s="39">
        <v>45300.541666666664</v>
      </c>
      <c r="G355" s="30" t="str">
        <f t="shared" si="15"/>
        <v>11 Д</v>
      </c>
      <c r="H355" s="31">
        <f t="shared" si="19"/>
        <v>390</v>
      </c>
      <c r="I355" s="32" t="str">
        <f t="shared" si="2"/>
        <v/>
      </c>
      <c r="J355" s="33" t="str">
        <f t="shared" si="18"/>
        <v/>
      </c>
      <c r="K355" s="36">
        <v>4290.0</v>
      </c>
      <c r="L355" s="33"/>
      <c r="M355" s="36">
        <v>390.0</v>
      </c>
      <c r="N355" s="44">
        <v>18200.0</v>
      </c>
      <c r="O355" s="35" t="str">
        <f>IFERROR(__xludf.DUMMYFUNCTION("IFERROR(
  VLOOKUP(C355,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C355
    ), 
    7, FALSE
  ), 
  """"
)
"),"")</f>
        <v/>
      </c>
      <c r="P355" s="35">
        <f>IFERROR(__xludf.DUMMYFUNCTION("IF(AND(Q355="""", R355=""""),
  """",
  IF(OR(ISBLANK(Q355), ISBLANK(O355)),
    """",
    IF(VALUE(SUBSTITUTE(INDEX(SPLIT(IF(ISBLANK(R355), Q355, R355), "",""), 0, 1), "" Km"", """")) - O355 = 0,
      """",
      VALUE(SUBSTITUTE(INDEX(SPLIT(IF(ISBLANK("&amp;"R355), Q355, R355), "",""), 0, 1), "" Km"", """")) - O355
    )
  )
)"),18200.0)</f>
        <v>18200</v>
      </c>
      <c r="Q355" s="36" t="str">
        <f t="shared" si="4"/>
        <v>18 200 Km, 29.12.2023</v>
      </c>
      <c r="R355" s="33"/>
      <c r="S355" s="40">
        <v>4000.0</v>
      </c>
      <c r="T355" s="25">
        <v>2.0</v>
      </c>
      <c r="U355" s="71" t="s">
        <v>781</v>
      </c>
      <c r="V355" s="25" t="s">
        <v>782</v>
      </c>
      <c r="W355" s="37" t="str">
        <f t="shared" si="5"/>
        <v>Завершена</v>
      </c>
      <c r="X355" s="25" t="str">
        <f>IFERROR(__xludf.DUMMYFUNCTION("IF(C355 = """", """", IF(REGEXMATCH(C355, ""PCX|NMAX|ADV|CLICK""), ""скутер"", ""мото""))"),"скутер")</f>
        <v>скутер</v>
      </c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</row>
    <row r="356" hidden="1">
      <c r="A356" s="13" t="s">
        <v>24</v>
      </c>
      <c r="B356" s="13" t="s">
        <v>25</v>
      </c>
      <c r="C356" s="14" t="s">
        <v>77</v>
      </c>
      <c r="D356" s="14" t="s">
        <v>780</v>
      </c>
      <c r="E356" s="48">
        <v>45289.0</v>
      </c>
      <c r="F356" s="38">
        <v>45300.541666666664</v>
      </c>
      <c r="G356" s="17" t="str">
        <f t="shared" si="15"/>
        <v>11 Д</v>
      </c>
      <c r="H356" s="18">
        <f t="shared" si="19"/>
        <v>390</v>
      </c>
      <c r="I356" s="19" t="str">
        <f t="shared" si="2"/>
        <v/>
      </c>
      <c r="J356" s="20" t="str">
        <f t="shared" si="18"/>
        <v/>
      </c>
      <c r="K356" s="23">
        <v>4290.0</v>
      </c>
      <c r="L356" s="20"/>
      <c r="M356" s="23">
        <v>390.0</v>
      </c>
      <c r="N356" s="49">
        <v>25000.0</v>
      </c>
      <c r="O356" s="22">
        <f>IFERROR(__xludf.DUMMYFUNCTION("IFERROR(
  VLOOKUP(C356,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C356
    ), 
    7, FALSE
  ), 
  """"
)
"),37300.0)</f>
        <v>37300</v>
      </c>
      <c r="P356" s="22">
        <f>IFERROR(__xludf.DUMMYFUNCTION("IF(AND(Q356="""", R356=""""),
  """",
  IF(OR(ISBLANK(Q356), ISBLANK(O356)),
    """",
    IF(VALUE(SUBSTITUTE(INDEX(SPLIT(IF(ISBLANK(R356), Q356, R356), "",""), 0, 1), "" Km"", """")) - O356 = 0,
      """",
      VALUE(SUBSTITUTE(INDEX(SPLIT(IF(ISBLANK("&amp;"R356), Q356, R356), "",""), 0, 1), "" Km"", """")) - O356
    )
  )
)"),-12300.0)</f>
        <v>-12300</v>
      </c>
      <c r="Q356" s="23" t="str">
        <f t="shared" si="4"/>
        <v>25 000 Km, 29.12.2023</v>
      </c>
      <c r="R356" s="20"/>
      <c r="S356" s="41">
        <v>4000.0</v>
      </c>
      <c r="T356" s="13">
        <v>2.0</v>
      </c>
      <c r="U356" s="66" t="s">
        <v>781</v>
      </c>
      <c r="V356" s="13" t="s">
        <v>782</v>
      </c>
      <c r="W356" s="24" t="str">
        <f t="shared" si="5"/>
        <v>Завершена</v>
      </c>
      <c r="X356" s="13" t="str">
        <f>IFERROR(__xludf.DUMMYFUNCTION("IF(C356 = """", """", IF(REGEXMATCH(C356, ""PCX|NMAX|ADV|CLICK""), ""скутер"", ""мото""))"),"скутер")</f>
        <v>скутер</v>
      </c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</row>
    <row r="357" hidden="1">
      <c r="A357" s="25" t="s">
        <v>24</v>
      </c>
      <c r="B357" s="25" t="s">
        <v>25</v>
      </c>
      <c r="C357" s="27" t="s">
        <v>44</v>
      </c>
      <c r="D357" s="27" t="s">
        <v>783</v>
      </c>
      <c r="E357" s="43">
        <v>45289.0</v>
      </c>
      <c r="F357" s="39">
        <v>45320.833333333336</v>
      </c>
      <c r="G357" s="30" t="str">
        <f t="shared" si="15"/>
        <v>1 М</v>
      </c>
      <c r="H357" s="31">
        <f t="shared" si="19"/>
        <v>249.6666667</v>
      </c>
      <c r="I357" s="32" t="str">
        <f t="shared" si="2"/>
        <v/>
      </c>
      <c r="J357" s="33" t="str">
        <f t="shared" si="18"/>
        <v/>
      </c>
      <c r="K357" s="36">
        <v>7490.0</v>
      </c>
      <c r="L357" s="36">
        <v>7490.0</v>
      </c>
      <c r="M357" s="33"/>
      <c r="N357" s="44">
        <v>16624.0</v>
      </c>
      <c r="O357" s="35">
        <f>IFERROR(__xludf.DUMMYFUNCTION("IFERROR(
  VLOOKUP(C357,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C357
    ), 
    7, FALSE
  ), 
  """"
)
"),30800.0)</f>
        <v>30800</v>
      </c>
      <c r="P357" s="35">
        <f>IFERROR(__xludf.DUMMYFUNCTION("IF(AND(Q357="""", R357=""""),
  """",
  IF(OR(ISBLANK(Q357), ISBLANK(O357)),
    """",
    IF(VALUE(SUBSTITUTE(INDEX(SPLIT(IF(ISBLANK(R357), Q357, R357), "",""), 0, 1), "" Km"", """")) - O357 = 0,
      """",
      VALUE(SUBSTITUTE(INDEX(SPLIT(IF(ISBLANK("&amp;"R357), Q357, R357), "",""), 0, 1), "" Km"", """")) - O357
    )
  )
)"),-14176.0)</f>
        <v>-14176</v>
      </c>
      <c r="Q357" s="36" t="str">
        <f t="shared" si="4"/>
        <v>16 624 Km, 29.12.2023</v>
      </c>
      <c r="R357" s="33"/>
      <c r="S357" s="40">
        <v>100.0</v>
      </c>
      <c r="T357" s="25">
        <v>1.0</v>
      </c>
      <c r="U357" s="25" t="s">
        <v>784</v>
      </c>
      <c r="V357" s="37"/>
      <c r="W357" s="37" t="str">
        <f t="shared" si="5"/>
        <v>Завершена</v>
      </c>
      <c r="X357" s="25" t="str">
        <f>IFERROR(__xludf.DUMMYFUNCTION("IF(C357 = """", """", IF(REGEXMATCH(C357, ""PCX|NMAX|ADV|CLICK""), ""скутер"", ""мото""))"),"скутер")</f>
        <v>скутер</v>
      </c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</row>
    <row r="358" hidden="1">
      <c r="A358" s="13" t="s">
        <v>24</v>
      </c>
      <c r="B358" s="13" t="s">
        <v>25</v>
      </c>
      <c r="C358" s="14" t="s">
        <v>56</v>
      </c>
      <c r="D358" s="14" t="s">
        <v>708</v>
      </c>
      <c r="E358" s="48">
        <v>45289.0</v>
      </c>
      <c r="F358" s="38">
        <v>45325.458333333336</v>
      </c>
      <c r="G358" s="17" t="str">
        <f t="shared" si="15"/>
        <v>1 М</v>
      </c>
      <c r="H358" s="18">
        <f t="shared" si="19"/>
        <v>350</v>
      </c>
      <c r="I358" s="19" t="str">
        <f t="shared" si="2"/>
        <v/>
      </c>
      <c r="J358" s="20" t="str">
        <f t="shared" si="18"/>
        <v/>
      </c>
      <c r="K358" s="23">
        <f>4900+4550+2450</f>
        <v>11900</v>
      </c>
      <c r="L358" s="20"/>
      <c r="M358" s="23">
        <v>350.0</v>
      </c>
      <c r="N358" s="49">
        <v>20500.0</v>
      </c>
      <c r="O358" s="22">
        <f>IFERROR(__xludf.DUMMYFUNCTION("IFERROR(
  VLOOKUP(C358,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C358
    ), 
    7, FALSE
  ), 
  """"
)
"),36400.0)</f>
        <v>36400</v>
      </c>
      <c r="P358" s="22">
        <f>IFERROR(__xludf.DUMMYFUNCTION("IF(AND(Q358="""", R358=""""),
  """",
  IF(OR(ISBLANK(Q358), ISBLANK(O358)),
    """",
    IF(VALUE(SUBSTITUTE(INDEX(SPLIT(IF(ISBLANK(R358), Q358, R358), "",""), 0, 1), "" Km"", """")) - O358 = 0,
      """",
      VALUE(SUBSTITUTE(INDEX(SPLIT(IF(ISBLANK("&amp;"R358), Q358, R358), "",""), 0, 1), "" Km"", """")) - O358
    )
  )
)"),-15900.0)</f>
        <v>-15900</v>
      </c>
      <c r="Q358" s="23" t="str">
        <f t="shared" si="4"/>
        <v>20 500 Km, 29.12.2023</v>
      </c>
      <c r="R358" s="20"/>
      <c r="S358" s="41">
        <v>3000.0</v>
      </c>
      <c r="T358" s="13">
        <v>1.0</v>
      </c>
      <c r="U358" s="13" t="s">
        <v>751</v>
      </c>
      <c r="V358" s="24"/>
      <c r="W358" s="24" t="str">
        <f t="shared" si="5"/>
        <v>Завершена</v>
      </c>
      <c r="X358" s="13" t="str">
        <f>IFERROR(__xludf.DUMMYFUNCTION("IF(C358 = """", """", IF(REGEXMATCH(C358, ""PCX|NMAX|ADV|CLICK""), ""скутер"", ""мото""))"),"скутер")</f>
        <v>скутер</v>
      </c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</row>
    <row r="359" hidden="1">
      <c r="A359" s="25" t="s">
        <v>24</v>
      </c>
      <c r="B359" s="25" t="s">
        <v>25</v>
      </c>
      <c r="C359" s="27" t="s">
        <v>279</v>
      </c>
      <c r="D359" s="27" t="s">
        <v>785</v>
      </c>
      <c r="E359" s="43">
        <v>45289.0</v>
      </c>
      <c r="F359" s="39">
        <v>45351.75</v>
      </c>
      <c r="G359" s="30" t="str">
        <f t="shared" si="15"/>
        <v>2 М</v>
      </c>
      <c r="H359" s="31">
        <f t="shared" si="19"/>
        <v>330</v>
      </c>
      <c r="I359" s="32" t="str">
        <f t="shared" si="2"/>
        <v/>
      </c>
      <c r="J359" s="33" t="str">
        <f t="shared" si="18"/>
        <v/>
      </c>
      <c r="K359" s="36">
        <f>4830+5000+3300+3300+3960</f>
        <v>20390</v>
      </c>
      <c r="L359" s="36">
        <v>9900.0</v>
      </c>
      <c r="M359" s="36"/>
      <c r="N359" s="44">
        <v>7000.0</v>
      </c>
      <c r="O359" s="35">
        <f>IFERROR(__xludf.DUMMYFUNCTION("IFERROR(
  VLOOKUP(C359,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C359
    ), 
    7, FALSE
  ), 
  """"
)
"),9000.0)</f>
        <v>9000</v>
      </c>
      <c r="P359" s="35">
        <f>IFERROR(__xludf.DUMMYFUNCTION("IF(AND(Q359="""", R359=""""),
  """",
  IF(OR(ISBLANK(Q359), ISBLANK(O359)),
    """",
    IF(VALUE(SUBSTITUTE(INDEX(SPLIT(IF(ISBLANK(R359), Q359, R359), "",""), 0, 1), "" Km"", """")) - O359 = 0,
      """",
      VALUE(SUBSTITUTE(INDEX(SPLIT(IF(ISBLANK("&amp;"R359), Q359, R359), "",""), 0, 1), "" Km"", """")) - O359
    )
  )
)"),-2000.0)</f>
        <v>-2000</v>
      </c>
      <c r="Q359" s="36" t="str">
        <f t="shared" si="4"/>
        <v>7 000 Km, 29.12.2023</v>
      </c>
      <c r="R359" s="33"/>
      <c r="S359" s="40">
        <v>200.0</v>
      </c>
      <c r="T359" s="25">
        <v>2.0</v>
      </c>
      <c r="U359" s="25" t="s">
        <v>786</v>
      </c>
      <c r="V359" s="37"/>
      <c r="W359" s="37" t="str">
        <f t="shared" si="5"/>
        <v>Завершена</v>
      </c>
      <c r="X359" s="25" t="str">
        <f>IFERROR(__xludf.DUMMYFUNCTION("IF(C359 = """", """", IF(REGEXMATCH(C359, ""PCX|NMAX|ADV|CLICK""), ""скутер"", ""мото""))"),"мото")</f>
        <v>мото</v>
      </c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</row>
    <row r="360" hidden="1">
      <c r="A360" s="13" t="s">
        <v>24</v>
      </c>
      <c r="B360" s="13" t="s">
        <v>25</v>
      </c>
      <c r="C360" s="14" t="s">
        <v>102</v>
      </c>
      <c r="D360" s="14" t="s">
        <v>787</v>
      </c>
      <c r="E360" s="48">
        <v>45290.0</v>
      </c>
      <c r="F360" s="38">
        <v>45294.833333333336</v>
      </c>
      <c r="G360" s="17" t="str">
        <f t="shared" si="15"/>
        <v>4 Д</v>
      </c>
      <c r="H360" s="18">
        <f t="shared" si="19"/>
        <v>1780</v>
      </c>
      <c r="I360" s="19" t="str">
        <f t="shared" si="2"/>
        <v/>
      </c>
      <c r="J360" s="20" t="str">
        <f t="shared" si="18"/>
        <v/>
      </c>
      <c r="K360" s="23">
        <f>7120+6300</f>
        <v>13420</v>
      </c>
      <c r="L360" s="20"/>
      <c r="M360" s="23">
        <v>1780.0</v>
      </c>
      <c r="N360" s="49">
        <v>36000.0</v>
      </c>
      <c r="O360" s="22">
        <f>IFERROR(__xludf.DUMMYFUNCTION("IFERROR(
  VLOOKUP(C360,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C360
    ), 
    7, FALSE
  ), 
  """"
)
"),63700.0)</f>
        <v>63700</v>
      </c>
      <c r="P360" s="22">
        <f>IFERROR(__xludf.DUMMYFUNCTION("IF(AND(Q360="""", R360=""""),
  """",
  IF(OR(ISBLANK(Q360), ISBLANK(O360)),
    """",
    IF(VALUE(SUBSTITUTE(INDEX(SPLIT(IF(ISBLANK(R360), Q360, R360), "",""), 0, 1), "" Km"", """")) - O360 = 0,
      """",
      VALUE(SUBSTITUTE(INDEX(SPLIT(IF(ISBLANK("&amp;"R360), Q360, R360), "",""), 0, 1), "" Km"", """")) - O360
    )
  )
)"),-27700.0)</f>
        <v>-27700</v>
      </c>
      <c r="Q360" s="23" t="str">
        <f t="shared" si="4"/>
        <v>36 000 Km, 30.12.2023</v>
      </c>
      <c r="R360" s="20"/>
      <c r="S360" s="41" t="s">
        <v>600</v>
      </c>
      <c r="T360" s="13">
        <v>0.0</v>
      </c>
      <c r="U360" s="13" t="s">
        <v>788</v>
      </c>
      <c r="V360" s="13" t="s">
        <v>789</v>
      </c>
      <c r="W360" s="24" t="str">
        <f t="shared" si="5"/>
        <v>Завершена</v>
      </c>
      <c r="X360" s="13" t="str">
        <f>IFERROR(__xludf.DUMMYFUNCTION("IF(C360 = """", """", IF(REGEXMATCH(C360, ""PCX|NMAX|ADV|CLICK""), ""скутер"", ""мото""))"),"мото")</f>
        <v>мото</v>
      </c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</row>
    <row r="361" hidden="1">
      <c r="A361" s="25" t="s">
        <v>24</v>
      </c>
      <c r="B361" s="25" t="s">
        <v>25</v>
      </c>
      <c r="C361" s="27" t="s">
        <v>155</v>
      </c>
      <c r="D361" s="27" t="s">
        <v>790</v>
      </c>
      <c r="E361" s="43">
        <v>45290.0</v>
      </c>
      <c r="F361" s="39">
        <v>45310.5</v>
      </c>
      <c r="G361" s="30" t="str">
        <f t="shared" si="15"/>
        <v>20 Д</v>
      </c>
      <c r="H361" s="31">
        <f t="shared" si="19"/>
        <v>590</v>
      </c>
      <c r="I361" s="32" t="str">
        <f t="shared" si="2"/>
        <v/>
      </c>
      <c r="J361" s="33" t="str">
        <f t="shared" si="18"/>
        <v/>
      </c>
      <c r="K361" s="36">
        <v>11800.0</v>
      </c>
      <c r="L361" s="33"/>
      <c r="M361" s="36">
        <v>590.0</v>
      </c>
      <c r="N361" s="44">
        <v>29500.0</v>
      </c>
      <c r="O361" s="35" t="str">
        <f>IFERROR(__xludf.DUMMYFUNCTION("IFERROR(
  VLOOKUP(C361,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C361
    ), 
    7, FALSE
  ), 
  """"
)
"),"")</f>
        <v/>
      </c>
      <c r="P361" s="35">
        <f>IFERROR(__xludf.DUMMYFUNCTION("IF(AND(Q361="""", R361=""""),
  """",
  IF(OR(ISBLANK(Q361), ISBLANK(O361)),
    """",
    IF(VALUE(SUBSTITUTE(INDEX(SPLIT(IF(ISBLANK(R361), Q361, R361), "",""), 0, 1), "" Km"", """")) - O361 = 0,
      """",
      VALUE(SUBSTITUTE(INDEX(SPLIT(IF(ISBLANK("&amp;"R361), Q361, R361), "",""), 0, 1), "" Km"", """")) - O361
    )
  )
)"),29500.0)</f>
        <v>29500</v>
      </c>
      <c r="Q361" s="36" t="str">
        <f t="shared" si="4"/>
        <v>29 500 Km, 30.12.2023</v>
      </c>
      <c r="R361" s="33"/>
      <c r="S361" s="40" t="s">
        <v>701</v>
      </c>
      <c r="T361" s="25">
        <v>2.0</v>
      </c>
      <c r="U361" s="71" t="s">
        <v>791</v>
      </c>
      <c r="V361" s="25" t="s">
        <v>792</v>
      </c>
      <c r="W361" s="37" t="str">
        <f t="shared" si="5"/>
        <v>Завершена</v>
      </c>
      <c r="X361" s="25" t="str">
        <f>IFERROR(__xludf.DUMMYFUNCTION("IF(C361 = """", """", IF(REGEXMATCH(C361, ""PCX|NMAX|ADV|CLICK""), ""скутер"", ""мото""))"),"мото")</f>
        <v>мото</v>
      </c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</row>
    <row r="362" hidden="1">
      <c r="A362" s="13" t="s">
        <v>24</v>
      </c>
      <c r="B362" s="14" t="s">
        <v>25</v>
      </c>
      <c r="C362" s="62" t="s">
        <v>151</v>
      </c>
      <c r="D362" s="14" t="s">
        <v>793</v>
      </c>
      <c r="E362" s="48">
        <v>45291.0</v>
      </c>
      <c r="F362" s="38">
        <v>45292.541666666664</v>
      </c>
      <c r="G362" s="17" t="str">
        <f t="shared" si="15"/>
        <v>1 Д</v>
      </c>
      <c r="H362" s="18">
        <f t="shared" si="19"/>
        <v>300</v>
      </c>
      <c r="I362" s="80" t="str">
        <f t="shared" si="2"/>
        <v/>
      </c>
      <c r="J362" s="64" t="str">
        <f t="shared" si="18"/>
        <v/>
      </c>
      <c r="K362" s="23">
        <v>300.0</v>
      </c>
      <c r="L362" s="64"/>
      <c r="M362" s="23">
        <v>300.0</v>
      </c>
      <c r="N362" s="21">
        <v>21200.0</v>
      </c>
      <c r="O362" s="22">
        <f>IFERROR(__xludf.DUMMYFUNCTION("IFERROR(
  VLOOKUP(C362,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C362
    ), 
    7, FALSE
  ), 
  """"
)
"),35800.0)</f>
        <v>35800</v>
      </c>
      <c r="P362" s="22">
        <f>IFERROR(__xludf.DUMMYFUNCTION("IF(AND(Q362="""", R362=""""),
  """",
  IF(OR(ISBLANK(Q362), ISBLANK(O362)),
    """",
    IF(VALUE(SUBSTITUTE(INDEX(SPLIT(IF(ISBLANK(R362), Q362, R362), "",""), 0, 1), "" Km"", """")) - O362 = 0,
      """",
      VALUE(SUBSTITUTE(INDEX(SPLIT(IF(ISBLANK("&amp;"R362), Q362, R362), "",""), 0, 1), "" Km"", """")) - O362
    )
  )
)"),-14600.0)</f>
        <v>-14600</v>
      </c>
      <c r="Q362" s="20" t="str">
        <f t="shared" si="4"/>
        <v>21 200 Km, 31.12.2023</v>
      </c>
      <c r="R362" s="64"/>
      <c r="S362" s="18">
        <v>3000.0</v>
      </c>
      <c r="T362" s="24">
        <v>3.0</v>
      </c>
      <c r="U362" s="24" t="s">
        <v>759</v>
      </c>
      <c r="V362" s="73"/>
      <c r="W362" s="24" t="str">
        <f t="shared" si="5"/>
        <v>Завершена</v>
      </c>
      <c r="X362" s="42" t="str">
        <f>IFERROR(__xludf.DUMMYFUNCTION("IF(C362 = """", """", IF(REGEXMATCH(C362, ""PCX|NMAX|ADV|CLICK""), ""скутер"", ""мото""))"),"скутер")</f>
        <v>скутер</v>
      </c>
      <c r="Y362" s="13"/>
      <c r="Z362" s="13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</row>
    <row r="363" hidden="1">
      <c r="A363" s="25" t="s">
        <v>24</v>
      </c>
      <c r="B363" s="25" t="s">
        <v>25</v>
      </c>
      <c r="C363" s="27" t="s">
        <v>483</v>
      </c>
      <c r="D363" s="27" t="s">
        <v>755</v>
      </c>
      <c r="E363" s="43">
        <v>45291.0</v>
      </c>
      <c r="F363" s="39">
        <v>45294.625</v>
      </c>
      <c r="G363" s="30" t="str">
        <f t="shared" si="15"/>
        <v>3 Д</v>
      </c>
      <c r="H363" s="31">
        <f t="shared" si="19"/>
        <v>1000</v>
      </c>
      <c r="I363" s="32" t="str">
        <f t="shared" si="2"/>
        <v/>
      </c>
      <c r="J363" s="33" t="str">
        <f t="shared" si="18"/>
        <v/>
      </c>
      <c r="K363" s="36">
        <v>3000.0</v>
      </c>
      <c r="L363" s="33"/>
      <c r="M363" s="36">
        <v>1000.0</v>
      </c>
      <c r="N363" s="44">
        <v>24000.0</v>
      </c>
      <c r="O363" s="35">
        <f>IFERROR(__xludf.DUMMYFUNCTION("IFERROR(
  VLOOKUP(C363,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C363
    ), 
    7, FALSE
  ), 
  """"
)
"),41500.0)</f>
        <v>41500</v>
      </c>
      <c r="P363" s="35">
        <f>IFERROR(__xludf.DUMMYFUNCTION("IF(AND(Q363="""", R363=""""),
  """",
  IF(OR(ISBLANK(Q363), ISBLANK(O363)),
    """",
    IF(VALUE(SUBSTITUTE(INDEX(SPLIT(IF(ISBLANK(R363), Q363, R363), "",""), 0, 1), "" Km"", """")) - O363 = 0,
      """",
      VALUE(SUBSTITUTE(INDEX(SPLIT(IF(ISBLANK("&amp;"R363), Q363, R363), "",""), 0, 1), "" Km"", """")) - O363
    )
  )
)"),-17500.0)</f>
        <v>-17500</v>
      </c>
      <c r="Q363" s="36" t="str">
        <f t="shared" si="4"/>
        <v>24 000 Km, 31.12.2023</v>
      </c>
      <c r="R363" s="33"/>
      <c r="S363" s="40">
        <v>10000.0</v>
      </c>
      <c r="T363" s="25">
        <v>0.0</v>
      </c>
      <c r="U363" s="25" t="s">
        <v>756</v>
      </c>
      <c r="V363" s="37"/>
      <c r="W363" s="37" t="str">
        <f t="shared" si="5"/>
        <v>Завершена</v>
      </c>
      <c r="X363" s="25" t="str">
        <f>IFERROR(__xludf.DUMMYFUNCTION("IF(C363 = """", """", IF(REGEXMATCH(C363, ""PCX|NMAX|ADV|CLICK""), ""скутер"", ""мото""))"),"мото")</f>
        <v>мото</v>
      </c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</row>
    <row r="364" hidden="1">
      <c r="A364" s="13" t="s">
        <v>24</v>
      </c>
      <c r="B364" s="13" t="s">
        <v>25</v>
      </c>
      <c r="C364" s="14" t="s">
        <v>472</v>
      </c>
      <c r="D364" s="14" t="s">
        <v>794</v>
      </c>
      <c r="E364" s="48">
        <v>45291.0</v>
      </c>
      <c r="F364" s="38">
        <v>45301.625</v>
      </c>
      <c r="G364" s="17" t="str">
        <f t="shared" si="15"/>
        <v>10 Д</v>
      </c>
      <c r="H364" s="18">
        <f t="shared" si="19"/>
        <v>1150</v>
      </c>
      <c r="I364" s="19" t="str">
        <f t="shared" si="2"/>
        <v/>
      </c>
      <c r="J364" s="20" t="str">
        <f t="shared" si="18"/>
        <v/>
      </c>
      <c r="K364" s="23">
        <v>11500.0</v>
      </c>
      <c r="L364" s="20"/>
      <c r="M364" s="23">
        <v>1150.0</v>
      </c>
      <c r="N364" s="49">
        <v>19600.0</v>
      </c>
      <c r="O364" s="22" t="str">
        <f>IFERROR(__xludf.DUMMYFUNCTION("IFERROR(
  VLOOKUP(C364,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C364
    ), 
    7, FALSE
  ), 
  """"
)
"),"")</f>
        <v/>
      </c>
      <c r="P364" s="22">
        <f>IFERROR(__xludf.DUMMYFUNCTION("IF(AND(Q364="""", R364=""""),
  """",
  IF(OR(ISBLANK(Q364), ISBLANK(O364)),
    """",
    IF(VALUE(SUBSTITUTE(INDEX(SPLIT(IF(ISBLANK(R364), Q364, R364), "",""), 0, 1), "" Km"", """")) - O364 = 0,
      """",
      VALUE(SUBSTITUTE(INDEX(SPLIT(IF(ISBLANK("&amp;"R364), Q364, R364), "",""), 0, 1), "" Km"", """")) - O364
    )
  )
)"),19600.0)</f>
        <v>19600</v>
      </c>
      <c r="Q364" s="23" t="str">
        <f t="shared" si="4"/>
        <v>19 600 Km, 31.12.2023</v>
      </c>
      <c r="R364" s="20"/>
      <c r="S364" s="41" t="s">
        <v>795</v>
      </c>
      <c r="T364" s="13">
        <v>2.0</v>
      </c>
      <c r="U364" s="13" t="s">
        <v>796</v>
      </c>
      <c r="V364" s="24"/>
      <c r="W364" s="24" t="str">
        <f t="shared" si="5"/>
        <v>Завершена</v>
      </c>
      <c r="X364" s="13" t="str">
        <f>IFERROR(__xludf.DUMMYFUNCTION("IF(C364 = """", """", IF(REGEXMATCH(C364, ""PCX|NMAX|ADV|CLICK""), ""скутер"", ""мото""))"),"мото")</f>
        <v>мото</v>
      </c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</row>
    <row r="365" hidden="1">
      <c r="A365" s="25" t="s">
        <v>24</v>
      </c>
      <c r="B365" s="25" t="s">
        <v>25</v>
      </c>
      <c r="C365" s="27" t="s">
        <v>151</v>
      </c>
      <c r="D365" s="27" t="s">
        <v>797</v>
      </c>
      <c r="E365" s="43">
        <v>45294.0</v>
      </c>
      <c r="F365" s="39">
        <v>45300.708333333336</v>
      </c>
      <c r="G365" s="30" t="str">
        <f t="shared" si="15"/>
        <v>6 Д</v>
      </c>
      <c r="H365" s="31">
        <f t="shared" si="19"/>
        <v>390</v>
      </c>
      <c r="I365" s="32" t="str">
        <f t="shared" si="2"/>
        <v/>
      </c>
      <c r="J365" s="33" t="str">
        <f t="shared" si="18"/>
        <v/>
      </c>
      <c r="K365" s="36">
        <v>2360.0</v>
      </c>
      <c r="L365" s="33"/>
      <c r="M365" s="36">
        <v>390.0</v>
      </c>
      <c r="N365" s="44">
        <v>21411.0</v>
      </c>
      <c r="O365" s="35">
        <f>IFERROR(__xludf.DUMMYFUNCTION("IFERROR(
  VLOOKUP(C365,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C365
    ), 
    7, FALSE
  ), 
  """"
)
"),35800.0)</f>
        <v>35800</v>
      </c>
      <c r="P365" s="35">
        <f>IFERROR(__xludf.DUMMYFUNCTION("IF(AND(Q365="""", R365=""""),
  """",
  IF(OR(ISBLANK(Q365), ISBLANK(O365)),
    """",
    IF(VALUE(SUBSTITUTE(INDEX(SPLIT(IF(ISBLANK(R365), Q365, R365), "",""), 0, 1), "" Km"", """")) - O365 = 0,
      """",
      VALUE(SUBSTITUTE(INDEX(SPLIT(IF(ISBLANK("&amp;"R365), Q365, R365), "",""), 0, 1), "" Km"", """")) - O365
    )
  )
)"),-14389.0)</f>
        <v>-14389</v>
      </c>
      <c r="Q365" s="36" t="str">
        <f t="shared" si="4"/>
        <v>21 411 Km, 03.01.2024</v>
      </c>
      <c r="R365" s="33"/>
      <c r="S365" s="40">
        <v>3000.0</v>
      </c>
      <c r="T365" s="25">
        <v>2.0</v>
      </c>
      <c r="U365" s="25" t="s">
        <v>798</v>
      </c>
      <c r="V365" s="37"/>
      <c r="W365" s="37" t="str">
        <f t="shared" si="5"/>
        <v>Завершена</v>
      </c>
      <c r="X365" s="25" t="str">
        <f>IFERROR(__xludf.DUMMYFUNCTION("IF(C365 = """", """", IF(REGEXMATCH(C365, ""PCX|NMAX|ADV|CLICK""), ""скутер"", ""мото""))"),"скутер")</f>
        <v>скутер</v>
      </c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</row>
    <row r="366" hidden="1">
      <c r="A366" s="13" t="s">
        <v>24</v>
      </c>
      <c r="B366" s="13" t="s">
        <v>25</v>
      </c>
      <c r="C366" s="14" t="s">
        <v>32</v>
      </c>
      <c r="D366" s="14" t="s">
        <v>799</v>
      </c>
      <c r="E366" s="48">
        <v>45294.0</v>
      </c>
      <c r="F366" s="38">
        <v>45301.666666666664</v>
      </c>
      <c r="G366" s="17" t="str">
        <f t="shared" si="15"/>
        <v>7 Д</v>
      </c>
      <c r="H366" s="18">
        <f t="shared" si="19"/>
        <v>690</v>
      </c>
      <c r="I366" s="19" t="str">
        <f t="shared" si="2"/>
        <v/>
      </c>
      <c r="J366" s="20" t="str">
        <f t="shared" si="18"/>
        <v/>
      </c>
      <c r="K366" s="23">
        <v>4830.0</v>
      </c>
      <c r="L366" s="20"/>
      <c r="M366" s="20">
        <f>4830/7</f>
        <v>690</v>
      </c>
      <c r="N366" s="49">
        <v>21000.0</v>
      </c>
      <c r="O366" s="22">
        <f>IFERROR(__xludf.DUMMYFUNCTION("IFERROR(
  VLOOKUP(C366,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C366
    ), 
    7, FALSE
  ), 
  """"
)
"),38640.0)</f>
        <v>38640</v>
      </c>
      <c r="P366" s="22">
        <f>IFERROR(__xludf.DUMMYFUNCTION("IF(AND(Q366="""", R366=""""),
  """",
  IF(OR(ISBLANK(Q366), ISBLANK(O366)),
    """",
    IF(VALUE(SUBSTITUTE(INDEX(SPLIT(IF(ISBLANK(R366), Q366, R366), "",""), 0, 1), "" Km"", """")) - O366 = 0,
      """",
      VALUE(SUBSTITUTE(INDEX(SPLIT(IF(ISBLANK("&amp;"R366), Q366, R366), "",""), 0, 1), "" Km"", """")) - O366
    )
  )
)"),-17640.0)</f>
        <v>-17640</v>
      </c>
      <c r="Q366" s="23" t="str">
        <f t="shared" si="4"/>
        <v>21 000 Km, 03.01.2024</v>
      </c>
      <c r="R366" s="20"/>
      <c r="S366" s="41" t="s">
        <v>701</v>
      </c>
      <c r="T366" s="13">
        <v>2.0</v>
      </c>
      <c r="U366" s="13" t="s">
        <v>800</v>
      </c>
      <c r="V366" s="24"/>
      <c r="W366" s="24" t="str">
        <f t="shared" si="5"/>
        <v>Завершена</v>
      </c>
      <c r="X366" s="13" t="str">
        <f>IFERROR(__xludf.DUMMYFUNCTION("IF(C366 = """", """", IF(REGEXMATCH(C366, ""PCX|NMAX|ADV|CLICK""), ""скутер"", ""мото""))"),"мото")</f>
        <v>мото</v>
      </c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</row>
    <row r="367" hidden="1">
      <c r="A367" s="25" t="s">
        <v>24</v>
      </c>
      <c r="B367" s="25" t="s">
        <v>25</v>
      </c>
      <c r="C367" s="27" t="s">
        <v>26</v>
      </c>
      <c r="D367" s="27" t="s">
        <v>801</v>
      </c>
      <c r="E367" s="43">
        <v>45294.0</v>
      </c>
      <c r="F367" s="39">
        <v>45313.458333333336</v>
      </c>
      <c r="G367" s="30" t="str">
        <f t="shared" si="15"/>
        <v>19 Д</v>
      </c>
      <c r="H367" s="31">
        <f t="shared" si="19"/>
        <v>275</v>
      </c>
      <c r="I367" s="32" t="str">
        <f t="shared" si="2"/>
        <v/>
      </c>
      <c r="J367" s="33" t="str">
        <f t="shared" si="18"/>
        <v/>
      </c>
      <c r="K367" s="36">
        <f>2058+3175-275</f>
        <v>4958</v>
      </c>
      <c r="L367" s="33"/>
      <c r="M367" s="36">
        <v>275.0</v>
      </c>
      <c r="N367" s="44">
        <v>22900.0</v>
      </c>
      <c r="O367" s="35" t="str">
        <f>IFERROR(__xludf.DUMMYFUNCTION("IFERROR(
  VLOOKUP(C367,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C367
    ), 
    7, FALSE
  ), 
  """"
)
"),"")</f>
        <v/>
      </c>
      <c r="P367" s="35">
        <f>IFERROR(__xludf.DUMMYFUNCTION("IF(AND(Q367="""", R367=""""),
  """",
  IF(OR(ISBLANK(Q367), ISBLANK(O367)),
    """",
    IF(VALUE(SUBSTITUTE(INDEX(SPLIT(IF(ISBLANK(R367), Q367, R367), "",""), 0, 1), "" Km"", """")) - O367 = 0,
      """",
      VALUE(SUBSTITUTE(INDEX(SPLIT(IF(ISBLANK("&amp;"R367), Q367, R367), "",""), 0, 1), "" Km"", """")) - O367
    )
  )
)"),22900.0)</f>
        <v>22900</v>
      </c>
      <c r="Q367" s="36" t="str">
        <f t="shared" si="4"/>
        <v>22 900 Km, 03.01.2024</v>
      </c>
      <c r="R367" s="33"/>
      <c r="S367" s="40">
        <v>3000.0</v>
      </c>
      <c r="T367" s="25">
        <v>2.0</v>
      </c>
      <c r="U367" s="71" t="s">
        <v>802</v>
      </c>
      <c r="V367" s="37"/>
      <c r="W367" s="37" t="str">
        <f t="shared" si="5"/>
        <v>Завершена</v>
      </c>
      <c r="X367" s="25" t="str">
        <f>IFERROR(__xludf.DUMMYFUNCTION("IF(C367 = """", """", IF(REGEXMATCH(C367, ""PCX|NMAX|ADV|CLICK""), ""скутер"", ""мото""))"),"скутер")</f>
        <v>скутер</v>
      </c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</row>
    <row r="368" hidden="1">
      <c r="A368" s="13" t="s">
        <v>24</v>
      </c>
      <c r="B368" s="13" t="s">
        <v>25</v>
      </c>
      <c r="C368" s="14" t="s">
        <v>173</v>
      </c>
      <c r="D368" s="14" t="s">
        <v>803</v>
      </c>
      <c r="E368" s="48">
        <v>45295.0</v>
      </c>
      <c r="F368" s="38">
        <v>45327.708333333336</v>
      </c>
      <c r="G368" s="17" t="str">
        <f t="shared" si="15"/>
        <v>1 М</v>
      </c>
      <c r="H368" s="18">
        <f t="shared" si="19"/>
        <v>330</v>
      </c>
      <c r="I368" s="19" t="str">
        <f t="shared" si="2"/>
        <v/>
      </c>
      <c r="J368" s="20" t="str">
        <f t="shared" si="18"/>
        <v/>
      </c>
      <c r="K368" s="23">
        <f>9900+1000+5000/2.7</f>
        <v>12751.85185</v>
      </c>
      <c r="L368" s="23">
        <v>9900.0</v>
      </c>
      <c r="M368" s="20"/>
      <c r="N368" s="49">
        <v>13000.0</v>
      </c>
      <c r="O368" s="22">
        <f>IFERROR(__xludf.DUMMYFUNCTION("IFERROR(
  VLOOKUP(C368,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C368
    ), 
    7, FALSE
  ), 
  """"
)
"),27000.0)</f>
        <v>27000</v>
      </c>
      <c r="P368" s="22">
        <f>IFERROR(__xludf.DUMMYFUNCTION("IF(AND(Q368="""", R368=""""),
  """",
  IF(OR(ISBLANK(Q368), ISBLANK(O368)),
    """",
    IF(VALUE(SUBSTITUTE(INDEX(SPLIT(IF(ISBLANK(R368), Q368, R368), "",""), 0, 1), "" Km"", """")) - O368 = 0,
      """",
      VALUE(SUBSTITUTE(INDEX(SPLIT(IF(ISBLANK("&amp;"R368), Q368, R368), "",""), 0, 1), "" Km"", """")) - O368
    )
  )
)"),-12910.0)</f>
        <v>-12910</v>
      </c>
      <c r="Q368" s="23" t="str">
        <f t="shared" si="4"/>
        <v>14090 Km, 30.01.2024</v>
      </c>
      <c r="R368" s="53" t="s">
        <v>804</v>
      </c>
      <c r="S368" s="41">
        <v>5000.0</v>
      </c>
      <c r="T368" s="13">
        <v>1.0</v>
      </c>
      <c r="U368" s="66" t="s">
        <v>805</v>
      </c>
      <c r="V368" s="13" t="s">
        <v>806</v>
      </c>
      <c r="W368" s="24" t="str">
        <f t="shared" si="5"/>
        <v>Завершена</v>
      </c>
      <c r="X368" s="13" t="str">
        <f>IFERROR(__xludf.DUMMYFUNCTION("IF(C368 = """", """", IF(REGEXMATCH(C368, ""PCX|NMAX|ADV|CLICK""), ""скутер"", ""мото""))"),"мото")</f>
        <v>мото</v>
      </c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</row>
    <row r="369" hidden="1">
      <c r="A369" s="25" t="s">
        <v>24</v>
      </c>
      <c r="B369" s="25" t="s">
        <v>25</v>
      </c>
      <c r="C369" s="27" t="s">
        <v>427</v>
      </c>
      <c r="D369" s="27" t="s">
        <v>803</v>
      </c>
      <c r="E369" s="43">
        <v>45295.0</v>
      </c>
      <c r="F369" s="39">
        <v>45327.708333333336</v>
      </c>
      <c r="G369" s="30" t="str">
        <f t="shared" si="15"/>
        <v>1 М</v>
      </c>
      <c r="H369" s="31">
        <f t="shared" si="19"/>
        <v>430</v>
      </c>
      <c r="I369" s="32" t="str">
        <f t="shared" si="2"/>
        <v/>
      </c>
      <c r="J369" s="33" t="str">
        <f t="shared" si="18"/>
        <v/>
      </c>
      <c r="K369" s="36">
        <v>12900.0</v>
      </c>
      <c r="L369" s="36">
        <v>12900.0</v>
      </c>
      <c r="M369" s="33"/>
      <c r="N369" s="44">
        <v>18400.0</v>
      </c>
      <c r="O369" s="35" t="str">
        <f>IFERROR(__xludf.DUMMYFUNCTION("IFERROR(
  VLOOKUP(C369,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C369
    ), 
    7, FALSE
  ), 
  """"
)
"),"")</f>
        <v/>
      </c>
      <c r="P369" s="35">
        <f>IFERROR(__xludf.DUMMYFUNCTION("IF(AND(Q369="""", R369=""""),
  """",
  IF(OR(ISBLANK(Q369), ISBLANK(O369)),
    """",
    IF(VALUE(SUBSTITUTE(INDEX(SPLIT(IF(ISBLANK(R369), Q369, R369), "",""), 0, 1), "" Km"", """")) - O369 = 0,
      """",
      VALUE(SUBSTITUTE(INDEX(SPLIT(IF(ISBLANK("&amp;"R369), Q369, R369), "",""), 0, 1), "" Km"", """")) - O369
    )
  )
)"),18400.0)</f>
        <v>18400</v>
      </c>
      <c r="Q369" s="36" t="str">
        <f t="shared" si="4"/>
        <v>18 400 Km, 04.01.2024</v>
      </c>
      <c r="R369" s="33"/>
      <c r="S369" s="40" t="s">
        <v>430</v>
      </c>
      <c r="T369" s="25">
        <v>2.0</v>
      </c>
      <c r="U369" s="71" t="s">
        <v>805</v>
      </c>
      <c r="V369" s="25" t="s">
        <v>572</v>
      </c>
      <c r="W369" s="37" t="str">
        <f t="shared" si="5"/>
        <v>Завершена</v>
      </c>
      <c r="X369" s="25" t="str">
        <f>IFERROR(__xludf.DUMMYFUNCTION("IF(C369 = """", """", IF(REGEXMATCH(C369, ""PCX|NMAX|ADV|CLICK""), ""скутер"", ""мото""))"),"мото")</f>
        <v>мото</v>
      </c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</row>
    <row r="370" hidden="1">
      <c r="A370" s="13" t="s">
        <v>24</v>
      </c>
      <c r="B370" s="13" t="s">
        <v>25</v>
      </c>
      <c r="C370" s="14" t="s">
        <v>483</v>
      </c>
      <c r="D370" s="14" t="s">
        <v>473</v>
      </c>
      <c r="E370" s="48">
        <v>45296.0</v>
      </c>
      <c r="F370" s="38">
        <v>45298.75</v>
      </c>
      <c r="G370" s="17" t="str">
        <f t="shared" si="15"/>
        <v>2 Д</v>
      </c>
      <c r="H370" s="18">
        <f t="shared" si="19"/>
        <v>1680</v>
      </c>
      <c r="I370" s="19" t="str">
        <f t="shared" si="2"/>
        <v/>
      </c>
      <c r="J370" s="20" t="str">
        <f t="shared" si="18"/>
        <v/>
      </c>
      <c r="K370" s="23">
        <f>1680*2</f>
        <v>3360</v>
      </c>
      <c r="L370" s="20"/>
      <c r="M370" s="23">
        <v>1680.0</v>
      </c>
      <c r="N370" s="49">
        <v>24000.0</v>
      </c>
      <c r="O370" s="22">
        <f>IFERROR(__xludf.DUMMYFUNCTION("IFERROR(
  VLOOKUP(C370,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C370
    ), 
    7, FALSE
  ), 
  """"
)
"),41500.0)</f>
        <v>41500</v>
      </c>
      <c r="P370" s="22">
        <f>IFERROR(__xludf.DUMMYFUNCTION("IF(AND(Q370="""", R370=""""),
  """",
  IF(OR(ISBLANK(Q370), ISBLANK(O370)),
    """",
    IF(VALUE(SUBSTITUTE(INDEX(SPLIT(IF(ISBLANK(R370), Q370, R370), "",""), 0, 1), "" Km"", """")) - O370 = 0,
      """",
      VALUE(SUBSTITUTE(INDEX(SPLIT(IF(ISBLANK("&amp;"R370), Q370, R370), "",""), 0, 1), "" Km"", """")) - O370
    )
  )
)"),-17500.0)</f>
        <v>-17500</v>
      </c>
      <c r="Q370" s="23" t="str">
        <f t="shared" si="4"/>
        <v>24 000 Km, 05.01.2024</v>
      </c>
      <c r="R370" s="20"/>
      <c r="S370" s="41">
        <v>25000.0</v>
      </c>
      <c r="T370" s="13">
        <v>0.0</v>
      </c>
      <c r="U370" s="13" t="s">
        <v>516</v>
      </c>
      <c r="V370" s="24"/>
      <c r="W370" s="24" t="str">
        <f t="shared" si="5"/>
        <v>Завершена</v>
      </c>
      <c r="X370" s="13" t="str">
        <f>IFERROR(__xludf.DUMMYFUNCTION("IF(C370 = """", """", IF(REGEXMATCH(C370, ""PCX|NMAX|ADV|CLICK""), ""скутер"", ""мото""))"),"мото")</f>
        <v>мото</v>
      </c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</row>
    <row r="371" hidden="1">
      <c r="A371" s="25" t="s">
        <v>24</v>
      </c>
      <c r="B371" s="25" t="s">
        <v>25</v>
      </c>
      <c r="C371" s="27" t="s">
        <v>202</v>
      </c>
      <c r="D371" s="27" t="s">
        <v>807</v>
      </c>
      <c r="E371" s="43">
        <v>45298.0</v>
      </c>
      <c r="F371" s="39">
        <v>45306.75</v>
      </c>
      <c r="G371" s="30" t="str">
        <f t="shared" si="15"/>
        <v>8 Д</v>
      </c>
      <c r="H371" s="31">
        <f t="shared" si="19"/>
        <v>690</v>
      </c>
      <c r="I371" s="32" t="str">
        <f t="shared" si="2"/>
        <v/>
      </c>
      <c r="J371" s="33" t="str">
        <f t="shared" si="18"/>
        <v/>
      </c>
      <c r="K371" s="36">
        <v>5520.0</v>
      </c>
      <c r="L371" s="33"/>
      <c r="M371" s="36">
        <v>690.0</v>
      </c>
      <c r="N371" s="44">
        <v>19800.0</v>
      </c>
      <c r="O371" s="35">
        <f>IFERROR(__xludf.DUMMYFUNCTION("IFERROR(
  VLOOKUP(C371,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C371
    ), 
    7, FALSE
  ), 
  """"
)
"),30225.0)</f>
        <v>30225</v>
      </c>
      <c r="P371" s="35">
        <f>IFERROR(__xludf.DUMMYFUNCTION("IF(AND(Q371="""", R371=""""),
  """",
  IF(OR(ISBLANK(Q371), ISBLANK(O371)),
    """",
    IF(VALUE(SUBSTITUTE(INDEX(SPLIT(IF(ISBLANK(R371), Q371, R371), "",""), 0, 1), "" Km"", """")) - O371 = 0,
      """",
      VALUE(SUBSTITUTE(INDEX(SPLIT(IF(ISBLANK("&amp;"R371), Q371, R371), "",""), 0, 1), "" Km"", """")) - O371
    )
  )
)"),-10425.0)</f>
        <v>-10425</v>
      </c>
      <c r="Q371" s="36" t="str">
        <f t="shared" si="4"/>
        <v>19 800 Km, 07.01.2024</v>
      </c>
      <c r="R371" s="33"/>
      <c r="S371" s="40">
        <v>5000.0</v>
      </c>
      <c r="T371" s="25">
        <v>2.0</v>
      </c>
      <c r="U371" s="25" t="s">
        <v>808</v>
      </c>
      <c r="V371" s="37"/>
      <c r="W371" s="37" t="str">
        <f t="shared" si="5"/>
        <v>Завершена</v>
      </c>
      <c r="X371" s="25" t="str">
        <f>IFERROR(__xludf.DUMMYFUNCTION("IF(C371 = """", """", IF(REGEXMATCH(C371, ""PCX|NMAX|ADV|CLICK""), ""скутер"", ""мото""))"),"мото")</f>
        <v>мото</v>
      </c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</row>
    <row r="372" hidden="1">
      <c r="A372" s="13" t="s">
        <v>24</v>
      </c>
      <c r="B372" s="13" t="s">
        <v>25</v>
      </c>
      <c r="C372" s="14" t="s">
        <v>198</v>
      </c>
      <c r="D372" s="14" t="s">
        <v>809</v>
      </c>
      <c r="E372" s="48">
        <v>45298.0</v>
      </c>
      <c r="F372" s="38">
        <v>45308.458333333336</v>
      </c>
      <c r="G372" s="17" t="str">
        <f t="shared" si="15"/>
        <v>10 Д</v>
      </c>
      <c r="H372" s="18">
        <f t="shared" si="19"/>
        <v>749</v>
      </c>
      <c r="I372" s="19" t="str">
        <f t="shared" si="2"/>
        <v/>
      </c>
      <c r="J372" s="20" t="str">
        <f t="shared" si="18"/>
        <v/>
      </c>
      <c r="K372" s="23">
        <v>7800.0</v>
      </c>
      <c r="L372" s="20"/>
      <c r="M372" s="23">
        <v>749.0</v>
      </c>
      <c r="N372" s="49">
        <v>16800.0</v>
      </c>
      <c r="O372" s="22" t="str">
        <f>IFERROR(__xludf.DUMMYFUNCTION("IFERROR(
  VLOOKUP(C372,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C372
    ), 
    7, FALSE
  ), 
  """"
)
"),"")</f>
        <v/>
      </c>
      <c r="P372" s="22">
        <f>IFERROR(__xludf.DUMMYFUNCTION("IF(AND(Q372="""", R372=""""),
  """",
  IF(OR(ISBLANK(Q372), ISBLANK(O372)),
    """",
    IF(VALUE(SUBSTITUTE(INDEX(SPLIT(IF(ISBLANK(R372), Q372, R372), "",""), 0, 1), "" Km"", """")) - O372 = 0,
      """",
      VALUE(SUBSTITUTE(INDEX(SPLIT(IF(ISBLANK("&amp;"R372), Q372, R372), "",""), 0, 1), "" Km"", """")) - O372
    )
  )
)"),16800.0)</f>
        <v>16800</v>
      </c>
      <c r="Q372" s="23" t="str">
        <f t="shared" si="4"/>
        <v>16 800 Km, 07.01.2024</v>
      </c>
      <c r="R372" s="20"/>
      <c r="S372" s="41">
        <v>5000.0</v>
      </c>
      <c r="T372" s="13">
        <v>2.0</v>
      </c>
      <c r="U372" s="13" t="s">
        <v>810</v>
      </c>
      <c r="V372" s="24"/>
      <c r="W372" s="24" t="str">
        <f t="shared" si="5"/>
        <v>Завершена</v>
      </c>
      <c r="X372" s="13" t="str">
        <f>IFERROR(__xludf.DUMMYFUNCTION("IF(C372 = """", """", IF(REGEXMATCH(C372, ""PCX|NMAX|ADV|CLICK""), ""скутер"", ""мото""))"),"мото")</f>
        <v>мото</v>
      </c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</row>
    <row r="373" hidden="1">
      <c r="A373" s="25" t="s">
        <v>24</v>
      </c>
      <c r="B373" s="25" t="s">
        <v>25</v>
      </c>
      <c r="C373" s="27" t="s">
        <v>92</v>
      </c>
      <c r="D373" s="27" t="s">
        <v>811</v>
      </c>
      <c r="E373" s="43">
        <v>45299.0</v>
      </c>
      <c r="F373" s="39">
        <v>45305.708333333336</v>
      </c>
      <c r="G373" s="30" t="str">
        <f t="shared" si="15"/>
        <v>6 Д</v>
      </c>
      <c r="H373" s="31">
        <f t="shared" si="19"/>
        <v>800</v>
      </c>
      <c r="I373" s="32" t="str">
        <f t="shared" si="2"/>
        <v/>
      </c>
      <c r="J373" s="33" t="str">
        <f t="shared" si="18"/>
        <v/>
      </c>
      <c r="K373" s="36">
        <v>4800.0</v>
      </c>
      <c r="L373" s="33"/>
      <c r="M373" s="36">
        <v>800.0</v>
      </c>
      <c r="N373" s="44">
        <v>22000.0</v>
      </c>
      <c r="O373" s="35">
        <f>IFERROR(__xludf.DUMMYFUNCTION("IFERROR(
  VLOOKUP(C373,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C373
    ), 
    7, FALSE
  ), 
  """"
)
"),23500.0)</f>
        <v>23500</v>
      </c>
      <c r="P373" s="35">
        <f>IFERROR(__xludf.DUMMYFUNCTION("IF(AND(Q373="""", R373=""""),
  """",
  IF(OR(ISBLANK(Q373), ISBLANK(O373)),
    """",
    IF(VALUE(SUBSTITUTE(INDEX(SPLIT(IF(ISBLANK(R373), Q373, R373), "",""), 0, 1), "" Km"", """")) - O373 = 0,
      """",
      VALUE(SUBSTITUTE(INDEX(SPLIT(IF(ISBLANK("&amp;"R373), Q373, R373), "",""), 0, 1), "" Km"", """")) - O373
    )
  )
)"),-1500.0)</f>
        <v>-1500</v>
      </c>
      <c r="Q373" s="36" t="str">
        <f t="shared" si="4"/>
        <v>22 000 Km, 08.01.2024</v>
      </c>
      <c r="R373" s="33"/>
      <c r="S373" s="40">
        <v>5000.0</v>
      </c>
      <c r="T373" s="25">
        <v>2.0</v>
      </c>
      <c r="U373" s="25" t="s">
        <v>812</v>
      </c>
      <c r="V373" s="25" t="s">
        <v>813</v>
      </c>
      <c r="W373" s="37" t="str">
        <f t="shared" si="5"/>
        <v>Завершена</v>
      </c>
      <c r="X373" s="25" t="str">
        <f>IFERROR(__xludf.DUMMYFUNCTION("IF(C373 = """", """", IF(REGEXMATCH(C373, ""PCX|NMAX|ADV|CLICK""), ""скутер"", ""мото""))"),"мото")</f>
        <v>мото</v>
      </c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</row>
    <row r="374" hidden="1">
      <c r="A374" s="13" t="s">
        <v>24</v>
      </c>
      <c r="B374" s="13" t="s">
        <v>25</v>
      </c>
      <c r="C374" s="14" t="s">
        <v>423</v>
      </c>
      <c r="D374" s="14" t="s">
        <v>646</v>
      </c>
      <c r="E374" s="48">
        <v>45299.0</v>
      </c>
      <c r="F374" s="38">
        <v>45311.708333333336</v>
      </c>
      <c r="G374" s="17" t="s">
        <v>814</v>
      </c>
      <c r="H374" s="18">
        <f t="shared" si="19"/>
        <v>850</v>
      </c>
      <c r="I374" s="19" t="str">
        <f t="shared" si="2"/>
        <v/>
      </c>
      <c r="J374" s="20" t="str">
        <f t="shared" si="18"/>
        <v/>
      </c>
      <c r="K374" s="20">
        <f>12*850-400/2.7</f>
        <v>10051.85185</v>
      </c>
      <c r="L374" s="20"/>
      <c r="M374" s="23">
        <v>850.0</v>
      </c>
      <c r="N374" s="49">
        <v>14000.0</v>
      </c>
      <c r="O374" s="22" t="str">
        <f>IFERROR(__xludf.DUMMYFUNCTION("IFERROR(
  VLOOKUP(C374,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C374
    ), 
    7, FALSE
  ), 
  """"
)
"),"")</f>
        <v/>
      </c>
      <c r="P374" s="22">
        <f>IFERROR(__xludf.DUMMYFUNCTION("IF(AND(Q374="""", R374=""""),
  """",
  IF(OR(ISBLANK(Q374), ISBLANK(O374)),
    """",
    IF(VALUE(SUBSTITUTE(INDEX(SPLIT(IF(ISBLANK(R374), Q374, R374), "",""), 0, 1), "" Km"", """")) - O374 = 0,
      """",
      VALUE(SUBSTITUTE(INDEX(SPLIT(IF(ISBLANK("&amp;"R374), Q374, R374), "",""), 0, 1), "" Km"", """")) - O374
    )
  )
)"),14000.0)</f>
        <v>14000</v>
      </c>
      <c r="Q374" s="23" t="str">
        <f t="shared" si="4"/>
        <v>14 000 Km, 08.01.2024</v>
      </c>
      <c r="R374" s="20"/>
      <c r="S374" s="18" t="s">
        <v>687</v>
      </c>
      <c r="T374" s="24">
        <v>1.0</v>
      </c>
      <c r="U374" s="24" t="s">
        <v>516</v>
      </c>
      <c r="V374" s="24" t="s">
        <v>688</v>
      </c>
      <c r="W374" s="24" t="e">
        <v>#VALUE!</v>
      </c>
      <c r="X374" s="42" t="s">
        <v>815</v>
      </c>
      <c r="Y374" s="13"/>
      <c r="Z374" s="13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</row>
    <row r="375" hidden="1">
      <c r="A375" s="25" t="s">
        <v>24</v>
      </c>
      <c r="B375" s="25" t="s">
        <v>25</v>
      </c>
      <c r="C375" s="27" t="s">
        <v>73</v>
      </c>
      <c r="D375" s="27" t="s">
        <v>816</v>
      </c>
      <c r="E375" s="43">
        <v>45300.0</v>
      </c>
      <c r="F375" s="39">
        <v>45313.708333333336</v>
      </c>
      <c r="G375" s="30" t="str">
        <f t="shared" ref="G375:G427" si="20">IF((E375="")+(F375=""), "", IF(DATEDIF(E375, F375, "d") &gt; 30, DATEDIF(E375, F375, "m") &amp; " М", DATEDIF(E375, F375, "d") &amp; " Д"))
</f>
        <v>13 Д</v>
      </c>
      <c r="H375" s="31">
        <f t="shared" si="19"/>
        <v>429</v>
      </c>
      <c r="I375" s="32" t="str">
        <f t="shared" si="2"/>
        <v/>
      </c>
      <c r="J375" s="33" t="str">
        <f t="shared" si="18"/>
        <v/>
      </c>
      <c r="K375" s="36">
        <f>5148+429</f>
        <v>5577</v>
      </c>
      <c r="L375" s="33"/>
      <c r="M375" s="36">
        <v>429.0</v>
      </c>
      <c r="N375" s="44">
        <v>19900.0</v>
      </c>
      <c r="O375" s="35">
        <f>IFERROR(__xludf.DUMMYFUNCTION("IFERROR(
  VLOOKUP(C375,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C375
    ), 
    7, FALSE
  ), 
  """"
)
"),31000.0)</f>
        <v>31000</v>
      </c>
      <c r="P375" s="35">
        <f>IFERROR(__xludf.DUMMYFUNCTION("IF(AND(Q375="""", R375=""""),
  """",
  IF(OR(ISBLANK(Q375), ISBLANK(O375)),
    """",
    IF(VALUE(SUBSTITUTE(INDEX(SPLIT(IF(ISBLANK(R375), Q375, R375), "",""), 0, 1), "" Km"", """")) - O375 = 0,
      """",
      VALUE(SUBSTITUTE(INDEX(SPLIT(IF(ISBLANK("&amp;"R375), Q375, R375), "",""), 0, 1), "" Km"", """")) - O375
    )
  )
)"),-11100.0)</f>
        <v>-11100</v>
      </c>
      <c r="Q375" s="36" t="str">
        <f t="shared" si="4"/>
        <v>19 900 Km, 09.01.2024</v>
      </c>
      <c r="R375" s="33"/>
      <c r="S375" s="40">
        <v>100.0</v>
      </c>
      <c r="T375" s="25">
        <v>2.0</v>
      </c>
      <c r="U375" s="25" t="s">
        <v>817</v>
      </c>
      <c r="V375" s="37"/>
      <c r="W375" s="37" t="str">
        <f t="shared" ref="W375:W424" si="21">IF(F375 = "", "", IF(NOW() &gt; (DATEVALUE(LEFT(F375, SEARCH(",", F375) - 2)) + TIMEVALUE(MID(F375, SEARCH(",", F375) + 2, 5))), "Завершена", "В аренде"))</f>
        <v>Завершена</v>
      </c>
      <c r="X375" s="25" t="str">
        <f>IFERROR(__xludf.DUMMYFUNCTION("IF(C375 = """", """", IF(REGEXMATCH(C375, ""PCX|NMAX|ADV|CLICK""), ""скутер"", ""мото""))"),"скутер")</f>
        <v>скутер</v>
      </c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</row>
    <row r="376" hidden="1">
      <c r="A376" s="13" t="s">
        <v>24</v>
      </c>
      <c r="B376" s="13" t="s">
        <v>25</v>
      </c>
      <c r="C376" s="14" t="s">
        <v>32</v>
      </c>
      <c r="D376" s="14" t="s">
        <v>818</v>
      </c>
      <c r="E376" s="48">
        <v>45302.0</v>
      </c>
      <c r="F376" s="38">
        <v>45318.458333333336</v>
      </c>
      <c r="G376" s="17" t="str">
        <f t="shared" si="20"/>
        <v>16 Д</v>
      </c>
      <c r="H376" s="18">
        <f t="shared" si="19"/>
        <v>690</v>
      </c>
      <c r="I376" s="19" t="str">
        <f t="shared" si="2"/>
        <v/>
      </c>
      <c r="J376" s="20" t="str">
        <f t="shared" si="18"/>
        <v/>
      </c>
      <c r="K376" s="23">
        <f>6900+4140</f>
        <v>11040</v>
      </c>
      <c r="L376" s="20"/>
      <c r="M376" s="23">
        <v>690.0</v>
      </c>
      <c r="N376" s="49">
        <v>22400.0</v>
      </c>
      <c r="O376" s="22">
        <f>IFERROR(__xludf.DUMMYFUNCTION("IFERROR(
  VLOOKUP(C376,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C376
    ), 
    7, FALSE
  ), 
  """"
)
"),38640.0)</f>
        <v>38640</v>
      </c>
      <c r="P376" s="22">
        <f>IFERROR(__xludf.DUMMYFUNCTION("IF(AND(Q376="""", R376=""""),
  """",
  IF(OR(ISBLANK(Q376), ISBLANK(O376)),
    """",
    IF(VALUE(SUBSTITUTE(INDEX(SPLIT(IF(ISBLANK(R376), Q376, R376), "",""), 0, 1), "" Km"", """")) - O376 = 0,
      """",
      VALUE(SUBSTITUTE(INDEX(SPLIT(IF(ISBLANK("&amp;"R376), Q376, R376), "",""), 0, 1), "" Km"", """")) - O376
    )
  )
)"),-16240.0)</f>
        <v>-16240</v>
      </c>
      <c r="Q376" s="23" t="str">
        <f t="shared" si="4"/>
        <v>22 400 Km, 11.01.2024</v>
      </c>
      <c r="R376" s="20"/>
      <c r="S376" s="41">
        <v>5000.0</v>
      </c>
      <c r="T376" s="13">
        <v>2.0</v>
      </c>
      <c r="U376" s="13" t="s">
        <v>819</v>
      </c>
      <c r="V376" s="13" t="s">
        <v>820</v>
      </c>
      <c r="W376" s="24" t="str">
        <f t="shared" si="21"/>
        <v>Завершена</v>
      </c>
      <c r="X376" s="13" t="str">
        <f>IFERROR(__xludf.DUMMYFUNCTION("IF(C376 = """", """", IF(REGEXMATCH(C376, ""PCX|NMAX|ADV|CLICK""), ""скутер"", ""мото""))"),"мото")</f>
        <v>мото</v>
      </c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</row>
    <row r="377" hidden="1">
      <c r="A377" s="25" t="s">
        <v>24</v>
      </c>
      <c r="B377" s="25" t="s">
        <v>25</v>
      </c>
      <c r="C377" s="27" t="s">
        <v>461</v>
      </c>
      <c r="D377" s="27" t="s">
        <v>821</v>
      </c>
      <c r="E377" s="43">
        <v>45302.0</v>
      </c>
      <c r="F377" s="39">
        <v>45333.708333333336</v>
      </c>
      <c r="G377" s="30" t="str">
        <f t="shared" si="20"/>
        <v>1 М</v>
      </c>
      <c r="H377" s="31">
        <f t="shared" si="19"/>
        <v>496.6666667</v>
      </c>
      <c r="I377" s="32" t="str">
        <f t="shared" si="2"/>
        <v/>
      </c>
      <c r="J377" s="33" t="str">
        <f t="shared" si="18"/>
        <v/>
      </c>
      <c r="K377" s="36">
        <f>5000+5000+1920</f>
        <v>11920</v>
      </c>
      <c r="L377" s="36">
        <v>14900.0</v>
      </c>
      <c r="M377" s="33"/>
      <c r="N377" s="44">
        <v>26600.0</v>
      </c>
      <c r="O377" s="35">
        <f>IFERROR(__xludf.DUMMYFUNCTION("IFERROR(
  VLOOKUP(C377,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C377
    ), 
    7, FALSE
  ), 
  """"
)
"),30500.0)</f>
        <v>30500</v>
      </c>
      <c r="P377" s="35">
        <f>IFERROR(__xludf.DUMMYFUNCTION("IF(AND(Q377="""", R377=""""),
  """",
  IF(OR(ISBLANK(Q377), ISBLANK(O377)),
    """",
    IF(VALUE(SUBSTITUTE(INDEX(SPLIT(IF(ISBLANK(R377), Q377, R377), "",""), 0, 1), "" Km"", """")) - O377 = 0,
      """",
      VALUE(SUBSTITUTE(INDEX(SPLIT(IF(ISBLANK("&amp;"R377), Q377, R377), "",""), 0, 1), "" Km"", """")) - O377
    )
  )
)"),-3900.0)</f>
        <v>-3900</v>
      </c>
      <c r="Q377" s="36" t="str">
        <f t="shared" si="4"/>
        <v>26 600 Km, 11.01.2024</v>
      </c>
      <c r="R377" s="33"/>
      <c r="S377" s="40" t="s">
        <v>430</v>
      </c>
      <c r="T377" s="25">
        <v>1.0</v>
      </c>
      <c r="U377" s="25" t="s">
        <v>822</v>
      </c>
      <c r="V377" s="37"/>
      <c r="W377" s="37" t="str">
        <f t="shared" si="21"/>
        <v>Завершена</v>
      </c>
      <c r="X377" s="25" t="str">
        <f>IFERROR(__xludf.DUMMYFUNCTION("IF(C377 = """", """", IF(REGEXMATCH(C377, ""PCX|NMAX|ADV|CLICK""), ""скутер"", ""мото""))"),"мото")</f>
        <v>мото</v>
      </c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</row>
    <row r="378" hidden="1">
      <c r="A378" s="13" t="s">
        <v>24</v>
      </c>
      <c r="B378" s="13" t="s">
        <v>25</v>
      </c>
      <c r="C378" s="14" t="s">
        <v>106</v>
      </c>
      <c r="D378" s="14" t="s">
        <v>823</v>
      </c>
      <c r="E378" s="48">
        <v>45303.0</v>
      </c>
      <c r="F378" s="38">
        <v>45308.75</v>
      </c>
      <c r="G378" s="17" t="str">
        <f t="shared" si="20"/>
        <v>5 Д</v>
      </c>
      <c r="H378" s="18">
        <f t="shared" si="19"/>
        <v>429</v>
      </c>
      <c r="I378" s="19" t="str">
        <f t="shared" si="2"/>
        <v/>
      </c>
      <c r="J378" s="20" t="str">
        <f t="shared" si="18"/>
        <v/>
      </c>
      <c r="K378" s="23">
        <v>2145.0</v>
      </c>
      <c r="L378" s="20"/>
      <c r="M378" s="23">
        <v>429.0</v>
      </c>
      <c r="N378" s="49">
        <v>19300.0</v>
      </c>
      <c r="O378" s="22">
        <f>IFERROR(__xludf.DUMMYFUNCTION("IFERROR(
  VLOOKUP(C378,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C378
    ), 
    7, FALSE
  ), 
  """"
)
"),26000.0)</f>
        <v>26000</v>
      </c>
      <c r="P378" s="22">
        <f>IFERROR(__xludf.DUMMYFUNCTION("IF(AND(Q378="""", R378=""""),
  """",
  IF(OR(ISBLANK(Q378), ISBLANK(O378)),
    """",
    IF(VALUE(SUBSTITUTE(INDEX(SPLIT(IF(ISBLANK(R378), Q378, R378), "",""), 0, 1), "" Km"", """")) - O378 = 0,
      """",
      VALUE(SUBSTITUTE(INDEX(SPLIT(IF(ISBLANK("&amp;"R378), Q378, R378), "",""), 0, 1), "" Km"", """")) - O378
    )
  )
)"),-6700.0)</f>
        <v>-6700</v>
      </c>
      <c r="Q378" s="23" t="str">
        <f t="shared" si="4"/>
        <v>19 300 Km, 12.01.2024</v>
      </c>
      <c r="R378" s="20"/>
      <c r="S378" s="41">
        <v>3000.0</v>
      </c>
      <c r="T378" s="13">
        <v>2.0</v>
      </c>
      <c r="U378" s="13" t="s">
        <v>824</v>
      </c>
      <c r="V378" s="13" t="s">
        <v>825</v>
      </c>
      <c r="W378" s="24" t="str">
        <f t="shared" si="21"/>
        <v>Завершена</v>
      </c>
      <c r="X378" s="13" t="str">
        <f>IFERROR(__xludf.DUMMYFUNCTION("IF(C378 = """", """", IF(REGEXMATCH(C378, ""PCX|NMAX|ADV|CLICK""), ""скутер"", ""мото""))"),"скутер")</f>
        <v>скутер</v>
      </c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</row>
    <row r="379" hidden="1">
      <c r="A379" s="25" t="s">
        <v>24</v>
      </c>
      <c r="B379" s="25" t="s">
        <v>25</v>
      </c>
      <c r="C379" s="27" t="s">
        <v>159</v>
      </c>
      <c r="D379" s="27" t="s">
        <v>826</v>
      </c>
      <c r="E379" s="43">
        <v>45303.0</v>
      </c>
      <c r="F379" s="39">
        <v>45308.75</v>
      </c>
      <c r="G379" s="30" t="str">
        <f t="shared" si="20"/>
        <v>5 Д</v>
      </c>
      <c r="H379" s="31">
        <f t="shared" si="19"/>
        <v>429</v>
      </c>
      <c r="I379" s="32" t="str">
        <f t="shared" si="2"/>
        <v/>
      </c>
      <c r="J379" s="33" t="str">
        <f t="shared" si="18"/>
        <v/>
      </c>
      <c r="K379" s="36">
        <v>2145.0</v>
      </c>
      <c r="L379" s="33"/>
      <c r="M379" s="36">
        <v>429.0</v>
      </c>
      <c r="N379" s="44">
        <v>22260.0</v>
      </c>
      <c r="O379" s="35" t="str">
        <f>IFERROR(__xludf.DUMMYFUNCTION("IFERROR(
  VLOOKUP(C379,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C379
    ), 
    7, FALSE
  ), 
  """"
)
"),"")</f>
        <v/>
      </c>
      <c r="P379" s="35">
        <f>IFERROR(__xludf.DUMMYFUNCTION("IF(AND(Q379="""", R379=""""),
  """",
  IF(OR(ISBLANK(Q379), ISBLANK(O379)),
    """",
    IF(VALUE(SUBSTITUTE(INDEX(SPLIT(IF(ISBLANK(R379), Q379, R379), "",""), 0, 1), "" Km"", """")) - O379 = 0,
      """",
      VALUE(SUBSTITUTE(INDEX(SPLIT(IF(ISBLANK("&amp;"R379), Q379, R379), "",""), 0, 1), "" Km"", """")) - O379
    )
  )
)"),22260.0)</f>
        <v>22260</v>
      </c>
      <c r="Q379" s="36" t="str">
        <f t="shared" si="4"/>
        <v>22 260 Km, 12.01.2024</v>
      </c>
      <c r="R379" s="33"/>
      <c r="S379" s="40">
        <v>3000.0</v>
      </c>
      <c r="T379" s="25">
        <v>2.0</v>
      </c>
      <c r="U379" s="25" t="s">
        <v>732</v>
      </c>
      <c r="V379" s="25" t="s">
        <v>827</v>
      </c>
      <c r="W379" s="37" t="str">
        <f t="shared" si="21"/>
        <v>Завершена</v>
      </c>
      <c r="X379" s="25" t="str">
        <f>IFERROR(__xludf.DUMMYFUNCTION("IF(C379 = """", """", IF(REGEXMATCH(C379, ""PCX|NMAX|ADV|CLICK""), ""скутер"", ""мото""))"),"скутер")</f>
        <v>скутер</v>
      </c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</row>
    <row r="380" hidden="1">
      <c r="A380" s="13" t="s">
        <v>24</v>
      </c>
      <c r="B380" s="13" t="s">
        <v>25</v>
      </c>
      <c r="C380" s="14" t="s">
        <v>92</v>
      </c>
      <c r="D380" s="14" t="s">
        <v>828</v>
      </c>
      <c r="E380" s="48">
        <v>45303.0</v>
      </c>
      <c r="F380" s="38">
        <v>45315.666666666664</v>
      </c>
      <c r="G380" s="17" t="str">
        <f t="shared" si="20"/>
        <v>12 Д</v>
      </c>
      <c r="H380" s="18">
        <f t="shared" si="19"/>
        <v>800</v>
      </c>
      <c r="I380" s="19" t="str">
        <f t="shared" si="2"/>
        <v/>
      </c>
      <c r="J380" s="20" t="str">
        <f t="shared" si="18"/>
        <v/>
      </c>
      <c r="K380" s="23">
        <v>9600.0</v>
      </c>
      <c r="L380" s="20"/>
      <c r="M380" s="23">
        <v>800.0</v>
      </c>
      <c r="N380" s="49">
        <v>23200.0</v>
      </c>
      <c r="O380" s="22">
        <f>IFERROR(__xludf.DUMMYFUNCTION("IFERROR(
  VLOOKUP(C380,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C380
    ), 
    7, FALSE
  ), 
  """"
)
"),23500.0)</f>
        <v>23500</v>
      </c>
      <c r="P380" s="22">
        <f>IFERROR(__xludf.DUMMYFUNCTION("IF(AND(Q380="""", R380=""""),
  """",
  IF(OR(ISBLANK(Q380), ISBLANK(O380)),
    """",
    IF(VALUE(SUBSTITUTE(INDEX(SPLIT(IF(ISBLANK(R380), Q380, R380), "",""), 0, 1), "" Km"", """")) - O380 = 0,
      """",
      VALUE(SUBSTITUTE(INDEX(SPLIT(IF(ISBLANK("&amp;"R380), Q380, R380), "",""), 0, 1), "" Km"", """")) - O380
    )
  )
)"),-300.0)</f>
        <v>-300</v>
      </c>
      <c r="Q380" s="23" t="str">
        <f t="shared" si="4"/>
        <v>23 200 Km, 12.01.2024</v>
      </c>
      <c r="R380" s="20"/>
      <c r="S380" s="41">
        <v>200.0</v>
      </c>
      <c r="T380" s="13">
        <v>3.0</v>
      </c>
      <c r="U380" s="66" t="s">
        <v>829</v>
      </c>
      <c r="V380" s="13" t="s">
        <v>830</v>
      </c>
      <c r="W380" s="24" t="str">
        <f t="shared" si="21"/>
        <v>Завершена</v>
      </c>
      <c r="X380" s="13" t="str">
        <f>IFERROR(__xludf.DUMMYFUNCTION("IF(C380 = """", """", IF(REGEXMATCH(C380, ""PCX|NMAX|ADV|CLICK""), ""скутер"", ""мото""))"),"мото")</f>
        <v>мото</v>
      </c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</row>
    <row r="381" hidden="1">
      <c r="A381" s="25" t="s">
        <v>24</v>
      </c>
      <c r="B381" s="25" t="s">
        <v>25</v>
      </c>
      <c r="C381" s="27" t="s">
        <v>68</v>
      </c>
      <c r="D381" s="27" t="s">
        <v>831</v>
      </c>
      <c r="E381" s="43">
        <v>45304.0</v>
      </c>
      <c r="F381" s="39">
        <v>45310.625</v>
      </c>
      <c r="G381" s="30" t="str">
        <f t="shared" si="20"/>
        <v>6 Д</v>
      </c>
      <c r="H381" s="31">
        <f t="shared" si="19"/>
        <v>429</v>
      </c>
      <c r="I381" s="32" t="str">
        <f t="shared" si="2"/>
        <v/>
      </c>
      <c r="J381" s="33" t="str">
        <f t="shared" si="18"/>
        <v/>
      </c>
      <c r="K381" s="36">
        <v>2574.0</v>
      </c>
      <c r="L381" s="33"/>
      <c r="M381" s="36">
        <v>429.0</v>
      </c>
      <c r="N381" s="44">
        <v>19980.0</v>
      </c>
      <c r="O381" s="35">
        <f>IFERROR(__xludf.DUMMYFUNCTION("IFERROR(
  VLOOKUP(C381,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C381
    ), 
    7, FALSE
  ), 
  """"
)
"),24094.0)</f>
        <v>24094</v>
      </c>
      <c r="P381" s="35">
        <f>IFERROR(__xludf.DUMMYFUNCTION("IF(AND(Q381="""", R381=""""),
  """",
  IF(OR(ISBLANK(Q381), ISBLANK(O381)),
    """",
    IF(VALUE(SUBSTITUTE(INDEX(SPLIT(IF(ISBLANK(R381), Q381, R381), "",""), 0, 1), "" Km"", """")) - O381 = 0,
      """",
      VALUE(SUBSTITUTE(INDEX(SPLIT(IF(ISBLANK("&amp;"R381), Q381, R381), "",""), 0, 1), "" Km"", """")) - O381
    )
  )
)"),-4114.0)</f>
        <v>-4114</v>
      </c>
      <c r="Q381" s="36" t="str">
        <f t="shared" si="4"/>
        <v>19 980 Km, 13.01.2024</v>
      </c>
      <c r="R381" s="33"/>
      <c r="S381" s="40">
        <v>3000.0</v>
      </c>
      <c r="T381" s="25">
        <v>2.0</v>
      </c>
      <c r="U381" s="71" t="s">
        <v>832</v>
      </c>
      <c r="V381" s="37"/>
      <c r="W381" s="37" t="str">
        <f t="shared" si="21"/>
        <v>Завершена</v>
      </c>
      <c r="X381" s="25" t="str">
        <f>IFERROR(__xludf.DUMMYFUNCTION("IF(C381 = """", """", IF(REGEXMATCH(C381, ""PCX|NMAX|ADV|CLICK""), ""скутер"", ""мото""))"),"скутер")</f>
        <v>скутер</v>
      </c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</row>
    <row r="382" hidden="1">
      <c r="A382" s="13" t="s">
        <v>24</v>
      </c>
      <c r="B382" s="13" t="s">
        <v>25</v>
      </c>
      <c r="C382" s="14" t="s">
        <v>483</v>
      </c>
      <c r="D382" s="14" t="s">
        <v>833</v>
      </c>
      <c r="E382" s="48">
        <v>45305.0</v>
      </c>
      <c r="F382" s="38">
        <v>45307.875</v>
      </c>
      <c r="G382" s="17" t="str">
        <f t="shared" si="20"/>
        <v>2 Д</v>
      </c>
      <c r="H382" s="18">
        <f t="shared" si="19"/>
        <v>1500</v>
      </c>
      <c r="I382" s="19" t="str">
        <f t="shared" si="2"/>
        <v/>
      </c>
      <c r="J382" s="20" t="str">
        <f t="shared" si="18"/>
        <v/>
      </c>
      <c r="K382" s="23">
        <v>3000.0</v>
      </c>
      <c r="L382" s="20"/>
      <c r="M382" s="23">
        <v>1500.0</v>
      </c>
      <c r="N382" s="49">
        <v>25000.0</v>
      </c>
      <c r="O382" s="22">
        <f>IFERROR(__xludf.DUMMYFUNCTION("IFERROR(
  VLOOKUP(C382,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C382
    ), 
    7, FALSE
  ), 
  """"
)
"),41500.0)</f>
        <v>41500</v>
      </c>
      <c r="P382" s="22">
        <f>IFERROR(__xludf.DUMMYFUNCTION("IF(AND(Q382="""", R382=""""),
  """",
  IF(OR(ISBLANK(Q382), ISBLANK(O382)),
    """",
    IF(VALUE(SUBSTITUTE(INDEX(SPLIT(IF(ISBLANK(R382), Q382, R382), "",""), 0, 1), "" Km"", """")) - O382 = 0,
      """",
      VALUE(SUBSTITUTE(INDEX(SPLIT(IF(ISBLANK("&amp;"R382), Q382, R382), "",""), 0, 1), "" Km"", """")) - O382
    )
  )
)"),-16500.0)</f>
        <v>-16500</v>
      </c>
      <c r="Q382" s="23" t="str">
        <f t="shared" si="4"/>
        <v>25 000 Km, 14.01.2024</v>
      </c>
      <c r="R382" s="20"/>
      <c r="S382" s="41">
        <v>700.0</v>
      </c>
      <c r="T382" s="13">
        <v>3.0</v>
      </c>
      <c r="U382" s="66" t="s">
        <v>834</v>
      </c>
      <c r="V382" s="13" t="s">
        <v>835</v>
      </c>
      <c r="W382" s="24" t="str">
        <f t="shared" si="21"/>
        <v>Завершена</v>
      </c>
      <c r="X382" s="13" t="str">
        <f>IFERROR(__xludf.DUMMYFUNCTION("IF(C382 = """", """", IF(REGEXMATCH(C382, ""PCX|NMAX|ADV|CLICK""), ""скутер"", ""мото""))"),"мото")</f>
        <v>мото</v>
      </c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</row>
    <row r="383" hidden="1">
      <c r="A383" s="25" t="s">
        <v>24</v>
      </c>
      <c r="B383" s="25" t="s">
        <v>25</v>
      </c>
      <c r="C383" s="27" t="s">
        <v>132</v>
      </c>
      <c r="D383" s="27" t="s">
        <v>836</v>
      </c>
      <c r="E383" s="43">
        <v>45306.0</v>
      </c>
      <c r="F383" s="39">
        <v>45310.541666666664</v>
      </c>
      <c r="G383" s="30" t="str">
        <f t="shared" si="20"/>
        <v>4 Д</v>
      </c>
      <c r="H383" s="31">
        <f t="shared" si="19"/>
        <v>300</v>
      </c>
      <c r="I383" s="32" t="str">
        <f t="shared" si="2"/>
        <v/>
      </c>
      <c r="J383" s="33" t="str">
        <f t="shared" si="18"/>
        <v/>
      </c>
      <c r="K383" s="36">
        <v>1200.0</v>
      </c>
      <c r="L383" s="33"/>
      <c r="M383" s="36">
        <v>300.0</v>
      </c>
      <c r="N383" s="44">
        <v>33557.0</v>
      </c>
      <c r="O383" s="35" t="str">
        <f>IFERROR(__xludf.DUMMYFUNCTION("IFERROR(
  VLOOKUP(C383,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C383
    ), 
    7, FALSE
  ), 
  """"
)
"),"")</f>
        <v/>
      </c>
      <c r="P383" s="35">
        <f>IFERROR(__xludf.DUMMYFUNCTION("IF(AND(Q383="""", R383=""""),
  """",
  IF(OR(ISBLANK(Q383), ISBLANK(O383)),
    """",
    IF(VALUE(SUBSTITUTE(INDEX(SPLIT(IF(ISBLANK(R383), Q383, R383), "",""), 0, 1), "" Km"", """")) - O383 = 0,
      """",
      VALUE(SUBSTITUTE(INDEX(SPLIT(IF(ISBLANK("&amp;"R383), Q383, R383), "",""), 0, 1), "" Km"", """")) - O383
    )
  )
)"),33557.0)</f>
        <v>33557</v>
      </c>
      <c r="Q383" s="36" t="str">
        <f t="shared" si="4"/>
        <v>33 557 Km, 15.01.2024</v>
      </c>
      <c r="R383" s="33"/>
      <c r="S383" s="40">
        <v>100.0</v>
      </c>
      <c r="T383" s="25">
        <v>2.0</v>
      </c>
      <c r="U383" s="25" t="s">
        <v>837</v>
      </c>
      <c r="V383" s="37"/>
      <c r="W383" s="37" t="str">
        <f t="shared" si="21"/>
        <v>Завершена</v>
      </c>
      <c r="X383" s="25" t="str">
        <f>IFERROR(__xludf.DUMMYFUNCTION("IF(C383 = """", """", IF(REGEXMATCH(C383, ""PCX|NMAX|ADV|CLICK""), ""скутер"", ""мото""))"),"скутер")</f>
        <v>скутер</v>
      </c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</row>
    <row r="384" hidden="1">
      <c r="A384" s="13" t="s">
        <v>24</v>
      </c>
      <c r="B384" s="13" t="s">
        <v>25</v>
      </c>
      <c r="C384" s="14" t="s">
        <v>151</v>
      </c>
      <c r="D384" s="14" t="s">
        <v>838</v>
      </c>
      <c r="E384" s="48">
        <v>45307.0</v>
      </c>
      <c r="F384" s="38">
        <v>45331.791666666664</v>
      </c>
      <c r="G384" s="17" t="str">
        <f t="shared" si="20"/>
        <v>24 Д</v>
      </c>
      <c r="H384" s="18">
        <f t="shared" si="19"/>
        <v>429</v>
      </c>
      <c r="I384" s="19" t="str">
        <f t="shared" si="2"/>
        <v/>
      </c>
      <c r="J384" s="20" t="str">
        <f t="shared" si="18"/>
        <v/>
      </c>
      <c r="K384" s="23">
        <f>3000+2145+4200</f>
        <v>9345</v>
      </c>
      <c r="L384" s="20"/>
      <c r="M384" s="23">
        <v>429.0</v>
      </c>
      <c r="N384" s="49">
        <v>21644.0</v>
      </c>
      <c r="O384" s="22">
        <f>IFERROR(__xludf.DUMMYFUNCTION("IFERROR(
  VLOOKUP(C384,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C384
    ), 
    7, FALSE
  ), 
  """"
)
"),35800.0)</f>
        <v>35800</v>
      </c>
      <c r="P384" s="22">
        <f>IFERROR(__xludf.DUMMYFUNCTION("IF(AND(Q384="""", R384=""""),
  """",
  IF(OR(ISBLANK(Q384), ISBLANK(O384)),
    """",
    IF(VALUE(SUBSTITUTE(INDEX(SPLIT(IF(ISBLANK(R384), Q384, R384), "",""), 0, 1), "" Km"", """")) - O384 = 0,
      """",
      VALUE(SUBSTITUTE(INDEX(SPLIT(IF(ISBLANK("&amp;"R384), Q384, R384), "",""), 0, 1), "" Km"", """")) - O384
    )
  )
)"),-14156.0)</f>
        <v>-14156</v>
      </c>
      <c r="Q384" s="23" t="str">
        <f t="shared" si="4"/>
        <v>21 644 Km, 16.01.2024</v>
      </c>
      <c r="R384" s="20"/>
      <c r="S384" s="41">
        <v>0.0</v>
      </c>
      <c r="T384" s="13">
        <v>1.0</v>
      </c>
      <c r="U384" s="13" t="s">
        <v>516</v>
      </c>
      <c r="V384" s="24"/>
      <c r="W384" s="24" t="str">
        <f t="shared" si="21"/>
        <v>Завершена</v>
      </c>
      <c r="X384" s="13" t="str">
        <f>IFERROR(__xludf.DUMMYFUNCTION("IF(C384 = """", """", IF(REGEXMATCH(C384, ""PCX|NMAX|ADV|CLICK""), ""скутер"", ""мото""))"),"скутер")</f>
        <v>скутер</v>
      </c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</row>
    <row r="385" hidden="1">
      <c r="A385" s="25" t="s">
        <v>24</v>
      </c>
      <c r="B385" s="25" t="s">
        <v>25</v>
      </c>
      <c r="C385" s="27" t="s">
        <v>125</v>
      </c>
      <c r="D385" s="27" t="s">
        <v>839</v>
      </c>
      <c r="E385" s="43">
        <v>45307.0</v>
      </c>
      <c r="F385" s="39">
        <v>45338.625</v>
      </c>
      <c r="G385" s="30" t="str">
        <f t="shared" si="20"/>
        <v>1 М</v>
      </c>
      <c r="H385" s="31">
        <f t="shared" si="19"/>
        <v>249.6666667</v>
      </c>
      <c r="I385" s="32" t="str">
        <f t="shared" si="2"/>
        <v/>
      </c>
      <c r="J385" s="33" t="str">
        <f t="shared" si="18"/>
        <v/>
      </c>
      <c r="K385" s="36">
        <v>7490.0</v>
      </c>
      <c r="L385" s="36">
        <v>7490.0</v>
      </c>
      <c r="M385" s="33"/>
      <c r="N385" s="44">
        <v>17200.0</v>
      </c>
      <c r="O385" s="35" t="str">
        <f>IFERROR(__xludf.DUMMYFUNCTION("IFERROR(
  VLOOKUP(C385,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C385
    ), 
    7, FALSE
  ), 
  """"
)
"),"")</f>
        <v/>
      </c>
      <c r="P385" s="35">
        <f>IFERROR(__xludf.DUMMYFUNCTION("IF(AND(Q385="""", R385=""""),
  """",
  IF(OR(ISBLANK(Q385), ISBLANK(O385)),
    """",
    IF(VALUE(SUBSTITUTE(INDEX(SPLIT(IF(ISBLANK(R385), Q385, R385), "",""), 0, 1), "" Km"", """")) - O385 = 0,
      """",
      VALUE(SUBSTITUTE(INDEX(SPLIT(IF(ISBLANK("&amp;"R385), Q385, R385), "",""), 0, 1), "" Km"", """")) - O385
    )
  )
)"),17200.0)</f>
        <v>17200</v>
      </c>
      <c r="Q385" s="36" t="str">
        <f t="shared" si="4"/>
        <v>17 200 Km, 16.01.2024</v>
      </c>
      <c r="R385" s="33"/>
      <c r="S385" s="40">
        <v>3000.0</v>
      </c>
      <c r="T385" s="25">
        <v>2.0</v>
      </c>
      <c r="U385" s="25" t="s">
        <v>840</v>
      </c>
      <c r="V385" s="25" t="s">
        <v>541</v>
      </c>
      <c r="W385" s="37" t="str">
        <f t="shared" si="21"/>
        <v>Завершена</v>
      </c>
      <c r="X385" s="25" t="str">
        <f>IFERROR(__xludf.DUMMYFUNCTION("IF(C385 = """", """", IF(REGEXMATCH(C385, ""PCX|NMAX|ADV|CLICK""), ""скутер"", ""мото""))"),"скутер")</f>
        <v>скутер</v>
      </c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</row>
    <row r="386" hidden="1">
      <c r="A386" s="13" t="s">
        <v>24</v>
      </c>
      <c r="B386" s="13" t="s">
        <v>25</v>
      </c>
      <c r="C386" s="14" t="s">
        <v>98</v>
      </c>
      <c r="D386" s="14" t="s">
        <v>841</v>
      </c>
      <c r="E386" s="48">
        <v>45307.0</v>
      </c>
      <c r="F386" s="38">
        <v>45347.458333333336</v>
      </c>
      <c r="G386" s="17" t="str">
        <f t="shared" si="20"/>
        <v>1 М</v>
      </c>
      <c r="H386" s="18">
        <f t="shared" si="19"/>
        <v>277</v>
      </c>
      <c r="I386" s="19" t="str">
        <f t="shared" si="2"/>
        <v/>
      </c>
      <c r="J386" s="20" t="str">
        <f t="shared" si="18"/>
        <v/>
      </c>
      <c r="K386" s="23">
        <f t="shared" ref="K386:K387" si="22">7490+277*13</f>
        <v>11091</v>
      </c>
      <c r="L386" s="20"/>
      <c r="M386" s="23">
        <v>277.0</v>
      </c>
      <c r="N386" s="49">
        <v>20432.0</v>
      </c>
      <c r="O386" s="22">
        <f>IFERROR(__xludf.DUMMYFUNCTION("IFERROR(
  VLOOKUP(C386,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C386
    ), 
    7, FALSE
  ), 
  """"
)
"),32200.0)</f>
        <v>32200</v>
      </c>
      <c r="P386" s="22">
        <f>IFERROR(__xludf.DUMMYFUNCTION("IF(AND(Q386="""", R386=""""),
  """",
  IF(OR(ISBLANK(Q386), ISBLANK(O386)),
    """",
    IF(VALUE(SUBSTITUTE(INDEX(SPLIT(IF(ISBLANK(R386), Q386, R386), "",""), 0, 1), "" Km"", """")) - O386 = 0,
      """",
      VALUE(SUBSTITUTE(INDEX(SPLIT(IF(ISBLANK("&amp;"R386), Q386, R386), "",""), 0, 1), "" Km"", """")) - O386
    )
  )
)"),-11200.0)</f>
        <v>-11200</v>
      </c>
      <c r="Q386" s="23" t="str">
        <f t="shared" si="4"/>
        <v>21000 Km, 01.02.2024</v>
      </c>
      <c r="R386" s="53" t="s">
        <v>842</v>
      </c>
      <c r="S386" s="41" t="s">
        <v>843</v>
      </c>
      <c r="T386" s="13">
        <v>4.0</v>
      </c>
      <c r="U386" s="13" t="s">
        <v>844</v>
      </c>
      <c r="V386" s="24"/>
      <c r="W386" s="24" t="str">
        <f t="shared" si="21"/>
        <v>Завершена</v>
      </c>
      <c r="X386" s="13" t="str">
        <f>IFERROR(__xludf.DUMMYFUNCTION("IF(C386 = """", """", IF(REGEXMATCH(C386, ""PCX|NMAX|ADV|CLICK""), ""скутер"", ""мото""))"),"скутер")</f>
        <v>скутер</v>
      </c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</row>
    <row r="387" hidden="1">
      <c r="A387" s="25" t="s">
        <v>24</v>
      </c>
      <c r="B387" s="25" t="s">
        <v>25</v>
      </c>
      <c r="C387" s="27" t="s">
        <v>88</v>
      </c>
      <c r="D387" s="27" t="s">
        <v>841</v>
      </c>
      <c r="E387" s="43">
        <v>45307.0</v>
      </c>
      <c r="F387" s="39">
        <v>45347.458333333336</v>
      </c>
      <c r="G387" s="30" t="str">
        <f t="shared" si="20"/>
        <v>1 М</v>
      </c>
      <c r="H387" s="31">
        <f t="shared" si="19"/>
        <v>277</v>
      </c>
      <c r="I387" s="32" t="str">
        <f t="shared" si="2"/>
        <v/>
      </c>
      <c r="J387" s="33" t="str">
        <f t="shared" si="18"/>
        <v/>
      </c>
      <c r="K387" s="36">
        <f t="shared" si="22"/>
        <v>11091</v>
      </c>
      <c r="L387" s="33"/>
      <c r="M387" s="36">
        <v>277.0</v>
      </c>
      <c r="N387" s="44">
        <v>18400.0</v>
      </c>
      <c r="O387" s="35" t="str">
        <f>IFERROR(__xludf.DUMMYFUNCTION("IFERROR(
  VLOOKUP(C387,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C387
    ), 
    7, FALSE
  ), 
  """"
)
"),"")</f>
        <v/>
      </c>
      <c r="P387" s="35">
        <f>IFERROR(__xludf.DUMMYFUNCTION("IF(AND(Q387="""", R387=""""),
  """",
  IF(OR(ISBLANK(Q387), ISBLANK(O387)),
    """",
    IF(VALUE(SUBSTITUTE(INDEX(SPLIT(IF(ISBLANK(R387), Q387, R387), "",""), 0, 1), "" Km"", """")) - O387 = 0,
      """",
      VALUE(SUBSTITUTE(INDEX(SPLIT(IF(ISBLANK("&amp;"R387), Q387, R387), "",""), 0, 1), "" Km"", """")) - O387
    )
  )
)"),19000.0)</f>
        <v>19000</v>
      </c>
      <c r="Q387" s="36" t="str">
        <f t="shared" si="4"/>
        <v>19000 Km, 01.02.2024</v>
      </c>
      <c r="R387" s="58" t="s">
        <v>845</v>
      </c>
      <c r="S387" s="40" t="s">
        <v>843</v>
      </c>
      <c r="T387" s="25">
        <v>3.0</v>
      </c>
      <c r="U387" s="25" t="s">
        <v>844</v>
      </c>
      <c r="V387" s="37"/>
      <c r="W387" s="37" t="str">
        <f t="shared" si="21"/>
        <v>Завершена</v>
      </c>
      <c r="X387" s="25" t="str">
        <f>IFERROR(__xludf.DUMMYFUNCTION("IF(C387 = """", """", IF(REGEXMATCH(C387, ""PCX|NMAX|ADV|CLICK""), ""скутер"", ""мото""))"),"скутер")</f>
        <v>скутер</v>
      </c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</row>
    <row r="388" hidden="1">
      <c r="A388" s="13" t="s">
        <v>24</v>
      </c>
      <c r="B388" s="13" t="s">
        <v>25</v>
      </c>
      <c r="C388" s="14" t="s">
        <v>468</v>
      </c>
      <c r="D388" s="14" t="s">
        <v>846</v>
      </c>
      <c r="E388" s="48">
        <v>45308.0</v>
      </c>
      <c r="F388" s="38">
        <v>45317.625</v>
      </c>
      <c r="G388" s="17" t="str">
        <f t="shared" si="20"/>
        <v>9 Д</v>
      </c>
      <c r="H388" s="18">
        <f t="shared" si="19"/>
        <v>850</v>
      </c>
      <c r="I388" s="19" t="str">
        <f t="shared" si="2"/>
        <v/>
      </c>
      <c r="J388" s="20" t="str">
        <f t="shared" si="18"/>
        <v/>
      </c>
      <c r="K388" s="23">
        <v>7650.0</v>
      </c>
      <c r="L388" s="20"/>
      <c r="M388" s="23">
        <v>850.0</v>
      </c>
      <c r="N388" s="49">
        <v>14500.0</v>
      </c>
      <c r="O388" s="22">
        <f>IFERROR(__xludf.DUMMYFUNCTION("IFERROR(
  VLOOKUP(C388,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C388
    ), 
    7, FALSE
  ), 
  """"
)
"),22200.0)</f>
        <v>22200</v>
      </c>
      <c r="P388" s="22">
        <f>IFERROR(__xludf.DUMMYFUNCTION("IF(AND(Q388="""", R388=""""),
  """",
  IF(OR(ISBLANK(Q388), ISBLANK(O388)),
    """",
    IF(VALUE(SUBSTITUTE(INDEX(SPLIT(IF(ISBLANK(R388), Q388, R388), "",""), 0, 1), "" Km"", """")) - O388 = 0,
      """",
      VALUE(SUBSTITUTE(INDEX(SPLIT(IF(ISBLANK("&amp;"R388), Q388, R388), "",""), 0, 1), "" Km"", """")) - O388
    )
  )
)"),-7700.0)</f>
        <v>-7700</v>
      </c>
      <c r="Q388" s="23" t="str">
        <f t="shared" si="4"/>
        <v>14 500 Km, 17.01.2024</v>
      </c>
      <c r="R388" s="20"/>
      <c r="S388" s="41" t="s">
        <v>430</v>
      </c>
      <c r="T388" s="13">
        <v>2.0</v>
      </c>
      <c r="U388" s="13" t="s">
        <v>847</v>
      </c>
      <c r="V388" s="24"/>
      <c r="W388" s="24" t="str">
        <f t="shared" si="21"/>
        <v>Завершена</v>
      </c>
      <c r="X388" s="13" t="str">
        <f>IFERROR(__xludf.DUMMYFUNCTION("IF(C388 = """", """", IF(REGEXMATCH(C388, ""PCX|NMAX|ADV|CLICK""), ""скутер"", ""мото""))"),"мото")</f>
        <v>мото</v>
      </c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</row>
    <row r="389" hidden="1">
      <c r="A389" s="25" t="s">
        <v>24</v>
      </c>
      <c r="B389" s="25" t="s">
        <v>25</v>
      </c>
      <c r="C389" s="27" t="s">
        <v>64</v>
      </c>
      <c r="D389" s="27" t="s">
        <v>848</v>
      </c>
      <c r="E389" s="43">
        <v>45308.0</v>
      </c>
      <c r="F389" s="39">
        <v>45317.708333333336</v>
      </c>
      <c r="G389" s="30" t="str">
        <f t="shared" si="20"/>
        <v>9 Д</v>
      </c>
      <c r="H389" s="31">
        <f t="shared" si="19"/>
        <v>790</v>
      </c>
      <c r="I389" s="32" t="str">
        <f t="shared" si="2"/>
        <v/>
      </c>
      <c r="J389" s="33" t="str">
        <f t="shared" si="18"/>
        <v/>
      </c>
      <c r="K389" s="36">
        <f t="shared" ref="K389:K390" si="23">790*9</f>
        <v>7110</v>
      </c>
      <c r="L389" s="33"/>
      <c r="M389" s="36">
        <v>790.0</v>
      </c>
      <c r="N389" s="44">
        <v>19900.0</v>
      </c>
      <c r="O389" s="35">
        <f>IFERROR(__xludf.DUMMYFUNCTION("IFERROR(
  VLOOKUP(C389,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C389
    ), 
    7, FALSE
  ), 
  """"
)
"),32600.0)</f>
        <v>32600</v>
      </c>
      <c r="P389" s="35">
        <f>IFERROR(__xludf.DUMMYFUNCTION("IF(AND(Q389="""", R389=""""),
  """",
  IF(OR(ISBLANK(Q389), ISBLANK(O389)),
    """",
    IF(VALUE(SUBSTITUTE(INDEX(SPLIT(IF(ISBLANK(R389), Q389, R389), "",""), 0, 1), "" Km"", """")) - O389 = 0,
      """",
      VALUE(SUBSTITUTE(INDEX(SPLIT(IF(ISBLANK("&amp;"R389), Q389, R389), "",""), 0, 1), "" Km"", """")) - O389
    )
  )
)"),-12700.0)</f>
        <v>-12700</v>
      </c>
      <c r="Q389" s="36" t="str">
        <f t="shared" si="4"/>
        <v>19 900 Km, 17.01.2024</v>
      </c>
      <c r="R389" s="33"/>
      <c r="S389" s="40">
        <v>5000.0</v>
      </c>
      <c r="T389" s="25">
        <v>2.0</v>
      </c>
      <c r="U389" s="71" t="s">
        <v>849</v>
      </c>
      <c r="V389" s="25" t="s">
        <v>850</v>
      </c>
      <c r="W389" s="37" t="str">
        <f t="shared" si="21"/>
        <v>Завершена</v>
      </c>
      <c r="X389" s="25" t="str">
        <f>IFERROR(__xludf.DUMMYFUNCTION("IF(C389 = """", """", IF(REGEXMATCH(C389, ""PCX|NMAX|ADV|CLICK""), ""скутер"", ""мото""))"),"мото")</f>
        <v>мото</v>
      </c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</row>
    <row r="390" hidden="1">
      <c r="A390" s="13" t="s">
        <v>24</v>
      </c>
      <c r="B390" s="13" t="s">
        <v>25</v>
      </c>
      <c r="C390" s="14" t="s">
        <v>198</v>
      </c>
      <c r="D390" s="14" t="s">
        <v>848</v>
      </c>
      <c r="E390" s="48">
        <v>45308.0</v>
      </c>
      <c r="F390" s="38">
        <v>45317.708333333336</v>
      </c>
      <c r="G390" s="17" t="str">
        <f t="shared" si="20"/>
        <v>9 Д</v>
      </c>
      <c r="H390" s="18">
        <f t="shared" si="19"/>
        <v>790</v>
      </c>
      <c r="I390" s="19" t="str">
        <f t="shared" si="2"/>
        <v/>
      </c>
      <c r="J390" s="20" t="str">
        <f t="shared" si="18"/>
        <v/>
      </c>
      <c r="K390" s="23">
        <f t="shared" si="23"/>
        <v>7110</v>
      </c>
      <c r="L390" s="20"/>
      <c r="M390" s="23">
        <v>790.0</v>
      </c>
      <c r="N390" s="49">
        <v>17000.0</v>
      </c>
      <c r="O390" s="22" t="str">
        <f>IFERROR(__xludf.DUMMYFUNCTION("IFERROR(
  VLOOKUP(C390,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C390
    ), 
    7, FALSE
  ), 
  """"
)
"),"")</f>
        <v/>
      </c>
      <c r="P390" s="22">
        <f>IFERROR(__xludf.DUMMYFUNCTION("IF(AND(Q390="""", R390=""""),
  """",
  IF(OR(ISBLANK(Q390), ISBLANK(O390)),
    """",
    IF(VALUE(SUBSTITUTE(INDEX(SPLIT(IF(ISBLANK(R390), Q390, R390), "",""), 0, 1), "" Km"", """")) - O390 = 0,
      """",
      VALUE(SUBSTITUTE(INDEX(SPLIT(IF(ISBLANK("&amp;"R390), Q390, R390), "",""), 0, 1), "" Km"", """")) - O390
    )
  )
)"),17000.0)</f>
        <v>17000</v>
      </c>
      <c r="Q390" s="23" t="str">
        <f t="shared" si="4"/>
        <v>17 000 Km, 17.01.2024</v>
      </c>
      <c r="R390" s="20"/>
      <c r="S390" s="41">
        <v>5000.0</v>
      </c>
      <c r="T390" s="13">
        <v>2.0</v>
      </c>
      <c r="U390" s="66" t="s">
        <v>849</v>
      </c>
      <c r="V390" s="13" t="s">
        <v>850</v>
      </c>
      <c r="W390" s="24" t="str">
        <f t="shared" si="21"/>
        <v>Завершена</v>
      </c>
      <c r="X390" s="13" t="str">
        <f>IFERROR(__xludf.DUMMYFUNCTION("IF(C390 = """", """", IF(REGEXMATCH(C390, ""PCX|NMAX|ADV|CLICK""), ""скутер"", ""мото""))"),"мото")</f>
        <v>мото</v>
      </c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</row>
    <row r="391" hidden="1">
      <c r="A391" s="25" t="s">
        <v>24</v>
      </c>
      <c r="B391" s="25" t="s">
        <v>25</v>
      </c>
      <c r="C391" s="27" t="s">
        <v>132</v>
      </c>
      <c r="D391" s="27" t="s">
        <v>851</v>
      </c>
      <c r="E391" s="43">
        <v>45308.0</v>
      </c>
      <c r="F391" s="39">
        <v>45399.541666666664</v>
      </c>
      <c r="G391" s="30" t="str">
        <f t="shared" si="20"/>
        <v>3 М</v>
      </c>
      <c r="H391" s="31">
        <f t="shared" si="19"/>
        <v>183.3333333</v>
      </c>
      <c r="I391" s="74" t="str">
        <f t="shared" si="2"/>
        <v/>
      </c>
      <c r="J391" s="76" t="str">
        <f>IF(OR(A391="в аренде", A391="в аренде 1", A391="в аренде 2"), DATEDIF(E391, F391, "D")*H391, "")</f>
        <v/>
      </c>
      <c r="K391" s="36">
        <f>5500+5500+5500</f>
        <v>16500</v>
      </c>
      <c r="L391" s="36">
        <v>5500.0</v>
      </c>
      <c r="M391" s="33"/>
      <c r="N391" s="44">
        <v>33500.0</v>
      </c>
      <c r="O391" s="35" t="str">
        <f>IFERROR(__xludf.DUMMYFUNCTION("IFERROR(
  VLOOKUP(C391,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C391
    ), 
    7, FALSE
  ), 
  """"
)
"),"")</f>
        <v/>
      </c>
      <c r="P391" s="35">
        <f>IFERROR(__xludf.DUMMYFUNCTION("IF(AND(Q391="""", R391=""""),
  """",
  IF(OR(ISBLANK(Q391), ISBLANK(O391)),
    """",
    IF(VALUE(SUBSTITUTE(INDEX(SPLIT(IF(ISBLANK(R391), Q391, R391), "",""), 0, 1), "" Km"", """")) - O391 = 0,
      """",
      VALUE(SUBSTITUTE(INDEX(SPLIT(IF(ISBLANK("&amp;"R391), Q391, R391), "",""), 0, 1), "" Km"", """")) - O391
    )
  )
)"),34800.0)</f>
        <v>34800</v>
      </c>
      <c r="Q391" s="36" t="str">
        <f t="shared" si="4"/>
        <v>34800 Km, 17.02.2024</v>
      </c>
      <c r="R391" s="58" t="s">
        <v>852</v>
      </c>
      <c r="S391" s="40">
        <v>3000.0</v>
      </c>
      <c r="T391" s="25">
        <v>3.0</v>
      </c>
      <c r="U391" s="25" t="s">
        <v>853</v>
      </c>
      <c r="V391" s="37"/>
      <c r="W391" s="37" t="str">
        <f t="shared" si="21"/>
        <v>Завершена</v>
      </c>
      <c r="X391" s="25" t="str">
        <f>IFERROR(__xludf.DUMMYFUNCTION("IF(C391 = """", """", IF(REGEXMATCH(C391, ""PCX|NMAX|ADV 150|CLICK""), ""скутер"", ""мото""))"),"скутер")</f>
        <v>скутер</v>
      </c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</row>
    <row r="392" hidden="1">
      <c r="A392" s="13" t="s">
        <v>24</v>
      </c>
      <c r="B392" s="13" t="s">
        <v>25</v>
      </c>
      <c r="C392" s="14" t="s">
        <v>750</v>
      </c>
      <c r="D392" s="14" t="s">
        <v>854</v>
      </c>
      <c r="E392" s="48">
        <v>45309.0</v>
      </c>
      <c r="F392" s="38">
        <v>45313.791666666664</v>
      </c>
      <c r="G392" s="17" t="str">
        <f t="shared" si="20"/>
        <v>4 Д</v>
      </c>
      <c r="H392" s="18">
        <f t="shared" si="19"/>
        <v>590</v>
      </c>
      <c r="I392" s="19" t="str">
        <f t="shared" si="2"/>
        <v/>
      </c>
      <c r="J392" s="20" t="str">
        <f t="shared" ref="J392:J420" si="24">IF(OR(A392="в аренде", A392="в аренде 1", A392="в аренде 2"), DATEDIF(E392, TODAY(), "D")*H392, "")</f>
        <v/>
      </c>
      <c r="K392" s="23">
        <v>2360.0</v>
      </c>
      <c r="L392" s="20"/>
      <c r="M392" s="23">
        <v>590.0</v>
      </c>
      <c r="N392" s="49">
        <v>42500.0</v>
      </c>
      <c r="O392" s="22" t="str">
        <f>IFERROR(__xludf.DUMMYFUNCTION("IFERROR(
  VLOOKUP(C392,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C392
    ), 
    7, FALSE
  ), 
  """"
)
"),"")</f>
        <v/>
      </c>
      <c r="P392" s="22">
        <f>IFERROR(__xludf.DUMMYFUNCTION("IF(AND(Q392="""", R392=""""),
  """",
  IF(OR(ISBLANK(Q392), ISBLANK(O392)),
    """",
    IF(VALUE(SUBSTITUTE(INDEX(SPLIT(IF(ISBLANK(R392), Q392, R392), "",""), 0, 1), "" Km"", """")) - O392 = 0,
      """",
      VALUE(SUBSTITUTE(INDEX(SPLIT(IF(ISBLANK("&amp;"R392), Q392, R392), "",""), 0, 1), "" Km"", """")) - O392
    )
  )
)"),42500.0)</f>
        <v>42500</v>
      </c>
      <c r="Q392" s="23" t="str">
        <f t="shared" si="4"/>
        <v>42 500 Km, 18.01.2024</v>
      </c>
      <c r="R392" s="20"/>
      <c r="S392" s="41">
        <v>5000.0</v>
      </c>
      <c r="T392" s="13">
        <v>0.0</v>
      </c>
      <c r="U392" s="13" t="s">
        <v>855</v>
      </c>
      <c r="V392" s="24"/>
      <c r="W392" s="24" t="str">
        <f t="shared" si="21"/>
        <v>Завершена</v>
      </c>
      <c r="X392" s="13" t="str">
        <f>IFERROR(__xludf.DUMMYFUNCTION("IF(C392 = """", """", IF(REGEXMATCH(C392, ""PCX|NMAX|ADV|CLICK""), ""скутер"", ""мото""))"),"мото")</f>
        <v>мото</v>
      </c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</row>
    <row r="393" hidden="1">
      <c r="A393" s="25" t="s">
        <v>24</v>
      </c>
      <c r="B393" s="25" t="s">
        <v>25</v>
      </c>
      <c r="C393" s="27" t="s">
        <v>77</v>
      </c>
      <c r="D393" s="27" t="s">
        <v>856</v>
      </c>
      <c r="E393" s="43">
        <v>45309.0</v>
      </c>
      <c r="F393" s="39">
        <v>45461.708333333336</v>
      </c>
      <c r="G393" s="30" t="str">
        <f t="shared" si="20"/>
        <v>5 М</v>
      </c>
      <c r="H393" s="31">
        <f t="shared" si="19"/>
        <v>153.3333333</v>
      </c>
      <c r="I393" s="74" t="str">
        <f t="shared" si="2"/>
        <v/>
      </c>
      <c r="J393" s="33" t="str">
        <f t="shared" si="24"/>
        <v/>
      </c>
      <c r="K393" s="36">
        <f>7900+7900-283*16</f>
        <v>11272</v>
      </c>
      <c r="L393" s="36">
        <f>7900-3300</f>
        <v>4600</v>
      </c>
      <c r="M393" s="33"/>
      <c r="N393" s="44">
        <v>25000.0</v>
      </c>
      <c r="O393" s="35">
        <f>IFERROR(__xludf.DUMMYFUNCTION("IFERROR(
  VLOOKUP(C393,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C393
    ), 
    7, FALSE
  ), 
  """"
)
"),37300.0)</f>
        <v>37300</v>
      </c>
      <c r="P393" s="35">
        <f>IFERROR(__xludf.DUMMYFUNCTION("IF(AND(Q393="""", R393=""""),
  """",
  IF(OR(ISBLANK(Q393), ISBLANK(O393)),
    """",
    IF(VALUE(SUBSTITUTE(INDEX(SPLIT(IF(ISBLANK(R393), Q393, R393), "",""), 0, 1), "" Km"", """")) - O393 = 0,
      """",
      VALUE(SUBSTITUTE(INDEX(SPLIT(IF(ISBLANK("&amp;"R393), Q393, R393), "",""), 0, 1), "" Km"", """")) - O393
    )
  )
)"),-12300.0)</f>
        <v>-12300</v>
      </c>
      <c r="Q393" s="36" t="str">
        <f t="shared" si="4"/>
        <v>25 000 Km, 18.01.2024</v>
      </c>
      <c r="R393" s="33"/>
      <c r="S393" s="40">
        <v>3000.0</v>
      </c>
      <c r="T393" s="25">
        <v>2.0</v>
      </c>
      <c r="U393" s="25" t="s">
        <v>857</v>
      </c>
      <c r="V393" s="25" t="s">
        <v>858</v>
      </c>
      <c r="W393" s="37" t="str">
        <f t="shared" si="21"/>
        <v>Завершена</v>
      </c>
      <c r="X393" s="25" t="str">
        <f>IFERROR(__xludf.DUMMYFUNCTION("IF(C393 = """", """", IF(REGEXMATCH(C393, ""PCX|NMAX|ADV|CLICK""), ""скутер"", ""мото""))"),"скутер")</f>
        <v>скутер</v>
      </c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</row>
    <row r="394" hidden="1">
      <c r="A394" s="13" t="s">
        <v>24</v>
      </c>
      <c r="B394" s="13" t="s">
        <v>25</v>
      </c>
      <c r="C394" s="14" t="s">
        <v>159</v>
      </c>
      <c r="D394" s="14" t="s">
        <v>859</v>
      </c>
      <c r="E394" s="48">
        <v>45310.0</v>
      </c>
      <c r="F394" s="38">
        <v>45342.541666666664</v>
      </c>
      <c r="G394" s="17" t="str">
        <f t="shared" si="20"/>
        <v>1 М</v>
      </c>
      <c r="H394" s="18">
        <f t="shared" si="19"/>
        <v>249.6666667</v>
      </c>
      <c r="I394" s="19" t="str">
        <f t="shared" si="2"/>
        <v/>
      </c>
      <c r="J394" s="20" t="str">
        <f t="shared" si="24"/>
        <v/>
      </c>
      <c r="K394" s="23">
        <f>7490+250</f>
        <v>7740</v>
      </c>
      <c r="L394" s="23">
        <v>7490.0</v>
      </c>
      <c r="M394" s="20"/>
      <c r="N394" s="49">
        <v>22900.0</v>
      </c>
      <c r="O394" s="22" t="str">
        <f>IFERROR(__xludf.DUMMYFUNCTION("IFERROR(
  VLOOKUP(C394,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C394
    ), 
    7, FALSE
  ), 
  """"
)
"),"")</f>
        <v/>
      </c>
      <c r="P394" s="22">
        <f>IFERROR(__xludf.DUMMYFUNCTION("IF(AND(Q394="""", R394=""""),
  """",
  IF(OR(ISBLANK(Q394), ISBLANK(O394)),
    """",
    IF(VALUE(SUBSTITUTE(INDEX(SPLIT(IF(ISBLANK(R394), Q394, R394), "",""), 0, 1), "" Km"", """")) - O394 = 0,
      """",
      VALUE(SUBSTITUTE(INDEX(SPLIT(IF(ISBLANK("&amp;"R394), Q394, R394), "",""), 0, 1), "" Km"", """")) - O394
    )
  )
)"),23400.0)</f>
        <v>23400</v>
      </c>
      <c r="Q394" s="23" t="str">
        <f t="shared" si="4"/>
        <v>23400 Km, 01.02.2024</v>
      </c>
      <c r="R394" s="53" t="s">
        <v>860</v>
      </c>
      <c r="S394" s="41" t="s">
        <v>861</v>
      </c>
      <c r="T394" s="13">
        <v>2.0</v>
      </c>
      <c r="U394" s="13" t="s">
        <v>862</v>
      </c>
      <c r="V394" s="24"/>
      <c r="W394" s="24" t="str">
        <f t="shared" si="21"/>
        <v>Завершена</v>
      </c>
      <c r="X394" s="13" t="str">
        <f>IFERROR(__xludf.DUMMYFUNCTION("IF(C394 = """", """", IF(REGEXMATCH(C394, ""PCX|NMAX|ADV|CLICK""), ""скутер"", ""мото""))"),"скутер")</f>
        <v>скутер</v>
      </c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</row>
    <row r="395" hidden="1">
      <c r="A395" s="25" t="s">
        <v>24</v>
      </c>
      <c r="B395" s="25" t="s">
        <v>25</v>
      </c>
      <c r="C395" s="27" t="s">
        <v>155</v>
      </c>
      <c r="D395" s="27" t="s">
        <v>801</v>
      </c>
      <c r="E395" s="43">
        <v>45312.0</v>
      </c>
      <c r="F395" s="39">
        <v>45313.416666666664</v>
      </c>
      <c r="G395" s="30" t="str">
        <f t="shared" si="20"/>
        <v>1 Д</v>
      </c>
      <c r="H395" s="31">
        <f t="shared" si="19"/>
        <v>684</v>
      </c>
      <c r="I395" s="32" t="str">
        <f t="shared" si="2"/>
        <v/>
      </c>
      <c r="J395" s="33" t="str">
        <f t="shared" si="24"/>
        <v/>
      </c>
      <c r="K395" s="36">
        <v>684.0</v>
      </c>
      <c r="L395" s="33"/>
      <c r="M395" s="36">
        <v>684.0</v>
      </c>
      <c r="N395" s="44">
        <v>30899.0</v>
      </c>
      <c r="O395" s="35" t="str">
        <f>IFERROR(__xludf.DUMMYFUNCTION("IFERROR(
  VLOOKUP(C395,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C395
    ), 
    7, FALSE
  ), 
  """"
)
"),"")</f>
        <v/>
      </c>
      <c r="P395" s="35">
        <f>IFERROR(__xludf.DUMMYFUNCTION("IF(AND(Q395="""", R395=""""),
  """",
  IF(OR(ISBLANK(Q395), ISBLANK(O395)),
    """",
    IF(VALUE(SUBSTITUTE(INDEX(SPLIT(IF(ISBLANK(R395), Q395, R395), "",""), 0, 1), "" Km"", """")) - O395 = 0,
      """",
      VALUE(SUBSTITUTE(INDEX(SPLIT(IF(ISBLANK("&amp;"R395), Q395, R395), "",""), 0, 1), "" Km"", """")) - O395
    )
  )
)"),30899.0)</f>
        <v>30899</v>
      </c>
      <c r="Q395" s="36" t="str">
        <f t="shared" si="4"/>
        <v>30 899 Km, 21.01.2024</v>
      </c>
      <c r="R395" s="33"/>
      <c r="S395" s="40">
        <v>3000.0</v>
      </c>
      <c r="T395" s="25">
        <v>2.0</v>
      </c>
      <c r="U395" s="71" t="s">
        <v>802</v>
      </c>
      <c r="V395" s="37"/>
      <c r="W395" s="37" t="str">
        <f t="shared" si="21"/>
        <v>Завершена</v>
      </c>
      <c r="X395" s="25" t="str">
        <f>IFERROR(__xludf.DUMMYFUNCTION("IF(C395 = """", """", IF(REGEXMATCH(C395, ""PCX|NMAX|ADV|CLICK""), ""скутер"", ""мото""))"),"мото")</f>
        <v>мото</v>
      </c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</row>
    <row r="396" hidden="1">
      <c r="A396" s="13" t="s">
        <v>24</v>
      </c>
      <c r="B396" s="13" t="s">
        <v>25</v>
      </c>
      <c r="C396" s="14" t="s">
        <v>321</v>
      </c>
      <c r="D396" s="14" t="s">
        <v>712</v>
      </c>
      <c r="E396" s="48">
        <v>45312.0</v>
      </c>
      <c r="F396" s="38">
        <v>45328.875</v>
      </c>
      <c r="G396" s="17" t="str">
        <f t="shared" si="20"/>
        <v>16 Д</v>
      </c>
      <c r="H396" s="18">
        <f t="shared" si="19"/>
        <v>391.5</v>
      </c>
      <c r="I396" s="19" t="str">
        <f t="shared" si="2"/>
        <v/>
      </c>
      <c r="J396" s="20" t="str">
        <f t="shared" si="24"/>
        <v/>
      </c>
      <c r="K396" s="23">
        <f>(150*36)/2+(100*36)/2+3528/2</f>
        <v>6264</v>
      </c>
      <c r="L396" s="23"/>
      <c r="M396" s="23">
        <f>783/2</f>
        <v>391.5</v>
      </c>
      <c r="N396" s="49">
        <v>44550.0</v>
      </c>
      <c r="O396" s="22" t="str">
        <f>IFERROR(__xludf.DUMMYFUNCTION("IFERROR(
  VLOOKUP(C396,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C396
    ), 
    7, FALSE
  ), 
  """"
)
"),"")</f>
        <v/>
      </c>
      <c r="P396" s="22">
        <f>IFERROR(__xludf.DUMMYFUNCTION("IF(AND(Q396="""", R396=""""),
  """",
  IF(OR(ISBLANK(Q396), ISBLANK(O396)),
    """",
    IF(VALUE(SUBSTITUTE(INDEX(SPLIT(IF(ISBLANK(R396), Q396, R396), "",""), 0, 1), "" Km"", """")) - O396 = 0,
      """",
      VALUE(SUBSTITUTE(INDEX(SPLIT(IF(ISBLANK("&amp;"R396), Q396, R396), "",""), 0, 1), "" Km"", """")) - O396
    )
  )
)"),44550.0)</f>
        <v>44550</v>
      </c>
      <c r="Q396" s="23" t="str">
        <f t="shared" si="4"/>
        <v>44 550 Km, 21.01.2024</v>
      </c>
      <c r="R396" s="20"/>
      <c r="S396" s="41" t="s">
        <v>600</v>
      </c>
      <c r="T396" s="13">
        <v>1.0</v>
      </c>
      <c r="U396" s="13" t="s">
        <v>713</v>
      </c>
      <c r="V396" s="13" t="s">
        <v>714</v>
      </c>
      <c r="W396" s="24" t="str">
        <f t="shared" si="21"/>
        <v>Завершена</v>
      </c>
      <c r="X396" s="13" t="str">
        <f>IFERROR(__xludf.DUMMYFUNCTION("IF(C396 = """", """", IF(REGEXMATCH(C396, ""PCX|NMAX|ADV|CLICK""), ""скутер"", ""мото""))"),"мото")</f>
        <v>мото</v>
      </c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</row>
    <row r="397" hidden="1">
      <c r="A397" s="25" t="s">
        <v>24</v>
      </c>
      <c r="B397" s="25" t="s">
        <v>25</v>
      </c>
      <c r="C397" s="27" t="s">
        <v>423</v>
      </c>
      <c r="D397" s="27" t="s">
        <v>863</v>
      </c>
      <c r="E397" s="43">
        <v>45312.0</v>
      </c>
      <c r="F397" s="39">
        <v>45343.666666666664</v>
      </c>
      <c r="G397" s="30" t="str">
        <f t="shared" si="20"/>
        <v>1 М</v>
      </c>
      <c r="H397" s="31">
        <f t="shared" si="19"/>
        <v>500</v>
      </c>
      <c r="I397" s="32" t="str">
        <f t="shared" si="2"/>
        <v/>
      </c>
      <c r="J397" s="33" t="str">
        <f t="shared" si="24"/>
        <v/>
      </c>
      <c r="K397" s="36">
        <v>9000.0</v>
      </c>
      <c r="L397" s="36">
        <v>15000.0</v>
      </c>
      <c r="M397" s="33"/>
      <c r="N397" s="44">
        <v>14547.0</v>
      </c>
      <c r="O397" s="35" t="str">
        <f>IFERROR(__xludf.DUMMYFUNCTION("IFERROR(
  VLOOKUP(C397,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C397
    ), 
    7, FALSE
  ), 
  """"
)
"),"")</f>
        <v/>
      </c>
      <c r="P397" s="35">
        <f>IFERROR(__xludf.DUMMYFUNCTION("IF(AND(Q397="""", R397=""""),
  """",
  IF(OR(ISBLANK(Q397), ISBLANK(O397)),
    """",
    IF(VALUE(SUBSTITUTE(INDEX(SPLIT(IF(ISBLANK(R397), Q397, R397), "",""), 0, 1), "" Km"", """")) - O397 = 0,
      """",
      VALUE(SUBSTITUTE(INDEX(SPLIT(IF(ISBLANK("&amp;"R397), Q397, R397), "",""), 0, 1), "" Km"", """")) - O397
    )
  )
)"),14547.0)</f>
        <v>14547</v>
      </c>
      <c r="Q397" s="36" t="str">
        <f t="shared" si="4"/>
        <v>14 547 Km, 21.01.2024</v>
      </c>
      <c r="R397" s="33"/>
      <c r="S397" s="40" t="s">
        <v>430</v>
      </c>
      <c r="T397" s="25">
        <v>2.0</v>
      </c>
      <c r="U397" s="25" t="s">
        <v>864</v>
      </c>
      <c r="V397" s="25" t="s">
        <v>865</v>
      </c>
      <c r="W397" s="37" t="str">
        <f t="shared" si="21"/>
        <v>Завершена</v>
      </c>
      <c r="X397" s="25" t="str">
        <f>IFERROR(__xludf.DUMMYFUNCTION("IF(C397 = """", """", IF(REGEXMATCH(C397, ""PCX|NMAX|ADV|CLICK""), ""скутер"", ""мото""))"),"мото")</f>
        <v>мото</v>
      </c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</row>
    <row r="398" hidden="1">
      <c r="A398" s="13" t="s">
        <v>24</v>
      </c>
      <c r="B398" s="13" t="s">
        <v>25</v>
      </c>
      <c r="C398" s="14" t="s">
        <v>472</v>
      </c>
      <c r="D398" s="14" t="s">
        <v>863</v>
      </c>
      <c r="E398" s="48">
        <v>45312.0</v>
      </c>
      <c r="F398" s="38">
        <v>45344.666666666664</v>
      </c>
      <c r="G398" s="17" t="str">
        <f t="shared" si="20"/>
        <v>1 М</v>
      </c>
      <c r="H398" s="18">
        <f t="shared" si="19"/>
        <v>500</v>
      </c>
      <c r="I398" s="19" t="str">
        <f t="shared" si="2"/>
        <v/>
      </c>
      <c r="J398" s="20" t="str">
        <f t="shared" si="24"/>
        <v/>
      </c>
      <c r="K398" s="23">
        <v>15500.0</v>
      </c>
      <c r="L398" s="23">
        <v>15000.0</v>
      </c>
      <c r="M398" s="20"/>
      <c r="N398" s="49">
        <v>20500.0</v>
      </c>
      <c r="O398" s="22" t="str">
        <f>IFERROR(__xludf.DUMMYFUNCTION("IFERROR(
  VLOOKUP(C398,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C398
    ), 
    7, FALSE
  ), 
  """"
)
"),"")</f>
        <v/>
      </c>
      <c r="P398" s="22">
        <f>IFERROR(__xludf.DUMMYFUNCTION("IF(AND(Q398="""", R398=""""),
  """",
  IF(OR(ISBLANK(Q398), ISBLANK(O398)),
    """",
    IF(VALUE(SUBSTITUTE(INDEX(SPLIT(IF(ISBLANK(R398), Q398, R398), "",""), 0, 1), "" Km"", """")) - O398 = 0,
      """",
      VALUE(SUBSTITUTE(INDEX(SPLIT(IF(ISBLANK("&amp;"R398), Q398, R398), "",""), 0, 1), "" Km"", """")) - O398
    )
  )
)"),20500.0)</f>
        <v>20500</v>
      </c>
      <c r="Q398" s="23" t="str">
        <f t="shared" si="4"/>
        <v>20 500 Km, 21.01.2024</v>
      </c>
      <c r="R398" s="20"/>
      <c r="S398" s="41" t="s">
        <v>430</v>
      </c>
      <c r="T398" s="13">
        <v>2.0</v>
      </c>
      <c r="U398" s="13" t="s">
        <v>864</v>
      </c>
      <c r="V398" s="13" t="s">
        <v>865</v>
      </c>
      <c r="W398" s="24" t="str">
        <f t="shared" si="21"/>
        <v>Завершена</v>
      </c>
      <c r="X398" s="13" t="str">
        <f>IFERROR(__xludf.DUMMYFUNCTION("IF(C398 = """", """", IF(REGEXMATCH(C398, ""PCX|NMAX|ADV|CLICK""), ""скутер"", ""мото""))"),"мото")</f>
        <v>мото</v>
      </c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</row>
    <row r="399" hidden="1">
      <c r="A399" s="25" t="s">
        <v>24</v>
      </c>
      <c r="B399" s="25" t="s">
        <v>25</v>
      </c>
      <c r="C399" s="27" t="s">
        <v>155</v>
      </c>
      <c r="D399" s="27" t="s">
        <v>866</v>
      </c>
      <c r="E399" s="43">
        <v>45313.0</v>
      </c>
      <c r="F399" s="39">
        <v>45324.708333333336</v>
      </c>
      <c r="G399" s="30" t="str">
        <f t="shared" si="20"/>
        <v>11 Д</v>
      </c>
      <c r="H399" s="31">
        <f t="shared" si="19"/>
        <v>790</v>
      </c>
      <c r="I399" s="32" t="str">
        <f t="shared" si="2"/>
        <v/>
      </c>
      <c r="J399" s="33" t="str">
        <f t="shared" si="24"/>
        <v/>
      </c>
      <c r="K399" s="36">
        <v>8690.0</v>
      </c>
      <c r="L399" s="33"/>
      <c r="M399" s="36">
        <v>790.0</v>
      </c>
      <c r="N399" s="44">
        <v>31000.0</v>
      </c>
      <c r="O399" s="35" t="str">
        <f>IFERROR(__xludf.DUMMYFUNCTION("IFERROR(
  VLOOKUP(C399,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C399
    ), 
    7, FALSE
  ), 
  """"
)
"),"")</f>
        <v/>
      </c>
      <c r="P399" s="35">
        <f>IFERROR(__xludf.DUMMYFUNCTION("IF(AND(Q399="""", R399=""""),
  """",
  IF(OR(ISBLANK(Q399), ISBLANK(O399)),
    """",
    IF(VALUE(SUBSTITUTE(INDEX(SPLIT(IF(ISBLANK(R399), Q399, R399), "",""), 0, 1), "" Km"", """")) - O399 = 0,
      """",
      VALUE(SUBSTITUTE(INDEX(SPLIT(IF(ISBLANK("&amp;"R399), Q399, R399), "",""), 0, 1), "" Km"", """")) - O399
    )
  )
)"),31000.0)</f>
        <v>31000</v>
      </c>
      <c r="Q399" s="36" t="str">
        <f t="shared" si="4"/>
        <v>31 000 Km, 22.01.2024</v>
      </c>
      <c r="R399" s="33"/>
      <c r="S399" s="40">
        <v>5000.0</v>
      </c>
      <c r="T399" s="25">
        <v>2.0</v>
      </c>
      <c r="U399" s="71" t="s">
        <v>867</v>
      </c>
      <c r="V399" s="37"/>
      <c r="W399" s="37" t="str">
        <f t="shared" si="21"/>
        <v>Завершена</v>
      </c>
      <c r="X399" s="25" t="str">
        <f>IFERROR(__xludf.DUMMYFUNCTION("IF(C399 = """", """", IF(REGEXMATCH(C399, ""PCX|NMAX|ADV|CLICK""), ""скутер"", ""мото""))"),"мото")</f>
        <v>мото</v>
      </c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</row>
    <row r="400" hidden="1">
      <c r="A400" s="13" t="s">
        <v>24</v>
      </c>
      <c r="B400" s="13" t="s">
        <v>25</v>
      </c>
      <c r="C400" s="14" t="s">
        <v>26</v>
      </c>
      <c r="D400" s="14" t="s">
        <v>868</v>
      </c>
      <c r="E400" s="48">
        <v>45313.0</v>
      </c>
      <c r="F400" s="38">
        <v>45332.708333333336</v>
      </c>
      <c r="G400" s="17" t="str">
        <f t="shared" si="20"/>
        <v>19 Д</v>
      </c>
      <c r="H400" s="18">
        <f t="shared" si="19"/>
        <v>343</v>
      </c>
      <c r="I400" s="19" t="str">
        <f t="shared" si="2"/>
        <v/>
      </c>
      <c r="J400" s="20" t="str">
        <f t="shared" si="24"/>
        <v/>
      </c>
      <c r="K400" s="23">
        <v>6517.0</v>
      </c>
      <c r="L400" s="20"/>
      <c r="M400" s="23">
        <v>343.0</v>
      </c>
      <c r="N400" s="49">
        <v>23800.0</v>
      </c>
      <c r="O400" s="22" t="str">
        <f>IFERROR(__xludf.DUMMYFUNCTION("IFERROR(
  VLOOKUP(C400,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C400
    ), 
    7, FALSE
  ), 
  """"
)
"),"")</f>
        <v/>
      </c>
      <c r="P400" s="22">
        <f>IFERROR(__xludf.DUMMYFUNCTION("IF(AND(Q400="""", R400=""""),
  """",
  IF(OR(ISBLANK(Q400), ISBLANK(O400)),
    """",
    IF(VALUE(SUBSTITUTE(INDEX(SPLIT(IF(ISBLANK(R400), Q400, R400), "",""), 0, 1), "" Km"", """")) - O400 = 0,
      """",
      VALUE(SUBSTITUTE(INDEX(SPLIT(IF(ISBLANK("&amp;"R400), Q400, R400), "",""), 0, 1), "" Km"", """")) - O400
    )
  )
)"),23800.0)</f>
        <v>23800</v>
      </c>
      <c r="Q400" s="23" t="str">
        <f t="shared" si="4"/>
        <v>23 800 Km, 22.01.2024</v>
      </c>
      <c r="R400" s="20"/>
      <c r="S400" s="41">
        <v>3000.0</v>
      </c>
      <c r="T400" s="13">
        <v>2.0</v>
      </c>
      <c r="U400" s="13" t="s">
        <v>869</v>
      </c>
      <c r="V400" s="24"/>
      <c r="W400" s="24" t="str">
        <f t="shared" si="21"/>
        <v>Завершена</v>
      </c>
      <c r="X400" s="13" t="str">
        <f>IFERROR(__xludf.DUMMYFUNCTION("IF(C400 = """", """", IF(REGEXMATCH(C400, ""PCX|NMAX|ADV|CLICK""), ""скутер"", ""мото""))"),"скутер")</f>
        <v>скутер</v>
      </c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</row>
    <row r="401" hidden="1">
      <c r="A401" s="25" t="s">
        <v>24</v>
      </c>
      <c r="B401" s="25" t="s">
        <v>25</v>
      </c>
      <c r="C401" s="27" t="s">
        <v>92</v>
      </c>
      <c r="D401" s="27" t="s">
        <v>833</v>
      </c>
      <c r="E401" s="43">
        <v>45315.0</v>
      </c>
      <c r="F401" s="39">
        <v>45317.666666666664</v>
      </c>
      <c r="G401" s="30" t="str">
        <f t="shared" si="20"/>
        <v>2 Д</v>
      </c>
      <c r="H401" s="31">
        <f t="shared" si="19"/>
        <v>750</v>
      </c>
      <c r="I401" s="32" t="str">
        <f t="shared" si="2"/>
        <v/>
      </c>
      <c r="J401" s="33" t="str">
        <f t="shared" si="24"/>
        <v/>
      </c>
      <c r="K401" s="36">
        <v>1500.0</v>
      </c>
      <c r="L401" s="36"/>
      <c r="M401" s="36">
        <v>750.0</v>
      </c>
      <c r="N401" s="44">
        <v>23200.0</v>
      </c>
      <c r="O401" s="35">
        <f>IFERROR(__xludf.DUMMYFUNCTION("IFERROR(
  VLOOKUP(C401,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C401
    ), 
    7, FALSE
  ), 
  """"
)
"),23500.0)</f>
        <v>23500</v>
      </c>
      <c r="P401" s="35">
        <f>IFERROR(__xludf.DUMMYFUNCTION("IF(AND(Q401="""", R401=""""),
  """",
  IF(OR(ISBLANK(Q401), ISBLANK(O401)),
    """",
    IF(VALUE(SUBSTITUTE(INDEX(SPLIT(IF(ISBLANK(R401), Q401, R401), "",""), 0, 1), "" Km"", """")) - O401 = 0,
      """",
      VALUE(SUBSTITUTE(INDEX(SPLIT(IF(ISBLANK("&amp;"R401), Q401, R401), "",""), 0, 1), "" Km"", """")) - O401
    )
  )
)"),-300.0)</f>
        <v>-300</v>
      </c>
      <c r="Q401" s="36" t="str">
        <f t="shared" si="4"/>
        <v>23 200 Km, 24.01.2024</v>
      </c>
      <c r="R401" s="33"/>
      <c r="S401" s="40">
        <v>5000.0</v>
      </c>
      <c r="T401" s="25">
        <v>3.0</v>
      </c>
      <c r="U401" s="71" t="s">
        <v>829</v>
      </c>
      <c r="V401" s="25" t="s">
        <v>830</v>
      </c>
      <c r="W401" s="37" t="str">
        <f t="shared" si="21"/>
        <v>Завершена</v>
      </c>
      <c r="X401" s="25" t="str">
        <f>IFERROR(__xludf.DUMMYFUNCTION("IF(C401 = """", """", IF(REGEXMATCH(C401, ""PCX|NMAX|ADV|CLICK""), ""скутер"", ""мото""))"),"мото")</f>
        <v>мото</v>
      </c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</row>
    <row r="402" hidden="1">
      <c r="A402" s="13" t="s">
        <v>24</v>
      </c>
      <c r="B402" s="13" t="s">
        <v>25</v>
      </c>
      <c r="C402" s="14" t="s">
        <v>68</v>
      </c>
      <c r="D402" s="14" t="s">
        <v>870</v>
      </c>
      <c r="E402" s="48">
        <v>45316.0</v>
      </c>
      <c r="F402" s="38">
        <v>45338.541666666664</v>
      </c>
      <c r="G402" s="17" t="str">
        <f t="shared" si="20"/>
        <v>22 Д</v>
      </c>
      <c r="H402" s="18">
        <f t="shared" si="19"/>
        <v>249.6666667</v>
      </c>
      <c r="I402" s="19" t="str">
        <f t="shared" si="2"/>
        <v/>
      </c>
      <c r="J402" s="20" t="str">
        <f t="shared" si="24"/>
        <v/>
      </c>
      <c r="K402" s="23">
        <f>5500</f>
        <v>5500</v>
      </c>
      <c r="L402" s="23">
        <v>7490.0</v>
      </c>
      <c r="M402" s="20"/>
      <c r="N402" s="49">
        <v>20100.0</v>
      </c>
      <c r="O402" s="22">
        <f>IFERROR(__xludf.DUMMYFUNCTION("IFERROR(
  VLOOKUP(C402,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C402
    ), 
    7, FALSE
  ), 
  """"
)
"),24094.0)</f>
        <v>24094</v>
      </c>
      <c r="P402" s="22">
        <f>IFERROR(__xludf.DUMMYFUNCTION("IF(AND(Q402="""", R402=""""),
  """",
  IF(OR(ISBLANK(Q402), ISBLANK(O402)),
    """",
    IF(VALUE(SUBSTITUTE(INDEX(SPLIT(IF(ISBLANK(R402), Q402, R402), "",""), 0, 1), "" Km"", """")) - O402 = 0,
      """",
      VALUE(SUBSTITUTE(INDEX(SPLIT(IF(ISBLANK("&amp;"R402), Q402, R402), "",""), 0, 1), "" Km"", """")) - O402
    )
  )
)"),-3994.0)</f>
        <v>-3994</v>
      </c>
      <c r="Q402" s="23" t="str">
        <f t="shared" si="4"/>
        <v>20 100 Km, 25.01.2024</v>
      </c>
      <c r="R402" s="20"/>
      <c r="S402" s="41">
        <v>3000.0</v>
      </c>
      <c r="T402" s="13">
        <v>2.0</v>
      </c>
      <c r="U402" s="66" t="s">
        <v>871</v>
      </c>
      <c r="V402" s="24"/>
      <c r="W402" s="24" t="str">
        <f t="shared" si="21"/>
        <v>Завершена</v>
      </c>
      <c r="X402" s="13" t="str">
        <f>IFERROR(__xludf.DUMMYFUNCTION("IF(C402 = """", """", IF(REGEXMATCH(C402, ""PCX|NMAX|ADV|CLICK""), ""скутер"", ""мото""))"),"скутер")</f>
        <v>скутер</v>
      </c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</row>
    <row r="403" hidden="1">
      <c r="A403" s="25" t="s">
        <v>24</v>
      </c>
      <c r="B403" s="25" t="s">
        <v>25</v>
      </c>
      <c r="C403" s="27" t="s">
        <v>106</v>
      </c>
      <c r="D403" s="27" t="s">
        <v>737</v>
      </c>
      <c r="E403" s="43">
        <v>45316.0</v>
      </c>
      <c r="F403" s="39">
        <v>45347.666666666664</v>
      </c>
      <c r="G403" s="30" t="str">
        <f t="shared" si="20"/>
        <v>1 М</v>
      </c>
      <c r="H403" s="31">
        <f t="shared" si="19"/>
        <v>263.3333333</v>
      </c>
      <c r="I403" s="32" t="str">
        <f t="shared" si="2"/>
        <v/>
      </c>
      <c r="J403" s="33" t="str">
        <f t="shared" si="24"/>
        <v/>
      </c>
      <c r="K403" s="36">
        <v>1600.0</v>
      </c>
      <c r="L403" s="36">
        <v>7900.0</v>
      </c>
      <c r="M403" s="33"/>
      <c r="N403" s="44">
        <v>19300.0</v>
      </c>
      <c r="O403" s="35">
        <f>IFERROR(__xludf.DUMMYFUNCTION("IFERROR(
  VLOOKUP(C403,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C403
    ), 
    7, FALSE
  ), 
  """"
)
"),26000.0)</f>
        <v>26000</v>
      </c>
      <c r="P403" s="35">
        <f>IFERROR(__xludf.DUMMYFUNCTION("IF(AND(Q403="""", R403=""""),
  """",
  IF(OR(ISBLANK(Q403), ISBLANK(O403)),
    """",
    IF(VALUE(SUBSTITUTE(INDEX(SPLIT(IF(ISBLANK(R403), Q403, R403), "",""), 0, 1), "" Km"", """")) - O403 = 0,
      """",
      VALUE(SUBSTITUTE(INDEX(SPLIT(IF(ISBLANK("&amp;"R403), Q403, R403), "",""), 0, 1), "" Km"", """")) - O403
    )
  )
)"),-6700.0)</f>
        <v>-6700</v>
      </c>
      <c r="Q403" s="36" t="str">
        <f t="shared" si="4"/>
        <v>19 300 Km, 25.01.2024</v>
      </c>
      <c r="R403" s="33"/>
      <c r="S403" s="40">
        <v>3000.0</v>
      </c>
      <c r="T403" s="25">
        <v>2.0</v>
      </c>
      <c r="U403" s="25" t="s">
        <v>738</v>
      </c>
      <c r="V403" s="37"/>
      <c r="W403" s="37" t="str">
        <f t="shared" si="21"/>
        <v>Завершена</v>
      </c>
      <c r="X403" s="25" t="str">
        <f>IFERROR(__xludf.DUMMYFUNCTION("IF(C403 = """", """", IF(REGEXMATCH(C403, ""PCX|NMAX|ADV|CLICK""), ""скутер"", ""мото""))"),"скутер")</f>
        <v>скутер</v>
      </c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</row>
    <row r="404" hidden="1">
      <c r="A404" s="13" t="s">
        <v>24</v>
      </c>
      <c r="B404" s="13" t="s">
        <v>25</v>
      </c>
      <c r="C404" s="14" t="s">
        <v>56</v>
      </c>
      <c r="D404" s="14" t="s">
        <v>872</v>
      </c>
      <c r="E404" s="48">
        <v>45316.0</v>
      </c>
      <c r="F404" s="38">
        <v>45376.541666666664</v>
      </c>
      <c r="G404" s="17" t="str">
        <f t="shared" si="20"/>
        <v>2 М</v>
      </c>
      <c r="H404" s="18">
        <f t="shared" si="19"/>
        <v>249.6666667</v>
      </c>
      <c r="I404" s="19" t="str">
        <f t="shared" si="2"/>
        <v/>
      </c>
      <c r="J404" s="20" t="str">
        <f t="shared" si="24"/>
        <v/>
      </c>
      <c r="K404" s="23">
        <f>7490+7490</f>
        <v>14980</v>
      </c>
      <c r="L404" s="23">
        <v>7490.0</v>
      </c>
      <c r="M404" s="20"/>
      <c r="N404" s="49">
        <v>23678.0</v>
      </c>
      <c r="O404" s="22">
        <f>IFERROR(__xludf.DUMMYFUNCTION("IFERROR(
  VLOOKUP(C404,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C404
    ), 
    7, FALSE
  ), 
  """"
)
"),36400.0)</f>
        <v>36400</v>
      </c>
      <c r="P404" s="22">
        <f>IFERROR(__xludf.DUMMYFUNCTION("IF(AND(Q404="""", R404=""""),
  """",
  IF(OR(ISBLANK(Q404), ISBLANK(O404)),
    """",
    IF(VALUE(SUBSTITUTE(INDEX(SPLIT(IF(ISBLANK(R404), Q404, R404), "",""), 0, 1), "" Km"", """")) - O404 = 0,
      """",
      VALUE(SUBSTITUTE(INDEX(SPLIT(IF(ISBLANK("&amp;"R404), Q404, R404), "",""), 0, 1), "" Km"", """")) - O404
    )
  )
)"),-12722.0)</f>
        <v>-12722</v>
      </c>
      <c r="Q404" s="23" t="str">
        <f t="shared" si="4"/>
        <v>23 678 Km, 25.01.2024</v>
      </c>
      <c r="R404" s="20"/>
      <c r="S404" s="41">
        <v>3000.0</v>
      </c>
      <c r="T404" s="13">
        <v>2.0</v>
      </c>
      <c r="U404" s="66" t="s">
        <v>871</v>
      </c>
      <c r="V404" s="24"/>
      <c r="W404" s="24" t="str">
        <f t="shared" si="21"/>
        <v>Завершена</v>
      </c>
      <c r="X404" s="13" t="str">
        <f>IFERROR(__xludf.DUMMYFUNCTION("IF(C404 = """", """", IF(REGEXMATCH(C404, ""PCX|NMAX|ADV|CLICK""), ""скутер"", ""мото""))"),"скутер")</f>
        <v>скутер</v>
      </c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</row>
    <row r="405" hidden="1">
      <c r="A405" s="25" t="s">
        <v>24</v>
      </c>
      <c r="B405" s="25" t="s">
        <v>25</v>
      </c>
      <c r="C405" s="27" t="s">
        <v>185</v>
      </c>
      <c r="D405" s="27" t="s">
        <v>873</v>
      </c>
      <c r="E405" s="43">
        <v>45317.0</v>
      </c>
      <c r="F405" s="39">
        <v>45347.458333333336</v>
      </c>
      <c r="G405" s="30" t="str">
        <f t="shared" si="20"/>
        <v>30 Д</v>
      </c>
      <c r="H405" s="31">
        <f t="shared" si="19"/>
        <v>263.3333333</v>
      </c>
      <c r="I405" s="32" t="str">
        <f t="shared" si="2"/>
        <v/>
      </c>
      <c r="J405" s="33" t="str">
        <f t="shared" si="24"/>
        <v/>
      </c>
      <c r="K405" s="36">
        <v>7900.0</v>
      </c>
      <c r="L405" s="36">
        <v>7900.0</v>
      </c>
      <c r="M405" s="33"/>
      <c r="N405" s="44">
        <v>27550.0</v>
      </c>
      <c r="O405" s="35" t="str">
        <f>IFERROR(__xludf.DUMMYFUNCTION("IFERROR(
  VLOOKUP(C405,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C405
    ), 
    7, FALSE
  ), 
  """"
)
"),"")</f>
        <v/>
      </c>
      <c r="P405" s="35">
        <f>IFERROR(__xludf.DUMMYFUNCTION("IF(AND(Q405="""", R405=""""),
  """",
  IF(OR(ISBLANK(Q405), ISBLANK(O405)),
    """",
    IF(VALUE(SUBSTITUTE(INDEX(SPLIT(IF(ISBLANK(R405), Q405, R405), "",""), 0, 1), "" Km"", """")) - O405 = 0,
      """",
      VALUE(SUBSTITUTE(INDEX(SPLIT(IF(ISBLANK("&amp;"R405), Q405, R405), "",""), 0, 1), "" Km"", """")) - O405
    )
  )
)"),27550.0)</f>
        <v>27550</v>
      </c>
      <c r="Q405" s="36" t="str">
        <f t="shared" si="4"/>
        <v>27 550 Km, 26.01.2024</v>
      </c>
      <c r="R405" s="33"/>
      <c r="S405" s="40" t="s">
        <v>874</v>
      </c>
      <c r="T405" s="25">
        <v>2.0</v>
      </c>
      <c r="U405" s="25" t="s">
        <v>516</v>
      </c>
      <c r="V405" s="25" t="s">
        <v>875</v>
      </c>
      <c r="W405" s="37" t="str">
        <f t="shared" si="21"/>
        <v>Завершена</v>
      </c>
      <c r="X405" s="25" t="str">
        <f>IFERROR(__xludf.DUMMYFUNCTION("IF(C405 = """", """", IF(REGEXMATCH(C405, ""PCX|NMAX|ADV|CLICK""), ""скутер"", ""мото""))"),"скутер")</f>
        <v>скутер</v>
      </c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</row>
    <row r="406" hidden="1">
      <c r="A406" s="13" t="s">
        <v>24</v>
      </c>
      <c r="B406" s="13" t="s">
        <v>25</v>
      </c>
      <c r="C406" s="14" t="s">
        <v>113</v>
      </c>
      <c r="D406" s="14" t="s">
        <v>876</v>
      </c>
      <c r="E406" s="48">
        <v>45318.0</v>
      </c>
      <c r="F406" s="38">
        <v>45332.75</v>
      </c>
      <c r="G406" s="17" t="str">
        <f t="shared" si="20"/>
        <v>14 Д</v>
      </c>
      <c r="H406" s="18">
        <f t="shared" si="19"/>
        <v>790</v>
      </c>
      <c r="I406" s="19" t="str">
        <f t="shared" si="2"/>
        <v/>
      </c>
      <c r="J406" s="20" t="str">
        <f t="shared" si="24"/>
        <v/>
      </c>
      <c r="K406" s="23">
        <v>11060.0</v>
      </c>
      <c r="L406" s="20"/>
      <c r="M406" s="23">
        <v>790.0</v>
      </c>
      <c r="N406" s="49">
        <v>28500.0</v>
      </c>
      <c r="O406" s="22" t="str">
        <f>IFERROR(__xludf.DUMMYFUNCTION("IFERROR(
  VLOOKUP(C406,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C406
    ), 
    7, FALSE
  ), 
  """"
)
"),"")</f>
        <v/>
      </c>
      <c r="P406" s="22">
        <f>IFERROR(__xludf.DUMMYFUNCTION("IF(AND(Q406="""", R406=""""),
  """",
  IF(OR(ISBLANK(Q406), ISBLANK(O406)),
    """",
    IF(VALUE(SUBSTITUTE(INDEX(SPLIT(IF(ISBLANK(R406), Q406, R406), "",""), 0, 1), "" Km"", """")) - O406 = 0,
      """",
      VALUE(SUBSTITUTE(INDEX(SPLIT(IF(ISBLANK("&amp;"R406), Q406, R406), "",""), 0, 1), "" Km"", """")) - O406
    )
  )
)"),28500.0)</f>
        <v>28500</v>
      </c>
      <c r="Q406" s="23" t="str">
        <f t="shared" si="4"/>
        <v>28 500 Km, 27.01.2024</v>
      </c>
      <c r="R406" s="20"/>
      <c r="S406" s="41">
        <v>5000.0</v>
      </c>
      <c r="T406" s="13">
        <v>2.0</v>
      </c>
      <c r="U406" s="66" t="s">
        <v>877</v>
      </c>
      <c r="V406" s="24"/>
      <c r="W406" s="24" t="str">
        <f t="shared" si="21"/>
        <v>Завершена</v>
      </c>
      <c r="X406" s="13" t="str">
        <f>IFERROR(__xludf.DUMMYFUNCTION("IF(C406 = """", """", IF(REGEXMATCH(C406, ""PCX|NMAX|ADV|CLICK""), ""скутер"", ""мото""))"),"мото")</f>
        <v>мото</v>
      </c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</row>
    <row r="407" hidden="1">
      <c r="A407" s="25" t="s">
        <v>24</v>
      </c>
      <c r="B407" s="25" t="s">
        <v>25</v>
      </c>
      <c r="C407" s="27" t="s">
        <v>64</v>
      </c>
      <c r="D407" s="27" t="s">
        <v>878</v>
      </c>
      <c r="E407" s="43">
        <v>45318.0</v>
      </c>
      <c r="F407" s="39">
        <v>45346.5</v>
      </c>
      <c r="G407" s="30" t="str">
        <f t="shared" si="20"/>
        <v>28 Д</v>
      </c>
      <c r="H407" s="31">
        <f t="shared" si="19"/>
        <v>433.3333333</v>
      </c>
      <c r="I407" s="32" t="str">
        <f t="shared" si="2"/>
        <v/>
      </c>
      <c r="J407" s="33" t="str">
        <f t="shared" si="24"/>
        <v/>
      </c>
      <c r="K407" s="36">
        <v>13000.0</v>
      </c>
      <c r="L407" s="36">
        <v>13000.0</v>
      </c>
      <c r="M407" s="33"/>
      <c r="N407" s="44">
        <v>20500.0</v>
      </c>
      <c r="O407" s="35">
        <f>IFERROR(__xludf.DUMMYFUNCTION("IFERROR(
  VLOOKUP(C407,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C407
    ), 
    7, FALSE
  ), 
  """"
)
"),32600.0)</f>
        <v>32600</v>
      </c>
      <c r="P407" s="35">
        <f>IFERROR(__xludf.DUMMYFUNCTION("IF(AND(Q407="""", R407=""""),
  """",
  IF(OR(ISBLANK(Q407), ISBLANK(O407)),
    """",
    IF(VALUE(SUBSTITUTE(INDEX(SPLIT(IF(ISBLANK(R407), Q407, R407), "",""), 0, 1), "" Km"", """")) - O407 = 0,
      """",
      VALUE(SUBSTITUTE(INDEX(SPLIT(IF(ISBLANK("&amp;"R407), Q407, R407), "",""), 0, 1), "" Km"", """")) - O407
    )
  )
)"),-12100.0)</f>
        <v>-12100</v>
      </c>
      <c r="Q407" s="36" t="str">
        <f t="shared" si="4"/>
        <v>20 500 Km, 27.01.2024</v>
      </c>
      <c r="R407" s="33"/>
      <c r="S407" s="40">
        <v>5000.0</v>
      </c>
      <c r="T407" s="25">
        <v>1.0</v>
      </c>
      <c r="U407" s="71" t="s">
        <v>879</v>
      </c>
      <c r="V407" s="37"/>
      <c r="W407" s="37" t="str">
        <f t="shared" si="21"/>
        <v>Завершена</v>
      </c>
      <c r="X407" s="25" t="str">
        <f>IFERROR(__xludf.DUMMYFUNCTION("IF(C407 = """", """", IF(REGEXMATCH(C407, ""PCX|NMAX|ADV|CLICK""), ""скутер"", ""мото""))"),"мото")</f>
        <v>мото</v>
      </c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</row>
    <row r="408" hidden="1">
      <c r="A408" s="13" t="s">
        <v>24</v>
      </c>
      <c r="B408" s="13" t="s">
        <v>25</v>
      </c>
      <c r="C408" s="14" t="s">
        <v>44</v>
      </c>
      <c r="D408" s="14" t="s">
        <v>737</v>
      </c>
      <c r="E408" s="48">
        <v>45322.0</v>
      </c>
      <c r="F408" s="38">
        <v>45329.666666666664</v>
      </c>
      <c r="G408" s="17" t="str">
        <f t="shared" si="20"/>
        <v>7 Д</v>
      </c>
      <c r="H408" s="18">
        <f t="shared" si="19"/>
        <v>263.3333333</v>
      </c>
      <c r="I408" s="19" t="str">
        <f t="shared" si="2"/>
        <v/>
      </c>
      <c r="J408" s="20" t="str">
        <f t="shared" si="24"/>
        <v/>
      </c>
      <c r="K408" s="23">
        <v>1863.0</v>
      </c>
      <c r="L408" s="23">
        <v>7900.0</v>
      </c>
      <c r="M408" s="20"/>
      <c r="N408" s="49">
        <v>16750.0</v>
      </c>
      <c r="O408" s="22">
        <f>IFERROR(__xludf.DUMMYFUNCTION("IFERROR(
  VLOOKUP(C408,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C408
    ), 
    7, FALSE
  ), 
  """"
)
"),30800.0)</f>
        <v>30800</v>
      </c>
      <c r="P408" s="22">
        <f>IFERROR(__xludf.DUMMYFUNCTION("IF(AND(Q408="""", R408=""""),
  """",
  IF(OR(ISBLANK(Q408), ISBLANK(O408)),
    """",
    IF(VALUE(SUBSTITUTE(INDEX(SPLIT(IF(ISBLANK(R408), Q408, R408), "",""), 0, 1), "" Km"", """")) - O408 = 0,
      """",
      VALUE(SUBSTITUTE(INDEX(SPLIT(IF(ISBLANK("&amp;"R408), Q408, R408), "",""), 0, 1), "" Km"", """")) - O408
    )
  )
)"),-14050.0)</f>
        <v>-14050</v>
      </c>
      <c r="Q408" s="23" t="str">
        <f t="shared" si="4"/>
        <v>16 750 Km, 31.01.2024</v>
      </c>
      <c r="R408" s="20"/>
      <c r="S408" s="41">
        <v>100.0</v>
      </c>
      <c r="T408" s="13">
        <v>2.0</v>
      </c>
      <c r="U408" s="13" t="s">
        <v>738</v>
      </c>
      <c r="V408" s="24"/>
      <c r="W408" s="24" t="str">
        <f t="shared" si="21"/>
        <v>Завершена</v>
      </c>
      <c r="X408" s="13" t="str">
        <f>IFERROR(__xludf.DUMMYFUNCTION("IF(C408 = """", """", IF(REGEXMATCH(C408, ""PCX|NMAX|ADV|CLICK""), ""скутер"", ""мото""))"),"скутер")</f>
        <v>скутер</v>
      </c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</row>
    <row r="409" hidden="1">
      <c r="A409" s="25" t="s">
        <v>24</v>
      </c>
      <c r="B409" s="25" t="s">
        <v>25</v>
      </c>
      <c r="C409" s="27" t="s">
        <v>483</v>
      </c>
      <c r="D409" s="27" t="s">
        <v>490</v>
      </c>
      <c r="E409" s="43">
        <v>45323.0</v>
      </c>
      <c r="F409" s="39">
        <v>45326.875</v>
      </c>
      <c r="G409" s="30" t="str">
        <f t="shared" si="20"/>
        <v>3 Д</v>
      </c>
      <c r="H409" s="31">
        <f t="shared" si="19"/>
        <v>1300</v>
      </c>
      <c r="I409" s="32" t="str">
        <f t="shared" si="2"/>
        <v/>
      </c>
      <c r="J409" s="33" t="str">
        <f t="shared" si="24"/>
        <v/>
      </c>
      <c r="K409" s="36">
        <v>3900.0</v>
      </c>
      <c r="L409" s="33"/>
      <c r="M409" s="36">
        <v>1300.0</v>
      </c>
      <c r="N409" s="44">
        <v>25000.0</v>
      </c>
      <c r="O409" s="35">
        <f>IFERROR(__xludf.DUMMYFUNCTION("IFERROR(
  VLOOKUP(C409,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C409
    ), 
    7, FALSE
  ), 
  """"
)
"),41500.0)</f>
        <v>41500</v>
      </c>
      <c r="P409" s="35">
        <f>IFERROR(__xludf.DUMMYFUNCTION("IF(AND(Q409="""", R409=""""),
  """",
  IF(OR(ISBLANK(Q409), ISBLANK(O409)),
    """",
    IF(VALUE(SUBSTITUTE(INDEX(SPLIT(IF(ISBLANK(R409), Q409, R409), "",""), 0, 1), "" Km"", """")) - O409 = 0,
      """",
      VALUE(SUBSTITUTE(INDEX(SPLIT(IF(ISBLANK("&amp;"R409), Q409, R409), "",""), 0, 1), "" Km"", """")) - O409
    )
  )
)"),-16500.0)</f>
        <v>-16500</v>
      </c>
      <c r="Q409" s="36" t="str">
        <f t="shared" si="4"/>
        <v>25 000 Km, 01.02.2024</v>
      </c>
      <c r="R409" s="33"/>
      <c r="S409" s="40">
        <v>5000.0</v>
      </c>
      <c r="T409" s="25">
        <v>2.0</v>
      </c>
      <c r="U409" s="71" t="s">
        <v>880</v>
      </c>
      <c r="V409" s="37"/>
      <c r="W409" s="37" t="str">
        <f t="shared" si="21"/>
        <v>Завершена</v>
      </c>
      <c r="X409" s="25" t="str">
        <f>IFERROR(__xludf.DUMMYFUNCTION("IF(C409 = """", """", IF(REGEXMATCH(C409, ""PCX|NMAX|ADV|CLICK""), ""скутер"", ""мото""))"),"мото")</f>
        <v>мото</v>
      </c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</row>
    <row r="410" hidden="1">
      <c r="A410" s="13" t="s">
        <v>24</v>
      </c>
      <c r="B410" s="13" t="s">
        <v>25</v>
      </c>
      <c r="C410" s="14" t="s">
        <v>92</v>
      </c>
      <c r="D410" s="14" t="s">
        <v>881</v>
      </c>
      <c r="E410" s="48">
        <v>45323.0</v>
      </c>
      <c r="F410" s="38">
        <v>45331.541666666664</v>
      </c>
      <c r="G410" s="17" t="str">
        <f t="shared" si="20"/>
        <v>8 Д</v>
      </c>
      <c r="H410" s="18">
        <f t="shared" si="19"/>
        <v>749</v>
      </c>
      <c r="I410" s="19" t="str">
        <f t="shared" si="2"/>
        <v/>
      </c>
      <c r="J410" s="20" t="str">
        <f t="shared" si="24"/>
        <v/>
      </c>
      <c r="K410" s="23">
        <v>5992.0</v>
      </c>
      <c r="L410" s="20"/>
      <c r="M410" s="23">
        <v>749.0</v>
      </c>
      <c r="N410" s="49">
        <v>23300.0</v>
      </c>
      <c r="O410" s="22">
        <f>IFERROR(__xludf.DUMMYFUNCTION("IFERROR(
  VLOOKUP(C410,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C410
    ), 
    7, FALSE
  ), 
  """"
)
"),23500.0)</f>
        <v>23500</v>
      </c>
      <c r="P410" s="22">
        <f>IFERROR(__xludf.DUMMYFUNCTION("IF(AND(Q410="""", R410=""""),
  """",
  IF(OR(ISBLANK(Q410), ISBLANK(O410)),
    """",
    IF(VALUE(SUBSTITUTE(INDEX(SPLIT(IF(ISBLANK(R410), Q410, R410), "",""), 0, 1), "" Km"", """")) - O410 = 0,
      """",
      VALUE(SUBSTITUTE(INDEX(SPLIT(IF(ISBLANK("&amp;"R410), Q410, R410), "",""), 0, 1), "" Km"", """")) - O410
    )
  )
)"),-200.0)</f>
        <v>-200</v>
      </c>
      <c r="Q410" s="23" t="str">
        <f t="shared" si="4"/>
        <v>23 300 Km, 01.02.2024</v>
      </c>
      <c r="R410" s="20"/>
      <c r="S410" s="41">
        <v>5000.0</v>
      </c>
      <c r="T410" s="13">
        <v>2.0</v>
      </c>
      <c r="U410" s="13" t="s">
        <v>882</v>
      </c>
      <c r="V410" s="24"/>
      <c r="W410" s="24" t="str">
        <f t="shared" si="21"/>
        <v>Завершена</v>
      </c>
      <c r="X410" s="13" t="str">
        <f>IFERROR(__xludf.DUMMYFUNCTION("IF(C410 = """", """", IF(REGEXMATCH(C410, ""PCX|NMAX|ADV|CLICK""), ""скутер"", ""мото""))"),"мото")</f>
        <v>мото</v>
      </c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</row>
    <row r="411" hidden="1">
      <c r="A411" s="25" t="s">
        <v>24</v>
      </c>
      <c r="B411" s="25" t="s">
        <v>25</v>
      </c>
      <c r="C411" s="27" t="s">
        <v>286</v>
      </c>
      <c r="D411" s="81" t="s">
        <v>883</v>
      </c>
      <c r="E411" s="43">
        <v>45324.0</v>
      </c>
      <c r="F411" s="39">
        <v>45326.958333333336</v>
      </c>
      <c r="G411" s="30" t="str">
        <f t="shared" si="20"/>
        <v>2 Д</v>
      </c>
      <c r="H411" s="31">
        <f t="shared" si="19"/>
        <v>690</v>
      </c>
      <c r="I411" s="32" t="str">
        <f t="shared" si="2"/>
        <v/>
      </c>
      <c r="J411" s="33" t="str">
        <f t="shared" si="24"/>
        <v/>
      </c>
      <c r="K411" s="36">
        <v>1400.0</v>
      </c>
      <c r="L411" s="36"/>
      <c r="M411" s="36">
        <v>690.0</v>
      </c>
      <c r="N411" s="44">
        <v>11500.0</v>
      </c>
      <c r="O411" s="35" t="str">
        <f>IFERROR(__xludf.DUMMYFUNCTION("IFERROR(
  VLOOKUP(C411,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C411
    ), 
    7, FALSE
  ), 
  """"
)
"),"")</f>
        <v/>
      </c>
      <c r="P411" s="35">
        <f>IFERROR(__xludf.DUMMYFUNCTION("IF(AND(Q411="""", R411=""""),
  """",
  IF(OR(ISBLANK(Q411), ISBLANK(O411)),
    """",
    IF(VALUE(SUBSTITUTE(INDEX(SPLIT(IF(ISBLANK(R411), Q411, R411), "",""), 0, 1), "" Km"", """")) - O411 = 0,
      """",
      VALUE(SUBSTITUTE(INDEX(SPLIT(IF(ISBLANK("&amp;"R411), Q411, R411), "",""), 0, 1), "" Km"", """")) - O411
    )
  )
)"),11500.0)</f>
        <v>11500</v>
      </c>
      <c r="Q411" s="36" t="str">
        <f t="shared" si="4"/>
        <v>11 500 Km, 02.02.2024</v>
      </c>
      <c r="R411" s="33"/>
      <c r="S411" s="40">
        <v>8000.0</v>
      </c>
      <c r="T411" s="25">
        <v>1.0</v>
      </c>
      <c r="U411" s="25"/>
      <c r="V411" s="25"/>
      <c r="W411" s="37" t="str">
        <f t="shared" si="21"/>
        <v>Завершена</v>
      </c>
      <c r="X411" s="25" t="str">
        <f>IFERROR(__xludf.DUMMYFUNCTION("IF(C411 = """", """", IF(REGEXMATCH(C411, ""PCX|NMAX|ADV|CLICK""), ""скутер"", ""мото""))"),"мото")</f>
        <v>мото</v>
      </c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</row>
    <row r="412" hidden="1">
      <c r="A412" s="13" t="s">
        <v>24</v>
      </c>
      <c r="B412" s="13" t="s">
        <v>25</v>
      </c>
      <c r="C412" s="14" t="s">
        <v>32</v>
      </c>
      <c r="D412" s="14" t="s">
        <v>884</v>
      </c>
      <c r="E412" s="48">
        <v>45325.0</v>
      </c>
      <c r="F412" s="38">
        <v>45334.875</v>
      </c>
      <c r="G412" s="17" t="str">
        <f t="shared" si="20"/>
        <v>9 Д</v>
      </c>
      <c r="H412" s="18">
        <f t="shared" si="19"/>
        <v>790</v>
      </c>
      <c r="I412" s="19" t="str">
        <f t="shared" si="2"/>
        <v/>
      </c>
      <c r="J412" s="20" t="str">
        <f t="shared" si="24"/>
        <v/>
      </c>
      <c r="K412" s="23">
        <v>5530.0</v>
      </c>
      <c r="L412" s="20"/>
      <c r="M412" s="23">
        <v>790.0</v>
      </c>
      <c r="N412" s="49">
        <v>22900.0</v>
      </c>
      <c r="O412" s="22">
        <f>IFERROR(__xludf.DUMMYFUNCTION("IFERROR(
  VLOOKUP(C412,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C412
    ), 
    7, FALSE
  ), 
  """"
)
"),38640.0)</f>
        <v>38640</v>
      </c>
      <c r="P412" s="22">
        <f>IFERROR(__xludf.DUMMYFUNCTION("IF(AND(Q412="""", R412=""""),
  """",
  IF(OR(ISBLANK(Q412), ISBLANK(O412)),
    """",
    IF(VALUE(SUBSTITUTE(INDEX(SPLIT(IF(ISBLANK(R412), Q412, R412), "",""), 0, 1), "" Km"", """")) - O412 = 0,
      """",
      VALUE(SUBSTITUTE(INDEX(SPLIT(IF(ISBLANK("&amp;"R412), Q412, R412), "",""), 0, 1), "" Km"", """")) - O412
    )
  )
)"),-15740.0)</f>
        <v>-15740</v>
      </c>
      <c r="Q412" s="23" t="str">
        <f t="shared" si="4"/>
        <v>22 900 Km, 03.02.2024</v>
      </c>
      <c r="R412" s="20"/>
      <c r="S412" s="41">
        <v>200.0</v>
      </c>
      <c r="T412" s="13">
        <v>2.0</v>
      </c>
      <c r="U412" s="66" t="s">
        <v>880</v>
      </c>
      <c r="V412" s="24"/>
      <c r="W412" s="24" t="str">
        <f t="shared" si="21"/>
        <v>Завершена</v>
      </c>
      <c r="X412" s="13" t="str">
        <f>IFERROR(__xludf.DUMMYFUNCTION("IF(C412 = """", """", IF(REGEXMATCH(C412, ""PCX|NMAX|ADV|CLICK""), ""скутер"", ""мото""))"),"мото")</f>
        <v>мото</v>
      </c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</row>
    <row r="413" hidden="1">
      <c r="A413" s="25" t="s">
        <v>24</v>
      </c>
      <c r="B413" s="25" t="s">
        <v>25</v>
      </c>
      <c r="C413" s="27" t="s">
        <v>155</v>
      </c>
      <c r="D413" s="27" t="s">
        <v>884</v>
      </c>
      <c r="E413" s="43">
        <v>45325.0</v>
      </c>
      <c r="F413" s="39">
        <v>45334.875</v>
      </c>
      <c r="G413" s="30" t="str">
        <f t="shared" si="20"/>
        <v>9 Д</v>
      </c>
      <c r="H413" s="31">
        <f t="shared" si="19"/>
        <v>790</v>
      </c>
      <c r="I413" s="32" t="str">
        <f t="shared" si="2"/>
        <v/>
      </c>
      <c r="J413" s="33" t="str">
        <f t="shared" si="24"/>
        <v/>
      </c>
      <c r="K413" s="36">
        <v>5530.0</v>
      </c>
      <c r="L413" s="33"/>
      <c r="M413" s="36">
        <v>790.0</v>
      </c>
      <c r="N413" s="44">
        <v>31500.0</v>
      </c>
      <c r="O413" s="35" t="str">
        <f>IFERROR(__xludf.DUMMYFUNCTION("IFERROR(
  VLOOKUP(C413,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C413
    ), 
    7, FALSE
  ), 
  """"
)
"),"")</f>
        <v/>
      </c>
      <c r="P413" s="35">
        <f>IFERROR(__xludf.DUMMYFUNCTION("IF(AND(Q413="""", R413=""""),
  """",
  IF(OR(ISBLANK(Q413), ISBLANK(O413)),
    """",
    IF(VALUE(SUBSTITUTE(INDEX(SPLIT(IF(ISBLANK(R413), Q413, R413), "",""), 0, 1), "" Km"", """")) - O413 = 0,
      """",
      VALUE(SUBSTITUTE(INDEX(SPLIT(IF(ISBLANK("&amp;"R413), Q413, R413), "",""), 0, 1), "" Km"", """")) - O413
    )
  )
)"),31500.0)</f>
        <v>31500</v>
      </c>
      <c r="Q413" s="36" t="str">
        <f t="shared" si="4"/>
        <v>31 500 Km, 03.02.2024</v>
      </c>
      <c r="R413" s="33"/>
      <c r="S413" s="40">
        <v>100.0</v>
      </c>
      <c r="T413" s="25">
        <v>2.0</v>
      </c>
      <c r="U413" s="71" t="s">
        <v>880</v>
      </c>
      <c r="V413" s="37"/>
      <c r="W413" s="37" t="str">
        <f t="shared" si="21"/>
        <v>Завершена</v>
      </c>
      <c r="X413" s="25" t="str">
        <f>IFERROR(__xludf.DUMMYFUNCTION("IF(C413 = """", """", IF(REGEXMATCH(C413, ""PCX|NMAX|ADV|CLICK""), ""скутер"", ""мото""))"),"мото")</f>
        <v>мото</v>
      </c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</row>
    <row r="414" hidden="1">
      <c r="A414" s="13" t="s">
        <v>24</v>
      </c>
      <c r="B414" s="13" t="s">
        <v>25</v>
      </c>
      <c r="C414" s="14" t="s">
        <v>468</v>
      </c>
      <c r="D414" s="14" t="s">
        <v>821</v>
      </c>
      <c r="E414" s="48">
        <v>45326.0</v>
      </c>
      <c r="F414" s="38">
        <v>45338.708333333336</v>
      </c>
      <c r="G414" s="17" t="str">
        <f t="shared" si="20"/>
        <v>12 Д</v>
      </c>
      <c r="H414" s="18">
        <f t="shared" si="19"/>
        <v>496.6666667</v>
      </c>
      <c r="I414" s="19" t="str">
        <f t="shared" si="2"/>
        <v/>
      </c>
      <c r="J414" s="20" t="str">
        <f t="shared" si="24"/>
        <v/>
      </c>
      <c r="K414" s="23">
        <f>5000-1920+1600+1280</f>
        <v>5960</v>
      </c>
      <c r="L414" s="23">
        <v>14900.0</v>
      </c>
      <c r="M414" s="20"/>
      <c r="N414" s="49">
        <v>14800.0</v>
      </c>
      <c r="O414" s="22">
        <f>IFERROR(__xludf.DUMMYFUNCTION("IFERROR(
  VLOOKUP(C414,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C414
    ), 
    7, FALSE
  ), 
  """"
)
"),22200.0)</f>
        <v>22200</v>
      </c>
      <c r="P414" s="22">
        <f>IFERROR(__xludf.DUMMYFUNCTION("IF(AND(Q414="""", R414=""""),
  """",
  IF(OR(ISBLANK(Q414), ISBLANK(O414)),
    """",
    IF(VALUE(SUBSTITUTE(INDEX(SPLIT(IF(ISBLANK(R414), Q414, R414), "",""), 0, 1), "" Km"", """")) - O414 = 0,
      """",
      VALUE(SUBSTITUTE(INDEX(SPLIT(IF(ISBLANK("&amp;"R414), Q414, R414), "",""), 0, 1), "" Km"", """")) - O414
    )
  )
)"),-7400.0)</f>
        <v>-7400</v>
      </c>
      <c r="Q414" s="23" t="str">
        <f t="shared" si="4"/>
        <v>14 800 Km, 04.02.2024</v>
      </c>
      <c r="R414" s="20"/>
      <c r="S414" s="41" t="s">
        <v>430</v>
      </c>
      <c r="T414" s="13">
        <v>1.0</v>
      </c>
      <c r="U414" s="13" t="s">
        <v>822</v>
      </c>
      <c r="V414" s="13"/>
      <c r="W414" s="24" t="str">
        <f t="shared" si="21"/>
        <v>Завершена</v>
      </c>
      <c r="X414" s="13" t="str">
        <f>IFERROR(__xludf.DUMMYFUNCTION("IF(C414 = """", """", IF(REGEXMATCH(C414, ""PCX|NMAX|ADV|CLICK""), ""скутер"", ""мото""))"),"мото")</f>
        <v>мото</v>
      </c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</row>
    <row r="415" hidden="1">
      <c r="A415" s="25" t="s">
        <v>24</v>
      </c>
      <c r="B415" s="25" t="s">
        <v>25</v>
      </c>
      <c r="C415" s="27" t="s">
        <v>286</v>
      </c>
      <c r="D415" s="27" t="s">
        <v>885</v>
      </c>
      <c r="E415" s="43">
        <v>45326.0</v>
      </c>
      <c r="F415" s="39">
        <v>45355.583333333336</v>
      </c>
      <c r="G415" s="30" t="str">
        <f t="shared" si="20"/>
        <v>29 Д</v>
      </c>
      <c r="H415" s="31">
        <f t="shared" si="19"/>
        <v>330</v>
      </c>
      <c r="I415" s="32" t="str">
        <f t="shared" si="2"/>
        <v/>
      </c>
      <c r="J415" s="33" t="str">
        <f t="shared" si="24"/>
        <v/>
      </c>
      <c r="K415" s="36">
        <v>6490.0</v>
      </c>
      <c r="L415" s="36">
        <v>9900.0</v>
      </c>
      <c r="M415" s="33"/>
      <c r="N415" s="44">
        <v>11900.0</v>
      </c>
      <c r="O415" s="35" t="str">
        <f>IFERROR(__xludf.DUMMYFUNCTION("IFERROR(
  VLOOKUP(C415,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C415
    ), 
    7, FALSE
  ), 
  """"
)
"),"")</f>
        <v/>
      </c>
      <c r="P415" s="35">
        <f>IFERROR(__xludf.DUMMYFUNCTION("IF(AND(Q415="""", R415=""""),
  """",
  IF(OR(ISBLANK(Q415), ISBLANK(O415)),
    """",
    IF(VALUE(SUBSTITUTE(INDEX(SPLIT(IF(ISBLANK(R415), Q415, R415), "",""), 0, 1), "" Km"", """")) - O415 = 0,
      """",
      VALUE(SUBSTITUTE(INDEX(SPLIT(IF(ISBLANK("&amp;"R415), Q415, R415), "",""), 0, 1), "" Km"", """")) - O415
    )
  )
)"),11900.0)</f>
        <v>11900</v>
      </c>
      <c r="Q415" s="36" t="str">
        <f t="shared" si="4"/>
        <v>11 900 Km, 04.02.2024</v>
      </c>
      <c r="R415" s="33"/>
      <c r="S415" s="40">
        <v>8000.0</v>
      </c>
      <c r="T415" s="25">
        <v>2.0</v>
      </c>
      <c r="U415" s="25" t="s">
        <v>886</v>
      </c>
      <c r="V415" s="37"/>
      <c r="W415" s="37" t="str">
        <f t="shared" si="21"/>
        <v>Завершена</v>
      </c>
      <c r="X415" s="25" t="str">
        <f>IFERROR(__xludf.DUMMYFUNCTION("IF(C415 = """", """", IF(REGEXMATCH(C415, ""PCX|NMAX|ADV|CLICK""), ""скутер"", ""мото""))"),"мото")</f>
        <v>мото</v>
      </c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</row>
    <row r="416" hidden="1">
      <c r="A416" s="13" t="s">
        <v>24</v>
      </c>
      <c r="B416" s="13" t="s">
        <v>25</v>
      </c>
      <c r="C416" s="14" t="s">
        <v>56</v>
      </c>
      <c r="D416" s="14" t="s">
        <v>883</v>
      </c>
      <c r="E416" s="48">
        <v>45327.0</v>
      </c>
      <c r="F416" s="38">
        <v>45337.583333333336</v>
      </c>
      <c r="G416" s="17" t="str">
        <f t="shared" si="20"/>
        <v>10 Д</v>
      </c>
      <c r="H416" s="18">
        <f t="shared" si="19"/>
        <v>429</v>
      </c>
      <c r="I416" s="19" t="str">
        <f t="shared" si="2"/>
        <v/>
      </c>
      <c r="J416" s="20" t="str">
        <f t="shared" si="24"/>
        <v/>
      </c>
      <c r="K416" s="20">
        <f>429*9+429</f>
        <v>4290</v>
      </c>
      <c r="L416" s="20"/>
      <c r="M416" s="23">
        <v>429.0</v>
      </c>
      <c r="N416" s="49">
        <v>22820.0</v>
      </c>
      <c r="O416" s="22">
        <f>IFERROR(__xludf.DUMMYFUNCTION("IFERROR(
  VLOOKUP(C416,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C416
    ), 
    7, FALSE
  ), 
  """"
)
"),36400.0)</f>
        <v>36400</v>
      </c>
      <c r="P416" s="22">
        <f>IFERROR(__xludf.DUMMYFUNCTION("IF(AND(Q416="""", R416=""""),
  """",
  IF(OR(ISBLANK(Q416), ISBLANK(O416)),
    """",
    IF(VALUE(SUBSTITUTE(INDEX(SPLIT(IF(ISBLANK(R416), Q416, R416), "",""), 0, 1), "" Km"", """")) - O416 = 0,
      """",
      VALUE(SUBSTITUTE(INDEX(SPLIT(IF(ISBLANK("&amp;"R416), Q416, R416), "",""), 0, 1), "" Km"", """")) - O416
    )
  )
)"),-13580.0)</f>
        <v>-13580</v>
      </c>
      <c r="Q416" s="23" t="str">
        <f t="shared" si="4"/>
        <v>22 820 Km, 05.02.2024</v>
      </c>
      <c r="R416" s="20"/>
      <c r="S416" s="41">
        <v>100.0</v>
      </c>
      <c r="T416" s="13">
        <v>2.0</v>
      </c>
      <c r="U416" s="13" t="s">
        <v>887</v>
      </c>
      <c r="V416" s="24"/>
      <c r="W416" s="24" t="str">
        <f t="shared" si="21"/>
        <v>Завершена</v>
      </c>
      <c r="X416" s="13" t="str">
        <f>IFERROR(__xludf.DUMMYFUNCTION("IF(C416 = """", """", IF(REGEXMATCH(C416, ""PCX|NMAX|ADV|CLICK""), ""скутер"", ""мото""))"),"скутер")</f>
        <v>скутер</v>
      </c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</row>
    <row r="417" hidden="1">
      <c r="A417" s="25" t="s">
        <v>24</v>
      </c>
      <c r="B417" s="25" t="s">
        <v>25</v>
      </c>
      <c r="C417" s="27" t="s">
        <v>102</v>
      </c>
      <c r="D417" s="27" t="s">
        <v>755</v>
      </c>
      <c r="E417" s="43">
        <v>45328.0</v>
      </c>
      <c r="F417" s="39">
        <v>45329.5</v>
      </c>
      <c r="G417" s="30" t="str">
        <f t="shared" si="20"/>
        <v>1 Д</v>
      </c>
      <c r="H417" s="31">
        <f t="shared" si="19"/>
        <v>1590</v>
      </c>
      <c r="I417" s="32" t="str">
        <f t="shared" si="2"/>
        <v/>
      </c>
      <c r="J417" s="33" t="str">
        <f t="shared" si="24"/>
        <v/>
      </c>
      <c r="K417" s="36">
        <v>1590.0</v>
      </c>
      <c r="L417" s="33"/>
      <c r="M417" s="36">
        <v>1590.0</v>
      </c>
      <c r="N417" s="44">
        <v>37000.0</v>
      </c>
      <c r="O417" s="35">
        <f>IFERROR(__xludf.DUMMYFUNCTION("IFERROR(
  VLOOKUP(C417,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C417
    ), 
    7, FALSE
  ), 
  """"
)
"),63700.0)</f>
        <v>63700</v>
      </c>
      <c r="P417" s="35">
        <f>IFERROR(__xludf.DUMMYFUNCTION("IF(AND(Q417="""", R417=""""),
  """",
  IF(OR(ISBLANK(Q417), ISBLANK(O417)),
    """",
    IF(VALUE(SUBSTITUTE(INDEX(SPLIT(IF(ISBLANK(R417), Q417, R417), "",""), 0, 1), "" Km"", """")) - O417 = 0,
      """",
      VALUE(SUBSTITUTE(INDEX(SPLIT(IF(ISBLANK("&amp;"R417), Q417, R417), "",""), 0, 1), "" Km"", """")) - O417
    )
  )
)"),-26700.0)</f>
        <v>-26700</v>
      </c>
      <c r="Q417" s="36" t="str">
        <f t="shared" si="4"/>
        <v>37 000 Km, 06.02.2024</v>
      </c>
      <c r="R417" s="33"/>
      <c r="S417" s="40">
        <v>300.0</v>
      </c>
      <c r="T417" s="25">
        <v>0.0</v>
      </c>
      <c r="U417" s="25" t="s">
        <v>756</v>
      </c>
      <c r="V417" s="37"/>
      <c r="W417" s="37" t="str">
        <f t="shared" si="21"/>
        <v>Завершена</v>
      </c>
      <c r="X417" s="25" t="str">
        <f>IFERROR(__xludf.DUMMYFUNCTION("IF(C417 = """", """", IF(REGEXMATCH(C417, ""PCX|NMAX|ADV|CLICK""), ""скутер"", ""мото""))"),"мото")</f>
        <v>мото</v>
      </c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</row>
    <row r="418" hidden="1">
      <c r="A418" s="13" t="s">
        <v>24</v>
      </c>
      <c r="B418" s="13" t="s">
        <v>25</v>
      </c>
      <c r="C418" s="14" t="s">
        <v>483</v>
      </c>
      <c r="D418" s="14" t="s">
        <v>712</v>
      </c>
      <c r="E418" s="48">
        <v>45328.0</v>
      </c>
      <c r="F418" s="38">
        <v>45331.875</v>
      </c>
      <c r="G418" s="17" t="str">
        <f t="shared" si="20"/>
        <v>3 Д</v>
      </c>
      <c r="H418" s="18">
        <f t="shared" si="19"/>
        <v>783</v>
      </c>
      <c r="I418" s="19" t="str">
        <f t="shared" si="2"/>
        <v/>
      </c>
      <c r="J418" s="20" t="str">
        <f t="shared" si="24"/>
        <v/>
      </c>
      <c r="K418" s="23">
        <f>2349</f>
        <v>2349</v>
      </c>
      <c r="L418" s="23"/>
      <c r="M418" s="23">
        <v>783.0</v>
      </c>
      <c r="N418" s="49">
        <v>26000.0</v>
      </c>
      <c r="O418" s="22">
        <f>IFERROR(__xludf.DUMMYFUNCTION("IFERROR(
  VLOOKUP(C418,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C418
    ), 
    7, FALSE
  ), 
  """"
)
"),41500.0)</f>
        <v>41500</v>
      </c>
      <c r="P418" s="22">
        <f>IFERROR(__xludf.DUMMYFUNCTION("IF(AND(Q418="""", R418=""""),
  """",
  IF(OR(ISBLANK(Q418), ISBLANK(O418)),
    """",
    IF(VALUE(SUBSTITUTE(INDEX(SPLIT(IF(ISBLANK(R418), Q418, R418), "",""), 0, 1), "" Km"", """")) - O418 = 0,
      """",
      VALUE(SUBSTITUTE(INDEX(SPLIT(IF(ISBLANK("&amp;"R418), Q418, R418), "",""), 0, 1), "" Km"", """")) - O418
    )
  )
)"),-15500.0)</f>
        <v>-15500</v>
      </c>
      <c r="Q418" s="23" t="str">
        <f t="shared" si="4"/>
        <v>26 000 Km, 06.02.2024</v>
      </c>
      <c r="R418" s="20"/>
      <c r="S418" s="41" t="s">
        <v>600</v>
      </c>
      <c r="T418" s="13">
        <v>1.0</v>
      </c>
      <c r="U418" s="13" t="s">
        <v>713</v>
      </c>
      <c r="V418" s="13" t="s">
        <v>714</v>
      </c>
      <c r="W418" s="24" t="str">
        <f t="shared" si="21"/>
        <v>Завершена</v>
      </c>
      <c r="X418" s="13" t="str">
        <f>IFERROR(__xludf.DUMMYFUNCTION("IF(C418 = """", """", IF(REGEXMATCH(C418, ""PCX|NMAX|ADV|CLICK""), ""скутер"", ""мото""))"),"мото")</f>
        <v>мото</v>
      </c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</row>
    <row r="419" hidden="1">
      <c r="A419" s="25" t="s">
        <v>24</v>
      </c>
      <c r="B419" s="25" t="s">
        <v>25</v>
      </c>
      <c r="C419" s="27" t="s">
        <v>198</v>
      </c>
      <c r="D419" s="27" t="s">
        <v>888</v>
      </c>
      <c r="E419" s="43">
        <v>45328.0</v>
      </c>
      <c r="F419" s="39">
        <v>45332.708333333336</v>
      </c>
      <c r="G419" s="30" t="str">
        <f t="shared" si="20"/>
        <v>4 Д</v>
      </c>
      <c r="H419" s="31">
        <f t="shared" si="19"/>
        <v>790</v>
      </c>
      <c r="I419" s="32" t="str">
        <f t="shared" si="2"/>
        <v/>
      </c>
      <c r="J419" s="33" t="str">
        <f t="shared" si="24"/>
        <v/>
      </c>
      <c r="K419" s="36">
        <v>3160.0</v>
      </c>
      <c r="L419" s="33"/>
      <c r="M419" s="36">
        <v>790.0</v>
      </c>
      <c r="N419" s="44">
        <v>17200.0</v>
      </c>
      <c r="O419" s="35" t="str">
        <f>IFERROR(__xludf.DUMMYFUNCTION("IFERROR(
  VLOOKUP(C419,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C419
    ), 
    7, FALSE
  ), 
  """"
)
"),"")</f>
        <v/>
      </c>
      <c r="P419" s="35">
        <f>IFERROR(__xludf.DUMMYFUNCTION("IF(AND(Q419="""", R419=""""),
  """",
  IF(OR(ISBLANK(Q419), ISBLANK(O419)),
    """",
    IF(VALUE(SUBSTITUTE(INDEX(SPLIT(IF(ISBLANK(R419), Q419, R419), "",""), 0, 1), "" Km"", """")) - O419 = 0,
      """",
      VALUE(SUBSTITUTE(INDEX(SPLIT(IF(ISBLANK("&amp;"R419), Q419, R419), "",""), 0, 1), "" Km"", """")) - O419
    )
  )
)"),17200.0)</f>
        <v>17200</v>
      </c>
      <c r="Q419" s="36" t="str">
        <f t="shared" si="4"/>
        <v>17 200 Km, 06.02.2024</v>
      </c>
      <c r="R419" s="33"/>
      <c r="S419" s="40">
        <v>5000.0</v>
      </c>
      <c r="T419" s="25">
        <v>2.0</v>
      </c>
      <c r="U419" s="25" t="s">
        <v>516</v>
      </c>
      <c r="V419" s="37"/>
      <c r="W419" s="37" t="str">
        <f t="shared" si="21"/>
        <v>Завершена</v>
      </c>
      <c r="X419" s="25" t="str">
        <f>IFERROR(__xludf.DUMMYFUNCTION("IF(C419 = """", """", IF(REGEXMATCH(C419, ""PCX|NMAX|ADV|CLICK""), ""скутер"", ""мото""))"),"мото")</f>
        <v>мото</v>
      </c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</row>
    <row r="420" hidden="1">
      <c r="A420" s="13" t="s">
        <v>24</v>
      </c>
      <c r="B420" s="13" t="s">
        <v>25</v>
      </c>
      <c r="C420" s="14" t="s">
        <v>151</v>
      </c>
      <c r="D420" s="14" t="s">
        <v>889</v>
      </c>
      <c r="E420" s="48">
        <v>45329.0</v>
      </c>
      <c r="F420" s="38">
        <v>45359.583333333336</v>
      </c>
      <c r="G420" s="17" t="str">
        <f t="shared" si="20"/>
        <v>30 Д</v>
      </c>
      <c r="H420" s="18">
        <f t="shared" si="19"/>
        <v>263.3333333</v>
      </c>
      <c r="I420" s="19" t="str">
        <f t="shared" si="2"/>
        <v/>
      </c>
      <c r="J420" s="20" t="str">
        <f t="shared" si="24"/>
        <v/>
      </c>
      <c r="K420" s="23">
        <v>7900.0</v>
      </c>
      <c r="L420" s="23">
        <v>7900.0</v>
      </c>
      <c r="M420" s="20"/>
      <c r="N420" s="49">
        <v>19500.0</v>
      </c>
      <c r="O420" s="22">
        <f>IFERROR(__xludf.DUMMYFUNCTION("IFERROR(
  VLOOKUP(C420,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C420
    ), 
    7, FALSE
  ), 
  """"
)
"),35800.0)</f>
        <v>35800</v>
      </c>
      <c r="P420" s="22">
        <f>IFERROR(__xludf.DUMMYFUNCTION("IF(AND(Q420="""", R420=""""),
  """",
  IF(OR(ISBLANK(Q420), ISBLANK(O420)),
    """",
    IF(VALUE(SUBSTITUTE(INDEX(SPLIT(IF(ISBLANK(R420), Q420, R420), "",""), 0, 1), "" Km"", """")) - O420 = 0,
      """",
      VALUE(SUBSTITUTE(INDEX(SPLIT(IF(ISBLANK("&amp;"R420), Q420, R420), "",""), 0, 1), "" Km"", """")) - O420
    )
  )
)"),-16300.0)</f>
        <v>-16300</v>
      </c>
      <c r="Q420" s="23" t="str">
        <f t="shared" si="4"/>
        <v>19 500 Km, 07.02.2024</v>
      </c>
      <c r="R420" s="20"/>
      <c r="S420" s="41">
        <v>3000.0</v>
      </c>
      <c r="T420" s="13">
        <v>0.0</v>
      </c>
      <c r="U420" s="13" t="s">
        <v>890</v>
      </c>
      <c r="V420" s="24"/>
      <c r="W420" s="24" t="str">
        <f t="shared" si="21"/>
        <v>Завершена</v>
      </c>
      <c r="X420" s="13" t="str">
        <f>IFERROR(__xludf.DUMMYFUNCTION("IF(C420 = """", """", IF(REGEXMATCH(C420, ""PCX|NMAX|ADV|CLICK""), ""скутер"", ""мото""))"),"скутер")</f>
        <v>скутер</v>
      </c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</row>
    <row r="421" hidden="1">
      <c r="A421" s="25" t="s">
        <v>24</v>
      </c>
      <c r="B421" s="25" t="s">
        <v>25</v>
      </c>
      <c r="C421" s="27" t="s">
        <v>102</v>
      </c>
      <c r="D421" s="27" t="s">
        <v>712</v>
      </c>
      <c r="E421" s="43">
        <v>45331.0</v>
      </c>
      <c r="F421" s="39">
        <v>45338.875</v>
      </c>
      <c r="G421" s="30" t="str">
        <f t="shared" si="20"/>
        <v>7 Д</v>
      </c>
      <c r="H421" s="31">
        <f t="shared" si="19"/>
        <v>783</v>
      </c>
      <c r="I421" s="32" t="str">
        <f t="shared" si="2"/>
        <v/>
      </c>
      <c r="J421" s="76" t="str">
        <f>IF(OR(A421="в аренде", A421="в аренде 1", A421="в аренде 2"), DATEDIF(E421, F421, "D")*H421, "")</f>
        <v/>
      </c>
      <c r="K421" s="36">
        <f>2831+2000+650</f>
        <v>5481</v>
      </c>
      <c r="L421" s="36"/>
      <c r="M421" s="36">
        <v>783.0</v>
      </c>
      <c r="N421" s="44">
        <v>36300.0</v>
      </c>
      <c r="O421" s="35">
        <f>IFERROR(__xludf.DUMMYFUNCTION("IFERROR(
  VLOOKUP(C421,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C421
    ), 
    7, FALSE
  ), 
  """"
)
"),63700.0)</f>
        <v>63700</v>
      </c>
      <c r="P421" s="35">
        <f>IFERROR(__xludf.DUMMYFUNCTION("IF(AND(Q421="""", R421=""""),
  """",
  IF(OR(ISBLANK(Q421), ISBLANK(O421)),
    """",
    IF(VALUE(SUBSTITUTE(INDEX(SPLIT(IF(ISBLANK(R421), Q421, R421), "",""), 0, 1), "" Km"", """")) - O421 = 0,
      """",
      VALUE(SUBSTITUTE(INDEX(SPLIT(IF(ISBLANK("&amp;"R421), Q421, R421), "",""), 0, 1), "" Km"", """")) - O421
    )
  )
)"),-27400.0)</f>
        <v>-27400</v>
      </c>
      <c r="Q421" s="36" t="str">
        <f t="shared" si="4"/>
        <v>36 300 Km, 09.02.2024</v>
      </c>
      <c r="R421" s="33"/>
      <c r="S421" s="40" t="s">
        <v>600</v>
      </c>
      <c r="T421" s="25">
        <v>1.0</v>
      </c>
      <c r="U421" s="25" t="s">
        <v>713</v>
      </c>
      <c r="V421" s="25" t="s">
        <v>714</v>
      </c>
      <c r="W421" s="37" t="str">
        <f t="shared" si="21"/>
        <v>Завершена</v>
      </c>
      <c r="X421" s="25" t="str">
        <f>IFERROR(__xludf.DUMMYFUNCTION("IF(C421 = """", """", IF(REGEXMATCH(C421, ""PCX|NMAX|ADV|CLICK""), ""скутер"", ""мото""))"),"мото")</f>
        <v>мото</v>
      </c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</row>
    <row r="422" hidden="1">
      <c r="A422" s="13" t="s">
        <v>24</v>
      </c>
      <c r="B422" s="13" t="s">
        <v>25</v>
      </c>
      <c r="C422" s="14" t="s">
        <v>423</v>
      </c>
      <c r="D422" s="14" t="s">
        <v>891</v>
      </c>
      <c r="E422" s="48">
        <v>45331.0</v>
      </c>
      <c r="F422" s="38">
        <v>45343.708333333336</v>
      </c>
      <c r="G422" s="17" t="str">
        <f t="shared" si="20"/>
        <v>12 Д</v>
      </c>
      <c r="H422" s="18">
        <f t="shared" si="19"/>
        <v>500</v>
      </c>
      <c r="I422" s="19" t="str">
        <f t="shared" si="2"/>
        <v/>
      </c>
      <c r="J422" s="20" t="str">
        <f t="shared" ref="J422:J2269" si="25">IF(OR(A422="в аренде", A422="в аренде 1", A422="в аренде 2"), DATEDIF(E422, TODAY(), "D")*H422, "")</f>
        <v/>
      </c>
      <c r="K422" s="23">
        <v>6000.0</v>
      </c>
      <c r="L422" s="20"/>
      <c r="M422" s="23">
        <v>500.0</v>
      </c>
      <c r="N422" s="49">
        <v>15500.0</v>
      </c>
      <c r="O422" s="22" t="str">
        <f>IFERROR(__xludf.DUMMYFUNCTION("IFERROR(
  VLOOKUP(C422,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C422
    ), 
    7, FALSE
  ), 
  """"
)
"),"")</f>
        <v/>
      </c>
      <c r="P422" s="22">
        <f>IFERROR(__xludf.DUMMYFUNCTION("IF(AND(Q422="""", R422=""""),
  """",
  IF(OR(ISBLANK(Q422), ISBLANK(O422)),
    """",
    IF(VALUE(SUBSTITUTE(INDEX(SPLIT(IF(ISBLANK(R422), Q422, R422), "",""), 0, 1), "" Km"", """")) - O422 = 0,
      """",
      VALUE(SUBSTITUTE(INDEX(SPLIT(IF(ISBLANK("&amp;"R422), Q422, R422), "",""), 0, 1), "" Km"", """")) - O422
    )
  )
)"),15500.0)</f>
        <v>15500</v>
      </c>
      <c r="Q422" s="23" t="str">
        <f t="shared" si="4"/>
        <v>15 500 Km, 09.02.2024</v>
      </c>
      <c r="R422" s="20"/>
      <c r="S422" s="41">
        <v>15000.0</v>
      </c>
      <c r="T422" s="13">
        <v>0.0</v>
      </c>
      <c r="U422" s="13" t="s">
        <v>892</v>
      </c>
      <c r="V422" s="24"/>
      <c r="W422" s="24" t="str">
        <f t="shared" si="21"/>
        <v>Завершена</v>
      </c>
      <c r="X422" s="13" t="str">
        <f>IFERROR(__xludf.DUMMYFUNCTION("IF(C422 = """", """", IF(REGEXMATCH(C422, ""PCX|NMAX|ADV|CLICK""), ""скутер"", ""мото""))"),"мото")</f>
        <v>мото</v>
      </c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</row>
    <row r="423" hidden="1">
      <c r="A423" s="25" t="s">
        <v>24</v>
      </c>
      <c r="B423" s="25" t="s">
        <v>25</v>
      </c>
      <c r="C423" s="27" t="s">
        <v>483</v>
      </c>
      <c r="D423" s="27" t="s">
        <v>893</v>
      </c>
      <c r="E423" s="43">
        <v>45332.0</v>
      </c>
      <c r="F423" s="39">
        <v>45334.416666666664</v>
      </c>
      <c r="G423" s="30" t="str">
        <f t="shared" si="20"/>
        <v>2 Д</v>
      </c>
      <c r="H423" s="31">
        <f t="shared" si="19"/>
        <v>1980</v>
      </c>
      <c r="I423" s="32" t="str">
        <f t="shared" si="2"/>
        <v/>
      </c>
      <c r="J423" s="33" t="str">
        <f t="shared" si="25"/>
        <v/>
      </c>
      <c r="K423" s="36">
        <v>3960.0</v>
      </c>
      <c r="L423" s="33"/>
      <c r="M423" s="36">
        <v>1980.0</v>
      </c>
      <c r="N423" s="44">
        <v>26200.0</v>
      </c>
      <c r="O423" s="35">
        <f>IFERROR(__xludf.DUMMYFUNCTION("IFERROR(
  VLOOKUP(C423,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C423
    ), 
    7, FALSE
  ), 
  """"
)
"),41500.0)</f>
        <v>41500</v>
      </c>
      <c r="P423" s="35">
        <f>IFERROR(__xludf.DUMMYFUNCTION("IF(AND(Q423="""", R423=""""),
  """",
  IF(OR(ISBLANK(Q423), ISBLANK(O423)),
    """",
    IF(VALUE(SUBSTITUTE(INDEX(SPLIT(IF(ISBLANK(R423), Q423, R423), "",""), 0, 1), "" Km"", """")) - O423 = 0,
      """",
      VALUE(SUBSTITUTE(INDEX(SPLIT(IF(ISBLANK("&amp;"R423), Q423, R423), "",""), 0, 1), "" Km"", """")) - O423
    )
  )
)"),-15300.0)</f>
        <v>-15300</v>
      </c>
      <c r="Q423" s="36" t="str">
        <f t="shared" si="4"/>
        <v>26 200 Km, 10.02.2024</v>
      </c>
      <c r="R423" s="33"/>
      <c r="S423" s="40" t="s">
        <v>430</v>
      </c>
      <c r="T423" s="25">
        <v>1.0</v>
      </c>
      <c r="U423" s="25" t="s">
        <v>894</v>
      </c>
      <c r="V423" s="37"/>
      <c r="W423" s="37" t="str">
        <f t="shared" si="21"/>
        <v>Завершена</v>
      </c>
      <c r="X423" s="25" t="str">
        <f>IFERROR(__xludf.DUMMYFUNCTION("IF(C423 = """", """", IF(REGEXMATCH(C423, ""PCX|NMAX|ADV|CLICK""), ""скутер"", ""мото""))"),"мото")</f>
        <v>мото</v>
      </c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</row>
    <row r="424" hidden="1">
      <c r="A424" s="13" t="s">
        <v>24</v>
      </c>
      <c r="B424" s="13" t="s">
        <v>25</v>
      </c>
      <c r="C424" s="14" t="s">
        <v>483</v>
      </c>
      <c r="D424" s="14" t="s">
        <v>895</v>
      </c>
      <c r="E424" s="48">
        <v>45333.0</v>
      </c>
      <c r="F424" s="38">
        <v>45337.833333333336</v>
      </c>
      <c r="G424" s="17" t="str">
        <f t="shared" si="20"/>
        <v>4 Д</v>
      </c>
      <c r="H424" s="18">
        <f t="shared" si="19"/>
        <v>1890</v>
      </c>
      <c r="I424" s="19" t="str">
        <f t="shared" si="2"/>
        <v/>
      </c>
      <c r="J424" s="20" t="str">
        <f t="shared" si="25"/>
        <v/>
      </c>
      <c r="K424" s="23">
        <v>7560.0</v>
      </c>
      <c r="L424" s="20"/>
      <c r="M424" s="23">
        <v>1890.0</v>
      </c>
      <c r="N424" s="49">
        <v>26400.0</v>
      </c>
      <c r="O424" s="22">
        <f>IFERROR(__xludf.DUMMYFUNCTION("IFERROR(
  VLOOKUP(C424,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C424
    ), 
    7, FALSE
  ), 
  """"
)
"),41500.0)</f>
        <v>41500</v>
      </c>
      <c r="P424" s="22">
        <f>IFERROR(__xludf.DUMMYFUNCTION("IF(AND(Q424="""", R424=""""),
  """",
  IF(OR(ISBLANK(Q424), ISBLANK(O424)),
    """",
    IF(VALUE(SUBSTITUTE(INDEX(SPLIT(IF(ISBLANK(R424), Q424, R424), "",""), 0, 1), "" Km"", """")) - O424 = 0,
      """",
      VALUE(SUBSTITUTE(INDEX(SPLIT(IF(ISBLANK("&amp;"R424), Q424, R424), "",""), 0, 1), "" Km"", """")) - O424
    )
  )
)"),-15100.0)</f>
        <v>-15100</v>
      </c>
      <c r="Q424" s="23" t="str">
        <f t="shared" si="4"/>
        <v>26 400 Km, 11.02.2024</v>
      </c>
      <c r="R424" s="20"/>
      <c r="S424" s="41" t="s">
        <v>896</v>
      </c>
      <c r="T424" s="13">
        <v>0.0</v>
      </c>
      <c r="U424" s="13" t="s">
        <v>516</v>
      </c>
      <c r="V424" s="24"/>
      <c r="W424" s="24" t="str">
        <f t="shared" si="21"/>
        <v>Завершена</v>
      </c>
      <c r="X424" s="13" t="str">
        <f>IFERROR(__xludf.DUMMYFUNCTION("IF(C424 = """", """", IF(REGEXMATCH(C424, ""PCX|NMAX|ADV|CLICK""), ""скутер"", ""мото""))"),"мото")</f>
        <v>мото</v>
      </c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</row>
    <row r="425" hidden="1">
      <c r="A425" s="25" t="s">
        <v>24</v>
      </c>
      <c r="B425" s="25" t="s">
        <v>25</v>
      </c>
      <c r="C425" s="27" t="s">
        <v>68</v>
      </c>
      <c r="D425" s="27" t="s">
        <v>897</v>
      </c>
      <c r="E425" s="43">
        <v>45338.0</v>
      </c>
      <c r="F425" s="39">
        <v>45351.833333333336</v>
      </c>
      <c r="G425" s="30" t="str">
        <f t="shared" si="20"/>
        <v>13 Д</v>
      </c>
      <c r="H425" s="31">
        <f t="shared" si="19"/>
        <v>390</v>
      </c>
      <c r="I425" s="32" t="str">
        <f t="shared" si="2"/>
        <v/>
      </c>
      <c r="J425" s="33" t="str">
        <f t="shared" si="25"/>
        <v/>
      </c>
      <c r="K425" s="36">
        <f>5460-390</f>
        <v>5070</v>
      </c>
      <c r="L425" s="33"/>
      <c r="M425" s="36">
        <v>390.0</v>
      </c>
      <c r="N425" s="44">
        <v>20500.0</v>
      </c>
      <c r="O425" s="35">
        <f>IFERROR(__xludf.DUMMYFUNCTION("IFERROR(
  VLOOKUP(C425,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C425
    ), 
    7, FALSE
  ), 
  """"
)
"),24094.0)</f>
        <v>24094</v>
      </c>
      <c r="P425" s="35">
        <f>IFERROR(__xludf.DUMMYFUNCTION("IF(AND(Q425="""", R425=""""),
  """",
  IF(OR(ISBLANK(Q425), ISBLANK(O425)),
    """",
    IF(VALUE(SUBSTITUTE(INDEX(SPLIT(IF(ISBLANK(R425), Q425, R425), "",""), 0, 1), "" Km"", """")) - O425 = 0,
      """",
      VALUE(SUBSTITUTE(INDEX(SPLIT(IF(ISBLANK("&amp;"R425), Q425, R425), "",""), 0, 1), "" Km"", """")) - O425
    )
  )
)"),-3594.0)</f>
        <v>-3594</v>
      </c>
      <c r="Q425" s="36" t="str">
        <f t="shared" si="4"/>
        <v>20 500 Km, 16.02.2024</v>
      </c>
      <c r="R425" s="33"/>
      <c r="S425" s="40">
        <v>3000.0</v>
      </c>
      <c r="T425" s="25">
        <v>2.0</v>
      </c>
      <c r="U425" s="25" t="s">
        <v>898</v>
      </c>
      <c r="V425" s="37"/>
      <c r="W425" s="37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</row>
    <row r="426" hidden="1">
      <c r="A426" s="13" t="s">
        <v>24</v>
      </c>
      <c r="B426" s="13" t="s">
        <v>25</v>
      </c>
      <c r="C426" s="14" t="s">
        <v>155</v>
      </c>
      <c r="D426" s="14" t="s">
        <v>870</v>
      </c>
      <c r="E426" s="48">
        <v>45338.0</v>
      </c>
      <c r="F426" s="38">
        <v>45376.541666666664</v>
      </c>
      <c r="G426" s="17" t="str">
        <f t="shared" si="20"/>
        <v>1 М</v>
      </c>
      <c r="H426" s="18">
        <f t="shared" si="19"/>
        <v>400</v>
      </c>
      <c r="I426" s="19" t="str">
        <f t="shared" si="2"/>
        <v/>
      </c>
      <c r="J426" s="20" t="str">
        <f t="shared" si="25"/>
        <v/>
      </c>
      <c r="K426" s="23">
        <f>2000+12000+1600</f>
        <v>15600</v>
      </c>
      <c r="L426" s="23"/>
      <c r="M426" s="23">
        <v>400.0</v>
      </c>
      <c r="N426" s="49">
        <v>31700.0</v>
      </c>
      <c r="O426" s="22" t="str">
        <f>IFERROR(__xludf.DUMMYFUNCTION("IFERROR(
  VLOOKUP(C426,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C426
    ), 
    7, FALSE
  ), 
  """"
)
"),"")</f>
        <v/>
      </c>
      <c r="P426" s="22">
        <f>IFERROR(__xludf.DUMMYFUNCTION("IF(AND(Q426="""", R426=""""),
  """",
  IF(OR(ISBLANK(Q426), ISBLANK(O426)),
    """",
    IF(VALUE(SUBSTITUTE(INDEX(SPLIT(IF(ISBLANK(R426), Q426, R426), "",""), 0, 1), "" Km"", """")) - O426 = 0,
      """",
      VALUE(SUBSTITUTE(INDEX(SPLIT(IF(ISBLANK("&amp;"R426), Q426, R426), "",""), 0, 1), "" Km"", """")) - O426
    )
  )
)"),31700.0)</f>
        <v>31700</v>
      </c>
      <c r="Q426" s="23" t="str">
        <f t="shared" si="4"/>
        <v>31 700 Km, 16.02.2024</v>
      </c>
      <c r="R426" s="20"/>
      <c r="S426" s="41">
        <v>3000.0</v>
      </c>
      <c r="T426" s="13">
        <v>2.0</v>
      </c>
      <c r="U426" s="66" t="s">
        <v>871</v>
      </c>
      <c r="V426" s="24"/>
      <c r="W426" s="24" t="str">
        <f t="shared" ref="W426:W677" si="26">IF(F426 = "", "", IF(NOW() &gt; (DATEVALUE(LEFT(F426, SEARCH(",", F426) - 2)) + TIMEVALUE(MID(F426, SEARCH(",", F426) + 2, 5))), "Завершена", "В аренде"))</f>
        <v>Завершена</v>
      </c>
      <c r="X426" s="13" t="str">
        <f>IFERROR(__xludf.DUMMYFUNCTION("IF(C426 = """", """", IF(REGEXMATCH(C426, ""PCX|NMAX|ADV|CLICK""), ""скутер"", ""мото""))"),"мото")</f>
        <v>мото</v>
      </c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</row>
    <row r="427" hidden="1">
      <c r="A427" s="25" t="s">
        <v>24</v>
      </c>
      <c r="B427" s="27" t="s">
        <v>25</v>
      </c>
      <c r="C427" s="60" t="s">
        <v>483</v>
      </c>
      <c r="D427" s="82" t="s">
        <v>319</v>
      </c>
      <c r="E427" s="43">
        <v>45942.0</v>
      </c>
      <c r="F427" s="39">
        <v>45944.75</v>
      </c>
      <c r="G427" s="30" t="str">
        <f t="shared" si="20"/>
        <v>2 Д</v>
      </c>
      <c r="H427" s="31">
        <f t="shared" si="19"/>
        <v>1000</v>
      </c>
      <c r="I427" s="83" t="str">
        <f t="shared" si="2"/>
        <v/>
      </c>
      <c r="J427" s="84" t="str">
        <f t="shared" si="25"/>
        <v/>
      </c>
      <c r="K427" s="36">
        <v>2000.0</v>
      </c>
      <c r="L427" s="84"/>
      <c r="M427" s="85">
        <v>1000.0</v>
      </c>
      <c r="N427" s="44">
        <v>41600.0</v>
      </c>
      <c r="O427" s="35">
        <f>IFERROR(__xludf.DUMMYFUNCTION("IFERROR(
  VLOOKUP(C427,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C427
    ), 
    7, FALSE
  ), 
  """"
)
"),41500.0)</f>
        <v>41500</v>
      </c>
      <c r="P427" s="35">
        <f>IFERROR(__xludf.DUMMYFUNCTION("IF(AND(Q427="""", R427=""""),
  """",
  IF(OR(ISBLANK(Q427), ISBLANK(O427)),
    """",
    IF(VALUE(SUBSTITUTE(INDEX(SPLIT(IF(ISBLANK(R427), Q427, R427), "",""), 0, 1), "" Km"", """")) - O427 = 0,
      """",
      VALUE(SUBSTITUTE(INDEX(SPLIT(IF(ISBLANK("&amp;"R427), Q427, R427), "",""), 0, 1), "" Km"", """")) - O427
    )
  )
)"),100.0)</f>
        <v>100</v>
      </c>
      <c r="Q427" s="33" t="str">
        <f t="shared" si="4"/>
        <v>41 600 Km, 12.10.2025</v>
      </c>
      <c r="R427" s="33"/>
      <c r="S427" s="31">
        <v>0.0</v>
      </c>
      <c r="T427" s="32">
        <v>2.0</v>
      </c>
      <c r="U427" s="37">
        <v>6.6825262344E10</v>
      </c>
      <c r="V427" s="37"/>
      <c r="W427" s="37" t="str">
        <f t="shared" si="26"/>
        <v>Завершена</v>
      </c>
      <c r="X427" s="46" t="str">
        <f>IFERROR(__xludf.DUMMYFUNCTION("IF(C427 = """", """", IF(REGEXMATCH(C427, ""PCX|NMAX|ADV|CLICK""), ""скутер"", ""мото""))"),"мото")</f>
        <v>мото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</row>
    <row r="428" hidden="1">
      <c r="A428" s="13" t="s">
        <v>24</v>
      </c>
      <c r="B428" s="13" t="s">
        <v>25</v>
      </c>
      <c r="C428" s="14" t="s">
        <v>77</v>
      </c>
      <c r="D428" s="14" t="s">
        <v>899</v>
      </c>
      <c r="E428" s="48">
        <v>45909.0</v>
      </c>
      <c r="F428" s="38">
        <v>45916.625</v>
      </c>
      <c r="G428" s="17" t="str">
        <f t="shared" ref="G428:G443" si="27">IF((E428="")+(F428=""), "",DATEDIF(E428, F428, "d") &amp; " Д")
</f>
        <v>7 Д</v>
      </c>
      <c r="H428" s="18">
        <f t="shared" si="19"/>
        <v>300</v>
      </c>
      <c r="I428" s="19" t="str">
        <f t="shared" si="2"/>
        <v/>
      </c>
      <c r="J428" s="20" t="str">
        <f t="shared" si="25"/>
        <v/>
      </c>
      <c r="K428" s="23">
        <f>1500+600</f>
        <v>2100</v>
      </c>
      <c r="L428" s="20"/>
      <c r="M428" s="23">
        <v>300.0</v>
      </c>
      <c r="N428" s="21"/>
      <c r="O428" s="22">
        <f>IFERROR(__xludf.DUMMYFUNCTION("IFERROR(
  VLOOKUP(C428,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C428
    ), 
    7, FALSE
  ), 
  """"
)
"),37300.0)</f>
        <v>37300</v>
      </c>
      <c r="P428" s="22">
        <f>IFERROR(__xludf.DUMMYFUNCTION("IF(AND(Q428="""", R428=""""),
  """",
  IF(OR(ISBLANK(Q428), ISBLANK(O428)),
    """",
    IF(VALUE(SUBSTITUTE(INDEX(SPLIT(IF(ISBLANK(R428), Q428, R428), "",""), 0, 1), "" Km"", """")) - O428 = 0,
      """",
      VALUE(SUBSTITUTE(INDEX(SPLIT(IF(ISBLANK("&amp;"R428), Q428, R428), "",""), 0, 1), "" Km"", """")) - O428
    )
  )
)"),-37300.0)</f>
        <v>-37300</v>
      </c>
      <c r="Q428" s="23" t="str">
        <f t="shared" si="4"/>
        <v>0 Km, 09.09.2025</v>
      </c>
      <c r="R428" s="20"/>
      <c r="S428" s="41">
        <v>3000.0</v>
      </c>
      <c r="T428" s="13">
        <v>2.0</v>
      </c>
      <c r="U428" s="13" t="s">
        <v>900</v>
      </c>
      <c r="V428" s="24"/>
      <c r="W428" s="24" t="str">
        <f t="shared" si="26"/>
        <v>Завершена</v>
      </c>
      <c r="X428" s="13" t="str">
        <f>IFERROR(__xludf.DUMMYFUNCTION("IF(C428 = """", """", IF(REGEXMATCH(C428, ""PCX|NMAX|ADV 150|CLICK""), ""скутер"", ""мото""))"),"скутер")</f>
        <v>скутер</v>
      </c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</row>
    <row r="429" hidden="1">
      <c r="A429" s="25" t="s">
        <v>24</v>
      </c>
      <c r="B429" s="25" t="s">
        <v>25</v>
      </c>
      <c r="C429" s="27" t="s">
        <v>73</v>
      </c>
      <c r="D429" s="27" t="s">
        <v>901</v>
      </c>
      <c r="E429" s="43">
        <v>45912.0</v>
      </c>
      <c r="F429" s="39">
        <v>45916.625</v>
      </c>
      <c r="G429" s="30" t="str">
        <f t="shared" si="27"/>
        <v>4 Д</v>
      </c>
      <c r="H429" s="31">
        <f t="shared" si="19"/>
        <v>300</v>
      </c>
      <c r="I429" s="32" t="str">
        <f t="shared" si="2"/>
        <v/>
      </c>
      <c r="J429" s="33" t="str">
        <f t="shared" si="25"/>
        <v/>
      </c>
      <c r="K429" s="36">
        <v>1200.0</v>
      </c>
      <c r="L429" s="33"/>
      <c r="M429" s="36">
        <v>300.0</v>
      </c>
      <c r="N429" s="34"/>
      <c r="O429" s="35">
        <f>IFERROR(__xludf.DUMMYFUNCTION("IFERROR(
  VLOOKUP(C429,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C429
    ), 
    7, FALSE
  ), 
  """"
)
"),31000.0)</f>
        <v>31000</v>
      </c>
      <c r="P429" s="35">
        <f>IFERROR(__xludf.DUMMYFUNCTION("IF(AND(Q429="""", R429=""""),
  """",
  IF(OR(ISBLANK(Q429), ISBLANK(O429)),
    """",
    IF(VALUE(SUBSTITUTE(INDEX(SPLIT(IF(ISBLANK(R429), Q429, R429), "",""), 0, 1), "" Km"", """")) - O429 = 0,
      """",
      VALUE(SUBSTITUTE(INDEX(SPLIT(IF(ISBLANK("&amp;"R429), Q429, R429), "",""), 0, 1), "" Km"", """")) - O429
    )
  )
)"),-31000.0)</f>
        <v>-31000</v>
      </c>
      <c r="Q429" s="36" t="str">
        <f t="shared" si="4"/>
        <v>0 Km, 12.09.2025</v>
      </c>
      <c r="R429" s="33"/>
      <c r="S429" s="40">
        <v>3000.0</v>
      </c>
      <c r="T429" s="25">
        <v>2.0</v>
      </c>
      <c r="U429" s="25" t="s">
        <v>902</v>
      </c>
      <c r="V429" s="37"/>
      <c r="W429" s="37" t="str">
        <f t="shared" si="26"/>
        <v>Завершена</v>
      </c>
      <c r="X429" s="25" t="str">
        <f>IFERROR(__xludf.DUMMYFUNCTION("IF(C429 = """", """", IF(REGEXMATCH(C429, ""PCX|NMAX|ADV 150|CLICK""), ""скутер"", ""мото""))"),"скутер")</f>
        <v>скутер</v>
      </c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</row>
    <row r="430" hidden="1">
      <c r="A430" s="13" t="s">
        <v>24</v>
      </c>
      <c r="B430" s="13" t="s">
        <v>25</v>
      </c>
      <c r="C430" s="14" t="s">
        <v>102</v>
      </c>
      <c r="D430" s="14" t="s">
        <v>903</v>
      </c>
      <c r="E430" s="48">
        <v>45915.0</v>
      </c>
      <c r="F430" s="38">
        <v>45929.583333333336</v>
      </c>
      <c r="G430" s="17" t="str">
        <f t="shared" si="27"/>
        <v>14 Д</v>
      </c>
      <c r="H430" s="18">
        <f t="shared" si="19"/>
        <v>1294</v>
      </c>
      <c r="I430" s="19" t="str">
        <f t="shared" si="2"/>
        <v/>
      </c>
      <c r="J430" s="20" t="str">
        <f t="shared" si="25"/>
        <v/>
      </c>
      <c r="K430" s="23">
        <f>6470+338*31</f>
        <v>16948</v>
      </c>
      <c r="L430" s="20"/>
      <c r="M430" s="23">
        <v>1294.0</v>
      </c>
      <c r="N430" s="21"/>
      <c r="O430" s="22">
        <f>IFERROR(__xludf.DUMMYFUNCTION("IFERROR(
  VLOOKUP(C430,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C430
    ), 
    7, FALSE
  ), 
  """"
)
"),63700.0)</f>
        <v>63700</v>
      </c>
      <c r="P430" s="22">
        <f>IFERROR(__xludf.DUMMYFUNCTION("IF(AND(Q430="""", R430=""""),
  """",
  IF(OR(ISBLANK(Q430), ISBLANK(O430)),
    """",
    IF(VALUE(SUBSTITUTE(INDEX(SPLIT(IF(ISBLANK(R430), Q430, R430), "",""), 0, 1), "" Km"", """")) - O430 = 0,
      """",
      VALUE(SUBSTITUTE(INDEX(SPLIT(IF(ISBLANK("&amp;"R430), Q430, R430), "",""), 0, 1), "" Km"", """")) - O430
    )
  )
)"),-63700.0)</f>
        <v>-63700</v>
      </c>
      <c r="Q430" s="23" t="str">
        <f t="shared" si="4"/>
        <v>0 Km, 15.09.2025</v>
      </c>
      <c r="R430" s="20"/>
      <c r="S430" s="41" t="s">
        <v>600</v>
      </c>
      <c r="T430" s="13">
        <v>0.0</v>
      </c>
      <c r="U430" s="66" t="s">
        <v>904</v>
      </c>
      <c r="V430" s="24"/>
      <c r="W430" s="24" t="str">
        <f t="shared" si="26"/>
        <v>Завершена</v>
      </c>
      <c r="X430" s="13" t="str">
        <f>IFERROR(__xludf.DUMMYFUNCTION("IF(C430 = """", """", IF(REGEXMATCH(C430, ""PCX|NMAX|ADV 150|CLICK""), ""скутер"", ""мото""))"),"мото")</f>
        <v>мото</v>
      </c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</row>
    <row r="431" hidden="1">
      <c r="A431" s="25" t="s">
        <v>24</v>
      </c>
      <c r="B431" s="25" t="s">
        <v>25</v>
      </c>
      <c r="C431" s="27" t="s">
        <v>151</v>
      </c>
      <c r="D431" s="27" t="s">
        <v>905</v>
      </c>
      <c r="E431" s="43">
        <v>45915.0</v>
      </c>
      <c r="F431" s="39">
        <v>45922.583333333336</v>
      </c>
      <c r="G431" s="30" t="str">
        <f t="shared" si="27"/>
        <v>7 Д</v>
      </c>
      <c r="H431" s="31">
        <f t="shared" si="19"/>
        <v>274</v>
      </c>
      <c r="I431" s="32" t="str">
        <f t="shared" si="2"/>
        <v/>
      </c>
      <c r="J431" s="33" t="str">
        <f t="shared" si="25"/>
        <v/>
      </c>
      <c r="K431" s="36">
        <v>1918.0</v>
      </c>
      <c r="L431" s="33"/>
      <c r="M431" s="36">
        <v>274.0</v>
      </c>
      <c r="N431" s="34"/>
      <c r="O431" s="35">
        <f>IFERROR(__xludf.DUMMYFUNCTION("IFERROR(
  VLOOKUP(C431,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C431
    ), 
    7, FALSE
  ), 
  """"
)
"),35800.0)</f>
        <v>35800</v>
      </c>
      <c r="P431" s="35">
        <f>IFERROR(__xludf.DUMMYFUNCTION("IF(AND(Q431="""", R431=""""),
  """",
  IF(OR(ISBLANK(Q431), ISBLANK(O431)),
    """",
    IF(VALUE(SUBSTITUTE(INDEX(SPLIT(IF(ISBLANK(R431), Q431, R431), "",""), 0, 1), "" Km"", """")) - O431 = 0,
      """",
      VALUE(SUBSTITUTE(INDEX(SPLIT(IF(ISBLANK("&amp;"R431), Q431, R431), "",""), 0, 1), "" Km"", """")) - O431
    )
  )
)"),-35800.0)</f>
        <v>-35800</v>
      </c>
      <c r="Q431" s="36" t="str">
        <f t="shared" si="4"/>
        <v>0 Km, 15.09.2025</v>
      </c>
      <c r="R431" s="33"/>
      <c r="S431" s="40">
        <v>3000.0</v>
      </c>
      <c r="T431" s="25">
        <v>2.0</v>
      </c>
      <c r="U431" s="25" t="s">
        <v>906</v>
      </c>
      <c r="V431" s="37"/>
      <c r="W431" s="37" t="str">
        <f t="shared" si="26"/>
        <v>Завершена</v>
      </c>
      <c r="X431" s="25" t="str">
        <f>IFERROR(__xludf.DUMMYFUNCTION("IF(C431 = """", """", IF(REGEXMATCH(C431, ""PCX|NMAX|ADV 150|CLICK""), ""скутер"", ""мото""))"),"скутер")</f>
        <v>скутер</v>
      </c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</row>
    <row r="432" hidden="1">
      <c r="A432" s="13" t="s">
        <v>24</v>
      </c>
      <c r="B432" s="13" t="s">
        <v>25</v>
      </c>
      <c r="C432" s="14" t="s">
        <v>98</v>
      </c>
      <c r="D432" s="14" t="s">
        <v>907</v>
      </c>
      <c r="E432" s="48">
        <v>45917.0</v>
      </c>
      <c r="F432" s="38">
        <v>45927.625</v>
      </c>
      <c r="G432" s="17" t="str">
        <f t="shared" si="27"/>
        <v>10 Д</v>
      </c>
      <c r="H432" s="18">
        <f t="shared" si="19"/>
        <v>274</v>
      </c>
      <c r="I432" s="19" t="str">
        <f t="shared" si="2"/>
        <v/>
      </c>
      <c r="J432" s="20" t="str">
        <f t="shared" si="25"/>
        <v/>
      </c>
      <c r="K432" s="23">
        <v>2740.0</v>
      </c>
      <c r="L432" s="20"/>
      <c r="M432" s="23">
        <v>274.0</v>
      </c>
      <c r="N432" s="21"/>
      <c r="O432" s="22">
        <f>IFERROR(__xludf.DUMMYFUNCTION("IFERROR(
  VLOOKUP(C432,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C432
    ), 
    7, FALSE
  ), 
  """"
)
"),32200.0)</f>
        <v>32200</v>
      </c>
      <c r="P432" s="22">
        <f>IFERROR(__xludf.DUMMYFUNCTION("IF(AND(Q432="""", R432=""""),
  """",
  IF(OR(ISBLANK(Q432), ISBLANK(O432)),
    """",
    IF(VALUE(SUBSTITUTE(INDEX(SPLIT(IF(ISBLANK(R432), Q432, R432), "",""), 0, 1), "" Km"", """")) - O432 = 0,
      """",
      VALUE(SUBSTITUTE(INDEX(SPLIT(IF(ISBLANK("&amp;"R432), Q432, R432), "",""), 0, 1), "" Km"", """")) - O432
    )
  )
)"),-32200.0)</f>
        <v>-32200</v>
      </c>
      <c r="Q432" s="23" t="str">
        <f t="shared" si="4"/>
        <v>0 Km, 17.09.2025</v>
      </c>
      <c r="R432" s="20"/>
      <c r="S432" s="41">
        <v>3000.0</v>
      </c>
      <c r="T432" s="13">
        <v>2.0</v>
      </c>
      <c r="U432" s="13" t="s">
        <v>908</v>
      </c>
      <c r="V432" s="24"/>
      <c r="W432" s="24" t="str">
        <f t="shared" si="26"/>
        <v>Завершена</v>
      </c>
      <c r="X432" s="13" t="str">
        <f>IFERROR(__xludf.DUMMYFUNCTION("IF(C432 = """", """", IF(REGEXMATCH(C432, ""PCX|NMAX|ADV 150|CLICK""), ""скутер"", ""мото""))"),"скутер")</f>
        <v>скутер</v>
      </c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</row>
    <row r="433" hidden="1">
      <c r="A433" s="25" t="s">
        <v>24</v>
      </c>
      <c r="B433" s="25" t="s">
        <v>25</v>
      </c>
      <c r="C433" s="27" t="s">
        <v>77</v>
      </c>
      <c r="D433" s="27" t="s">
        <v>909</v>
      </c>
      <c r="E433" s="43">
        <v>45921.0</v>
      </c>
      <c r="F433" s="39">
        <v>45928.5</v>
      </c>
      <c r="G433" s="30" t="str">
        <f t="shared" si="27"/>
        <v>7 Д</v>
      </c>
      <c r="H433" s="31">
        <f t="shared" si="19"/>
        <v>277</v>
      </c>
      <c r="I433" s="32" t="str">
        <f t="shared" si="2"/>
        <v/>
      </c>
      <c r="J433" s="33" t="str">
        <f t="shared" si="25"/>
        <v/>
      </c>
      <c r="K433" s="36">
        <v>1900.0</v>
      </c>
      <c r="L433" s="33"/>
      <c r="M433" s="36">
        <v>277.0</v>
      </c>
      <c r="N433" s="34"/>
      <c r="O433" s="35">
        <f>IFERROR(__xludf.DUMMYFUNCTION("IFERROR(
  VLOOKUP(C433,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C433
    ), 
    7, FALSE
  ), 
  """"
)
"),37300.0)</f>
        <v>37300</v>
      </c>
      <c r="P433" s="35">
        <f>IFERROR(__xludf.DUMMYFUNCTION("IF(AND(Q433="""", R433=""""),
  """",
  IF(OR(ISBLANK(Q433), ISBLANK(O433)),
    """",
    IF(VALUE(SUBSTITUTE(INDEX(SPLIT(IF(ISBLANK(R433), Q433, R433), "",""), 0, 1), "" Km"", """")) - O433 = 0,
      """",
      VALUE(SUBSTITUTE(INDEX(SPLIT(IF(ISBLANK("&amp;"R433), Q433, R433), "",""), 0, 1), "" Km"", """")) - O433
    )
  )
)"),-37300.0)</f>
        <v>-37300</v>
      </c>
      <c r="Q433" s="36" t="str">
        <f t="shared" si="4"/>
        <v>0 Km, 21.09.2025</v>
      </c>
      <c r="R433" s="33"/>
      <c r="S433" s="40">
        <v>3000.0</v>
      </c>
      <c r="T433" s="25">
        <v>2.0</v>
      </c>
      <c r="U433" s="25" t="s">
        <v>910</v>
      </c>
      <c r="V433" s="37"/>
      <c r="W433" s="37" t="str">
        <f t="shared" si="26"/>
        <v>Завершена</v>
      </c>
      <c r="X433" s="25" t="str">
        <f>IFERROR(__xludf.DUMMYFUNCTION("IF(C433 = """", """", IF(REGEXMATCH(C433, ""PCX|NMAX|ADV 150|CLICK""), ""скутер"", ""мото""))"),"скутер")</f>
        <v>скутер</v>
      </c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</row>
    <row r="434" hidden="1">
      <c r="A434" s="13" t="s">
        <v>24</v>
      </c>
      <c r="B434" s="13" t="s">
        <v>25</v>
      </c>
      <c r="C434" s="14" t="s">
        <v>56</v>
      </c>
      <c r="D434" s="14" t="s">
        <v>911</v>
      </c>
      <c r="E434" s="48">
        <v>45941.0</v>
      </c>
      <c r="F434" s="38">
        <v>45949.5</v>
      </c>
      <c r="G434" s="17" t="str">
        <f t="shared" si="27"/>
        <v>8 Д</v>
      </c>
      <c r="H434" s="18">
        <f t="shared" si="19"/>
        <v>272</v>
      </c>
      <c r="I434" s="19" t="str">
        <f t="shared" si="2"/>
        <v/>
      </c>
      <c r="J434" s="20" t="str">
        <f t="shared" si="25"/>
        <v/>
      </c>
      <c r="K434" s="23">
        <f>2176+1088</f>
        <v>3264</v>
      </c>
      <c r="L434" s="20"/>
      <c r="M434" s="23">
        <v>272.0</v>
      </c>
      <c r="N434" s="21"/>
      <c r="O434" s="22">
        <f>IFERROR(__xludf.DUMMYFUNCTION("IFERROR(
  VLOOKUP(C434,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C434
    ), 
    7, FALSE
  ), 
  """"
)
"),36400.0)</f>
        <v>36400</v>
      </c>
      <c r="P434" s="22">
        <f>IFERROR(__xludf.DUMMYFUNCTION("IF(AND(Q434="""", R434=""""),
  """",
  IF(OR(ISBLANK(Q434), ISBLANK(O434)),
    """",
    IF(VALUE(SUBSTITUTE(INDEX(SPLIT(IF(ISBLANK(R434), Q434, R434), "",""), 0, 1), "" Km"", """")) - O434 = 0,
      """",
      VALUE(SUBSTITUTE(INDEX(SPLIT(IF(ISBLANK("&amp;"R434), Q434, R434), "",""), 0, 1), "" Km"", """")) - O434
    )
  )
)"),-36400.0)</f>
        <v>-36400</v>
      </c>
      <c r="Q434" s="23" t="str">
        <f t="shared" si="4"/>
        <v>0 Km, 11.10.2025</v>
      </c>
      <c r="R434" s="20"/>
      <c r="S434" s="41" t="s">
        <v>912</v>
      </c>
      <c r="T434" s="13">
        <v>1.0</v>
      </c>
      <c r="U434" s="13" t="s">
        <v>913</v>
      </c>
      <c r="V434" s="24"/>
      <c r="W434" s="24" t="str">
        <f t="shared" si="26"/>
        <v>Завершена</v>
      </c>
      <c r="X434" s="13" t="str">
        <f>IFERROR(__xludf.DUMMYFUNCTION("IF(C434 = """", """", IF(REGEXMATCH(C434, ""PCX|NMAX|ADV 150|CLICK""), ""скутер"", ""мото""))"),"скутер")</f>
        <v>скутер</v>
      </c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</row>
    <row r="435" hidden="1">
      <c r="A435" s="25" t="s">
        <v>24</v>
      </c>
      <c r="B435" s="25" t="s">
        <v>25</v>
      </c>
      <c r="C435" s="27" t="s">
        <v>914</v>
      </c>
      <c r="D435" s="27" t="s">
        <v>915</v>
      </c>
      <c r="E435" s="43">
        <v>45934.0</v>
      </c>
      <c r="F435" s="39">
        <v>45948.541666666664</v>
      </c>
      <c r="G435" s="30" t="str">
        <f t="shared" si="27"/>
        <v>14 Д</v>
      </c>
      <c r="H435" s="31">
        <f t="shared" si="19"/>
        <v>1500</v>
      </c>
      <c r="I435" s="32" t="str">
        <f t="shared" si="2"/>
        <v/>
      </c>
      <c r="J435" s="33" t="str">
        <f t="shared" si="25"/>
        <v/>
      </c>
      <c r="K435" s="36">
        <f>7500+1300*10</f>
        <v>20500</v>
      </c>
      <c r="L435" s="33"/>
      <c r="M435" s="36">
        <v>1500.0</v>
      </c>
      <c r="N435" s="44">
        <v>15500.0</v>
      </c>
      <c r="O435" s="35">
        <f>IFERROR(__xludf.DUMMYFUNCTION("IFERROR(
  VLOOKUP(C435,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C435
    ), 
    7, FALSE
  ), 
  """"
)
"),17900.0)</f>
        <v>17900</v>
      </c>
      <c r="P435" s="35">
        <f>IFERROR(__xludf.DUMMYFUNCTION("IF(AND(Q435="""", R435=""""),
  """",
  IF(OR(ISBLANK(Q435), ISBLANK(O435)),
    """",
    IF(VALUE(SUBSTITUTE(INDEX(SPLIT(IF(ISBLANK(R435), Q435, R435), "",""), 0, 1), "" Km"", """")) - O435 = 0,
      """",
      VALUE(SUBSTITUTE(INDEX(SPLIT(IF(ISBLANK("&amp;"R435), Q435, R435), "",""), 0, 1), "" Km"", """")) - O435
    )
  )
)"),-2400.0)</f>
        <v>-2400</v>
      </c>
      <c r="Q435" s="36" t="str">
        <f t="shared" si="4"/>
        <v>15 500 Km, 04.10.2025</v>
      </c>
      <c r="R435" s="33"/>
      <c r="S435" s="40" t="s">
        <v>515</v>
      </c>
      <c r="T435" s="25">
        <v>1.0</v>
      </c>
      <c r="U435" s="25"/>
      <c r="V435" s="37"/>
      <c r="W435" s="37" t="str">
        <f t="shared" si="26"/>
        <v>Завершена</v>
      </c>
      <c r="X435" s="25" t="str">
        <f>IFERROR(__xludf.DUMMYFUNCTION("IF(C435 = """", """", IF(REGEXMATCH(C435, ""PCX|NMAX|ADV 150|CLICK""), ""скутер"", ""мото""))"),"мото")</f>
        <v>мото</v>
      </c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</row>
    <row r="436" hidden="1">
      <c r="A436" s="87" t="s">
        <v>24</v>
      </c>
      <c r="B436" s="88" t="s">
        <v>25</v>
      </c>
      <c r="C436" s="88" t="s">
        <v>916</v>
      </c>
      <c r="D436" s="88" t="s">
        <v>917</v>
      </c>
      <c r="E436" s="48">
        <v>45923.0</v>
      </c>
      <c r="F436" s="38">
        <v>45925.458333333336</v>
      </c>
      <c r="G436" s="89" t="str">
        <f t="shared" si="27"/>
        <v>2 Д</v>
      </c>
      <c r="H436" s="90">
        <f t="shared" si="19"/>
        <v>1400</v>
      </c>
      <c r="I436" s="91" t="str">
        <f t="shared" si="2"/>
        <v/>
      </c>
      <c r="J436" s="92" t="str">
        <f t="shared" si="25"/>
        <v/>
      </c>
      <c r="K436" s="93">
        <v>2800.0</v>
      </c>
      <c r="L436" s="94"/>
      <c r="M436" s="63">
        <v>1400.0</v>
      </c>
      <c r="N436" s="95"/>
      <c r="O436" s="96">
        <f>IFERROR(__xludf.DUMMYFUNCTION("IFERROR(
  VLOOKUP(C436,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C436
    ), 
    7, FALSE
  ), 
  """"
)
"),29300.0)</f>
        <v>29300</v>
      </c>
      <c r="P436" s="96">
        <f>IFERROR(__xludf.DUMMYFUNCTION("IF(AND(Q436="""", R436=""""),
  """",
  IF(OR(ISBLANK(Q436), ISBLANK(O436)),
    """",
    IF(VALUE(SUBSTITUTE(INDEX(SPLIT(IF(ISBLANK(R436), Q436, R436), "",""), 0, 1), "" Km"", """")) - O436 = 0,
      """",
      VALUE(SUBSTITUTE(INDEX(SPLIT(IF(ISBLANK("&amp;"R436), Q436, R436), "",""), 0, 1), "" Km"", """")) - O436
    )
  )
)"),-29300.0)</f>
        <v>-29300</v>
      </c>
      <c r="Q436" s="94" t="str">
        <f t="shared" si="4"/>
        <v>0 Km, 23.09.2025</v>
      </c>
      <c r="R436" s="97"/>
      <c r="S436" s="90">
        <v>13000.0</v>
      </c>
      <c r="T436" s="98">
        <v>2.0</v>
      </c>
      <c r="U436" s="98" t="s">
        <v>918</v>
      </c>
      <c r="V436" s="99"/>
      <c r="W436" s="98" t="str">
        <f t="shared" si="26"/>
        <v>Завершена</v>
      </c>
      <c r="X436" s="100" t="str">
        <f>IFERROR(__xludf.DUMMYFUNCTION("IF(C436 = """", """", IF(REGEXMATCH(C436, ""PCX|NMAX|ADV 150|CLICK""), ""скутер"", ""мото""))"),"мото")</f>
        <v>мото</v>
      </c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  <c r="AL436" s="101"/>
      <c r="AM436" s="101"/>
    </row>
    <row r="437" hidden="1">
      <c r="A437" s="25" t="s">
        <v>24</v>
      </c>
      <c r="B437" s="25" t="s">
        <v>25</v>
      </c>
      <c r="C437" s="27" t="s">
        <v>468</v>
      </c>
      <c r="D437" s="27" t="s">
        <v>919</v>
      </c>
      <c r="E437" s="43">
        <v>45945.0</v>
      </c>
      <c r="F437" s="39">
        <v>45954.625</v>
      </c>
      <c r="G437" s="30" t="str">
        <f t="shared" si="27"/>
        <v>9 Д</v>
      </c>
      <c r="H437" s="31">
        <f t="shared" si="19"/>
        <v>703</v>
      </c>
      <c r="I437" s="32" t="str">
        <f t="shared" si="2"/>
        <v/>
      </c>
      <c r="J437" s="33" t="str">
        <f t="shared" si="25"/>
        <v/>
      </c>
      <c r="K437" s="36">
        <v>6300.0</v>
      </c>
      <c r="L437" s="33"/>
      <c r="M437" s="36">
        <v>703.0</v>
      </c>
      <c r="N437" s="34"/>
      <c r="O437" s="35">
        <f>IFERROR(__xludf.DUMMYFUNCTION("IFERROR(
  VLOOKUP(C437,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C437
    ), 
    7, FALSE
  ), 
  """"
)
"),22200.0)</f>
        <v>22200</v>
      </c>
      <c r="P437" s="35">
        <f>IFERROR(__xludf.DUMMYFUNCTION("IF(AND(Q437="""", R437=""""),
  """",
  IF(OR(ISBLANK(Q437), ISBLANK(O437)),
    """",
    IF(VALUE(SUBSTITUTE(INDEX(SPLIT(IF(ISBLANK(R437), Q437, R437), "",""), 0, 1), "" Km"", """")) - O437 = 0,
      """",
      VALUE(SUBSTITUTE(INDEX(SPLIT(IF(ISBLANK("&amp;"R437), Q437, R437), "",""), 0, 1), "" Km"", """")) - O437
    )
  )
)"),-22200.0)</f>
        <v>-22200</v>
      </c>
      <c r="Q437" s="36" t="str">
        <f t="shared" si="4"/>
        <v>0 Km, 15.10.2025</v>
      </c>
      <c r="R437" s="33"/>
      <c r="S437" s="40">
        <v>10000.0</v>
      </c>
      <c r="T437" s="25">
        <v>2.0</v>
      </c>
      <c r="U437" s="25" t="s">
        <v>920</v>
      </c>
      <c r="V437" s="37"/>
      <c r="W437" s="37" t="str">
        <f t="shared" si="26"/>
        <v>Завершена</v>
      </c>
      <c r="X437" s="25" t="str">
        <f>IFERROR(__xludf.DUMMYFUNCTION("IF(C437 = """", """", IF(REGEXMATCH(C437, ""PCX|NMAX|ADV 150|CLICK""), ""скутер"", ""мото""))"),"мото")</f>
        <v>мото</v>
      </c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</row>
    <row r="438" hidden="1">
      <c r="A438" s="13" t="s">
        <v>24</v>
      </c>
      <c r="B438" s="13" t="s">
        <v>25</v>
      </c>
      <c r="C438" s="14" t="s">
        <v>44</v>
      </c>
      <c r="D438" s="14" t="s">
        <v>921</v>
      </c>
      <c r="E438" s="48">
        <v>45947.0</v>
      </c>
      <c r="F438" s="38">
        <v>45954.666666666664</v>
      </c>
      <c r="G438" s="17" t="str">
        <f t="shared" si="27"/>
        <v>7 Д</v>
      </c>
      <c r="H438" s="18">
        <f t="shared" si="19"/>
        <v>295</v>
      </c>
      <c r="I438" s="19" t="str">
        <f t="shared" si="2"/>
        <v/>
      </c>
      <c r="J438" s="20" t="str">
        <f t="shared" si="25"/>
        <v/>
      </c>
      <c r="K438" s="23">
        <v>2065.0</v>
      </c>
      <c r="L438" s="20"/>
      <c r="M438" s="23">
        <v>295.0</v>
      </c>
      <c r="N438" s="21"/>
      <c r="O438" s="22">
        <f>IFERROR(__xludf.DUMMYFUNCTION("IFERROR(
  VLOOKUP(C438,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C438
    ), 
    7, FALSE
  ), 
  """"
)
"),30800.0)</f>
        <v>30800</v>
      </c>
      <c r="P438" s="22">
        <f>IFERROR(__xludf.DUMMYFUNCTION("IF(AND(Q438="""", R438=""""),
  """",
  IF(OR(ISBLANK(Q438), ISBLANK(O438)),
    """",
    IF(VALUE(SUBSTITUTE(INDEX(SPLIT(IF(ISBLANK(R438), Q438, R438), "",""), 0, 1), "" Km"", """")) - O438 = 0,
      """",
      VALUE(SUBSTITUTE(INDEX(SPLIT(IF(ISBLANK("&amp;"R438), Q438, R438), "",""), 0, 1), "" Km"", """")) - O438
    )
  )
)"),-30800.0)</f>
        <v>-30800</v>
      </c>
      <c r="Q438" s="23" t="str">
        <f t="shared" si="4"/>
        <v>0 Km, 17.10.2025</v>
      </c>
      <c r="R438" s="20"/>
      <c r="S438" s="41">
        <v>3000.0</v>
      </c>
      <c r="T438" s="13">
        <v>1.0</v>
      </c>
      <c r="U438" s="13" t="s">
        <v>922</v>
      </c>
      <c r="V438" s="24"/>
      <c r="W438" s="24" t="str">
        <f t="shared" si="26"/>
        <v>Завершена</v>
      </c>
      <c r="X438" s="13" t="str">
        <f>IFERROR(__xludf.DUMMYFUNCTION("IF(C438 = """", """", IF(REGEXMATCH(C438, ""PCX|NMAX|ADV 150|CLICK""), ""скутер"", ""мото""))"),"скутер")</f>
        <v>скутер</v>
      </c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</row>
    <row r="439" hidden="1">
      <c r="A439" s="25" t="s">
        <v>24</v>
      </c>
      <c r="B439" s="25" t="s">
        <v>25</v>
      </c>
      <c r="C439" s="27" t="s">
        <v>923</v>
      </c>
      <c r="D439" s="27" t="s">
        <v>924</v>
      </c>
      <c r="E439" s="43">
        <v>45948.0</v>
      </c>
      <c r="F439" s="39">
        <v>45955.583333333336</v>
      </c>
      <c r="G439" s="30" t="str">
        <f t="shared" si="27"/>
        <v>7 Д</v>
      </c>
      <c r="H439" s="31">
        <f t="shared" si="19"/>
        <v>610</v>
      </c>
      <c r="I439" s="32" t="str">
        <f t="shared" si="2"/>
        <v/>
      </c>
      <c r="J439" s="33" t="str">
        <f t="shared" si="25"/>
        <v/>
      </c>
      <c r="K439" s="36">
        <f>604*7</f>
        <v>4228</v>
      </c>
      <c r="L439" s="33"/>
      <c r="M439" s="36">
        <v>610.0</v>
      </c>
      <c r="N439" s="34"/>
      <c r="O439" s="35">
        <f>IFERROR(__xludf.DUMMYFUNCTION("IFERROR(
  VLOOKUP(C439,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C439
    ), 
    7, FALSE
  ), 
  """"
)
"),25378.0)</f>
        <v>25378</v>
      </c>
      <c r="P439" s="35">
        <f>IFERROR(__xludf.DUMMYFUNCTION("IF(AND(Q439="""", R439=""""),
  """",
  IF(OR(ISBLANK(Q439), ISBLANK(O439)),
    """",
    IF(VALUE(SUBSTITUTE(INDEX(SPLIT(IF(ISBLANK(R439), Q439, R439), "",""), 0, 1), "" Km"", """")) - O439 = 0,
      """",
      VALUE(SUBSTITUTE(INDEX(SPLIT(IF(ISBLANK("&amp;"R439), Q439, R439), "",""), 0, 1), "" Km"", """")) - O439
    )
  )
)"),-25378.0)</f>
        <v>-25378</v>
      </c>
      <c r="Q439" s="36" t="str">
        <f t="shared" si="4"/>
        <v>0 Km, 18.10.2025</v>
      </c>
      <c r="R439" s="33"/>
      <c r="S439" s="40">
        <v>5000.0</v>
      </c>
      <c r="T439" s="25">
        <v>2.0</v>
      </c>
      <c r="U439" s="71" t="s">
        <v>925</v>
      </c>
      <c r="V439" s="37"/>
      <c r="W439" s="37" t="str">
        <f t="shared" si="26"/>
        <v>Завершена</v>
      </c>
      <c r="X439" s="25" t="str">
        <f>IFERROR(__xludf.DUMMYFUNCTION("IF(C439 = """", """", IF(REGEXMATCH(C439, ""PCX|NMAX|ADV 150|CLICK""), ""скутер"", ""мото""))"),"мото")</f>
        <v>мото</v>
      </c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</row>
    <row r="440" hidden="1">
      <c r="A440" s="13" t="s">
        <v>24</v>
      </c>
      <c r="B440" s="13" t="s">
        <v>25</v>
      </c>
      <c r="C440" s="14" t="s">
        <v>202</v>
      </c>
      <c r="D440" s="14" t="s">
        <v>926</v>
      </c>
      <c r="E440" s="48">
        <v>45950.0</v>
      </c>
      <c r="F440" s="38">
        <v>45955.666666666664</v>
      </c>
      <c r="G440" s="17" t="str">
        <f t="shared" si="27"/>
        <v>5 Д</v>
      </c>
      <c r="H440" s="18">
        <f t="shared" si="19"/>
        <v>483</v>
      </c>
      <c r="I440" s="19" t="str">
        <f t="shared" si="2"/>
        <v/>
      </c>
      <c r="J440" s="20" t="str">
        <f t="shared" si="25"/>
        <v/>
      </c>
      <c r="K440" s="23">
        <v>2415.0</v>
      </c>
      <c r="L440" s="20"/>
      <c r="M440" s="23">
        <v>483.0</v>
      </c>
      <c r="N440" s="21"/>
      <c r="O440" s="22">
        <f>IFERROR(__xludf.DUMMYFUNCTION("IFERROR(
  VLOOKUP(C440,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C440
    ), 
    7, FALSE
  ), 
  """"
)
"),30225.0)</f>
        <v>30225</v>
      </c>
      <c r="P440" s="22">
        <f>IFERROR(__xludf.DUMMYFUNCTION("IF(AND(Q440="""", R440=""""),
  """",
  IF(OR(ISBLANK(Q440), ISBLANK(O440)),
    """",
    IF(VALUE(SUBSTITUTE(INDEX(SPLIT(IF(ISBLANK(R440), Q440, R440), "",""), 0, 1), "" Km"", """")) - O440 = 0,
      """",
      VALUE(SUBSTITUTE(INDEX(SPLIT(IF(ISBLANK("&amp;"R440), Q440, R440), "",""), 0, 1), "" Km"", """")) - O440
    )
  )
)"),-30225.0)</f>
        <v>-30225</v>
      </c>
      <c r="Q440" s="23" t="str">
        <f t="shared" si="4"/>
        <v>0 Km, 20.10.2025</v>
      </c>
      <c r="R440" s="20"/>
      <c r="S440" s="41">
        <v>5000.0</v>
      </c>
      <c r="T440" s="13">
        <v>2.0</v>
      </c>
      <c r="U440" s="13" t="s">
        <v>927</v>
      </c>
      <c r="V440" s="24"/>
      <c r="W440" s="24" t="str">
        <f t="shared" si="26"/>
        <v>Завершена</v>
      </c>
      <c r="X440" s="13" t="str">
        <f>IFERROR(__xludf.DUMMYFUNCTION("IF(C440 = """", """", IF(REGEXMATCH(C440, ""PCX|NMAX|ADV 150|CLICK""), ""скутер"", ""мото""))"),"мото")</f>
        <v>мото</v>
      </c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</row>
    <row r="441" hidden="1">
      <c r="A441" s="25" t="s">
        <v>24</v>
      </c>
      <c r="B441" s="25" t="s">
        <v>25</v>
      </c>
      <c r="C441" s="27" t="s">
        <v>928</v>
      </c>
      <c r="D441" s="27" t="s">
        <v>929</v>
      </c>
      <c r="E441" s="43">
        <v>45947.0</v>
      </c>
      <c r="F441" s="39">
        <v>45956.875</v>
      </c>
      <c r="G441" s="30" t="str">
        <f t="shared" si="27"/>
        <v>9 Д</v>
      </c>
      <c r="H441" s="31">
        <f t="shared" si="19"/>
        <v>518</v>
      </c>
      <c r="I441" s="32" t="str">
        <f t="shared" si="2"/>
        <v/>
      </c>
      <c r="J441" s="33" t="str">
        <f t="shared" si="25"/>
        <v/>
      </c>
      <c r="K441" s="36">
        <v>4662.0</v>
      </c>
      <c r="L441" s="33"/>
      <c r="M441" s="36">
        <v>518.0</v>
      </c>
      <c r="N441" s="34"/>
      <c r="O441" s="35">
        <f>IFERROR(__xludf.DUMMYFUNCTION("IFERROR(
  VLOOKUP(C441,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C441
    ), 
    7, FALSE
  ), 
  """"
)
"),11000.0)</f>
        <v>11000</v>
      </c>
      <c r="P441" s="35">
        <f>IFERROR(__xludf.DUMMYFUNCTION("IF(AND(Q441="""", R441=""""),
  """",
  IF(OR(ISBLANK(Q441), ISBLANK(O441)),
    """",
    IF(VALUE(SUBSTITUTE(INDEX(SPLIT(IF(ISBLANK(R441), Q441, R441), "",""), 0, 1), "" Km"", """")) - O441 = 0,
      """",
      VALUE(SUBSTITUTE(INDEX(SPLIT(IF(ISBLANK("&amp;"R441), Q441, R441), "",""), 0, 1), "" Km"", """")) - O441
    )
  )
)"),-11000.0)</f>
        <v>-11000</v>
      </c>
      <c r="Q441" s="36" t="str">
        <f t="shared" si="4"/>
        <v>0 Km, 17.10.2025</v>
      </c>
      <c r="R441" s="33"/>
      <c r="S441" s="40">
        <v>5000.0</v>
      </c>
      <c r="T441" s="25">
        <v>2.0</v>
      </c>
      <c r="U441" s="25" t="s">
        <v>930</v>
      </c>
      <c r="V441" s="37"/>
      <c r="W441" s="37" t="str">
        <f t="shared" si="26"/>
        <v>Завершена</v>
      </c>
      <c r="X441" s="25" t="str">
        <f>IFERROR(__xludf.DUMMYFUNCTION("IF(C441 = """", """", IF(REGEXMATCH(C441, ""PCX|NMAX|ADV 150|CLICK""), ""скутер"", ""мото""))"),"мото")</f>
        <v>мото</v>
      </c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</row>
    <row r="442" hidden="1">
      <c r="A442" s="13" t="s">
        <v>24</v>
      </c>
      <c r="B442" s="13" t="s">
        <v>25</v>
      </c>
      <c r="C442" s="14" t="s">
        <v>48</v>
      </c>
      <c r="D442" s="14" t="s">
        <v>931</v>
      </c>
      <c r="E442" s="48">
        <v>45921.0</v>
      </c>
      <c r="F442" s="38">
        <v>45959.708333333336</v>
      </c>
      <c r="G442" s="17" t="str">
        <f t="shared" si="27"/>
        <v>38 Д</v>
      </c>
      <c r="H442" s="18">
        <f t="shared" si="19"/>
        <v>166.6666667</v>
      </c>
      <c r="I442" s="19" t="str">
        <f t="shared" si="2"/>
        <v/>
      </c>
      <c r="J442" s="20" t="str">
        <f t="shared" si="25"/>
        <v/>
      </c>
      <c r="K442" s="23">
        <f>5000+1167</f>
        <v>6167</v>
      </c>
      <c r="L442" s="23">
        <v>5000.0</v>
      </c>
      <c r="M442" s="20"/>
      <c r="N442" s="21"/>
      <c r="O442" s="22">
        <f>IFERROR(__xludf.DUMMYFUNCTION("IFERROR(
  VLOOKUP(C442,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C442
    ), 
    7, FALSE
  ), 
  """"
)
"),35800.0)</f>
        <v>35800</v>
      </c>
      <c r="P442" s="22">
        <f>IFERROR(__xludf.DUMMYFUNCTION("IF(AND(Q442="""", R442=""""),
  """",
  IF(OR(ISBLANK(Q442), ISBLANK(O442)),
    """",
    IF(VALUE(SUBSTITUTE(INDEX(SPLIT(IF(ISBLANK(R442), Q442, R442), "",""), 0, 1), "" Km"", """")) - O442 = 0,
      """",
      VALUE(SUBSTITUTE(INDEX(SPLIT(IF(ISBLANK("&amp;"R442), Q442, R442), "",""), 0, 1), "" Km"", """")) - O442
    )
  )
)"),-35800.0)</f>
        <v>-35800</v>
      </c>
      <c r="Q442" s="23" t="str">
        <f t="shared" si="4"/>
        <v>0 Km, 21.09.2025</v>
      </c>
      <c r="R442" s="20"/>
      <c r="S442" s="41">
        <v>3000.0</v>
      </c>
      <c r="T442" s="13">
        <v>2.0</v>
      </c>
      <c r="U442" s="66" t="s">
        <v>932</v>
      </c>
      <c r="V442" s="24"/>
      <c r="W442" s="24" t="str">
        <f t="shared" si="26"/>
        <v>Завершена</v>
      </c>
      <c r="X442" s="13" t="str">
        <f>IFERROR(__xludf.DUMMYFUNCTION("IF(C442 = """", """", IF(REGEXMATCH(C442, ""PCX|NMAX|ADV 150|CLICK""), ""скутер"", ""мото""))"),"скутер")</f>
        <v>скутер</v>
      </c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</row>
    <row r="443" hidden="1">
      <c r="A443" s="25" t="s">
        <v>24</v>
      </c>
      <c r="B443" s="25" t="s">
        <v>25</v>
      </c>
      <c r="C443" s="27" t="s">
        <v>151</v>
      </c>
      <c r="D443" s="27" t="s">
        <v>933</v>
      </c>
      <c r="E443" s="43">
        <v>45929.0</v>
      </c>
      <c r="F443" s="39">
        <v>45934.625</v>
      </c>
      <c r="G443" s="30" t="str">
        <f t="shared" si="27"/>
        <v>5 Д</v>
      </c>
      <c r="H443" s="31">
        <f t="shared" si="19"/>
        <v>292</v>
      </c>
      <c r="I443" s="32" t="str">
        <f t="shared" si="2"/>
        <v/>
      </c>
      <c r="J443" s="33" t="str">
        <f t="shared" si="25"/>
        <v/>
      </c>
      <c r="K443" s="36">
        <v>1460.0</v>
      </c>
      <c r="L443" s="33"/>
      <c r="M443" s="36">
        <v>292.0</v>
      </c>
      <c r="N443" s="34"/>
      <c r="O443" s="35">
        <f>IFERROR(__xludf.DUMMYFUNCTION("IFERROR(
  VLOOKUP(C443,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C443
    ), 
    7, FALSE
  ), 
  """"
)
"),35800.0)</f>
        <v>35800</v>
      </c>
      <c r="P443" s="35">
        <f>IFERROR(__xludf.DUMMYFUNCTION("IF(AND(Q443="""", R443=""""),
  """",
  IF(OR(ISBLANK(Q443), ISBLANK(O443)),
    """",
    IF(VALUE(SUBSTITUTE(INDEX(SPLIT(IF(ISBLANK(R443), Q443, R443), "",""), 0, 1), "" Km"", """")) - O443 = 0,
      """",
      VALUE(SUBSTITUTE(INDEX(SPLIT(IF(ISBLANK("&amp;"R443), Q443, R443), "",""), 0, 1), "" Km"", """")) - O443
    )
  )
)"),-35800.0)</f>
        <v>-35800</v>
      </c>
      <c r="Q443" s="36" t="str">
        <f t="shared" si="4"/>
        <v>0 Km, 29.09.2025</v>
      </c>
      <c r="R443" s="33"/>
      <c r="S443" s="40">
        <v>3000.0</v>
      </c>
      <c r="T443" s="25">
        <v>2.0</v>
      </c>
      <c r="U443" s="25" t="s">
        <v>934</v>
      </c>
      <c r="V443" s="37"/>
      <c r="W443" s="37" t="str">
        <f t="shared" si="26"/>
        <v>Завершена</v>
      </c>
      <c r="X443" s="25" t="str">
        <f>IFERROR(__xludf.DUMMYFUNCTION("IF(C443 = """", """", IF(REGEXMATCH(C443, ""PCX|NMAX|ADV 150|CLICK""), ""скутер"", ""мото""))"),"скутер")</f>
        <v>скутер</v>
      </c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</row>
    <row r="444" hidden="1">
      <c r="A444" s="13" t="s">
        <v>24</v>
      </c>
      <c r="B444" s="13" t="s">
        <v>25</v>
      </c>
      <c r="C444" s="14" t="s">
        <v>102</v>
      </c>
      <c r="D444" s="14" t="s">
        <v>231</v>
      </c>
      <c r="E444" s="48" t="s">
        <v>935</v>
      </c>
      <c r="F444" s="102">
        <v>36892.0</v>
      </c>
      <c r="G444" s="17" t="str">
        <f t="shared" ref="G444:G446" si="28">IF((E444="")+(F444=""), "", IF(DATEDIF(E444, F444, "d") &gt; 30, DATEDIF(E444, F444, "m") &amp; " М", DATEDIF(E444, F444, "d") &amp; " Д"))
</f>
        <v>#VALUE!</v>
      </c>
      <c r="H444" s="41"/>
      <c r="I444" s="19" t="str">
        <f t="shared" si="2"/>
        <v/>
      </c>
      <c r="J444" s="20" t="str">
        <f t="shared" si="25"/>
        <v/>
      </c>
      <c r="K444" s="23"/>
      <c r="L444" s="23"/>
      <c r="M444" s="23"/>
      <c r="N444" s="49"/>
      <c r="O444" s="22">
        <f>IFERROR(__xludf.DUMMYFUNCTION("IFERROR(
  VLOOKUP(C444,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C444
    ), 
    7, FALSE
  ), 
  """"
)
"),63700.0)</f>
        <v>63700</v>
      </c>
      <c r="P444" s="22" t="str">
        <f>IFERROR(__xludf.DUMMYFUNCTION("IF(OR(ISBLANK(Q444), ISBLANK(O444), VALUE(SUBSTITUTE(INDEX(SPLIT(IF(ISBLANK(R444), Q444, R444), "" km""), 0, 1), "" "", """")) - O444 = 0), """", IF(ISBLANK(R444), VALUE(SUBSTITUTE(INDEX(SPLIT(Q444, "" km""), 0, 1), "" "", """")) - O444, VALUE(SUBSTITUTE("&amp;"INDEX(SPLIT(R444, "" km""), 0, 1), "" "", """")) - O444))"),"#VALUE!")</f>
        <v>#VALUE!</v>
      </c>
      <c r="Q444" s="23" t="str">
        <f t="shared" si="4"/>
        <v>депозит 6000 на март -1200 икср -1500 икср900 -100 бенз -200 шлем</v>
      </c>
      <c r="R444" s="23" t="s">
        <v>936</v>
      </c>
      <c r="S444" s="41"/>
      <c r="T444" s="50">
        <v>2.0</v>
      </c>
      <c r="U444" s="42" t="s">
        <v>232</v>
      </c>
      <c r="V444" s="13" t="s">
        <v>233</v>
      </c>
      <c r="W444" s="24" t="str">
        <f t="shared" si="26"/>
        <v>#VALUE!</v>
      </c>
      <c r="X444" s="13" t="str">
        <f>IFERROR(__xludf.DUMMYFUNCTION("IF(C444 = """", """", IF(REGEXMATCH(C444, ""PCX|NMAX|ADV|CLICK""), ""скутер"", ""мото""))"),"мото")</f>
        <v>мото</v>
      </c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</row>
    <row r="445" hidden="1">
      <c r="A445" s="54" t="s">
        <v>24</v>
      </c>
      <c r="B445" s="25" t="s">
        <v>25</v>
      </c>
      <c r="C445" s="26" t="s">
        <v>32</v>
      </c>
      <c r="D445" s="27" t="s">
        <v>307</v>
      </c>
      <c r="E445" s="28"/>
      <c r="F445" s="51">
        <v>36892.0</v>
      </c>
      <c r="G445" s="30" t="str">
        <f t="shared" si="28"/>
        <v/>
      </c>
      <c r="H445" s="40">
        <v>700.0</v>
      </c>
      <c r="I445" s="32" t="str">
        <f t="shared" si="2"/>
        <v/>
      </c>
      <c r="J445" s="33" t="str">
        <f t="shared" si="25"/>
        <v/>
      </c>
      <c r="K445" s="36">
        <v>700.0</v>
      </c>
      <c r="L445" s="36"/>
      <c r="M445" s="36"/>
      <c r="N445" s="34"/>
      <c r="O445" s="35">
        <f>IFERROR(__xludf.DUMMYFUNCTION("IFERROR(
  VLOOKUP(C445,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C445
    ), 
    7, FALSE
  ), 
  """"
)
"),38640.0)</f>
        <v>38640</v>
      </c>
      <c r="P445" s="35" t="str">
        <f>IFERROR(__xludf.DUMMYFUNCTION("IF(OR(ISBLANK(Q445), ISBLANK(O445), VALUE(SUBSTITUTE(INDEX(SPLIT(IF(ISBLANK(R445), Q445, R445), "" km""), 0, 1), "" "", """")) - O445 = 0), """", IF(ISBLANK(R445), VALUE(SUBSTITUTE(INDEX(SPLIT(Q445, "" km""), 0, 1), "" "", """")) - O445, VALUE(SUBSTITUTE("&amp;"INDEX(SPLIT(R445, "" km""), 0, 1), "" "", """")) - O445))"),"#VALUE!")</f>
        <v>#VALUE!</v>
      </c>
      <c r="Q445" s="36" t="str">
        <f t="shared" si="4"/>
        <v/>
      </c>
      <c r="R445" s="33"/>
      <c r="S445" s="40">
        <v>5000.0</v>
      </c>
      <c r="T445" s="32"/>
      <c r="U445" s="46" t="s">
        <v>0</v>
      </c>
      <c r="V445" s="25" t="s">
        <v>308</v>
      </c>
      <c r="W445" s="37" t="str">
        <f t="shared" si="26"/>
        <v>#VALUE!</v>
      </c>
      <c r="X445" s="25" t="str">
        <f>IFERROR(__xludf.DUMMYFUNCTION("IF(C445 = """", """", IF(REGEXMATCH(C445, ""PCX|NMAX|ADV|CLICK""), ""скутер"", ""мото""))"),"мото")</f>
        <v>мото</v>
      </c>
      <c r="Y445" s="25"/>
      <c r="Z445" s="25"/>
      <c r="AA445" s="25" t="str">
        <f>IF(
  TRIM(E445) = "",
  ,
  DATEVALUE(TRIM(E445))
)
</f>
        <v/>
      </c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</row>
    <row r="446" ht="36.0" hidden="1" customHeight="1">
      <c r="A446" s="13" t="s">
        <v>24</v>
      </c>
      <c r="B446" s="13" t="s">
        <v>25</v>
      </c>
      <c r="C446" s="14" t="s">
        <v>37</v>
      </c>
      <c r="D446" s="14" t="s">
        <v>937</v>
      </c>
      <c r="E446" s="15"/>
      <c r="F446" s="102">
        <v>36892.0</v>
      </c>
      <c r="G446" s="17" t="str">
        <f t="shared" si="28"/>
        <v/>
      </c>
      <c r="H446" s="41">
        <v>700.0</v>
      </c>
      <c r="I446" s="19" t="str">
        <f t="shared" si="2"/>
        <v/>
      </c>
      <c r="J446" s="20" t="str">
        <f t="shared" si="25"/>
        <v/>
      </c>
      <c r="K446" s="23">
        <v>1500.0</v>
      </c>
      <c r="L446" s="23"/>
      <c r="M446" s="23"/>
      <c r="N446" s="21"/>
      <c r="O446" s="22" t="str">
        <f>IFERROR(__xludf.DUMMYFUNCTION("IFERROR(
  VLOOKUP(C446,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C446
    ), 
    7, FALSE
  ), 
  """"
)
"),"")</f>
        <v/>
      </c>
      <c r="P446" s="22" t="str">
        <f>IFERROR(__xludf.DUMMYFUNCTION("IF(OR(ISBLANK(Q446), ISBLANK(O446), VALUE(SUBSTITUTE(INDEX(SPLIT(IF(ISBLANK(R446), Q446, R446), "" km""), 0, 1), "" "", """")) - O446 = 0), """", IF(ISBLANK(R446), VALUE(SUBSTITUTE(INDEX(SPLIT(Q446, "" km""), 0, 1), "" "", """")) - O446, VALUE(SUBSTITUTE("&amp;"INDEX(SPLIT(R446, "" km""), 0, 1), "" "", """")) - O446))"),"#VALUE!")</f>
        <v>#VALUE!</v>
      </c>
      <c r="Q446" s="23" t="str">
        <f t="shared" si="4"/>
        <v/>
      </c>
      <c r="R446" s="20"/>
      <c r="S446" s="18"/>
      <c r="T446" s="19"/>
      <c r="U446" s="17" t="s">
        <v>0</v>
      </c>
      <c r="V446" s="17"/>
      <c r="W446" s="24" t="str">
        <f t="shared" si="26"/>
        <v>#VALUE!</v>
      </c>
      <c r="X446" s="13" t="str">
        <f>IFERROR(__xludf.DUMMYFUNCTION("IF(C446 = """", """", IF(REGEXMATCH(C446, ""PCX|NMAX|ADV|CLICK""), ""скутер"", ""мото""))"),"мото")</f>
        <v>мото</v>
      </c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</row>
    <row r="447" hidden="1">
      <c r="A447" s="25" t="s">
        <v>24</v>
      </c>
      <c r="B447" s="25" t="s">
        <v>25</v>
      </c>
      <c r="C447" s="60"/>
      <c r="D447" s="27" t="s">
        <v>938</v>
      </c>
      <c r="E447" s="43">
        <v>45664.0</v>
      </c>
      <c r="F447" s="39">
        <v>45672.5</v>
      </c>
      <c r="G447" s="30" t="str">
        <f t="shared" ref="G447:G455" si="29">IF((E447="")+(F447=""), "",DATEDIF(E447, F447, "d") &amp; " Д")
</f>
        <v>8 Д</v>
      </c>
      <c r="H447" s="31" t="str">
        <f t="shared" ref="H447:H453" si="30">IF(L447&lt;&gt;"", VALUE(L447)/30, IF(M447&lt;&gt;"", VALUE(M447)/1, ""))
</f>
        <v/>
      </c>
      <c r="I447" s="32" t="str">
        <f t="shared" si="2"/>
        <v/>
      </c>
      <c r="J447" s="33" t="str">
        <f t="shared" si="25"/>
        <v/>
      </c>
      <c r="K447" s="36">
        <v>0.0</v>
      </c>
      <c r="L447" s="33"/>
      <c r="M447" s="33"/>
      <c r="N447" s="34"/>
      <c r="O447" s="35" t="str">
        <f>IFERROR(__xludf.DUMMYFUNCTION("IFERROR(
  VLOOKUP(C447,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C447
    ), 
    7, FALSE
  ), 
  """"
)
"),"")</f>
        <v/>
      </c>
      <c r="P447" s="35" t="str">
        <f>IFERROR(__xludf.DUMMYFUNCTION("IF(AND(Q447="""", R447=""""),
  """",
  IF(OR(ISBLANK(Q447), ISBLANK(O447)),
    """",
    IF(VALUE(SUBSTITUTE(INDEX(SPLIT(IF(ISBLANK(R447), Q447, R447), "",""), 0, 1), "" Km"", """")) - O447 = 0,
      """",
      VALUE(SUBSTITUTE(INDEX(SPLIT(IF(ISBLANK("&amp;"R447), Q447, R447), "",""), 0, 1), "" Km"", """")) - O447
    )
  )
)"),"")</f>
        <v/>
      </c>
      <c r="Q447" s="36" t="str">
        <f t="shared" si="4"/>
        <v>0 Km, 07.01.2025</v>
      </c>
      <c r="R447" s="33"/>
      <c r="S447" s="31"/>
      <c r="T447" s="25">
        <v>1.0</v>
      </c>
      <c r="U447" s="25" t="s">
        <v>939</v>
      </c>
      <c r="V447" s="37"/>
      <c r="W447" s="37" t="str">
        <f t="shared" si="26"/>
        <v>Завершена</v>
      </c>
      <c r="X447" s="25" t="str">
        <f>IFERROR(__xludf.DUMMYFUNCTION("IF(C447 = """", """", IF(REGEXMATCH(C447, ""PCX|NMAX|ADV 150|CLICK""), ""скутер"", ""мото""))"),"")</f>
        <v/>
      </c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</row>
    <row r="448" hidden="1">
      <c r="A448" s="13" t="s">
        <v>24</v>
      </c>
      <c r="B448" s="13" t="s">
        <v>25</v>
      </c>
      <c r="C448" s="14" t="s">
        <v>914</v>
      </c>
      <c r="D448" s="14" t="s">
        <v>917</v>
      </c>
      <c r="E448" s="48">
        <v>45932.0</v>
      </c>
      <c r="F448" s="38">
        <v>45933.708333333336</v>
      </c>
      <c r="G448" s="17" t="str">
        <f t="shared" si="29"/>
        <v>1 Д</v>
      </c>
      <c r="H448" s="18">
        <f t="shared" si="30"/>
        <v>1700</v>
      </c>
      <c r="I448" s="19" t="str">
        <f t="shared" si="2"/>
        <v/>
      </c>
      <c r="J448" s="20" t="str">
        <f t="shared" si="25"/>
        <v/>
      </c>
      <c r="K448" s="23">
        <v>1700.0</v>
      </c>
      <c r="L448" s="20"/>
      <c r="M448" s="23">
        <v>1700.0</v>
      </c>
      <c r="N448" s="21"/>
      <c r="O448" s="22">
        <f>IFERROR(__xludf.DUMMYFUNCTION("IFERROR(
  VLOOKUP(C448,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C448
    ), 
    7, FALSE
  ), 
  """"
)
"),17900.0)</f>
        <v>17900</v>
      </c>
      <c r="P448" s="22">
        <f>IFERROR(__xludf.DUMMYFUNCTION("IF(AND(Q448="""", R448=""""),
  """",
  IF(OR(ISBLANK(Q448), ISBLANK(O448)),
    """",
    IF(VALUE(SUBSTITUTE(INDEX(SPLIT(IF(ISBLANK(R448), Q448, R448), "",""), 0, 1), "" Km"", """")) - O448 = 0,
      """",
      VALUE(SUBSTITUTE(INDEX(SPLIT(IF(ISBLANK("&amp;"R448), Q448, R448), "",""), 0, 1), "" Km"", """")) - O448
    )
  )
)"),-17900.0)</f>
        <v>-17900</v>
      </c>
      <c r="Q448" s="23" t="str">
        <f t="shared" si="4"/>
        <v>0 Km, 02.10.2025</v>
      </c>
      <c r="R448" s="20"/>
      <c r="S448" s="41">
        <v>0.0</v>
      </c>
      <c r="T448" s="13">
        <v>2.0</v>
      </c>
      <c r="U448" s="13" t="s">
        <v>940</v>
      </c>
      <c r="V448" s="24"/>
      <c r="W448" s="24" t="str">
        <f t="shared" si="26"/>
        <v>Завершена</v>
      </c>
      <c r="X448" s="13" t="str">
        <f>IFERROR(__xludf.DUMMYFUNCTION("IF(C448 = """", """", IF(REGEXMATCH(C448, ""PCX|NMAX|ADV 150|CLICK""), ""скутер"", ""мото""))"),"мото")</f>
        <v>мото</v>
      </c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</row>
    <row r="449" hidden="1">
      <c r="A449" s="25" t="s">
        <v>24</v>
      </c>
      <c r="B449" s="25" t="s">
        <v>25</v>
      </c>
      <c r="C449" s="27" t="s">
        <v>941</v>
      </c>
      <c r="D449" s="27" t="s">
        <v>942</v>
      </c>
      <c r="E449" s="43">
        <v>45933.0</v>
      </c>
      <c r="F449" s="39">
        <v>45934.333333333336</v>
      </c>
      <c r="G449" s="30" t="str">
        <f t="shared" si="29"/>
        <v>1 Д</v>
      </c>
      <c r="H449" s="31">
        <f t="shared" si="30"/>
        <v>600</v>
      </c>
      <c r="I449" s="32" t="str">
        <f t="shared" si="2"/>
        <v/>
      </c>
      <c r="J449" s="33" t="str">
        <f t="shared" si="25"/>
        <v/>
      </c>
      <c r="K449" s="36">
        <v>600.0</v>
      </c>
      <c r="L449" s="33"/>
      <c r="M449" s="36">
        <v>600.0</v>
      </c>
      <c r="N449" s="34"/>
      <c r="O449" s="35">
        <f>IFERROR(__xludf.DUMMYFUNCTION("IFERROR(
  VLOOKUP(C449,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C449
    ), 
    7, FALSE
  ), 
  """"
)
"),18302.0)</f>
        <v>18302</v>
      </c>
      <c r="P449" s="35">
        <f>IFERROR(__xludf.DUMMYFUNCTION("IF(AND(Q449="""", R449=""""),
  """",
  IF(OR(ISBLANK(Q449), ISBLANK(O449)),
    """",
    IF(VALUE(SUBSTITUTE(INDEX(SPLIT(IF(ISBLANK(R449), Q449, R449), "",""), 0, 1), "" Km"", """")) - O449 = 0,
      """",
      VALUE(SUBSTITUTE(INDEX(SPLIT(IF(ISBLANK("&amp;"R449), Q449, R449), "",""), 0, 1), "" Km"", """")) - O449
    )
  )
)"),-18302.0)</f>
        <v>-18302</v>
      </c>
      <c r="Q449" s="36" t="str">
        <f t="shared" si="4"/>
        <v>0 Km, 03.10.2025</v>
      </c>
      <c r="R449" s="33"/>
      <c r="S449" s="40">
        <v>200.0</v>
      </c>
      <c r="T449" s="37"/>
      <c r="U449" s="25" t="s">
        <v>516</v>
      </c>
      <c r="V449" s="37"/>
      <c r="W449" s="37" t="str">
        <f t="shared" si="26"/>
        <v>Завершена</v>
      </c>
      <c r="X449" s="25" t="str">
        <f>IFERROR(__xludf.DUMMYFUNCTION("IF(C449 = """", """", IF(REGEXMATCH(C449, ""PCX|NMAX|ADV 150|CLICK""), ""скутер"", ""мото""))"),"мото")</f>
        <v>мото</v>
      </c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</row>
    <row r="450" hidden="1">
      <c r="A450" s="13" t="s">
        <v>24</v>
      </c>
      <c r="B450" s="13" t="s">
        <v>25</v>
      </c>
      <c r="C450" s="14" t="s">
        <v>77</v>
      </c>
      <c r="D450" s="14" t="s">
        <v>943</v>
      </c>
      <c r="E450" s="48">
        <v>45934.0</v>
      </c>
      <c r="F450" s="38">
        <v>45941.5</v>
      </c>
      <c r="G450" s="17" t="str">
        <f t="shared" si="29"/>
        <v>7 Д</v>
      </c>
      <c r="H450" s="18">
        <f t="shared" si="30"/>
        <v>274</v>
      </c>
      <c r="I450" s="19" t="str">
        <f t="shared" si="2"/>
        <v/>
      </c>
      <c r="J450" s="20" t="str">
        <f t="shared" si="25"/>
        <v/>
      </c>
      <c r="K450" s="23">
        <v>1918.0</v>
      </c>
      <c r="L450" s="20"/>
      <c r="M450" s="23">
        <v>274.0</v>
      </c>
      <c r="N450" s="21"/>
      <c r="O450" s="22">
        <f>IFERROR(__xludf.DUMMYFUNCTION("IFERROR(
  VLOOKUP(C450,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C450
    ), 
    7, FALSE
  ), 
  """"
)
"),37300.0)</f>
        <v>37300</v>
      </c>
      <c r="P450" s="22">
        <f>IFERROR(__xludf.DUMMYFUNCTION("IF(AND(Q450="""", R450=""""),
  """",
  IF(OR(ISBLANK(Q450), ISBLANK(O450)),
    """",
    IF(VALUE(SUBSTITUTE(INDEX(SPLIT(IF(ISBLANK(R450), Q450, R450), "",""), 0, 1), "" Km"", """")) - O450 = 0,
      """",
      VALUE(SUBSTITUTE(INDEX(SPLIT(IF(ISBLANK("&amp;"R450), Q450, R450), "",""), 0, 1), "" Km"", """")) - O450
    )
  )
)"),-37300.0)</f>
        <v>-37300</v>
      </c>
      <c r="Q450" s="23" t="str">
        <f t="shared" si="4"/>
        <v>0 Km, 04.10.2025</v>
      </c>
      <c r="R450" s="20"/>
      <c r="S450" s="41">
        <v>3000.0</v>
      </c>
      <c r="T450" s="13">
        <v>1.0</v>
      </c>
      <c r="U450" s="13" t="s">
        <v>944</v>
      </c>
      <c r="V450" s="24"/>
      <c r="W450" s="24" t="str">
        <f t="shared" si="26"/>
        <v>Завершена</v>
      </c>
      <c r="X450" s="13" t="str">
        <f>IFERROR(__xludf.DUMMYFUNCTION("IF(C450 = """", """", IF(REGEXMATCH(C450, ""PCX|NMAX|ADV 150|CLICK""), ""скутер"", ""мото""))"),"скутер")</f>
        <v>скутер</v>
      </c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</row>
    <row r="451" hidden="1">
      <c r="A451" s="25" t="s">
        <v>24</v>
      </c>
      <c r="B451" s="25" t="s">
        <v>25</v>
      </c>
      <c r="C451" s="27" t="s">
        <v>98</v>
      </c>
      <c r="D451" s="27" t="s">
        <v>945</v>
      </c>
      <c r="E451" s="43">
        <v>45934.0</v>
      </c>
      <c r="F451" s="39">
        <v>45941.5</v>
      </c>
      <c r="G451" s="30" t="str">
        <f t="shared" si="29"/>
        <v>7 Д</v>
      </c>
      <c r="H451" s="31">
        <f t="shared" si="30"/>
        <v>274</v>
      </c>
      <c r="I451" s="32" t="str">
        <f t="shared" si="2"/>
        <v/>
      </c>
      <c r="J451" s="33" t="str">
        <f t="shared" si="25"/>
        <v/>
      </c>
      <c r="K451" s="36">
        <v>1918.0</v>
      </c>
      <c r="L451" s="33"/>
      <c r="M451" s="36">
        <v>274.0</v>
      </c>
      <c r="N451" s="44">
        <v>34238.0</v>
      </c>
      <c r="O451" s="35">
        <f>IFERROR(__xludf.DUMMYFUNCTION("IFERROR(
  VLOOKUP(C451,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C451
    ), 
    7, FALSE
  ), 
  """"
)
"),32200.0)</f>
        <v>32200</v>
      </c>
      <c r="P451" s="35">
        <f>IFERROR(__xludf.DUMMYFUNCTION("IF(AND(Q451="""", R451=""""),
  """",
  IF(OR(ISBLANK(Q451), ISBLANK(O451)),
    """",
    IF(VALUE(SUBSTITUTE(INDEX(SPLIT(IF(ISBLANK(R451), Q451, R451), "",""), 0, 1), "" Km"", """")) - O451 = 0,
      """",
      VALUE(SUBSTITUTE(INDEX(SPLIT(IF(ISBLANK("&amp;"R451), Q451, R451), "",""), 0, 1), "" Km"", """")) - O451
    )
  )
)"),2038.0)</f>
        <v>2038</v>
      </c>
      <c r="Q451" s="36" t="str">
        <f t="shared" si="4"/>
        <v>34 238 Km, 04.10.2025</v>
      </c>
      <c r="R451" s="33"/>
      <c r="S451" s="40">
        <v>3000.0</v>
      </c>
      <c r="T451" s="25">
        <v>1.0</v>
      </c>
      <c r="U451" s="25" t="s">
        <v>944</v>
      </c>
      <c r="V451" s="37"/>
      <c r="W451" s="37" t="str">
        <f t="shared" si="26"/>
        <v>Завершена</v>
      </c>
      <c r="X451" s="25" t="str">
        <f>IFERROR(__xludf.DUMMYFUNCTION("IF(C451 = """", """", IF(REGEXMATCH(C451, ""PCX|NMAX|ADV 150|CLICK""), ""скутер"", ""мото""))"),"скутер")</f>
        <v>скутер</v>
      </c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</row>
    <row r="452" hidden="1">
      <c r="A452" s="13" t="s">
        <v>24</v>
      </c>
      <c r="B452" s="13" t="s">
        <v>25</v>
      </c>
      <c r="C452" s="14" t="s">
        <v>946</v>
      </c>
      <c r="D452" s="14" t="s">
        <v>947</v>
      </c>
      <c r="E452" s="48">
        <v>45926.0</v>
      </c>
      <c r="F452" s="38">
        <v>45971.458333333336</v>
      </c>
      <c r="G452" s="17" t="str">
        <f t="shared" si="29"/>
        <v>45 Д</v>
      </c>
      <c r="H452" s="18">
        <f t="shared" si="30"/>
        <v>330</v>
      </c>
      <c r="I452" s="19" t="str">
        <f t="shared" si="2"/>
        <v/>
      </c>
      <c r="J452" s="20" t="str">
        <f t="shared" si="25"/>
        <v/>
      </c>
      <c r="K452" s="23">
        <f>3000+6900+5000</f>
        <v>14900</v>
      </c>
      <c r="L452" s="23">
        <v>9900.0</v>
      </c>
      <c r="M452" s="20"/>
      <c r="N452" s="21"/>
      <c r="O452" s="22">
        <f>IFERROR(__xludf.DUMMYFUNCTION("IFERROR(
  VLOOKUP(C452,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C452
    ), 
    7, FALSE
  ), 
  """"
)
"),20400.0)</f>
        <v>20400</v>
      </c>
      <c r="P452" s="22">
        <f>IFERROR(__xludf.DUMMYFUNCTION("IF(AND(Q452="""", R452=""""),
  """",
  IF(OR(ISBLANK(Q452), ISBLANK(O452)),
    """",
    IF(VALUE(SUBSTITUTE(INDEX(SPLIT(IF(ISBLANK(R452), Q452, R452), "",""), 0, 1), "" Km"", """")) - O452 = 0,
      """",
      VALUE(SUBSTITUTE(INDEX(SPLIT(IF(ISBLANK("&amp;"R452), Q452, R452), "",""), 0, 1), "" Km"", """")) - O452
    )
  )
)"),-20400.0)</f>
        <v>-20400</v>
      </c>
      <c r="Q452" s="23" t="str">
        <f t="shared" si="4"/>
        <v>0 Km, 26.09.2025</v>
      </c>
      <c r="R452" s="20"/>
      <c r="S452" s="41">
        <v>13000.0</v>
      </c>
      <c r="T452" s="13">
        <v>2.0</v>
      </c>
      <c r="U452" s="13" t="s">
        <v>918</v>
      </c>
      <c r="V452" s="24"/>
      <c r="W452" s="24" t="str">
        <f t="shared" si="26"/>
        <v>Завершена</v>
      </c>
      <c r="X452" s="13" t="str">
        <f>IFERROR(__xludf.DUMMYFUNCTION("IF(C452 = """", """", IF(REGEXMATCH(C452, ""PCX|NMAX|ADV 150|CLICK""), ""скутер"", ""мото""))"),"мото")</f>
        <v>мото</v>
      </c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</row>
    <row r="453" hidden="1">
      <c r="A453" s="25" t="s">
        <v>24</v>
      </c>
      <c r="B453" s="25" t="s">
        <v>25</v>
      </c>
      <c r="C453" s="27" t="s">
        <v>948</v>
      </c>
      <c r="D453" s="27" t="s">
        <v>949</v>
      </c>
      <c r="E453" s="43">
        <v>45954.0</v>
      </c>
      <c r="F453" s="39">
        <v>45962.458333333336</v>
      </c>
      <c r="G453" s="30" t="str">
        <f t="shared" si="29"/>
        <v>8 Д</v>
      </c>
      <c r="H453" s="31">
        <f t="shared" si="30"/>
        <v>742</v>
      </c>
      <c r="I453" s="32" t="str">
        <f t="shared" si="2"/>
        <v/>
      </c>
      <c r="J453" s="33" t="str">
        <f t="shared" si="25"/>
        <v/>
      </c>
      <c r="K453" s="36">
        <v>5936.0</v>
      </c>
      <c r="L453" s="33"/>
      <c r="M453" s="36">
        <v>742.0</v>
      </c>
      <c r="N453" s="34"/>
      <c r="O453" s="35">
        <f>IFERROR(__xludf.DUMMYFUNCTION("IFERROR(
  VLOOKUP(C453,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C453
    ), 
    7, FALSE
  ), 
  """"
)
"),24553.0)</f>
        <v>24553</v>
      </c>
      <c r="P453" s="35">
        <f>IFERROR(__xludf.DUMMYFUNCTION("IF(AND(Q453="""", R453=""""),
  """",
  IF(OR(ISBLANK(Q453), ISBLANK(O453)),
    """",
    IF(VALUE(SUBSTITUTE(INDEX(SPLIT(IF(ISBLANK(R453), Q453, R453), "",""), 0, 1), "" Km"", """")) - O453 = 0,
      """",
      VALUE(SUBSTITUTE(INDEX(SPLIT(IF(ISBLANK("&amp;"R453), Q453, R453), "",""), 0, 1), "" Km"", """")) - O453
    )
  )
)"),-24553.0)</f>
        <v>-24553</v>
      </c>
      <c r="Q453" s="36" t="str">
        <f t="shared" si="4"/>
        <v>0 Km, 24.10.2025</v>
      </c>
      <c r="R453" s="33"/>
      <c r="S453" s="40">
        <v>5000.0</v>
      </c>
      <c r="T453" s="25">
        <v>2.0</v>
      </c>
      <c r="U453" s="25" t="s">
        <v>950</v>
      </c>
      <c r="V453" s="37"/>
      <c r="W453" s="37" t="str">
        <f t="shared" si="26"/>
        <v>Завершена</v>
      </c>
      <c r="X453" s="25" t="str">
        <f>IFERROR(__xludf.DUMMYFUNCTION("IF(C453 = """", """", IF(REGEXMATCH(C453, ""PCX|NMAX|ADV 150|CLICK""), ""скутер"", ""мото""))"),"мото")</f>
        <v>мото</v>
      </c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</row>
    <row r="454" hidden="1">
      <c r="A454" s="87" t="s">
        <v>24</v>
      </c>
      <c r="B454" s="88" t="s">
        <v>25</v>
      </c>
      <c r="C454" s="88" t="s">
        <v>106</v>
      </c>
      <c r="D454" s="103" t="s">
        <v>947</v>
      </c>
      <c r="E454" s="48">
        <v>45922.0</v>
      </c>
      <c r="F454" s="38">
        <v>45926.458333333336</v>
      </c>
      <c r="G454" s="89" t="str">
        <f t="shared" si="29"/>
        <v>4 Д</v>
      </c>
      <c r="H454" s="104">
        <v>167.0</v>
      </c>
      <c r="I454" s="91" t="str">
        <f t="shared" si="2"/>
        <v/>
      </c>
      <c r="J454" s="92" t="str">
        <f t="shared" si="25"/>
        <v/>
      </c>
      <c r="K454" s="93">
        <v>668.0</v>
      </c>
      <c r="L454" s="94"/>
      <c r="M454" s="63">
        <v>275.0</v>
      </c>
      <c r="N454" s="95"/>
      <c r="O454" s="96">
        <f>IFERROR(__xludf.DUMMYFUNCTION("IFERROR(
  VLOOKUP(C454,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C454
    ), 
    7, FALSE
  ), 
  """"
)
"),26000.0)</f>
        <v>26000</v>
      </c>
      <c r="P454" s="96">
        <f>IFERROR(__xludf.DUMMYFUNCTION("IF(AND(Q454="""", R454=""""),
  """",
  IF(OR(ISBLANK(Q454), ISBLANK(O454)),
    """",
    IF(VALUE(SUBSTITUTE(INDEX(SPLIT(IF(ISBLANK(R454), Q454, R454), "",""), 0, 1), "" Km"", """")) - O454 = 0,
      """",
      VALUE(SUBSTITUTE(INDEX(SPLIT(IF(ISBLANK("&amp;"R454), Q454, R454), "",""), 0, 1), "" Km"", """")) - O454
    )
  )
)"),-26000.0)</f>
        <v>-26000</v>
      </c>
      <c r="Q454" s="94" t="str">
        <f t="shared" si="4"/>
        <v>0 Km, 22.09.2025</v>
      </c>
      <c r="R454" s="97"/>
      <c r="S454" s="90">
        <v>13000.0</v>
      </c>
      <c r="T454" s="98">
        <v>2.0</v>
      </c>
      <c r="U454" s="98" t="s">
        <v>918</v>
      </c>
      <c r="V454" s="99"/>
      <c r="W454" s="98" t="str">
        <f t="shared" si="26"/>
        <v>Завершена</v>
      </c>
      <c r="X454" s="100" t="str">
        <f>IFERROR(__xludf.DUMMYFUNCTION("IF(C454 = """", """", IF(REGEXMATCH(C454, ""PCX|NMAX|ADV 150|CLICK""), ""скутер"", ""мото""))"),"скутер")</f>
        <v>скутер</v>
      </c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  <c r="AL454" s="101"/>
      <c r="AM454" s="101"/>
    </row>
    <row r="455" hidden="1">
      <c r="A455" s="25" t="s">
        <v>24</v>
      </c>
      <c r="B455" s="25" t="s">
        <v>25</v>
      </c>
      <c r="C455" s="27" t="s">
        <v>946</v>
      </c>
      <c r="D455" s="27" t="s">
        <v>947</v>
      </c>
      <c r="E455" s="43">
        <v>45884.0</v>
      </c>
      <c r="F455" s="39">
        <v>45922.458333333336</v>
      </c>
      <c r="G455" s="30" t="str">
        <f t="shared" si="29"/>
        <v>38 Д</v>
      </c>
      <c r="H455" s="31">
        <f t="shared" ref="H455:H466" si="31">IF(L455&lt;&gt;"", VALUE(L455)/30, IF(M455&lt;&gt;"", VALUE(M455)/1, ""))
</f>
        <v>330</v>
      </c>
      <c r="I455" s="32" t="str">
        <f t="shared" si="2"/>
        <v/>
      </c>
      <c r="J455" s="33" t="str">
        <f t="shared" si="25"/>
        <v/>
      </c>
      <c r="K455" s="36">
        <v>13400.0</v>
      </c>
      <c r="L455" s="36">
        <v>9900.0</v>
      </c>
      <c r="M455" s="33"/>
      <c r="N455" s="34"/>
      <c r="O455" s="35">
        <f>IFERROR(__xludf.DUMMYFUNCTION("IFERROR(
  VLOOKUP(C455,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C455
    ), 
    7, FALSE
  ), 
  """"
)
"),20400.0)</f>
        <v>20400</v>
      </c>
      <c r="P455" s="35">
        <f>IFERROR(__xludf.DUMMYFUNCTION("IF(AND(Q455="""", R455=""""),
  """",
  IF(OR(ISBLANK(Q455), ISBLANK(O455)),
    """",
    IF(VALUE(SUBSTITUTE(INDEX(SPLIT(IF(ISBLANK(R455), Q455, R455), "",""), 0, 1), "" Km"", """")) - O455 = 0,
      """",
      VALUE(SUBSTITUTE(INDEX(SPLIT(IF(ISBLANK("&amp;"R455), Q455, R455), "",""), 0, 1), "" Km"", """")) - O455
    )
  )
)"),-20400.0)</f>
        <v>-20400</v>
      </c>
      <c r="Q455" s="36" t="str">
        <f t="shared" si="4"/>
        <v>0 Km, 15.08.2025</v>
      </c>
      <c r="R455" s="33"/>
      <c r="S455" s="40">
        <v>13000.0</v>
      </c>
      <c r="T455" s="25">
        <v>2.0</v>
      </c>
      <c r="U455" s="25" t="s">
        <v>918</v>
      </c>
      <c r="V455" s="37"/>
      <c r="W455" s="37" t="str">
        <f t="shared" si="26"/>
        <v>Завершена</v>
      </c>
      <c r="X455" s="25" t="str">
        <f>IFERROR(__xludf.DUMMYFUNCTION("IF(C455 = """", """", IF(REGEXMATCH(C455, ""PCX|NMAX|ADV 150|CLICK""), ""скутер"", ""мото""))"),"мото")</f>
        <v>мото</v>
      </c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</row>
    <row r="456" hidden="1">
      <c r="A456" s="13" t="s">
        <v>24</v>
      </c>
      <c r="B456" s="14" t="s">
        <v>25</v>
      </c>
      <c r="C456" s="62" t="s">
        <v>483</v>
      </c>
      <c r="D456" s="105" t="s">
        <v>319</v>
      </c>
      <c r="E456" s="48">
        <v>45936.0</v>
      </c>
      <c r="F456" s="38">
        <v>45938.75</v>
      </c>
      <c r="G456" s="17" t="str">
        <f>IF((E456="")+(F456=""), "", IF(DATEDIF(E456, F456, "d") &gt; 30, DATEDIF(E456, F456, "m") &amp; " М", DATEDIF(E456, F456, "d") &amp; " Д"))
</f>
        <v>2 Д</v>
      </c>
      <c r="H456" s="18">
        <f t="shared" si="31"/>
        <v>1000</v>
      </c>
      <c r="I456" s="91" t="str">
        <f t="shared" si="2"/>
        <v/>
      </c>
      <c r="J456" s="92" t="str">
        <f t="shared" si="25"/>
        <v/>
      </c>
      <c r="K456" s="23">
        <v>2000.0</v>
      </c>
      <c r="L456" s="92"/>
      <c r="M456" s="106">
        <v>1000.0</v>
      </c>
      <c r="N456" s="49">
        <v>41500.0</v>
      </c>
      <c r="O456" s="22">
        <f>IFERROR(__xludf.DUMMYFUNCTION("IFERROR(
  VLOOKUP(C456,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C456
    ), 
    7, FALSE
  ), 
  """"
)
"),41500.0)</f>
        <v>41500</v>
      </c>
      <c r="P456" s="22">
        <f>IFERROR(__xludf.DUMMYFUNCTION("IF(AND(Q456="""", R456=""""),
  """",
  IF(OR(ISBLANK(Q456), ISBLANK(O456)),
    """",
    IF(VALUE(SUBSTITUTE(INDEX(SPLIT(IF(ISBLANK(R456), Q456, R456), "",""), 0, 1), "" Km"", """")) - O456 = 0,
      """",
      VALUE(SUBSTITUTE(INDEX(SPLIT(IF(ISBLANK("&amp;"R456), Q456, R456), "",""), 0, 1), "" Km"", """")) - O456
    )
  )
)"),-25600.0)</f>
        <v>-25600</v>
      </c>
      <c r="Q456" s="20" t="str">
        <f t="shared" si="4"/>
        <v>15900 Km, 18.09.2023</v>
      </c>
      <c r="R456" s="20" t="s">
        <v>482</v>
      </c>
      <c r="S456" s="18">
        <v>0.0</v>
      </c>
      <c r="T456" s="19">
        <v>2.0</v>
      </c>
      <c r="U456" s="24">
        <v>6.6825262344E10</v>
      </c>
      <c r="V456" s="24"/>
      <c r="W456" s="24" t="str">
        <f t="shared" si="26"/>
        <v>Завершена</v>
      </c>
      <c r="X456" s="42" t="str">
        <f>IFERROR(__xludf.DUMMYFUNCTION("IF(C456 = """", """", IF(REGEXMATCH(C456, ""PCX|NMAX|ADV|CLICK""), ""скутер"", ""мото""))"),"мото")</f>
        <v>мото</v>
      </c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7"/>
      <c r="AM456" s="107"/>
    </row>
    <row r="457" hidden="1">
      <c r="A457" s="25" t="s">
        <v>24</v>
      </c>
      <c r="B457" s="25" t="s">
        <v>25</v>
      </c>
      <c r="C457" s="27" t="s">
        <v>951</v>
      </c>
      <c r="D457" s="27" t="s">
        <v>949</v>
      </c>
      <c r="E457" s="43">
        <v>45954.0</v>
      </c>
      <c r="F457" s="39">
        <v>45962.625</v>
      </c>
      <c r="G457" s="30" t="str">
        <f t="shared" ref="G457:G589" si="32">IF((E457="")+(F457=""), "",DATEDIF(E457, F457, "d") &amp; " Д")
</f>
        <v>8 Д</v>
      </c>
      <c r="H457" s="31">
        <f t="shared" si="31"/>
        <v>698</v>
      </c>
      <c r="I457" s="32" t="str">
        <f t="shared" si="2"/>
        <v/>
      </c>
      <c r="J457" s="33" t="str">
        <f t="shared" si="25"/>
        <v/>
      </c>
      <c r="K457" s="36">
        <v>5584.0</v>
      </c>
      <c r="L457" s="33"/>
      <c r="M457" s="36">
        <v>698.0</v>
      </c>
      <c r="N457" s="34"/>
      <c r="O457" s="35">
        <f>IFERROR(__xludf.DUMMYFUNCTION("IFERROR(
  VLOOKUP(C457,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C457
    ), 
    7, FALSE
  ), 
  """"
)
"),21100.0)</f>
        <v>21100</v>
      </c>
      <c r="P457" s="35">
        <f>IFERROR(__xludf.DUMMYFUNCTION("IF(AND(Q457="""", R457=""""),
  """",
  IF(OR(ISBLANK(Q457), ISBLANK(O457)),
    """",
    IF(VALUE(SUBSTITUTE(INDEX(SPLIT(IF(ISBLANK(R457), Q457, R457), "",""), 0, 1), "" Km"", """")) - O457 = 0,
      """",
      VALUE(SUBSTITUTE(INDEX(SPLIT(IF(ISBLANK("&amp;"R457), Q457, R457), "",""), 0, 1), "" Km"", """")) - O457
    )
  )
)"),-21100.0)</f>
        <v>-21100</v>
      </c>
      <c r="Q457" s="36" t="str">
        <f t="shared" si="4"/>
        <v>0 Km, 24.10.2025</v>
      </c>
      <c r="R457" s="33"/>
      <c r="S457" s="40">
        <v>5000.0</v>
      </c>
      <c r="T457" s="25">
        <v>2.0</v>
      </c>
      <c r="U457" s="71" t="s">
        <v>952</v>
      </c>
      <c r="V457" s="37"/>
      <c r="W457" s="37" t="str">
        <f t="shared" si="26"/>
        <v>Завершена</v>
      </c>
      <c r="X457" s="25" t="str">
        <f>IFERROR(__xludf.DUMMYFUNCTION("IF(C457 = """", """", IF(REGEXMATCH(C457, ""PCX|NMAX|ADV 150|CLICK""), ""скутер"", ""мото""))"),"мото")</f>
        <v>мото</v>
      </c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</row>
    <row r="458" hidden="1">
      <c r="A458" s="13" t="s">
        <v>24</v>
      </c>
      <c r="B458" s="13" t="s">
        <v>25</v>
      </c>
      <c r="C458" s="14" t="s">
        <v>914</v>
      </c>
      <c r="D458" s="14" t="s">
        <v>953</v>
      </c>
      <c r="E458" s="48">
        <v>45731.0</v>
      </c>
      <c r="F458" s="38">
        <v>45732.541666666664</v>
      </c>
      <c r="G458" s="17" t="str">
        <f t="shared" si="32"/>
        <v>1 Д</v>
      </c>
      <c r="H458" s="18">
        <f t="shared" si="31"/>
        <v>2490</v>
      </c>
      <c r="I458" s="19" t="str">
        <f t="shared" si="2"/>
        <v/>
      </c>
      <c r="J458" s="20" t="str">
        <f t="shared" si="25"/>
        <v/>
      </c>
      <c r="K458" s="23">
        <v>2490.0</v>
      </c>
      <c r="L458" s="20"/>
      <c r="M458" s="23">
        <v>2490.0</v>
      </c>
      <c r="N458" s="21"/>
      <c r="O458" s="22">
        <f>IFERROR(__xludf.DUMMYFUNCTION("IFERROR(
  VLOOKUP(C458,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C458
    ), 
    7, FALSE
  ), 
  """"
)
"),17900.0)</f>
        <v>17900</v>
      </c>
      <c r="P458" s="22">
        <f>IFERROR(__xludf.DUMMYFUNCTION("IF(AND(Q458="""", R458=""""),
  """",
  IF(OR(ISBLANK(Q458), ISBLANK(O458)),
    """",
    IF(VALUE(SUBSTITUTE(INDEX(SPLIT(IF(ISBLANK(R458), Q458, R458), "",""), 0, 1), "" Km"", """")) - O458 = 0,
      """",
      VALUE(SUBSTITUTE(INDEX(SPLIT(IF(ISBLANK("&amp;"R458), Q458, R458), "",""), 0, 1), "" Km"", """")) - O458
    )
  )
)"),-17900.0)</f>
        <v>-17900</v>
      </c>
      <c r="Q458" s="23" t="str">
        <f t="shared" si="4"/>
        <v>0 Km, 15.03.2025</v>
      </c>
      <c r="R458" s="20"/>
      <c r="S458" s="41">
        <v>7000.0</v>
      </c>
      <c r="T458" s="13">
        <v>0.0</v>
      </c>
      <c r="U458" s="13" t="s">
        <v>954</v>
      </c>
      <c r="V458" s="24"/>
      <c r="W458" s="24" t="str">
        <f t="shared" si="26"/>
        <v>Завершена</v>
      </c>
      <c r="X458" s="13" t="str">
        <f>IFERROR(__xludf.DUMMYFUNCTION("IF(C458 = """", """", IF(REGEXMATCH(C458, ""PCX|NMAX|ADV 150|CLICK""), ""скутер"", ""мото""))"),"мото")</f>
        <v>мото</v>
      </c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</row>
    <row r="459" hidden="1">
      <c r="A459" s="25" t="s">
        <v>24</v>
      </c>
      <c r="B459" s="25" t="s">
        <v>25</v>
      </c>
      <c r="C459" s="60"/>
      <c r="D459" s="27" t="s">
        <v>955</v>
      </c>
      <c r="E459" s="43">
        <v>45748.0</v>
      </c>
      <c r="F459" s="39">
        <v>45753.583333333336</v>
      </c>
      <c r="G459" s="30" t="str">
        <f t="shared" si="32"/>
        <v>5 Д</v>
      </c>
      <c r="H459" s="31">
        <f t="shared" si="31"/>
        <v>300</v>
      </c>
      <c r="I459" s="32" t="str">
        <f t="shared" si="2"/>
        <v/>
      </c>
      <c r="J459" s="33" t="str">
        <f t="shared" si="25"/>
        <v/>
      </c>
      <c r="K459" s="36">
        <v>1500.0</v>
      </c>
      <c r="L459" s="33"/>
      <c r="M459" s="36">
        <v>300.0</v>
      </c>
      <c r="N459" s="34"/>
      <c r="O459" s="35" t="str">
        <f>IFERROR(__xludf.DUMMYFUNCTION("IFERROR(
  VLOOKUP(C459,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C459
    ), 
    7, FALSE
  ), 
  """"
)
"),"")</f>
        <v/>
      </c>
      <c r="P459" s="35" t="str">
        <f>IFERROR(__xludf.DUMMYFUNCTION("IF(AND(Q459="""", R459=""""),
  """",
  IF(OR(ISBLANK(Q459), ISBLANK(O459)),
    """",
    IF(VALUE(SUBSTITUTE(INDEX(SPLIT(IF(ISBLANK(R459), Q459, R459), "",""), 0, 1), "" Km"", """")) - O459 = 0,
      """",
      VALUE(SUBSTITUTE(INDEX(SPLIT(IF(ISBLANK("&amp;"R459), Q459, R459), "",""), 0, 1), "" Km"", """")) - O459
    )
  )
)"),"")</f>
        <v/>
      </c>
      <c r="Q459" s="36" t="str">
        <f t="shared" si="4"/>
        <v>0 Km, 01.04.2025</v>
      </c>
      <c r="R459" s="33"/>
      <c r="S459" s="40">
        <v>3000.0</v>
      </c>
      <c r="T459" s="25">
        <v>1.0</v>
      </c>
      <c r="U459" s="25" t="s">
        <v>956</v>
      </c>
      <c r="V459" s="37"/>
      <c r="W459" s="37" t="str">
        <f t="shared" si="26"/>
        <v>Завершена</v>
      </c>
      <c r="X459" s="25" t="str">
        <f>IFERROR(__xludf.DUMMYFUNCTION("IF(C459 = """", """", IF(REGEXMATCH(C459, ""PCX|NMAX|ADV 150|CLICK""), ""скутер"", ""мото""))"),"")</f>
        <v/>
      </c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</row>
    <row r="460" hidden="1">
      <c r="A460" s="13" t="s">
        <v>24</v>
      </c>
      <c r="B460" s="13" t="s">
        <v>25</v>
      </c>
      <c r="C460" s="62"/>
      <c r="D460" s="14" t="s">
        <v>957</v>
      </c>
      <c r="E460" s="48">
        <v>45748.0</v>
      </c>
      <c r="F460" s="38">
        <v>45753.583333333336</v>
      </c>
      <c r="G460" s="17" t="str">
        <f t="shared" si="32"/>
        <v>5 Д</v>
      </c>
      <c r="H460" s="18">
        <f t="shared" si="31"/>
        <v>300</v>
      </c>
      <c r="I460" s="19" t="str">
        <f t="shared" si="2"/>
        <v/>
      </c>
      <c r="J460" s="20" t="str">
        <f t="shared" si="25"/>
        <v/>
      </c>
      <c r="K460" s="23">
        <v>1500.0</v>
      </c>
      <c r="L460" s="20"/>
      <c r="M460" s="23">
        <v>300.0</v>
      </c>
      <c r="N460" s="21"/>
      <c r="O460" s="22" t="str">
        <f>IFERROR(__xludf.DUMMYFUNCTION("IFERROR(
  VLOOKUP(C460,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C460
    ), 
    7, FALSE
  ), 
  """"
)
"),"")</f>
        <v/>
      </c>
      <c r="P460" s="22" t="str">
        <f>IFERROR(__xludf.DUMMYFUNCTION("IF(AND(Q460="""", R460=""""),
  """",
  IF(OR(ISBLANK(Q460), ISBLANK(O460)),
    """",
    IF(VALUE(SUBSTITUTE(INDEX(SPLIT(IF(ISBLANK(R460), Q460, R460), "",""), 0, 1), "" Km"", """")) - O460 = 0,
      """",
      VALUE(SUBSTITUTE(INDEX(SPLIT(IF(ISBLANK("&amp;"R460), Q460, R460), "",""), 0, 1), "" Km"", """")) - O460
    )
  )
)"),"")</f>
        <v/>
      </c>
      <c r="Q460" s="23" t="str">
        <f t="shared" si="4"/>
        <v>0 Km, 01.04.2025</v>
      </c>
      <c r="R460" s="20"/>
      <c r="S460" s="41">
        <v>3000.0</v>
      </c>
      <c r="T460" s="13">
        <v>1.0</v>
      </c>
      <c r="U460" s="13" t="s">
        <v>956</v>
      </c>
      <c r="V460" s="24"/>
      <c r="W460" s="24" t="str">
        <f t="shared" si="26"/>
        <v>Завершена</v>
      </c>
      <c r="X460" s="13" t="str">
        <f>IFERROR(__xludf.DUMMYFUNCTION("IF(C460 = """", """", IF(REGEXMATCH(C460, ""PCX|NMAX|ADV 150|CLICK""), ""скутер"", ""мото""))"),"")</f>
        <v/>
      </c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</row>
    <row r="461" hidden="1">
      <c r="A461" s="25" t="s">
        <v>24</v>
      </c>
      <c r="B461" s="25" t="s">
        <v>25</v>
      </c>
      <c r="C461" s="27" t="s">
        <v>423</v>
      </c>
      <c r="D461" s="27" t="s">
        <v>958</v>
      </c>
      <c r="E461" s="43">
        <v>45756.0</v>
      </c>
      <c r="F461" s="39">
        <v>45758.541666666664</v>
      </c>
      <c r="G461" s="30" t="str">
        <f t="shared" si="32"/>
        <v>2 Д</v>
      </c>
      <c r="H461" s="31">
        <f t="shared" si="31"/>
        <v>700</v>
      </c>
      <c r="I461" s="32" t="str">
        <f t="shared" si="2"/>
        <v/>
      </c>
      <c r="J461" s="33" t="str">
        <f t="shared" si="25"/>
        <v/>
      </c>
      <c r="K461" s="36">
        <v>1400.0</v>
      </c>
      <c r="L461" s="33"/>
      <c r="M461" s="36">
        <v>700.0</v>
      </c>
      <c r="N461" s="34"/>
      <c r="O461" s="35" t="str">
        <f>IFERROR(__xludf.DUMMYFUNCTION("IFERROR(
  VLOOKUP(C461,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C461
    ), 
    7, FALSE
  ), 
  """"
)
"),"")</f>
        <v/>
      </c>
      <c r="P461" s="35" t="str">
        <f>IFERROR(__xludf.DUMMYFUNCTION("IF(AND(Q461="""", R461=""""),
  """",
  IF(OR(ISBLANK(Q461), ISBLANK(O461)),
    """",
    IF(VALUE(SUBSTITUTE(INDEX(SPLIT(IF(ISBLANK(R461), Q461, R461), "",""), 0, 1), "" Km"", """")) - O461 = 0,
      """",
      VALUE(SUBSTITUTE(INDEX(SPLIT(IF(ISBLANK("&amp;"R461), Q461, R461), "",""), 0, 1), "" Km"", """")) - O461
    )
  )
)"),"")</f>
        <v/>
      </c>
      <c r="Q461" s="36" t="str">
        <f t="shared" si="4"/>
        <v>0 Km, 09.04.2025</v>
      </c>
      <c r="R461" s="33"/>
      <c r="S461" s="40" t="s">
        <v>515</v>
      </c>
      <c r="T461" s="25">
        <v>2.0</v>
      </c>
      <c r="U461" s="25" t="s">
        <v>959</v>
      </c>
      <c r="V461" s="37"/>
      <c r="W461" s="37" t="str">
        <f t="shared" si="26"/>
        <v>Завершена</v>
      </c>
      <c r="X461" s="25" t="str">
        <f>IFERROR(__xludf.DUMMYFUNCTION("IF(C461 = """", """", IF(REGEXMATCH(C461, ""PCX|NMAX|ADV 150|CLICK""), ""скутер"", ""мото""))"),"мото")</f>
        <v>мото</v>
      </c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</row>
    <row r="462" hidden="1">
      <c r="A462" s="13" t="s">
        <v>24</v>
      </c>
      <c r="B462" s="13" t="s">
        <v>25</v>
      </c>
      <c r="C462" s="14" t="s">
        <v>960</v>
      </c>
      <c r="D462" s="14" t="s">
        <v>949</v>
      </c>
      <c r="E462" s="48">
        <v>45954.0</v>
      </c>
      <c r="F462" s="38">
        <v>45962.625</v>
      </c>
      <c r="G462" s="17" t="str">
        <f t="shared" si="32"/>
        <v>8 Д</v>
      </c>
      <c r="H462" s="18">
        <f t="shared" si="31"/>
        <v>698</v>
      </c>
      <c r="I462" s="19" t="str">
        <f t="shared" si="2"/>
        <v/>
      </c>
      <c r="J462" s="20" t="str">
        <f t="shared" si="25"/>
        <v/>
      </c>
      <c r="K462" s="23">
        <v>5584.0</v>
      </c>
      <c r="L462" s="20"/>
      <c r="M462" s="23">
        <v>698.0</v>
      </c>
      <c r="N462" s="21"/>
      <c r="O462" s="22">
        <f>IFERROR(__xludf.DUMMYFUNCTION("IFERROR(
  VLOOKUP(C462,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C462
    ), 
    7, FALSE
  ), 
  """"
)
"),20316.0)</f>
        <v>20316</v>
      </c>
      <c r="P462" s="22">
        <f>IFERROR(__xludf.DUMMYFUNCTION("IF(AND(Q462="""", R462=""""),
  """",
  IF(OR(ISBLANK(Q462), ISBLANK(O462)),
    """",
    IF(VALUE(SUBSTITUTE(INDEX(SPLIT(IF(ISBLANK(R462), Q462, R462), "",""), 0, 1), "" Km"", """")) - O462 = 0,
      """",
      VALUE(SUBSTITUTE(INDEX(SPLIT(IF(ISBLANK("&amp;"R462), Q462, R462), "",""), 0, 1), "" Km"", """")) - O462
    )
  )
)"),-20316.0)</f>
        <v>-20316</v>
      </c>
      <c r="Q462" s="23" t="str">
        <f t="shared" si="4"/>
        <v>0 Km, 24.10.2025</v>
      </c>
      <c r="R462" s="20"/>
      <c r="S462" s="41">
        <v>5000.0</v>
      </c>
      <c r="T462" s="13">
        <v>1.0</v>
      </c>
      <c r="U462" s="66" t="s">
        <v>952</v>
      </c>
      <c r="V462" s="24"/>
      <c r="W462" s="24" t="str">
        <f t="shared" si="26"/>
        <v>Завершена</v>
      </c>
      <c r="X462" s="13" t="str">
        <f>IFERROR(__xludf.DUMMYFUNCTION("IF(C462 = """", """", IF(REGEXMATCH(C462, ""PCX|NMAX|ADV 150|CLICK""), ""скутер"", ""мото""))"),"мото")</f>
        <v>мото</v>
      </c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</row>
    <row r="463" hidden="1">
      <c r="A463" s="25" t="s">
        <v>24</v>
      </c>
      <c r="B463" s="25" t="s">
        <v>25</v>
      </c>
      <c r="C463" s="27" t="s">
        <v>941</v>
      </c>
      <c r="D463" s="27" t="s">
        <v>961</v>
      </c>
      <c r="E463" s="43">
        <v>45956.0</v>
      </c>
      <c r="F463" s="39">
        <v>45963.541666666664</v>
      </c>
      <c r="G463" s="30" t="str">
        <f t="shared" si="32"/>
        <v>7 Д</v>
      </c>
      <c r="H463" s="31">
        <f t="shared" si="31"/>
        <v>657</v>
      </c>
      <c r="I463" s="32" t="str">
        <f t="shared" si="2"/>
        <v/>
      </c>
      <c r="J463" s="33" t="str">
        <f t="shared" si="25"/>
        <v/>
      </c>
      <c r="K463" s="36">
        <v>4599.0</v>
      </c>
      <c r="L463" s="33"/>
      <c r="M463" s="36">
        <v>657.0</v>
      </c>
      <c r="N463" s="34"/>
      <c r="O463" s="35">
        <f>IFERROR(__xludf.DUMMYFUNCTION("IFERROR(
  VLOOKUP(C463,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C463
    ), 
    7, FALSE
  ), 
  """"
)
"),18302.0)</f>
        <v>18302</v>
      </c>
      <c r="P463" s="35">
        <f>IFERROR(__xludf.DUMMYFUNCTION("IF(AND(Q463="""", R463=""""),
  """",
  IF(OR(ISBLANK(Q463), ISBLANK(O463)),
    """",
    IF(VALUE(SUBSTITUTE(INDEX(SPLIT(IF(ISBLANK(R463), Q463, R463), "",""), 0, 1), "" Km"", """")) - O463 = 0,
      """",
      VALUE(SUBSTITUTE(INDEX(SPLIT(IF(ISBLANK("&amp;"R463), Q463, R463), "",""), 0, 1), "" Km"", """")) - O463
    )
  )
)"),-18302.0)</f>
        <v>-18302</v>
      </c>
      <c r="Q463" s="36" t="str">
        <f t="shared" si="4"/>
        <v>0 Km, 26.10.2025</v>
      </c>
      <c r="R463" s="33"/>
      <c r="S463" s="40">
        <v>5000.0</v>
      </c>
      <c r="T463" s="25">
        <v>0.0</v>
      </c>
      <c r="U463" s="25" t="s">
        <v>962</v>
      </c>
      <c r="V463" s="37"/>
      <c r="W463" s="37" t="str">
        <f t="shared" si="26"/>
        <v>Завершена</v>
      </c>
      <c r="X463" s="25" t="str">
        <f>IFERROR(__xludf.DUMMYFUNCTION("IF(C463 = """", """", IF(REGEXMATCH(C463, ""PCX|NMAX|ADV 150|CLICK""), ""скутер"", ""мото""))"),"мото")</f>
        <v>мото</v>
      </c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</row>
    <row r="464" hidden="1">
      <c r="A464" s="13" t="s">
        <v>24</v>
      </c>
      <c r="B464" s="13" t="s">
        <v>25</v>
      </c>
      <c r="C464" s="14" t="s">
        <v>92</v>
      </c>
      <c r="D464" s="14" t="s">
        <v>963</v>
      </c>
      <c r="E464" s="48">
        <v>45954.0</v>
      </c>
      <c r="F464" s="38">
        <v>45964.583333333336</v>
      </c>
      <c r="G464" s="17" t="str">
        <f t="shared" si="32"/>
        <v>10 Д</v>
      </c>
      <c r="H464" s="18">
        <f t="shared" si="31"/>
        <v>647</v>
      </c>
      <c r="I464" s="19" t="str">
        <f t="shared" si="2"/>
        <v/>
      </c>
      <c r="J464" s="20" t="str">
        <f t="shared" si="25"/>
        <v/>
      </c>
      <c r="K464" s="23">
        <v>6470.0</v>
      </c>
      <c r="L464" s="20"/>
      <c r="M464" s="23">
        <v>647.0</v>
      </c>
      <c r="N464" s="49">
        <v>26800.0</v>
      </c>
      <c r="O464" s="22">
        <f>IFERROR(__xludf.DUMMYFUNCTION("IFERROR(
  VLOOKUP(C464,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C464
    ), 
    7, FALSE
  ), 
  """"
)
"),23500.0)</f>
        <v>23500</v>
      </c>
      <c r="P464" s="22">
        <f>IFERROR(__xludf.DUMMYFUNCTION("IF(AND(Q464="""", R464=""""),
  """",
  IF(OR(ISBLANK(Q464), ISBLANK(O464)),
    """",
    IF(VALUE(SUBSTITUTE(INDEX(SPLIT(IF(ISBLANK(R464), Q464, R464), "",""), 0, 1), "" Km"", """")) - O464 = 0,
      """",
      VALUE(SUBSTITUTE(INDEX(SPLIT(IF(ISBLANK("&amp;"R464), Q464, R464), "",""), 0, 1), "" Km"", """")) - O464
    )
  )
)"),3300.0)</f>
        <v>3300</v>
      </c>
      <c r="Q464" s="23" t="str">
        <f t="shared" si="4"/>
        <v>26 800 Km, 24.10.2025</v>
      </c>
      <c r="R464" s="20"/>
      <c r="S464" s="41">
        <v>5000.0</v>
      </c>
      <c r="T464" s="13">
        <v>1.0</v>
      </c>
      <c r="U464" s="66" t="s">
        <v>964</v>
      </c>
      <c r="V464" s="24"/>
      <c r="W464" s="24" t="str">
        <f t="shared" si="26"/>
        <v>Завершена</v>
      </c>
      <c r="X464" s="13" t="str">
        <f>IFERROR(__xludf.DUMMYFUNCTION("IF(C464 = """", """", IF(REGEXMATCH(C464, ""PCX|NMAX|ADV 150|CLICK""), ""скутер"", ""мото""))"),"мото")</f>
        <v>мото</v>
      </c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</row>
    <row r="465" hidden="1">
      <c r="A465" s="25" t="s">
        <v>24</v>
      </c>
      <c r="B465" s="25" t="s">
        <v>25</v>
      </c>
      <c r="C465" s="27" t="s">
        <v>483</v>
      </c>
      <c r="D465" s="27" t="s">
        <v>947</v>
      </c>
      <c r="E465" s="43">
        <v>45956.0</v>
      </c>
      <c r="F465" s="39">
        <v>45957.458333333336</v>
      </c>
      <c r="G465" s="30" t="str">
        <f t="shared" si="32"/>
        <v>1 Д</v>
      </c>
      <c r="H465" s="31">
        <f t="shared" si="31"/>
        <v>1000</v>
      </c>
      <c r="I465" s="32" t="str">
        <f t="shared" si="2"/>
        <v/>
      </c>
      <c r="J465" s="33" t="str">
        <f t="shared" si="25"/>
        <v/>
      </c>
      <c r="K465" s="36">
        <v>1000.0</v>
      </c>
      <c r="L465" s="36"/>
      <c r="M465" s="36">
        <v>1000.0</v>
      </c>
      <c r="N465" s="34"/>
      <c r="O465" s="35">
        <f>IFERROR(__xludf.DUMMYFUNCTION("IFERROR(
  VLOOKUP(C465,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C465
    ), 
    7, FALSE
  ), 
  """"
)
"),41500.0)</f>
        <v>41500</v>
      </c>
      <c r="P465" s="35">
        <f>IFERROR(__xludf.DUMMYFUNCTION("IF(AND(Q465="""", R465=""""),
  """",
  IF(OR(ISBLANK(Q465), ISBLANK(O465)),
    """",
    IF(VALUE(SUBSTITUTE(INDEX(SPLIT(IF(ISBLANK(R465), Q465, R465), "",""), 0, 1), "" Km"", """")) - O465 = 0,
      """",
      VALUE(SUBSTITUTE(INDEX(SPLIT(IF(ISBLANK("&amp;"R465), Q465, R465), "",""), 0, 1), "" Km"", """")) - O465
    )
  )
)"),-41500.0)</f>
        <v>-41500</v>
      </c>
      <c r="Q465" s="36" t="str">
        <f t="shared" si="4"/>
        <v>0 Km, 26.10.2025</v>
      </c>
      <c r="R465" s="33"/>
      <c r="S465" s="40">
        <v>13000.0</v>
      </c>
      <c r="T465" s="25">
        <v>2.0</v>
      </c>
      <c r="U465" s="25" t="s">
        <v>918</v>
      </c>
      <c r="V465" s="37"/>
      <c r="W465" s="37" t="str">
        <f t="shared" si="26"/>
        <v>Завершена</v>
      </c>
      <c r="X465" s="25" t="str">
        <f>IFERROR(__xludf.DUMMYFUNCTION("IF(C465 = """", """", IF(REGEXMATCH(C465, ""PCX|NMAX|ADV 150|CLICK""), ""скутер"", ""мото""))"),"мото")</f>
        <v>мото</v>
      </c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</row>
    <row r="466" hidden="1">
      <c r="A466" s="13" t="s">
        <v>24</v>
      </c>
      <c r="B466" s="13" t="s">
        <v>25</v>
      </c>
      <c r="C466" s="14" t="s">
        <v>914</v>
      </c>
      <c r="D466" s="14" t="s">
        <v>965</v>
      </c>
      <c r="E466" s="48">
        <v>45957.0</v>
      </c>
      <c r="F466" s="38">
        <v>45964.958333333336</v>
      </c>
      <c r="G466" s="17" t="str">
        <f t="shared" si="32"/>
        <v>7 Д</v>
      </c>
      <c r="H466" s="18">
        <f t="shared" si="31"/>
        <v>2230</v>
      </c>
      <c r="I466" s="19" t="str">
        <f t="shared" si="2"/>
        <v/>
      </c>
      <c r="J466" s="20" t="str">
        <f t="shared" si="25"/>
        <v/>
      </c>
      <c r="K466" s="23">
        <f>11150+4460</f>
        <v>15610</v>
      </c>
      <c r="L466" s="20"/>
      <c r="M466" s="23">
        <v>2230.0</v>
      </c>
      <c r="N466" s="21"/>
      <c r="O466" s="22">
        <f>IFERROR(__xludf.DUMMYFUNCTION("IFERROR(
  VLOOKUP(C466,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C466
    ), 
    7, FALSE
  ), 
  """"
)
"),17900.0)</f>
        <v>17900</v>
      </c>
      <c r="P466" s="22">
        <f>IFERROR(__xludf.DUMMYFUNCTION("IF(AND(Q466="""", R466=""""),
  """",
  IF(OR(ISBLANK(Q466), ISBLANK(O466)),
    """",
    IF(VALUE(SUBSTITUTE(INDEX(SPLIT(IF(ISBLANK(R466), Q466, R466), "",""), 0, 1), "" Km"", """")) - O466 = 0,
      """",
      VALUE(SUBSTITUTE(INDEX(SPLIT(IF(ISBLANK("&amp;"R466), Q466, R466), "",""), 0, 1), "" Km"", """")) - O466
    )
  )
)"),-17900.0)</f>
        <v>-17900</v>
      </c>
      <c r="Q466" s="23" t="str">
        <f t="shared" si="4"/>
        <v>0 Km, 27.10.2025</v>
      </c>
      <c r="R466" s="20"/>
      <c r="S466" s="41">
        <v>20000.0</v>
      </c>
      <c r="T466" s="13">
        <v>2.0</v>
      </c>
      <c r="U466" s="13" t="s">
        <v>966</v>
      </c>
      <c r="V466" s="24"/>
      <c r="W466" s="24" t="str">
        <f t="shared" si="26"/>
        <v>Завершена</v>
      </c>
      <c r="X466" s="13" t="str">
        <f>IFERROR(__xludf.DUMMYFUNCTION("IF(C466 = """", """", IF(REGEXMATCH(C466, ""PCX|NMAX|ADV 150|CLICK""), ""скутер"", ""мото""))"),"мото")</f>
        <v>мото</v>
      </c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</row>
    <row r="467" hidden="1">
      <c r="A467" s="25" t="s">
        <v>24</v>
      </c>
      <c r="B467" s="27" t="s">
        <v>25</v>
      </c>
      <c r="C467" s="27" t="s">
        <v>967</v>
      </c>
      <c r="D467" s="82" t="s">
        <v>89</v>
      </c>
      <c r="E467" s="43">
        <v>45935.0</v>
      </c>
      <c r="F467" s="39">
        <v>45967.458333333336</v>
      </c>
      <c r="G467" s="30" t="str">
        <f t="shared" si="32"/>
        <v>32 Д</v>
      </c>
      <c r="H467" s="31">
        <f>IF(L467&lt;&gt;"", VALUE(L467)/31, IF(M467&lt;&gt;"", VALUE(M467)/1, ""))
</f>
        <v>870.9677419</v>
      </c>
      <c r="I467" s="74" t="str">
        <f t="shared" si="2"/>
        <v/>
      </c>
      <c r="J467" s="67" t="str">
        <f t="shared" si="25"/>
        <v/>
      </c>
      <c r="K467" s="36">
        <v>27000.0</v>
      </c>
      <c r="L467" s="108">
        <v>27000.0</v>
      </c>
      <c r="M467" s="67"/>
      <c r="N467" s="44">
        <v>20600.0</v>
      </c>
      <c r="O467" s="35">
        <f>IFERROR(__xludf.DUMMYFUNCTION("IFERROR(
  VLOOKUP(C467,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C467
    ), 
    7, FALSE
  ), 
  """"
)
"),24800.0)</f>
        <v>24800</v>
      </c>
      <c r="P467" s="35">
        <f>IFERROR(__xludf.DUMMYFUNCTION("IF(AND(Q467="""", R467=""""),
  """",
  IF(OR(ISBLANK(Q467), ISBLANK(O467)),
    """",
    IF(VALUE(SUBSTITUTE(INDEX(SPLIT(IF(ISBLANK(R467), Q467, R467), "",""), 0, 1), "" Km"", """")) - O467 = 0,
      """",
      VALUE(SUBSTITUTE(INDEX(SPLIT(IF(ISBLANK("&amp;"R467), Q467, R467), "",""), 0, 1), "" Km"", """")) - O467
    )
  )
)"),-4200.0)</f>
        <v>-4200</v>
      </c>
      <c r="Q467" s="33" t="str">
        <f t="shared" si="4"/>
        <v>20 600 Km, 05.10.2025</v>
      </c>
      <c r="R467" s="33"/>
      <c r="S467" s="40">
        <v>0.0</v>
      </c>
      <c r="T467" s="32">
        <v>1.0</v>
      </c>
      <c r="U467" s="37" t="s">
        <v>90</v>
      </c>
      <c r="V467" s="75"/>
      <c r="W467" s="37" t="str">
        <f t="shared" si="26"/>
        <v>Завершена</v>
      </c>
      <c r="X467" s="46" t="str">
        <f>IFERROR(__xludf.DUMMYFUNCTION("IF(C467 = """", """", IF(REGEXMATCH(C467, ""PCX|NMAX|ADV 150|CLICK""), ""скутер"", ""мото""))"),"мото")</f>
        <v>мото</v>
      </c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</row>
    <row r="468" hidden="1">
      <c r="A468" s="13" t="s">
        <v>24</v>
      </c>
      <c r="B468" s="14" t="s">
        <v>25</v>
      </c>
      <c r="C468" s="62" t="s">
        <v>106</v>
      </c>
      <c r="D468" s="14" t="s">
        <v>968</v>
      </c>
      <c r="E468" s="48">
        <v>45936.0</v>
      </c>
      <c r="F468" s="38">
        <v>45967.541666666664</v>
      </c>
      <c r="G468" s="17" t="str">
        <f t="shared" si="32"/>
        <v>31 Д</v>
      </c>
      <c r="H468" s="18">
        <f t="shared" ref="H468:H503" si="33">IF(L468&lt;&gt;"", VALUE(L468)/30, IF(M468&lt;&gt;"", VALUE(M468)/1, ""))
</f>
        <v>166.6666667</v>
      </c>
      <c r="I468" s="80" t="str">
        <f t="shared" si="2"/>
        <v/>
      </c>
      <c r="J468" s="64" t="str">
        <f t="shared" si="25"/>
        <v/>
      </c>
      <c r="K468" s="23">
        <v>5000.0</v>
      </c>
      <c r="L468" s="23">
        <v>5000.0</v>
      </c>
      <c r="M468" s="64"/>
      <c r="N468" s="109"/>
      <c r="O468" s="22">
        <f>IFERROR(__xludf.DUMMYFUNCTION("IFERROR(
  VLOOKUP(C468,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C468
    ), 
    7, FALSE
  ), 
  """"
)
"),26000.0)</f>
        <v>26000</v>
      </c>
      <c r="P468" s="22">
        <f>IFERROR(__xludf.DUMMYFUNCTION("IF(AND(Q468="""", R468=""""),
  """",
  IF(OR(ISBLANK(Q468), ISBLANK(O468)),
    """",
    IF(VALUE(SUBSTITUTE(INDEX(SPLIT(IF(ISBLANK(R468), Q468, R468), "",""), 0, 1), "" Km"", """")) - O468 = 0,
      """",
      VALUE(SUBSTITUTE(INDEX(SPLIT(IF(ISBLANK("&amp;"R468), Q468, R468), "",""), 0, 1), "" Km"", """")) - O468
    )
  )
)"),-26000.0)</f>
        <v>-26000</v>
      </c>
      <c r="Q468" s="20" t="str">
        <f t="shared" si="4"/>
        <v>0 Km, 06.10.2025</v>
      </c>
      <c r="R468" s="64"/>
      <c r="S468" s="41">
        <v>0.0</v>
      </c>
      <c r="T468" s="24">
        <v>2.0</v>
      </c>
      <c r="U468" s="24" t="s">
        <v>516</v>
      </c>
      <c r="V468" s="73"/>
      <c r="W468" s="24" t="str">
        <f t="shared" si="26"/>
        <v>Завершена</v>
      </c>
      <c r="X468" s="42" t="str">
        <f>IFERROR(__xludf.DUMMYFUNCTION("IF(C468 = """", """", IF(REGEXMATCH(C468, ""PCX|NMAX|ADV 150|CLICK""), ""скутер"", ""мото""))"),"скутер")</f>
        <v>скутер</v>
      </c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</row>
    <row r="469" ht="33.0" hidden="1" customHeight="1">
      <c r="A469" s="25" t="s">
        <v>24</v>
      </c>
      <c r="B469" s="25" t="s">
        <v>25</v>
      </c>
      <c r="C469" s="27" t="s">
        <v>185</v>
      </c>
      <c r="D469" s="27" t="s">
        <v>969</v>
      </c>
      <c r="E469" s="43">
        <v>45906.0</v>
      </c>
      <c r="F469" s="39">
        <v>45967.666666666664</v>
      </c>
      <c r="G469" s="30" t="str">
        <f t="shared" si="32"/>
        <v>61 Д</v>
      </c>
      <c r="H469" s="31">
        <f t="shared" si="33"/>
        <v>166.6666667</v>
      </c>
      <c r="I469" s="32" t="str">
        <f t="shared" si="2"/>
        <v/>
      </c>
      <c r="J469" s="33" t="str">
        <f t="shared" si="25"/>
        <v/>
      </c>
      <c r="K469" s="36">
        <f>5000+5000</f>
        <v>10000</v>
      </c>
      <c r="L469" s="36">
        <v>5000.0</v>
      </c>
      <c r="M469" s="33"/>
      <c r="N469" s="44">
        <v>37500.0</v>
      </c>
      <c r="O469" s="35" t="str">
        <f>IFERROR(__xludf.DUMMYFUNCTION("IFERROR(
  VLOOKUP(C469,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C469
    ), 
    7, FALSE
  ), 
  """"
)
"),"")</f>
        <v/>
      </c>
      <c r="P469" s="35">
        <f>IFERROR(__xludf.DUMMYFUNCTION("IF(AND(Q469="""", R469=""""),
  """",
  IF(OR(ISBLANK(Q469), ISBLANK(O469)),
    """",
    IF(VALUE(SUBSTITUTE(INDEX(SPLIT(IF(ISBLANK(R469), Q469, R469), "",""), 0, 1), "" Km"", """")) - O469 = 0,
      """",
      VALUE(SUBSTITUTE(INDEX(SPLIT(IF(ISBLANK("&amp;"R469), Q469, R469), "",""), 0, 1), "" Km"", """")) - O469
    )
  )
)"),37500.0)</f>
        <v>37500</v>
      </c>
      <c r="Q469" s="36" t="str">
        <f t="shared" si="4"/>
        <v>37 500 Km, 06.09.2025</v>
      </c>
      <c r="R469" s="33"/>
      <c r="S469" s="40">
        <v>3000.0</v>
      </c>
      <c r="T469" s="25">
        <v>2.0</v>
      </c>
      <c r="U469" s="25" t="s">
        <v>970</v>
      </c>
      <c r="V469" s="37"/>
      <c r="W469" s="37" t="str">
        <f t="shared" si="26"/>
        <v>Завершена</v>
      </c>
      <c r="X469" s="25" t="str">
        <f>IFERROR(__xludf.DUMMYFUNCTION("IF(C469 = """", """", IF(REGEXMATCH(C469, ""PCX|NMAX|ADV 150|CLICK""), ""скутер"", ""мото""))"),"скутер")</f>
        <v>скутер</v>
      </c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</row>
    <row r="470" hidden="1">
      <c r="A470" s="13" t="s">
        <v>24</v>
      </c>
      <c r="B470" s="13" t="s">
        <v>25</v>
      </c>
      <c r="C470" s="14" t="s">
        <v>971</v>
      </c>
      <c r="D470" s="14" t="s">
        <v>972</v>
      </c>
      <c r="E470" s="48">
        <v>45954.0</v>
      </c>
      <c r="F470" s="38">
        <v>45972.458333333336</v>
      </c>
      <c r="G470" s="17" t="str">
        <f t="shared" si="32"/>
        <v>18 Д</v>
      </c>
      <c r="H470" s="18">
        <f t="shared" si="33"/>
        <v>798</v>
      </c>
      <c r="I470" s="19" t="str">
        <f t="shared" si="2"/>
        <v/>
      </c>
      <c r="J470" s="20" t="str">
        <f t="shared" si="25"/>
        <v/>
      </c>
      <c r="K470" s="23">
        <f t="shared" ref="K470:K471" si="34">11970+798*3</f>
        <v>14364</v>
      </c>
      <c r="L470" s="20"/>
      <c r="M470" s="23">
        <v>798.0</v>
      </c>
      <c r="N470" s="21"/>
      <c r="O470" s="22">
        <f>IFERROR(__xludf.DUMMYFUNCTION("IFERROR(
  VLOOKUP(C470,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C470
    ), 
    7, FALSE
  ), 
  """"
)
"),18300.0)</f>
        <v>18300</v>
      </c>
      <c r="P470" s="22">
        <f>IFERROR(__xludf.DUMMYFUNCTION("IF(AND(Q470="""", R470=""""),
  """",
  IF(OR(ISBLANK(Q470), ISBLANK(O470)),
    """",
    IF(VALUE(SUBSTITUTE(INDEX(SPLIT(IF(ISBLANK(R470), Q470, R470), "",""), 0, 1), "" Km"", """")) - O470 = 0,
      """",
      VALUE(SUBSTITUTE(INDEX(SPLIT(IF(ISBLANK("&amp;"R470), Q470, R470), "",""), 0, 1), "" Km"", """")) - O470
    )
  )
)"),-18300.0)</f>
        <v>-18300</v>
      </c>
      <c r="Q470" s="23" t="str">
        <f t="shared" si="4"/>
        <v>0 Km, 24.10.2025</v>
      </c>
      <c r="R470" s="20"/>
      <c r="S470" s="41">
        <v>5000.0</v>
      </c>
      <c r="T470" s="13">
        <v>0.0</v>
      </c>
      <c r="U470" s="13" t="s">
        <v>973</v>
      </c>
      <c r="V470" s="24"/>
      <c r="W470" s="24" t="str">
        <f t="shared" si="26"/>
        <v>Завершена</v>
      </c>
      <c r="X470" s="13" t="str">
        <f>IFERROR(__xludf.DUMMYFUNCTION("IF(C470 = """", """", IF(REGEXMATCH(C470, ""PCX|NMAX|ADV 150|CLICK""), ""скутер"", ""мото""))"),"мото")</f>
        <v>мото</v>
      </c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</row>
    <row r="471" hidden="1">
      <c r="A471" s="25" t="s">
        <v>24</v>
      </c>
      <c r="B471" s="25" t="s">
        <v>25</v>
      </c>
      <c r="C471" s="27" t="s">
        <v>974</v>
      </c>
      <c r="D471" s="27" t="s">
        <v>975</v>
      </c>
      <c r="E471" s="43">
        <v>45954.0</v>
      </c>
      <c r="F471" s="39">
        <v>45972.458333333336</v>
      </c>
      <c r="G471" s="30" t="str">
        <f t="shared" si="32"/>
        <v>18 Д</v>
      </c>
      <c r="H471" s="31">
        <f t="shared" si="33"/>
        <v>798</v>
      </c>
      <c r="I471" s="32" t="str">
        <f t="shared" si="2"/>
        <v/>
      </c>
      <c r="J471" s="33" t="str">
        <f t="shared" si="25"/>
        <v/>
      </c>
      <c r="K471" s="36">
        <f t="shared" si="34"/>
        <v>14364</v>
      </c>
      <c r="L471" s="33"/>
      <c r="M471" s="36">
        <v>798.0</v>
      </c>
      <c r="N471" s="34"/>
      <c r="O471" s="35">
        <f>IFERROR(__xludf.DUMMYFUNCTION("IFERROR(
  VLOOKUP(C471,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C471
    ), 
    7, FALSE
  ), 
  """"
)
"),11800.0)</f>
        <v>11800</v>
      </c>
      <c r="P471" s="35">
        <f>IFERROR(__xludf.DUMMYFUNCTION("IF(AND(Q471="""", R471=""""),
  """",
  IF(OR(ISBLANK(Q471), ISBLANK(O471)),
    """",
    IF(VALUE(SUBSTITUTE(INDEX(SPLIT(IF(ISBLANK(R471), Q471, R471), "",""), 0, 1), "" Km"", """")) - O471 = 0,
      """",
      VALUE(SUBSTITUTE(INDEX(SPLIT(IF(ISBLANK("&amp;"R471), Q471, R471), "",""), 0, 1), "" Km"", """")) - O471
    )
  )
)"),-11800.0)</f>
        <v>-11800</v>
      </c>
      <c r="Q471" s="36" t="str">
        <f t="shared" si="4"/>
        <v>0 Km, 24.10.2025</v>
      </c>
      <c r="R471" s="33"/>
      <c r="S471" s="40">
        <v>5000.0</v>
      </c>
      <c r="T471" s="25">
        <v>0.0</v>
      </c>
      <c r="U471" s="25" t="s">
        <v>973</v>
      </c>
      <c r="V471" s="37"/>
      <c r="W471" s="37" t="str">
        <f t="shared" si="26"/>
        <v>Завершена</v>
      </c>
      <c r="X471" s="25" t="str">
        <f>IFERROR(__xludf.DUMMYFUNCTION("IF(C471 = """", """", IF(REGEXMATCH(C471, ""PCX|NMAX|ADV 150|CLICK""), ""скутер"", ""мото""))"),"мото")</f>
        <v>мото</v>
      </c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</row>
    <row r="472" hidden="1">
      <c r="A472" s="13" t="s">
        <v>24</v>
      </c>
      <c r="B472" s="13" t="s">
        <v>25</v>
      </c>
      <c r="C472" s="14" t="s">
        <v>68</v>
      </c>
      <c r="D472" s="14" t="s">
        <v>976</v>
      </c>
      <c r="E472" s="48">
        <v>45954.0</v>
      </c>
      <c r="F472" s="38">
        <v>45972.458333333336</v>
      </c>
      <c r="G472" s="17" t="str">
        <f t="shared" si="32"/>
        <v>18 Д</v>
      </c>
      <c r="H472" s="18">
        <f t="shared" si="33"/>
        <v>381</v>
      </c>
      <c r="I472" s="19" t="str">
        <f t="shared" si="2"/>
        <v/>
      </c>
      <c r="J472" s="20" t="str">
        <f t="shared" si="25"/>
        <v/>
      </c>
      <c r="K472" s="23">
        <f>5715+381*3</f>
        <v>6858</v>
      </c>
      <c r="L472" s="20"/>
      <c r="M472" s="23">
        <v>381.0</v>
      </c>
      <c r="N472" s="21"/>
      <c r="O472" s="22">
        <f>IFERROR(__xludf.DUMMYFUNCTION("IFERROR(
  VLOOKUP(C472,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C472
    ), 
    7, FALSE
  ), 
  """"
)
"),24094.0)</f>
        <v>24094</v>
      </c>
      <c r="P472" s="22">
        <f>IFERROR(__xludf.DUMMYFUNCTION("IF(AND(Q472="""", R472=""""),
  """",
  IF(OR(ISBLANK(Q472), ISBLANK(O472)),
    """",
    IF(VALUE(SUBSTITUTE(INDEX(SPLIT(IF(ISBLANK(R472), Q472, R472), "",""), 0, 1), "" Km"", """")) - O472 = 0,
      """",
      VALUE(SUBSTITUTE(INDEX(SPLIT(IF(ISBLANK("&amp;"R472), Q472, R472), "",""), 0, 1), "" Km"", """")) - O472
    )
  )
)"),-24094.0)</f>
        <v>-24094</v>
      </c>
      <c r="Q472" s="23" t="str">
        <f t="shared" si="4"/>
        <v>0 Km, 24.10.2025</v>
      </c>
      <c r="R472" s="20"/>
      <c r="S472" s="41">
        <v>3000.0</v>
      </c>
      <c r="T472" s="13">
        <v>0.0</v>
      </c>
      <c r="U472" s="13" t="s">
        <v>973</v>
      </c>
      <c r="V472" s="24"/>
      <c r="W472" s="24" t="str">
        <f t="shared" si="26"/>
        <v>Завершена</v>
      </c>
      <c r="X472" s="13" t="str">
        <f>IFERROR(__xludf.DUMMYFUNCTION("IF(C472 = """", """", IF(REGEXMATCH(C472, ""PCX|NMAX|ADV 150|CLICK""), ""скутер"", ""мото""))"),"скутер")</f>
        <v>скутер</v>
      </c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</row>
    <row r="473" hidden="1">
      <c r="A473" s="25" t="s">
        <v>24</v>
      </c>
      <c r="B473" s="25" t="s">
        <v>25</v>
      </c>
      <c r="C473" s="27" t="s">
        <v>951</v>
      </c>
      <c r="D473" s="27" t="s">
        <v>807</v>
      </c>
      <c r="E473" s="43">
        <v>45971.0</v>
      </c>
      <c r="F473" s="39">
        <v>45974.541666666664</v>
      </c>
      <c r="G473" s="30" t="str">
        <f t="shared" si="32"/>
        <v>3 Д</v>
      </c>
      <c r="H473" s="31">
        <f t="shared" si="33"/>
        <v>845</v>
      </c>
      <c r="I473" s="32" t="str">
        <f t="shared" si="2"/>
        <v/>
      </c>
      <c r="J473" s="33" t="str">
        <f t="shared" si="25"/>
        <v/>
      </c>
      <c r="K473" s="36">
        <v>2535.0</v>
      </c>
      <c r="L473" s="33"/>
      <c r="M473" s="36">
        <v>845.0</v>
      </c>
      <c r="N473" s="34"/>
      <c r="O473" s="35">
        <f>IFERROR(__xludf.DUMMYFUNCTION("IFERROR(
  VLOOKUP(C473,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C473
    ), 
    7, FALSE
  ), 
  """"
)
"),21100.0)</f>
        <v>21100</v>
      </c>
      <c r="P473" s="35">
        <f>IFERROR(__xludf.DUMMYFUNCTION("IF(AND(Q473="""", R473=""""),
  """",
  IF(OR(ISBLANK(Q473), ISBLANK(O473)),
    """",
    IF(VALUE(SUBSTITUTE(INDEX(SPLIT(IF(ISBLANK(R473), Q473, R473), "",""), 0, 1), "" Km"", """")) - O473 = 0,
      """",
      VALUE(SUBSTITUTE(INDEX(SPLIT(IF(ISBLANK("&amp;"R473), Q473, R473), "",""), 0, 1), "" Km"", """")) - O473
    )
  )
)"),-21100.0)</f>
        <v>-21100</v>
      </c>
      <c r="Q473" s="36" t="str">
        <f t="shared" si="4"/>
        <v>0 Km, 10.11.2025</v>
      </c>
      <c r="R473" s="33"/>
      <c r="S473" s="40">
        <v>5000.0</v>
      </c>
      <c r="T473" s="25">
        <v>2.0</v>
      </c>
      <c r="U473" s="25" t="s">
        <v>977</v>
      </c>
      <c r="V473" s="37"/>
      <c r="W473" s="37" t="str">
        <f t="shared" si="26"/>
        <v>Завершена</v>
      </c>
      <c r="X473" s="25" t="str">
        <f>IFERROR(__xludf.DUMMYFUNCTION("IF(C473 = """", """", IF(REGEXMATCH(C473, ""PCX|NMAX|ADV 150|CLICK""), ""скутер"", ""мото""))"),"мото")</f>
        <v>мото</v>
      </c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</row>
    <row r="474" hidden="1">
      <c r="A474" s="13" t="s">
        <v>24</v>
      </c>
      <c r="B474" s="13" t="s">
        <v>25</v>
      </c>
      <c r="C474" s="14" t="s">
        <v>193</v>
      </c>
      <c r="D474" s="14" t="s">
        <v>653</v>
      </c>
      <c r="E474" s="48">
        <v>45958.0</v>
      </c>
      <c r="F474" s="38">
        <v>45977.583333333336</v>
      </c>
      <c r="G474" s="17" t="str">
        <f t="shared" si="32"/>
        <v>19 Д</v>
      </c>
      <c r="H474" s="18">
        <f t="shared" si="33"/>
        <v>409</v>
      </c>
      <c r="I474" s="19" t="str">
        <f t="shared" si="2"/>
        <v/>
      </c>
      <c r="J474" s="20" t="str">
        <f t="shared" si="25"/>
        <v/>
      </c>
      <c r="K474" s="23">
        <v>7771.0</v>
      </c>
      <c r="L474" s="20"/>
      <c r="M474" s="23">
        <v>409.0</v>
      </c>
      <c r="N474" s="49">
        <v>18000.0</v>
      </c>
      <c r="O474" s="22" t="str">
        <f>IFERROR(__xludf.DUMMYFUNCTION("IFERROR(
  VLOOKUP(C474,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C474
    ), 
    7, FALSE
  ), 
  """"
)
"),"")</f>
        <v/>
      </c>
      <c r="P474" s="22">
        <f>IFERROR(__xludf.DUMMYFUNCTION("IF(AND(Q474="""", R474=""""),
  """",
  IF(OR(ISBLANK(Q474), ISBLANK(O474)),
    """",
    IF(VALUE(SUBSTITUTE(INDEX(SPLIT(IF(ISBLANK(R474), Q474, R474), "",""), 0, 1), "" Km"", """")) - O474 = 0,
      """",
      VALUE(SUBSTITUTE(INDEX(SPLIT(IF(ISBLANK("&amp;"R474), Q474, R474), "",""), 0, 1), "" Km"", """")) - O474
    )
  )
)"),18000.0)</f>
        <v>18000</v>
      </c>
      <c r="Q474" s="23" t="str">
        <f t="shared" si="4"/>
        <v>18 000 Km, 28.10.2025</v>
      </c>
      <c r="R474" s="20"/>
      <c r="S474" s="41">
        <v>7000.0</v>
      </c>
      <c r="T474" s="13">
        <v>2.0</v>
      </c>
      <c r="U474" s="13" t="s">
        <v>978</v>
      </c>
      <c r="V474" s="24"/>
      <c r="W474" s="24" t="str">
        <f t="shared" si="26"/>
        <v>Завершена</v>
      </c>
      <c r="X474" s="13" t="str">
        <f>IFERROR(__xludf.DUMMYFUNCTION("IF(C474 = """", """", IF(REGEXMATCH(C474, ""PCX|NMAX|ADV 150|CLICK""), ""скутер"", ""мото""))"),"мото")</f>
        <v>мото</v>
      </c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</row>
    <row r="475" hidden="1">
      <c r="A475" s="25" t="s">
        <v>24</v>
      </c>
      <c r="B475" s="25" t="s">
        <v>25</v>
      </c>
      <c r="C475" s="27" t="s">
        <v>979</v>
      </c>
      <c r="D475" s="27" t="s">
        <v>980</v>
      </c>
      <c r="E475" s="43">
        <v>45972.0</v>
      </c>
      <c r="F475" s="39">
        <v>45977.666666666664</v>
      </c>
      <c r="G475" s="30" t="str">
        <f t="shared" si="32"/>
        <v>5 Д</v>
      </c>
      <c r="H475" s="31">
        <f t="shared" si="33"/>
        <v>898</v>
      </c>
      <c r="I475" s="32" t="str">
        <f t="shared" si="2"/>
        <v/>
      </c>
      <c r="J475" s="33" t="str">
        <f t="shared" si="25"/>
        <v/>
      </c>
      <c r="K475" s="36">
        <v>4490.0</v>
      </c>
      <c r="L475" s="33"/>
      <c r="M475" s="36">
        <v>898.0</v>
      </c>
      <c r="N475" s="34"/>
      <c r="O475" s="35">
        <f>IFERROR(__xludf.DUMMYFUNCTION("IFERROR(
  VLOOKUP(C475,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C475
    ), 
    7, FALSE
  ), 
  """"
)
"),6800.0)</f>
        <v>6800</v>
      </c>
      <c r="P475" s="35">
        <f>IFERROR(__xludf.DUMMYFUNCTION("IF(AND(Q475="""", R475=""""),
  """",
  IF(OR(ISBLANK(Q475), ISBLANK(O475)),
    """",
    IF(VALUE(SUBSTITUTE(INDEX(SPLIT(IF(ISBLANK(R475), Q475, R475), "",""), 0, 1), "" Km"", """")) - O475 = 0,
      """",
      VALUE(SUBSTITUTE(INDEX(SPLIT(IF(ISBLANK("&amp;"R475), Q475, R475), "",""), 0, 1), "" Km"", """")) - O475
    )
  )
)"),-6800.0)</f>
        <v>-6800</v>
      </c>
      <c r="Q475" s="36" t="str">
        <f t="shared" si="4"/>
        <v>0 Km, 11.11.2025</v>
      </c>
      <c r="R475" s="33"/>
      <c r="S475" s="40">
        <v>5000.0</v>
      </c>
      <c r="T475" s="25">
        <v>2.0</v>
      </c>
      <c r="U475" s="25" t="s">
        <v>516</v>
      </c>
      <c r="V475" s="37"/>
      <c r="W475" s="37" t="str">
        <f t="shared" si="26"/>
        <v>Завершена</v>
      </c>
      <c r="X475" s="25" t="str">
        <f>IFERROR(__xludf.DUMMYFUNCTION("IF(C475 = """", """", IF(REGEXMATCH(C475, ""PCX|NMAX|ADV 150|CLICK""), ""скутер"", ""мото""))"),"мото")</f>
        <v>мото</v>
      </c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</row>
    <row r="476" hidden="1">
      <c r="A476" s="13" t="s">
        <v>24</v>
      </c>
      <c r="B476" s="13" t="s">
        <v>25</v>
      </c>
      <c r="C476" s="14" t="s">
        <v>981</v>
      </c>
      <c r="D476" s="14" t="s">
        <v>982</v>
      </c>
      <c r="E476" s="48">
        <v>45972.0</v>
      </c>
      <c r="F476" s="38">
        <v>45977.666666666664</v>
      </c>
      <c r="G476" s="17" t="str">
        <f t="shared" si="32"/>
        <v>5 Д</v>
      </c>
      <c r="H476" s="18">
        <f t="shared" si="33"/>
        <v>898</v>
      </c>
      <c r="I476" s="19" t="str">
        <f t="shared" si="2"/>
        <v/>
      </c>
      <c r="J476" s="20" t="str">
        <f t="shared" si="25"/>
        <v/>
      </c>
      <c r="K476" s="23">
        <v>4490.0</v>
      </c>
      <c r="L476" s="20"/>
      <c r="M476" s="23">
        <v>898.0</v>
      </c>
      <c r="N476" s="21"/>
      <c r="O476" s="22">
        <f>IFERROR(__xludf.DUMMYFUNCTION("IFERROR(
  VLOOKUP(C476,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C476
    ), 
    7, FALSE
  ), 
  """"
)
"),6800.0)</f>
        <v>6800</v>
      </c>
      <c r="P476" s="22">
        <f>IFERROR(__xludf.DUMMYFUNCTION("IF(AND(Q476="""", R476=""""),
  """",
  IF(OR(ISBLANK(Q476), ISBLANK(O476)),
    """",
    IF(VALUE(SUBSTITUTE(INDEX(SPLIT(IF(ISBLANK(R476), Q476, R476), "",""), 0, 1), "" Km"", """")) - O476 = 0,
      """",
      VALUE(SUBSTITUTE(INDEX(SPLIT(IF(ISBLANK("&amp;"R476), Q476, R476), "",""), 0, 1), "" Km"", """")) - O476
    )
  )
)"),-6800.0)</f>
        <v>-6800</v>
      </c>
      <c r="Q476" s="23" t="str">
        <f t="shared" si="4"/>
        <v>0 Km, 11.11.2025</v>
      </c>
      <c r="R476" s="20"/>
      <c r="S476" s="41">
        <v>5000.0</v>
      </c>
      <c r="T476" s="13">
        <v>2.0</v>
      </c>
      <c r="U476" s="13" t="s">
        <v>516</v>
      </c>
      <c r="V476" s="24"/>
      <c r="W476" s="24" t="str">
        <f t="shared" si="26"/>
        <v>Завершена</v>
      </c>
      <c r="X476" s="13" t="str">
        <f>IFERROR(__xludf.DUMMYFUNCTION("IF(C476 = """", """", IF(REGEXMATCH(C476, ""PCX|NMAX|ADV 150|CLICK""), ""скутер"", ""мото""))"),"мото")</f>
        <v>мото</v>
      </c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</row>
    <row r="477" hidden="1">
      <c r="A477" s="25" t="s">
        <v>24</v>
      </c>
      <c r="B477" s="25" t="s">
        <v>25</v>
      </c>
      <c r="C477" s="27" t="s">
        <v>438</v>
      </c>
      <c r="D477" s="27" t="s">
        <v>983</v>
      </c>
      <c r="E477" s="43">
        <v>45972.0</v>
      </c>
      <c r="F477" s="39">
        <v>45979.458333333336</v>
      </c>
      <c r="G477" s="30" t="str">
        <f t="shared" si="32"/>
        <v>7 Д</v>
      </c>
      <c r="H477" s="31">
        <f t="shared" si="33"/>
        <v>1067</v>
      </c>
      <c r="I477" s="32" t="str">
        <f t="shared" si="2"/>
        <v/>
      </c>
      <c r="J477" s="33" t="str">
        <f t="shared" si="25"/>
        <v/>
      </c>
      <c r="K477" s="36">
        <v>7470.0</v>
      </c>
      <c r="L477" s="33"/>
      <c r="M477" s="36">
        <v>1067.0</v>
      </c>
      <c r="N477" s="34"/>
      <c r="O477" s="35">
        <f>IFERROR(__xludf.DUMMYFUNCTION("IFERROR(
  VLOOKUP(C477,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C477
    ), 
    7, FALSE
  ), 
  """"
)
"),37823.0)</f>
        <v>37823</v>
      </c>
      <c r="P477" s="35">
        <f>IFERROR(__xludf.DUMMYFUNCTION("IF(AND(Q477="""", R477=""""),
  """",
  IF(OR(ISBLANK(Q477), ISBLANK(O477)),
    """",
    IF(VALUE(SUBSTITUTE(INDEX(SPLIT(IF(ISBLANK(R477), Q477, R477), "",""), 0, 1), "" Km"", """")) - O477 = 0,
      """",
      VALUE(SUBSTITUTE(INDEX(SPLIT(IF(ISBLANK("&amp;"R477), Q477, R477), "",""), 0, 1), "" Km"", """")) - O477
    )
  )
)"),-37823.0)</f>
        <v>-37823</v>
      </c>
      <c r="Q477" s="36" t="str">
        <f t="shared" si="4"/>
        <v>0 Km, 11.11.2025</v>
      </c>
      <c r="R477" s="33"/>
      <c r="S477" s="40">
        <v>20000.0</v>
      </c>
      <c r="T477" s="25">
        <v>2.0</v>
      </c>
      <c r="U477" s="25" t="s">
        <v>984</v>
      </c>
      <c r="V477" s="37"/>
      <c r="W477" s="37" t="str">
        <f t="shared" si="26"/>
        <v>Завершена</v>
      </c>
      <c r="X477" s="25" t="str">
        <f>IFERROR(__xludf.DUMMYFUNCTION("IF(C477 = """", """", IF(REGEXMATCH(C477, ""PCX|NMAX|ADV 150|CLICK""), ""скутер"", ""мото""))"),"мото")</f>
        <v>мото</v>
      </c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</row>
    <row r="478" hidden="1">
      <c r="A478" s="13" t="s">
        <v>24</v>
      </c>
      <c r="B478" s="13" t="s">
        <v>25</v>
      </c>
      <c r="C478" s="14" t="s">
        <v>279</v>
      </c>
      <c r="D478" s="14" t="s">
        <v>621</v>
      </c>
      <c r="E478" s="48">
        <v>45968.0</v>
      </c>
      <c r="F478" s="38">
        <v>45978.458333333336</v>
      </c>
      <c r="G478" s="17" t="str">
        <f t="shared" si="32"/>
        <v>10 Д</v>
      </c>
      <c r="H478" s="18">
        <f t="shared" si="33"/>
        <v>483</v>
      </c>
      <c r="I478" s="19" t="str">
        <f t="shared" si="2"/>
        <v/>
      </c>
      <c r="J478" s="20" t="str">
        <f t="shared" si="25"/>
        <v/>
      </c>
      <c r="K478" s="23">
        <v>4830.0</v>
      </c>
      <c r="L478" s="20"/>
      <c r="M478" s="23">
        <v>483.0</v>
      </c>
      <c r="N478" s="21"/>
      <c r="O478" s="22">
        <f>IFERROR(__xludf.DUMMYFUNCTION("IFERROR(
  VLOOKUP(C478,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C478
    ), 
    7, FALSE
  ), 
  """"
)
"),9000.0)</f>
        <v>9000</v>
      </c>
      <c r="P478" s="22">
        <f>IFERROR(__xludf.DUMMYFUNCTION("IF(AND(Q478="""", R478=""""),
  """",
  IF(OR(ISBLANK(Q478), ISBLANK(O478)),
    """",
    IF(VALUE(SUBSTITUTE(INDEX(SPLIT(IF(ISBLANK(R478), Q478, R478), "",""), 0, 1), "" Km"", """")) - O478 = 0,
      """",
      VALUE(SUBSTITUTE(INDEX(SPLIT(IF(ISBLANK("&amp;"R478), Q478, R478), "",""), 0, 1), "" Km"", """")) - O478
    )
  )
)"),-9000.0)</f>
        <v>-9000</v>
      </c>
      <c r="Q478" s="23" t="str">
        <f t="shared" si="4"/>
        <v>0 Km, 07.11.2025</v>
      </c>
      <c r="R478" s="20"/>
      <c r="S478" s="41" t="s">
        <v>985</v>
      </c>
      <c r="T478" s="13">
        <v>2.0</v>
      </c>
      <c r="U478" s="13" t="s">
        <v>986</v>
      </c>
      <c r="V478" s="24"/>
      <c r="W478" s="24" t="str">
        <f t="shared" si="26"/>
        <v>Завершена</v>
      </c>
      <c r="X478" s="13" t="str">
        <f>IFERROR(__xludf.DUMMYFUNCTION("IF(C478 = """", """", IF(REGEXMATCH(C478, ""PCX|NMAX|ADV 150|CLICK""), ""скутер"", ""мото""))"),"мото")</f>
        <v>мото</v>
      </c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</row>
    <row r="479" hidden="1">
      <c r="A479" s="25" t="s">
        <v>24</v>
      </c>
      <c r="B479" s="25" t="s">
        <v>25</v>
      </c>
      <c r="C479" s="27" t="s">
        <v>77</v>
      </c>
      <c r="D479" s="27" t="s">
        <v>987</v>
      </c>
      <c r="E479" s="43">
        <v>45971.0</v>
      </c>
      <c r="F479" s="39">
        <v>45981.666666666664</v>
      </c>
      <c r="G479" s="30" t="str">
        <f t="shared" si="32"/>
        <v>10 Д</v>
      </c>
      <c r="H479" s="31">
        <f t="shared" si="33"/>
        <v>368</v>
      </c>
      <c r="I479" s="32" t="str">
        <f t="shared" si="2"/>
        <v/>
      </c>
      <c r="J479" s="33" t="str">
        <f t="shared" si="25"/>
        <v/>
      </c>
      <c r="K479" s="36">
        <v>3680.0</v>
      </c>
      <c r="L479" s="33"/>
      <c r="M479" s="36">
        <v>368.0</v>
      </c>
      <c r="N479" s="34"/>
      <c r="O479" s="35">
        <f>IFERROR(__xludf.DUMMYFUNCTION("IFERROR(
  VLOOKUP(C479,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C479
    ), 
    7, FALSE
  ), 
  """"
)
"),37300.0)</f>
        <v>37300</v>
      </c>
      <c r="P479" s="35">
        <f>IFERROR(__xludf.DUMMYFUNCTION("IF(AND(Q479="""", R479=""""),
  """",
  IF(OR(ISBLANK(Q479), ISBLANK(O479)),
    """",
    IF(VALUE(SUBSTITUTE(INDEX(SPLIT(IF(ISBLANK(R479), Q479, R479), "",""), 0, 1), "" Km"", """")) - O479 = 0,
      """",
      VALUE(SUBSTITUTE(INDEX(SPLIT(IF(ISBLANK("&amp;"R479), Q479, R479), "",""), 0, 1), "" Km"", """")) - O479
    )
  )
)"),-37300.0)</f>
        <v>-37300</v>
      </c>
      <c r="Q479" s="36" t="str">
        <f t="shared" si="4"/>
        <v>0 Km, 10.11.2025</v>
      </c>
      <c r="R479" s="33"/>
      <c r="S479" s="40">
        <v>3000.0</v>
      </c>
      <c r="T479" s="25">
        <v>2.0</v>
      </c>
      <c r="U479" s="25" t="s">
        <v>988</v>
      </c>
      <c r="V479" s="37"/>
      <c r="W479" s="37" t="str">
        <f t="shared" si="26"/>
        <v>Завершена</v>
      </c>
      <c r="X479" s="25" t="str">
        <f>IFERROR(__xludf.DUMMYFUNCTION("IF(C479 = """", """", IF(REGEXMATCH(C479, ""PCX|NMAX|ADV 150|CLICK""), ""скутер"", ""мото""))"),"скутер")</f>
        <v>скутер</v>
      </c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</row>
    <row r="480" hidden="1">
      <c r="A480" s="13" t="s">
        <v>24</v>
      </c>
      <c r="B480" s="13" t="s">
        <v>25</v>
      </c>
      <c r="C480" s="14" t="s">
        <v>941</v>
      </c>
      <c r="D480" s="14" t="s">
        <v>989</v>
      </c>
      <c r="E480" s="48">
        <v>45975.0</v>
      </c>
      <c r="F480" s="38">
        <v>45982.541666666664</v>
      </c>
      <c r="G480" s="17" t="str">
        <f t="shared" si="32"/>
        <v>7 Д</v>
      </c>
      <c r="H480" s="18">
        <f t="shared" si="33"/>
        <v>797</v>
      </c>
      <c r="I480" s="19" t="str">
        <f t="shared" si="2"/>
        <v/>
      </c>
      <c r="J480" s="20" t="str">
        <f t="shared" si="25"/>
        <v/>
      </c>
      <c r="K480" s="23">
        <v>5579.0</v>
      </c>
      <c r="L480" s="20"/>
      <c r="M480" s="23">
        <v>797.0</v>
      </c>
      <c r="N480" s="49">
        <v>13500.0</v>
      </c>
      <c r="O480" s="22">
        <f>IFERROR(__xludf.DUMMYFUNCTION("IFERROR(
  VLOOKUP(C480,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C480
    ), 
    7, FALSE
  ), 
  """"
)
"),18302.0)</f>
        <v>18302</v>
      </c>
      <c r="P480" s="22">
        <f>IFERROR(__xludf.DUMMYFUNCTION("IF(AND(Q480="""", R480=""""),
  """",
  IF(OR(ISBLANK(Q480), ISBLANK(O480)),
    """",
    IF(VALUE(SUBSTITUTE(INDEX(SPLIT(IF(ISBLANK(R480), Q480, R480), "",""), 0, 1), "" Km"", """")) - O480 = 0,
      """",
      VALUE(SUBSTITUTE(INDEX(SPLIT(IF(ISBLANK("&amp;"R480), Q480, R480), "",""), 0, 1), "" Km"", """")) - O480
    )
  )
)"),-4802.0)</f>
        <v>-4802</v>
      </c>
      <c r="Q480" s="23" t="str">
        <f t="shared" si="4"/>
        <v>13 500 Km, 14.11.2025</v>
      </c>
      <c r="R480" s="20"/>
      <c r="S480" s="41">
        <v>7000.0</v>
      </c>
      <c r="T480" s="13">
        <v>2.0</v>
      </c>
      <c r="U480" s="13" t="s">
        <v>990</v>
      </c>
      <c r="V480" s="24"/>
      <c r="W480" s="24" t="str">
        <f t="shared" si="26"/>
        <v>Завершена</v>
      </c>
      <c r="X480" s="13" t="str">
        <f>IFERROR(__xludf.DUMMYFUNCTION("IF(C480 = """", """", IF(REGEXMATCH(C480, ""PCX|NMAX|ADV 150|CLICK""), ""скутер"", ""мото""))"),"мото")</f>
        <v>мото</v>
      </c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</row>
    <row r="481" hidden="1">
      <c r="A481" s="25" t="s">
        <v>24</v>
      </c>
      <c r="B481" s="25" t="s">
        <v>25</v>
      </c>
      <c r="C481" s="27" t="s">
        <v>916</v>
      </c>
      <c r="D481" s="27" t="s">
        <v>991</v>
      </c>
      <c r="E481" s="43">
        <v>45961.0</v>
      </c>
      <c r="F481" s="39">
        <v>45982.583333333336</v>
      </c>
      <c r="G481" s="30" t="str">
        <f t="shared" si="32"/>
        <v>21 Д</v>
      </c>
      <c r="H481" s="31">
        <f t="shared" si="33"/>
        <v>1223</v>
      </c>
      <c r="I481" s="32" t="str">
        <f t="shared" si="2"/>
        <v/>
      </c>
      <c r="J481" s="33" t="str">
        <f t="shared" si="25"/>
        <v/>
      </c>
      <c r="K481" s="36">
        <v>25683.0</v>
      </c>
      <c r="L481" s="33"/>
      <c r="M481" s="36">
        <v>1223.0</v>
      </c>
      <c r="N481" s="34"/>
      <c r="O481" s="35">
        <f>IFERROR(__xludf.DUMMYFUNCTION("IFERROR(
  VLOOKUP(C481,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C481
    ), 
    7, FALSE
  ), 
  """"
)
"),29300.0)</f>
        <v>29300</v>
      </c>
      <c r="P481" s="35">
        <f>IFERROR(__xludf.DUMMYFUNCTION("IF(AND(Q481="""", R481=""""),
  """",
  IF(OR(ISBLANK(Q481), ISBLANK(O481)),
    """",
    IF(VALUE(SUBSTITUTE(INDEX(SPLIT(IF(ISBLANK(R481), Q481, R481), "",""), 0, 1), "" Km"", """")) - O481 = 0,
      """",
      VALUE(SUBSTITUTE(INDEX(SPLIT(IF(ISBLANK("&amp;"R481), Q481, R481), "",""), 0, 1), "" Km"", """")) - O481
    )
  )
)"),-29300.0)</f>
        <v>-29300</v>
      </c>
      <c r="Q481" s="36" t="str">
        <f t="shared" si="4"/>
        <v>0 Km, 31.10.2025</v>
      </c>
      <c r="R481" s="33"/>
      <c r="S481" s="40">
        <v>20000.0</v>
      </c>
      <c r="T481" s="25">
        <v>2.0</v>
      </c>
      <c r="U481" s="25" t="s">
        <v>516</v>
      </c>
      <c r="V481" s="37"/>
      <c r="W481" s="37" t="str">
        <f t="shared" si="26"/>
        <v>Завершена</v>
      </c>
      <c r="X481" s="25" t="str">
        <f>IFERROR(__xludf.DUMMYFUNCTION("IF(C481 = """", """", IF(REGEXMATCH(C481, ""PCX|NMAX|ADV 150|CLICK""), ""скутер"", ""мото""))"),"мото")</f>
        <v>мото</v>
      </c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</row>
    <row r="482" hidden="1">
      <c r="A482" s="13" t="s">
        <v>24</v>
      </c>
      <c r="B482" s="13" t="s">
        <v>25</v>
      </c>
      <c r="C482" s="14" t="s">
        <v>102</v>
      </c>
      <c r="D482" s="14" t="s">
        <v>991</v>
      </c>
      <c r="E482" s="48">
        <v>45961.0</v>
      </c>
      <c r="F482" s="38">
        <v>45982.625</v>
      </c>
      <c r="G482" s="17" t="str">
        <f t="shared" si="32"/>
        <v>21 Д</v>
      </c>
      <c r="H482" s="18">
        <f t="shared" si="33"/>
        <v>1223</v>
      </c>
      <c r="I482" s="19" t="str">
        <f t="shared" si="2"/>
        <v/>
      </c>
      <c r="J482" s="20" t="str">
        <f t="shared" si="25"/>
        <v/>
      </c>
      <c r="K482" s="23">
        <v>25683.0</v>
      </c>
      <c r="L482" s="20"/>
      <c r="M482" s="23">
        <v>1223.0</v>
      </c>
      <c r="N482" s="21"/>
      <c r="O482" s="22">
        <f>IFERROR(__xludf.DUMMYFUNCTION("IFERROR(
  VLOOKUP(C482,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C482
    ), 
    7, FALSE
  ), 
  """"
)
"),63700.0)</f>
        <v>63700</v>
      </c>
      <c r="P482" s="22">
        <f>IFERROR(__xludf.DUMMYFUNCTION("IF(AND(Q482="""", R482=""""),
  """",
  IF(OR(ISBLANK(Q482), ISBLANK(O482)),
    """",
    IF(VALUE(SUBSTITUTE(INDEX(SPLIT(IF(ISBLANK(R482), Q482, R482), "",""), 0, 1), "" Km"", """")) - O482 = 0,
      """",
      VALUE(SUBSTITUTE(INDEX(SPLIT(IF(ISBLANK("&amp;"R482), Q482, R482), "",""), 0, 1), "" Km"", """")) - O482
    )
  )
)"),-63700.0)</f>
        <v>-63700</v>
      </c>
      <c r="Q482" s="23" t="str">
        <f t="shared" si="4"/>
        <v>0 Km, 31.10.2025</v>
      </c>
      <c r="R482" s="20"/>
      <c r="S482" s="41">
        <v>20000.0</v>
      </c>
      <c r="T482" s="13">
        <v>2.0</v>
      </c>
      <c r="U482" s="13" t="s">
        <v>516</v>
      </c>
      <c r="V482" s="24"/>
      <c r="W482" s="24" t="str">
        <f t="shared" si="26"/>
        <v>Завершена</v>
      </c>
      <c r="X482" s="13" t="str">
        <f>IFERROR(__xludf.DUMMYFUNCTION("IF(C482 = """", """", IF(REGEXMATCH(C482, ""PCX|NMAX|ADV 150|CLICK""), ""скутер"", ""мото""))"),"мото")</f>
        <v>мото</v>
      </c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</row>
    <row r="483" hidden="1">
      <c r="A483" s="25" t="s">
        <v>24</v>
      </c>
      <c r="B483" s="25" t="s">
        <v>25</v>
      </c>
      <c r="C483" s="27" t="s">
        <v>483</v>
      </c>
      <c r="D483" s="27" t="s">
        <v>991</v>
      </c>
      <c r="E483" s="43">
        <v>45961.0</v>
      </c>
      <c r="F483" s="39">
        <v>45982.666666666664</v>
      </c>
      <c r="G483" s="30" t="str">
        <f t="shared" si="32"/>
        <v>21 Д</v>
      </c>
      <c r="H483" s="31">
        <f t="shared" si="33"/>
        <v>1223</v>
      </c>
      <c r="I483" s="32" t="str">
        <f t="shared" si="2"/>
        <v/>
      </c>
      <c r="J483" s="33" t="str">
        <f t="shared" si="25"/>
        <v/>
      </c>
      <c r="K483" s="36">
        <v>25683.0</v>
      </c>
      <c r="L483" s="33"/>
      <c r="M483" s="36">
        <v>1223.0</v>
      </c>
      <c r="N483" s="34"/>
      <c r="O483" s="35">
        <f>IFERROR(__xludf.DUMMYFUNCTION("IFERROR(
  VLOOKUP(C483,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C483
    ), 
    7, FALSE
  ), 
  """"
)
"),41500.0)</f>
        <v>41500</v>
      </c>
      <c r="P483" s="35">
        <f>IFERROR(__xludf.DUMMYFUNCTION("IF(AND(Q483="""", R483=""""),
  """",
  IF(OR(ISBLANK(Q483), ISBLANK(O483)),
    """",
    IF(VALUE(SUBSTITUTE(INDEX(SPLIT(IF(ISBLANK(R483), Q483, R483), "",""), 0, 1), "" Km"", """")) - O483 = 0,
      """",
      VALUE(SUBSTITUTE(INDEX(SPLIT(IF(ISBLANK("&amp;"R483), Q483, R483), "",""), 0, 1), "" Km"", """")) - O483
    )
  )
)"),-41500.0)</f>
        <v>-41500</v>
      </c>
      <c r="Q483" s="36" t="str">
        <f t="shared" si="4"/>
        <v>0 Km, 31.10.2025</v>
      </c>
      <c r="R483" s="33"/>
      <c r="S483" s="40">
        <v>20000.0</v>
      </c>
      <c r="T483" s="25">
        <v>2.0</v>
      </c>
      <c r="U483" s="25" t="s">
        <v>516</v>
      </c>
      <c r="V483" s="37"/>
      <c r="W483" s="37" t="str">
        <f t="shared" si="26"/>
        <v>Завершена</v>
      </c>
      <c r="X483" s="25" t="str">
        <f>IFERROR(__xludf.DUMMYFUNCTION("IF(C483 = """", """", IF(REGEXMATCH(C483, ""PCX|NMAX|ADV 150|CLICK""), ""скутер"", ""мото""))"),"мото")</f>
        <v>мото</v>
      </c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</row>
    <row r="484" hidden="1">
      <c r="A484" s="13" t="s">
        <v>24</v>
      </c>
      <c r="B484" s="13" t="s">
        <v>25</v>
      </c>
      <c r="C484" s="14" t="s">
        <v>914</v>
      </c>
      <c r="D484" s="14" t="s">
        <v>980</v>
      </c>
      <c r="E484" s="48">
        <v>45977.0</v>
      </c>
      <c r="F484" s="38">
        <v>45982.666666666664</v>
      </c>
      <c r="G484" s="17" t="str">
        <f t="shared" si="32"/>
        <v>5 Д</v>
      </c>
      <c r="H484" s="18">
        <f t="shared" si="33"/>
        <v>2250</v>
      </c>
      <c r="I484" s="19" t="str">
        <f t="shared" si="2"/>
        <v/>
      </c>
      <c r="J484" s="20" t="str">
        <f t="shared" si="25"/>
        <v/>
      </c>
      <c r="K484" s="23">
        <v>11250.0</v>
      </c>
      <c r="L484" s="20"/>
      <c r="M484" s="23">
        <v>2250.0</v>
      </c>
      <c r="N484" s="21"/>
      <c r="O484" s="22">
        <f>IFERROR(__xludf.DUMMYFUNCTION("IFERROR(
  VLOOKUP(C484,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C484
    ), 
    7, FALSE
  ), 
  """"
)
"),17900.0)</f>
        <v>17900</v>
      </c>
      <c r="P484" s="22">
        <f>IFERROR(__xludf.DUMMYFUNCTION("IF(AND(Q484="""", R484=""""),
  """",
  IF(OR(ISBLANK(Q484), ISBLANK(O484)),
    """",
    IF(VALUE(SUBSTITUTE(INDEX(SPLIT(IF(ISBLANK(R484), Q484, R484), "",""), 0, 1), "" Km"", """")) - O484 = 0,
      """",
      VALUE(SUBSTITUTE(INDEX(SPLIT(IF(ISBLANK("&amp;"R484), Q484, R484), "",""), 0, 1), "" Km"", """")) - O484
    )
  )
)"),-17900.0)</f>
        <v>-17900</v>
      </c>
      <c r="Q484" s="23" t="str">
        <f t="shared" si="4"/>
        <v>0 Km, 16.11.2025</v>
      </c>
      <c r="R484" s="20"/>
      <c r="S484" s="41">
        <v>25000.0</v>
      </c>
      <c r="T484" s="13">
        <v>2.0</v>
      </c>
      <c r="U484" s="13" t="s">
        <v>516</v>
      </c>
      <c r="V484" s="24"/>
      <c r="W484" s="24" t="str">
        <f t="shared" si="26"/>
        <v>Завершена</v>
      </c>
      <c r="X484" s="13" t="str">
        <f>IFERROR(__xludf.DUMMYFUNCTION("IF(C484 = """", """", IF(REGEXMATCH(C484, ""PCX|NMAX|ADV 150|CLICK""), ""скутер"", ""мото""))"),"мото")</f>
        <v>мото</v>
      </c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</row>
    <row r="485" hidden="1">
      <c r="A485" s="25" t="s">
        <v>24</v>
      </c>
      <c r="B485" s="25" t="s">
        <v>25</v>
      </c>
      <c r="C485" s="27" t="s">
        <v>967</v>
      </c>
      <c r="D485" s="27" t="s">
        <v>982</v>
      </c>
      <c r="E485" s="43">
        <v>45977.0</v>
      </c>
      <c r="F485" s="39">
        <v>45982.666666666664</v>
      </c>
      <c r="G485" s="30" t="str">
        <f t="shared" si="32"/>
        <v>5 Д</v>
      </c>
      <c r="H485" s="31">
        <f t="shared" si="33"/>
        <v>2250</v>
      </c>
      <c r="I485" s="32" t="str">
        <f t="shared" si="2"/>
        <v/>
      </c>
      <c r="J485" s="33" t="str">
        <f t="shared" si="25"/>
        <v/>
      </c>
      <c r="K485" s="36">
        <v>11250.0</v>
      </c>
      <c r="L485" s="33"/>
      <c r="M485" s="36">
        <v>2250.0</v>
      </c>
      <c r="N485" s="34"/>
      <c r="O485" s="35">
        <f>IFERROR(__xludf.DUMMYFUNCTION("IFERROR(
  VLOOKUP(C485,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C485
    ), 
    7, FALSE
  ), 
  """"
)
"),24800.0)</f>
        <v>24800</v>
      </c>
      <c r="P485" s="35">
        <f>IFERROR(__xludf.DUMMYFUNCTION("IF(AND(Q485="""", R485=""""),
  """",
  IF(OR(ISBLANK(Q485), ISBLANK(O485)),
    """",
    IF(VALUE(SUBSTITUTE(INDEX(SPLIT(IF(ISBLANK(R485), Q485, R485), "",""), 0, 1), "" Km"", """")) - O485 = 0,
      """",
      VALUE(SUBSTITUTE(INDEX(SPLIT(IF(ISBLANK("&amp;"R485), Q485, R485), "",""), 0, 1), "" Km"", """")) - O485
    )
  )
)"),-24800.0)</f>
        <v>-24800</v>
      </c>
      <c r="Q485" s="36" t="str">
        <f t="shared" si="4"/>
        <v>0 Km, 16.11.2025</v>
      </c>
      <c r="R485" s="33"/>
      <c r="S485" s="40">
        <v>25000.0</v>
      </c>
      <c r="T485" s="25">
        <v>2.0</v>
      </c>
      <c r="U485" s="25" t="s">
        <v>516</v>
      </c>
      <c r="V485" s="37"/>
      <c r="W485" s="37" t="str">
        <f t="shared" si="26"/>
        <v>Завершена</v>
      </c>
      <c r="X485" s="25" t="str">
        <f>IFERROR(__xludf.DUMMYFUNCTION("IF(C485 = """", """", IF(REGEXMATCH(C485, ""PCX|NMAX|ADV 150|CLICK""), ""скутер"", ""мото""))"),"мото")</f>
        <v>мото</v>
      </c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</row>
    <row r="486" hidden="1">
      <c r="A486" s="13" t="s">
        <v>24</v>
      </c>
      <c r="B486" s="13" t="s">
        <v>25</v>
      </c>
      <c r="C486" s="14" t="s">
        <v>44</v>
      </c>
      <c r="D486" s="14" t="s">
        <v>992</v>
      </c>
      <c r="E486" s="48">
        <v>45976.0</v>
      </c>
      <c r="F486" s="38">
        <v>45983.625</v>
      </c>
      <c r="G486" s="17" t="str">
        <f t="shared" si="32"/>
        <v>7 Д</v>
      </c>
      <c r="H486" s="18">
        <f t="shared" si="33"/>
        <v>380</v>
      </c>
      <c r="I486" s="19" t="str">
        <f t="shared" si="2"/>
        <v/>
      </c>
      <c r="J486" s="20" t="str">
        <f t="shared" si="25"/>
        <v/>
      </c>
      <c r="K486" s="23">
        <v>2660.0</v>
      </c>
      <c r="L486" s="20"/>
      <c r="M486" s="23">
        <v>380.0</v>
      </c>
      <c r="N486" s="21"/>
      <c r="O486" s="22">
        <f>IFERROR(__xludf.DUMMYFUNCTION("IFERROR(
  VLOOKUP(C486,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C486
    ), 
    7, FALSE
  ), 
  """"
)
"),30800.0)</f>
        <v>30800</v>
      </c>
      <c r="P486" s="22">
        <f>IFERROR(__xludf.DUMMYFUNCTION("IF(AND(Q486="""", R486=""""),
  """",
  IF(OR(ISBLANK(Q486), ISBLANK(O486)),
    """",
    IF(VALUE(SUBSTITUTE(INDEX(SPLIT(IF(ISBLANK(R486), Q486, R486), "",""), 0, 1), "" Km"", """")) - O486 = 0,
      """",
      VALUE(SUBSTITUTE(INDEX(SPLIT(IF(ISBLANK("&amp;"R486), Q486, R486), "",""), 0, 1), "" Km"", """")) - O486
    )
  )
)"),-30800.0)</f>
        <v>-30800</v>
      </c>
      <c r="Q486" s="23" t="str">
        <f t="shared" si="4"/>
        <v>0 Km, 15.11.2025</v>
      </c>
      <c r="R486" s="20"/>
      <c r="S486" s="41">
        <v>3000.0</v>
      </c>
      <c r="T486" s="13">
        <v>2.0</v>
      </c>
      <c r="U486" s="13" t="s">
        <v>993</v>
      </c>
      <c r="V486" s="24"/>
      <c r="W486" s="24" t="str">
        <f t="shared" si="26"/>
        <v>Завершена</v>
      </c>
      <c r="X486" s="13" t="str">
        <f>IFERROR(__xludf.DUMMYFUNCTION("IF(C486 = """", """", IF(REGEXMATCH(C486, ""PCX|NMAX|ADV 150|CLICK""), ""скутер"", ""мото""))"),"скутер")</f>
        <v>скутер</v>
      </c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</row>
    <row r="487" hidden="1">
      <c r="A487" s="25" t="s">
        <v>24</v>
      </c>
      <c r="B487" s="25" t="s">
        <v>25</v>
      </c>
      <c r="C487" s="27" t="s">
        <v>68</v>
      </c>
      <c r="D487" s="27" t="s">
        <v>994</v>
      </c>
      <c r="E487" s="43">
        <v>45974.0</v>
      </c>
      <c r="F487" s="39">
        <v>45988.458333333336</v>
      </c>
      <c r="G487" s="30" t="str">
        <f t="shared" si="32"/>
        <v>14 Д</v>
      </c>
      <c r="H487" s="31">
        <f t="shared" si="33"/>
        <v>368</v>
      </c>
      <c r="I487" s="32" t="str">
        <f t="shared" si="2"/>
        <v/>
      </c>
      <c r="J487" s="33" t="str">
        <f t="shared" si="25"/>
        <v/>
      </c>
      <c r="K487" s="36">
        <f>3680+368*4</f>
        <v>5152</v>
      </c>
      <c r="L487" s="33"/>
      <c r="M487" s="36">
        <v>368.0</v>
      </c>
      <c r="N487" s="34"/>
      <c r="O487" s="35">
        <f>IFERROR(__xludf.DUMMYFUNCTION("IFERROR(
  VLOOKUP(C487,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C487
    ), 
    7, FALSE
  ), 
  """"
)
"),24094.0)</f>
        <v>24094</v>
      </c>
      <c r="P487" s="35">
        <f>IFERROR(__xludf.DUMMYFUNCTION("IF(AND(Q487="""", R487=""""),
  """",
  IF(OR(ISBLANK(Q487), ISBLANK(O487)),
    """",
    IF(VALUE(SUBSTITUTE(INDEX(SPLIT(IF(ISBLANK(R487), Q487, R487), "",""), 0, 1), "" Km"", """")) - O487 = 0,
      """",
      VALUE(SUBSTITUTE(INDEX(SPLIT(IF(ISBLANK("&amp;"R487), Q487, R487), "",""), 0, 1), "" Km"", """")) - O487
    )
  )
)"),-24094.0)</f>
        <v>-24094</v>
      </c>
      <c r="Q487" s="36" t="str">
        <f t="shared" si="4"/>
        <v>0 Km, 13.11.2025</v>
      </c>
      <c r="R487" s="33"/>
      <c r="S487" s="40">
        <v>3000.0</v>
      </c>
      <c r="T487" s="25">
        <v>2.0</v>
      </c>
      <c r="U487" s="25" t="s">
        <v>995</v>
      </c>
      <c r="V487" s="37"/>
      <c r="W487" s="37" t="str">
        <f t="shared" si="26"/>
        <v>Завершена</v>
      </c>
      <c r="X487" s="25" t="str">
        <f>IFERROR(__xludf.DUMMYFUNCTION("IF(C487 = """", """", IF(REGEXMATCH(C487, ""PCX|NMAX|ADV 150|CLICK""), ""скутер"", ""мото""))"),"скутер")</f>
        <v>скутер</v>
      </c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</row>
    <row r="488" hidden="1">
      <c r="A488" s="13" t="s">
        <v>24</v>
      </c>
      <c r="B488" s="13" t="s">
        <v>25</v>
      </c>
      <c r="C488" s="14" t="s">
        <v>98</v>
      </c>
      <c r="D488" s="14" t="s">
        <v>996</v>
      </c>
      <c r="E488" s="48">
        <v>45979.0</v>
      </c>
      <c r="F488" s="38">
        <v>45984.625</v>
      </c>
      <c r="G488" s="17" t="str">
        <f t="shared" si="32"/>
        <v>5 Д</v>
      </c>
      <c r="H488" s="18">
        <f t="shared" si="33"/>
        <v>404</v>
      </c>
      <c r="I488" s="19" t="str">
        <f t="shared" si="2"/>
        <v/>
      </c>
      <c r="J488" s="20" t="str">
        <f t="shared" si="25"/>
        <v/>
      </c>
      <c r="K488" s="23">
        <v>2020.0</v>
      </c>
      <c r="L488" s="20"/>
      <c r="M488" s="23">
        <v>404.0</v>
      </c>
      <c r="N488" s="21"/>
      <c r="O488" s="22">
        <f>IFERROR(__xludf.DUMMYFUNCTION("IFERROR(
  VLOOKUP(C488,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C488
    ), 
    7, FALSE
  ), 
  """"
)
"),32200.0)</f>
        <v>32200</v>
      </c>
      <c r="P488" s="22">
        <f>IFERROR(__xludf.DUMMYFUNCTION("IF(AND(Q488="""", R488=""""),
  """",
  IF(OR(ISBLANK(Q488), ISBLANK(O488)),
    """",
    IF(VALUE(SUBSTITUTE(INDEX(SPLIT(IF(ISBLANK(R488), Q488, R488), "",""), 0, 1), "" Km"", """")) - O488 = 0,
      """",
      VALUE(SUBSTITUTE(INDEX(SPLIT(IF(ISBLANK("&amp;"R488), Q488, R488), "",""), 0, 1), "" Km"", """")) - O488
    )
  )
)"),-32200.0)</f>
        <v>-32200</v>
      </c>
      <c r="Q488" s="23" t="str">
        <f t="shared" si="4"/>
        <v>0 Km, 18.11.2025</v>
      </c>
      <c r="R488" s="20"/>
      <c r="S488" s="41">
        <v>3000.0</v>
      </c>
      <c r="T488" s="13">
        <v>2.0</v>
      </c>
      <c r="U488" s="13" t="s">
        <v>516</v>
      </c>
      <c r="V488" s="24"/>
      <c r="W488" s="24" t="str">
        <f t="shared" si="26"/>
        <v>Завершена</v>
      </c>
      <c r="X488" s="13" t="str">
        <f>IFERROR(__xludf.DUMMYFUNCTION("IF(C488 = """", """", IF(REGEXMATCH(C488, ""PCX|NMAX|ADV 150|CLICK""), ""скутер"", ""мото""))"),"скутер")</f>
        <v>скутер</v>
      </c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</row>
    <row r="489" hidden="1">
      <c r="A489" s="25" t="s">
        <v>24</v>
      </c>
      <c r="B489" s="25" t="s">
        <v>25</v>
      </c>
      <c r="C489" s="27" t="s">
        <v>48</v>
      </c>
      <c r="D489" s="27" t="s">
        <v>997</v>
      </c>
      <c r="E489" s="43">
        <v>45977.0</v>
      </c>
      <c r="F489" s="39">
        <v>45986.75</v>
      </c>
      <c r="G489" s="30" t="str">
        <f t="shared" si="32"/>
        <v>9 Д</v>
      </c>
      <c r="H489" s="31">
        <f t="shared" si="33"/>
        <v>372</v>
      </c>
      <c r="I489" s="32" t="str">
        <f t="shared" si="2"/>
        <v/>
      </c>
      <c r="J489" s="33" t="str">
        <f t="shared" si="25"/>
        <v/>
      </c>
      <c r="K489" s="36">
        <v>3348.0</v>
      </c>
      <c r="L489" s="33"/>
      <c r="M489" s="36">
        <v>372.0</v>
      </c>
      <c r="N489" s="34"/>
      <c r="O489" s="35">
        <f>IFERROR(__xludf.DUMMYFUNCTION("IFERROR(
  VLOOKUP(C489,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C489
    ), 
    7, FALSE
  ), 
  """"
)
"),35800.0)</f>
        <v>35800</v>
      </c>
      <c r="P489" s="35">
        <f>IFERROR(__xludf.DUMMYFUNCTION("IF(AND(Q489="""", R489=""""),
  """",
  IF(OR(ISBLANK(Q489), ISBLANK(O489)),
    """",
    IF(VALUE(SUBSTITUTE(INDEX(SPLIT(IF(ISBLANK(R489), Q489, R489), "",""), 0, 1), "" Km"", """")) - O489 = 0,
      """",
      VALUE(SUBSTITUTE(INDEX(SPLIT(IF(ISBLANK("&amp;"R489), Q489, R489), "",""), 0, 1), "" Km"", """")) - O489
    )
  )
)"),-35800.0)</f>
        <v>-35800</v>
      </c>
      <c r="Q489" s="36" t="str">
        <f t="shared" si="4"/>
        <v>0 Km, 16.11.2025</v>
      </c>
      <c r="R489" s="33"/>
      <c r="S489" s="40" t="s">
        <v>912</v>
      </c>
      <c r="T489" s="25">
        <v>2.0</v>
      </c>
      <c r="U489" s="25" t="s">
        <v>998</v>
      </c>
      <c r="V489" s="37"/>
      <c r="W489" s="37" t="str">
        <f t="shared" si="26"/>
        <v>Завершена</v>
      </c>
      <c r="X489" s="25" t="str">
        <f>IFERROR(__xludf.DUMMYFUNCTION("IF(C489 = """", """", IF(REGEXMATCH(C489, ""PCX|NMAX|ADV 150|CLICK""), ""скутер"", ""мото""))"),"скутер")</f>
        <v>скутер</v>
      </c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</row>
    <row r="490" hidden="1">
      <c r="A490" s="13" t="s">
        <v>24</v>
      </c>
      <c r="B490" s="13" t="s">
        <v>25</v>
      </c>
      <c r="C490" s="14" t="s">
        <v>73</v>
      </c>
      <c r="D490" s="14" t="s">
        <v>999</v>
      </c>
      <c r="E490" s="48">
        <v>45977.0</v>
      </c>
      <c r="F490" s="38">
        <v>45988.541666666664</v>
      </c>
      <c r="G490" s="17" t="str">
        <f t="shared" si="32"/>
        <v>11 Д</v>
      </c>
      <c r="H490" s="18">
        <f t="shared" si="33"/>
        <v>364</v>
      </c>
      <c r="I490" s="19" t="str">
        <f t="shared" si="2"/>
        <v/>
      </c>
      <c r="J490" s="20" t="str">
        <f t="shared" si="25"/>
        <v/>
      </c>
      <c r="K490" s="23">
        <v>4004.0</v>
      </c>
      <c r="L490" s="20"/>
      <c r="M490" s="23">
        <v>364.0</v>
      </c>
      <c r="N490" s="21"/>
      <c r="O490" s="22">
        <f>IFERROR(__xludf.DUMMYFUNCTION("IFERROR(
  VLOOKUP(C490,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C490
    ), 
    7, FALSE
  ), 
  """"
)
"),31000.0)</f>
        <v>31000</v>
      </c>
      <c r="P490" s="22">
        <f>IFERROR(__xludf.DUMMYFUNCTION("IF(AND(Q490="""", R490=""""),
  """",
  IF(OR(ISBLANK(Q490), ISBLANK(O490)),
    """",
    IF(VALUE(SUBSTITUTE(INDEX(SPLIT(IF(ISBLANK(R490), Q490, R490), "",""), 0, 1), "" Km"", """")) - O490 = 0,
      """",
      VALUE(SUBSTITUTE(INDEX(SPLIT(IF(ISBLANK("&amp;"R490), Q490, R490), "",""), 0, 1), "" Km"", """")) - O490
    )
  )
)"),-31000.0)</f>
        <v>-31000</v>
      </c>
      <c r="Q490" s="23" t="str">
        <f t="shared" si="4"/>
        <v>0 Km, 16.11.2025</v>
      </c>
      <c r="R490" s="20"/>
      <c r="S490" s="41">
        <v>3000.0</v>
      </c>
      <c r="T490" s="13">
        <v>2.0</v>
      </c>
      <c r="U490" s="13" t="s">
        <v>1000</v>
      </c>
      <c r="V490" s="24"/>
      <c r="W490" s="24" t="str">
        <f t="shared" si="26"/>
        <v>Завершена</v>
      </c>
      <c r="X490" s="13" t="str">
        <f>IFERROR(__xludf.DUMMYFUNCTION("IF(C490 = """", """", IF(REGEXMATCH(C490, ""PCX|NMAX|ADV 150|CLICK""), ""скутер"", ""мото""))"),"скутер")</f>
        <v>скутер</v>
      </c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</row>
    <row r="491" hidden="1">
      <c r="A491" s="25" t="s">
        <v>24</v>
      </c>
      <c r="B491" s="25" t="s">
        <v>25</v>
      </c>
      <c r="C491" s="27" t="s">
        <v>928</v>
      </c>
      <c r="D491" s="27" t="s">
        <v>1001</v>
      </c>
      <c r="E491" s="43">
        <v>45957.0</v>
      </c>
      <c r="F491" s="39">
        <v>45988.541666666664</v>
      </c>
      <c r="G491" s="30" t="str">
        <f t="shared" si="32"/>
        <v>31 Д</v>
      </c>
      <c r="H491" s="31">
        <f t="shared" si="33"/>
        <v>396</v>
      </c>
      <c r="I491" s="32" t="str">
        <f t="shared" si="2"/>
        <v/>
      </c>
      <c r="J491" s="33" t="str">
        <f t="shared" si="25"/>
        <v/>
      </c>
      <c r="K491" s="36">
        <v>12292.0</v>
      </c>
      <c r="L491" s="36"/>
      <c r="M491" s="36">
        <v>396.0</v>
      </c>
      <c r="N491" s="34"/>
      <c r="O491" s="35">
        <f>IFERROR(__xludf.DUMMYFUNCTION("IFERROR(
  VLOOKUP(C491,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C491
    ), 
    7, FALSE
  ), 
  """"
)
"),11000.0)</f>
        <v>11000</v>
      </c>
      <c r="P491" s="35">
        <f>IFERROR(__xludf.DUMMYFUNCTION("IF(AND(Q491="""", R491=""""),
  """",
  IF(OR(ISBLANK(Q491), ISBLANK(O491)),
    """",
    IF(VALUE(SUBSTITUTE(INDEX(SPLIT(IF(ISBLANK(R491), Q491, R491), "",""), 0, 1), "" Km"", """")) - O491 = 0,
      """",
      VALUE(SUBSTITUTE(INDEX(SPLIT(IF(ISBLANK("&amp;"R491), Q491, R491), "",""), 0, 1), "" Km"", """")) - O491
    )
  )
)"),-11000.0)</f>
        <v>-11000</v>
      </c>
      <c r="Q491" s="36" t="str">
        <f t="shared" si="4"/>
        <v>0 Km, 27.10.2025</v>
      </c>
      <c r="R491" s="33"/>
      <c r="S491" s="40">
        <v>5000.0</v>
      </c>
      <c r="T491" s="25">
        <v>2.0</v>
      </c>
      <c r="U491" s="25" t="s">
        <v>1002</v>
      </c>
      <c r="V491" s="37"/>
      <c r="W491" s="37" t="str">
        <f t="shared" si="26"/>
        <v>Завершена</v>
      </c>
      <c r="X491" s="25" t="str">
        <f>IFERROR(__xludf.DUMMYFUNCTION("IF(C491 = """", """", IF(REGEXMATCH(C491, ""PCX|NMAX|ADV 150|CLICK""), ""скутер"", ""мото""))"),"мото")</f>
        <v>мото</v>
      </c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</row>
    <row r="492" hidden="1">
      <c r="A492" s="13" t="s">
        <v>24</v>
      </c>
      <c r="B492" s="13" t="s">
        <v>25</v>
      </c>
      <c r="C492" s="14" t="s">
        <v>151</v>
      </c>
      <c r="D492" s="14" t="s">
        <v>1003</v>
      </c>
      <c r="E492" s="48">
        <v>45976.0</v>
      </c>
      <c r="F492" s="38">
        <v>45992.541666666664</v>
      </c>
      <c r="G492" s="17" t="str">
        <f t="shared" si="32"/>
        <v>16 Д</v>
      </c>
      <c r="H492" s="18">
        <f t="shared" si="33"/>
        <v>323</v>
      </c>
      <c r="I492" s="19" t="str">
        <f t="shared" si="2"/>
        <v/>
      </c>
      <c r="J492" s="20" t="str">
        <f t="shared" si="25"/>
        <v/>
      </c>
      <c r="K492" s="23">
        <v>5168.0</v>
      </c>
      <c r="L492" s="20"/>
      <c r="M492" s="23">
        <v>323.0</v>
      </c>
      <c r="N492" s="21"/>
      <c r="O492" s="22">
        <f>IFERROR(__xludf.DUMMYFUNCTION("IFERROR(
  VLOOKUP(C492,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C492
    ), 
    7, FALSE
  ), 
  """"
)
"),35800.0)</f>
        <v>35800</v>
      </c>
      <c r="P492" s="22">
        <f>IFERROR(__xludf.DUMMYFUNCTION("IF(AND(Q492="""", R492=""""),
  """",
  IF(OR(ISBLANK(Q492), ISBLANK(O492)),
    """",
    IF(VALUE(SUBSTITUTE(INDEX(SPLIT(IF(ISBLANK(R492), Q492, R492), "",""), 0, 1), "" Km"", """")) - O492 = 0,
      """",
      VALUE(SUBSTITUTE(INDEX(SPLIT(IF(ISBLANK("&amp;"R492), Q492, R492), "",""), 0, 1), "" Km"", """")) - O492
    )
  )
)"),-35800.0)</f>
        <v>-35800</v>
      </c>
      <c r="Q492" s="23" t="str">
        <f t="shared" si="4"/>
        <v>0 Km, 15.11.2025</v>
      </c>
      <c r="R492" s="20"/>
      <c r="S492" s="41" t="s">
        <v>912</v>
      </c>
      <c r="T492" s="13">
        <v>2.0</v>
      </c>
      <c r="U492" s="13" t="s">
        <v>1004</v>
      </c>
      <c r="V492" s="24"/>
      <c r="W492" s="24" t="str">
        <f t="shared" si="26"/>
        <v>Завершена</v>
      </c>
      <c r="X492" s="13" t="str">
        <f>IFERROR(__xludf.DUMMYFUNCTION("IF(C492 = """", """", IF(REGEXMATCH(C492, ""PCX|NMAX|ADV 150|CLICK""), ""скутер"", ""мото""))"),"скутер")</f>
        <v>скутер</v>
      </c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</row>
    <row r="493" hidden="1">
      <c r="A493" s="25" t="s">
        <v>24</v>
      </c>
      <c r="B493" s="25" t="s">
        <v>25</v>
      </c>
      <c r="C493" s="27" t="s">
        <v>56</v>
      </c>
      <c r="D493" s="27" t="s">
        <v>1005</v>
      </c>
      <c r="E493" s="43">
        <v>45974.0</v>
      </c>
      <c r="F493" s="39">
        <v>45992.541666666664</v>
      </c>
      <c r="G493" s="30" t="str">
        <f t="shared" si="32"/>
        <v>18 Д</v>
      </c>
      <c r="H493" s="31">
        <f t="shared" si="33"/>
        <v>314</v>
      </c>
      <c r="I493" s="32" t="str">
        <f t="shared" si="2"/>
        <v/>
      </c>
      <c r="J493" s="33" t="str">
        <f t="shared" si="25"/>
        <v/>
      </c>
      <c r="K493" s="36">
        <v>5652.0</v>
      </c>
      <c r="L493" s="33"/>
      <c r="M493" s="36">
        <v>314.0</v>
      </c>
      <c r="N493" s="34"/>
      <c r="O493" s="35">
        <f>IFERROR(__xludf.DUMMYFUNCTION("IFERROR(
  VLOOKUP(C493,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C493
    ), 
    7, FALSE
  ), 
  """"
)
"),36400.0)</f>
        <v>36400</v>
      </c>
      <c r="P493" s="35">
        <f>IFERROR(__xludf.DUMMYFUNCTION("IF(AND(Q493="""", R493=""""),
  """",
  IF(OR(ISBLANK(Q493), ISBLANK(O493)),
    """",
    IF(VALUE(SUBSTITUTE(INDEX(SPLIT(IF(ISBLANK(R493), Q493, R493), "",""), 0, 1), "" Km"", """")) - O493 = 0,
      """",
      VALUE(SUBSTITUTE(INDEX(SPLIT(IF(ISBLANK("&amp;"R493), Q493, R493), "",""), 0, 1), "" Km"", """")) - O493
    )
  )
)"),-36400.0)</f>
        <v>-36400</v>
      </c>
      <c r="Q493" s="36" t="str">
        <f t="shared" si="4"/>
        <v>0 Km, 13.11.2025</v>
      </c>
      <c r="R493" s="33"/>
      <c r="S493" s="40">
        <v>3000.0</v>
      </c>
      <c r="T493" s="25">
        <v>1.0</v>
      </c>
      <c r="U493" s="25" t="s">
        <v>1006</v>
      </c>
      <c r="V493" s="37"/>
      <c r="W493" s="37" t="str">
        <f t="shared" si="26"/>
        <v>Завершена</v>
      </c>
      <c r="X493" s="25" t="str">
        <f>IFERROR(__xludf.DUMMYFUNCTION("IF(C493 = """", """", IF(REGEXMATCH(C493, ""PCX|NMAX|ADV 150|CLICK""), ""скутер"", ""мото""))"),"скутер")</f>
        <v>скутер</v>
      </c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</row>
    <row r="494" hidden="1">
      <c r="A494" s="13" t="s">
        <v>24</v>
      </c>
      <c r="B494" s="13" t="s">
        <v>25</v>
      </c>
      <c r="C494" s="14" t="s">
        <v>941</v>
      </c>
      <c r="D494" s="14" t="s">
        <v>1007</v>
      </c>
      <c r="E494" s="48">
        <v>45985.0</v>
      </c>
      <c r="F494" s="38">
        <v>45993.541666666664</v>
      </c>
      <c r="G494" s="17" t="str">
        <f t="shared" si="32"/>
        <v>8 Д</v>
      </c>
      <c r="H494" s="18">
        <f t="shared" si="33"/>
        <v>948</v>
      </c>
      <c r="I494" s="19" t="str">
        <f t="shared" si="2"/>
        <v/>
      </c>
      <c r="J494" s="20" t="str">
        <f t="shared" si="25"/>
        <v/>
      </c>
      <c r="K494" s="23">
        <f>4740+948*3</f>
        <v>7584</v>
      </c>
      <c r="L494" s="20"/>
      <c r="M494" s="23">
        <v>948.0</v>
      </c>
      <c r="N494" s="21"/>
      <c r="O494" s="22">
        <f>IFERROR(__xludf.DUMMYFUNCTION("IFERROR(
  VLOOKUP(C494,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C494
    ), 
    7, FALSE
  ), 
  """"
)
"),18302.0)</f>
        <v>18302</v>
      </c>
      <c r="P494" s="22">
        <f>IFERROR(__xludf.DUMMYFUNCTION("IF(AND(Q494="""", R494=""""),
  """",
  IF(OR(ISBLANK(Q494), ISBLANK(O494)),
    """",
    IF(VALUE(SUBSTITUTE(INDEX(SPLIT(IF(ISBLANK(R494), Q494, R494), "",""), 0, 1), "" Km"", """")) - O494 = 0,
      """",
      VALUE(SUBSTITUTE(INDEX(SPLIT(IF(ISBLANK("&amp;"R494), Q494, R494), "",""), 0, 1), "" Km"", """")) - O494
    )
  )
)"),-18302.0)</f>
        <v>-18302</v>
      </c>
      <c r="Q494" s="23" t="str">
        <f t="shared" si="4"/>
        <v>0 Km, 24.11.2025</v>
      </c>
      <c r="R494" s="20"/>
      <c r="S494" s="41">
        <v>7000.0</v>
      </c>
      <c r="T494" s="13">
        <v>2.0</v>
      </c>
      <c r="U494" s="13" t="s">
        <v>1008</v>
      </c>
      <c r="V494" s="24"/>
      <c r="W494" s="24" t="str">
        <f t="shared" si="26"/>
        <v>Завершена</v>
      </c>
      <c r="X494" s="13" t="str">
        <f>IFERROR(__xludf.DUMMYFUNCTION("IF(C494 = """", """", IF(REGEXMATCH(C494, ""PCX|NMAX|ADV 150|CLICK""), ""скутер"", ""мото""))"),"мото")</f>
        <v>мото</v>
      </c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</row>
    <row r="495" hidden="1">
      <c r="A495" s="25" t="s">
        <v>24</v>
      </c>
      <c r="B495" s="25" t="s">
        <v>25</v>
      </c>
      <c r="C495" s="27" t="s">
        <v>202</v>
      </c>
      <c r="D495" s="27" t="s">
        <v>1009</v>
      </c>
      <c r="E495" s="43">
        <v>45983.0</v>
      </c>
      <c r="F495" s="39">
        <v>45994.416666666664</v>
      </c>
      <c r="G495" s="30" t="str">
        <f t="shared" si="32"/>
        <v>11 Д</v>
      </c>
      <c r="H495" s="31">
        <f t="shared" si="33"/>
        <v>553</v>
      </c>
      <c r="I495" s="32" t="str">
        <f t="shared" si="2"/>
        <v/>
      </c>
      <c r="J495" s="33" t="str">
        <f t="shared" si="25"/>
        <v/>
      </c>
      <c r="K495" s="36">
        <v>6083.0</v>
      </c>
      <c r="L495" s="33"/>
      <c r="M495" s="36">
        <v>553.0</v>
      </c>
      <c r="N495" s="34"/>
      <c r="O495" s="35">
        <f>IFERROR(__xludf.DUMMYFUNCTION("IFERROR(
  VLOOKUP(C495,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C495
    ), 
    7, FALSE
  ), 
  """"
)
"),30225.0)</f>
        <v>30225</v>
      </c>
      <c r="P495" s="35">
        <f>IFERROR(__xludf.DUMMYFUNCTION("IF(AND(Q495="""", R495=""""),
  """",
  IF(OR(ISBLANK(Q495), ISBLANK(O495)),
    """",
    IF(VALUE(SUBSTITUTE(INDEX(SPLIT(IF(ISBLANK(R495), Q495, R495), "",""), 0, 1), "" Km"", """")) - O495 = 0,
      """",
      VALUE(SUBSTITUTE(INDEX(SPLIT(IF(ISBLANK("&amp;"R495), Q495, R495), "",""), 0, 1), "" Km"", """")) - O495
    )
  )
)"),-30225.0)</f>
        <v>-30225</v>
      </c>
      <c r="Q495" s="36" t="str">
        <f t="shared" si="4"/>
        <v>0 Km, 22.11.2025</v>
      </c>
      <c r="R495" s="33"/>
      <c r="S495" s="40">
        <v>5000.0</v>
      </c>
      <c r="T495" s="25">
        <v>2.0</v>
      </c>
      <c r="U495" s="25" t="s">
        <v>1010</v>
      </c>
      <c r="V495" s="37"/>
      <c r="W495" s="37" t="str">
        <f t="shared" si="26"/>
        <v>Завершена</v>
      </c>
      <c r="X495" s="25" t="str">
        <f>IFERROR(__xludf.DUMMYFUNCTION("IF(C495 = """", """", IF(REGEXMATCH(C495, ""PCX|NMAX|ADV 150|CLICK""), ""скутер"", ""мото""))"),"мото")</f>
        <v>мото</v>
      </c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</row>
    <row r="496" hidden="1">
      <c r="A496" s="13" t="s">
        <v>24</v>
      </c>
      <c r="B496" s="13" t="s">
        <v>25</v>
      </c>
      <c r="C496" s="14" t="s">
        <v>102</v>
      </c>
      <c r="D496" s="14" t="s">
        <v>1011</v>
      </c>
      <c r="E496" s="48">
        <v>45990.0</v>
      </c>
      <c r="F496" s="38">
        <v>45994.583333333336</v>
      </c>
      <c r="G496" s="17" t="str">
        <f t="shared" si="32"/>
        <v>4 Д</v>
      </c>
      <c r="H496" s="18">
        <f t="shared" si="33"/>
        <v>1708</v>
      </c>
      <c r="I496" s="19" t="str">
        <f t="shared" si="2"/>
        <v/>
      </c>
      <c r="J496" s="20" t="str">
        <f t="shared" si="25"/>
        <v/>
      </c>
      <c r="K496" s="23">
        <v>6832.0</v>
      </c>
      <c r="L496" s="20"/>
      <c r="M496" s="23">
        <v>1708.0</v>
      </c>
      <c r="N496" s="21"/>
      <c r="O496" s="22">
        <f>IFERROR(__xludf.DUMMYFUNCTION("IFERROR(
  VLOOKUP(C496,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C496
    ), 
    7, FALSE
  ), 
  """"
)
"),63700.0)</f>
        <v>63700</v>
      </c>
      <c r="P496" s="22">
        <f>IFERROR(__xludf.DUMMYFUNCTION("IF(AND(Q496="""", R496=""""),
  """",
  IF(OR(ISBLANK(Q496), ISBLANK(O496)),
    """",
    IF(VALUE(SUBSTITUTE(INDEX(SPLIT(IF(ISBLANK(R496), Q496, R496), "",""), 0, 1), "" Km"", """")) - O496 = 0,
      """",
      VALUE(SUBSTITUTE(INDEX(SPLIT(IF(ISBLANK("&amp;"R496), Q496, R496), "",""), 0, 1), "" Km"", """")) - O496
    )
  )
)"),-63700.0)</f>
        <v>-63700</v>
      </c>
      <c r="Q496" s="23" t="str">
        <f t="shared" si="4"/>
        <v>0 Km, 29.11.2025</v>
      </c>
      <c r="R496" s="20"/>
      <c r="S496" s="18"/>
      <c r="T496" s="13">
        <v>1.0</v>
      </c>
      <c r="U496" s="13" t="s">
        <v>1012</v>
      </c>
      <c r="V496" s="24"/>
      <c r="W496" s="24" t="str">
        <f t="shared" si="26"/>
        <v>Завершена</v>
      </c>
      <c r="X496" s="13" t="str">
        <f>IFERROR(__xludf.DUMMYFUNCTION("IF(C496 = """", """", IF(REGEXMATCH(C496, ""PCX|NMAX|ADV 150|CLICK""), ""скутер"", ""мото""))"),"мото")</f>
        <v>мото</v>
      </c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</row>
    <row r="497" hidden="1">
      <c r="A497" s="25" t="s">
        <v>24</v>
      </c>
      <c r="B497" s="25" t="s">
        <v>25</v>
      </c>
      <c r="C497" s="27" t="s">
        <v>483</v>
      </c>
      <c r="D497" s="27" t="s">
        <v>700</v>
      </c>
      <c r="E497" s="43">
        <v>45989.0</v>
      </c>
      <c r="F497" s="39">
        <v>45994.791666666664</v>
      </c>
      <c r="G497" s="30" t="str">
        <f t="shared" si="32"/>
        <v>5 Д</v>
      </c>
      <c r="H497" s="31">
        <f t="shared" si="33"/>
        <v>1708</v>
      </c>
      <c r="I497" s="32" t="str">
        <f t="shared" si="2"/>
        <v/>
      </c>
      <c r="J497" s="33" t="str">
        <f t="shared" si="25"/>
        <v/>
      </c>
      <c r="K497" s="36">
        <v>8540.0</v>
      </c>
      <c r="L497" s="33"/>
      <c r="M497" s="36">
        <v>1708.0</v>
      </c>
      <c r="N497" s="34"/>
      <c r="O497" s="35">
        <f>IFERROR(__xludf.DUMMYFUNCTION("IFERROR(
  VLOOKUP(C497,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C497
    ), 
    7, FALSE
  ), 
  """"
)
"),41500.0)</f>
        <v>41500</v>
      </c>
      <c r="P497" s="35">
        <f>IFERROR(__xludf.DUMMYFUNCTION("IF(AND(Q497="""", R497=""""),
  """",
  IF(OR(ISBLANK(Q497), ISBLANK(O497)),
    """",
    IF(VALUE(SUBSTITUTE(INDEX(SPLIT(IF(ISBLANK(R497), Q497, R497), "",""), 0, 1), "" Km"", """")) - O497 = 0,
      """",
      VALUE(SUBSTITUTE(INDEX(SPLIT(IF(ISBLANK("&amp;"R497), Q497, R497), "",""), 0, 1), "" Km"", """")) - O497
    )
  )
)"),-41500.0)</f>
        <v>-41500</v>
      </c>
      <c r="Q497" s="36" t="str">
        <f t="shared" si="4"/>
        <v>0 Km, 28.11.2025</v>
      </c>
      <c r="R497" s="33"/>
      <c r="S497" s="40">
        <v>20000.0</v>
      </c>
      <c r="T497" s="25">
        <v>4.0</v>
      </c>
      <c r="U497" s="25" t="s">
        <v>1013</v>
      </c>
      <c r="V497" s="37"/>
      <c r="W497" s="37" t="str">
        <f t="shared" si="26"/>
        <v>Завершена</v>
      </c>
      <c r="X497" s="25" t="str">
        <f>IFERROR(__xludf.DUMMYFUNCTION("IF(C497 = """", """", IF(REGEXMATCH(C497, ""PCX|NMAX|ADV 150|CLICK""), ""скутер"", ""мото""))"),"мото")</f>
        <v>мото</v>
      </c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</row>
    <row r="498" hidden="1">
      <c r="A498" s="13" t="s">
        <v>24</v>
      </c>
      <c r="B498" s="13" t="s">
        <v>25</v>
      </c>
      <c r="C498" s="14" t="s">
        <v>193</v>
      </c>
      <c r="D498" s="14" t="s">
        <v>1014</v>
      </c>
      <c r="E498" s="48">
        <v>45986.0</v>
      </c>
      <c r="F498" s="38">
        <v>45995.583333333336</v>
      </c>
      <c r="G498" s="17" t="str">
        <f t="shared" si="32"/>
        <v>9 Д</v>
      </c>
      <c r="H498" s="18">
        <f t="shared" si="33"/>
        <v>543</v>
      </c>
      <c r="I498" s="19" t="str">
        <f t="shared" si="2"/>
        <v/>
      </c>
      <c r="J498" s="20" t="str">
        <f t="shared" si="25"/>
        <v/>
      </c>
      <c r="K498" s="23">
        <v>4887.0</v>
      </c>
      <c r="L498" s="20"/>
      <c r="M498" s="23">
        <v>543.0</v>
      </c>
      <c r="N498" s="49">
        <v>18800.0</v>
      </c>
      <c r="O498" s="22" t="str">
        <f>IFERROR(__xludf.DUMMYFUNCTION("IFERROR(
  VLOOKUP(C498,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C498
    ), 
    7, FALSE
  ), 
  """"
)
"),"")</f>
        <v/>
      </c>
      <c r="P498" s="22">
        <f>IFERROR(__xludf.DUMMYFUNCTION("IF(AND(Q498="""", R498=""""),
  """",
  IF(OR(ISBLANK(Q498), ISBLANK(O498)),
    """",
    IF(VALUE(SUBSTITUTE(INDEX(SPLIT(IF(ISBLANK(R498), Q498, R498), "",""), 0, 1), "" Km"", """")) - O498 = 0,
      """",
      VALUE(SUBSTITUTE(INDEX(SPLIT(IF(ISBLANK("&amp;"R498), Q498, R498), "",""), 0, 1), "" Km"", """")) - O498
    )
  )
)"),18800.0)</f>
        <v>18800</v>
      </c>
      <c r="Q498" s="23" t="str">
        <f t="shared" si="4"/>
        <v>18 800 Km, 25.11.2025</v>
      </c>
      <c r="R498" s="20"/>
      <c r="S498" s="41" t="s">
        <v>985</v>
      </c>
      <c r="T498" s="13">
        <v>2.0</v>
      </c>
      <c r="U498" s="13" t="s">
        <v>1015</v>
      </c>
      <c r="V498" s="24"/>
      <c r="W498" s="24" t="str">
        <f t="shared" si="26"/>
        <v>Завершена</v>
      </c>
      <c r="X498" s="13" t="str">
        <f>IFERROR(__xludf.DUMMYFUNCTION("IF(C498 = """", """", IF(REGEXMATCH(C498, ""PCX|NMAX|ADV 150|CLICK""), ""скутер"", ""мото""))"),"мото")</f>
        <v>мото</v>
      </c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</row>
    <row r="499" hidden="1">
      <c r="A499" s="25" t="s">
        <v>24</v>
      </c>
      <c r="B499" s="25" t="s">
        <v>25</v>
      </c>
      <c r="C499" s="27" t="s">
        <v>979</v>
      </c>
      <c r="D499" s="27" t="s">
        <v>1016</v>
      </c>
      <c r="E499" s="43">
        <v>45991.0</v>
      </c>
      <c r="F499" s="39">
        <v>45995.583333333336</v>
      </c>
      <c r="G499" s="30" t="str">
        <f t="shared" si="32"/>
        <v>4 Д</v>
      </c>
      <c r="H499" s="31">
        <f t="shared" si="33"/>
        <v>998</v>
      </c>
      <c r="I499" s="32" t="str">
        <f t="shared" si="2"/>
        <v/>
      </c>
      <c r="J499" s="33" t="str">
        <f t="shared" si="25"/>
        <v/>
      </c>
      <c r="K499" s="36">
        <v>3992.0</v>
      </c>
      <c r="L499" s="33"/>
      <c r="M499" s="36">
        <v>998.0</v>
      </c>
      <c r="N499" s="34"/>
      <c r="O499" s="35">
        <f>IFERROR(__xludf.DUMMYFUNCTION("IFERROR(
  VLOOKUP(C499,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C499
    ), 
    7, FALSE
  ), 
  """"
)
"),6800.0)</f>
        <v>6800</v>
      </c>
      <c r="P499" s="35">
        <f>IFERROR(__xludf.DUMMYFUNCTION("IF(AND(Q499="""", R499=""""),
  """",
  IF(OR(ISBLANK(Q499), ISBLANK(O499)),
    """",
    IF(VALUE(SUBSTITUTE(INDEX(SPLIT(IF(ISBLANK(R499), Q499, R499), "",""), 0, 1), "" Km"", """")) - O499 = 0,
      """",
      VALUE(SUBSTITUTE(INDEX(SPLIT(IF(ISBLANK("&amp;"R499), Q499, R499), "",""), 0, 1), "" Km"", """")) - O499
    )
  )
)"),-6800.0)</f>
        <v>-6800</v>
      </c>
      <c r="Q499" s="36" t="str">
        <f t="shared" si="4"/>
        <v>0 Km, 30.11.2025</v>
      </c>
      <c r="R499" s="33"/>
      <c r="S499" s="40">
        <v>7000.0</v>
      </c>
      <c r="T499" s="25">
        <v>1.0</v>
      </c>
      <c r="U499" s="25" t="s">
        <v>1017</v>
      </c>
      <c r="V499" s="37"/>
      <c r="W499" s="37" t="str">
        <f t="shared" si="26"/>
        <v>Завершена</v>
      </c>
      <c r="X499" s="25" t="str">
        <f>IFERROR(__xludf.DUMMYFUNCTION("IF(C499 = """", """", IF(REGEXMATCH(C499, ""PCX|NMAX|ADV 150|CLICK""), ""скутер"", ""мото""))"),"мото")</f>
        <v>мото</v>
      </c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</row>
    <row r="500" hidden="1">
      <c r="A500" s="13" t="s">
        <v>24</v>
      </c>
      <c r="B500" s="13" t="s">
        <v>25</v>
      </c>
      <c r="C500" s="14" t="s">
        <v>979</v>
      </c>
      <c r="D500" s="14" t="s">
        <v>1016</v>
      </c>
      <c r="E500" s="48">
        <v>45991.0</v>
      </c>
      <c r="F500" s="38">
        <v>45996.583333333336</v>
      </c>
      <c r="G500" s="17" t="str">
        <f t="shared" si="32"/>
        <v>5 Д</v>
      </c>
      <c r="H500" s="18">
        <f t="shared" si="33"/>
        <v>998</v>
      </c>
      <c r="I500" s="19" t="str">
        <f t="shared" si="2"/>
        <v/>
      </c>
      <c r="J500" s="20" t="str">
        <f t="shared" si="25"/>
        <v/>
      </c>
      <c r="K500" s="23">
        <v>4990.0</v>
      </c>
      <c r="L500" s="20"/>
      <c r="M500" s="23">
        <v>998.0</v>
      </c>
      <c r="N500" s="21"/>
      <c r="O500" s="22">
        <f>IFERROR(__xludf.DUMMYFUNCTION("IFERROR(
  VLOOKUP(C500,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C500
    ), 
    7, FALSE
  ), 
  """"
)
"),6800.0)</f>
        <v>6800</v>
      </c>
      <c r="P500" s="22">
        <f>IFERROR(__xludf.DUMMYFUNCTION("IF(AND(Q500="""", R500=""""),
  """",
  IF(OR(ISBLANK(Q500), ISBLANK(O500)),
    """",
    IF(VALUE(SUBSTITUTE(INDEX(SPLIT(IF(ISBLANK(R500), Q500, R500), "",""), 0, 1), "" Km"", """")) - O500 = 0,
      """",
      VALUE(SUBSTITUTE(INDEX(SPLIT(IF(ISBLANK("&amp;"R500), Q500, R500), "",""), 0, 1), "" Km"", """")) - O500
    )
  )
)"),-6800.0)</f>
        <v>-6800</v>
      </c>
      <c r="Q500" s="23" t="str">
        <f t="shared" si="4"/>
        <v>0 Km, 30.11.2025</v>
      </c>
      <c r="R500" s="20"/>
      <c r="S500" s="41">
        <v>7000.0</v>
      </c>
      <c r="T500" s="13">
        <v>1.0</v>
      </c>
      <c r="U500" s="13" t="s">
        <v>1017</v>
      </c>
      <c r="V500" s="24"/>
      <c r="W500" s="24" t="str">
        <f t="shared" si="26"/>
        <v>Завершена</v>
      </c>
      <c r="X500" s="13" t="str">
        <f>IFERROR(__xludf.DUMMYFUNCTION("IF(C500 = """", """", IF(REGEXMATCH(C500, ""PCX|NMAX|ADV 150|CLICK""), ""скутер"", ""мото""))"),"мото")</f>
        <v>мото</v>
      </c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</row>
    <row r="501" hidden="1">
      <c r="A501" s="25" t="s">
        <v>24</v>
      </c>
      <c r="B501" s="25" t="s">
        <v>25</v>
      </c>
      <c r="C501" s="27" t="s">
        <v>981</v>
      </c>
      <c r="D501" s="27" t="s">
        <v>1018</v>
      </c>
      <c r="E501" s="43">
        <v>45987.0</v>
      </c>
      <c r="F501" s="39">
        <v>45997.375</v>
      </c>
      <c r="G501" s="30" t="str">
        <f t="shared" si="32"/>
        <v>10 Д</v>
      </c>
      <c r="H501" s="31">
        <f t="shared" si="33"/>
        <v>908</v>
      </c>
      <c r="I501" s="32" t="str">
        <f t="shared" si="2"/>
        <v/>
      </c>
      <c r="J501" s="33" t="str">
        <f t="shared" si="25"/>
        <v/>
      </c>
      <c r="K501" s="36">
        <v>9080.0</v>
      </c>
      <c r="L501" s="33"/>
      <c r="M501" s="36">
        <v>908.0</v>
      </c>
      <c r="N501" s="34"/>
      <c r="O501" s="35">
        <f>IFERROR(__xludf.DUMMYFUNCTION("IFERROR(
  VLOOKUP(C501,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C501
    ), 
    7, FALSE
  ), 
  """"
)
"),6800.0)</f>
        <v>6800</v>
      </c>
      <c r="P501" s="35">
        <f>IFERROR(__xludf.DUMMYFUNCTION("IF(AND(Q501="""", R501=""""),
  """",
  IF(OR(ISBLANK(Q501), ISBLANK(O501)),
    """",
    IF(VALUE(SUBSTITUTE(INDEX(SPLIT(IF(ISBLANK(R501), Q501, R501), "",""), 0, 1), "" Km"", """")) - O501 = 0,
      """",
      VALUE(SUBSTITUTE(INDEX(SPLIT(IF(ISBLANK("&amp;"R501), Q501, R501), "",""), 0, 1), "" Km"", """")) - O501
    )
  )
)"),-6800.0)</f>
        <v>-6800</v>
      </c>
      <c r="Q501" s="36" t="str">
        <f t="shared" si="4"/>
        <v>0 Km, 26.11.2025</v>
      </c>
      <c r="R501" s="33"/>
      <c r="S501" s="40">
        <v>7000.0</v>
      </c>
      <c r="T501" s="25">
        <v>2.0</v>
      </c>
      <c r="U501" s="71" t="s">
        <v>1019</v>
      </c>
      <c r="V501" s="37"/>
      <c r="W501" s="37" t="str">
        <f t="shared" si="26"/>
        <v>Завершена</v>
      </c>
      <c r="X501" s="25" t="str">
        <f>IFERROR(__xludf.DUMMYFUNCTION("IF(C501 = """", """", IF(REGEXMATCH(C501, ""PCX|NMAX|ADV 150|CLICK""), ""скутер"", ""мото""))"),"мото")</f>
        <v>мото</v>
      </c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</row>
    <row r="502" hidden="1">
      <c r="A502" s="13" t="s">
        <v>24</v>
      </c>
      <c r="B502" s="13" t="s">
        <v>25</v>
      </c>
      <c r="C502" s="14" t="s">
        <v>946</v>
      </c>
      <c r="D502" s="14" t="s">
        <v>947</v>
      </c>
      <c r="E502" s="48">
        <v>45973.0</v>
      </c>
      <c r="F502" s="38">
        <v>45998.458333333336</v>
      </c>
      <c r="G502" s="17" t="str">
        <f t="shared" si="32"/>
        <v>25 Д</v>
      </c>
      <c r="H502" s="18">
        <f t="shared" si="33"/>
        <v>330</v>
      </c>
      <c r="I502" s="19" t="str">
        <f t="shared" si="2"/>
        <v/>
      </c>
      <c r="J502" s="20" t="str">
        <f t="shared" si="25"/>
        <v/>
      </c>
      <c r="K502" s="23">
        <f>4620+2970</f>
        <v>7590</v>
      </c>
      <c r="L502" s="23"/>
      <c r="M502" s="23">
        <v>330.0</v>
      </c>
      <c r="N502" s="49">
        <v>20500.0</v>
      </c>
      <c r="O502" s="22">
        <f>IFERROR(__xludf.DUMMYFUNCTION("IFERROR(
  VLOOKUP(C502,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C502
    ), 
    7, FALSE
  ), 
  """"
)
"),20400.0)</f>
        <v>20400</v>
      </c>
      <c r="P502" s="22">
        <f>IFERROR(__xludf.DUMMYFUNCTION("IF(AND(Q502="""", R502=""""),
  """",
  IF(OR(ISBLANK(Q502), ISBLANK(O502)),
    """",
    IF(VALUE(SUBSTITUTE(INDEX(SPLIT(IF(ISBLANK(R502), Q502, R502), "",""), 0, 1), "" Km"", """")) - O502 = 0,
      """",
      VALUE(SUBSTITUTE(INDEX(SPLIT(IF(ISBLANK("&amp;"R502), Q502, R502), "",""), 0, 1), "" Km"", """")) - O502
    )
  )
)"),100.0)</f>
        <v>100</v>
      </c>
      <c r="Q502" s="23" t="str">
        <f t="shared" si="4"/>
        <v>20 500 Km, 12.11.2025</v>
      </c>
      <c r="R502" s="20"/>
      <c r="S502" s="41" t="s">
        <v>1020</v>
      </c>
      <c r="T502" s="13">
        <v>2.0</v>
      </c>
      <c r="U502" s="13" t="s">
        <v>918</v>
      </c>
      <c r="V502" s="24"/>
      <c r="W502" s="24" t="str">
        <f t="shared" si="26"/>
        <v>Завершена</v>
      </c>
      <c r="X502" s="13" t="str">
        <f>IFERROR(__xludf.DUMMYFUNCTION("IF(C502 = """", """", IF(REGEXMATCH(C502, ""PCX|NMAX|ADV 150|CLICK""), ""скутер"", ""мото""))"),"мото")</f>
        <v>мото</v>
      </c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</row>
    <row r="503" hidden="1">
      <c r="A503" s="25" t="s">
        <v>24</v>
      </c>
      <c r="B503" s="25" t="s">
        <v>25</v>
      </c>
      <c r="C503" s="27" t="s">
        <v>971</v>
      </c>
      <c r="D503" s="27" t="s">
        <v>667</v>
      </c>
      <c r="E503" s="43">
        <v>45985.0</v>
      </c>
      <c r="F503" s="39">
        <v>45999.458333333336</v>
      </c>
      <c r="G503" s="30" t="str">
        <f t="shared" si="32"/>
        <v>14 Д</v>
      </c>
      <c r="H503" s="31">
        <f t="shared" si="33"/>
        <v>785</v>
      </c>
      <c r="I503" s="32" t="str">
        <f t="shared" si="2"/>
        <v/>
      </c>
      <c r="J503" s="33" t="str">
        <f t="shared" si="25"/>
        <v/>
      </c>
      <c r="K503" s="36">
        <v>11000.0</v>
      </c>
      <c r="L503" s="33"/>
      <c r="M503" s="36">
        <v>785.0</v>
      </c>
      <c r="N503" s="34"/>
      <c r="O503" s="35">
        <f>IFERROR(__xludf.DUMMYFUNCTION("IFERROR(
  VLOOKUP(C503,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C503
    ), 
    7, FALSE
  ), 
  """"
)
"),18300.0)</f>
        <v>18300</v>
      </c>
      <c r="P503" s="35">
        <f>IFERROR(__xludf.DUMMYFUNCTION("IF(AND(Q503="""", R503=""""),
  """",
  IF(OR(ISBLANK(Q503), ISBLANK(O503)),
    """",
    IF(VALUE(SUBSTITUTE(INDEX(SPLIT(IF(ISBLANK(R503), Q503, R503), "",""), 0, 1), "" Km"", """")) - O503 = 0,
      """",
      VALUE(SUBSTITUTE(INDEX(SPLIT(IF(ISBLANK("&amp;"R503), Q503, R503), "",""), 0, 1), "" Km"", """")) - O503
    )
  )
)"),-18300.0)</f>
        <v>-18300</v>
      </c>
      <c r="Q503" s="36" t="str">
        <f t="shared" si="4"/>
        <v>0 Km, 24.11.2025</v>
      </c>
      <c r="R503" s="33"/>
      <c r="S503" s="40" t="s">
        <v>1021</v>
      </c>
      <c r="T503" s="25">
        <v>2.0</v>
      </c>
      <c r="U503" s="25" t="s">
        <v>668</v>
      </c>
      <c r="V503" s="37"/>
      <c r="W503" s="37" t="str">
        <f t="shared" si="26"/>
        <v>Завершена</v>
      </c>
      <c r="X503" s="25" t="str">
        <f>IFERROR(__xludf.DUMMYFUNCTION("IF(C503 = """", """", IF(REGEXMATCH(C503, ""PCX|NMAX|ADV 150|CLICK""), ""скутер"", ""мото""))"),"мото")</f>
        <v>мото</v>
      </c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</row>
    <row r="504" hidden="1">
      <c r="A504" s="13" t="s">
        <v>24</v>
      </c>
      <c r="B504" s="14" t="s">
        <v>25</v>
      </c>
      <c r="C504" s="14" t="s">
        <v>948</v>
      </c>
      <c r="D504" s="105" t="s">
        <v>89</v>
      </c>
      <c r="E504" s="48">
        <v>45968.0</v>
      </c>
      <c r="F504" s="38">
        <v>45998.458333333336</v>
      </c>
      <c r="G504" s="17" t="str">
        <f t="shared" si="32"/>
        <v>30 Д</v>
      </c>
      <c r="H504" s="18">
        <f>IF(L504&lt;&gt;"", VALUE(L504)/31, IF(M504&lt;&gt;"", VALUE(M504)/1, ""))
</f>
        <v>451.6129032</v>
      </c>
      <c r="I504" s="80" t="str">
        <f t="shared" si="2"/>
        <v/>
      </c>
      <c r="J504" s="64" t="str">
        <f t="shared" si="25"/>
        <v/>
      </c>
      <c r="K504" s="23">
        <v>14000.0</v>
      </c>
      <c r="L504" s="63">
        <v>14000.0</v>
      </c>
      <c r="M504" s="64"/>
      <c r="N504" s="49">
        <v>20600.0</v>
      </c>
      <c r="O504" s="22">
        <f>IFERROR(__xludf.DUMMYFUNCTION("IFERROR(
  VLOOKUP(C504,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C504
    ), 
    7, FALSE
  ), 
  """"
)
"),24553.0)</f>
        <v>24553</v>
      </c>
      <c r="P504" s="22">
        <f>IFERROR(__xludf.DUMMYFUNCTION("IF(AND(Q504="""", R504=""""),
  """",
  IF(OR(ISBLANK(Q504), ISBLANK(O504)),
    """",
    IF(VALUE(SUBSTITUTE(INDEX(SPLIT(IF(ISBLANK(R504), Q504, R504), "",""), 0, 1), "" Km"", """")) - O504 = 0,
      """",
      VALUE(SUBSTITUTE(INDEX(SPLIT(IF(ISBLANK("&amp;"R504), Q504, R504), "",""), 0, 1), "" Km"", """")) - O504
    )
  )
)"),-3953.0)</f>
        <v>-3953</v>
      </c>
      <c r="Q504" s="20" t="str">
        <f t="shared" si="4"/>
        <v>20 600 Km, 07.11.2025</v>
      </c>
      <c r="R504" s="20"/>
      <c r="S504" s="41">
        <v>0.0</v>
      </c>
      <c r="T504" s="19">
        <v>1.0</v>
      </c>
      <c r="U504" s="24" t="s">
        <v>90</v>
      </c>
      <c r="V504" s="73"/>
      <c r="W504" s="24" t="str">
        <f t="shared" si="26"/>
        <v>Завершена</v>
      </c>
      <c r="X504" s="42" t="str">
        <f>IFERROR(__xludf.DUMMYFUNCTION("IF(C504 = """", """", IF(REGEXMATCH(C504, ""PCX|NMAX|ADV 150|CLICK""), ""скутер"", ""мото""))"),"мото")</f>
        <v>мото</v>
      </c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</row>
    <row r="505" hidden="1">
      <c r="A505" s="25" t="s">
        <v>24</v>
      </c>
      <c r="B505" s="25" t="s">
        <v>25</v>
      </c>
      <c r="C505" s="27" t="s">
        <v>102</v>
      </c>
      <c r="D505" s="27" t="s">
        <v>1022</v>
      </c>
      <c r="E505" s="43">
        <v>45995.0</v>
      </c>
      <c r="F505" s="39">
        <v>45998.666666666664</v>
      </c>
      <c r="G505" s="30" t="str">
        <f t="shared" si="32"/>
        <v>3 Д</v>
      </c>
      <c r="H505" s="31">
        <f t="shared" ref="H505:H589" si="35">IF(L505&lt;&gt;"", VALUE(L505)/30, IF(M505&lt;&gt;"", VALUE(M505)/1, ""))
</f>
        <v>1790</v>
      </c>
      <c r="I505" s="32" t="str">
        <f t="shared" si="2"/>
        <v/>
      </c>
      <c r="J505" s="33" t="str">
        <f t="shared" si="25"/>
        <v/>
      </c>
      <c r="K505" s="36">
        <v>5370.0</v>
      </c>
      <c r="L505" s="33"/>
      <c r="M505" s="36">
        <v>1790.0</v>
      </c>
      <c r="N505" s="34"/>
      <c r="O505" s="35">
        <f>IFERROR(__xludf.DUMMYFUNCTION("IFERROR(
  VLOOKUP(C505,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C505
    ), 
    7, FALSE
  ), 
  """"
)
"),63700.0)</f>
        <v>63700</v>
      </c>
      <c r="P505" s="35">
        <f>IFERROR(__xludf.DUMMYFUNCTION("IF(AND(Q505="""", R505=""""),
  """",
  IF(OR(ISBLANK(Q505), ISBLANK(O505)),
    """",
    IF(VALUE(SUBSTITUTE(INDEX(SPLIT(IF(ISBLANK(R505), Q505, R505), "",""), 0, 1), "" Km"", """")) - O505 = 0,
      """",
      VALUE(SUBSTITUTE(INDEX(SPLIT(IF(ISBLANK("&amp;"R505), Q505, R505), "",""), 0, 1), "" Km"", """")) - O505
    )
  )
)"),-63700.0)</f>
        <v>-63700</v>
      </c>
      <c r="Q505" s="36" t="str">
        <f t="shared" si="4"/>
        <v>0 Km, 04.12.2025</v>
      </c>
      <c r="R505" s="33"/>
      <c r="S505" s="40">
        <v>20000.0</v>
      </c>
      <c r="T505" s="25">
        <v>1.0</v>
      </c>
      <c r="U505" s="25" t="s">
        <v>1023</v>
      </c>
      <c r="V505" s="37"/>
      <c r="W505" s="37" t="str">
        <f t="shared" si="26"/>
        <v>Завершена</v>
      </c>
      <c r="X505" s="25" t="str">
        <f>IFERROR(__xludf.DUMMYFUNCTION("IF(C505 = """", """", IF(REGEXMATCH(C505, ""PCX|NMAX|ADV 150|CLICK""), ""скутер"", ""мото""))"),"мото")</f>
        <v>мото</v>
      </c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</row>
    <row r="506" hidden="1">
      <c r="A506" s="13" t="s">
        <v>24</v>
      </c>
      <c r="B506" s="13" t="s">
        <v>25</v>
      </c>
      <c r="C506" s="14" t="s">
        <v>77</v>
      </c>
      <c r="D506" s="14" t="s">
        <v>1024</v>
      </c>
      <c r="E506" s="48">
        <v>45996.0</v>
      </c>
      <c r="F506" s="38">
        <v>46000.5</v>
      </c>
      <c r="G506" s="17" t="str">
        <f t="shared" si="32"/>
        <v>4 Д</v>
      </c>
      <c r="H506" s="18">
        <f t="shared" si="35"/>
        <v>471</v>
      </c>
      <c r="I506" s="19" t="str">
        <f t="shared" si="2"/>
        <v/>
      </c>
      <c r="J506" s="20" t="str">
        <f t="shared" si="25"/>
        <v/>
      </c>
      <c r="K506" s="23">
        <v>1884.0</v>
      </c>
      <c r="L506" s="20"/>
      <c r="M506" s="23">
        <v>471.0</v>
      </c>
      <c r="N506" s="21"/>
      <c r="O506" s="22">
        <f>IFERROR(__xludf.DUMMYFUNCTION("IFERROR(
  VLOOKUP(C506,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C506
    ), 
    7, FALSE
  ), 
  """"
)
"),37300.0)</f>
        <v>37300</v>
      </c>
      <c r="P506" s="22">
        <f>IFERROR(__xludf.DUMMYFUNCTION("IF(AND(Q506="""", R506=""""),
  """",
  IF(OR(ISBLANK(Q506), ISBLANK(O506)),
    """",
    IF(VALUE(SUBSTITUTE(INDEX(SPLIT(IF(ISBLANK(R506), Q506, R506), "",""), 0, 1), "" Km"", """")) - O506 = 0,
      """",
      VALUE(SUBSTITUTE(INDEX(SPLIT(IF(ISBLANK("&amp;"R506), Q506, R506), "",""), 0, 1), "" Km"", """")) - O506
    )
  )
)"),-37300.0)</f>
        <v>-37300</v>
      </c>
      <c r="Q506" s="23" t="str">
        <f t="shared" si="4"/>
        <v>0 Km, 05.12.2025</v>
      </c>
      <c r="R506" s="20"/>
      <c r="S506" s="41">
        <v>3000.0</v>
      </c>
      <c r="T506" s="13">
        <v>2.0</v>
      </c>
      <c r="U506" s="13" t="s">
        <v>1025</v>
      </c>
      <c r="V506" s="24"/>
      <c r="W506" s="24" t="str">
        <f t="shared" si="26"/>
        <v>Завершена</v>
      </c>
      <c r="X506" s="13" t="str">
        <f>IFERROR(__xludf.DUMMYFUNCTION("IF(C506 = """", """", IF(REGEXMATCH(C506, ""PCX|NMAX|ADV 150|CLICK""), ""скутер"", ""мото""))"),"скутер")</f>
        <v>скутер</v>
      </c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</row>
    <row r="507" hidden="1">
      <c r="A507" s="25" t="s">
        <v>24</v>
      </c>
      <c r="B507" s="25" t="s">
        <v>25</v>
      </c>
      <c r="C507" s="27" t="s">
        <v>923</v>
      </c>
      <c r="D507" s="27" t="s">
        <v>1026</v>
      </c>
      <c r="E507" s="43">
        <v>45988.0</v>
      </c>
      <c r="F507" s="39">
        <v>46004.625</v>
      </c>
      <c r="G507" s="30" t="str">
        <f t="shared" si="32"/>
        <v>16 Д</v>
      </c>
      <c r="H507" s="31">
        <f t="shared" si="35"/>
        <v>755</v>
      </c>
      <c r="I507" s="32" t="str">
        <f t="shared" si="2"/>
        <v/>
      </c>
      <c r="J507" s="33" t="str">
        <f t="shared" si="25"/>
        <v/>
      </c>
      <c r="K507" s="36">
        <v>12080.0</v>
      </c>
      <c r="L507" s="33"/>
      <c r="M507" s="36">
        <v>755.0</v>
      </c>
      <c r="N507" s="34"/>
      <c r="O507" s="35">
        <f>IFERROR(__xludf.DUMMYFUNCTION("IFERROR(
  VLOOKUP(C507,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C507
    ), 
    7, FALSE
  ), 
  """"
)
"),25378.0)</f>
        <v>25378</v>
      </c>
      <c r="P507" s="35">
        <f>IFERROR(__xludf.DUMMYFUNCTION("IF(AND(Q507="""", R507=""""),
  """",
  IF(OR(ISBLANK(Q507), ISBLANK(O507)),
    """",
    IF(VALUE(SUBSTITUTE(INDEX(SPLIT(IF(ISBLANK(R507), Q507, R507), "",""), 0, 1), "" Km"", """")) - O507 = 0,
      """",
      VALUE(SUBSTITUTE(INDEX(SPLIT(IF(ISBLANK("&amp;"R507), Q507, R507), "",""), 0, 1), "" Km"", """")) - O507
    )
  )
)"),-25378.0)</f>
        <v>-25378</v>
      </c>
      <c r="Q507" s="36" t="str">
        <f t="shared" si="4"/>
        <v>0 Km, 27.11.2025</v>
      </c>
      <c r="R507" s="33"/>
      <c r="S507" s="40">
        <v>7000.0</v>
      </c>
      <c r="T507" s="25">
        <v>0.0</v>
      </c>
      <c r="U507" s="25" t="s">
        <v>1027</v>
      </c>
      <c r="V507" s="37"/>
      <c r="W507" s="37" t="str">
        <f t="shared" si="26"/>
        <v>Завершена</v>
      </c>
      <c r="X507" s="25" t="str">
        <f>IFERROR(__xludf.DUMMYFUNCTION("IF(C507 = """", """", IF(REGEXMATCH(C507, ""PCX|NMAX|ADV 150|CLICK""), ""скутер"", ""мото""))"),"мото")</f>
        <v>мото</v>
      </c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</row>
    <row r="508" hidden="1">
      <c r="A508" s="13" t="s">
        <v>24</v>
      </c>
      <c r="B508" s="13" t="s">
        <v>25</v>
      </c>
      <c r="C508" s="14" t="s">
        <v>1028</v>
      </c>
      <c r="D508" s="14" t="s">
        <v>1029</v>
      </c>
      <c r="E508" s="48">
        <v>45993.0</v>
      </c>
      <c r="F508" s="38">
        <v>46003.666666666664</v>
      </c>
      <c r="G508" s="17" t="str">
        <f t="shared" si="32"/>
        <v>10 Д</v>
      </c>
      <c r="H508" s="18">
        <f t="shared" si="35"/>
        <v>897</v>
      </c>
      <c r="I508" s="19" t="str">
        <f t="shared" si="2"/>
        <v/>
      </c>
      <c r="J508" s="20" t="str">
        <f t="shared" si="25"/>
        <v/>
      </c>
      <c r="K508" s="23">
        <v>8970.0</v>
      </c>
      <c r="L508" s="20"/>
      <c r="M508" s="23">
        <v>897.0</v>
      </c>
      <c r="N508" s="21"/>
      <c r="O508" s="22">
        <f>IFERROR(__xludf.DUMMYFUNCTION("IFERROR(
  VLOOKUP(C508,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C508
    ), 
    7, FALSE
  ), 
  """"
)
"),21600.0)</f>
        <v>21600</v>
      </c>
      <c r="P508" s="22">
        <f>IFERROR(__xludf.DUMMYFUNCTION("IF(AND(Q508="""", R508=""""),
  """",
  IF(OR(ISBLANK(Q508), ISBLANK(O508)),
    """",
    IF(VALUE(SUBSTITUTE(INDEX(SPLIT(IF(ISBLANK(R508), Q508, R508), "",""), 0, 1), "" Km"", """")) - O508 = 0,
      """",
      VALUE(SUBSTITUTE(INDEX(SPLIT(IF(ISBLANK("&amp;"R508), Q508, R508), "",""), 0, 1), "" Km"", """")) - O508
    )
  )
)"),-21600.0)</f>
        <v>-21600</v>
      </c>
      <c r="Q508" s="23" t="str">
        <f t="shared" si="4"/>
        <v>0 Km, 02.12.2025</v>
      </c>
      <c r="R508" s="20"/>
      <c r="S508" s="41">
        <v>7000.0</v>
      </c>
      <c r="T508" s="13">
        <v>2.0</v>
      </c>
      <c r="U508" s="13" t="s">
        <v>1030</v>
      </c>
      <c r="V508" s="24"/>
      <c r="W508" s="24" t="str">
        <f t="shared" si="26"/>
        <v>Завершена</v>
      </c>
      <c r="X508" s="13" t="str">
        <f>IFERROR(__xludf.DUMMYFUNCTION("IF(C508 = """", """", IF(REGEXMATCH(C508, ""PCX|NMAX|ADV 150|CLICK""), ""скутер"", ""мото""))"),"мото")</f>
        <v>мото</v>
      </c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</row>
    <row r="509" hidden="1">
      <c r="A509" s="25" t="s">
        <v>24</v>
      </c>
      <c r="B509" s="25" t="s">
        <v>25</v>
      </c>
      <c r="C509" s="27" t="s">
        <v>56</v>
      </c>
      <c r="D509" s="27" t="s">
        <v>1031</v>
      </c>
      <c r="E509" s="43">
        <v>45994.0</v>
      </c>
      <c r="F509" s="39">
        <v>46004.541666666664</v>
      </c>
      <c r="G509" s="30" t="str">
        <f t="shared" si="32"/>
        <v>10 Д</v>
      </c>
      <c r="H509" s="31">
        <f t="shared" si="35"/>
        <v>409</v>
      </c>
      <c r="I509" s="32" t="str">
        <f t="shared" si="2"/>
        <v/>
      </c>
      <c r="J509" s="33" t="str">
        <f t="shared" si="25"/>
        <v/>
      </c>
      <c r="K509" s="36">
        <v>4090.0</v>
      </c>
      <c r="L509" s="33"/>
      <c r="M509" s="36">
        <v>409.0</v>
      </c>
      <c r="N509" s="44">
        <v>36401.0</v>
      </c>
      <c r="O509" s="35">
        <f>IFERROR(__xludf.DUMMYFUNCTION("IFERROR(
  VLOOKUP(C509,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C509
    ), 
    7, FALSE
  ), 
  """"
)
"),36400.0)</f>
        <v>36400</v>
      </c>
      <c r="P509" s="35">
        <f>IFERROR(__xludf.DUMMYFUNCTION("IF(AND(Q509="""", R509=""""),
  """",
  IF(OR(ISBLANK(Q509), ISBLANK(O509)),
    """",
    IF(VALUE(SUBSTITUTE(INDEX(SPLIT(IF(ISBLANK(R509), Q509, R509), "",""), 0, 1), "" Km"", """")) - O509 = 0,
      """",
      VALUE(SUBSTITUTE(INDEX(SPLIT(IF(ISBLANK("&amp;"R509), Q509, R509), "",""), 0, 1), "" Km"", """")) - O509
    )
  )
)"),1.0)</f>
        <v>1</v>
      </c>
      <c r="Q509" s="36" t="str">
        <f t="shared" si="4"/>
        <v>36 401 Km, 03.12.2025</v>
      </c>
      <c r="R509" s="33"/>
      <c r="S509" s="40">
        <v>3000.0</v>
      </c>
      <c r="T509" s="25">
        <v>2.0</v>
      </c>
      <c r="U509" s="25" t="s">
        <v>1032</v>
      </c>
      <c r="V509" s="37"/>
      <c r="W509" s="37" t="str">
        <f t="shared" si="26"/>
        <v>Завершена</v>
      </c>
      <c r="X509" s="25" t="str">
        <f>IFERROR(__xludf.DUMMYFUNCTION("IF(C509 = """", """", IF(REGEXMATCH(C509, ""PCX|NMAX|ADV 150|CLICK""), ""скутер"", ""мото""))"),"скутер")</f>
        <v>скутер</v>
      </c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</row>
    <row r="510" hidden="1">
      <c r="A510" s="13" t="s">
        <v>24</v>
      </c>
      <c r="B510" s="13" t="s">
        <v>25</v>
      </c>
      <c r="C510" s="14" t="s">
        <v>951</v>
      </c>
      <c r="D510" s="14" t="s">
        <v>1033</v>
      </c>
      <c r="E510" s="48">
        <v>45998.0</v>
      </c>
      <c r="F510" s="38">
        <v>46004.583333333336</v>
      </c>
      <c r="G510" s="17" t="str">
        <f t="shared" si="32"/>
        <v>6 Д</v>
      </c>
      <c r="H510" s="18">
        <f t="shared" si="35"/>
        <v>927</v>
      </c>
      <c r="I510" s="19" t="str">
        <f t="shared" si="2"/>
        <v/>
      </c>
      <c r="J510" s="20" t="str">
        <f t="shared" si="25"/>
        <v/>
      </c>
      <c r="K510" s="23">
        <v>5562.0</v>
      </c>
      <c r="L510" s="20"/>
      <c r="M510" s="23">
        <v>927.0</v>
      </c>
      <c r="N510" s="21"/>
      <c r="O510" s="22">
        <f>IFERROR(__xludf.DUMMYFUNCTION("IFERROR(
  VLOOKUP(C510,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C510
    ), 
    7, FALSE
  ), 
  """"
)
"),21100.0)</f>
        <v>21100</v>
      </c>
      <c r="P510" s="22">
        <f>IFERROR(__xludf.DUMMYFUNCTION("IF(AND(Q510="""", R510=""""),
  """",
  IF(OR(ISBLANK(Q510), ISBLANK(O510)),
    """",
    IF(VALUE(SUBSTITUTE(INDEX(SPLIT(IF(ISBLANK(R510), Q510, R510), "",""), 0, 1), "" Km"", """")) - O510 = 0,
      """",
      VALUE(SUBSTITUTE(INDEX(SPLIT(IF(ISBLANK("&amp;"R510), Q510, R510), "",""), 0, 1), "" Km"", """")) - O510
    )
  )
)"),-21100.0)</f>
        <v>-21100</v>
      </c>
      <c r="Q510" s="23" t="str">
        <f t="shared" si="4"/>
        <v>0 Km, 07.12.2025</v>
      </c>
      <c r="R510" s="20"/>
      <c r="S510" s="41">
        <v>7000.0</v>
      </c>
      <c r="T510" s="13">
        <v>3.0</v>
      </c>
      <c r="U510" s="13" t="s">
        <v>1034</v>
      </c>
      <c r="V510" s="24"/>
      <c r="W510" s="24" t="str">
        <f t="shared" si="26"/>
        <v>Завершена</v>
      </c>
      <c r="X510" s="13" t="str">
        <f>IFERROR(__xludf.DUMMYFUNCTION("IF(C510 = """", """", IF(REGEXMATCH(C510, ""PCX|NMAX|ADV 150|CLICK""), ""скутер"", ""мото""))"),"мото")</f>
        <v>мото</v>
      </c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</row>
    <row r="511" hidden="1">
      <c r="A511" s="25" t="s">
        <v>24</v>
      </c>
      <c r="B511" s="27" t="s">
        <v>25</v>
      </c>
      <c r="C511" s="27" t="s">
        <v>979</v>
      </c>
      <c r="D511" s="82" t="s">
        <v>1016</v>
      </c>
      <c r="E511" s="43">
        <v>45996.0</v>
      </c>
      <c r="F511" s="39">
        <v>46006.583333333336</v>
      </c>
      <c r="G511" s="30" t="str">
        <f t="shared" si="32"/>
        <v>10 Д</v>
      </c>
      <c r="H511" s="31">
        <f t="shared" si="35"/>
        <v>850</v>
      </c>
      <c r="I511" s="32" t="str">
        <f t="shared" si="2"/>
        <v/>
      </c>
      <c r="J511" s="33" t="str">
        <f t="shared" si="25"/>
        <v/>
      </c>
      <c r="K511" s="36">
        <v>8500.0</v>
      </c>
      <c r="L511" s="67"/>
      <c r="M511" s="36">
        <v>850.0</v>
      </c>
      <c r="N511" s="110"/>
      <c r="O511" s="35">
        <f>IFERROR(__xludf.DUMMYFUNCTION("IFERROR(
  VLOOKUP(C511,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C511
    ), 
    7, FALSE
  ), 
  """"
)
"),6800.0)</f>
        <v>6800</v>
      </c>
      <c r="P511" s="35">
        <f>IFERROR(__xludf.DUMMYFUNCTION("IF(AND(Q511="""", R511=""""),
  """",
  IF(OR(ISBLANK(Q511), ISBLANK(O511)),
    """",
    IF(VALUE(SUBSTITUTE(INDEX(SPLIT(IF(ISBLANK(R511), Q511, R511), "",""), 0, 1), "" Km"", """")) - O511 = 0,
      """",
      VALUE(SUBSTITUTE(INDEX(SPLIT(IF(ISBLANK("&amp;"R511), Q511, R511), "",""), 0, 1), "" Km"", """")) - O511
    )
  )
)"),-6800.0)</f>
        <v>-6800</v>
      </c>
      <c r="Q511" s="33" t="str">
        <f t="shared" si="4"/>
        <v>0 Km, 05.12.2025</v>
      </c>
      <c r="R511" s="67"/>
      <c r="S511" s="31">
        <v>7000.0</v>
      </c>
      <c r="T511" s="37">
        <v>1.0</v>
      </c>
      <c r="U511" s="37" t="s">
        <v>1017</v>
      </c>
      <c r="V511" s="75"/>
      <c r="W511" s="37" t="str">
        <f t="shared" si="26"/>
        <v>Завершена</v>
      </c>
      <c r="X511" s="46" t="str">
        <f>IFERROR(__xludf.DUMMYFUNCTION("IF(C511 = """", """", IF(REGEXMATCH(C511, ""PCX|NMAX|ADV 150|CLICK""), ""скутер"", ""мото""))"),"мото")</f>
        <v>мото</v>
      </c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</row>
    <row r="512" hidden="1">
      <c r="A512" s="13" t="s">
        <v>24</v>
      </c>
      <c r="B512" s="13" t="s">
        <v>25</v>
      </c>
      <c r="C512" s="14" t="s">
        <v>916</v>
      </c>
      <c r="D512" s="14" t="s">
        <v>1026</v>
      </c>
      <c r="E512" s="48">
        <v>46004.0</v>
      </c>
      <c r="F512" s="38">
        <v>46008.75</v>
      </c>
      <c r="G512" s="17" t="str">
        <f t="shared" si="32"/>
        <v>4 Д</v>
      </c>
      <c r="H512" s="18">
        <f t="shared" si="35"/>
        <v>1978</v>
      </c>
      <c r="I512" s="19" t="str">
        <f t="shared" si="2"/>
        <v/>
      </c>
      <c r="J512" s="20" t="str">
        <f t="shared" si="25"/>
        <v/>
      </c>
      <c r="K512" s="23">
        <v>7912.0</v>
      </c>
      <c r="L512" s="20"/>
      <c r="M512" s="23">
        <v>1978.0</v>
      </c>
      <c r="N512" s="49">
        <v>31000.0</v>
      </c>
      <c r="O512" s="22">
        <f>IFERROR(__xludf.DUMMYFUNCTION("IFERROR(
  VLOOKUP(C512,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C512
    ), 
    7, FALSE
  ), 
  """"
)
"),29300.0)</f>
        <v>29300</v>
      </c>
      <c r="P512" s="22">
        <f>IFERROR(__xludf.DUMMYFUNCTION("IF(AND(Q512="""", R512=""""),
  """",
  IF(OR(ISBLANK(Q512), ISBLANK(O512)),
    """",
    IF(VALUE(SUBSTITUTE(INDEX(SPLIT(IF(ISBLANK(R512), Q512, R512), "",""), 0, 1), "" Km"", """")) - O512 = 0,
      """",
      VALUE(SUBSTITUTE(INDEX(SPLIT(IF(ISBLANK("&amp;"R512), Q512, R512), "",""), 0, 1), "" Km"", """")) - O512
    )
  )
)"),1700.0)</f>
        <v>1700</v>
      </c>
      <c r="Q512" s="23" t="str">
        <f t="shared" si="4"/>
        <v>31 000 Km, 13.12.2025</v>
      </c>
      <c r="R512" s="20"/>
      <c r="S512" s="41" t="s">
        <v>1035</v>
      </c>
      <c r="T512" s="13">
        <v>0.0</v>
      </c>
      <c r="U512" s="13" t="s">
        <v>1036</v>
      </c>
      <c r="V512" s="24"/>
      <c r="W512" s="24" t="str">
        <f t="shared" si="26"/>
        <v>Завершена</v>
      </c>
      <c r="X512" s="13" t="str">
        <f>IFERROR(__xludf.DUMMYFUNCTION("IF(C512 = """", """", IF(REGEXMATCH(C512, ""PCX|NMAX|ADV 150|CLICK""), ""скутер"", ""мото""))"),"мото")</f>
        <v>мото</v>
      </c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</row>
    <row r="513" hidden="1">
      <c r="A513" s="25" t="s">
        <v>24</v>
      </c>
      <c r="B513" s="27" t="s">
        <v>25</v>
      </c>
      <c r="C513" s="27" t="s">
        <v>923</v>
      </c>
      <c r="D513" s="82" t="s">
        <v>1016</v>
      </c>
      <c r="E513" s="43">
        <v>46006.0</v>
      </c>
      <c r="F513" s="39">
        <v>46009.583333333336</v>
      </c>
      <c r="G513" s="30" t="str">
        <f t="shared" si="32"/>
        <v>3 Д</v>
      </c>
      <c r="H513" s="31">
        <f t="shared" si="35"/>
        <v>850</v>
      </c>
      <c r="I513" s="32" t="str">
        <f t="shared" si="2"/>
        <v/>
      </c>
      <c r="J513" s="33" t="str">
        <f t="shared" si="25"/>
        <v/>
      </c>
      <c r="K513" s="36">
        <f>850*2+850</f>
        <v>2550</v>
      </c>
      <c r="L513" s="67"/>
      <c r="M513" s="36">
        <v>850.0</v>
      </c>
      <c r="N513" s="110"/>
      <c r="O513" s="35">
        <f>IFERROR(__xludf.DUMMYFUNCTION("IFERROR(
  VLOOKUP(C513,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C513
    ), 
    7, FALSE
  ), 
  """"
)
"),25378.0)</f>
        <v>25378</v>
      </c>
      <c r="P513" s="35">
        <f>IFERROR(__xludf.DUMMYFUNCTION("IF(AND(Q513="""", R513=""""),
  """",
  IF(OR(ISBLANK(Q513), ISBLANK(O513)),
    """",
    IF(VALUE(SUBSTITUTE(INDEX(SPLIT(IF(ISBLANK(R513), Q513, R513), "",""), 0, 1), "" Km"", """")) - O513 = 0,
      """",
      VALUE(SUBSTITUTE(INDEX(SPLIT(IF(ISBLANK("&amp;"R513), Q513, R513), "",""), 0, 1), "" Km"", """")) - O513
    )
  )
)"),-25378.0)</f>
        <v>-25378</v>
      </c>
      <c r="Q513" s="33" t="str">
        <f t="shared" si="4"/>
        <v>0 Km, 15.12.2025</v>
      </c>
      <c r="R513" s="67"/>
      <c r="S513" s="31">
        <v>7000.0</v>
      </c>
      <c r="T513" s="37">
        <v>1.0</v>
      </c>
      <c r="U513" s="37" t="s">
        <v>1017</v>
      </c>
      <c r="V513" s="75"/>
      <c r="W513" s="37" t="str">
        <f t="shared" si="26"/>
        <v>Завершена</v>
      </c>
      <c r="X513" s="46" t="str">
        <f>IFERROR(__xludf.DUMMYFUNCTION("IF(C513 = """", """", IF(REGEXMATCH(C513, ""PCX|NMAX|ADV 150|CLICK""), ""скутер"", ""мото""))"),"мото")</f>
        <v>мото</v>
      </c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</row>
    <row r="514" hidden="1">
      <c r="A514" s="13" t="s">
        <v>24</v>
      </c>
      <c r="B514" s="13" t="s">
        <v>25</v>
      </c>
      <c r="C514" s="14" t="s">
        <v>44</v>
      </c>
      <c r="D514" s="14" t="s">
        <v>1037</v>
      </c>
      <c r="E514" s="48">
        <v>45998.0</v>
      </c>
      <c r="F514" s="38">
        <v>46011.583333333336</v>
      </c>
      <c r="G514" s="17" t="str">
        <f t="shared" si="32"/>
        <v>13 Д</v>
      </c>
      <c r="H514" s="18">
        <f t="shared" si="35"/>
        <v>413</v>
      </c>
      <c r="I514" s="19" t="str">
        <f t="shared" si="2"/>
        <v/>
      </c>
      <c r="J514" s="20" t="str">
        <f t="shared" si="25"/>
        <v/>
      </c>
      <c r="K514" s="23">
        <f>3717+1239</f>
        <v>4956</v>
      </c>
      <c r="L514" s="20"/>
      <c r="M514" s="23">
        <v>413.0</v>
      </c>
      <c r="N514" s="21"/>
      <c r="O514" s="22">
        <f>IFERROR(__xludf.DUMMYFUNCTION("IFERROR(
  VLOOKUP(C514,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C514
    ), 
    7, FALSE
  ), 
  """"
)
"),30800.0)</f>
        <v>30800</v>
      </c>
      <c r="P514" s="22">
        <f>IFERROR(__xludf.DUMMYFUNCTION("IF(AND(Q514="""", R514=""""),
  """",
  IF(OR(ISBLANK(Q514), ISBLANK(O514)),
    """",
    IF(VALUE(SUBSTITUTE(INDEX(SPLIT(IF(ISBLANK(R514), Q514, R514), "",""), 0, 1), "" Km"", """")) - O514 = 0,
      """",
      VALUE(SUBSTITUTE(INDEX(SPLIT(IF(ISBLANK("&amp;"R514), Q514, R514), "",""), 0, 1), "" Km"", """")) - O514
    )
  )
)"),-30800.0)</f>
        <v>-30800</v>
      </c>
      <c r="Q514" s="23" t="str">
        <f t="shared" si="4"/>
        <v>0 Km, 07.12.2025</v>
      </c>
      <c r="R514" s="20"/>
      <c r="S514" s="41">
        <v>3000.0</v>
      </c>
      <c r="T514" s="13">
        <v>2.0</v>
      </c>
      <c r="U514" s="13" t="s">
        <v>1038</v>
      </c>
      <c r="V514" s="24"/>
      <c r="W514" s="24" t="str">
        <f t="shared" si="26"/>
        <v>Завершена</v>
      </c>
      <c r="X514" s="13" t="str">
        <f>IFERROR(__xludf.DUMMYFUNCTION("IF(C514 = """", """", IF(REGEXMATCH(C514, ""PCX|NMAX|ADV 150|CLICK""), ""скутер"", ""мото""))"),"скутер")</f>
        <v>скутер</v>
      </c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</row>
    <row r="515" hidden="1">
      <c r="A515" s="25" t="s">
        <v>24</v>
      </c>
      <c r="B515" s="25" t="s">
        <v>25</v>
      </c>
      <c r="C515" s="27" t="s">
        <v>438</v>
      </c>
      <c r="D515" s="27" t="s">
        <v>1016</v>
      </c>
      <c r="E515" s="43">
        <v>45982.0</v>
      </c>
      <c r="F515" s="39">
        <v>46012.541666666664</v>
      </c>
      <c r="G515" s="30" t="str">
        <f t="shared" si="32"/>
        <v>30 Д</v>
      </c>
      <c r="H515" s="31">
        <f t="shared" si="35"/>
        <v>563.3333333</v>
      </c>
      <c r="I515" s="32" t="str">
        <f t="shared" si="2"/>
        <v/>
      </c>
      <c r="J515" s="33" t="str">
        <f t="shared" si="25"/>
        <v/>
      </c>
      <c r="K515" s="36">
        <v>17000.0</v>
      </c>
      <c r="L515" s="36">
        <v>16900.0</v>
      </c>
      <c r="M515" s="33"/>
      <c r="N515" s="34"/>
      <c r="O515" s="35">
        <f>IFERROR(__xludf.DUMMYFUNCTION("IFERROR(
  VLOOKUP(C515,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C515
    ), 
    7, FALSE
  ), 
  """"
)
"),37823.0)</f>
        <v>37823</v>
      </c>
      <c r="P515" s="35">
        <f>IFERROR(__xludf.DUMMYFUNCTION("IF(AND(Q515="""", R515=""""),
  """",
  IF(OR(ISBLANK(Q515), ISBLANK(O515)),
    """",
    IF(VALUE(SUBSTITUTE(INDEX(SPLIT(IF(ISBLANK(R515), Q515, R515), "",""), 0, 1), "" Km"", """")) - O515 = 0,
      """",
      VALUE(SUBSTITUTE(INDEX(SPLIT(IF(ISBLANK("&amp;"R515), Q515, R515), "",""), 0, 1), "" Km"", """")) - O515
    )
  )
)"),-37823.0)</f>
        <v>-37823</v>
      </c>
      <c r="Q515" s="36" t="str">
        <f t="shared" si="4"/>
        <v>0 Km, 21.11.2025</v>
      </c>
      <c r="R515" s="33"/>
      <c r="S515" s="40">
        <v>15000.0</v>
      </c>
      <c r="T515" s="25">
        <v>1.0</v>
      </c>
      <c r="U515" s="25" t="s">
        <v>1039</v>
      </c>
      <c r="V515" s="37"/>
      <c r="W515" s="37" t="str">
        <f t="shared" si="26"/>
        <v>Завершена</v>
      </c>
      <c r="X515" s="25" t="str">
        <f>IFERROR(__xludf.DUMMYFUNCTION("IF(C515 = """", """", IF(REGEXMATCH(C515, ""PCX|NMAX|ADV 150|CLICK""), ""скутер"", ""мото""))"),"мото")</f>
        <v>мото</v>
      </c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</row>
    <row r="516" hidden="1">
      <c r="A516" s="13" t="s">
        <v>24</v>
      </c>
      <c r="B516" s="13" t="s">
        <v>25</v>
      </c>
      <c r="C516" s="14" t="s">
        <v>73</v>
      </c>
      <c r="D516" s="14" t="s">
        <v>1040</v>
      </c>
      <c r="E516" s="48">
        <v>45995.0</v>
      </c>
      <c r="F516" s="38">
        <v>46012.666666666664</v>
      </c>
      <c r="G516" s="17" t="str">
        <f t="shared" si="32"/>
        <v>17 Д</v>
      </c>
      <c r="H516" s="18">
        <f t="shared" si="35"/>
        <v>371</v>
      </c>
      <c r="I516" s="19" t="str">
        <f t="shared" si="2"/>
        <v/>
      </c>
      <c r="J516" s="20" t="str">
        <f t="shared" si="25"/>
        <v/>
      </c>
      <c r="K516" s="23">
        <v>6307.0</v>
      </c>
      <c r="L516" s="20"/>
      <c r="M516" s="23">
        <v>371.0</v>
      </c>
      <c r="N516" s="21"/>
      <c r="O516" s="22">
        <f>IFERROR(__xludf.DUMMYFUNCTION("IFERROR(
  VLOOKUP(C516,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C516
    ), 
    7, FALSE
  ), 
  """"
)
"),31000.0)</f>
        <v>31000</v>
      </c>
      <c r="P516" s="22">
        <f>IFERROR(__xludf.DUMMYFUNCTION("IF(AND(Q516="""", R516=""""),
  """",
  IF(OR(ISBLANK(Q516), ISBLANK(O516)),
    """",
    IF(VALUE(SUBSTITUTE(INDEX(SPLIT(IF(ISBLANK(R516), Q516, R516), "",""), 0, 1), "" Km"", """")) - O516 = 0,
      """",
      VALUE(SUBSTITUTE(INDEX(SPLIT(IF(ISBLANK("&amp;"R516), Q516, R516), "",""), 0, 1), "" Km"", """")) - O516
    )
  )
)"),-31000.0)</f>
        <v>-31000</v>
      </c>
      <c r="Q516" s="23" t="str">
        <f t="shared" si="4"/>
        <v>0 Km, 04.12.2025</v>
      </c>
      <c r="R516" s="20"/>
      <c r="S516" s="41">
        <v>3000.0</v>
      </c>
      <c r="T516" s="13">
        <v>2.0</v>
      </c>
      <c r="U516" s="13" t="s">
        <v>1041</v>
      </c>
      <c r="V516" s="24"/>
      <c r="W516" s="24" t="str">
        <f t="shared" si="26"/>
        <v>Завершена</v>
      </c>
      <c r="X516" s="13" t="str">
        <f>IFERROR(__xludf.DUMMYFUNCTION("IF(C516 = """", """", IF(REGEXMATCH(C516, ""PCX|NMAX|ADV 150|CLICK""), ""скутер"", ""мото""))"),"скутер")</f>
        <v>скутер</v>
      </c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</row>
    <row r="517" hidden="1">
      <c r="A517" s="25" t="s">
        <v>24</v>
      </c>
      <c r="B517" s="25" t="s">
        <v>25</v>
      </c>
      <c r="C517" s="27" t="s">
        <v>971</v>
      </c>
      <c r="D517" s="27" t="s">
        <v>1042</v>
      </c>
      <c r="E517" s="43">
        <v>46003.0</v>
      </c>
      <c r="F517" s="39">
        <v>46017.791666666664</v>
      </c>
      <c r="G517" s="30" t="str">
        <f t="shared" si="32"/>
        <v>14 Д</v>
      </c>
      <c r="H517" s="31">
        <f t="shared" si="35"/>
        <v>798</v>
      </c>
      <c r="I517" s="32" t="str">
        <f t="shared" si="2"/>
        <v/>
      </c>
      <c r="J517" s="33" t="str">
        <f t="shared" si="25"/>
        <v/>
      </c>
      <c r="K517" s="36">
        <v>11970.0</v>
      </c>
      <c r="L517" s="33"/>
      <c r="M517" s="36">
        <v>798.0</v>
      </c>
      <c r="N517" s="34"/>
      <c r="O517" s="35">
        <f>IFERROR(__xludf.DUMMYFUNCTION("IFERROR(
  VLOOKUP(C517,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C517
    ), 
    7, FALSE
  ), 
  """"
)
"),18300.0)</f>
        <v>18300</v>
      </c>
      <c r="P517" s="35">
        <f>IFERROR(__xludf.DUMMYFUNCTION("IF(AND(Q517="""", R517=""""),
  """",
  IF(OR(ISBLANK(Q517), ISBLANK(O517)),
    """",
    IF(VALUE(SUBSTITUTE(INDEX(SPLIT(IF(ISBLANK(R517), Q517, R517), "",""), 0, 1), "" Km"", """")) - O517 = 0,
      """",
      VALUE(SUBSTITUTE(INDEX(SPLIT(IF(ISBLANK("&amp;"R517), Q517, R517), "",""), 0, 1), "" Km"", """")) - O517
    )
  )
)"),-18300.0)</f>
        <v>-18300</v>
      </c>
      <c r="Q517" s="36" t="str">
        <f t="shared" si="4"/>
        <v>0 Km, 12.12.2025</v>
      </c>
      <c r="R517" s="33"/>
      <c r="S517" s="40">
        <v>7000.0</v>
      </c>
      <c r="T517" s="25">
        <v>2.0</v>
      </c>
      <c r="U517" s="25" t="s">
        <v>1043</v>
      </c>
      <c r="V517" s="37"/>
      <c r="W517" s="37" t="str">
        <f t="shared" si="26"/>
        <v>Завершена</v>
      </c>
      <c r="X517" s="25" t="str">
        <f>IFERROR(__xludf.DUMMYFUNCTION("IF(C517 = """", """", IF(REGEXMATCH(C517, ""PCX|NMAX|ADV 150|CLICK""), ""скутер"", ""мото""))"),"мото")</f>
        <v>мото</v>
      </c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</row>
    <row r="518" hidden="1">
      <c r="A518" s="13" t="s">
        <v>24</v>
      </c>
      <c r="B518" s="13" t="s">
        <v>25</v>
      </c>
      <c r="C518" s="14" t="s">
        <v>946</v>
      </c>
      <c r="D518" s="14" t="s">
        <v>1044</v>
      </c>
      <c r="E518" s="48">
        <v>46014.0</v>
      </c>
      <c r="F518" s="38">
        <v>46019.541666666664</v>
      </c>
      <c r="G518" s="17" t="str">
        <f t="shared" si="32"/>
        <v>5 Д</v>
      </c>
      <c r="H518" s="18">
        <f t="shared" si="35"/>
        <v>1033</v>
      </c>
      <c r="I518" s="19" t="str">
        <f t="shared" si="2"/>
        <v/>
      </c>
      <c r="J518" s="20" t="str">
        <f t="shared" si="25"/>
        <v/>
      </c>
      <c r="K518" s="23">
        <v>5165.0</v>
      </c>
      <c r="L518" s="20"/>
      <c r="M518" s="23">
        <v>1033.0</v>
      </c>
      <c r="N518" s="21"/>
      <c r="O518" s="22">
        <f>IFERROR(__xludf.DUMMYFUNCTION("IFERROR(
  VLOOKUP(C518,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C518
    ), 
    7, FALSE
  ), 
  """"
)
"),20400.0)</f>
        <v>20400</v>
      </c>
      <c r="P518" s="22">
        <f>IFERROR(__xludf.DUMMYFUNCTION("IF(AND(Q518="""", R518=""""),
  """",
  IF(OR(ISBLANK(Q518), ISBLANK(O518)),
    """",
    IF(VALUE(SUBSTITUTE(INDEX(SPLIT(IF(ISBLANK(R518), Q518, R518), "",""), 0, 1), "" Km"", """")) - O518 = 0,
      """",
      VALUE(SUBSTITUTE(INDEX(SPLIT(IF(ISBLANK("&amp;"R518), Q518, R518), "",""), 0, 1), "" Km"", """")) - O518
    )
  )
)"),-20400.0)</f>
        <v>-20400</v>
      </c>
      <c r="Q518" s="23" t="str">
        <f t="shared" si="4"/>
        <v>0 Km, 23.12.2025</v>
      </c>
      <c r="R518" s="20"/>
      <c r="S518" s="41">
        <v>7000.0</v>
      </c>
      <c r="T518" s="13">
        <v>0.0</v>
      </c>
      <c r="U518" s="66" t="s">
        <v>1045</v>
      </c>
      <c r="V518" s="24"/>
      <c r="W518" s="24" t="str">
        <f t="shared" si="26"/>
        <v>Завершена</v>
      </c>
      <c r="X518" s="13" t="str">
        <f>IFERROR(__xludf.DUMMYFUNCTION("IF(C518 = """", """", IF(REGEXMATCH(C518, ""PCX|NMAX|ADV 150|CLICK""), ""скутер"", ""мото""))"),"мото")</f>
        <v>мото</v>
      </c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</row>
    <row r="519" hidden="1">
      <c r="A519" s="25" t="s">
        <v>24</v>
      </c>
      <c r="B519" s="25" t="s">
        <v>25</v>
      </c>
      <c r="C519" s="27" t="s">
        <v>923</v>
      </c>
      <c r="D519" s="27" t="s">
        <v>1046</v>
      </c>
      <c r="E519" s="43">
        <v>46011.0</v>
      </c>
      <c r="F519" s="39">
        <v>46019.583333333336</v>
      </c>
      <c r="G519" s="30" t="str">
        <f t="shared" si="32"/>
        <v>8 Д</v>
      </c>
      <c r="H519" s="31">
        <f t="shared" si="35"/>
        <v>975</v>
      </c>
      <c r="I519" s="32" t="str">
        <f t="shared" si="2"/>
        <v/>
      </c>
      <c r="J519" s="33" t="str">
        <f t="shared" si="25"/>
        <v/>
      </c>
      <c r="K519" s="36">
        <f>7800+975</f>
        <v>8775</v>
      </c>
      <c r="L519" s="33"/>
      <c r="M519" s="36">
        <v>975.0</v>
      </c>
      <c r="N519" s="34"/>
      <c r="O519" s="35">
        <f>IFERROR(__xludf.DUMMYFUNCTION("IFERROR(
  VLOOKUP(C519,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C519
    ), 
    7, FALSE
  ), 
  """"
)
"),25378.0)</f>
        <v>25378</v>
      </c>
      <c r="P519" s="35">
        <f>IFERROR(__xludf.DUMMYFUNCTION("IF(AND(Q519="""", R519=""""),
  """",
  IF(OR(ISBLANK(Q519), ISBLANK(O519)),
    """",
    IF(VALUE(SUBSTITUTE(INDEX(SPLIT(IF(ISBLANK(R519), Q519, R519), "",""), 0, 1), "" Km"", """")) - O519 = 0,
      """",
      VALUE(SUBSTITUTE(INDEX(SPLIT(IF(ISBLANK("&amp;"R519), Q519, R519), "",""), 0, 1), "" Km"", """")) - O519
    )
  )
)"),-25378.0)</f>
        <v>-25378</v>
      </c>
      <c r="Q519" s="36" t="str">
        <f t="shared" si="4"/>
        <v>0 Km, 20.12.2025</v>
      </c>
      <c r="R519" s="33"/>
      <c r="S519" s="40">
        <v>7000.0</v>
      </c>
      <c r="T519" s="25">
        <v>2.0</v>
      </c>
      <c r="U519" s="25" t="s">
        <v>1047</v>
      </c>
      <c r="V519" s="37"/>
      <c r="W519" s="37" t="str">
        <f t="shared" si="26"/>
        <v>Завершена</v>
      </c>
      <c r="X519" s="25" t="str">
        <f>IFERROR(__xludf.DUMMYFUNCTION("IF(C519 = """", """", IF(REGEXMATCH(C519, ""PCX|NMAX|ADV 150|CLICK""), ""скутер"", ""мото""))"),"мото")</f>
        <v>мото</v>
      </c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</row>
    <row r="520" hidden="1">
      <c r="A520" s="13" t="s">
        <v>24</v>
      </c>
      <c r="B520" s="13" t="s">
        <v>25</v>
      </c>
      <c r="C520" s="14" t="s">
        <v>73</v>
      </c>
      <c r="D520" s="14" t="s">
        <v>1048</v>
      </c>
      <c r="E520" s="48">
        <v>46015.0</v>
      </c>
      <c r="F520" s="38">
        <v>46020.583333333336</v>
      </c>
      <c r="G520" s="17" t="str">
        <f t="shared" si="32"/>
        <v>5 Д</v>
      </c>
      <c r="H520" s="18">
        <f t="shared" si="35"/>
        <v>494</v>
      </c>
      <c r="I520" s="19" t="str">
        <f t="shared" si="2"/>
        <v/>
      </c>
      <c r="J520" s="20" t="str">
        <f t="shared" si="25"/>
        <v/>
      </c>
      <c r="K520" s="23">
        <v>2470.0</v>
      </c>
      <c r="L520" s="20"/>
      <c r="M520" s="23">
        <v>494.0</v>
      </c>
      <c r="N520" s="21"/>
      <c r="O520" s="22">
        <f>IFERROR(__xludf.DUMMYFUNCTION("IFERROR(
  VLOOKUP(C520,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C520
    ), 
    7, FALSE
  ), 
  """"
)
"),31000.0)</f>
        <v>31000</v>
      </c>
      <c r="P520" s="22">
        <f>IFERROR(__xludf.DUMMYFUNCTION("IF(AND(Q520="""", R520=""""),
  """",
  IF(OR(ISBLANK(Q520), ISBLANK(O520)),
    """",
    IF(VALUE(SUBSTITUTE(INDEX(SPLIT(IF(ISBLANK(R520), Q520, R520), "",""), 0, 1), "" Km"", """")) - O520 = 0,
      """",
      VALUE(SUBSTITUTE(INDEX(SPLIT(IF(ISBLANK("&amp;"R520), Q520, R520), "",""), 0, 1), "" Km"", """")) - O520
    )
  )
)"),-31000.0)</f>
        <v>-31000</v>
      </c>
      <c r="Q520" s="23" t="str">
        <f t="shared" si="4"/>
        <v>0 Km, 24.12.2025</v>
      </c>
      <c r="R520" s="20"/>
      <c r="S520" s="41" t="s">
        <v>1049</v>
      </c>
      <c r="T520" s="13">
        <v>3.0</v>
      </c>
      <c r="U520" s="13" t="s">
        <v>1050</v>
      </c>
      <c r="V520" s="24"/>
      <c r="W520" s="24" t="str">
        <f t="shared" si="26"/>
        <v>Завершена</v>
      </c>
      <c r="X520" s="13" t="str">
        <f>IFERROR(__xludf.DUMMYFUNCTION("IF(C520 = """", """", IF(REGEXMATCH(C520, ""PCX|NMAX|ADV 150|CLICK""), ""скутер"", ""мото""))"),"скутер")</f>
        <v>скутер</v>
      </c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</row>
    <row r="521" hidden="1">
      <c r="A521" s="25" t="s">
        <v>24</v>
      </c>
      <c r="B521" s="25" t="s">
        <v>25</v>
      </c>
      <c r="C521" s="27" t="s">
        <v>98</v>
      </c>
      <c r="D521" s="27" t="s">
        <v>760</v>
      </c>
      <c r="E521" s="43">
        <v>46016.0</v>
      </c>
      <c r="F521" s="39">
        <v>46022.458333333336</v>
      </c>
      <c r="G521" s="30" t="str">
        <f t="shared" si="32"/>
        <v>6 Д</v>
      </c>
      <c r="H521" s="31">
        <f t="shared" si="35"/>
        <v>494</v>
      </c>
      <c r="I521" s="32" t="str">
        <f t="shared" si="2"/>
        <v/>
      </c>
      <c r="J521" s="33" t="str">
        <f t="shared" si="25"/>
        <v/>
      </c>
      <c r="K521" s="36">
        <v>2470.0</v>
      </c>
      <c r="L521" s="33"/>
      <c r="M521" s="36">
        <v>494.0</v>
      </c>
      <c r="N521" s="34"/>
      <c r="O521" s="35">
        <f>IFERROR(__xludf.DUMMYFUNCTION("IFERROR(
  VLOOKUP(C521,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C521
    ), 
    7, FALSE
  ), 
  """"
)
"),32200.0)</f>
        <v>32200</v>
      </c>
      <c r="P521" s="35">
        <f>IFERROR(__xludf.DUMMYFUNCTION("IF(AND(Q521="""", R521=""""),
  """",
  IF(OR(ISBLANK(Q521), ISBLANK(O521)),
    """",
    IF(VALUE(SUBSTITUTE(INDEX(SPLIT(IF(ISBLANK(R521), Q521, R521), "",""), 0, 1), "" Km"", """")) - O521 = 0,
      """",
      VALUE(SUBSTITUTE(INDEX(SPLIT(IF(ISBLANK("&amp;"R521), Q521, R521), "",""), 0, 1), "" Km"", """")) - O521
    )
  )
)"),-32200.0)</f>
        <v>-32200</v>
      </c>
      <c r="Q521" s="36" t="str">
        <f t="shared" si="4"/>
        <v>0 Km, 25.12.2025</v>
      </c>
      <c r="R521" s="33"/>
      <c r="S521" s="40">
        <v>3000.0</v>
      </c>
      <c r="T521" s="25">
        <v>2.0</v>
      </c>
      <c r="U521" s="25" t="s">
        <v>1051</v>
      </c>
      <c r="V521" s="37"/>
      <c r="W521" s="37" t="str">
        <f t="shared" si="26"/>
        <v>Завершена</v>
      </c>
      <c r="X521" s="25" t="str">
        <f>IFERROR(__xludf.DUMMYFUNCTION("IF(C521 = """", """", IF(REGEXMATCH(C521, ""PCX|NMAX|ADV 150|CLICK""), ""скутер"", ""мото""))"),"скутер")</f>
        <v>скутер</v>
      </c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</row>
    <row r="522" hidden="1">
      <c r="A522" s="13" t="s">
        <v>24</v>
      </c>
      <c r="B522" s="13" t="s">
        <v>25</v>
      </c>
      <c r="C522" s="14" t="s">
        <v>960</v>
      </c>
      <c r="D522" s="14" t="s">
        <v>1052</v>
      </c>
      <c r="E522" s="48">
        <v>46016.0</v>
      </c>
      <c r="F522" s="38">
        <v>46024.541666666664</v>
      </c>
      <c r="G522" s="17" t="str">
        <f t="shared" si="32"/>
        <v>8 Д</v>
      </c>
      <c r="H522" s="18">
        <f t="shared" si="35"/>
        <v>720</v>
      </c>
      <c r="I522" s="19" t="str">
        <f t="shared" si="2"/>
        <v/>
      </c>
      <c r="J522" s="20" t="str">
        <f t="shared" si="25"/>
        <v/>
      </c>
      <c r="K522" s="23">
        <f>880*8</f>
        <v>7040</v>
      </c>
      <c r="L522" s="20"/>
      <c r="M522" s="23">
        <v>720.0</v>
      </c>
      <c r="N522" s="21"/>
      <c r="O522" s="22">
        <f>IFERROR(__xludf.DUMMYFUNCTION("IFERROR(
  VLOOKUP(C522,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C522
    ), 
    7, FALSE
  ), 
  """"
)
"),20316.0)</f>
        <v>20316</v>
      </c>
      <c r="P522" s="22">
        <f>IFERROR(__xludf.DUMMYFUNCTION("IF(AND(Q522="""", R522=""""),
  """",
  IF(OR(ISBLANK(Q522), ISBLANK(O522)),
    """",
    IF(VALUE(SUBSTITUTE(INDEX(SPLIT(IF(ISBLANK(R522), Q522, R522), "",""), 0, 1), "" Km"", """")) - O522 = 0,
      """",
      VALUE(SUBSTITUTE(INDEX(SPLIT(IF(ISBLANK("&amp;"R522), Q522, R522), "",""), 0, 1), "" Km"", """")) - O522
    )
  )
)"),-20316.0)</f>
        <v>-20316</v>
      </c>
      <c r="Q522" s="23" t="str">
        <f t="shared" si="4"/>
        <v>0 Km, 25.12.2025</v>
      </c>
      <c r="R522" s="20"/>
      <c r="S522" s="41">
        <v>7000.0</v>
      </c>
      <c r="T522" s="13">
        <v>2.0</v>
      </c>
      <c r="U522" s="13" t="s">
        <v>1053</v>
      </c>
      <c r="V522" s="24"/>
      <c r="W522" s="24" t="str">
        <f t="shared" si="26"/>
        <v>Завершена</v>
      </c>
      <c r="X522" s="13" t="str">
        <f>IFERROR(__xludf.DUMMYFUNCTION("IF(C522 = """", """", IF(REGEXMATCH(C522, ""PCX|NMAX|ADV 150|CLICK""), ""скутер"", ""мото""))"),"мото")</f>
        <v>мото</v>
      </c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</row>
    <row r="523" hidden="1">
      <c r="A523" s="25" t="s">
        <v>24</v>
      </c>
      <c r="B523" s="25" t="s">
        <v>25</v>
      </c>
      <c r="C523" s="27" t="s">
        <v>77</v>
      </c>
      <c r="D523" s="27" t="s">
        <v>1054</v>
      </c>
      <c r="E523" s="43">
        <v>46010.0</v>
      </c>
      <c r="F523" s="39">
        <v>46026.541666666664</v>
      </c>
      <c r="G523" s="30" t="str">
        <f t="shared" si="32"/>
        <v>16 Д</v>
      </c>
      <c r="H523" s="31">
        <f t="shared" si="35"/>
        <v>375</v>
      </c>
      <c r="I523" s="32" t="str">
        <f t="shared" si="2"/>
        <v/>
      </c>
      <c r="J523" s="33" t="str">
        <f t="shared" si="25"/>
        <v/>
      </c>
      <c r="K523" s="36">
        <f>375*16+375</f>
        <v>6375</v>
      </c>
      <c r="L523" s="33"/>
      <c r="M523" s="36">
        <v>375.0</v>
      </c>
      <c r="N523" s="34"/>
      <c r="O523" s="35">
        <f>IFERROR(__xludf.DUMMYFUNCTION("IFERROR(
  VLOOKUP(C523,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C523
    ), 
    7, FALSE
  ), 
  """"
)
"),37300.0)</f>
        <v>37300</v>
      </c>
      <c r="P523" s="35">
        <f>IFERROR(__xludf.DUMMYFUNCTION("IF(AND(Q523="""", R523=""""),
  """",
  IF(OR(ISBLANK(Q523), ISBLANK(O523)),
    """",
    IF(VALUE(SUBSTITUTE(INDEX(SPLIT(IF(ISBLANK(R523), Q523, R523), "",""), 0, 1), "" Km"", """")) - O523 = 0,
      """",
      VALUE(SUBSTITUTE(INDEX(SPLIT(IF(ISBLANK("&amp;"R523), Q523, R523), "",""), 0, 1), "" Km"", """")) - O523
    )
  )
)"),-37300.0)</f>
        <v>-37300</v>
      </c>
      <c r="Q523" s="36" t="str">
        <f t="shared" si="4"/>
        <v>0 Km, 19.12.2025</v>
      </c>
      <c r="R523" s="33"/>
      <c r="S523" s="40">
        <v>300.0</v>
      </c>
      <c r="T523" s="25">
        <v>2.0</v>
      </c>
      <c r="U523" s="25" t="s">
        <v>1055</v>
      </c>
      <c r="V523" s="37"/>
      <c r="W523" s="37" t="str">
        <f t="shared" si="26"/>
        <v>Завершена</v>
      </c>
      <c r="X523" s="25" t="str">
        <f>IFERROR(__xludf.DUMMYFUNCTION("IF(C523 = """", """", IF(REGEXMATCH(C523, ""PCX|NMAX|ADV 150|CLICK""), ""скутер"", ""мото""))"),"скутер")</f>
        <v>скутер</v>
      </c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</row>
    <row r="524" hidden="1">
      <c r="A524" s="13" t="s">
        <v>24</v>
      </c>
      <c r="B524" s="13" t="s">
        <v>25</v>
      </c>
      <c r="C524" s="14" t="s">
        <v>48</v>
      </c>
      <c r="D524" s="14" t="s">
        <v>1056</v>
      </c>
      <c r="E524" s="48">
        <v>46021.0</v>
      </c>
      <c r="F524" s="38">
        <v>46026.625</v>
      </c>
      <c r="G524" s="17" t="str">
        <f t="shared" si="32"/>
        <v>5 Д</v>
      </c>
      <c r="H524" s="18">
        <f t="shared" si="35"/>
        <v>300</v>
      </c>
      <c r="I524" s="19" t="str">
        <f t="shared" si="2"/>
        <v/>
      </c>
      <c r="J524" s="20" t="str">
        <f t="shared" si="25"/>
        <v/>
      </c>
      <c r="K524" s="23">
        <v>1500.0</v>
      </c>
      <c r="L524" s="20"/>
      <c r="M524" s="23">
        <v>300.0</v>
      </c>
      <c r="N524" s="49"/>
      <c r="O524" s="22">
        <f>IFERROR(__xludf.DUMMYFUNCTION("IFERROR(
  VLOOKUP(C524,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C524
    ), 
    7, FALSE
  ), 
  """"
)
"),35800.0)</f>
        <v>35800</v>
      </c>
      <c r="P524" s="22">
        <f>IFERROR(__xludf.DUMMYFUNCTION("IF(AND(Q524="""", R524=""""),
  """",
  IF(OR(ISBLANK(Q524), ISBLANK(O524)),
    """",
    IF(VALUE(SUBSTITUTE(INDEX(SPLIT(IF(ISBLANK(R524), Q524, R524), "",""), 0, 1), "" Km"", """")) - O524 = 0,
      """",
      VALUE(SUBSTITUTE(INDEX(SPLIT(IF(ISBLANK("&amp;"R524), Q524, R524), "",""), 0, 1), "" Km"", """")) - O524
    )
  )
)"),-35800.0)</f>
        <v>-35800</v>
      </c>
      <c r="Q524" s="23" t="str">
        <f t="shared" si="4"/>
        <v>0 Km, 30.12.2025</v>
      </c>
      <c r="R524" s="20"/>
      <c r="S524" s="41">
        <v>0.0</v>
      </c>
      <c r="T524" s="13"/>
      <c r="U524" s="13"/>
      <c r="V524" s="24"/>
      <c r="W524" s="24" t="str">
        <f t="shared" si="26"/>
        <v>Завершена</v>
      </c>
      <c r="X524" s="13" t="str">
        <f>IFERROR(__xludf.DUMMYFUNCTION("IF(C524 = """", """", IF(REGEXMATCH(C524, ""PCX|NMAX|ADV 150|CLICK""), ""скутер"", ""мото""))"),"скутер")</f>
        <v>скутер</v>
      </c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</row>
    <row r="525" hidden="1">
      <c r="A525" s="25" t="s">
        <v>24</v>
      </c>
      <c r="B525" s="25" t="s">
        <v>25</v>
      </c>
      <c r="C525" s="27" t="s">
        <v>44</v>
      </c>
      <c r="D525" s="27" t="s">
        <v>1057</v>
      </c>
      <c r="E525" s="43">
        <v>46017.0</v>
      </c>
      <c r="F525" s="39">
        <v>46028.458333333336</v>
      </c>
      <c r="G525" s="30" t="str">
        <f t="shared" si="32"/>
        <v>11 Д</v>
      </c>
      <c r="H525" s="31">
        <f t="shared" si="35"/>
        <v>445</v>
      </c>
      <c r="I525" s="32" t="str">
        <f t="shared" si="2"/>
        <v/>
      </c>
      <c r="J525" s="33" t="str">
        <f t="shared" si="25"/>
        <v/>
      </c>
      <c r="K525" s="36">
        <v>4895.0</v>
      </c>
      <c r="L525" s="33"/>
      <c r="M525" s="36">
        <v>445.0</v>
      </c>
      <c r="N525" s="34"/>
      <c r="O525" s="35">
        <f>IFERROR(__xludf.DUMMYFUNCTION("IFERROR(
  VLOOKUP(C525,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C525
    ), 
    7, FALSE
  ), 
  """"
)
"),30800.0)</f>
        <v>30800</v>
      </c>
      <c r="P525" s="35">
        <f>IFERROR(__xludf.DUMMYFUNCTION("IF(AND(Q525="""", R525=""""),
  """",
  IF(OR(ISBLANK(Q525), ISBLANK(O525)),
    """",
    IF(VALUE(SUBSTITUTE(INDEX(SPLIT(IF(ISBLANK(R525), Q525, R525), "",""), 0, 1), "" Km"", """")) - O525 = 0,
      """",
      VALUE(SUBSTITUTE(INDEX(SPLIT(IF(ISBLANK("&amp;"R525), Q525, R525), "",""), 0, 1), "" Km"", """")) - O525
    )
  )
)"),-30800.0)</f>
        <v>-30800</v>
      </c>
      <c r="Q525" s="36" t="str">
        <f t="shared" si="4"/>
        <v>0 Km, 26.12.2025</v>
      </c>
      <c r="R525" s="33"/>
      <c r="S525" s="40">
        <v>3000.0</v>
      </c>
      <c r="T525" s="25">
        <v>2.0</v>
      </c>
      <c r="U525" s="25" t="s">
        <v>1058</v>
      </c>
      <c r="V525" s="37"/>
      <c r="W525" s="37" t="str">
        <f t="shared" si="26"/>
        <v>Завершена</v>
      </c>
      <c r="X525" s="25" t="str">
        <f>IFERROR(__xludf.DUMMYFUNCTION("IF(C525 = """", """", IF(REGEXMATCH(C525, ""PCX|NMAX|ADV 150|CLICK""), ""скутер"", ""мото""))"),"скутер")</f>
        <v>скутер</v>
      </c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</row>
    <row r="526" hidden="1">
      <c r="A526" s="13" t="s">
        <v>24</v>
      </c>
      <c r="B526" s="13" t="s">
        <v>25</v>
      </c>
      <c r="C526" s="14" t="s">
        <v>967</v>
      </c>
      <c r="D526" s="14" t="s">
        <v>1059</v>
      </c>
      <c r="E526" s="48">
        <v>46017.0</v>
      </c>
      <c r="F526" s="38">
        <v>46028.541666666664</v>
      </c>
      <c r="G526" s="17" t="str">
        <f t="shared" si="32"/>
        <v>11 Д</v>
      </c>
      <c r="H526" s="18">
        <f t="shared" si="35"/>
        <v>2384</v>
      </c>
      <c r="I526" s="19" t="str">
        <f t="shared" si="2"/>
        <v/>
      </c>
      <c r="J526" s="20" t="str">
        <f t="shared" si="25"/>
        <v/>
      </c>
      <c r="K526" s="23">
        <v>26224.0</v>
      </c>
      <c r="L526" s="20"/>
      <c r="M526" s="23">
        <v>2384.0</v>
      </c>
      <c r="N526" s="21"/>
      <c r="O526" s="22">
        <f>IFERROR(__xludf.DUMMYFUNCTION("IFERROR(
  VLOOKUP(C526,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C526
    ), 
    7, FALSE
  ), 
  """"
)
"),24800.0)</f>
        <v>24800</v>
      </c>
      <c r="P526" s="22">
        <f>IFERROR(__xludf.DUMMYFUNCTION("IF(AND(Q526="""", R526=""""),
  """",
  IF(OR(ISBLANK(Q526), ISBLANK(O526)),
    """",
    IF(VALUE(SUBSTITUTE(INDEX(SPLIT(IF(ISBLANK(R526), Q526, R526), "",""), 0, 1), "" Km"", """")) - O526 = 0,
      """",
      VALUE(SUBSTITUTE(INDEX(SPLIT(IF(ISBLANK("&amp;"R526), Q526, R526), "",""), 0, 1), "" Km"", """")) - O526
    )
  )
)"),-24800.0)</f>
        <v>-24800</v>
      </c>
      <c r="Q526" s="23" t="str">
        <f t="shared" si="4"/>
        <v>0 Km, 26.12.2025</v>
      </c>
      <c r="R526" s="20"/>
      <c r="S526" s="41" t="s">
        <v>515</v>
      </c>
      <c r="T526" s="13">
        <v>2.0</v>
      </c>
      <c r="U526" s="13" t="s">
        <v>1060</v>
      </c>
      <c r="V526" s="24"/>
      <c r="W526" s="24" t="str">
        <f t="shared" si="26"/>
        <v>Завершена</v>
      </c>
      <c r="X526" s="13" t="str">
        <f>IFERROR(__xludf.DUMMYFUNCTION("IF(C526 = """", """", IF(REGEXMATCH(C526, ""PCX|NMAX|ADV 150|CLICK""), ""скутер"", ""мото""))"),"мото")</f>
        <v>мото</v>
      </c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</row>
    <row r="527" hidden="1">
      <c r="A527" s="25" t="s">
        <v>24</v>
      </c>
      <c r="B527" s="25" t="s">
        <v>25</v>
      </c>
      <c r="C527" s="27" t="s">
        <v>914</v>
      </c>
      <c r="D527" s="27" t="s">
        <v>1061</v>
      </c>
      <c r="E527" s="43">
        <v>46017.0</v>
      </c>
      <c r="F527" s="39">
        <v>46028.541666666664</v>
      </c>
      <c r="G527" s="30" t="str">
        <f t="shared" si="32"/>
        <v>11 Д</v>
      </c>
      <c r="H527" s="31">
        <f t="shared" si="35"/>
        <v>2384</v>
      </c>
      <c r="I527" s="32" t="str">
        <f t="shared" si="2"/>
        <v/>
      </c>
      <c r="J527" s="33" t="str">
        <f t="shared" si="25"/>
        <v/>
      </c>
      <c r="K527" s="36">
        <v>26224.0</v>
      </c>
      <c r="L527" s="33"/>
      <c r="M527" s="36">
        <v>2384.0</v>
      </c>
      <c r="N527" s="34"/>
      <c r="O527" s="35">
        <f>IFERROR(__xludf.DUMMYFUNCTION("IFERROR(
  VLOOKUP(C527,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C527
    ), 
    7, FALSE
  ), 
  """"
)
"),17900.0)</f>
        <v>17900</v>
      </c>
      <c r="P527" s="35">
        <f>IFERROR(__xludf.DUMMYFUNCTION("IF(AND(Q527="""", R527=""""),
  """",
  IF(OR(ISBLANK(Q527), ISBLANK(O527)),
    """",
    IF(VALUE(SUBSTITUTE(INDEX(SPLIT(IF(ISBLANK(R527), Q527, R527), "",""), 0, 1), "" Km"", """")) - O527 = 0,
      """",
      VALUE(SUBSTITUTE(INDEX(SPLIT(IF(ISBLANK("&amp;"R527), Q527, R527), "",""), 0, 1), "" Km"", """")) - O527
    )
  )
)"),-17900.0)</f>
        <v>-17900</v>
      </c>
      <c r="Q527" s="36" t="str">
        <f t="shared" si="4"/>
        <v>0 Km, 26.12.2025</v>
      </c>
      <c r="R527" s="33"/>
      <c r="S527" s="40" t="s">
        <v>515</v>
      </c>
      <c r="T527" s="25">
        <v>2.0</v>
      </c>
      <c r="U527" s="25" t="s">
        <v>1060</v>
      </c>
      <c r="V527" s="37"/>
      <c r="W527" s="37" t="str">
        <f t="shared" si="26"/>
        <v>Завершена</v>
      </c>
      <c r="X527" s="25" t="str">
        <f>IFERROR(__xludf.DUMMYFUNCTION("IF(C527 = """", """", IF(REGEXMATCH(C527, ""PCX|NMAX|ADV 150|CLICK""), ""скутер"", ""мото""))"),"мото")</f>
        <v>мото</v>
      </c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</row>
    <row r="528" hidden="1">
      <c r="A528" s="13" t="s">
        <v>24</v>
      </c>
      <c r="B528" s="13" t="s">
        <v>25</v>
      </c>
      <c r="C528" s="14" t="s">
        <v>151</v>
      </c>
      <c r="D528" s="14" t="s">
        <v>1062</v>
      </c>
      <c r="E528" s="48">
        <v>45990.0</v>
      </c>
      <c r="F528" s="38">
        <v>46018.791666666664</v>
      </c>
      <c r="G528" s="17" t="str">
        <f t="shared" si="32"/>
        <v>28 Д</v>
      </c>
      <c r="H528" s="18">
        <f t="shared" si="35"/>
        <v>249.6666667</v>
      </c>
      <c r="I528" s="19" t="str">
        <f t="shared" si="2"/>
        <v/>
      </c>
      <c r="J528" s="20" t="str">
        <f t="shared" si="25"/>
        <v/>
      </c>
      <c r="K528" s="23">
        <v>7490.0</v>
      </c>
      <c r="L528" s="23">
        <v>7490.0</v>
      </c>
      <c r="M528" s="20"/>
      <c r="N528" s="21"/>
      <c r="O528" s="22">
        <f>IFERROR(__xludf.DUMMYFUNCTION("IFERROR(
  VLOOKUP(C528,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C528
    ), 
    7, FALSE
  ), 
  """"
)
"),35800.0)</f>
        <v>35800</v>
      </c>
      <c r="P528" s="22">
        <f>IFERROR(__xludf.DUMMYFUNCTION("IF(AND(Q528="""", R528=""""),
  """",
  IF(OR(ISBLANK(Q528), ISBLANK(O528)),
    """",
    IF(VALUE(SUBSTITUTE(INDEX(SPLIT(IF(ISBLANK(R528), Q528, R528), "",""), 0, 1), "" Km"", """")) - O528 = 0,
      """",
      VALUE(SUBSTITUTE(INDEX(SPLIT(IF(ISBLANK("&amp;"R528), Q528, R528), "",""), 0, 1), "" Km"", """")) - O528
    )
  )
)"),-35800.0)</f>
        <v>-35800</v>
      </c>
      <c r="Q528" s="23" t="str">
        <f t="shared" si="4"/>
        <v>0 Km, 29.11.2025</v>
      </c>
      <c r="R528" s="20"/>
      <c r="S528" s="41">
        <v>3000.0</v>
      </c>
      <c r="T528" s="13">
        <v>2.0</v>
      </c>
      <c r="U528" s="13" t="s">
        <v>516</v>
      </c>
      <c r="V528" s="24"/>
      <c r="W528" s="24" t="str">
        <f t="shared" si="26"/>
        <v>Завершена</v>
      </c>
      <c r="X528" s="13" t="str">
        <f>IFERROR(__xludf.DUMMYFUNCTION("IF(C528 = """", """", IF(REGEXMATCH(C528, ""PCX|NMAX|ADV 150|CLICK""), ""скутер"", ""мото""))"),"скутер")</f>
        <v>скутер</v>
      </c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</row>
    <row r="529" hidden="1">
      <c r="A529" s="25" t="s">
        <v>24</v>
      </c>
      <c r="B529" s="25" t="s">
        <v>25</v>
      </c>
      <c r="C529" s="27" t="s">
        <v>971</v>
      </c>
      <c r="D529" s="27" t="s">
        <v>1063</v>
      </c>
      <c r="E529" s="43">
        <v>46018.0</v>
      </c>
      <c r="F529" s="39">
        <v>46029.5</v>
      </c>
      <c r="G529" s="30" t="str">
        <f t="shared" si="32"/>
        <v>11 Д</v>
      </c>
      <c r="H529" s="31">
        <f t="shared" si="35"/>
        <v>930</v>
      </c>
      <c r="I529" s="32" t="str">
        <f t="shared" si="2"/>
        <v/>
      </c>
      <c r="J529" s="33" t="str">
        <f t="shared" si="25"/>
        <v/>
      </c>
      <c r="K529" s="36">
        <v>10230.0</v>
      </c>
      <c r="L529" s="33"/>
      <c r="M529" s="36">
        <v>930.0</v>
      </c>
      <c r="N529" s="34"/>
      <c r="O529" s="35">
        <f>IFERROR(__xludf.DUMMYFUNCTION("IFERROR(
  VLOOKUP(C529,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C529
    ), 
    7, FALSE
  ), 
  """"
)
"),18300.0)</f>
        <v>18300</v>
      </c>
      <c r="P529" s="35">
        <f>IFERROR(__xludf.DUMMYFUNCTION("IF(AND(Q529="""", R529=""""),
  """",
  IF(OR(ISBLANK(Q529), ISBLANK(O529)),
    """",
    IF(VALUE(SUBSTITUTE(INDEX(SPLIT(IF(ISBLANK(R529), Q529, R529), "",""), 0, 1), "" Km"", """")) - O529 = 0,
      """",
      VALUE(SUBSTITUTE(INDEX(SPLIT(IF(ISBLANK("&amp;"R529), Q529, R529), "",""), 0, 1), "" Km"", """")) - O529
    )
  )
)"),-18300.0)</f>
        <v>-18300</v>
      </c>
      <c r="Q529" s="36" t="str">
        <f t="shared" si="4"/>
        <v>0 Km, 27.12.2025</v>
      </c>
      <c r="R529" s="33"/>
      <c r="S529" s="40">
        <v>7000.0</v>
      </c>
      <c r="T529" s="25">
        <v>2.0</v>
      </c>
      <c r="U529" s="25" t="s">
        <v>1064</v>
      </c>
      <c r="V529" s="37"/>
      <c r="W529" s="37" t="str">
        <f t="shared" si="26"/>
        <v>Завершена</v>
      </c>
      <c r="X529" s="25" t="str">
        <f>IFERROR(__xludf.DUMMYFUNCTION("IF(C529 = """", """", IF(REGEXMATCH(C529, ""PCX|NMAX|ADV 150|CLICK""), ""скутер"", ""мото""))"),"мото")</f>
        <v>мото</v>
      </c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</row>
    <row r="530" hidden="1">
      <c r="A530" s="13" t="s">
        <v>24</v>
      </c>
      <c r="B530" s="13" t="s">
        <v>25</v>
      </c>
      <c r="C530" s="14" t="s">
        <v>1065</v>
      </c>
      <c r="D530" s="14" t="s">
        <v>1066</v>
      </c>
      <c r="E530" s="48">
        <v>46019.0</v>
      </c>
      <c r="F530" s="38">
        <v>46032.541666666664</v>
      </c>
      <c r="G530" s="17" t="str">
        <f t="shared" si="32"/>
        <v>13 Д</v>
      </c>
      <c r="H530" s="18">
        <f t="shared" si="35"/>
        <v>999</v>
      </c>
      <c r="I530" s="19" t="str">
        <f t="shared" si="2"/>
        <v/>
      </c>
      <c r="J530" s="20" t="str">
        <f t="shared" si="25"/>
        <v/>
      </c>
      <c r="K530" s="23">
        <v>13000.0</v>
      </c>
      <c r="L530" s="20"/>
      <c r="M530" s="23">
        <v>999.0</v>
      </c>
      <c r="N530" s="21"/>
      <c r="O530" s="22">
        <f>IFERROR(__xludf.DUMMYFUNCTION("IFERROR(
  VLOOKUP(C530,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C530
    ), 
    7, FALSE
  ), 
  """"
)
"),19130.0)</f>
        <v>19130</v>
      </c>
      <c r="P530" s="22">
        <f>IFERROR(__xludf.DUMMYFUNCTION("IF(AND(Q530="""", R530=""""),
  """",
  IF(OR(ISBLANK(Q530), ISBLANK(O530)),
    """",
    IF(VALUE(SUBSTITUTE(INDEX(SPLIT(IF(ISBLANK(R530), Q530, R530), "",""), 0, 1), "" Km"", """")) - O530 = 0,
      """",
      VALUE(SUBSTITUTE(INDEX(SPLIT(IF(ISBLANK("&amp;"R530), Q530, R530), "",""), 0, 1), "" Km"", """")) - O530
    )
  )
)"),-19130.0)</f>
        <v>-19130</v>
      </c>
      <c r="Q530" s="23" t="str">
        <f t="shared" si="4"/>
        <v>0 Km, 28.12.2025</v>
      </c>
      <c r="R530" s="20"/>
      <c r="S530" s="41">
        <v>7000.0</v>
      </c>
      <c r="T530" s="13">
        <v>2.0</v>
      </c>
      <c r="U530" s="13" t="s">
        <v>1067</v>
      </c>
      <c r="V530" s="24"/>
      <c r="W530" s="24" t="str">
        <f t="shared" si="26"/>
        <v>Завершена</v>
      </c>
      <c r="X530" s="13" t="str">
        <f>IFERROR(__xludf.DUMMYFUNCTION("IF(C530 = """", """", IF(REGEXMATCH(C530, ""PCX|NMAX|ADV 150|CLICK""), ""скутер"", ""мото""))"),"мото")</f>
        <v>мото</v>
      </c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</row>
    <row r="531" hidden="1">
      <c r="A531" s="25" t="s">
        <v>24</v>
      </c>
      <c r="B531" s="25" t="s">
        <v>25</v>
      </c>
      <c r="C531" s="27" t="s">
        <v>981</v>
      </c>
      <c r="D531" s="27" t="s">
        <v>1068</v>
      </c>
      <c r="E531" s="43">
        <v>46017.0</v>
      </c>
      <c r="F531" s="39">
        <v>46029.625</v>
      </c>
      <c r="G531" s="30" t="str">
        <f t="shared" si="32"/>
        <v>12 Д</v>
      </c>
      <c r="H531" s="31">
        <f t="shared" si="35"/>
        <v>933</v>
      </c>
      <c r="I531" s="32" t="str">
        <f t="shared" si="2"/>
        <v/>
      </c>
      <c r="J531" s="33" t="str">
        <f t="shared" si="25"/>
        <v/>
      </c>
      <c r="K531" s="36">
        <v>11193.0</v>
      </c>
      <c r="L531" s="33"/>
      <c r="M531" s="36">
        <v>933.0</v>
      </c>
      <c r="N531" s="34"/>
      <c r="O531" s="35">
        <f>IFERROR(__xludf.DUMMYFUNCTION("IFERROR(
  VLOOKUP(C531,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C531
    ), 
    7, FALSE
  ), 
  """"
)
"),6800.0)</f>
        <v>6800</v>
      </c>
      <c r="P531" s="35">
        <f>IFERROR(__xludf.DUMMYFUNCTION("IF(AND(Q531="""", R531=""""),
  """",
  IF(OR(ISBLANK(Q531), ISBLANK(O531)),
    """",
    IF(VALUE(SUBSTITUTE(INDEX(SPLIT(IF(ISBLANK(R531), Q531, R531), "",""), 0, 1), "" Km"", """")) - O531 = 0,
      """",
      VALUE(SUBSTITUTE(INDEX(SPLIT(IF(ISBLANK("&amp;"R531), Q531, R531), "",""), 0, 1), "" Km"", """")) - O531
    )
  )
)"),-6800.0)</f>
        <v>-6800</v>
      </c>
      <c r="Q531" s="36" t="str">
        <f t="shared" si="4"/>
        <v>0 Km, 26.12.2025</v>
      </c>
      <c r="R531" s="33"/>
      <c r="S531" s="40" t="s">
        <v>985</v>
      </c>
      <c r="T531" s="25">
        <v>2.0</v>
      </c>
      <c r="U531" s="25" t="s">
        <v>1069</v>
      </c>
      <c r="V531" s="37"/>
      <c r="W531" s="37" t="str">
        <f t="shared" si="26"/>
        <v>Завершена</v>
      </c>
      <c r="X531" s="25" t="str">
        <f>IFERROR(__xludf.DUMMYFUNCTION("IF(C531 = """", """", IF(REGEXMATCH(C531, ""PCX|NMAX|ADV 150|CLICK""), ""скутер"", ""мото""))"),"мото")</f>
        <v>мото</v>
      </c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</row>
    <row r="532" hidden="1">
      <c r="A532" s="13" t="s">
        <v>24</v>
      </c>
      <c r="B532" s="13" t="s">
        <v>25</v>
      </c>
      <c r="C532" s="14" t="s">
        <v>73</v>
      </c>
      <c r="D532" s="14" t="s">
        <v>1070</v>
      </c>
      <c r="E532" s="48">
        <v>46020.0</v>
      </c>
      <c r="F532" s="38">
        <v>46032.666666666664</v>
      </c>
      <c r="G532" s="17" t="str">
        <f t="shared" si="32"/>
        <v>12 Д</v>
      </c>
      <c r="H532" s="18">
        <f t="shared" si="35"/>
        <v>445</v>
      </c>
      <c r="I532" s="19" t="str">
        <f t="shared" si="2"/>
        <v/>
      </c>
      <c r="J532" s="20" t="str">
        <f t="shared" si="25"/>
        <v/>
      </c>
      <c r="K532" s="23">
        <v>4895.0</v>
      </c>
      <c r="L532" s="20"/>
      <c r="M532" s="23">
        <v>445.0</v>
      </c>
      <c r="N532" s="21"/>
      <c r="O532" s="22">
        <f>IFERROR(__xludf.DUMMYFUNCTION("IFERROR(
  VLOOKUP(C532,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C532
    ), 
    7, FALSE
  ), 
  """"
)
"),31000.0)</f>
        <v>31000</v>
      </c>
      <c r="P532" s="22">
        <f>IFERROR(__xludf.DUMMYFUNCTION("IF(AND(Q532="""", R532=""""),
  """",
  IF(OR(ISBLANK(Q532), ISBLANK(O532)),
    """",
    IF(VALUE(SUBSTITUTE(INDEX(SPLIT(IF(ISBLANK(R532), Q532, R532), "",""), 0, 1), "" Km"", """")) - O532 = 0,
      """",
      VALUE(SUBSTITUTE(INDEX(SPLIT(IF(ISBLANK("&amp;"R532), Q532, R532), "",""), 0, 1), "" Km"", """")) - O532
    )
  )
)"),-31000.0)</f>
        <v>-31000</v>
      </c>
      <c r="Q532" s="23" t="str">
        <f t="shared" si="4"/>
        <v>0 Km, 29.12.2025</v>
      </c>
      <c r="R532" s="20"/>
      <c r="S532" s="41">
        <v>3000.0</v>
      </c>
      <c r="T532" s="13">
        <v>2.0</v>
      </c>
      <c r="U532" s="13" t="s">
        <v>1071</v>
      </c>
      <c r="V532" s="24"/>
      <c r="W532" s="24" t="str">
        <f t="shared" si="26"/>
        <v>Завершена</v>
      </c>
      <c r="X532" s="13" t="str">
        <f>IFERROR(__xludf.DUMMYFUNCTION("IF(C532 = """", """", IF(REGEXMATCH(C532, ""PCX|NMAX|ADV 150|CLICK""), ""скутер"", ""мото""))"),"скутер")</f>
        <v>скутер</v>
      </c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</row>
    <row r="533" hidden="1">
      <c r="A533" s="111" t="s">
        <v>24</v>
      </c>
      <c r="B533" s="112" t="s">
        <v>25</v>
      </c>
      <c r="C533" s="113" t="s">
        <v>979</v>
      </c>
      <c r="D533" s="114" t="s">
        <v>740</v>
      </c>
      <c r="E533" s="43">
        <v>46007.0</v>
      </c>
      <c r="F533" s="39">
        <v>46032.708333333336</v>
      </c>
      <c r="G533" s="115" t="str">
        <f t="shared" si="32"/>
        <v>25 Д</v>
      </c>
      <c r="H533" s="116">
        <f t="shared" si="35"/>
        <v>600</v>
      </c>
      <c r="I533" s="83" t="str">
        <f t="shared" si="2"/>
        <v/>
      </c>
      <c r="J533" s="117" t="str">
        <f t="shared" si="25"/>
        <v/>
      </c>
      <c r="K533" s="118">
        <v>15000.0</v>
      </c>
      <c r="L533" s="117"/>
      <c r="M533" s="118">
        <v>600.0</v>
      </c>
      <c r="N533" s="119"/>
      <c r="O533" s="120">
        <f>IFERROR(__xludf.DUMMYFUNCTION("IFERROR(
  VLOOKUP(C533,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C533
    ), 
    7, FALSE
  ), 
  """"
)
"),6800.0)</f>
        <v>6800</v>
      </c>
      <c r="P533" s="120">
        <f>IFERROR(__xludf.DUMMYFUNCTION("IF(AND(Q533="""", R533=""""),
  """",
  IF(OR(ISBLANK(Q533), ISBLANK(O533)),
    """",
    IF(VALUE(SUBSTITUTE(INDEX(SPLIT(IF(ISBLANK(R533), Q533, R533), "",""), 0, 1), "" Km"", """")) - O533 = 0,
      """",
      VALUE(SUBSTITUTE(INDEX(SPLIT(IF(ISBLANK("&amp;"R533), Q533, R533), "",""), 0, 1), "" Km"", """")) - O533
    )
  )
)"),-6800.0)</f>
        <v>-6800</v>
      </c>
      <c r="Q533" s="121" t="str">
        <f t="shared" si="4"/>
        <v>0 Km, 16.12.2025</v>
      </c>
      <c r="R533" s="117"/>
      <c r="S533" s="116">
        <v>0.0</v>
      </c>
      <c r="T533" s="122">
        <v>2.0</v>
      </c>
      <c r="U533" s="111" t="s">
        <v>1072</v>
      </c>
      <c r="V533" s="123"/>
      <c r="W533" s="122" t="str">
        <f t="shared" si="26"/>
        <v>Завершена</v>
      </c>
      <c r="X533" s="124" t="str">
        <f>IFERROR(__xludf.DUMMYFUNCTION("IF(C533 = """", """", IF(REGEXMATCH(C533, ""PCX|NMAX|ADV 150|CLICK""), ""скутер"", ""мото""))"),"мото")</f>
        <v>мото</v>
      </c>
      <c r="Y533" s="125"/>
      <c r="Z533" s="125"/>
      <c r="AA533" s="125"/>
      <c r="AB533" s="125"/>
      <c r="AC533" s="125"/>
      <c r="AD533" s="125"/>
      <c r="AE533" s="125"/>
      <c r="AF533" s="125"/>
      <c r="AG533" s="125"/>
      <c r="AH533" s="125"/>
      <c r="AI533" s="125"/>
      <c r="AJ533" s="125"/>
      <c r="AK533" s="125"/>
      <c r="AL533" s="125"/>
      <c r="AM533" s="125"/>
    </row>
    <row r="534" hidden="1">
      <c r="A534" s="13" t="s">
        <v>24</v>
      </c>
      <c r="B534" s="13" t="s">
        <v>25</v>
      </c>
      <c r="C534" s="14" t="s">
        <v>461</v>
      </c>
      <c r="D534" s="14" t="s">
        <v>1073</v>
      </c>
      <c r="E534" s="48">
        <v>46022.0</v>
      </c>
      <c r="F534" s="38">
        <v>46033.541666666664</v>
      </c>
      <c r="G534" s="17" t="str">
        <f t="shared" si="32"/>
        <v>11 Д</v>
      </c>
      <c r="H534" s="18">
        <f t="shared" si="35"/>
        <v>832</v>
      </c>
      <c r="I534" s="19" t="str">
        <f t="shared" si="2"/>
        <v/>
      </c>
      <c r="J534" s="20" t="str">
        <f t="shared" si="25"/>
        <v/>
      </c>
      <c r="K534" s="23">
        <v>9152.0</v>
      </c>
      <c r="L534" s="20"/>
      <c r="M534" s="23">
        <v>832.0</v>
      </c>
      <c r="N534" s="21"/>
      <c r="O534" s="22">
        <f>IFERROR(__xludf.DUMMYFUNCTION("IFERROR(
  VLOOKUP(C534,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C534
    ), 
    7, FALSE
  ), 
  """"
)
"),30500.0)</f>
        <v>30500</v>
      </c>
      <c r="P534" s="22">
        <f>IFERROR(__xludf.DUMMYFUNCTION("IF(AND(Q534="""", R534=""""),
  """",
  IF(OR(ISBLANK(Q534), ISBLANK(O534)),
    """",
    IF(VALUE(SUBSTITUTE(INDEX(SPLIT(IF(ISBLANK(R534), Q534, R534), "",""), 0, 1), "" Km"", """")) - O534 = 0,
      """",
      VALUE(SUBSTITUTE(INDEX(SPLIT(IF(ISBLANK("&amp;"R534), Q534, R534), "",""), 0, 1), "" Km"", """")) - O534
    )
  )
)"),-30500.0)</f>
        <v>-30500</v>
      </c>
      <c r="Q534" s="23" t="str">
        <f t="shared" si="4"/>
        <v>0 Km, 31.12.2025</v>
      </c>
      <c r="R534" s="20"/>
      <c r="S534" s="41">
        <v>15000.0</v>
      </c>
      <c r="T534" s="13">
        <v>1.0</v>
      </c>
      <c r="U534" s="13" t="s">
        <v>1074</v>
      </c>
      <c r="V534" s="24"/>
      <c r="W534" s="24" t="str">
        <f t="shared" si="26"/>
        <v>Завершена</v>
      </c>
      <c r="X534" s="13" t="str">
        <f>IFERROR(__xludf.DUMMYFUNCTION("IF(C534 = """", """", IF(REGEXMATCH(C534, ""PCX|NMAX|ADV 150|CLICK""), ""скутер"", ""мото""))"),"мото")</f>
        <v>мото</v>
      </c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</row>
    <row r="535" hidden="1">
      <c r="A535" s="25" t="s">
        <v>24</v>
      </c>
      <c r="B535" s="25" t="s">
        <v>25</v>
      </c>
      <c r="C535" s="27" t="s">
        <v>279</v>
      </c>
      <c r="D535" s="27" t="s">
        <v>1075</v>
      </c>
      <c r="E535" s="43">
        <v>46022.0</v>
      </c>
      <c r="F535" s="39">
        <v>46033.541666666664</v>
      </c>
      <c r="G535" s="30" t="str">
        <f t="shared" si="32"/>
        <v>11 Д</v>
      </c>
      <c r="H535" s="31">
        <f t="shared" si="35"/>
        <v>584</v>
      </c>
      <c r="I535" s="32" t="str">
        <f t="shared" si="2"/>
        <v/>
      </c>
      <c r="J535" s="33" t="str">
        <f t="shared" si="25"/>
        <v/>
      </c>
      <c r="K535" s="36">
        <v>6424.0</v>
      </c>
      <c r="L535" s="33"/>
      <c r="M535" s="36">
        <v>584.0</v>
      </c>
      <c r="N535" s="34"/>
      <c r="O535" s="35">
        <f>IFERROR(__xludf.DUMMYFUNCTION("IFERROR(
  VLOOKUP(C535,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C535
    ), 
    7, FALSE
  ), 
  """"
)
"),9000.0)</f>
        <v>9000</v>
      </c>
      <c r="P535" s="35">
        <f>IFERROR(__xludf.DUMMYFUNCTION("IF(AND(Q535="""", R535=""""),
  """",
  IF(OR(ISBLANK(Q535), ISBLANK(O535)),
    """",
    IF(VALUE(SUBSTITUTE(INDEX(SPLIT(IF(ISBLANK(R535), Q535, R535), "",""), 0, 1), "" Km"", """")) - O535 = 0,
      """",
      VALUE(SUBSTITUTE(INDEX(SPLIT(IF(ISBLANK("&amp;"R535), Q535, R535), "",""), 0, 1), "" Km"", """")) - O535
    )
  )
)"),-9000.0)</f>
        <v>-9000</v>
      </c>
      <c r="Q535" s="36" t="str">
        <f t="shared" si="4"/>
        <v>0 Km, 31.12.2025</v>
      </c>
      <c r="R535" s="33"/>
      <c r="S535" s="40">
        <v>7000.0</v>
      </c>
      <c r="T535" s="25">
        <v>1.0</v>
      </c>
      <c r="U535" s="25" t="s">
        <v>1076</v>
      </c>
      <c r="V535" s="37"/>
      <c r="W535" s="37" t="str">
        <f t="shared" si="26"/>
        <v>Завершена</v>
      </c>
      <c r="X535" s="25" t="str">
        <f>IFERROR(__xludf.DUMMYFUNCTION("IF(C535 = """", """", IF(REGEXMATCH(C535, ""PCX|NMAX|ADV 150|CLICK""), ""скутер"", ""мото""))"),"мото")</f>
        <v>мото</v>
      </c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</row>
    <row r="536" hidden="1">
      <c r="A536" s="13" t="s">
        <v>24</v>
      </c>
      <c r="B536" s="13" t="s">
        <v>25</v>
      </c>
      <c r="C536" s="14" t="s">
        <v>1028</v>
      </c>
      <c r="D536" s="14" t="s">
        <v>1077</v>
      </c>
      <c r="E536" s="48">
        <v>46020.0</v>
      </c>
      <c r="F536" s="38">
        <v>46033.875</v>
      </c>
      <c r="G536" s="17" t="str">
        <f t="shared" si="32"/>
        <v>13 Д</v>
      </c>
      <c r="H536" s="18">
        <f t="shared" si="35"/>
        <v>961</v>
      </c>
      <c r="I536" s="19" t="str">
        <f t="shared" si="2"/>
        <v/>
      </c>
      <c r="J536" s="20" t="str">
        <f t="shared" si="25"/>
        <v/>
      </c>
      <c r="K536" s="23">
        <f>7688+961*5</f>
        <v>12493</v>
      </c>
      <c r="L536" s="20"/>
      <c r="M536" s="23">
        <v>961.0</v>
      </c>
      <c r="N536" s="21"/>
      <c r="O536" s="22">
        <f>IFERROR(__xludf.DUMMYFUNCTION("IFERROR(
  VLOOKUP(C536,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C536
    ), 
    7, FALSE
  ), 
  """"
)
"),21600.0)</f>
        <v>21600</v>
      </c>
      <c r="P536" s="22">
        <f>IFERROR(__xludf.DUMMYFUNCTION("IF(AND(Q536="""", R536=""""),
  """",
  IF(OR(ISBLANK(Q536), ISBLANK(O536)),
    """",
    IF(VALUE(SUBSTITUTE(INDEX(SPLIT(IF(ISBLANK(R536), Q536, R536), "",""), 0, 1), "" Km"", """")) - O536 = 0,
      """",
      VALUE(SUBSTITUTE(INDEX(SPLIT(IF(ISBLANK("&amp;"R536), Q536, R536), "",""), 0, 1), "" Km"", """")) - O536
    )
  )
)"),-21600.0)</f>
        <v>-21600</v>
      </c>
      <c r="Q536" s="23" t="str">
        <f t="shared" si="4"/>
        <v>0 Km, 29.12.2025</v>
      </c>
      <c r="R536" s="20"/>
      <c r="S536" s="41">
        <v>7000.0</v>
      </c>
      <c r="T536" s="24"/>
      <c r="U536" s="13" t="s">
        <v>1078</v>
      </c>
      <c r="V536" s="24"/>
      <c r="W536" s="24" t="str">
        <f t="shared" si="26"/>
        <v>Завершена</v>
      </c>
      <c r="X536" s="13" t="str">
        <f>IFERROR(__xludf.DUMMYFUNCTION("IF(C536 = """", """", IF(REGEXMATCH(C536, ""PCX|NMAX|ADV 150|CLICK""), ""скутер"", ""мото""))"),"мото")</f>
        <v>мото</v>
      </c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</row>
    <row r="537" hidden="1">
      <c r="A537" s="25" t="s">
        <v>24</v>
      </c>
      <c r="B537" s="25" t="s">
        <v>25</v>
      </c>
      <c r="C537" s="27" t="s">
        <v>923</v>
      </c>
      <c r="D537" s="27" t="s">
        <v>1079</v>
      </c>
      <c r="E537" s="43">
        <v>46024.0</v>
      </c>
      <c r="F537" s="39">
        <v>46035.541666666664</v>
      </c>
      <c r="G537" s="30" t="str">
        <f t="shared" si="32"/>
        <v>11 Д</v>
      </c>
      <c r="H537" s="31">
        <f t="shared" si="35"/>
        <v>887</v>
      </c>
      <c r="I537" s="32" t="str">
        <f t="shared" si="2"/>
        <v/>
      </c>
      <c r="J537" s="33" t="str">
        <f t="shared" si="25"/>
        <v/>
      </c>
      <c r="K537" s="36">
        <f>8870+870</f>
        <v>9740</v>
      </c>
      <c r="L537" s="33"/>
      <c r="M537" s="36">
        <v>887.0</v>
      </c>
      <c r="N537" s="34"/>
      <c r="O537" s="35">
        <f>IFERROR(__xludf.DUMMYFUNCTION("IFERROR(
  VLOOKUP(C537,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C537
    ), 
    7, FALSE
  ), 
  """"
)
"),25378.0)</f>
        <v>25378</v>
      </c>
      <c r="P537" s="35">
        <f>IFERROR(__xludf.DUMMYFUNCTION("IF(AND(Q537="""", R537=""""),
  """",
  IF(OR(ISBLANK(Q537), ISBLANK(O537)),
    """",
    IF(VALUE(SUBSTITUTE(INDEX(SPLIT(IF(ISBLANK(R537), Q537, R537), "",""), 0, 1), "" Km"", """")) - O537 = 0,
      """",
      VALUE(SUBSTITUTE(INDEX(SPLIT(IF(ISBLANK("&amp;"R537), Q537, R537), "",""), 0, 1), "" Km"", """")) - O537
    )
  )
)"),-25378.0)</f>
        <v>-25378</v>
      </c>
      <c r="Q537" s="36" t="str">
        <f t="shared" si="4"/>
        <v>0 Km, 02.01.2026</v>
      </c>
      <c r="R537" s="33"/>
      <c r="S537" s="40">
        <v>7000.0</v>
      </c>
      <c r="T537" s="25">
        <v>2.0</v>
      </c>
      <c r="U537" s="25" t="s">
        <v>1080</v>
      </c>
      <c r="V537" s="37"/>
      <c r="W537" s="37" t="str">
        <f t="shared" si="26"/>
        <v>Завершена</v>
      </c>
      <c r="X537" s="25" t="str">
        <f>IFERROR(__xludf.DUMMYFUNCTION("IF(C537 = """", """", IF(REGEXMATCH(C537, ""PCX|NMAX|ADV 150|CLICK""), ""скутер"", ""мото""))"),"мото")</f>
        <v>мото</v>
      </c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</row>
    <row r="538" hidden="1">
      <c r="A538" s="13" t="s">
        <v>24</v>
      </c>
      <c r="B538" s="13" t="s">
        <v>25</v>
      </c>
      <c r="C538" s="14" t="s">
        <v>468</v>
      </c>
      <c r="D538" s="14" t="s">
        <v>1081</v>
      </c>
      <c r="E538" s="48">
        <v>46031.0</v>
      </c>
      <c r="F538" s="38">
        <v>46034.583333333336</v>
      </c>
      <c r="G538" s="17" t="str">
        <f t="shared" si="32"/>
        <v>3 Д</v>
      </c>
      <c r="H538" s="18">
        <f t="shared" si="35"/>
        <v>1199</v>
      </c>
      <c r="I538" s="19" t="str">
        <f t="shared" si="2"/>
        <v/>
      </c>
      <c r="J538" s="20" t="str">
        <f t="shared" si="25"/>
        <v/>
      </c>
      <c r="K538" s="23">
        <v>3597.0</v>
      </c>
      <c r="L538" s="20"/>
      <c r="M538" s="23">
        <v>1199.0</v>
      </c>
      <c r="N538" s="21"/>
      <c r="O538" s="22">
        <f>IFERROR(__xludf.DUMMYFUNCTION("IFERROR(
  VLOOKUP(C538,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C538
    ), 
    7, FALSE
  ), 
  """"
)
"),22200.0)</f>
        <v>22200</v>
      </c>
      <c r="P538" s="22">
        <f>IFERROR(__xludf.DUMMYFUNCTION("IF(AND(Q538="""", R538=""""),
  """",
  IF(OR(ISBLANK(Q538), ISBLANK(O538)),
    """",
    IF(VALUE(SUBSTITUTE(INDEX(SPLIT(IF(ISBLANK(R538), Q538, R538), "",""), 0, 1), "" Km"", """")) - O538 = 0,
      """",
      VALUE(SUBSTITUTE(INDEX(SPLIT(IF(ISBLANK("&amp;"R538), Q538, R538), "",""), 0, 1), "" Km"", """")) - O538
    )
  )
)"),-22200.0)</f>
        <v>-22200</v>
      </c>
      <c r="Q538" s="23" t="str">
        <f t="shared" si="4"/>
        <v>0 Km, 09.01.2026</v>
      </c>
      <c r="R538" s="20"/>
      <c r="S538" s="41">
        <v>15000.0</v>
      </c>
      <c r="T538" s="13">
        <v>2.0</v>
      </c>
      <c r="U538" s="13" t="s">
        <v>1082</v>
      </c>
      <c r="V538" s="24"/>
      <c r="W538" s="24" t="str">
        <f t="shared" si="26"/>
        <v>Завершена</v>
      </c>
      <c r="X538" s="13" t="str">
        <f>IFERROR(__xludf.DUMMYFUNCTION("IF(C538 = """", """", IF(REGEXMATCH(C538, ""PCX|NMAX|ADV 150|CLICK""), ""скутер"", ""мото""))"),"мото")</f>
        <v>мото</v>
      </c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</row>
    <row r="539" hidden="1">
      <c r="A539" s="25" t="s">
        <v>24</v>
      </c>
      <c r="B539" s="25" t="s">
        <v>25</v>
      </c>
      <c r="C539" s="27" t="s">
        <v>98</v>
      </c>
      <c r="D539" s="27" t="s">
        <v>1083</v>
      </c>
      <c r="E539" s="43">
        <v>46027.0</v>
      </c>
      <c r="F539" s="39">
        <v>46034.625</v>
      </c>
      <c r="G539" s="30" t="str">
        <f t="shared" si="32"/>
        <v>7 Д</v>
      </c>
      <c r="H539" s="31">
        <f t="shared" si="35"/>
        <v>464</v>
      </c>
      <c r="I539" s="32" t="str">
        <f t="shared" si="2"/>
        <v/>
      </c>
      <c r="J539" s="33" t="str">
        <f t="shared" si="25"/>
        <v/>
      </c>
      <c r="K539" s="36">
        <v>3248.0</v>
      </c>
      <c r="L539" s="33"/>
      <c r="M539" s="36">
        <v>464.0</v>
      </c>
      <c r="N539" s="34"/>
      <c r="O539" s="35">
        <f>IFERROR(__xludf.DUMMYFUNCTION("IFERROR(
  VLOOKUP(C539,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C539
    ), 
    7, FALSE
  ), 
  """"
)
"),32200.0)</f>
        <v>32200</v>
      </c>
      <c r="P539" s="35">
        <f>IFERROR(__xludf.DUMMYFUNCTION("IF(AND(Q539="""", R539=""""),
  """",
  IF(OR(ISBLANK(Q539), ISBLANK(O539)),
    """",
    IF(VALUE(SUBSTITUTE(INDEX(SPLIT(IF(ISBLANK(R539), Q539, R539), "",""), 0, 1), "" Km"", """")) - O539 = 0,
      """",
      VALUE(SUBSTITUTE(INDEX(SPLIT(IF(ISBLANK("&amp;"R539), Q539, R539), "",""), 0, 1), "" Km"", """")) - O539
    )
  )
)"),-32200.0)</f>
        <v>-32200</v>
      </c>
      <c r="Q539" s="36" t="str">
        <f t="shared" si="4"/>
        <v>0 Km, 05.01.2026</v>
      </c>
      <c r="R539" s="33"/>
      <c r="S539" s="40">
        <v>3000.0</v>
      </c>
      <c r="T539" s="25">
        <v>2.0</v>
      </c>
      <c r="U539" s="25" t="s">
        <v>1084</v>
      </c>
      <c r="V539" s="37"/>
      <c r="W539" s="37" t="str">
        <f t="shared" si="26"/>
        <v>Завершена</v>
      </c>
      <c r="X539" s="25" t="str">
        <f>IFERROR(__xludf.DUMMYFUNCTION("IF(C539 = """", """", IF(REGEXMATCH(C539, ""PCX|NMAX|ADV 150|CLICK""), ""скутер"", ""мото""))"),"скутер")</f>
        <v>скутер</v>
      </c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</row>
    <row r="540" hidden="1">
      <c r="A540" s="13" t="s">
        <v>24</v>
      </c>
      <c r="B540" s="13" t="s">
        <v>25</v>
      </c>
      <c r="C540" s="14" t="s">
        <v>92</v>
      </c>
      <c r="D540" s="14" t="s">
        <v>1085</v>
      </c>
      <c r="E540" s="48">
        <v>46015.0</v>
      </c>
      <c r="F540" s="38">
        <v>46035.666666666664</v>
      </c>
      <c r="G540" s="17" t="str">
        <f t="shared" si="32"/>
        <v>20 Д</v>
      </c>
      <c r="H540" s="18">
        <f t="shared" si="35"/>
        <v>657</v>
      </c>
      <c r="I540" s="19" t="str">
        <f t="shared" si="2"/>
        <v/>
      </c>
      <c r="J540" s="20" t="str">
        <f t="shared" si="25"/>
        <v/>
      </c>
      <c r="K540" s="23">
        <f>13244+657</f>
        <v>13901</v>
      </c>
      <c r="L540" s="20"/>
      <c r="M540" s="23">
        <v>657.0</v>
      </c>
      <c r="N540" s="21"/>
      <c r="O540" s="22">
        <f>IFERROR(__xludf.DUMMYFUNCTION("IFERROR(
  VLOOKUP(C540,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C540
    ), 
    7, FALSE
  ), 
  """"
)
"),23500.0)</f>
        <v>23500</v>
      </c>
      <c r="P540" s="22">
        <f>IFERROR(__xludf.DUMMYFUNCTION("IF(AND(Q540="""", R540=""""),
  """",
  IF(OR(ISBLANK(Q540), ISBLANK(O540)),
    """",
    IF(VALUE(SUBSTITUTE(INDEX(SPLIT(IF(ISBLANK(R540), Q540, R540), "",""), 0, 1), "" Km"", """")) - O540 = 0,
      """",
      VALUE(SUBSTITUTE(INDEX(SPLIT(IF(ISBLANK("&amp;"R540), Q540, R540), "",""), 0, 1), "" Km"", """")) - O540
    )
  )
)"),-23500.0)</f>
        <v>-23500</v>
      </c>
      <c r="Q540" s="23" t="str">
        <f t="shared" si="4"/>
        <v>0 Km, 24.12.2025</v>
      </c>
      <c r="R540" s="20"/>
      <c r="S540" s="41">
        <v>5000.0</v>
      </c>
      <c r="T540" s="13">
        <v>2.0</v>
      </c>
      <c r="U540" s="13" t="s">
        <v>1086</v>
      </c>
      <c r="V540" s="24"/>
      <c r="W540" s="24" t="str">
        <f t="shared" si="26"/>
        <v>Завершена</v>
      </c>
      <c r="X540" s="13" t="str">
        <f>IFERROR(__xludf.DUMMYFUNCTION("IF(C540 = """", """", IF(REGEXMATCH(C540, ""PCX|NMAX|ADV 150|CLICK""), ""скутер"", ""мото""))"),"мото")</f>
        <v>мото</v>
      </c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</row>
    <row r="541" hidden="1">
      <c r="A541" s="25" t="s">
        <v>24</v>
      </c>
      <c r="B541" s="25" t="s">
        <v>25</v>
      </c>
      <c r="C541" s="27" t="s">
        <v>967</v>
      </c>
      <c r="D541" s="27" t="s">
        <v>1087</v>
      </c>
      <c r="E541" s="43">
        <v>46029.0</v>
      </c>
      <c r="F541" s="39">
        <v>46036.541666666664</v>
      </c>
      <c r="G541" s="30" t="str">
        <f t="shared" si="32"/>
        <v>7 Д</v>
      </c>
      <c r="H541" s="31">
        <f t="shared" si="35"/>
        <v>2883</v>
      </c>
      <c r="I541" s="32" t="str">
        <f t="shared" si="2"/>
        <v/>
      </c>
      <c r="J541" s="33" t="str">
        <f t="shared" si="25"/>
        <v/>
      </c>
      <c r="K541" s="36">
        <f>2883*7</f>
        <v>20181</v>
      </c>
      <c r="L541" s="33"/>
      <c r="M541" s="36">
        <v>2883.0</v>
      </c>
      <c r="N541" s="34"/>
      <c r="O541" s="35">
        <f>IFERROR(__xludf.DUMMYFUNCTION("IFERROR(
  VLOOKUP(C541,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C541
    ), 
    7, FALSE
  ), 
  """"
)
"),24800.0)</f>
        <v>24800</v>
      </c>
      <c r="P541" s="35">
        <f>IFERROR(__xludf.DUMMYFUNCTION("IF(AND(Q541="""", R541=""""),
  """",
  IF(OR(ISBLANK(Q541), ISBLANK(O541)),
    """",
    IF(VALUE(SUBSTITUTE(INDEX(SPLIT(IF(ISBLANK(R541), Q541, R541), "",""), 0, 1), "" Km"", """")) - O541 = 0,
      """",
      VALUE(SUBSTITUTE(INDEX(SPLIT(IF(ISBLANK("&amp;"R541), Q541, R541), "",""), 0, 1), "" Km"", """")) - O541
    )
  )
)"),-24800.0)</f>
        <v>-24800</v>
      </c>
      <c r="Q541" s="36" t="str">
        <f t="shared" si="4"/>
        <v>0 Km, 07.01.2026</v>
      </c>
      <c r="R541" s="33"/>
      <c r="S541" s="40">
        <v>30000.0</v>
      </c>
      <c r="T541" s="25">
        <v>2.0</v>
      </c>
      <c r="U541" s="25" t="s">
        <v>1088</v>
      </c>
      <c r="V541" s="37"/>
      <c r="W541" s="37" t="str">
        <f t="shared" si="26"/>
        <v>Завершена</v>
      </c>
      <c r="X541" s="25" t="str">
        <f>IFERROR(__xludf.DUMMYFUNCTION("IF(C541 = """", """", IF(REGEXMATCH(C541, ""PCX|NMAX|ADV 150|CLICK""), ""скутер"", ""мото""))"),"мото")</f>
        <v>мото</v>
      </c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</row>
    <row r="542" hidden="1">
      <c r="A542" s="13" t="s">
        <v>24</v>
      </c>
      <c r="B542" s="13" t="s">
        <v>25</v>
      </c>
      <c r="C542" s="14" t="s">
        <v>56</v>
      </c>
      <c r="D542" s="14" t="s">
        <v>1089</v>
      </c>
      <c r="E542" s="48">
        <v>46005.0</v>
      </c>
      <c r="F542" s="38">
        <v>46036.583333333336</v>
      </c>
      <c r="G542" s="17" t="str">
        <f t="shared" si="32"/>
        <v>31 Д</v>
      </c>
      <c r="H542" s="18">
        <f t="shared" si="35"/>
        <v>283</v>
      </c>
      <c r="I542" s="19" t="str">
        <f t="shared" si="2"/>
        <v/>
      </c>
      <c r="J542" s="20" t="str">
        <f t="shared" si="25"/>
        <v/>
      </c>
      <c r="K542" s="23">
        <v>8490.0</v>
      </c>
      <c r="L542" s="23">
        <v>8490.0</v>
      </c>
      <c r="M542" s="20"/>
      <c r="N542" s="21"/>
      <c r="O542" s="22">
        <f>IFERROR(__xludf.DUMMYFUNCTION("IFERROR(
  VLOOKUP(C542,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C542
    ), 
    7, FALSE
  ), 
  """"
)
"),36400.0)</f>
        <v>36400</v>
      </c>
      <c r="P542" s="22">
        <f>IFERROR(__xludf.DUMMYFUNCTION("IF(AND(Q542="""", R542=""""),
  """",
  IF(OR(ISBLANK(Q542), ISBLANK(O542)),
    """",
    IF(VALUE(SUBSTITUTE(INDEX(SPLIT(IF(ISBLANK(R542), Q542, R542), "",""), 0, 1), "" Km"", """")) - O542 = 0,
      """",
      VALUE(SUBSTITUTE(INDEX(SPLIT(IF(ISBLANK("&amp;"R542), Q542, R542), "",""), 0, 1), "" Km"", """")) - O542
    )
  )
)"),-36400.0)</f>
        <v>-36400</v>
      </c>
      <c r="Q542" s="23" t="str">
        <f t="shared" si="4"/>
        <v>0 Km, 14.12.2025</v>
      </c>
      <c r="R542" s="20"/>
      <c r="S542" s="41">
        <v>3000.0</v>
      </c>
      <c r="T542" s="13">
        <v>0.0</v>
      </c>
      <c r="U542" s="13" t="s">
        <v>1090</v>
      </c>
      <c r="V542" s="24"/>
      <c r="W542" s="24" t="str">
        <f t="shared" si="26"/>
        <v>Завершена</v>
      </c>
      <c r="X542" s="13" t="str">
        <f>IFERROR(__xludf.DUMMYFUNCTION("IF(C542 = """", """", IF(REGEXMATCH(C542, ""PCX|NMAX|ADV 150|CLICK""), ""скутер"", ""мото""))"),"скутер")</f>
        <v>скутер</v>
      </c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</row>
    <row r="543" hidden="1">
      <c r="A543" s="25" t="s">
        <v>24</v>
      </c>
      <c r="B543" s="25" t="s">
        <v>25</v>
      </c>
      <c r="C543" s="27" t="s">
        <v>44</v>
      </c>
      <c r="D543" s="27" t="s">
        <v>1091</v>
      </c>
      <c r="E543" s="43">
        <v>46029.0</v>
      </c>
      <c r="F543" s="39">
        <v>46036.708333333336</v>
      </c>
      <c r="G543" s="30" t="str">
        <f t="shared" si="32"/>
        <v>7 Д</v>
      </c>
      <c r="H543" s="31">
        <f t="shared" si="35"/>
        <v>494</v>
      </c>
      <c r="I543" s="32" t="str">
        <f t="shared" si="2"/>
        <v/>
      </c>
      <c r="J543" s="33" t="str">
        <f t="shared" si="25"/>
        <v/>
      </c>
      <c r="K543" s="36">
        <f>494*7</f>
        <v>3458</v>
      </c>
      <c r="L543" s="33"/>
      <c r="M543" s="36">
        <v>494.0</v>
      </c>
      <c r="N543" s="34"/>
      <c r="O543" s="35">
        <f>IFERROR(__xludf.DUMMYFUNCTION("IFERROR(
  VLOOKUP(C543,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C543
    ), 
    7, FALSE
  ), 
  """"
)
"),30800.0)</f>
        <v>30800</v>
      </c>
      <c r="P543" s="35">
        <f>IFERROR(__xludf.DUMMYFUNCTION("IF(AND(Q543="""", R543=""""),
  """",
  IF(OR(ISBLANK(Q543), ISBLANK(O543)),
    """",
    IF(VALUE(SUBSTITUTE(INDEX(SPLIT(IF(ISBLANK(R543), Q543, R543), "",""), 0, 1), "" Km"", """")) - O543 = 0,
      """",
      VALUE(SUBSTITUTE(INDEX(SPLIT(IF(ISBLANK("&amp;"R543), Q543, R543), "",""), 0, 1), "" Km"", """")) - O543
    )
  )
)"),-30800.0)</f>
        <v>-30800</v>
      </c>
      <c r="Q543" s="36" t="str">
        <f t="shared" si="4"/>
        <v>0 Km, 07.01.2026</v>
      </c>
      <c r="R543" s="33"/>
      <c r="S543" s="40">
        <v>3000.0</v>
      </c>
      <c r="T543" s="25">
        <v>2.0</v>
      </c>
      <c r="U543" s="25" t="s">
        <v>1092</v>
      </c>
      <c r="V543" s="37"/>
      <c r="W543" s="37" t="str">
        <f t="shared" si="26"/>
        <v>Завершена</v>
      </c>
      <c r="X543" s="25" t="str">
        <f>IFERROR(__xludf.DUMMYFUNCTION("IF(C543 = """", """", IF(REGEXMATCH(C543, ""PCX|NMAX|ADV 150|CLICK""), ""скутер"", ""мото""))"),"скутер")</f>
        <v>скутер</v>
      </c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</row>
    <row r="544" hidden="1">
      <c r="A544" s="13" t="s">
        <v>24</v>
      </c>
      <c r="B544" s="13" t="s">
        <v>25</v>
      </c>
      <c r="C544" s="14" t="s">
        <v>971</v>
      </c>
      <c r="D544" s="14" t="s">
        <v>1093</v>
      </c>
      <c r="E544" s="48">
        <v>46031.0</v>
      </c>
      <c r="F544" s="38">
        <v>46038.458333333336</v>
      </c>
      <c r="G544" s="17" t="str">
        <f t="shared" si="32"/>
        <v>7 Д</v>
      </c>
      <c r="H544" s="18">
        <f t="shared" si="35"/>
        <v>971</v>
      </c>
      <c r="I544" s="19" t="str">
        <f t="shared" si="2"/>
        <v/>
      </c>
      <c r="J544" s="20" t="str">
        <f t="shared" si="25"/>
        <v/>
      </c>
      <c r="K544" s="23">
        <v>7688.0</v>
      </c>
      <c r="L544" s="20"/>
      <c r="M544" s="23">
        <v>971.0</v>
      </c>
      <c r="N544" s="21"/>
      <c r="O544" s="22">
        <f>IFERROR(__xludf.DUMMYFUNCTION("IFERROR(
  VLOOKUP(C544,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C544
    ), 
    7, FALSE
  ), 
  """"
)
"),18300.0)</f>
        <v>18300</v>
      </c>
      <c r="P544" s="22">
        <f>IFERROR(__xludf.DUMMYFUNCTION("IF(AND(Q544="""", R544=""""),
  """",
  IF(OR(ISBLANK(Q544), ISBLANK(O544)),
    """",
    IF(VALUE(SUBSTITUTE(INDEX(SPLIT(IF(ISBLANK(R544), Q544, R544), "",""), 0, 1), "" Km"", """")) - O544 = 0,
      """",
      VALUE(SUBSTITUTE(INDEX(SPLIT(IF(ISBLANK("&amp;"R544), Q544, R544), "",""), 0, 1), "" Km"", """")) - O544
    )
  )
)"),-18300.0)</f>
        <v>-18300</v>
      </c>
      <c r="Q544" s="23" t="str">
        <f t="shared" si="4"/>
        <v>0 Km, 09.01.2026</v>
      </c>
      <c r="R544" s="20"/>
      <c r="S544" s="41">
        <v>7000.0</v>
      </c>
      <c r="T544" s="13">
        <v>2.0</v>
      </c>
      <c r="U544" s="13" t="s">
        <v>1094</v>
      </c>
      <c r="V544" s="24"/>
      <c r="W544" s="24" t="str">
        <f t="shared" si="26"/>
        <v>Завершена</v>
      </c>
      <c r="X544" s="13" t="str">
        <f>IFERROR(__xludf.DUMMYFUNCTION("IF(C544 = """", """", IF(REGEXMATCH(C544, ""PCX|NMAX|ADV 150|CLICK""), ""скутер"", ""мото""))"),"мото")</f>
        <v>мото</v>
      </c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</row>
    <row r="545" hidden="1">
      <c r="A545" s="25" t="s">
        <v>24</v>
      </c>
      <c r="B545" s="25" t="s">
        <v>25</v>
      </c>
      <c r="C545" s="27" t="s">
        <v>916</v>
      </c>
      <c r="D545" s="27" t="s">
        <v>1095</v>
      </c>
      <c r="E545" s="43">
        <v>46026.0</v>
      </c>
      <c r="F545" s="39">
        <v>46037.541666666664</v>
      </c>
      <c r="G545" s="30" t="str">
        <f t="shared" si="32"/>
        <v>11 Д</v>
      </c>
      <c r="H545" s="31">
        <f t="shared" si="35"/>
        <v>1681</v>
      </c>
      <c r="I545" s="32" t="str">
        <f t="shared" si="2"/>
        <v/>
      </c>
      <c r="J545" s="33" t="str">
        <f t="shared" si="25"/>
        <v/>
      </c>
      <c r="K545" s="36">
        <v>18491.0</v>
      </c>
      <c r="L545" s="33"/>
      <c r="M545" s="36">
        <v>1681.0</v>
      </c>
      <c r="N545" s="34"/>
      <c r="O545" s="35">
        <f>IFERROR(__xludf.DUMMYFUNCTION("IFERROR(
  VLOOKUP(C545,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C545
    ), 
    7, FALSE
  ), 
  """"
)
"),29300.0)</f>
        <v>29300</v>
      </c>
      <c r="P545" s="35">
        <f>IFERROR(__xludf.DUMMYFUNCTION("IF(AND(Q545="""", R545=""""),
  """",
  IF(OR(ISBLANK(Q545), ISBLANK(O545)),
    """",
    IF(VALUE(SUBSTITUTE(INDEX(SPLIT(IF(ISBLANK(R545), Q545, R545), "",""), 0, 1), "" Km"", """")) - O545 = 0,
      """",
      VALUE(SUBSTITUTE(INDEX(SPLIT(IF(ISBLANK("&amp;"R545), Q545, R545), "",""), 0, 1), "" Km"", """")) - O545
    )
  )
)"),-29300.0)</f>
        <v>-29300</v>
      </c>
      <c r="Q545" s="36" t="str">
        <f t="shared" si="4"/>
        <v>0 Km, 04.01.2026</v>
      </c>
      <c r="R545" s="33"/>
      <c r="S545" s="40">
        <v>20000.0</v>
      </c>
      <c r="T545" s="25">
        <v>1.0</v>
      </c>
      <c r="U545" s="25" t="s">
        <v>1096</v>
      </c>
      <c r="V545" s="37"/>
      <c r="W545" s="37" t="str">
        <f t="shared" si="26"/>
        <v>Завершена</v>
      </c>
      <c r="X545" s="25" t="str">
        <f>IFERROR(__xludf.DUMMYFUNCTION("IF(C545 = """", """", IF(REGEXMATCH(C545, ""PCX|NMAX|ADV 150|CLICK""), ""скутер"", ""мото""))"),"мото")</f>
        <v>мото</v>
      </c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</row>
    <row r="546" hidden="1">
      <c r="A546" s="13" t="s">
        <v>24</v>
      </c>
      <c r="B546" s="13" t="s">
        <v>25</v>
      </c>
      <c r="C546" s="14" t="s">
        <v>202</v>
      </c>
      <c r="D546" s="14" t="s">
        <v>1097</v>
      </c>
      <c r="E546" s="48">
        <v>46027.0</v>
      </c>
      <c r="F546" s="38">
        <v>46041.541666666664</v>
      </c>
      <c r="G546" s="17" t="str">
        <f t="shared" si="32"/>
        <v>14 Д</v>
      </c>
      <c r="H546" s="18">
        <f t="shared" si="35"/>
        <v>691</v>
      </c>
      <c r="I546" s="19" t="str">
        <f t="shared" si="2"/>
        <v/>
      </c>
      <c r="J546" s="20" t="str">
        <f t="shared" si="25"/>
        <v/>
      </c>
      <c r="K546" s="23">
        <f>6910+1382+1382</f>
        <v>9674</v>
      </c>
      <c r="L546" s="20"/>
      <c r="M546" s="23">
        <v>691.0</v>
      </c>
      <c r="N546" s="21"/>
      <c r="O546" s="22">
        <f>IFERROR(__xludf.DUMMYFUNCTION("IFERROR(
  VLOOKUP(C546,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C546
    ), 
    7, FALSE
  ), 
  """"
)
"),30225.0)</f>
        <v>30225</v>
      </c>
      <c r="P546" s="22">
        <f>IFERROR(__xludf.DUMMYFUNCTION("IF(AND(Q546="""", R546=""""),
  """",
  IF(OR(ISBLANK(Q546), ISBLANK(O546)),
    """",
    IF(VALUE(SUBSTITUTE(INDEX(SPLIT(IF(ISBLANK(R546), Q546, R546), "",""), 0, 1), "" Km"", """")) - O546 = 0,
      """",
      VALUE(SUBSTITUTE(INDEX(SPLIT(IF(ISBLANK("&amp;"R546), Q546, R546), "",""), 0, 1), "" Km"", """")) - O546
    )
  )
)"),-30225.0)</f>
        <v>-30225</v>
      </c>
      <c r="Q546" s="23" t="str">
        <f t="shared" si="4"/>
        <v>0 Km, 05.01.2026</v>
      </c>
      <c r="R546" s="20"/>
      <c r="S546" s="41">
        <v>5000.0</v>
      </c>
      <c r="T546" s="13">
        <v>2.0</v>
      </c>
      <c r="U546" s="13" t="s">
        <v>1098</v>
      </c>
      <c r="V546" s="24"/>
      <c r="W546" s="24" t="str">
        <f t="shared" si="26"/>
        <v>Завершена</v>
      </c>
      <c r="X546" s="13" t="str">
        <f>IFERROR(__xludf.DUMMYFUNCTION("IF(C546 = """", """", IF(REGEXMATCH(C546, ""PCX|NMAX|ADV 150|CLICK""), ""скутер"", ""мото""))"),"мото")</f>
        <v>мото</v>
      </c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</row>
    <row r="547" hidden="1">
      <c r="A547" s="25" t="s">
        <v>24</v>
      </c>
      <c r="B547" s="25" t="s">
        <v>25</v>
      </c>
      <c r="C547" s="27" t="s">
        <v>948</v>
      </c>
      <c r="D547" s="27" t="s">
        <v>1099</v>
      </c>
      <c r="E547" s="43">
        <v>46005.0</v>
      </c>
      <c r="F547" s="39">
        <v>46037.458333333336</v>
      </c>
      <c r="G547" s="30" t="str">
        <f t="shared" si="32"/>
        <v>32 Д</v>
      </c>
      <c r="H547" s="31">
        <f t="shared" si="35"/>
        <v>714</v>
      </c>
      <c r="I547" s="32" t="str">
        <f t="shared" si="2"/>
        <v/>
      </c>
      <c r="J547" s="33" t="str">
        <f t="shared" si="25"/>
        <v/>
      </c>
      <c r="K547" s="36">
        <v>22848.0</v>
      </c>
      <c r="L547" s="33"/>
      <c r="M547" s="36">
        <v>714.0</v>
      </c>
      <c r="N547" s="34"/>
      <c r="O547" s="35">
        <f>IFERROR(__xludf.DUMMYFUNCTION("IFERROR(
  VLOOKUP(C547,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C547
    ), 
    7, FALSE
  ), 
  """"
)
"),24553.0)</f>
        <v>24553</v>
      </c>
      <c r="P547" s="35">
        <f>IFERROR(__xludf.DUMMYFUNCTION("IF(AND(Q547="""", R547=""""),
  """",
  IF(OR(ISBLANK(Q547), ISBLANK(O547)),
    """",
    IF(VALUE(SUBSTITUTE(INDEX(SPLIT(IF(ISBLANK(R547), Q547, R547), "",""), 0, 1), "" Km"", """")) - O547 = 0,
      """",
      VALUE(SUBSTITUTE(INDEX(SPLIT(IF(ISBLANK("&amp;"R547), Q547, R547), "",""), 0, 1), "" Km"", """")) - O547
    )
  )
)"),-24553.0)</f>
        <v>-24553</v>
      </c>
      <c r="Q547" s="36" t="str">
        <f t="shared" si="4"/>
        <v>0 Km, 14.12.2025</v>
      </c>
      <c r="R547" s="33"/>
      <c r="S547" s="40">
        <v>7000.0</v>
      </c>
      <c r="T547" s="25">
        <v>1.0</v>
      </c>
      <c r="U547" s="25" t="s">
        <v>1100</v>
      </c>
      <c r="V547" s="37"/>
      <c r="W547" s="37" t="str">
        <f t="shared" si="26"/>
        <v>Завершена</v>
      </c>
      <c r="X547" s="25" t="str">
        <f>IFERROR(__xludf.DUMMYFUNCTION("IF(C547 = """", """", IF(REGEXMATCH(C547, ""PCX|NMAX|ADV 150|CLICK""), ""скутер"", ""мото""))"),"мото")</f>
        <v>мото</v>
      </c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</row>
    <row r="548" hidden="1">
      <c r="A548" s="13" t="s">
        <v>24</v>
      </c>
      <c r="B548" s="13" t="s">
        <v>25</v>
      </c>
      <c r="C548" s="14" t="s">
        <v>151</v>
      </c>
      <c r="D548" s="14" t="s">
        <v>1081</v>
      </c>
      <c r="E548" s="48">
        <v>46034.0</v>
      </c>
      <c r="F548" s="38">
        <v>46043.5</v>
      </c>
      <c r="G548" s="17" t="str">
        <f t="shared" si="32"/>
        <v>9 Д</v>
      </c>
      <c r="H548" s="18">
        <f t="shared" si="35"/>
        <v>454</v>
      </c>
      <c r="I548" s="19" t="str">
        <f t="shared" si="2"/>
        <v/>
      </c>
      <c r="J548" s="20" t="str">
        <f t="shared" si="25"/>
        <v/>
      </c>
      <c r="K548" s="23">
        <v>4086.0</v>
      </c>
      <c r="L548" s="20"/>
      <c r="M548" s="23">
        <v>454.0</v>
      </c>
      <c r="N548" s="21"/>
      <c r="O548" s="22">
        <f>IFERROR(__xludf.DUMMYFUNCTION("IFERROR(
  VLOOKUP(C548,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C548
    ), 
    7, FALSE
  ), 
  """"
)
"),35800.0)</f>
        <v>35800</v>
      </c>
      <c r="P548" s="22">
        <f>IFERROR(__xludf.DUMMYFUNCTION("IF(AND(Q548="""", R548=""""),
  """",
  IF(OR(ISBLANK(Q548), ISBLANK(O548)),
    """",
    IF(VALUE(SUBSTITUTE(INDEX(SPLIT(IF(ISBLANK(R548), Q548, R548), "",""), 0, 1), "" Km"", """")) - O548 = 0,
      """",
      VALUE(SUBSTITUTE(INDEX(SPLIT(IF(ISBLANK("&amp;"R548), Q548, R548), "",""), 0, 1), "" Km"", """")) - O548
    )
  )
)"),-35800.0)</f>
        <v>-35800</v>
      </c>
      <c r="Q548" s="23" t="str">
        <f t="shared" si="4"/>
        <v>0 Km, 12.01.2026</v>
      </c>
      <c r="R548" s="20"/>
      <c r="S548" s="41">
        <v>3000.0</v>
      </c>
      <c r="T548" s="13">
        <v>2.0</v>
      </c>
      <c r="U548" s="13" t="s">
        <v>1082</v>
      </c>
      <c r="V548" s="24"/>
      <c r="W548" s="24" t="str">
        <f t="shared" si="26"/>
        <v>Завершена</v>
      </c>
      <c r="X548" s="13" t="str">
        <f>IFERROR(__xludf.DUMMYFUNCTION("IF(C548 = """", """", IF(REGEXMATCH(C548, ""PCX|NMAX|ADV 150|CLICK""), ""скутер"", ""мото""))"),"скутер")</f>
        <v>скутер</v>
      </c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</row>
    <row r="549" hidden="1">
      <c r="A549" s="25" t="s">
        <v>24</v>
      </c>
      <c r="B549" s="25" t="s">
        <v>25</v>
      </c>
      <c r="C549" s="27" t="s">
        <v>946</v>
      </c>
      <c r="D549" s="27" t="s">
        <v>1101</v>
      </c>
      <c r="E549" s="43">
        <v>46027.0</v>
      </c>
      <c r="F549" s="39">
        <v>46044.666666666664</v>
      </c>
      <c r="G549" s="30" t="str">
        <f t="shared" si="32"/>
        <v>17 Д</v>
      </c>
      <c r="H549" s="31">
        <f t="shared" si="35"/>
        <v>930</v>
      </c>
      <c r="I549" s="32" t="str">
        <f t="shared" si="2"/>
        <v/>
      </c>
      <c r="J549" s="33" t="str">
        <f t="shared" si="25"/>
        <v/>
      </c>
      <c r="K549" s="36">
        <f>930*14+2790</f>
        <v>15810</v>
      </c>
      <c r="L549" s="33"/>
      <c r="M549" s="36">
        <v>930.0</v>
      </c>
      <c r="N549" s="34"/>
      <c r="O549" s="35">
        <f>IFERROR(__xludf.DUMMYFUNCTION("IFERROR(
  VLOOKUP(C549,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C549
    ), 
    7, FALSE
  ), 
  """"
)
"),20400.0)</f>
        <v>20400</v>
      </c>
      <c r="P549" s="35">
        <f>IFERROR(__xludf.DUMMYFUNCTION("IF(AND(Q549="""", R549=""""),
  """",
  IF(OR(ISBLANK(Q549), ISBLANK(O549)),
    """",
    IF(VALUE(SUBSTITUTE(INDEX(SPLIT(IF(ISBLANK(R549), Q549, R549), "",""), 0, 1), "" Km"", """")) - O549 = 0,
      """",
      VALUE(SUBSTITUTE(INDEX(SPLIT(IF(ISBLANK("&amp;"R549), Q549, R549), "",""), 0, 1), "" Km"", """")) - O549
    )
  )
)"),-20400.0)</f>
        <v>-20400</v>
      </c>
      <c r="Q549" s="36" t="str">
        <f t="shared" si="4"/>
        <v>0 Km, 05.01.2026</v>
      </c>
      <c r="R549" s="33"/>
      <c r="S549" s="40">
        <v>7000.0</v>
      </c>
      <c r="T549" s="25">
        <v>2.0</v>
      </c>
      <c r="U549" s="25" t="s">
        <v>1102</v>
      </c>
      <c r="V549" s="37"/>
      <c r="W549" s="37" t="str">
        <f t="shared" si="26"/>
        <v>Завершена</v>
      </c>
      <c r="X549" s="25" t="str">
        <f>IFERROR(__xludf.DUMMYFUNCTION("IF(C549 = """", """", IF(REGEXMATCH(C549, ""PCX|NMAX|ADV 150|CLICK""), ""скутер"", ""мото""))"),"мото")</f>
        <v>мото</v>
      </c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</row>
    <row r="550" hidden="1">
      <c r="A550" s="13" t="s">
        <v>24</v>
      </c>
      <c r="B550" s="13" t="s">
        <v>25</v>
      </c>
      <c r="C550" s="14" t="s">
        <v>98</v>
      </c>
      <c r="D550" s="14" t="s">
        <v>1103</v>
      </c>
      <c r="E550" s="48">
        <v>46034.0</v>
      </c>
      <c r="F550" s="38">
        <v>46042.541666666664</v>
      </c>
      <c r="G550" s="17" t="str">
        <f t="shared" si="32"/>
        <v>8 Д</v>
      </c>
      <c r="H550" s="18">
        <f t="shared" si="35"/>
        <v>459</v>
      </c>
      <c r="I550" s="19" t="str">
        <f t="shared" si="2"/>
        <v/>
      </c>
      <c r="J550" s="20" t="str">
        <f t="shared" si="25"/>
        <v/>
      </c>
      <c r="K550" s="23">
        <v>3672.0</v>
      </c>
      <c r="L550" s="20"/>
      <c r="M550" s="23">
        <v>459.0</v>
      </c>
      <c r="N550" s="21"/>
      <c r="O550" s="22">
        <f>IFERROR(__xludf.DUMMYFUNCTION("IFERROR(
  VLOOKUP(C550,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C550
    ), 
    7, FALSE
  ), 
  """"
)
"),32200.0)</f>
        <v>32200</v>
      </c>
      <c r="P550" s="22">
        <f>IFERROR(__xludf.DUMMYFUNCTION("IF(AND(Q550="""", R550=""""),
  """",
  IF(OR(ISBLANK(Q550), ISBLANK(O550)),
    """",
    IF(VALUE(SUBSTITUTE(INDEX(SPLIT(IF(ISBLANK(R550), Q550, R550), "",""), 0, 1), "" Km"", """")) - O550 = 0,
      """",
      VALUE(SUBSTITUTE(INDEX(SPLIT(IF(ISBLANK("&amp;"R550), Q550, R550), "",""), 0, 1), "" Km"", """")) - O550
    )
  )
)"),-32200.0)</f>
        <v>-32200</v>
      </c>
      <c r="Q550" s="23" t="str">
        <f t="shared" si="4"/>
        <v>0 Km, 12.01.2026</v>
      </c>
      <c r="R550" s="20"/>
      <c r="S550" s="41">
        <v>3000.0</v>
      </c>
      <c r="T550" s="13">
        <v>2.0</v>
      </c>
      <c r="U550" s="13" t="s">
        <v>1104</v>
      </c>
      <c r="V550" s="24"/>
      <c r="W550" s="24" t="str">
        <f t="shared" si="26"/>
        <v>Завершена</v>
      </c>
      <c r="X550" s="13" t="str">
        <f>IFERROR(__xludf.DUMMYFUNCTION("IF(C550 = """", """", IF(REGEXMATCH(C550, ""PCX|NMAX|ADV 150|CLICK""), ""скутер"", ""мото""))"),"скутер")</f>
        <v>скутер</v>
      </c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</row>
    <row r="551" hidden="1">
      <c r="A551" s="25" t="s">
        <v>24</v>
      </c>
      <c r="B551" s="25" t="s">
        <v>25</v>
      </c>
      <c r="C551" s="27" t="s">
        <v>438</v>
      </c>
      <c r="D551" s="27" t="s">
        <v>1105</v>
      </c>
      <c r="E551" s="43">
        <v>46034.0</v>
      </c>
      <c r="F551" s="39">
        <v>46042.541666666664</v>
      </c>
      <c r="G551" s="30" t="str">
        <f t="shared" si="32"/>
        <v>8 Д</v>
      </c>
      <c r="H551" s="31">
        <f t="shared" si="35"/>
        <v>1148</v>
      </c>
      <c r="I551" s="32" t="str">
        <f t="shared" si="2"/>
        <v/>
      </c>
      <c r="J551" s="33" t="str">
        <f t="shared" si="25"/>
        <v/>
      </c>
      <c r="K551" s="36">
        <v>9184.0</v>
      </c>
      <c r="L551" s="33"/>
      <c r="M551" s="36">
        <v>1148.0</v>
      </c>
      <c r="N551" s="34"/>
      <c r="O551" s="35">
        <f>IFERROR(__xludf.DUMMYFUNCTION("IFERROR(
  VLOOKUP(C551,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C551
    ), 
    7, FALSE
  ), 
  """"
)
"),37823.0)</f>
        <v>37823</v>
      </c>
      <c r="P551" s="35">
        <f>IFERROR(__xludf.DUMMYFUNCTION("IF(AND(Q551="""", R551=""""),
  """",
  IF(OR(ISBLANK(Q551), ISBLANK(O551)),
    """",
    IF(VALUE(SUBSTITUTE(INDEX(SPLIT(IF(ISBLANK(R551), Q551, R551), "",""), 0, 1), "" Km"", """")) - O551 = 0,
      """",
      VALUE(SUBSTITUTE(INDEX(SPLIT(IF(ISBLANK("&amp;"R551), Q551, R551), "",""), 0, 1), "" Km"", """")) - O551
    )
  )
)"),-37823.0)</f>
        <v>-37823</v>
      </c>
      <c r="Q551" s="36" t="str">
        <f t="shared" si="4"/>
        <v>0 Km, 12.01.2026</v>
      </c>
      <c r="R551" s="33"/>
      <c r="S551" s="40">
        <v>19550.0</v>
      </c>
      <c r="T551" s="25">
        <v>2.0</v>
      </c>
      <c r="U551" s="25" t="s">
        <v>1104</v>
      </c>
      <c r="V551" s="37"/>
      <c r="W551" s="37" t="str">
        <f t="shared" si="26"/>
        <v>Завершена</v>
      </c>
      <c r="X551" s="25" t="str">
        <f>IFERROR(__xludf.DUMMYFUNCTION("IF(C551 = """", """", IF(REGEXMATCH(C551, ""PCX|NMAX|ADV 150|CLICK""), ""скутер"", ""мото""))"),"мото")</f>
        <v>мото</v>
      </c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</row>
    <row r="552" hidden="1">
      <c r="A552" s="13" t="s">
        <v>24</v>
      </c>
      <c r="B552" s="13" t="s">
        <v>25</v>
      </c>
      <c r="C552" s="14" t="s">
        <v>468</v>
      </c>
      <c r="D552" s="14" t="s">
        <v>1106</v>
      </c>
      <c r="E552" s="48">
        <v>46036.0</v>
      </c>
      <c r="F552" s="38">
        <v>46042.541666666664</v>
      </c>
      <c r="G552" s="17" t="str">
        <f t="shared" si="32"/>
        <v>6 Д</v>
      </c>
      <c r="H552" s="18">
        <f t="shared" si="35"/>
        <v>1079</v>
      </c>
      <c r="I552" s="19" t="str">
        <f t="shared" si="2"/>
        <v/>
      </c>
      <c r="J552" s="20" t="str">
        <f t="shared" si="25"/>
        <v/>
      </c>
      <c r="K552" s="23">
        <v>6474.0</v>
      </c>
      <c r="L552" s="20"/>
      <c r="M552" s="23">
        <v>1079.0</v>
      </c>
      <c r="N552" s="21"/>
      <c r="O552" s="22">
        <f>IFERROR(__xludf.DUMMYFUNCTION("IFERROR(
  VLOOKUP(C552,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C552
    ), 
    7, FALSE
  ), 
  """"
)
"),22200.0)</f>
        <v>22200</v>
      </c>
      <c r="P552" s="22">
        <f>IFERROR(__xludf.DUMMYFUNCTION("IF(AND(Q552="""", R552=""""),
  """",
  IF(OR(ISBLANK(Q552), ISBLANK(O552)),
    """",
    IF(VALUE(SUBSTITUTE(INDEX(SPLIT(IF(ISBLANK(R552), Q552, R552), "",""), 0, 1), "" Km"", """")) - O552 = 0,
      """",
      VALUE(SUBSTITUTE(INDEX(SPLIT(IF(ISBLANK("&amp;"R552), Q552, R552), "",""), 0, 1), "" Km"", """")) - O552
    )
  )
)"),-22200.0)</f>
        <v>-22200</v>
      </c>
      <c r="Q552" s="23" t="str">
        <f t="shared" si="4"/>
        <v>0 Km, 14.01.2026</v>
      </c>
      <c r="R552" s="20"/>
      <c r="S552" s="41">
        <v>7000.0</v>
      </c>
      <c r="T552" s="13">
        <v>2.0</v>
      </c>
      <c r="U552" s="13" t="s">
        <v>1107</v>
      </c>
      <c r="V552" s="24"/>
      <c r="W552" s="24" t="str">
        <f t="shared" si="26"/>
        <v>Завершена</v>
      </c>
      <c r="X552" s="13" t="str">
        <f>IFERROR(__xludf.DUMMYFUNCTION("IF(C552 = """", """", IF(REGEXMATCH(C552, ""PCX|NMAX|ADV 150|CLICK""), ""скутер"", ""мото""))"),"мото")</f>
        <v>мото</v>
      </c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</row>
    <row r="553" hidden="1">
      <c r="A553" s="25" t="s">
        <v>24</v>
      </c>
      <c r="B553" s="25" t="s">
        <v>25</v>
      </c>
      <c r="C553" s="27" t="s">
        <v>946</v>
      </c>
      <c r="D553" s="27" t="s">
        <v>1087</v>
      </c>
      <c r="E553" s="43">
        <v>46021.0</v>
      </c>
      <c r="F553" s="39">
        <v>46026.583333333336</v>
      </c>
      <c r="G553" s="30" t="str">
        <f t="shared" si="32"/>
        <v>5 Д</v>
      </c>
      <c r="H553" s="31">
        <f t="shared" si="35"/>
        <v>784</v>
      </c>
      <c r="I553" s="32" t="str">
        <f t="shared" si="2"/>
        <v/>
      </c>
      <c r="J553" s="33" t="str">
        <f t="shared" si="25"/>
        <v/>
      </c>
      <c r="K553" s="36">
        <v>3920.0</v>
      </c>
      <c r="L553" s="36"/>
      <c r="M553" s="36">
        <v>784.0</v>
      </c>
      <c r="N553" s="34"/>
      <c r="O553" s="35">
        <f>IFERROR(__xludf.DUMMYFUNCTION("IFERROR(
  VLOOKUP(C553,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C553
    ), 
    7, FALSE
  ), 
  """"
)
"),20400.0)</f>
        <v>20400</v>
      </c>
      <c r="P553" s="35">
        <f>IFERROR(__xludf.DUMMYFUNCTION("IF(AND(Q553="""", R553=""""),
  """",
  IF(OR(ISBLANK(Q553), ISBLANK(O553)),
    """",
    IF(VALUE(SUBSTITUTE(INDEX(SPLIT(IF(ISBLANK(R553), Q553, R553), "",""), 0, 1), "" Km"", """")) - O553 = 0,
      """",
      VALUE(SUBSTITUTE(INDEX(SPLIT(IF(ISBLANK("&amp;"R553), Q553, R553), "",""), 0, 1), "" Km"", """")) - O553
    )
  )
)"),-20400.0)</f>
        <v>-20400</v>
      </c>
      <c r="Q553" s="36" t="str">
        <f t="shared" si="4"/>
        <v>0 Km, 30.12.2025</v>
      </c>
      <c r="R553" s="33"/>
      <c r="S553" s="40">
        <v>7000.0</v>
      </c>
      <c r="T553" s="25">
        <v>2.0</v>
      </c>
      <c r="U553" s="25" t="s">
        <v>1088</v>
      </c>
      <c r="V553" s="37"/>
      <c r="W553" s="37" t="str">
        <f t="shared" si="26"/>
        <v>Завершена</v>
      </c>
      <c r="X553" s="25" t="str">
        <f>IFERROR(__xludf.DUMMYFUNCTION("IF(C553 = """", """", IF(REGEXMATCH(C553, ""PCX|NMAX|ADV 150|CLICK""), ""скутер"", ""мото""))"),"мото")</f>
        <v>мото</v>
      </c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</row>
    <row r="554" hidden="1">
      <c r="A554" s="13" t="s">
        <v>24</v>
      </c>
      <c r="B554" s="13" t="s">
        <v>25</v>
      </c>
      <c r="C554" s="14" t="s">
        <v>960</v>
      </c>
      <c r="D554" s="14" t="s">
        <v>1108</v>
      </c>
      <c r="E554" s="48">
        <v>46027.0</v>
      </c>
      <c r="F554" s="38">
        <v>46042.541666666664</v>
      </c>
      <c r="G554" s="17" t="str">
        <f t="shared" si="32"/>
        <v>15 Д</v>
      </c>
      <c r="H554" s="18">
        <f t="shared" si="35"/>
        <v>930</v>
      </c>
      <c r="I554" s="19" t="str">
        <f t="shared" si="2"/>
        <v/>
      </c>
      <c r="J554" s="20" t="str">
        <f t="shared" si="25"/>
        <v/>
      </c>
      <c r="K554" s="23">
        <f>930*15</f>
        <v>13950</v>
      </c>
      <c r="L554" s="20"/>
      <c r="M554" s="23">
        <v>930.0</v>
      </c>
      <c r="N554" s="21"/>
      <c r="O554" s="22">
        <f>IFERROR(__xludf.DUMMYFUNCTION("IFERROR(
  VLOOKUP(C554,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C554
    ), 
    7, FALSE
  ), 
  """"
)
"),20316.0)</f>
        <v>20316</v>
      </c>
      <c r="P554" s="22">
        <f>IFERROR(__xludf.DUMMYFUNCTION("IF(AND(Q554="""", R554=""""),
  """",
  IF(OR(ISBLANK(Q554), ISBLANK(O554)),
    """",
    IF(VALUE(SUBSTITUTE(INDEX(SPLIT(IF(ISBLANK(R554), Q554, R554), "",""), 0, 1), "" Km"", """")) - O554 = 0,
      """",
      VALUE(SUBSTITUTE(INDEX(SPLIT(IF(ISBLANK("&amp;"R554), Q554, R554), "",""), 0, 1), "" Km"", """")) - O554
    )
  )
)"),-20316.0)</f>
        <v>-20316</v>
      </c>
      <c r="Q554" s="23" t="str">
        <f t="shared" si="4"/>
        <v>0 Km, 05.01.2026</v>
      </c>
      <c r="R554" s="20"/>
      <c r="S554" s="41">
        <v>7000.0</v>
      </c>
      <c r="T554" s="13">
        <v>2.0</v>
      </c>
      <c r="U554" s="13" t="s">
        <v>1109</v>
      </c>
      <c r="V554" s="24"/>
      <c r="W554" s="24" t="str">
        <f t="shared" si="26"/>
        <v>Завершена</v>
      </c>
      <c r="X554" s="13" t="str">
        <f>IFERROR(__xludf.DUMMYFUNCTION("IF(C554 = """", """", IF(REGEXMATCH(C554, ""PCX|NMAX|ADV 150|CLICK""), ""скутер"", ""мото""))"),"мото")</f>
        <v>мото</v>
      </c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</row>
    <row r="555" hidden="1">
      <c r="A555" s="25" t="s">
        <v>24</v>
      </c>
      <c r="B555" s="25" t="s">
        <v>25</v>
      </c>
      <c r="C555" s="27" t="s">
        <v>914</v>
      </c>
      <c r="D555" s="27" t="s">
        <v>1110</v>
      </c>
      <c r="E555" s="43">
        <v>46030.0</v>
      </c>
      <c r="F555" s="39">
        <v>46042.541666666664</v>
      </c>
      <c r="G555" s="30" t="str">
        <f t="shared" si="32"/>
        <v>12 Д</v>
      </c>
      <c r="H555" s="31">
        <f t="shared" si="35"/>
        <v>2400</v>
      </c>
      <c r="I555" s="32" t="str">
        <f t="shared" si="2"/>
        <v/>
      </c>
      <c r="J555" s="33" t="str">
        <f t="shared" si="25"/>
        <v/>
      </c>
      <c r="K555" s="36">
        <f>12*2400</f>
        <v>28800</v>
      </c>
      <c r="L555" s="33"/>
      <c r="M555" s="36">
        <v>2400.0</v>
      </c>
      <c r="N555" s="34"/>
      <c r="O555" s="35">
        <f>IFERROR(__xludf.DUMMYFUNCTION("IFERROR(
  VLOOKUP(C555,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C555
    ), 
    7, FALSE
  ), 
  """"
)
"),17900.0)</f>
        <v>17900</v>
      </c>
      <c r="P555" s="35">
        <f>IFERROR(__xludf.DUMMYFUNCTION("IF(AND(Q555="""", R555=""""),
  """",
  IF(OR(ISBLANK(Q555), ISBLANK(O555)),
    """",
    IF(VALUE(SUBSTITUTE(INDEX(SPLIT(IF(ISBLANK(R555), Q555, R555), "",""), 0, 1), "" Km"", """")) - O555 = 0,
      """",
      VALUE(SUBSTITUTE(INDEX(SPLIT(IF(ISBLANK("&amp;"R555), Q555, R555), "",""), 0, 1), "" Km"", """")) - O555
    )
  )
)"),-17900.0)</f>
        <v>-17900</v>
      </c>
      <c r="Q555" s="36" t="str">
        <f t="shared" si="4"/>
        <v>0 Km, 08.01.2026</v>
      </c>
      <c r="R555" s="33"/>
      <c r="S555" s="40">
        <v>25000.0</v>
      </c>
      <c r="T555" s="25">
        <v>2.0</v>
      </c>
      <c r="U555" s="25" t="s">
        <v>1111</v>
      </c>
      <c r="V555" s="37"/>
      <c r="W555" s="37" t="str">
        <f t="shared" si="26"/>
        <v>Завершена</v>
      </c>
      <c r="X555" s="25" t="str">
        <f>IFERROR(__xludf.DUMMYFUNCTION("IF(C555 = """", """", IF(REGEXMATCH(C555, ""PCX|NMAX|ADV 150|CLICK""), ""скутер"", ""мото""))"),"мото")</f>
        <v>мото</v>
      </c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</row>
    <row r="556" hidden="1">
      <c r="A556" s="13" t="s">
        <v>24</v>
      </c>
      <c r="B556" s="13" t="s">
        <v>25</v>
      </c>
      <c r="C556" s="14" t="s">
        <v>948</v>
      </c>
      <c r="D556" s="14" t="s">
        <v>1112</v>
      </c>
      <c r="E556" s="48">
        <v>46038.0</v>
      </c>
      <c r="F556" s="38">
        <v>46044.541666666664</v>
      </c>
      <c r="G556" s="17" t="str">
        <f t="shared" si="32"/>
        <v>6 Д</v>
      </c>
      <c r="H556" s="18">
        <f t="shared" si="35"/>
        <v>1043</v>
      </c>
      <c r="I556" s="19" t="str">
        <f t="shared" si="2"/>
        <v/>
      </c>
      <c r="J556" s="20" t="str">
        <f t="shared" si="25"/>
        <v/>
      </c>
      <c r="K556" s="23">
        <v>6258.0</v>
      </c>
      <c r="L556" s="20"/>
      <c r="M556" s="23">
        <v>1043.0</v>
      </c>
      <c r="N556" s="21"/>
      <c r="O556" s="22">
        <f>IFERROR(__xludf.DUMMYFUNCTION("IFERROR(
  VLOOKUP(C556,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C556
    ), 
    7, FALSE
  ), 
  """"
)
"),24553.0)</f>
        <v>24553</v>
      </c>
      <c r="P556" s="22">
        <f>IFERROR(__xludf.DUMMYFUNCTION("IF(AND(Q556="""", R556=""""),
  """",
  IF(OR(ISBLANK(Q556), ISBLANK(O556)),
    """",
    IF(VALUE(SUBSTITUTE(INDEX(SPLIT(IF(ISBLANK(R556), Q556, R556), "",""), 0, 1), "" Km"", """")) - O556 = 0,
      """",
      VALUE(SUBSTITUTE(INDEX(SPLIT(IF(ISBLANK("&amp;"R556), Q556, R556), "",""), 0, 1), "" Km"", """")) - O556
    )
  )
)"),-24553.0)</f>
        <v>-24553</v>
      </c>
      <c r="Q556" s="23" t="str">
        <f t="shared" si="4"/>
        <v>0 Km, 16.01.2026</v>
      </c>
      <c r="R556" s="20"/>
      <c r="S556" s="41" t="s">
        <v>985</v>
      </c>
      <c r="T556" s="13">
        <v>2.0</v>
      </c>
      <c r="U556" s="13" t="s">
        <v>1113</v>
      </c>
      <c r="V556" s="24"/>
      <c r="W556" s="24" t="str">
        <f t="shared" si="26"/>
        <v>Завершена</v>
      </c>
      <c r="X556" s="13" t="str">
        <f>IFERROR(__xludf.DUMMYFUNCTION("IF(C556 = """", """", IF(REGEXMATCH(C556, ""PCX|NMAX|ADV 150|CLICK""), ""скутер"", ""мото""))"),"мото")</f>
        <v>мото</v>
      </c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</row>
    <row r="557" hidden="1">
      <c r="A557" s="25" t="s">
        <v>24</v>
      </c>
      <c r="B557" s="25" t="s">
        <v>25</v>
      </c>
      <c r="C557" s="27" t="s">
        <v>928</v>
      </c>
      <c r="D557" s="27" t="s">
        <v>1114</v>
      </c>
      <c r="E557" s="43">
        <v>46038.0</v>
      </c>
      <c r="F557" s="39">
        <v>46044.541666666664</v>
      </c>
      <c r="G557" s="30" t="str">
        <f t="shared" si="32"/>
        <v>6 Д</v>
      </c>
      <c r="H557" s="31">
        <f t="shared" si="35"/>
        <v>981</v>
      </c>
      <c r="I557" s="32" t="str">
        <f t="shared" si="2"/>
        <v/>
      </c>
      <c r="J557" s="33" t="str">
        <f t="shared" si="25"/>
        <v/>
      </c>
      <c r="K557" s="36">
        <v>5886.0</v>
      </c>
      <c r="L557" s="33"/>
      <c r="M557" s="36">
        <v>981.0</v>
      </c>
      <c r="N557" s="34"/>
      <c r="O557" s="35">
        <f>IFERROR(__xludf.DUMMYFUNCTION("IFERROR(
  VLOOKUP(C557,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C557
    ), 
    7, FALSE
  ), 
  """"
)
"),11000.0)</f>
        <v>11000</v>
      </c>
      <c r="P557" s="35">
        <f>IFERROR(__xludf.DUMMYFUNCTION("IF(AND(Q557="""", R557=""""),
  """",
  IF(OR(ISBLANK(Q557), ISBLANK(O557)),
    """",
    IF(VALUE(SUBSTITUTE(INDEX(SPLIT(IF(ISBLANK(R557), Q557, R557), "",""), 0, 1), "" Km"", """")) - O557 = 0,
      """",
      VALUE(SUBSTITUTE(INDEX(SPLIT(IF(ISBLANK("&amp;"R557), Q557, R557), "",""), 0, 1), "" Km"", """")) - O557
    )
  )
)"),-11000.0)</f>
        <v>-11000</v>
      </c>
      <c r="Q557" s="36" t="str">
        <f t="shared" si="4"/>
        <v>0 Km, 16.01.2026</v>
      </c>
      <c r="R557" s="33"/>
      <c r="S557" s="40" t="s">
        <v>1115</v>
      </c>
      <c r="T557" s="25">
        <v>2.0</v>
      </c>
      <c r="U557" s="25" t="s">
        <v>1113</v>
      </c>
      <c r="V557" s="37"/>
      <c r="W557" s="37" t="str">
        <f t="shared" si="26"/>
        <v>Завершена</v>
      </c>
      <c r="X557" s="25" t="str">
        <f>IFERROR(__xludf.DUMMYFUNCTION("IF(C557 = """", """", IF(REGEXMATCH(C557, ""PCX|NMAX|ADV 150|CLICK""), ""скутер"", ""мото""))"),"мото")</f>
        <v>мото</v>
      </c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</row>
    <row r="558" hidden="1">
      <c r="A558" s="13" t="s">
        <v>24</v>
      </c>
      <c r="B558" s="13" t="s">
        <v>25</v>
      </c>
      <c r="C558" s="14" t="s">
        <v>916</v>
      </c>
      <c r="D558" s="14" t="s">
        <v>1110</v>
      </c>
      <c r="E558" s="48">
        <v>46042.0</v>
      </c>
      <c r="F558" s="38">
        <v>46044.625</v>
      </c>
      <c r="G558" s="17" t="str">
        <f t="shared" si="32"/>
        <v>2 Д</v>
      </c>
      <c r="H558" s="18">
        <f t="shared" si="35"/>
        <v>1600</v>
      </c>
      <c r="I558" s="19" t="str">
        <f t="shared" si="2"/>
        <v/>
      </c>
      <c r="J558" s="20" t="str">
        <f t="shared" si="25"/>
        <v/>
      </c>
      <c r="K558" s="23">
        <v>3200.0</v>
      </c>
      <c r="L558" s="20"/>
      <c r="M558" s="23">
        <v>1600.0</v>
      </c>
      <c r="N558" s="21"/>
      <c r="O558" s="22">
        <f>IFERROR(__xludf.DUMMYFUNCTION("IFERROR(
  VLOOKUP(C558,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C558
    ), 
    7, FALSE
  ), 
  """"
)
"),29300.0)</f>
        <v>29300</v>
      </c>
      <c r="P558" s="22">
        <f>IFERROR(__xludf.DUMMYFUNCTION("IF(AND(Q558="""", R558=""""),
  """",
  IF(OR(ISBLANK(Q558), ISBLANK(O558)),
    """",
    IF(VALUE(SUBSTITUTE(INDEX(SPLIT(IF(ISBLANK(R558), Q558, R558), "",""), 0, 1), "" Km"", """")) - O558 = 0,
      """",
      VALUE(SUBSTITUTE(INDEX(SPLIT(IF(ISBLANK("&amp;"R558), Q558, R558), "",""), 0, 1), "" Km"", """")) - O558
    )
  )
)"),-29300.0)</f>
        <v>-29300</v>
      </c>
      <c r="Q558" s="23" t="str">
        <f t="shared" si="4"/>
        <v>0 Km, 20.01.2026</v>
      </c>
      <c r="R558" s="20"/>
      <c r="S558" s="41">
        <v>25000.0</v>
      </c>
      <c r="T558" s="13">
        <v>2.0</v>
      </c>
      <c r="U558" s="13" t="s">
        <v>1111</v>
      </c>
      <c r="V558" s="24"/>
      <c r="W558" s="24" t="str">
        <f t="shared" si="26"/>
        <v>Завершена</v>
      </c>
      <c r="X558" s="13" t="str">
        <f>IFERROR(__xludf.DUMMYFUNCTION("IF(C558 = """", """", IF(REGEXMATCH(C558, ""PCX|NMAX|ADV 150|CLICK""), ""скутер"", ""мото""))"),"мото")</f>
        <v>мото</v>
      </c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</row>
    <row r="559" hidden="1">
      <c r="A559" s="25" t="s">
        <v>24</v>
      </c>
      <c r="B559" s="25" t="s">
        <v>25</v>
      </c>
      <c r="C559" s="27" t="s">
        <v>102</v>
      </c>
      <c r="D559" s="27" t="s">
        <v>1116</v>
      </c>
      <c r="E559" s="43">
        <v>46025.0</v>
      </c>
      <c r="F559" s="39">
        <v>46045.583333333336</v>
      </c>
      <c r="G559" s="30" t="str">
        <f t="shared" si="32"/>
        <v>20 Д</v>
      </c>
      <c r="H559" s="31">
        <f t="shared" si="35"/>
        <v>1464</v>
      </c>
      <c r="I559" s="32" t="str">
        <f t="shared" si="2"/>
        <v/>
      </c>
      <c r="J559" s="33" t="str">
        <f t="shared" si="25"/>
        <v/>
      </c>
      <c r="K559" s="36">
        <f>26352+2850</f>
        <v>29202</v>
      </c>
      <c r="L559" s="33"/>
      <c r="M559" s="36">
        <v>1464.0</v>
      </c>
      <c r="N559" s="34"/>
      <c r="O559" s="35">
        <f>IFERROR(__xludf.DUMMYFUNCTION("IFERROR(
  VLOOKUP(C559,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C559
    ), 
    7, FALSE
  ), 
  """"
)
"),63700.0)</f>
        <v>63700</v>
      </c>
      <c r="P559" s="35">
        <f>IFERROR(__xludf.DUMMYFUNCTION("IF(AND(Q559="""", R559=""""),
  """",
  IF(OR(ISBLANK(Q559), ISBLANK(O559)),
    """",
    IF(VALUE(SUBSTITUTE(INDEX(SPLIT(IF(ISBLANK(R559), Q559, R559), "",""), 0, 1), "" Km"", """")) - O559 = 0,
      """",
      VALUE(SUBSTITUTE(INDEX(SPLIT(IF(ISBLANK("&amp;"R559), Q559, R559), "",""), 0, 1), "" Km"", """")) - O559
    )
  )
)"),-63700.0)</f>
        <v>-63700</v>
      </c>
      <c r="Q559" s="36" t="str">
        <f t="shared" si="4"/>
        <v>0 Km, 03.01.2026</v>
      </c>
      <c r="R559" s="33"/>
      <c r="S559" s="40">
        <v>20000.0</v>
      </c>
      <c r="T559" s="25">
        <v>2.0</v>
      </c>
      <c r="U559" s="25" t="s">
        <v>516</v>
      </c>
      <c r="V559" s="37"/>
      <c r="W559" s="37" t="str">
        <f t="shared" si="26"/>
        <v>Завершена</v>
      </c>
      <c r="X559" s="25" t="str">
        <f>IFERROR(__xludf.DUMMYFUNCTION("IF(C559 = """", """", IF(REGEXMATCH(C559, ""PCX|NMAX|ADV 150|CLICK""), ""скутер"", ""мото""))"),"мото")</f>
        <v>мото</v>
      </c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</row>
    <row r="560" hidden="1">
      <c r="A560" s="13" t="s">
        <v>24</v>
      </c>
      <c r="B560" s="13" t="s">
        <v>25</v>
      </c>
      <c r="C560" s="14" t="s">
        <v>64</v>
      </c>
      <c r="D560" s="14" t="s">
        <v>1117</v>
      </c>
      <c r="E560" s="48">
        <v>46022.0</v>
      </c>
      <c r="F560" s="38">
        <v>46044.416666666664</v>
      </c>
      <c r="G560" s="17" t="str">
        <f t="shared" si="32"/>
        <v>22 Д</v>
      </c>
      <c r="H560" s="18">
        <f t="shared" si="35"/>
        <v>713</v>
      </c>
      <c r="I560" s="19" t="str">
        <f t="shared" si="2"/>
        <v/>
      </c>
      <c r="J560" s="20" t="str">
        <f t="shared" si="25"/>
        <v/>
      </c>
      <c r="K560" s="23">
        <f>9982+5900</f>
        <v>15882</v>
      </c>
      <c r="L560" s="20"/>
      <c r="M560" s="23">
        <v>713.0</v>
      </c>
      <c r="N560" s="21"/>
      <c r="O560" s="22">
        <f>IFERROR(__xludf.DUMMYFUNCTION("IFERROR(
  VLOOKUP(C560,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C560
    ), 
    7, FALSE
  ), 
  """"
)
"),32600.0)</f>
        <v>32600</v>
      </c>
      <c r="P560" s="22">
        <f>IFERROR(__xludf.DUMMYFUNCTION("IF(AND(Q560="""", R560=""""),
  """",
  IF(OR(ISBLANK(Q560), ISBLANK(O560)),
    """",
    IF(VALUE(SUBSTITUTE(INDEX(SPLIT(IF(ISBLANK(R560), Q560, R560), "",""), 0, 1), "" Km"", """")) - O560 = 0,
      """",
      VALUE(SUBSTITUTE(INDEX(SPLIT(IF(ISBLANK("&amp;"R560), Q560, R560), "",""), 0, 1), "" Km"", """")) - O560
    )
  )
)"),-32600.0)</f>
        <v>-32600</v>
      </c>
      <c r="Q560" s="23" t="str">
        <f t="shared" si="4"/>
        <v>0 Km, 31.12.2025</v>
      </c>
      <c r="R560" s="20"/>
      <c r="S560" s="41">
        <v>5000.0</v>
      </c>
      <c r="T560" s="13">
        <v>2.0</v>
      </c>
      <c r="U560" s="66" t="s">
        <v>1118</v>
      </c>
      <c r="V560" s="13" t="s">
        <v>1119</v>
      </c>
      <c r="W560" s="24" t="str">
        <f t="shared" si="26"/>
        <v>Завершена</v>
      </c>
      <c r="X560" s="13" t="str">
        <f>IFERROR(__xludf.DUMMYFUNCTION("IF(C560 = """", """", IF(REGEXMATCH(C560, ""PCX|NMAX|ADV 150|CLICK""), ""скутер"", ""мото""))"),"мото")</f>
        <v>мото</v>
      </c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</row>
    <row r="561" hidden="1">
      <c r="A561" s="25" t="s">
        <v>24</v>
      </c>
      <c r="B561" s="25" t="s">
        <v>25</v>
      </c>
      <c r="C561" s="27" t="s">
        <v>77</v>
      </c>
      <c r="D561" s="27" t="s">
        <v>1120</v>
      </c>
      <c r="E561" s="43">
        <v>46028.0</v>
      </c>
      <c r="F561" s="39">
        <v>46045.75</v>
      </c>
      <c r="G561" s="30" t="str">
        <f t="shared" si="32"/>
        <v>17 Д</v>
      </c>
      <c r="H561" s="31">
        <f t="shared" si="35"/>
        <v>389</v>
      </c>
      <c r="I561" s="32" t="str">
        <f t="shared" si="2"/>
        <v/>
      </c>
      <c r="J561" s="33" t="str">
        <f t="shared" si="25"/>
        <v/>
      </c>
      <c r="K561" s="36">
        <v>6613.0</v>
      </c>
      <c r="L561" s="33"/>
      <c r="M561" s="36">
        <v>389.0</v>
      </c>
      <c r="N561" s="34"/>
      <c r="O561" s="35">
        <f>IFERROR(__xludf.DUMMYFUNCTION("IFERROR(
  VLOOKUP(C561,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C561
    ), 
    7, FALSE
  ), 
  """"
)
"),37300.0)</f>
        <v>37300</v>
      </c>
      <c r="P561" s="35">
        <f>IFERROR(__xludf.DUMMYFUNCTION("IF(AND(Q561="""", R561=""""),
  """",
  IF(OR(ISBLANK(Q561), ISBLANK(O561)),
    """",
    IF(VALUE(SUBSTITUTE(INDEX(SPLIT(IF(ISBLANK(R561), Q561, R561), "",""), 0, 1), "" Km"", """")) - O561 = 0,
      """",
      VALUE(SUBSTITUTE(INDEX(SPLIT(IF(ISBLANK("&amp;"R561), Q561, R561), "",""), 0, 1), "" Km"", """")) - O561
    )
  )
)"),-37300.0)</f>
        <v>-37300</v>
      </c>
      <c r="Q561" s="36" t="str">
        <f t="shared" si="4"/>
        <v>0 Km, 06.01.2026</v>
      </c>
      <c r="R561" s="33"/>
      <c r="S561" s="40" t="s">
        <v>912</v>
      </c>
      <c r="T561" s="25">
        <v>2.0</v>
      </c>
      <c r="U561" s="25" t="s">
        <v>1121</v>
      </c>
      <c r="V561" s="37"/>
      <c r="W561" s="37" t="str">
        <f t="shared" si="26"/>
        <v>Завершена</v>
      </c>
      <c r="X561" s="25" t="str">
        <f>IFERROR(__xludf.DUMMYFUNCTION("IF(C561 = """", """", IF(REGEXMATCH(C561, ""PCX|NMAX|ADV 150|CLICK""), ""скутер"", ""мото""))"),"скутер")</f>
        <v>скутер</v>
      </c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</row>
    <row r="562" hidden="1">
      <c r="A562" s="13" t="s">
        <v>24</v>
      </c>
      <c r="B562" s="13" t="s">
        <v>25</v>
      </c>
      <c r="C562" s="14" t="s">
        <v>279</v>
      </c>
      <c r="D562" s="14" t="s">
        <v>1122</v>
      </c>
      <c r="E562" s="48">
        <v>46036.0</v>
      </c>
      <c r="F562" s="38">
        <v>46046.625</v>
      </c>
      <c r="G562" s="17" t="str">
        <f t="shared" si="32"/>
        <v>10 Д</v>
      </c>
      <c r="H562" s="18">
        <f t="shared" si="35"/>
        <v>537</v>
      </c>
      <c r="I562" s="19" t="str">
        <f t="shared" si="2"/>
        <v/>
      </c>
      <c r="J562" s="20" t="str">
        <f t="shared" si="25"/>
        <v/>
      </c>
      <c r="K562" s="23">
        <v>5370.0</v>
      </c>
      <c r="L562" s="20"/>
      <c r="M562" s="23">
        <v>537.0</v>
      </c>
      <c r="N562" s="21"/>
      <c r="O562" s="22">
        <f>IFERROR(__xludf.DUMMYFUNCTION("IFERROR(
  VLOOKUP(C562,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C562
    ), 
    7, FALSE
  ), 
  """"
)
"),9000.0)</f>
        <v>9000</v>
      </c>
      <c r="P562" s="22">
        <f>IFERROR(__xludf.DUMMYFUNCTION("IF(AND(Q562="""", R562=""""),
  """",
  IF(OR(ISBLANK(Q562), ISBLANK(O562)),
    """",
    IF(VALUE(SUBSTITUTE(INDEX(SPLIT(IF(ISBLANK(R562), Q562, R562), "",""), 0, 1), "" Km"", """")) - O562 = 0,
      """",
      VALUE(SUBSTITUTE(INDEX(SPLIT(IF(ISBLANK("&amp;"R562), Q562, R562), "",""), 0, 1), "" Km"", """")) - O562
    )
  )
)"),-9000.0)</f>
        <v>-9000</v>
      </c>
      <c r="Q562" s="23" t="str">
        <f t="shared" si="4"/>
        <v>0 Km, 14.01.2026</v>
      </c>
      <c r="R562" s="20"/>
      <c r="S562" s="41">
        <v>7000.0</v>
      </c>
      <c r="T562" s="24"/>
      <c r="U562" s="13" t="s">
        <v>1123</v>
      </c>
      <c r="V562" s="24"/>
      <c r="W562" s="24" t="str">
        <f t="shared" si="26"/>
        <v>Завершена</v>
      </c>
      <c r="X562" s="13" t="str">
        <f>IFERROR(__xludf.DUMMYFUNCTION("IF(C562 = """", """", IF(REGEXMATCH(C562, ""PCX|NMAX|ADV 150|CLICK""), ""скутер"", ""мото""))"),"мото")</f>
        <v>мото</v>
      </c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</row>
    <row r="563" hidden="1">
      <c r="A563" s="25" t="s">
        <v>24</v>
      </c>
      <c r="B563" s="25" t="s">
        <v>25</v>
      </c>
      <c r="C563" s="27" t="s">
        <v>48</v>
      </c>
      <c r="D563" s="27" t="s">
        <v>1124</v>
      </c>
      <c r="E563" s="43">
        <v>46030.0</v>
      </c>
      <c r="F563" s="39">
        <v>46047.5</v>
      </c>
      <c r="G563" s="30" t="str">
        <f t="shared" si="32"/>
        <v>17 Д</v>
      </c>
      <c r="H563" s="31">
        <f t="shared" si="35"/>
        <v>300</v>
      </c>
      <c r="I563" s="32" t="str">
        <f t="shared" si="2"/>
        <v/>
      </c>
      <c r="J563" s="33" t="str">
        <f t="shared" si="25"/>
        <v/>
      </c>
      <c r="K563" s="36">
        <v>5000.0</v>
      </c>
      <c r="L563" s="36"/>
      <c r="M563" s="36">
        <v>300.0</v>
      </c>
      <c r="N563" s="34"/>
      <c r="O563" s="35">
        <f>IFERROR(__xludf.DUMMYFUNCTION("IFERROR(
  VLOOKUP(C563,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C563
    ), 
    7, FALSE
  ), 
  """"
)
"),35800.0)</f>
        <v>35800</v>
      </c>
      <c r="P563" s="35">
        <f>IFERROR(__xludf.DUMMYFUNCTION("IF(AND(Q563="""", R563=""""),
  """",
  IF(OR(ISBLANK(Q563), ISBLANK(O563)),
    """",
    IF(VALUE(SUBSTITUTE(INDEX(SPLIT(IF(ISBLANK(R563), Q563, R563), "",""), 0, 1), "" Km"", """")) - O563 = 0,
      """",
      VALUE(SUBSTITUTE(INDEX(SPLIT(IF(ISBLANK("&amp;"R563), Q563, R563), "",""), 0, 1), "" Km"", """")) - O563
    )
  )
)"),-35800.0)</f>
        <v>-35800</v>
      </c>
      <c r="Q563" s="36" t="str">
        <f t="shared" si="4"/>
        <v>0 Km, 08.01.2026</v>
      </c>
      <c r="R563" s="33"/>
      <c r="S563" s="40">
        <v>0.0</v>
      </c>
      <c r="T563" s="25">
        <v>0.0</v>
      </c>
      <c r="U563" s="25" t="s">
        <v>516</v>
      </c>
      <c r="V563" s="37"/>
      <c r="W563" s="37" t="str">
        <f t="shared" si="26"/>
        <v>Завершена</v>
      </c>
      <c r="X563" s="25" t="str">
        <f>IFERROR(__xludf.DUMMYFUNCTION("IF(C563 = """", """", IF(REGEXMATCH(C563, ""PCX|NMAX|ADV 150|CLICK""), ""скутер"", ""мото""))"),"скутер")</f>
        <v>скутер</v>
      </c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</row>
    <row r="564" hidden="1">
      <c r="A564" s="13" t="s">
        <v>24</v>
      </c>
      <c r="B564" s="13" t="s">
        <v>25</v>
      </c>
      <c r="C564" s="14" t="s">
        <v>941</v>
      </c>
      <c r="D564" s="14" t="s">
        <v>1079</v>
      </c>
      <c r="E564" s="48">
        <v>46006.0</v>
      </c>
      <c r="F564" s="38">
        <v>46047.541666666664</v>
      </c>
      <c r="G564" s="17" t="str">
        <f t="shared" si="32"/>
        <v>41 Д</v>
      </c>
      <c r="H564" s="18">
        <f t="shared" si="35"/>
        <v>666.3333333</v>
      </c>
      <c r="I564" s="19" t="str">
        <f t="shared" si="2"/>
        <v/>
      </c>
      <c r="J564" s="20" t="str">
        <f t="shared" si="25"/>
        <v/>
      </c>
      <c r="K564" s="23">
        <f>666*41</f>
        <v>27306</v>
      </c>
      <c r="L564" s="23">
        <v>19990.0</v>
      </c>
      <c r="M564" s="20"/>
      <c r="N564" s="21"/>
      <c r="O564" s="22">
        <f>IFERROR(__xludf.DUMMYFUNCTION("IFERROR(
  VLOOKUP(C564,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C564
    ), 
    7, FALSE
  ), 
  """"
)
"),18302.0)</f>
        <v>18302</v>
      </c>
      <c r="P564" s="22">
        <f>IFERROR(__xludf.DUMMYFUNCTION("IF(AND(Q564="""", R564=""""),
  """",
  IF(OR(ISBLANK(Q564), ISBLANK(O564)),
    """",
    IF(VALUE(SUBSTITUTE(INDEX(SPLIT(IF(ISBLANK(R564), Q564, R564), "",""), 0, 1), "" Km"", """")) - O564 = 0,
      """",
      VALUE(SUBSTITUTE(INDEX(SPLIT(IF(ISBLANK("&amp;"R564), Q564, R564), "",""), 0, 1), "" Km"", """")) - O564
    )
  )
)"),-18302.0)</f>
        <v>-18302</v>
      </c>
      <c r="Q564" s="23" t="str">
        <f t="shared" si="4"/>
        <v>0 Km, 15.12.2025</v>
      </c>
      <c r="R564" s="20"/>
      <c r="S564" s="41">
        <v>7000.0</v>
      </c>
      <c r="T564" s="13">
        <v>2.0</v>
      </c>
      <c r="U564" s="13" t="s">
        <v>1080</v>
      </c>
      <c r="V564" s="24"/>
      <c r="W564" s="24" t="str">
        <f t="shared" si="26"/>
        <v>Завершена</v>
      </c>
      <c r="X564" s="13" t="str">
        <f>IFERROR(__xludf.DUMMYFUNCTION("IF(C564 = """", """", IF(REGEXMATCH(C564, ""PCX|NMAX|ADV 150|CLICK""), ""скутер"", ""мото""))"),"мото")</f>
        <v>мото</v>
      </c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</row>
    <row r="565" hidden="1">
      <c r="A565" s="25" t="s">
        <v>24</v>
      </c>
      <c r="B565" s="25" t="s">
        <v>25</v>
      </c>
      <c r="C565" s="27" t="s">
        <v>1028</v>
      </c>
      <c r="D565" s="27" t="s">
        <v>1079</v>
      </c>
      <c r="E565" s="43">
        <v>46035.0</v>
      </c>
      <c r="F565" s="39">
        <v>46047.541666666664</v>
      </c>
      <c r="G565" s="30" t="str">
        <f t="shared" si="32"/>
        <v>12 Д</v>
      </c>
      <c r="H565" s="31">
        <f t="shared" si="35"/>
        <v>887</v>
      </c>
      <c r="I565" s="32" t="str">
        <f t="shared" si="2"/>
        <v/>
      </c>
      <c r="J565" s="33" t="str">
        <f t="shared" si="25"/>
        <v/>
      </c>
      <c r="K565" s="36">
        <f>12*887</f>
        <v>10644</v>
      </c>
      <c r="L565" s="33"/>
      <c r="M565" s="36">
        <v>887.0</v>
      </c>
      <c r="N565" s="34"/>
      <c r="O565" s="35">
        <f>IFERROR(__xludf.DUMMYFUNCTION("IFERROR(
  VLOOKUP(C565,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C565
    ), 
    7, FALSE
  ), 
  """"
)
"),21600.0)</f>
        <v>21600</v>
      </c>
      <c r="P565" s="35">
        <f>IFERROR(__xludf.DUMMYFUNCTION("IF(AND(Q565="""", R565=""""),
  """",
  IF(OR(ISBLANK(Q565), ISBLANK(O565)),
    """",
    IF(VALUE(SUBSTITUTE(INDEX(SPLIT(IF(ISBLANK(R565), Q565, R565), "",""), 0, 1), "" Km"", """")) - O565 = 0,
      """",
      VALUE(SUBSTITUTE(INDEX(SPLIT(IF(ISBLANK("&amp;"R565), Q565, R565), "",""), 0, 1), "" Km"", """")) - O565
    )
  )
)"),-21600.0)</f>
        <v>-21600</v>
      </c>
      <c r="Q565" s="36" t="str">
        <f t="shared" si="4"/>
        <v>0 Km, 13.01.2026</v>
      </c>
      <c r="R565" s="33"/>
      <c r="S565" s="40">
        <v>7000.0</v>
      </c>
      <c r="T565" s="25">
        <v>2.0</v>
      </c>
      <c r="U565" s="25" t="s">
        <v>1080</v>
      </c>
      <c r="V565" s="37"/>
      <c r="W565" s="37" t="str">
        <f t="shared" si="26"/>
        <v>Завершена</v>
      </c>
      <c r="X565" s="25" t="str">
        <f>IFERROR(__xludf.DUMMYFUNCTION("IF(C565 = """", """", IF(REGEXMATCH(C565, ""PCX|NMAX|ADV 150|CLICK""), ""скутер"", ""мото""))"),"мото")</f>
        <v>мото</v>
      </c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</row>
    <row r="566" hidden="1">
      <c r="A566" s="13" t="s">
        <v>24</v>
      </c>
      <c r="B566" s="13" t="s">
        <v>25</v>
      </c>
      <c r="C566" s="14" t="s">
        <v>951</v>
      </c>
      <c r="D566" s="14" t="s">
        <v>1125</v>
      </c>
      <c r="E566" s="48">
        <v>46017.0</v>
      </c>
      <c r="F566" s="38">
        <v>46047.75</v>
      </c>
      <c r="G566" s="17" t="str">
        <f t="shared" si="32"/>
        <v>30 Д</v>
      </c>
      <c r="H566" s="18">
        <f t="shared" si="35"/>
        <v>633</v>
      </c>
      <c r="I566" s="19" t="str">
        <f t="shared" si="2"/>
        <v/>
      </c>
      <c r="J566" s="20" t="str">
        <f t="shared" si="25"/>
        <v/>
      </c>
      <c r="K566" s="23">
        <v>18990.0</v>
      </c>
      <c r="L566" s="23">
        <v>18990.0</v>
      </c>
      <c r="M566" s="20"/>
      <c r="N566" s="21"/>
      <c r="O566" s="22">
        <f>IFERROR(__xludf.DUMMYFUNCTION("IFERROR(
  VLOOKUP(C566,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C566
    ), 
    7, FALSE
  ), 
  """"
)
"),21100.0)</f>
        <v>21100</v>
      </c>
      <c r="P566" s="22">
        <f>IFERROR(__xludf.DUMMYFUNCTION("IF(AND(Q566="""", R566=""""),
  """",
  IF(OR(ISBLANK(Q566), ISBLANK(O566)),
    """",
    IF(VALUE(SUBSTITUTE(INDEX(SPLIT(IF(ISBLANK(R566), Q566, R566), "",""), 0, 1), "" Km"", """")) - O566 = 0,
      """",
      VALUE(SUBSTITUTE(INDEX(SPLIT(IF(ISBLANK("&amp;"R566), Q566, R566), "",""), 0, 1), "" Km"", """")) - O566
    )
  )
)"),-21100.0)</f>
        <v>-21100</v>
      </c>
      <c r="Q566" s="23" t="str">
        <f t="shared" si="4"/>
        <v>0 Km, 26.12.2025</v>
      </c>
      <c r="R566" s="20"/>
      <c r="S566" s="41">
        <v>7000.0</v>
      </c>
      <c r="T566" s="13">
        <v>2.0</v>
      </c>
      <c r="U566" s="13" t="s">
        <v>516</v>
      </c>
      <c r="V566" s="24"/>
      <c r="W566" s="24" t="str">
        <f t="shared" si="26"/>
        <v>Завершена</v>
      </c>
      <c r="X566" s="13" t="str">
        <f>IFERROR(__xludf.DUMMYFUNCTION("IF(C566 = """", """", IF(REGEXMATCH(C566, ""PCX|NMAX|ADV 150|CLICK""), ""скутер"", ""мото""))"),"мото")</f>
        <v>мото</v>
      </c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</row>
    <row r="567" hidden="1">
      <c r="A567" s="25" t="s">
        <v>24</v>
      </c>
      <c r="B567" s="25" t="s">
        <v>25</v>
      </c>
      <c r="C567" s="27" t="s">
        <v>974</v>
      </c>
      <c r="D567" s="27" t="s">
        <v>747</v>
      </c>
      <c r="E567" s="43">
        <v>46002.0</v>
      </c>
      <c r="F567" s="39">
        <v>46048.333333333336</v>
      </c>
      <c r="G567" s="30" t="str">
        <f t="shared" si="32"/>
        <v>46 Д</v>
      </c>
      <c r="H567" s="31">
        <f t="shared" si="35"/>
        <v>600</v>
      </c>
      <c r="I567" s="32" t="str">
        <f t="shared" si="2"/>
        <v/>
      </c>
      <c r="J567" s="33" t="str">
        <f t="shared" si="25"/>
        <v/>
      </c>
      <c r="K567" s="36">
        <v>27600.0</v>
      </c>
      <c r="L567" s="33"/>
      <c r="M567" s="36">
        <v>600.0</v>
      </c>
      <c r="N567" s="44">
        <v>8800.0</v>
      </c>
      <c r="O567" s="35">
        <f>IFERROR(__xludf.DUMMYFUNCTION("IFERROR(
  VLOOKUP(C567,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C567
    ), 
    7, FALSE
  ), 
  """"
)
"),11800.0)</f>
        <v>11800</v>
      </c>
      <c r="P567" s="35">
        <f>IFERROR(__xludf.DUMMYFUNCTION("IF(AND(Q567="""", R567=""""),
  """",
  IF(OR(ISBLANK(Q567), ISBLANK(O567)),
    """",
    IF(VALUE(SUBSTITUTE(INDEX(SPLIT(IF(ISBLANK(R567), Q567, R567), "",""), 0, 1), "" Km"", """")) - O567 = 0,
      """",
      VALUE(SUBSTITUTE(INDEX(SPLIT(IF(ISBLANK("&amp;"R567), Q567, R567), "",""), 0, 1), "" Km"", """")) - O567
    )
  )
)"),-3000.0)</f>
        <v>-3000</v>
      </c>
      <c r="Q567" s="36" t="str">
        <f t="shared" si="4"/>
        <v>8 800 Km, 11.12.2025</v>
      </c>
      <c r="R567" s="33"/>
      <c r="S567" s="40">
        <v>0.0</v>
      </c>
      <c r="T567" s="25">
        <v>1.0</v>
      </c>
      <c r="U567" s="25" t="s">
        <v>516</v>
      </c>
      <c r="V567" s="37"/>
      <c r="W567" s="37" t="str">
        <f t="shared" si="26"/>
        <v>Завершена</v>
      </c>
      <c r="X567" s="25" t="str">
        <f>IFERROR(__xludf.DUMMYFUNCTION("IF(C567 = """", """", IF(REGEXMATCH(C567, ""PCX|NMAX|ADV 150|CLICK""), ""скутер"", ""мото""))"),"мото")</f>
        <v>мото</v>
      </c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</row>
    <row r="568" hidden="1">
      <c r="A568" s="13" t="s">
        <v>24</v>
      </c>
      <c r="B568" s="13" t="s">
        <v>25</v>
      </c>
      <c r="C568" s="14" t="s">
        <v>979</v>
      </c>
      <c r="D568" s="14" t="s">
        <v>1126</v>
      </c>
      <c r="E568" s="48">
        <v>46032.0</v>
      </c>
      <c r="F568" s="38">
        <v>46049.75</v>
      </c>
      <c r="G568" s="17" t="str">
        <f t="shared" si="32"/>
        <v>17 Д</v>
      </c>
      <c r="H568" s="18">
        <f t="shared" si="35"/>
        <v>900</v>
      </c>
      <c r="I568" s="19" t="str">
        <f t="shared" si="2"/>
        <v/>
      </c>
      <c r="J568" s="20" t="str">
        <f t="shared" si="25"/>
        <v/>
      </c>
      <c r="K568" s="23">
        <f>900*14+1800+900</f>
        <v>15300</v>
      </c>
      <c r="L568" s="20"/>
      <c r="M568" s="23">
        <v>900.0</v>
      </c>
      <c r="N568" s="21"/>
      <c r="O568" s="22">
        <f>IFERROR(__xludf.DUMMYFUNCTION("IFERROR(
  VLOOKUP(C568,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C568
    ), 
    7, FALSE
  ), 
  """"
)
"),6800.0)</f>
        <v>6800</v>
      </c>
      <c r="P568" s="22">
        <f>IFERROR(__xludf.DUMMYFUNCTION("IF(AND(Q568="""", R568=""""),
  """",
  IF(OR(ISBLANK(Q568), ISBLANK(O568)),
    """",
    IF(VALUE(SUBSTITUTE(INDEX(SPLIT(IF(ISBLANK(R568), Q568, R568), "",""), 0, 1), "" Km"", """")) - O568 = 0,
      """",
      VALUE(SUBSTITUTE(INDEX(SPLIT(IF(ISBLANK("&amp;"R568), Q568, R568), "",""), 0, 1), "" Km"", """")) - O568
    )
  )
)"),-6800.0)</f>
        <v>-6800</v>
      </c>
      <c r="Q568" s="23" t="str">
        <f t="shared" si="4"/>
        <v>0 Km, 10.01.2026</v>
      </c>
      <c r="R568" s="20"/>
      <c r="S568" s="41">
        <v>7000.0</v>
      </c>
      <c r="T568" s="13">
        <v>2.0</v>
      </c>
      <c r="U568" s="13" t="s">
        <v>1127</v>
      </c>
      <c r="V568" s="24"/>
      <c r="W568" s="24" t="str">
        <f t="shared" si="26"/>
        <v>Завершена</v>
      </c>
      <c r="X568" s="13" t="str">
        <f>IFERROR(__xludf.DUMMYFUNCTION("IF(C568 = """", """", IF(REGEXMATCH(C568, ""PCX|NMAX|ADV 150|CLICK""), ""скутер"", ""мото""))"),"мото")</f>
        <v>мото</v>
      </c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</row>
    <row r="569" hidden="1">
      <c r="A569" s="25" t="s">
        <v>24</v>
      </c>
      <c r="B569" s="25" t="s">
        <v>25</v>
      </c>
      <c r="C569" s="27" t="s">
        <v>56</v>
      </c>
      <c r="D569" s="27" t="s">
        <v>1128</v>
      </c>
      <c r="E569" s="43">
        <v>46043.0</v>
      </c>
      <c r="F569" s="39">
        <v>46049.708333333336</v>
      </c>
      <c r="G569" s="30" t="str">
        <f t="shared" si="32"/>
        <v>6 Д</v>
      </c>
      <c r="H569" s="31">
        <f t="shared" si="35"/>
        <v>469</v>
      </c>
      <c r="I569" s="32" t="str">
        <f t="shared" si="2"/>
        <v/>
      </c>
      <c r="J569" s="33" t="str">
        <f t="shared" si="25"/>
        <v/>
      </c>
      <c r="K569" s="36">
        <v>2814.0</v>
      </c>
      <c r="L569" s="33"/>
      <c r="M569" s="36">
        <v>469.0</v>
      </c>
      <c r="N569" s="44">
        <v>33000.0</v>
      </c>
      <c r="O569" s="35">
        <f>IFERROR(__xludf.DUMMYFUNCTION("IFERROR(
  VLOOKUP(C569,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C569
    ), 
    7, FALSE
  ), 
  """"
)
"),36400.0)</f>
        <v>36400</v>
      </c>
      <c r="P569" s="35">
        <f>IFERROR(__xludf.DUMMYFUNCTION("IF(AND(Q569="""", R569=""""),
  """",
  IF(OR(ISBLANK(Q569), ISBLANK(O569)),
    """",
    IF(VALUE(SUBSTITUTE(INDEX(SPLIT(IF(ISBLANK(R569), Q569, R569), "",""), 0, 1), "" Km"", """")) - O569 = 0,
      """",
      VALUE(SUBSTITUTE(INDEX(SPLIT(IF(ISBLANK("&amp;"R569), Q569, R569), "",""), 0, 1), "" Km"", """")) - O569
    )
  )
)"),-3400.0)</f>
        <v>-3400</v>
      </c>
      <c r="Q569" s="36" t="str">
        <f t="shared" si="4"/>
        <v>33 000 Km, 21.01.2026</v>
      </c>
      <c r="R569" s="33"/>
      <c r="S569" s="40">
        <v>3000.0</v>
      </c>
      <c r="T569" s="25">
        <v>2.0</v>
      </c>
      <c r="U569" s="25" t="s">
        <v>1129</v>
      </c>
      <c r="V569" s="37"/>
      <c r="W569" s="37" t="str">
        <f t="shared" si="26"/>
        <v>Завершена</v>
      </c>
      <c r="X569" s="25" t="str">
        <f>IFERROR(__xludf.DUMMYFUNCTION("IF(C569 = """", """", IF(REGEXMATCH(C569, ""PCX|NMAX|ADV 150|CLICK""), ""скутер"", ""мото""))"),"скутер")</f>
        <v>скутер</v>
      </c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</row>
    <row r="570" hidden="1">
      <c r="A570" s="13" t="s">
        <v>24</v>
      </c>
      <c r="B570" s="13" t="s">
        <v>25</v>
      </c>
      <c r="C570" s="14" t="s">
        <v>916</v>
      </c>
      <c r="D570" s="14" t="s">
        <v>1130</v>
      </c>
      <c r="E570" s="48">
        <v>46046.0</v>
      </c>
      <c r="F570" s="38">
        <v>46054.541666666664</v>
      </c>
      <c r="G570" s="17" t="str">
        <f t="shared" si="32"/>
        <v>8 Д</v>
      </c>
      <c r="H570" s="18">
        <f t="shared" si="35"/>
        <v>1680</v>
      </c>
      <c r="I570" s="19" t="str">
        <f t="shared" si="2"/>
        <v/>
      </c>
      <c r="J570" s="20" t="str">
        <f t="shared" si="25"/>
        <v/>
      </c>
      <c r="K570" s="23">
        <f>11762+1680</f>
        <v>13442</v>
      </c>
      <c r="L570" s="20"/>
      <c r="M570" s="23">
        <v>1680.0</v>
      </c>
      <c r="N570" s="49">
        <v>31217.0</v>
      </c>
      <c r="O570" s="22">
        <f>IFERROR(__xludf.DUMMYFUNCTION("IFERROR(
  VLOOKUP(C570,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C570
    ), 
    7, FALSE
  ), 
  """"
)
"),29300.0)</f>
        <v>29300</v>
      </c>
      <c r="P570" s="22">
        <f>IFERROR(__xludf.DUMMYFUNCTION("IF(AND(Q570="""", R570=""""),
  """",
  IF(OR(ISBLANK(Q570), ISBLANK(O570)),
    """",
    IF(VALUE(SUBSTITUTE(INDEX(SPLIT(IF(ISBLANK(R570), Q570, R570), "",""), 0, 1), "" Km"", """")) - O570 = 0,
      """",
      VALUE(SUBSTITUTE(INDEX(SPLIT(IF(ISBLANK("&amp;"R570), Q570, R570), "",""), 0, 1), "" Km"", """")) - O570
    )
  )
)"),1917.0)</f>
        <v>1917</v>
      </c>
      <c r="Q570" s="23" t="str">
        <f t="shared" si="4"/>
        <v>31 217 Km, 24.01.2026</v>
      </c>
      <c r="R570" s="20"/>
      <c r="S570" s="41">
        <v>20000.0</v>
      </c>
      <c r="T570" s="13">
        <v>1.0</v>
      </c>
      <c r="U570" s="13" t="s">
        <v>1131</v>
      </c>
      <c r="V570" s="24"/>
      <c r="W570" s="24" t="str">
        <f t="shared" si="26"/>
        <v>Завершена</v>
      </c>
      <c r="X570" s="13" t="str">
        <f>IFERROR(__xludf.DUMMYFUNCTION("IF(C570 = """", """", IF(REGEXMATCH(C570, ""PCX|NMAX|ADV 150|CLICK""), ""скутер"", ""мото""))"),"мото")</f>
        <v>мото</v>
      </c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</row>
    <row r="571" hidden="1">
      <c r="A571" s="25" t="s">
        <v>24</v>
      </c>
      <c r="B571" s="25" t="s">
        <v>25</v>
      </c>
      <c r="C571" s="27" t="s">
        <v>77</v>
      </c>
      <c r="D571" s="27" t="s">
        <v>1132</v>
      </c>
      <c r="E571" s="43">
        <v>46048.0</v>
      </c>
      <c r="F571" s="39">
        <v>46053.666666666664</v>
      </c>
      <c r="G571" s="30" t="str">
        <f t="shared" si="32"/>
        <v>5 Д</v>
      </c>
      <c r="H571" s="31">
        <f t="shared" si="35"/>
        <v>494</v>
      </c>
      <c r="I571" s="32" t="str">
        <f t="shared" si="2"/>
        <v/>
      </c>
      <c r="J571" s="33" t="str">
        <f t="shared" si="25"/>
        <v/>
      </c>
      <c r="K571" s="36">
        <v>2470.0</v>
      </c>
      <c r="L571" s="33"/>
      <c r="M571" s="36">
        <v>494.0</v>
      </c>
      <c r="N571" s="44">
        <v>38800.0</v>
      </c>
      <c r="O571" s="35">
        <f>IFERROR(__xludf.DUMMYFUNCTION("IFERROR(
  VLOOKUP(C571,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C571
    ), 
    7, FALSE
  ), 
  """"
)
"),37300.0)</f>
        <v>37300</v>
      </c>
      <c r="P571" s="35">
        <f>IFERROR(__xludf.DUMMYFUNCTION("IF(AND(Q571="""", R571=""""),
  """",
  IF(OR(ISBLANK(Q571), ISBLANK(O571)),
    """",
    IF(VALUE(SUBSTITUTE(INDEX(SPLIT(IF(ISBLANK(R571), Q571, R571), "",""), 0, 1), "" Km"", """")) - O571 = 0,
      """",
      VALUE(SUBSTITUTE(INDEX(SPLIT(IF(ISBLANK("&amp;"R571), Q571, R571), "",""), 0, 1), "" Km"", """")) - O571
    )
  )
)"),1500.0)</f>
        <v>1500</v>
      </c>
      <c r="Q571" s="36" t="str">
        <f t="shared" si="4"/>
        <v>38 800 Km, 26.01.2026</v>
      </c>
      <c r="R571" s="33"/>
      <c r="S571" s="40">
        <v>3000.0</v>
      </c>
      <c r="T571" s="25">
        <v>2.0</v>
      </c>
      <c r="U571" s="71" t="s">
        <v>1133</v>
      </c>
      <c r="V571" s="37"/>
      <c r="W571" s="37" t="str">
        <f t="shared" si="26"/>
        <v>Завершена</v>
      </c>
      <c r="X571" s="25" t="str">
        <f>IFERROR(__xludf.DUMMYFUNCTION("IF(C571 = """", """", IF(REGEXMATCH(C571, ""PCX|NMAX|ADV 150|CLICK""), ""скутер"", ""мото""))"),"скутер")</f>
        <v>скутер</v>
      </c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</row>
    <row r="572" hidden="1">
      <c r="A572" s="13" t="s">
        <v>24</v>
      </c>
      <c r="B572" s="13" t="s">
        <v>25</v>
      </c>
      <c r="C572" s="14" t="s">
        <v>44</v>
      </c>
      <c r="D572" s="14" t="s">
        <v>1134</v>
      </c>
      <c r="E572" s="48">
        <v>46046.0</v>
      </c>
      <c r="F572" s="38">
        <v>46055.583333333336</v>
      </c>
      <c r="G572" s="17" t="str">
        <f t="shared" si="32"/>
        <v>9 Д</v>
      </c>
      <c r="H572" s="18">
        <f t="shared" si="35"/>
        <v>459</v>
      </c>
      <c r="I572" s="19" t="str">
        <f t="shared" si="2"/>
        <v/>
      </c>
      <c r="J572" s="20" t="str">
        <f t="shared" si="25"/>
        <v/>
      </c>
      <c r="K572" s="23">
        <f>459*8+440</f>
        <v>4112</v>
      </c>
      <c r="L572" s="20"/>
      <c r="M572" s="23">
        <v>459.0</v>
      </c>
      <c r="N572" s="49">
        <v>33000.0</v>
      </c>
      <c r="O572" s="22">
        <f>IFERROR(__xludf.DUMMYFUNCTION("IFERROR(
  VLOOKUP(C572,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C572
    ), 
    7, FALSE
  ), 
  """"
)
"),30800.0)</f>
        <v>30800</v>
      </c>
      <c r="P572" s="22">
        <f>IFERROR(__xludf.DUMMYFUNCTION("IF(AND(Q572="""", R572=""""),
  """",
  IF(OR(ISBLANK(Q572), ISBLANK(O572)),
    """",
    IF(VALUE(SUBSTITUTE(INDEX(SPLIT(IF(ISBLANK(R572), Q572, R572), "",""), 0, 1), "" Km"", """")) - O572 = 0,
      """",
      VALUE(SUBSTITUTE(INDEX(SPLIT(IF(ISBLANK("&amp;"R572), Q572, R572), "",""), 0, 1), "" Km"", """")) - O572
    )
  )
)"),2200.0)</f>
        <v>2200</v>
      </c>
      <c r="Q572" s="23" t="str">
        <f t="shared" si="4"/>
        <v>33 000 Km, 24.01.2026</v>
      </c>
      <c r="R572" s="20"/>
      <c r="S572" s="41">
        <v>3000.0</v>
      </c>
      <c r="T572" s="13">
        <v>1.0</v>
      </c>
      <c r="U572" s="13" t="s">
        <v>1135</v>
      </c>
      <c r="V572" s="24"/>
      <c r="W572" s="24" t="str">
        <f t="shared" si="26"/>
        <v>Завершена</v>
      </c>
      <c r="X572" s="13" t="str">
        <f>IFERROR(__xludf.DUMMYFUNCTION("IF(C572 = """", """", IF(REGEXMATCH(C572, ""PCX|NMAX|ADV 150|CLICK""), ""скутер"", ""мото""))"),"скутер")</f>
        <v>скутер</v>
      </c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</row>
    <row r="573" hidden="1">
      <c r="A573" s="25" t="s">
        <v>24</v>
      </c>
      <c r="B573" s="25" t="s">
        <v>25</v>
      </c>
      <c r="C573" s="27" t="s">
        <v>48</v>
      </c>
      <c r="D573" s="27" t="s">
        <v>1136</v>
      </c>
      <c r="E573" s="43">
        <v>46049.0</v>
      </c>
      <c r="F573" s="39">
        <v>46054.666666666664</v>
      </c>
      <c r="G573" s="30" t="str">
        <f t="shared" si="32"/>
        <v>5 Д</v>
      </c>
      <c r="H573" s="31">
        <f t="shared" si="35"/>
        <v>494</v>
      </c>
      <c r="I573" s="32" t="str">
        <f t="shared" si="2"/>
        <v/>
      </c>
      <c r="J573" s="33" t="str">
        <f t="shared" si="25"/>
        <v/>
      </c>
      <c r="K573" s="36">
        <v>2470.0</v>
      </c>
      <c r="L573" s="33"/>
      <c r="M573" s="36">
        <v>494.0</v>
      </c>
      <c r="N573" s="44">
        <v>37500.0</v>
      </c>
      <c r="O573" s="35">
        <f>IFERROR(__xludf.DUMMYFUNCTION("IFERROR(
  VLOOKUP(C573,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C573
    ), 
    7, FALSE
  ), 
  """"
)
"),35800.0)</f>
        <v>35800</v>
      </c>
      <c r="P573" s="35">
        <f>IFERROR(__xludf.DUMMYFUNCTION("IF(AND(Q573="""", R573=""""),
  """",
  IF(OR(ISBLANK(Q573), ISBLANK(O573)),
    """",
    IF(VALUE(SUBSTITUTE(INDEX(SPLIT(IF(ISBLANK(R573), Q573, R573), "",""), 0, 1), "" Km"", """")) - O573 = 0,
      """",
      VALUE(SUBSTITUTE(INDEX(SPLIT(IF(ISBLANK("&amp;"R573), Q573, R573), "",""), 0, 1), "" Km"", """")) - O573
    )
  )
)"),1700.0)</f>
        <v>1700</v>
      </c>
      <c r="Q573" s="36" t="str">
        <f t="shared" si="4"/>
        <v>37 500 Km, 27.01.2026</v>
      </c>
      <c r="R573" s="33"/>
      <c r="S573" s="40">
        <v>3000.0</v>
      </c>
      <c r="T573" s="25">
        <v>2.0</v>
      </c>
      <c r="U573" s="25" t="s">
        <v>1137</v>
      </c>
      <c r="V573" s="37"/>
      <c r="W573" s="37" t="str">
        <f t="shared" si="26"/>
        <v>Завершена</v>
      </c>
      <c r="X573" s="25" t="str">
        <f>IFERROR(__xludf.DUMMYFUNCTION("IF(C573 = """", """", IF(REGEXMATCH(C573, ""PCX|NMAX|ADV 150|CLICK""), ""скутер"", ""мото""))"),"скутер")</f>
        <v>скутер</v>
      </c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</row>
    <row r="574" hidden="1">
      <c r="A574" s="13" t="s">
        <v>24</v>
      </c>
      <c r="B574" s="13" t="s">
        <v>25</v>
      </c>
      <c r="C574" s="14" t="s">
        <v>923</v>
      </c>
      <c r="D574" s="14" t="s">
        <v>1087</v>
      </c>
      <c r="E574" s="48">
        <v>46036.0</v>
      </c>
      <c r="F574" s="38">
        <v>46055.541666666664</v>
      </c>
      <c r="G574" s="17" t="str">
        <f t="shared" si="32"/>
        <v>19 Д</v>
      </c>
      <c r="H574" s="18">
        <f t="shared" si="35"/>
        <v>784</v>
      </c>
      <c r="I574" s="19" t="str">
        <f t="shared" si="2"/>
        <v/>
      </c>
      <c r="J574" s="20" t="str">
        <f t="shared" si="25"/>
        <v/>
      </c>
      <c r="K574" s="23">
        <f>16*784+2352</f>
        <v>14896</v>
      </c>
      <c r="L574" s="20"/>
      <c r="M574" s="23">
        <v>784.0</v>
      </c>
      <c r="N574" s="49">
        <v>21300.0</v>
      </c>
      <c r="O574" s="22">
        <f>IFERROR(__xludf.DUMMYFUNCTION("IFERROR(
  VLOOKUP(C574,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C574
    ), 
    7, FALSE
  ), 
  """"
)
"),25378.0)</f>
        <v>25378</v>
      </c>
      <c r="P574" s="22">
        <f>IFERROR(__xludf.DUMMYFUNCTION("IF(AND(Q574="""", R574=""""),
  """",
  IF(OR(ISBLANK(Q574), ISBLANK(O574)),
    """",
    IF(VALUE(SUBSTITUTE(INDEX(SPLIT(IF(ISBLANK(R574), Q574, R574), "",""), 0, 1), "" Km"", """")) - O574 = 0,
      """",
      VALUE(SUBSTITUTE(INDEX(SPLIT(IF(ISBLANK("&amp;"R574), Q574, R574), "",""), 0, 1), "" Km"", """")) - O574
    )
  )
)"),-4078.0)</f>
        <v>-4078</v>
      </c>
      <c r="Q574" s="23" t="str">
        <f t="shared" si="4"/>
        <v>21 300 Km, 14.01.2026</v>
      </c>
      <c r="R574" s="20"/>
      <c r="S574" s="41">
        <v>7000.0</v>
      </c>
      <c r="T574" s="13">
        <v>2.0</v>
      </c>
      <c r="U574" s="13" t="s">
        <v>1088</v>
      </c>
      <c r="V574" s="24"/>
      <c r="W574" s="24" t="str">
        <f t="shared" si="26"/>
        <v>Завершена</v>
      </c>
      <c r="X574" s="13" t="str">
        <f>IFERROR(__xludf.DUMMYFUNCTION("IF(C574 = """", """", IF(REGEXMATCH(C574, ""PCX|NMAX|ADV 150|CLICK""), ""скутер"", ""мото""))"),"мото")</f>
        <v>мото</v>
      </c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</row>
    <row r="575" hidden="1">
      <c r="A575" s="25" t="s">
        <v>24</v>
      </c>
      <c r="B575" s="25" t="s">
        <v>25</v>
      </c>
      <c r="C575" s="27" t="s">
        <v>68</v>
      </c>
      <c r="D575" s="27" t="s">
        <v>1138</v>
      </c>
      <c r="E575" s="43">
        <v>46010.0</v>
      </c>
      <c r="F575" s="39">
        <v>46056.5</v>
      </c>
      <c r="G575" s="30" t="str">
        <f t="shared" si="32"/>
        <v>46 Д</v>
      </c>
      <c r="H575" s="31">
        <f t="shared" si="35"/>
        <v>263.3333333</v>
      </c>
      <c r="I575" s="32" t="str">
        <f t="shared" si="2"/>
        <v/>
      </c>
      <c r="J575" s="33" t="str">
        <f t="shared" si="25"/>
        <v/>
      </c>
      <c r="K575" s="36">
        <f>7900+4471</f>
        <v>12371</v>
      </c>
      <c r="L575" s="36">
        <v>7900.0</v>
      </c>
      <c r="M575" s="33"/>
      <c r="N575" s="44">
        <v>20500.0</v>
      </c>
      <c r="O575" s="35">
        <f>IFERROR(__xludf.DUMMYFUNCTION("IFERROR(
  VLOOKUP(C575,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C575
    ), 
    7, FALSE
  ), 
  """"
)
"),24094.0)</f>
        <v>24094</v>
      </c>
      <c r="P575" s="35">
        <f>IFERROR(__xludf.DUMMYFUNCTION("IF(AND(Q575="""", R575=""""),
  """",
  IF(OR(ISBLANK(Q575), ISBLANK(O575)),
    """",
    IF(VALUE(SUBSTITUTE(INDEX(SPLIT(IF(ISBLANK(R575), Q575, R575), "",""), 0, 1), "" Km"", """")) - O575 = 0,
      """",
      VALUE(SUBSTITUTE(INDEX(SPLIT(IF(ISBLANK("&amp;"R575), Q575, R575), "",""), 0, 1), "" Km"", """")) - O575
    )
  )
)"),-3594.0)</f>
        <v>-3594</v>
      </c>
      <c r="Q575" s="36" t="str">
        <f t="shared" si="4"/>
        <v>20 500 Km, 19.12.2025</v>
      </c>
      <c r="R575" s="33"/>
      <c r="S575" s="40">
        <v>0.0</v>
      </c>
      <c r="T575" s="25">
        <v>0.0</v>
      </c>
      <c r="U575" s="25" t="s">
        <v>516</v>
      </c>
      <c r="V575" s="37"/>
      <c r="W575" s="37" t="str">
        <f t="shared" si="26"/>
        <v>Завершена</v>
      </c>
      <c r="X575" s="25" t="str">
        <f>IFERROR(__xludf.DUMMYFUNCTION("IF(C575 = """", """", IF(REGEXMATCH(C575, ""PCX|NMAX|ADV 150|CLICK""), ""скутер"", ""мото""))"),"скутер")</f>
        <v>скутер</v>
      </c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</row>
    <row r="576" hidden="1">
      <c r="A576" s="13" t="s">
        <v>24</v>
      </c>
      <c r="B576" s="13" t="s">
        <v>25</v>
      </c>
      <c r="C576" s="14" t="s">
        <v>151</v>
      </c>
      <c r="D576" s="14" t="s">
        <v>1139</v>
      </c>
      <c r="E576" s="48">
        <v>46044.0</v>
      </c>
      <c r="F576" s="38">
        <v>46056.583333333336</v>
      </c>
      <c r="G576" s="17" t="str">
        <f t="shared" si="32"/>
        <v>12 Д</v>
      </c>
      <c r="H576" s="18">
        <f t="shared" si="35"/>
        <v>435</v>
      </c>
      <c r="I576" s="19" t="str">
        <f t="shared" si="2"/>
        <v/>
      </c>
      <c r="J576" s="20" t="str">
        <f t="shared" si="25"/>
        <v/>
      </c>
      <c r="K576" s="23">
        <v>5276.0</v>
      </c>
      <c r="L576" s="20"/>
      <c r="M576" s="23">
        <v>435.0</v>
      </c>
      <c r="N576" s="49">
        <v>34700.0</v>
      </c>
      <c r="O576" s="22">
        <f>IFERROR(__xludf.DUMMYFUNCTION("IFERROR(
  VLOOKUP(C576,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C576
    ), 
    7, FALSE
  ), 
  """"
)
"),35800.0)</f>
        <v>35800</v>
      </c>
      <c r="P576" s="22">
        <f>IFERROR(__xludf.DUMMYFUNCTION("IF(AND(Q576="""", R576=""""),
  """",
  IF(OR(ISBLANK(Q576), ISBLANK(O576)),
    """",
    IF(VALUE(SUBSTITUTE(INDEX(SPLIT(IF(ISBLANK(R576), Q576, R576), "",""), 0, 1), "" Km"", """")) - O576 = 0,
      """",
      VALUE(SUBSTITUTE(INDEX(SPLIT(IF(ISBLANK("&amp;"R576), Q576, R576), "",""), 0, 1), "" Km"", """")) - O576
    )
  )
)"),-1100.0)</f>
        <v>-1100</v>
      </c>
      <c r="Q576" s="23" t="str">
        <f t="shared" si="4"/>
        <v>34 700 Km, 22.01.2026</v>
      </c>
      <c r="R576" s="20"/>
      <c r="S576" s="41" t="s">
        <v>1140</v>
      </c>
      <c r="T576" s="13">
        <v>1.0</v>
      </c>
      <c r="U576" s="13" t="s">
        <v>1141</v>
      </c>
      <c r="V576" s="24"/>
      <c r="W576" s="24" t="str">
        <f t="shared" si="26"/>
        <v>Завершена</v>
      </c>
      <c r="X576" s="13" t="str">
        <f>IFERROR(__xludf.DUMMYFUNCTION("IF(C576 = """", """", IF(REGEXMATCH(C576, ""PCX|NMAX|ADV 150|CLICK""), ""скутер"", ""мото""))"),"скутер")</f>
        <v>скутер</v>
      </c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</row>
    <row r="577" hidden="1">
      <c r="A577" s="25" t="s">
        <v>24</v>
      </c>
      <c r="B577" s="25" t="s">
        <v>25</v>
      </c>
      <c r="C577" s="27" t="s">
        <v>928</v>
      </c>
      <c r="D577" s="27" t="s">
        <v>878</v>
      </c>
      <c r="E577" s="43">
        <v>46002.0</v>
      </c>
      <c r="F577" s="39">
        <v>46033.625</v>
      </c>
      <c r="G577" s="30" t="str">
        <f t="shared" si="32"/>
        <v>31 Д</v>
      </c>
      <c r="H577" s="31">
        <f t="shared" si="35"/>
        <v>568</v>
      </c>
      <c r="I577" s="32" t="str">
        <f t="shared" si="2"/>
        <v/>
      </c>
      <c r="J577" s="33" t="str">
        <f t="shared" si="25"/>
        <v/>
      </c>
      <c r="K577" s="36">
        <f>31*568</f>
        <v>17608</v>
      </c>
      <c r="L577" s="33"/>
      <c r="M577" s="36">
        <v>568.0</v>
      </c>
      <c r="N577" s="44">
        <v>11100.0</v>
      </c>
      <c r="O577" s="35">
        <f>IFERROR(__xludf.DUMMYFUNCTION("IFERROR(
  VLOOKUP(C577,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C577
    ), 
    7, FALSE
  ), 
  """"
)
"),11000.0)</f>
        <v>11000</v>
      </c>
      <c r="P577" s="35">
        <f>IFERROR(__xludf.DUMMYFUNCTION("IF(AND(Q577="""", R577=""""),
  """",
  IF(OR(ISBLANK(Q577), ISBLANK(O577)),
    """",
    IF(VALUE(SUBSTITUTE(INDEX(SPLIT(IF(ISBLANK(R577), Q577, R577), "",""), 0, 1), "" Km"", """")) - O577 = 0,
      """",
      VALUE(SUBSTITUTE(INDEX(SPLIT(IF(ISBLANK("&amp;"R577), Q577, R577), "",""), 0, 1), "" Km"", """")) - O577
    )
  )
)"),100.0)</f>
        <v>100</v>
      </c>
      <c r="Q577" s="36" t="str">
        <f t="shared" si="4"/>
        <v>11 100 Km, 11.12.2025</v>
      </c>
      <c r="R577" s="33"/>
      <c r="S577" s="40">
        <v>7000.0</v>
      </c>
      <c r="T577" s="25">
        <v>2.0</v>
      </c>
      <c r="U577" s="25" t="s">
        <v>1142</v>
      </c>
      <c r="V577" s="37"/>
      <c r="W577" s="37" t="str">
        <f t="shared" si="26"/>
        <v>Завершена</v>
      </c>
      <c r="X577" s="25" t="str">
        <f>IFERROR(__xludf.DUMMYFUNCTION("IF(C577 = """", """", IF(REGEXMATCH(C577, ""PCX|NMAX|ADV 150|CLICK""), ""скутер"", ""мото""))"),"мото")</f>
        <v>мото</v>
      </c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</row>
    <row r="578" hidden="1">
      <c r="A578" s="13" t="s">
        <v>24</v>
      </c>
      <c r="B578" s="13" t="s">
        <v>25</v>
      </c>
      <c r="C578" s="14" t="s">
        <v>461</v>
      </c>
      <c r="D578" s="14" t="s">
        <v>1016</v>
      </c>
      <c r="E578" s="48">
        <v>45951.0</v>
      </c>
      <c r="F578" s="38">
        <v>46012.541666666664</v>
      </c>
      <c r="G578" s="17" t="str">
        <f t="shared" si="32"/>
        <v>61 Д</v>
      </c>
      <c r="H578" s="18">
        <f t="shared" si="35"/>
        <v>330</v>
      </c>
      <c r="I578" s="19" t="str">
        <f t="shared" si="2"/>
        <v/>
      </c>
      <c r="J578" s="20" t="str">
        <f t="shared" si="25"/>
        <v/>
      </c>
      <c r="K578" s="23">
        <f>9900</f>
        <v>9900</v>
      </c>
      <c r="L578" s="23">
        <v>9900.0</v>
      </c>
      <c r="M578" s="20"/>
      <c r="N578" s="21"/>
      <c r="O578" s="22">
        <f>IFERROR(__xludf.DUMMYFUNCTION("IFERROR(
  VLOOKUP(C578,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C578
    ), 
    7, FALSE
  ), 
  """"
)
"),30500.0)</f>
        <v>30500</v>
      </c>
      <c r="P578" s="22">
        <f>IFERROR(__xludf.DUMMYFUNCTION("IF(AND(Q578="""", R578=""""),
  """",
  IF(OR(ISBLANK(Q578), ISBLANK(O578)),
    """",
    IF(VALUE(SUBSTITUTE(INDEX(SPLIT(IF(ISBLANK(R578), Q578, R578), "",""), 0, 1), "" Km"", """")) - O578 = 0,
      """",
      VALUE(SUBSTITUTE(INDEX(SPLIT(IF(ISBLANK("&amp;"R578), Q578, R578), "",""), 0, 1), "" Km"", """")) - O578
    )
  )
)"),-30500.0)</f>
        <v>-30500</v>
      </c>
      <c r="Q578" s="23" t="str">
        <f t="shared" si="4"/>
        <v>0 Km, 21.10.2025</v>
      </c>
      <c r="R578" s="20"/>
      <c r="S578" s="41">
        <v>15000.0</v>
      </c>
      <c r="T578" s="13">
        <v>1.0</v>
      </c>
      <c r="U578" s="13" t="s">
        <v>1039</v>
      </c>
      <c r="V578" s="24"/>
      <c r="W578" s="24" t="str">
        <f t="shared" si="26"/>
        <v>Завершена</v>
      </c>
      <c r="X578" s="13" t="str">
        <f>IFERROR(__xludf.DUMMYFUNCTION("IF(C578 = """", """", IF(REGEXMATCH(C578, ""PCX|NMAX|ADV 150|CLICK""), ""скутер"", ""мото""))"),"мото")</f>
        <v>мото</v>
      </c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</row>
    <row r="579" hidden="1">
      <c r="A579" s="25" t="s">
        <v>24</v>
      </c>
      <c r="B579" s="25" t="s">
        <v>25</v>
      </c>
      <c r="C579" s="27" t="s">
        <v>967</v>
      </c>
      <c r="D579" s="27" t="s">
        <v>1143</v>
      </c>
      <c r="E579" s="43">
        <v>45784.0</v>
      </c>
      <c r="F579" s="39">
        <v>45787.791666666664</v>
      </c>
      <c r="G579" s="30" t="str">
        <f t="shared" si="32"/>
        <v>3 Д</v>
      </c>
      <c r="H579" s="31">
        <f t="shared" si="35"/>
        <v>2000</v>
      </c>
      <c r="I579" s="32" t="str">
        <f t="shared" si="2"/>
        <v/>
      </c>
      <c r="J579" s="33" t="str">
        <f t="shared" si="25"/>
        <v/>
      </c>
      <c r="K579" s="36">
        <v>6000.0</v>
      </c>
      <c r="L579" s="33"/>
      <c r="M579" s="36">
        <v>2000.0</v>
      </c>
      <c r="N579" s="34"/>
      <c r="O579" s="35">
        <f>IFERROR(__xludf.DUMMYFUNCTION("IFERROR(
  VLOOKUP(C579,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C579
    ), 
    7, FALSE
  ), 
  """"
)
"),24800.0)</f>
        <v>24800</v>
      </c>
      <c r="P579" s="35">
        <f>IFERROR(__xludf.DUMMYFUNCTION("IF(AND(Q579="""", R579=""""),
  """",
  IF(OR(ISBLANK(Q579), ISBLANK(O579)),
    """",
    IF(VALUE(SUBSTITUTE(INDEX(SPLIT(IF(ISBLANK(R579), Q579, R579), "",""), 0, 1), "" Km"", """")) - O579 = 0,
      """",
      VALUE(SUBSTITUTE(INDEX(SPLIT(IF(ISBLANK("&amp;"R579), Q579, R579), "",""), 0, 1), "" Km"", """")) - O579
    )
  )
)"),-24800.0)</f>
        <v>-24800</v>
      </c>
      <c r="Q579" s="36" t="str">
        <f t="shared" si="4"/>
        <v>0 Km, 07.05.2025</v>
      </c>
      <c r="R579" s="33"/>
      <c r="S579" s="40">
        <v>0.0</v>
      </c>
      <c r="T579" s="25">
        <v>1.0</v>
      </c>
      <c r="U579" s="25" t="s">
        <v>516</v>
      </c>
      <c r="V579" s="37"/>
      <c r="W579" s="37" t="str">
        <f t="shared" si="26"/>
        <v>Завершена</v>
      </c>
      <c r="X579" s="25" t="str">
        <f>IFERROR(__xludf.DUMMYFUNCTION("IF(C579 = """", """", IF(REGEXMATCH(C579, ""PCX|NMAX|ADV 150|CLICK""), ""скутер"", ""мото""))"),"мото")</f>
        <v>мото</v>
      </c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</row>
    <row r="580" hidden="1">
      <c r="A580" s="13" t="s">
        <v>24</v>
      </c>
      <c r="B580" s="13" t="s">
        <v>25</v>
      </c>
      <c r="C580" s="14" t="s">
        <v>102</v>
      </c>
      <c r="D580" s="14" t="s">
        <v>1144</v>
      </c>
      <c r="E580" s="48">
        <v>45788.0</v>
      </c>
      <c r="F580" s="38">
        <v>45789.583333333336</v>
      </c>
      <c r="G580" s="17" t="str">
        <f t="shared" si="32"/>
        <v>1 Д</v>
      </c>
      <c r="H580" s="18">
        <f t="shared" si="35"/>
        <v>1700</v>
      </c>
      <c r="I580" s="19" t="str">
        <f t="shared" si="2"/>
        <v/>
      </c>
      <c r="J580" s="20" t="str">
        <f t="shared" si="25"/>
        <v/>
      </c>
      <c r="K580" s="23">
        <v>1700.0</v>
      </c>
      <c r="L580" s="20"/>
      <c r="M580" s="23">
        <v>1700.0</v>
      </c>
      <c r="N580" s="21"/>
      <c r="O580" s="22">
        <f>IFERROR(__xludf.DUMMYFUNCTION("IFERROR(
  VLOOKUP(C580,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C580
    ), 
    7, FALSE
  ), 
  """"
)
"),63700.0)</f>
        <v>63700</v>
      </c>
      <c r="P580" s="22">
        <f>IFERROR(__xludf.DUMMYFUNCTION("IF(AND(Q580="""", R580=""""),
  """",
  IF(OR(ISBLANK(Q580), ISBLANK(O580)),
    """",
    IF(VALUE(SUBSTITUTE(INDEX(SPLIT(IF(ISBLANK(R580), Q580, R580), "",""), 0, 1), "" Km"", """")) - O580 = 0,
      """",
      VALUE(SUBSTITUTE(INDEX(SPLIT(IF(ISBLANK("&amp;"R580), Q580, R580), "",""), 0, 1), "" Km"", """")) - O580
    )
  )
)"),-63700.0)</f>
        <v>-63700</v>
      </c>
      <c r="Q580" s="23" t="str">
        <f t="shared" si="4"/>
        <v>0 Km, 11.05.2025</v>
      </c>
      <c r="R580" s="20"/>
      <c r="S580" s="41">
        <v>20000.0</v>
      </c>
      <c r="T580" s="13">
        <v>0.0</v>
      </c>
      <c r="U580" s="13" t="s">
        <v>1145</v>
      </c>
      <c r="V580" s="24"/>
      <c r="W580" s="24" t="str">
        <f t="shared" si="26"/>
        <v>Завершена</v>
      </c>
      <c r="X580" s="13" t="str">
        <f>IFERROR(__xludf.DUMMYFUNCTION("IF(C580 = """", """", IF(REGEXMATCH(C580, ""PCX|NMAX|ADV 150|CLICK""), ""скутер"", ""мото""))"),"мото")</f>
        <v>мото</v>
      </c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</row>
    <row r="581" hidden="1">
      <c r="A581" s="25" t="s">
        <v>24</v>
      </c>
      <c r="B581" s="25" t="s">
        <v>25</v>
      </c>
      <c r="C581" s="27" t="s">
        <v>461</v>
      </c>
      <c r="D581" s="27" t="s">
        <v>1026</v>
      </c>
      <c r="E581" s="43">
        <v>45791.0</v>
      </c>
      <c r="F581" s="39">
        <v>45808.541666666664</v>
      </c>
      <c r="G581" s="30" t="str">
        <f t="shared" si="32"/>
        <v>17 Д</v>
      </c>
      <c r="H581" s="31">
        <f t="shared" si="35"/>
        <v>522</v>
      </c>
      <c r="I581" s="32" t="str">
        <f t="shared" si="2"/>
        <v/>
      </c>
      <c r="J581" s="33" t="str">
        <f t="shared" si="25"/>
        <v/>
      </c>
      <c r="K581" s="36">
        <f>522*3</f>
        <v>1566</v>
      </c>
      <c r="L581" s="33"/>
      <c r="M581" s="36">
        <v>522.0</v>
      </c>
      <c r="N581" s="34"/>
      <c r="O581" s="35">
        <f>IFERROR(__xludf.DUMMYFUNCTION("IFERROR(
  VLOOKUP(C581,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C581
    ), 
    7, FALSE
  ), 
  """"
)
"),30500.0)</f>
        <v>30500</v>
      </c>
      <c r="P581" s="35">
        <f>IFERROR(__xludf.DUMMYFUNCTION("IF(AND(Q581="""", R581=""""),
  """",
  IF(OR(ISBLANK(Q581), ISBLANK(O581)),
    """",
    IF(VALUE(SUBSTITUTE(INDEX(SPLIT(IF(ISBLANK(R581), Q581, R581), "",""), 0, 1), "" Km"", """")) - O581 = 0,
      """",
      VALUE(SUBSTITUTE(INDEX(SPLIT(IF(ISBLANK("&amp;"R581), Q581, R581), "",""), 0, 1), "" Km"", """")) - O581
    )
  )
)"),-30500.0)</f>
        <v>-30500</v>
      </c>
      <c r="Q581" s="36" t="str">
        <f t="shared" si="4"/>
        <v>0 Km, 14.05.2025</v>
      </c>
      <c r="R581" s="33"/>
      <c r="S581" s="40">
        <v>15000.0</v>
      </c>
      <c r="T581" s="25">
        <v>2.0</v>
      </c>
      <c r="U581" s="25" t="s">
        <v>1146</v>
      </c>
      <c r="V581" s="37"/>
      <c r="W581" s="37" t="str">
        <f t="shared" si="26"/>
        <v>Завершена</v>
      </c>
      <c r="X581" s="25" t="str">
        <f>IFERROR(__xludf.DUMMYFUNCTION("IF(C581 = """", """", IF(REGEXMATCH(C581, ""PCX|NMAX|ADV 150|CLICK""), ""скутер"", ""мото""))"),"мото")</f>
        <v>мото</v>
      </c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</row>
    <row r="582" hidden="1">
      <c r="A582" s="13" t="s">
        <v>24</v>
      </c>
      <c r="B582" s="13" t="s">
        <v>25</v>
      </c>
      <c r="C582" s="14" t="s">
        <v>916</v>
      </c>
      <c r="D582" s="14" t="s">
        <v>712</v>
      </c>
      <c r="E582" s="48">
        <v>45793.0</v>
      </c>
      <c r="F582" s="38">
        <v>45795.541666666664</v>
      </c>
      <c r="G582" s="17" t="str">
        <f t="shared" si="32"/>
        <v>2 Д</v>
      </c>
      <c r="H582" s="18">
        <f t="shared" si="35"/>
        <v>1000</v>
      </c>
      <c r="I582" s="19" t="str">
        <f t="shared" si="2"/>
        <v/>
      </c>
      <c r="J582" s="20" t="str">
        <f t="shared" si="25"/>
        <v/>
      </c>
      <c r="K582" s="23">
        <v>2000.0</v>
      </c>
      <c r="L582" s="20"/>
      <c r="M582" s="23">
        <v>1000.0</v>
      </c>
      <c r="N582" s="21"/>
      <c r="O582" s="22">
        <f>IFERROR(__xludf.DUMMYFUNCTION("IFERROR(
  VLOOKUP(C582,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C582
    ), 
    7, FALSE
  ), 
  """"
)
"),29300.0)</f>
        <v>29300</v>
      </c>
      <c r="P582" s="22">
        <f>IFERROR(__xludf.DUMMYFUNCTION("IF(AND(Q582="""", R582=""""),
  """",
  IF(OR(ISBLANK(Q582), ISBLANK(O582)),
    """",
    IF(VALUE(SUBSTITUTE(INDEX(SPLIT(IF(ISBLANK(R582), Q582, R582), "",""), 0, 1), "" Km"", """")) - O582 = 0,
      """",
      VALUE(SUBSTITUTE(INDEX(SPLIT(IF(ISBLANK("&amp;"R582), Q582, R582), "",""), 0, 1), "" Km"", """")) - O582
    )
  )
)"),-29300.0)</f>
        <v>-29300</v>
      </c>
      <c r="Q582" s="23" t="str">
        <f t="shared" si="4"/>
        <v>0 Km, 16.05.2025</v>
      </c>
      <c r="R582" s="20"/>
      <c r="S582" s="41" t="s">
        <v>600</v>
      </c>
      <c r="T582" s="13">
        <v>2.0</v>
      </c>
      <c r="U582" s="13" t="s">
        <v>1146</v>
      </c>
      <c r="V582" s="24"/>
      <c r="W582" s="24" t="str">
        <f t="shared" si="26"/>
        <v>Завершена</v>
      </c>
      <c r="X582" s="13" t="str">
        <f>IFERROR(__xludf.DUMMYFUNCTION("IF(C582 = """", """", IF(REGEXMATCH(C582, ""PCX|NMAX|ADV 150|CLICK""), ""скутер"", ""мото""))"),"мото")</f>
        <v>мото</v>
      </c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</row>
    <row r="583" hidden="1">
      <c r="A583" s="25" t="s">
        <v>24</v>
      </c>
      <c r="B583" s="25" t="s">
        <v>25</v>
      </c>
      <c r="C583" s="27" t="s">
        <v>98</v>
      </c>
      <c r="D583" s="27" t="s">
        <v>1147</v>
      </c>
      <c r="E583" s="43">
        <v>45802.0</v>
      </c>
      <c r="F583" s="39">
        <v>45809.625</v>
      </c>
      <c r="G583" s="30" t="str">
        <f t="shared" si="32"/>
        <v>7 Д</v>
      </c>
      <c r="H583" s="31">
        <f t="shared" si="35"/>
        <v>286</v>
      </c>
      <c r="I583" s="32" t="str">
        <f t="shared" si="2"/>
        <v/>
      </c>
      <c r="J583" s="33" t="str">
        <f t="shared" si="25"/>
        <v/>
      </c>
      <c r="K583" s="36">
        <v>2002.0</v>
      </c>
      <c r="L583" s="33"/>
      <c r="M583" s="36">
        <v>286.0</v>
      </c>
      <c r="N583" s="34"/>
      <c r="O583" s="35">
        <f>IFERROR(__xludf.DUMMYFUNCTION("IFERROR(
  VLOOKUP(C583,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C583
    ), 
    7, FALSE
  ), 
  """"
)
"),32200.0)</f>
        <v>32200</v>
      </c>
      <c r="P583" s="35">
        <f>IFERROR(__xludf.DUMMYFUNCTION("IF(AND(Q583="""", R583=""""),
  """",
  IF(OR(ISBLANK(Q583), ISBLANK(O583)),
    """",
    IF(VALUE(SUBSTITUTE(INDEX(SPLIT(IF(ISBLANK(R583), Q583, R583), "",""), 0, 1), "" Km"", """")) - O583 = 0,
      """",
      VALUE(SUBSTITUTE(INDEX(SPLIT(IF(ISBLANK("&amp;"R583), Q583, R583), "",""), 0, 1), "" Km"", """")) - O583
    )
  )
)"),-32200.0)</f>
        <v>-32200</v>
      </c>
      <c r="Q583" s="36" t="str">
        <f t="shared" si="4"/>
        <v>0 Km, 25.05.2025</v>
      </c>
      <c r="R583" s="33"/>
      <c r="S583" s="40">
        <v>3000.0</v>
      </c>
      <c r="T583" s="25">
        <v>2.0</v>
      </c>
      <c r="U583" s="25" t="s">
        <v>1148</v>
      </c>
      <c r="V583" s="37"/>
      <c r="W583" s="37" t="str">
        <f t="shared" si="26"/>
        <v>Завершена</v>
      </c>
      <c r="X583" s="25" t="str">
        <f>IFERROR(__xludf.DUMMYFUNCTION("IF(C583 = """", """", IF(REGEXMATCH(C583, ""PCX|NMAX|ADV 150|CLICK""), ""скутер"", ""мото""))"),"скутер")</f>
        <v>скутер</v>
      </c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</row>
    <row r="584" hidden="1">
      <c r="A584" s="13" t="s">
        <v>24</v>
      </c>
      <c r="B584" s="13" t="s">
        <v>25</v>
      </c>
      <c r="C584" s="14" t="s">
        <v>923</v>
      </c>
      <c r="D584" s="14" t="s">
        <v>1149</v>
      </c>
      <c r="E584" s="48">
        <v>45810.0</v>
      </c>
      <c r="F584" s="38">
        <v>45812.541666666664</v>
      </c>
      <c r="G584" s="17" t="str">
        <f t="shared" si="32"/>
        <v>2 Д</v>
      </c>
      <c r="H584" s="18">
        <f t="shared" si="35"/>
        <v>500</v>
      </c>
      <c r="I584" s="19" t="str">
        <f t="shared" si="2"/>
        <v/>
      </c>
      <c r="J584" s="20" t="str">
        <f t="shared" si="25"/>
        <v/>
      </c>
      <c r="K584" s="23">
        <v>1000.0</v>
      </c>
      <c r="L584" s="20"/>
      <c r="M584" s="23">
        <v>500.0</v>
      </c>
      <c r="N584" s="21"/>
      <c r="O584" s="22">
        <f>IFERROR(__xludf.DUMMYFUNCTION("IFERROR(
  VLOOKUP(C584,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C584
    ), 
    7, FALSE
  ), 
  """"
)
"),25378.0)</f>
        <v>25378</v>
      </c>
      <c r="P584" s="22">
        <f>IFERROR(__xludf.DUMMYFUNCTION("IF(AND(Q584="""", R584=""""),
  """",
  IF(OR(ISBLANK(Q584), ISBLANK(O584)),
    """",
    IF(VALUE(SUBSTITUTE(INDEX(SPLIT(IF(ISBLANK(R584), Q584, R584), "",""), 0, 1), "" Km"", """")) - O584 = 0,
      """",
      VALUE(SUBSTITUTE(INDEX(SPLIT(IF(ISBLANK("&amp;"R584), Q584, R584), "",""), 0, 1), "" Km"", """")) - O584
    )
  )
)"),-25378.0)</f>
        <v>-25378</v>
      </c>
      <c r="Q584" s="23" t="str">
        <f t="shared" si="4"/>
        <v>0 Km, 02.06.2025</v>
      </c>
      <c r="R584" s="20"/>
      <c r="S584" s="41">
        <v>5000.0</v>
      </c>
      <c r="T584" s="13">
        <v>1.0</v>
      </c>
      <c r="U584" s="13" t="s">
        <v>1150</v>
      </c>
      <c r="V584" s="24"/>
      <c r="W584" s="24" t="str">
        <f t="shared" si="26"/>
        <v>Завершена</v>
      </c>
      <c r="X584" s="13" t="str">
        <f>IFERROR(__xludf.DUMMYFUNCTION("IF(C584 = """", """", IF(REGEXMATCH(C584, ""PCX|NMAX|ADV 150|CLICK""), ""скутер"", ""мото""))"),"мото")</f>
        <v>мото</v>
      </c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</row>
    <row r="585" hidden="1">
      <c r="A585" s="25" t="s">
        <v>24</v>
      </c>
      <c r="B585" s="25" t="s">
        <v>25</v>
      </c>
      <c r="C585" s="27" t="s">
        <v>102</v>
      </c>
      <c r="D585" s="27" t="s">
        <v>1144</v>
      </c>
      <c r="E585" s="43">
        <v>45823.0</v>
      </c>
      <c r="F585" s="39">
        <v>45824.875</v>
      </c>
      <c r="G585" s="30" t="str">
        <f t="shared" si="32"/>
        <v>1 Д</v>
      </c>
      <c r="H585" s="31">
        <f t="shared" si="35"/>
        <v>1400</v>
      </c>
      <c r="I585" s="32" t="str">
        <f t="shared" si="2"/>
        <v/>
      </c>
      <c r="J585" s="33" t="str">
        <f t="shared" si="25"/>
        <v/>
      </c>
      <c r="K585" s="36">
        <v>1400.0</v>
      </c>
      <c r="L585" s="33"/>
      <c r="M585" s="36">
        <v>1400.0</v>
      </c>
      <c r="N585" s="34"/>
      <c r="O585" s="35">
        <f>IFERROR(__xludf.DUMMYFUNCTION("IFERROR(
  VLOOKUP(C585,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C585
    ), 
    7, FALSE
  ), 
  """"
)
"),63700.0)</f>
        <v>63700</v>
      </c>
      <c r="P585" s="35">
        <f>IFERROR(__xludf.DUMMYFUNCTION("IF(AND(Q585="""", R585=""""),
  """",
  IF(OR(ISBLANK(Q585), ISBLANK(O585)),
    """",
    IF(VALUE(SUBSTITUTE(INDEX(SPLIT(IF(ISBLANK(R585), Q585, R585), "",""), 0, 1), "" Km"", """")) - O585 = 0,
      """",
      VALUE(SUBSTITUTE(INDEX(SPLIT(IF(ISBLANK("&amp;"R585), Q585, R585), "",""), 0, 1), "" Km"", """")) - O585
    )
  )
)"),-63700.0)</f>
        <v>-63700</v>
      </c>
      <c r="Q585" s="36" t="str">
        <f t="shared" si="4"/>
        <v>0 Km, 15.06.2025</v>
      </c>
      <c r="R585" s="33"/>
      <c r="S585" s="40" t="s">
        <v>515</v>
      </c>
      <c r="T585" s="25">
        <v>1.0</v>
      </c>
      <c r="U585" s="25" t="s">
        <v>1151</v>
      </c>
      <c r="V585" s="37"/>
      <c r="W585" s="37" t="str">
        <f t="shared" si="26"/>
        <v>Завершена</v>
      </c>
      <c r="X585" s="25" t="str">
        <f>IFERROR(__xludf.DUMMYFUNCTION("IF(C585 = """", """", IF(REGEXMATCH(C585, ""PCX|NMAX|ADV 150|CLICK""), ""скутер"", ""мото""))"),"мото")</f>
        <v>мото</v>
      </c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</row>
    <row r="586" hidden="1">
      <c r="A586" s="13" t="s">
        <v>24</v>
      </c>
      <c r="B586" s="13" t="s">
        <v>25</v>
      </c>
      <c r="C586" s="14" t="s">
        <v>48</v>
      </c>
      <c r="D586" s="14" t="s">
        <v>1152</v>
      </c>
      <c r="E586" s="48">
        <v>45882.0</v>
      </c>
      <c r="F586" s="38">
        <v>45888.625</v>
      </c>
      <c r="G586" s="17" t="str">
        <f t="shared" si="32"/>
        <v>6 Д</v>
      </c>
      <c r="H586" s="18">
        <f t="shared" si="35"/>
        <v>300</v>
      </c>
      <c r="I586" s="19" t="str">
        <f t="shared" si="2"/>
        <v/>
      </c>
      <c r="J586" s="20" t="str">
        <f t="shared" si="25"/>
        <v/>
      </c>
      <c r="K586" s="23">
        <v>1800.0</v>
      </c>
      <c r="L586" s="20"/>
      <c r="M586" s="23">
        <v>300.0</v>
      </c>
      <c r="N586" s="21"/>
      <c r="O586" s="22">
        <f>IFERROR(__xludf.DUMMYFUNCTION("IFERROR(
  VLOOKUP(C586,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C586
    ), 
    7, FALSE
  ), 
  """"
)
"),35800.0)</f>
        <v>35800</v>
      </c>
      <c r="P586" s="22">
        <f>IFERROR(__xludf.DUMMYFUNCTION("IF(AND(Q586="""", R586=""""),
  """",
  IF(OR(ISBLANK(Q586), ISBLANK(O586)),
    """",
    IF(VALUE(SUBSTITUTE(INDEX(SPLIT(IF(ISBLANK(R586), Q586, R586), "",""), 0, 1), "" Km"", """")) - O586 = 0,
      """",
      VALUE(SUBSTITUTE(INDEX(SPLIT(IF(ISBLANK("&amp;"R586), Q586, R586), "",""), 0, 1), "" Km"", """")) - O586
    )
  )
)"),-35800.0)</f>
        <v>-35800</v>
      </c>
      <c r="Q586" s="23" t="str">
        <f t="shared" si="4"/>
        <v>0 Km, 13.08.2025</v>
      </c>
      <c r="R586" s="20"/>
      <c r="S586" s="41">
        <v>3000.0</v>
      </c>
      <c r="T586" s="13">
        <v>2.0</v>
      </c>
      <c r="U586" s="13" t="s">
        <v>1153</v>
      </c>
      <c r="V586" s="24"/>
      <c r="W586" s="24" t="str">
        <f t="shared" si="26"/>
        <v>Завершена</v>
      </c>
      <c r="X586" s="13" t="str">
        <f>IFERROR(__xludf.DUMMYFUNCTION("IF(C586 = """", """", IF(REGEXMATCH(C586, ""PCX|NMAX|ADV 150|CLICK""), ""скутер"", ""мото""))"),"скутер")</f>
        <v>скутер</v>
      </c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</row>
    <row r="587" hidden="1">
      <c r="A587" s="25" t="s">
        <v>24</v>
      </c>
      <c r="B587" s="25" t="s">
        <v>25</v>
      </c>
      <c r="C587" s="27" t="s">
        <v>173</v>
      </c>
      <c r="D587" s="27" t="s">
        <v>1154</v>
      </c>
      <c r="E587" s="43">
        <v>45882.0</v>
      </c>
      <c r="F587" s="39">
        <v>45885.75</v>
      </c>
      <c r="G587" s="30" t="str">
        <f t="shared" si="32"/>
        <v>3 Д</v>
      </c>
      <c r="H587" s="31">
        <f t="shared" si="35"/>
        <v>531</v>
      </c>
      <c r="I587" s="32" t="str">
        <f t="shared" si="2"/>
        <v/>
      </c>
      <c r="J587" s="33" t="str">
        <f t="shared" si="25"/>
        <v/>
      </c>
      <c r="K587" s="36">
        <v>1593.0</v>
      </c>
      <c r="L587" s="33"/>
      <c r="M587" s="36">
        <v>531.0</v>
      </c>
      <c r="N587" s="34"/>
      <c r="O587" s="35">
        <f>IFERROR(__xludf.DUMMYFUNCTION("IFERROR(
  VLOOKUP(C587,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C587
    ), 
    7, FALSE
  ), 
  """"
)
"),27000.0)</f>
        <v>27000</v>
      </c>
      <c r="P587" s="35">
        <f>IFERROR(__xludf.DUMMYFUNCTION("IF(AND(Q587="""", R587=""""),
  """",
  IF(OR(ISBLANK(Q587), ISBLANK(O587)),
    """",
    IF(VALUE(SUBSTITUTE(INDEX(SPLIT(IF(ISBLANK(R587), Q587, R587), "",""), 0, 1), "" Km"", """")) - O587 = 0,
      """",
      VALUE(SUBSTITUTE(INDEX(SPLIT(IF(ISBLANK("&amp;"R587), Q587, R587), "",""), 0, 1), "" Km"", """")) - O587
    )
  )
)"),-27000.0)</f>
        <v>-27000</v>
      </c>
      <c r="Q587" s="36" t="str">
        <f t="shared" si="4"/>
        <v>0 Km, 13.08.2025</v>
      </c>
      <c r="R587" s="33"/>
      <c r="S587" s="40" t="s">
        <v>985</v>
      </c>
      <c r="T587" s="25">
        <v>2.0</v>
      </c>
      <c r="U587" s="25" t="s">
        <v>1155</v>
      </c>
      <c r="V587" s="37"/>
      <c r="W587" s="37" t="str">
        <f t="shared" si="26"/>
        <v>Завершена</v>
      </c>
      <c r="X587" s="25" t="str">
        <f>IFERROR(__xludf.DUMMYFUNCTION("IF(C587 = """", """", IF(REGEXMATCH(C587, ""PCX|NMAX|ADV 150|CLICK""), ""скутер"", ""мото""))"),"мото")</f>
        <v>мото</v>
      </c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</row>
    <row r="588" hidden="1">
      <c r="A588" s="13" t="s">
        <v>24</v>
      </c>
      <c r="B588" s="13" t="s">
        <v>25</v>
      </c>
      <c r="C588" s="14" t="s">
        <v>102</v>
      </c>
      <c r="D588" s="14" t="s">
        <v>1144</v>
      </c>
      <c r="E588" s="48">
        <v>45889.0</v>
      </c>
      <c r="F588" s="38">
        <v>45890.708333333336</v>
      </c>
      <c r="G588" s="17" t="str">
        <f t="shared" si="32"/>
        <v>1 Д</v>
      </c>
      <c r="H588" s="18">
        <f t="shared" si="35"/>
        <v>1400</v>
      </c>
      <c r="I588" s="19" t="str">
        <f t="shared" si="2"/>
        <v/>
      </c>
      <c r="J588" s="20" t="str">
        <f t="shared" si="25"/>
        <v/>
      </c>
      <c r="K588" s="23">
        <v>1400.0</v>
      </c>
      <c r="L588" s="20"/>
      <c r="M588" s="23">
        <v>1400.0</v>
      </c>
      <c r="N588" s="21"/>
      <c r="O588" s="22">
        <f>IFERROR(__xludf.DUMMYFUNCTION("IFERROR(
  VLOOKUP(C588,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C588
    ), 
    7, FALSE
  ), 
  """"
)
"),63700.0)</f>
        <v>63700</v>
      </c>
      <c r="P588" s="22">
        <f>IFERROR(__xludf.DUMMYFUNCTION("IF(AND(Q588="""", R588=""""),
  """",
  IF(OR(ISBLANK(Q588), ISBLANK(O588)),
    """",
    IF(VALUE(SUBSTITUTE(INDEX(SPLIT(IF(ISBLANK(R588), Q588, R588), "",""), 0, 1), "" Km"", """")) - O588 = 0,
      """",
      VALUE(SUBSTITUTE(INDEX(SPLIT(IF(ISBLANK("&amp;"R588), Q588, R588), "",""), 0, 1), "" Km"", """")) - O588
    )
  )
)"),-63700.0)</f>
        <v>-63700</v>
      </c>
      <c r="Q588" s="23" t="str">
        <f t="shared" si="4"/>
        <v>0 Km, 20.08.2025</v>
      </c>
      <c r="R588" s="20"/>
      <c r="S588" s="41" t="s">
        <v>515</v>
      </c>
      <c r="T588" s="13">
        <v>2.0</v>
      </c>
      <c r="U588" s="13" t="s">
        <v>1151</v>
      </c>
      <c r="V588" s="24"/>
      <c r="W588" s="24" t="str">
        <f t="shared" si="26"/>
        <v>Завершена</v>
      </c>
      <c r="X588" s="13" t="str">
        <f>IFERROR(__xludf.DUMMYFUNCTION("IF(C588 = """", """", IF(REGEXMATCH(C588, ""PCX|NMAX|ADV 150|CLICK""), ""скутер"", ""мото""))"),"мото")</f>
        <v>мото</v>
      </c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</row>
    <row r="589" hidden="1">
      <c r="A589" s="25" t="s">
        <v>24</v>
      </c>
      <c r="B589" s="25" t="s">
        <v>25</v>
      </c>
      <c r="C589" s="27" t="s">
        <v>102</v>
      </c>
      <c r="D589" s="27" t="s">
        <v>1144</v>
      </c>
      <c r="E589" s="43">
        <v>45896.0</v>
      </c>
      <c r="F589" s="39">
        <v>45897.708333333336</v>
      </c>
      <c r="G589" s="30" t="str">
        <f t="shared" si="32"/>
        <v>1 Д</v>
      </c>
      <c r="H589" s="31">
        <f t="shared" si="35"/>
        <v>1400</v>
      </c>
      <c r="I589" s="32" t="str">
        <f t="shared" si="2"/>
        <v/>
      </c>
      <c r="J589" s="33" t="str">
        <f t="shared" si="25"/>
        <v/>
      </c>
      <c r="K589" s="36">
        <v>1400.0</v>
      </c>
      <c r="L589" s="33"/>
      <c r="M589" s="36">
        <v>1400.0</v>
      </c>
      <c r="N589" s="34"/>
      <c r="O589" s="35">
        <f>IFERROR(__xludf.DUMMYFUNCTION("IFERROR(
  VLOOKUP(C589,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C589
    ), 
    7, FALSE
  ), 
  """"
)
"),63700.0)</f>
        <v>63700</v>
      </c>
      <c r="P589" s="35">
        <f>IFERROR(__xludf.DUMMYFUNCTION("IF(AND(Q589="""", R589=""""),
  """",
  IF(OR(ISBLANK(Q589), ISBLANK(O589)),
    """",
    IF(VALUE(SUBSTITUTE(INDEX(SPLIT(IF(ISBLANK(R589), Q589, R589), "",""), 0, 1), "" Km"", """")) - O589 = 0,
      """",
      VALUE(SUBSTITUTE(INDEX(SPLIT(IF(ISBLANK("&amp;"R589), Q589, R589), "",""), 0, 1), "" Km"", """")) - O589
    )
  )
)"),-63700.0)</f>
        <v>-63700</v>
      </c>
      <c r="Q589" s="36" t="str">
        <f t="shared" si="4"/>
        <v>0 Km, 27.08.2025</v>
      </c>
      <c r="R589" s="33"/>
      <c r="S589" s="40" t="s">
        <v>515</v>
      </c>
      <c r="T589" s="25">
        <v>2.0</v>
      </c>
      <c r="U589" s="25" t="s">
        <v>1151</v>
      </c>
      <c r="V589" s="37"/>
      <c r="W589" s="37" t="str">
        <f t="shared" si="26"/>
        <v>Завершена</v>
      </c>
      <c r="X589" s="25" t="str">
        <f>IFERROR(__xludf.DUMMYFUNCTION("IF(C589 = """", """", IF(REGEXMATCH(C589, ""PCX|NMAX|ADV 150|CLICK""), ""скутер"", ""мото""))"),"мото")</f>
        <v>мото</v>
      </c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</row>
    <row r="590" hidden="1">
      <c r="A590" s="87" t="s">
        <v>24</v>
      </c>
      <c r="B590" s="88" t="s">
        <v>25</v>
      </c>
      <c r="C590" s="88" t="s">
        <v>102</v>
      </c>
      <c r="D590" s="103" t="s">
        <v>319</v>
      </c>
      <c r="E590" s="48">
        <v>45897.0</v>
      </c>
      <c r="F590" s="38">
        <v>45900.708333333336</v>
      </c>
      <c r="G590" s="89" t="str">
        <f>IF((E590="")+(F590=""), "", IF(DATEDIF(E590, F590, "d") &gt; 30, DATEDIF(E590, F590, "m") &amp; " М", DATEDIF(E590, F590, "d") &amp; " Д"))
</f>
        <v>3 Д</v>
      </c>
      <c r="H590" s="90">
        <v>333.0</v>
      </c>
      <c r="I590" s="91" t="str">
        <f t="shared" si="2"/>
        <v/>
      </c>
      <c r="J590" s="92" t="str">
        <f t="shared" si="25"/>
        <v/>
      </c>
      <c r="K590" s="93">
        <v>3000.0</v>
      </c>
      <c r="L590" s="97"/>
      <c r="M590" s="63">
        <v>1000.0</v>
      </c>
      <c r="N590" s="126">
        <v>17600.0</v>
      </c>
      <c r="O590" s="96">
        <f>IFERROR(__xludf.DUMMYFUNCTION("IFERROR(
  VLOOKUP(C590,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C590
    ), 
    7, FALSE
  ), 
  """"
)
"),63700.0)</f>
        <v>63700</v>
      </c>
      <c r="P590" s="96">
        <f>IFERROR(__xludf.DUMMYFUNCTION("IF(OR(ISBLANK(Q590), ISBLANK(O590), VALUE(SUBSTITUTE(INDEX(SPLIT(IF(ISBLANK(R590), Q590, R590), "" km""), 0, 1), "" "", """")) - O590 = 0), """", IF(ISBLANK(R590), VALUE(SUBSTITUTE(INDEX(SPLIT(Q590, "" km""), 0, 1), "" "", """")) - O590, VALUE(SUBSTITUTE("&amp;"INDEX(SPLIT(R590, "" km""), 0, 1), "" "", """")) - O590))"),-46100.0)</f>
        <v>-46100</v>
      </c>
      <c r="Q590" s="94" t="str">
        <f t="shared" si="4"/>
        <v>17 600 Km, 28.08.2025</v>
      </c>
      <c r="R590" s="97"/>
      <c r="S590" s="90">
        <v>5000.0</v>
      </c>
      <c r="T590" s="127">
        <v>2.0</v>
      </c>
      <c r="U590" s="98" t="s">
        <v>0</v>
      </c>
      <c r="V590" s="98" t="s">
        <v>320</v>
      </c>
      <c r="W590" s="98" t="str">
        <f t="shared" si="26"/>
        <v>Завершена</v>
      </c>
      <c r="X590" s="100" t="str">
        <f>IFERROR(__xludf.DUMMYFUNCTION("IF(C590 = """", """", IF(REGEXMATCH(C590, ""PCX|NMAX|ADV|CLICK""), ""скутер"", ""мото""))"),"мото")</f>
        <v>мото</v>
      </c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  <c r="AM590" s="101"/>
    </row>
    <row r="591" hidden="1">
      <c r="A591" s="25" t="s">
        <v>24</v>
      </c>
      <c r="B591" s="25" t="s">
        <v>25</v>
      </c>
      <c r="C591" s="27" t="s">
        <v>914</v>
      </c>
      <c r="D591" s="27" t="s">
        <v>1156</v>
      </c>
      <c r="E591" s="43">
        <v>45919.0</v>
      </c>
      <c r="F591" s="39">
        <v>45922.625</v>
      </c>
      <c r="G591" s="30" t="str">
        <f t="shared" ref="G591:G707" si="36">IF((E591="")+(F591=""), "",DATEDIF(E591, F591, "d") &amp; " Д")
</f>
        <v>3 Д</v>
      </c>
      <c r="H591" s="31">
        <f t="shared" ref="H591:H598" si="37">IF(L591&lt;&gt;"", VALUE(L591)/30, IF(M591&lt;&gt;"", VALUE(M591)/1, ""))
</f>
        <v>1700</v>
      </c>
      <c r="I591" s="32" t="str">
        <f t="shared" si="2"/>
        <v/>
      </c>
      <c r="J591" s="33" t="str">
        <f t="shared" si="25"/>
        <v/>
      </c>
      <c r="K591" s="36">
        <f>1700*3</f>
        <v>5100</v>
      </c>
      <c r="L591" s="33"/>
      <c r="M591" s="36">
        <v>1700.0</v>
      </c>
      <c r="N591" s="34"/>
      <c r="O591" s="35">
        <f>IFERROR(__xludf.DUMMYFUNCTION("IFERROR(
  VLOOKUP(C591,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C591
    ), 
    7, FALSE
  ), 
  """"
)
"),17900.0)</f>
        <v>17900</v>
      </c>
      <c r="P591" s="35">
        <f>IFERROR(__xludf.DUMMYFUNCTION("IF(AND(Q591="""", R591=""""),
  """",
  IF(OR(ISBLANK(Q591), ISBLANK(O591)),
    """",
    IF(VALUE(SUBSTITUTE(INDEX(SPLIT(IF(ISBLANK(R591), Q591, R591), "",""), 0, 1), "" Km"", """")) - O591 = 0,
      """",
      VALUE(SUBSTITUTE(INDEX(SPLIT(IF(ISBLANK("&amp;"R591), Q591, R591), "",""), 0, 1), "" Km"", """")) - O591
    )
  )
)"),-17900.0)</f>
        <v>-17900</v>
      </c>
      <c r="Q591" s="36" t="str">
        <f t="shared" si="4"/>
        <v>0 Km, 19.09.2025</v>
      </c>
      <c r="R591" s="33"/>
      <c r="S591" s="40">
        <v>0.0</v>
      </c>
      <c r="T591" s="25">
        <v>1.0</v>
      </c>
      <c r="U591" s="25" t="s">
        <v>516</v>
      </c>
      <c r="V591" s="37"/>
      <c r="W591" s="37" t="str">
        <f t="shared" si="26"/>
        <v>Завершена</v>
      </c>
      <c r="X591" s="25" t="str">
        <f>IFERROR(__xludf.DUMMYFUNCTION("IF(C591 = """", """", IF(REGEXMATCH(C591, ""PCX|NMAX|ADV 150|CLICK""), ""скутер"", ""мото""))"),"мото")</f>
        <v>мото</v>
      </c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</row>
    <row r="592" hidden="1">
      <c r="A592" s="128" t="s">
        <v>24</v>
      </c>
      <c r="B592" s="129" t="s">
        <v>25</v>
      </c>
      <c r="C592" s="129" t="s">
        <v>44</v>
      </c>
      <c r="D592" s="129" t="s">
        <v>1157</v>
      </c>
      <c r="E592" s="48">
        <v>45905.0</v>
      </c>
      <c r="F592" s="130">
        <v>45910.458333333336</v>
      </c>
      <c r="G592" s="131" t="str">
        <f t="shared" si="36"/>
        <v>5 Д</v>
      </c>
      <c r="H592" s="132">
        <f t="shared" si="37"/>
        <v>300</v>
      </c>
      <c r="I592" s="133" t="str">
        <f t="shared" si="2"/>
        <v/>
      </c>
      <c r="J592" s="92" t="str">
        <f t="shared" si="25"/>
        <v/>
      </c>
      <c r="K592" s="134">
        <v>1500.0</v>
      </c>
      <c r="L592" s="135"/>
      <c r="M592" s="136">
        <v>300.0</v>
      </c>
      <c r="N592" s="137"/>
      <c r="O592" s="138">
        <f>IFERROR(__xludf.DUMMYFUNCTION("IFERROR(
  VLOOKUP(C592,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C592
    ), 
    7, FALSE
  ), 
  """"
)
"),30800.0)</f>
        <v>30800</v>
      </c>
      <c r="P592" s="138">
        <f>IFERROR(__xludf.DUMMYFUNCTION("IF(AND(Q592="""", R592=""""),
  """",
  IF(OR(ISBLANK(Q592), ISBLANK(O592)),
    """",
    IF(VALUE(SUBSTITUTE(INDEX(SPLIT(IF(ISBLANK(R592), Q592, R592), "",""), 0, 1), "" Km"", """")) - O592 = 0,
      """",
      VALUE(SUBSTITUTE(INDEX(SPLIT(IF(ISBLANK("&amp;"R592), Q592, R592), "",""), 0, 1), "" Km"", """")) - O592
    )
  )
)"),-30800.0)</f>
        <v>-30800</v>
      </c>
      <c r="Q592" s="135" t="str">
        <f t="shared" si="4"/>
        <v>0 Km, 05.09.2025</v>
      </c>
      <c r="R592" s="139"/>
      <c r="S592" s="132">
        <v>13000.0</v>
      </c>
      <c r="T592" s="140">
        <v>2.0</v>
      </c>
      <c r="U592" s="140" t="s">
        <v>918</v>
      </c>
      <c r="V592" s="141"/>
      <c r="W592" s="140" t="str">
        <f t="shared" si="26"/>
        <v>Завершена</v>
      </c>
      <c r="X592" s="142" t="str">
        <f>IFERROR(__xludf.DUMMYFUNCTION("IF(C592 = """", """", IF(REGEXMATCH(C592, ""PCX|NMAX|ADV 150|CLICK""), ""скутер"", ""мото""))"),"скутер")</f>
        <v>скутер</v>
      </c>
      <c r="Y592" s="143"/>
      <c r="Z592" s="143"/>
      <c r="AA592" s="143"/>
      <c r="AB592" s="143"/>
      <c r="AC592" s="143"/>
      <c r="AD592" s="143"/>
      <c r="AE592" s="143"/>
      <c r="AF592" s="143"/>
      <c r="AG592" s="143"/>
      <c r="AH592" s="143"/>
      <c r="AI592" s="143"/>
      <c r="AJ592" s="143"/>
      <c r="AK592" s="143"/>
      <c r="AL592" s="143"/>
      <c r="AM592" s="143"/>
    </row>
    <row r="593" hidden="1">
      <c r="A593" s="25" t="s">
        <v>24</v>
      </c>
      <c r="B593" s="25" t="s">
        <v>25</v>
      </c>
      <c r="C593" s="27" t="s">
        <v>102</v>
      </c>
      <c r="D593" s="27" t="s">
        <v>1144</v>
      </c>
      <c r="E593" s="43">
        <v>45912.0</v>
      </c>
      <c r="F593" s="39">
        <v>45913.625</v>
      </c>
      <c r="G593" s="30" t="str">
        <f t="shared" si="36"/>
        <v>1 Д</v>
      </c>
      <c r="H593" s="31">
        <f t="shared" si="37"/>
        <v>1400</v>
      </c>
      <c r="I593" s="32" t="str">
        <f t="shared" si="2"/>
        <v/>
      </c>
      <c r="J593" s="33" t="str">
        <f t="shared" si="25"/>
        <v/>
      </c>
      <c r="K593" s="36">
        <v>1400.0</v>
      </c>
      <c r="L593" s="33"/>
      <c r="M593" s="36">
        <v>1400.0</v>
      </c>
      <c r="N593" s="44">
        <v>55000.0</v>
      </c>
      <c r="O593" s="35">
        <f>IFERROR(__xludf.DUMMYFUNCTION("IFERROR(
  VLOOKUP(C593,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C593
    ), 
    7, FALSE
  ), 
  """"
)
"),63700.0)</f>
        <v>63700</v>
      </c>
      <c r="P593" s="35">
        <f>IFERROR(__xludf.DUMMYFUNCTION("IF(AND(Q593="""", R593=""""),
  """",
  IF(OR(ISBLANK(Q593), ISBLANK(O593)),
    """",
    IF(VALUE(SUBSTITUTE(INDEX(SPLIT(IF(ISBLANK(R593), Q593, R593), "",""), 0, 1), "" Km"", """")) - O593 = 0,
      """",
      VALUE(SUBSTITUTE(INDEX(SPLIT(IF(ISBLANK("&amp;"R593), Q593, R593), "",""), 0, 1), "" Km"", """")) - O593
    )
  )
)"),-8700.0)</f>
        <v>-8700</v>
      </c>
      <c r="Q593" s="36" t="str">
        <f t="shared" si="4"/>
        <v>55 000 Km, 12.09.2025</v>
      </c>
      <c r="R593" s="33"/>
      <c r="S593" s="40" t="s">
        <v>515</v>
      </c>
      <c r="T593" s="25">
        <v>1.0</v>
      </c>
      <c r="U593" s="25" t="s">
        <v>1151</v>
      </c>
      <c r="V593" s="37"/>
      <c r="W593" s="37" t="str">
        <f t="shared" si="26"/>
        <v>Завершена</v>
      </c>
      <c r="X593" s="25" t="str">
        <f>IFERROR(__xludf.DUMMYFUNCTION("IF(C593 = """", """", IF(REGEXMATCH(C593, ""PCX|NMAX|ADV 150|CLICK""), ""скутер"", ""мото""))"),"мото")</f>
        <v>мото</v>
      </c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</row>
    <row r="594" hidden="1">
      <c r="A594" s="13" t="s">
        <v>24</v>
      </c>
      <c r="B594" s="13" t="s">
        <v>25</v>
      </c>
      <c r="C594" s="14" t="s">
        <v>914</v>
      </c>
      <c r="D594" s="14" t="s">
        <v>1158</v>
      </c>
      <c r="E594" s="48">
        <v>45925.0</v>
      </c>
      <c r="F594" s="38">
        <v>45928.791666666664</v>
      </c>
      <c r="G594" s="17" t="str">
        <f t="shared" si="36"/>
        <v>3 Д</v>
      </c>
      <c r="H594" s="18">
        <f t="shared" si="37"/>
        <v>1700</v>
      </c>
      <c r="I594" s="19" t="str">
        <f t="shared" si="2"/>
        <v/>
      </c>
      <c r="J594" s="20" t="str">
        <f t="shared" si="25"/>
        <v/>
      </c>
      <c r="K594" s="23">
        <v>5100.0</v>
      </c>
      <c r="L594" s="20"/>
      <c r="M594" s="23">
        <v>1700.0</v>
      </c>
      <c r="N594" s="21"/>
      <c r="O594" s="22">
        <f>IFERROR(__xludf.DUMMYFUNCTION("IFERROR(
  VLOOKUP(C594,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C594
    ), 
    7, FALSE
  ), 
  """"
)
"),17900.0)</f>
        <v>17900</v>
      </c>
      <c r="P594" s="22">
        <f>IFERROR(__xludf.DUMMYFUNCTION("IF(AND(Q594="""", R594=""""),
  """",
  IF(OR(ISBLANK(Q594), ISBLANK(O594)),
    """",
    IF(VALUE(SUBSTITUTE(INDEX(SPLIT(IF(ISBLANK(R594), Q594, R594), "",""), 0, 1), "" Km"", """")) - O594 = 0,
      """",
      VALUE(SUBSTITUTE(INDEX(SPLIT(IF(ISBLANK("&amp;"R594), Q594, R594), "",""), 0, 1), "" Km"", """")) - O594
    )
  )
)"),-17900.0)</f>
        <v>-17900</v>
      </c>
      <c r="Q594" s="23" t="str">
        <f t="shared" si="4"/>
        <v>0 Km, 25.09.2025</v>
      </c>
      <c r="R594" s="20"/>
      <c r="S594" s="41">
        <v>20000.0</v>
      </c>
      <c r="T594" s="13">
        <v>2.0</v>
      </c>
      <c r="U594" s="13" t="s">
        <v>940</v>
      </c>
      <c r="V594" s="24"/>
      <c r="W594" s="24" t="str">
        <f t="shared" si="26"/>
        <v>Завершена</v>
      </c>
      <c r="X594" s="13" t="str">
        <f>IFERROR(__xludf.DUMMYFUNCTION("IF(C594 = """", """", IF(REGEXMATCH(C594, ""PCX|NMAX|ADV 150|CLICK""), ""скутер"", ""мото""))"),"мото")</f>
        <v>мото</v>
      </c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</row>
    <row r="595" hidden="1">
      <c r="A595" s="25" t="s">
        <v>24</v>
      </c>
      <c r="B595" s="25" t="s">
        <v>25</v>
      </c>
      <c r="C595" s="27" t="s">
        <v>202</v>
      </c>
      <c r="D595" s="27" t="s">
        <v>1159</v>
      </c>
      <c r="E595" s="43">
        <v>46047.0</v>
      </c>
      <c r="F595" s="39">
        <v>46058.625</v>
      </c>
      <c r="G595" s="30" t="str">
        <f t="shared" si="36"/>
        <v>11 Д</v>
      </c>
      <c r="H595" s="31">
        <f t="shared" si="37"/>
        <v>637</v>
      </c>
      <c r="I595" s="32" t="str">
        <f t="shared" si="2"/>
        <v/>
      </c>
      <c r="J595" s="33" t="str">
        <f t="shared" si="25"/>
        <v/>
      </c>
      <c r="K595" s="36">
        <v>7007.0</v>
      </c>
      <c r="L595" s="33"/>
      <c r="M595" s="36">
        <v>637.0</v>
      </c>
      <c r="N595" s="44">
        <v>27741.0</v>
      </c>
      <c r="O595" s="35">
        <f>IFERROR(__xludf.DUMMYFUNCTION("IFERROR(
  VLOOKUP(C595,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C595
    ), 
    7, FALSE
  ), 
  """"
)
"),30225.0)</f>
        <v>30225</v>
      </c>
      <c r="P595" s="35">
        <f>IFERROR(__xludf.DUMMYFUNCTION("IF(AND(Q595="""", R595=""""),
  """",
  IF(OR(ISBLANK(Q595), ISBLANK(O595)),
    """",
    IF(VALUE(SUBSTITUTE(INDEX(SPLIT(IF(ISBLANK(R595), Q595, R595), "",""), 0, 1), "" Km"", """")) - O595 = 0,
      """",
      VALUE(SUBSTITUTE(INDEX(SPLIT(IF(ISBLANK("&amp;"R595), Q595, R595), "",""), 0, 1), "" Km"", """")) - O595
    )
  )
)"),-2484.0)</f>
        <v>-2484</v>
      </c>
      <c r="Q595" s="36" t="str">
        <f t="shared" si="4"/>
        <v>27 741 Km, 25.01.2026</v>
      </c>
      <c r="R595" s="33"/>
      <c r="S595" s="40">
        <v>5000.0</v>
      </c>
      <c r="T595" s="25">
        <v>2.0</v>
      </c>
      <c r="U595" s="25" t="s">
        <v>1160</v>
      </c>
      <c r="V595" s="37"/>
      <c r="W595" s="37" t="str">
        <f t="shared" si="26"/>
        <v>Завершена</v>
      </c>
      <c r="X595" s="25" t="str">
        <f>IFERROR(__xludf.DUMMYFUNCTION("IF(C595 = """", """", IF(REGEXMATCH(C595, ""PCX|NMAX|ADV 150|CLICK""), ""скутер"", ""мото""))"),"мото")</f>
        <v>мото</v>
      </c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</row>
    <row r="596" hidden="1">
      <c r="A596" s="13" t="s">
        <v>24</v>
      </c>
      <c r="B596" s="13" t="s">
        <v>25</v>
      </c>
      <c r="C596" s="14" t="s">
        <v>56</v>
      </c>
      <c r="D596" s="14" t="s">
        <v>1161</v>
      </c>
      <c r="E596" s="48">
        <v>46051.0</v>
      </c>
      <c r="F596" s="38">
        <v>46058.666666666664</v>
      </c>
      <c r="G596" s="17" t="str">
        <f t="shared" si="36"/>
        <v>7 Д</v>
      </c>
      <c r="H596" s="18">
        <f t="shared" si="37"/>
        <v>464</v>
      </c>
      <c r="I596" s="19" t="str">
        <f t="shared" si="2"/>
        <v/>
      </c>
      <c r="J596" s="20" t="str">
        <f t="shared" si="25"/>
        <v/>
      </c>
      <c r="K596" s="23">
        <v>3248.0</v>
      </c>
      <c r="L596" s="20"/>
      <c r="M596" s="23">
        <v>464.0</v>
      </c>
      <c r="N596" s="49">
        <v>39124.0</v>
      </c>
      <c r="O596" s="22">
        <f>IFERROR(__xludf.DUMMYFUNCTION("IFERROR(
  VLOOKUP(C596,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C596
    ), 
    7, FALSE
  ), 
  """"
)
"),36400.0)</f>
        <v>36400</v>
      </c>
      <c r="P596" s="22">
        <f>IFERROR(__xludf.DUMMYFUNCTION("IF(AND(Q596="""", R596=""""),
  """",
  IF(OR(ISBLANK(Q596), ISBLANK(O596)),
    """",
    IF(VALUE(SUBSTITUTE(INDEX(SPLIT(IF(ISBLANK(R596), Q596, R596), "",""), 0, 1), "" Km"", """")) - O596 = 0,
      """",
      VALUE(SUBSTITUTE(INDEX(SPLIT(IF(ISBLANK("&amp;"R596), Q596, R596), "",""), 0, 1), "" Km"", """")) - O596
    )
  )
)"),2724.0)</f>
        <v>2724</v>
      </c>
      <c r="Q596" s="23" t="str">
        <f t="shared" si="4"/>
        <v>39 124 Km, 29.01.2026</v>
      </c>
      <c r="R596" s="20"/>
      <c r="S596" s="41" t="s">
        <v>1162</v>
      </c>
      <c r="T596" s="13">
        <v>3.0</v>
      </c>
      <c r="U596" s="13" t="s">
        <v>1163</v>
      </c>
      <c r="V596" s="24"/>
      <c r="W596" s="24" t="str">
        <f t="shared" si="26"/>
        <v>Завершена</v>
      </c>
      <c r="X596" s="13" t="str">
        <f>IFERROR(__xludf.DUMMYFUNCTION("IF(C596 = """", """", IF(REGEXMATCH(C596, ""PCX|NMAX|ADV 150|CLICK""), ""скутер"", ""мото""))"),"скутер")</f>
        <v>скутер</v>
      </c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</row>
    <row r="597" hidden="1">
      <c r="A597" s="25" t="s">
        <v>24</v>
      </c>
      <c r="B597" s="25" t="s">
        <v>25</v>
      </c>
      <c r="C597" s="27" t="s">
        <v>77</v>
      </c>
      <c r="D597" s="27" t="s">
        <v>1164</v>
      </c>
      <c r="E597" s="43">
        <v>46054.0</v>
      </c>
      <c r="F597" s="39">
        <v>46061.458333333336</v>
      </c>
      <c r="G597" s="30" t="str">
        <f t="shared" si="36"/>
        <v>7 Д</v>
      </c>
      <c r="H597" s="31">
        <f t="shared" si="37"/>
        <v>464</v>
      </c>
      <c r="I597" s="32" t="str">
        <f t="shared" si="2"/>
        <v/>
      </c>
      <c r="J597" s="33" t="str">
        <f t="shared" si="25"/>
        <v/>
      </c>
      <c r="K597" s="36">
        <v>3248.0</v>
      </c>
      <c r="L597" s="33"/>
      <c r="M597" s="36">
        <v>464.0</v>
      </c>
      <c r="N597" s="34"/>
      <c r="O597" s="35">
        <f>IFERROR(__xludf.DUMMYFUNCTION("IFERROR(
  VLOOKUP(C597,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C597
    ), 
    7, FALSE
  ), 
  """"
)
"),37300.0)</f>
        <v>37300</v>
      </c>
      <c r="P597" s="35">
        <f>IFERROR(__xludf.DUMMYFUNCTION("IF(AND(Q597="""", R597=""""),
  """",
  IF(OR(ISBLANK(Q597), ISBLANK(O597)),
    """",
    IF(VALUE(SUBSTITUTE(INDEX(SPLIT(IF(ISBLANK(R597), Q597, R597), "",""), 0, 1), "" Km"", """")) - O597 = 0,
      """",
      VALUE(SUBSTITUTE(INDEX(SPLIT(IF(ISBLANK("&amp;"R597), Q597, R597), "",""), 0, 1), "" Km"", """")) - O597
    )
  )
)"),-37300.0)</f>
        <v>-37300</v>
      </c>
      <c r="Q597" s="36" t="str">
        <f t="shared" si="4"/>
        <v>0 Km, 01.02.2026</v>
      </c>
      <c r="R597" s="33"/>
      <c r="S597" s="40">
        <v>3000.0</v>
      </c>
      <c r="T597" s="25">
        <v>0.0</v>
      </c>
      <c r="U597" s="25" t="s">
        <v>1165</v>
      </c>
      <c r="V597" s="37"/>
      <c r="W597" s="37" t="str">
        <f t="shared" si="26"/>
        <v>Завершена</v>
      </c>
      <c r="X597" s="25" t="str">
        <f>IFERROR(__xludf.DUMMYFUNCTION("IF(C597 = """", """", IF(REGEXMATCH(C597, ""PCX|NMAX|ADV 150|CLICK""), ""скутер"", ""мото""))"),"скутер")</f>
        <v>скутер</v>
      </c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</row>
    <row r="598" hidden="1">
      <c r="A598" s="13" t="s">
        <v>24</v>
      </c>
      <c r="B598" s="13" t="s">
        <v>25</v>
      </c>
      <c r="C598" s="14" t="s">
        <v>967</v>
      </c>
      <c r="D598" s="14" t="s">
        <v>1166</v>
      </c>
      <c r="E598" s="48">
        <v>46042.0</v>
      </c>
      <c r="F598" s="38">
        <v>46060.833333333336</v>
      </c>
      <c r="G598" s="17" t="str">
        <f t="shared" si="36"/>
        <v>18 Д</v>
      </c>
      <c r="H598" s="18">
        <f t="shared" si="37"/>
        <v>2791</v>
      </c>
      <c r="I598" s="19" t="str">
        <f t="shared" si="2"/>
        <v/>
      </c>
      <c r="J598" s="20" t="str">
        <f t="shared" si="25"/>
        <v/>
      </c>
      <c r="K598" s="23">
        <f>27910+2650*8</f>
        <v>49110</v>
      </c>
      <c r="L598" s="20"/>
      <c r="M598" s="23">
        <v>2791.0</v>
      </c>
      <c r="N598" s="49">
        <v>22500.0</v>
      </c>
      <c r="O598" s="22">
        <f>IFERROR(__xludf.DUMMYFUNCTION("IFERROR(
  VLOOKUP(C598,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C598
    ), 
    7, FALSE
  ), 
  """"
)
"),24800.0)</f>
        <v>24800</v>
      </c>
      <c r="P598" s="22">
        <f>IFERROR(__xludf.DUMMYFUNCTION("IF(AND(Q598="""", R598=""""),
  """",
  IF(OR(ISBLANK(Q598), ISBLANK(O598)),
    """",
    IF(VALUE(SUBSTITUTE(INDEX(SPLIT(IF(ISBLANK(R598), Q598, R598), "",""), 0, 1), "" Km"", """")) - O598 = 0,
      """",
      VALUE(SUBSTITUTE(INDEX(SPLIT(IF(ISBLANK("&amp;"R598), Q598, R598), "",""), 0, 1), "" Km"", """")) - O598
    )
  )
)"),-2300.0)</f>
        <v>-2300</v>
      </c>
      <c r="Q598" s="23" t="str">
        <f t="shared" si="4"/>
        <v>22 500 Km, 20.01.2026</v>
      </c>
      <c r="R598" s="20"/>
      <c r="S598" s="41">
        <v>30000.0</v>
      </c>
      <c r="T598" s="13">
        <v>2.0</v>
      </c>
      <c r="U598" s="13" t="s">
        <v>1167</v>
      </c>
      <c r="V598" s="24"/>
      <c r="W598" s="24" t="str">
        <f t="shared" si="26"/>
        <v>Завершена</v>
      </c>
      <c r="X598" s="13" t="str">
        <f>IFERROR(__xludf.DUMMYFUNCTION("IF(C598 = """", """", IF(REGEXMATCH(C598, ""PCX|NMAX|ADV 150|CLICK""), ""скутер"", ""мото""))"),"мото")</f>
        <v>мото</v>
      </c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</row>
    <row r="599" hidden="1">
      <c r="A599" s="25" t="s">
        <v>24</v>
      </c>
      <c r="B599" s="27" t="s">
        <v>25</v>
      </c>
      <c r="C599" s="27" t="s">
        <v>979</v>
      </c>
      <c r="D599" s="82" t="s">
        <v>89</v>
      </c>
      <c r="E599" s="43">
        <v>46032.0</v>
      </c>
      <c r="F599" s="39">
        <v>46061.458333333336</v>
      </c>
      <c r="G599" s="30" t="str">
        <f t="shared" si="36"/>
        <v>29 Д</v>
      </c>
      <c r="H599" s="31">
        <f>IF(L599&lt;&gt;"", VALUE(L599)/31, IF(M599&lt;&gt;"", VALUE(M599)/1, ""))
</f>
        <v>451.6129032</v>
      </c>
      <c r="I599" s="74" t="str">
        <f t="shared" si="2"/>
        <v/>
      </c>
      <c r="J599" s="67" t="str">
        <f t="shared" si="25"/>
        <v/>
      </c>
      <c r="K599" s="36">
        <v>14000.0</v>
      </c>
      <c r="L599" s="108">
        <v>14000.0</v>
      </c>
      <c r="M599" s="67"/>
      <c r="N599" s="44">
        <v>16500.0</v>
      </c>
      <c r="O599" s="35">
        <f>IFERROR(__xludf.DUMMYFUNCTION("IFERROR(
  VLOOKUP(C599,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C599
    ), 
    7, FALSE
  ), 
  """"
)
"),6800.0)</f>
        <v>6800</v>
      </c>
      <c r="P599" s="35">
        <f>IFERROR(__xludf.DUMMYFUNCTION("IF(AND(Q599="""", R599=""""),
  """",
  IF(OR(ISBLANK(Q599), ISBLANK(O599)),
    """",
    IF(VALUE(SUBSTITUTE(INDEX(SPLIT(IF(ISBLANK(R599), Q599, R599), "",""), 0, 1), "" Km"", """")) - O599 = 0,
      """",
      VALUE(SUBSTITUTE(INDEX(SPLIT(IF(ISBLANK("&amp;"R599), Q599, R599), "",""), 0, 1), "" Km"", """")) - O599
    )
  )
)"),9700.0)</f>
        <v>9700</v>
      </c>
      <c r="Q599" s="33" t="str">
        <f t="shared" si="4"/>
        <v>16 500 Km, 10.01.2026</v>
      </c>
      <c r="R599" s="33"/>
      <c r="S599" s="40">
        <v>0.0</v>
      </c>
      <c r="T599" s="32">
        <v>1.0</v>
      </c>
      <c r="U599" s="37" t="s">
        <v>90</v>
      </c>
      <c r="V599" s="75"/>
      <c r="W599" s="37" t="str">
        <f t="shared" si="26"/>
        <v>Завершена</v>
      </c>
      <c r="X599" s="46" t="str">
        <f>IFERROR(__xludf.DUMMYFUNCTION("IF(C599 = """", """", IF(REGEXMATCH(C599, ""PCX|NMAX|ADV 150|CLICK""), ""скутер"", ""мото""))"),"мото")</f>
        <v>мото</v>
      </c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</row>
    <row r="600" hidden="1">
      <c r="A600" s="13" t="s">
        <v>24</v>
      </c>
      <c r="B600" s="13" t="s">
        <v>25</v>
      </c>
      <c r="C600" s="14" t="s">
        <v>974</v>
      </c>
      <c r="D600" s="14" t="s">
        <v>1168</v>
      </c>
      <c r="E600" s="48">
        <v>46051.0</v>
      </c>
      <c r="F600" s="38">
        <v>46061.75</v>
      </c>
      <c r="G600" s="17" t="str">
        <f t="shared" si="36"/>
        <v>10 Д</v>
      </c>
      <c r="H600" s="18">
        <f t="shared" ref="H600:H749" si="38">IF(L600&lt;&gt;"", VALUE(L600)/30, IF(M600&lt;&gt;"", VALUE(M600)/1, ""))
</f>
        <v>940</v>
      </c>
      <c r="I600" s="19" t="str">
        <f t="shared" si="2"/>
        <v/>
      </c>
      <c r="J600" s="20" t="str">
        <f t="shared" si="25"/>
        <v/>
      </c>
      <c r="K600" s="23">
        <v>10300.0</v>
      </c>
      <c r="L600" s="20"/>
      <c r="M600" s="23">
        <v>940.0</v>
      </c>
      <c r="N600" s="49">
        <v>11400.0</v>
      </c>
      <c r="O600" s="22">
        <f>IFERROR(__xludf.DUMMYFUNCTION("IFERROR(
  VLOOKUP(C600,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C600
    ), 
    7, FALSE
  ), 
  """"
)
"),11800.0)</f>
        <v>11800</v>
      </c>
      <c r="P600" s="22">
        <f>IFERROR(__xludf.DUMMYFUNCTION("IF(AND(Q600="""", R600=""""),
  """",
  IF(OR(ISBLANK(Q600), ISBLANK(O600)),
    """",
    IF(VALUE(SUBSTITUTE(INDEX(SPLIT(IF(ISBLANK(R600), Q600, R600), "",""), 0, 1), "" Km"", """")) - O600 = 0,
      """",
      VALUE(SUBSTITUTE(INDEX(SPLIT(IF(ISBLANK("&amp;"R600), Q600, R600), "",""), 0, 1), "" Km"", """")) - O600
    )
  )
)"),-400.0)</f>
        <v>-400</v>
      </c>
      <c r="Q600" s="23" t="str">
        <f t="shared" si="4"/>
        <v>11 400 Km, 29.01.2026</v>
      </c>
      <c r="R600" s="20"/>
      <c r="S600" s="41">
        <v>7000.0</v>
      </c>
      <c r="T600" s="13">
        <v>2.0</v>
      </c>
      <c r="U600" s="13" t="s">
        <v>1169</v>
      </c>
      <c r="V600" s="24"/>
      <c r="W600" s="24" t="str">
        <f t="shared" si="26"/>
        <v>Завершена</v>
      </c>
      <c r="X600" s="13" t="str">
        <f>IFERROR(__xludf.DUMMYFUNCTION("IF(C600 = """", """", IF(REGEXMATCH(C600, ""PCX|NMAX|ADV 150|CLICK""), ""скутер"", ""мото""))"),"мото")</f>
        <v>мото</v>
      </c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</row>
    <row r="601" hidden="1">
      <c r="A601" s="25" t="s">
        <v>24</v>
      </c>
      <c r="B601" s="25" t="s">
        <v>25</v>
      </c>
      <c r="C601" s="27" t="s">
        <v>77</v>
      </c>
      <c r="D601" s="27" t="s">
        <v>1070</v>
      </c>
      <c r="E601" s="43">
        <v>46061.0</v>
      </c>
      <c r="F601" s="39">
        <v>46066.416666666664</v>
      </c>
      <c r="G601" s="30" t="str">
        <f t="shared" si="36"/>
        <v>5 Д</v>
      </c>
      <c r="H601" s="31">
        <f t="shared" si="38"/>
        <v>471</v>
      </c>
      <c r="I601" s="32" t="str">
        <f t="shared" si="2"/>
        <v/>
      </c>
      <c r="J601" s="33" t="str">
        <f t="shared" si="25"/>
        <v/>
      </c>
      <c r="K601" s="36">
        <v>2355.0</v>
      </c>
      <c r="L601" s="33"/>
      <c r="M601" s="36">
        <v>471.0</v>
      </c>
      <c r="N601" s="34"/>
      <c r="O601" s="35">
        <f>IFERROR(__xludf.DUMMYFUNCTION("IFERROR(
  VLOOKUP(C601,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C601
    ), 
    7, FALSE
  ), 
  """"
)
"),37300.0)</f>
        <v>37300</v>
      </c>
      <c r="P601" s="35">
        <f>IFERROR(__xludf.DUMMYFUNCTION("IF(AND(Q601="""", R601=""""),
  """",
  IF(OR(ISBLANK(Q601), ISBLANK(O601)),
    """",
    IF(VALUE(SUBSTITUTE(INDEX(SPLIT(IF(ISBLANK(R601), Q601, R601), "",""), 0, 1), "" Km"", """")) - O601 = 0,
      """",
      VALUE(SUBSTITUTE(INDEX(SPLIT(IF(ISBLANK("&amp;"R601), Q601, R601), "",""), 0, 1), "" Km"", """")) - O601
    )
  )
)"),-37300.0)</f>
        <v>-37300</v>
      </c>
      <c r="Q601" s="36" t="str">
        <f t="shared" si="4"/>
        <v>0 Km, 08.02.2026</v>
      </c>
      <c r="R601" s="33"/>
      <c r="S601" s="40">
        <v>3000.0</v>
      </c>
      <c r="T601" s="25">
        <v>2.0</v>
      </c>
      <c r="U601" s="25" t="s">
        <v>1071</v>
      </c>
      <c r="V601" s="37"/>
      <c r="W601" s="37" t="str">
        <f t="shared" si="26"/>
        <v>Завершена</v>
      </c>
      <c r="X601" s="25" t="str">
        <f>IFERROR(__xludf.DUMMYFUNCTION("IF(C601 = """", """", IF(REGEXMATCH(C601, ""PCX|NMAX|ADV 150|CLICK""), ""скутер"", ""мото""))"),"скутер")</f>
        <v>скутер</v>
      </c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</row>
    <row r="602" hidden="1">
      <c r="A602" s="13" t="s">
        <v>24</v>
      </c>
      <c r="B602" s="13" t="s">
        <v>25</v>
      </c>
      <c r="C602" s="14" t="s">
        <v>923</v>
      </c>
      <c r="D602" s="14" t="s">
        <v>1170</v>
      </c>
      <c r="E602" s="48">
        <v>46061.0</v>
      </c>
      <c r="F602" s="38">
        <v>46066.458333333336</v>
      </c>
      <c r="G602" s="17" t="str">
        <f t="shared" si="36"/>
        <v>5 Д</v>
      </c>
      <c r="H602" s="18">
        <f t="shared" si="38"/>
        <v>1098</v>
      </c>
      <c r="I602" s="19" t="str">
        <f t="shared" si="2"/>
        <v/>
      </c>
      <c r="J602" s="20" t="str">
        <f t="shared" si="25"/>
        <v/>
      </c>
      <c r="K602" s="23">
        <v>5490.0</v>
      </c>
      <c r="L602" s="20"/>
      <c r="M602" s="23">
        <v>1098.0</v>
      </c>
      <c r="N602" s="21"/>
      <c r="O602" s="22">
        <f>IFERROR(__xludf.DUMMYFUNCTION("IFERROR(
  VLOOKUP(C602,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C602
    ), 
    7, FALSE
  ), 
  """"
)
"),25378.0)</f>
        <v>25378</v>
      </c>
      <c r="P602" s="22">
        <f>IFERROR(__xludf.DUMMYFUNCTION("IF(AND(Q602="""", R602=""""),
  """",
  IF(OR(ISBLANK(Q602), ISBLANK(O602)),
    """",
    IF(VALUE(SUBSTITUTE(INDEX(SPLIT(IF(ISBLANK(R602), Q602, R602), "",""), 0, 1), "" Km"", """")) - O602 = 0,
      """",
      VALUE(SUBSTITUTE(INDEX(SPLIT(IF(ISBLANK("&amp;"R602), Q602, R602), "",""), 0, 1), "" Km"", """")) - O602
    )
  )
)"),-25378.0)</f>
        <v>-25378</v>
      </c>
      <c r="Q602" s="23" t="str">
        <f t="shared" si="4"/>
        <v>0 Km, 08.02.2026</v>
      </c>
      <c r="R602" s="20"/>
      <c r="S602" s="41">
        <v>7000.0</v>
      </c>
      <c r="T602" s="13">
        <v>0.0</v>
      </c>
      <c r="U602" s="13" t="s">
        <v>1171</v>
      </c>
      <c r="V602" s="24"/>
      <c r="W602" s="24" t="str">
        <f t="shared" si="26"/>
        <v>Завершена</v>
      </c>
      <c r="X602" s="13" t="str">
        <f>IFERROR(__xludf.DUMMYFUNCTION("IF(C602 = """", """", IF(REGEXMATCH(C602, ""PCX|NMAX|ADV 150|CLICK""), ""скутер"", ""мото""))"),"мото")</f>
        <v>мото</v>
      </c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</row>
    <row r="603" hidden="1">
      <c r="A603" s="25" t="s">
        <v>24</v>
      </c>
      <c r="B603" s="25" t="s">
        <v>25</v>
      </c>
      <c r="C603" s="27" t="s">
        <v>106</v>
      </c>
      <c r="D603" s="27" t="s">
        <v>1172</v>
      </c>
      <c r="E603" s="43">
        <v>46034.0</v>
      </c>
      <c r="F603" s="39">
        <v>46066.5</v>
      </c>
      <c r="G603" s="30" t="str">
        <f t="shared" si="36"/>
        <v>32 Д</v>
      </c>
      <c r="H603" s="31">
        <f t="shared" si="38"/>
        <v>263.3333333</v>
      </c>
      <c r="I603" s="32" t="str">
        <f t="shared" si="2"/>
        <v/>
      </c>
      <c r="J603" s="33" t="str">
        <f t="shared" si="25"/>
        <v/>
      </c>
      <c r="K603" s="36">
        <f>7900+263</f>
        <v>8163</v>
      </c>
      <c r="L603" s="36">
        <v>7900.0</v>
      </c>
      <c r="M603" s="33"/>
      <c r="N603" s="44">
        <v>28200.0</v>
      </c>
      <c r="O603" s="35">
        <f>IFERROR(__xludf.DUMMYFUNCTION("IFERROR(
  VLOOKUP(C603,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C603
    ), 
    7, FALSE
  ), 
  """"
)
"),26000.0)</f>
        <v>26000</v>
      </c>
      <c r="P603" s="35">
        <f>IFERROR(__xludf.DUMMYFUNCTION("IF(AND(Q603="""", R603=""""),
  """",
  IF(OR(ISBLANK(Q603), ISBLANK(O603)),
    """",
    IF(VALUE(SUBSTITUTE(INDEX(SPLIT(IF(ISBLANK(R603), Q603, R603), "",""), 0, 1), "" Km"", """")) - O603 = 0,
      """",
      VALUE(SUBSTITUTE(INDEX(SPLIT(IF(ISBLANK("&amp;"R603), Q603, R603), "",""), 0, 1), "" Km"", """")) - O603
    )
  )
)"),2200.0)</f>
        <v>2200</v>
      </c>
      <c r="Q603" s="36" t="str">
        <f t="shared" si="4"/>
        <v>28 200 Km, 12.01.2026</v>
      </c>
      <c r="R603" s="33"/>
      <c r="S603" s="40" t="s">
        <v>912</v>
      </c>
      <c r="T603" s="25">
        <v>2.0</v>
      </c>
      <c r="U603" s="25" t="s">
        <v>1173</v>
      </c>
      <c r="V603" s="37"/>
      <c r="W603" s="37" t="str">
        <f t="shared" si="26"/>
        <v>Завершена</v>
      </c>
      <c r="X603" s="25" t="str">
        <f>IFERROR(__xludf.DUMMYFUNCTION("IF(C603 = """", """", IF(REGEXMATCH(C603, ""PCX|NMAX|ADV 150|CLICK""), ""скутер"", ""мото""))"),"скутер")</f>
        <v>скутер</v>
      </c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</row>
    <row r="604" hidden="1">
      <c r="A604" s="13" t="s">
        <v>24</v>
      </c>
      <c r="B604" s="13" t="s">
        <v>25</v>
      </c>
      <c r="C604" s="14" t="s">
        <v>914</v>
      </c>
      <c r="D604" s="14" t="s">
        <v>1174</v>
      </c>
      <c r="E604" s="48">
        <v>46042.0</v>
      </c>
      <c r="F604" s="38">
        <v>46066.833333333336</v>
      </c>
      <c r="G604" s="17" t="str">
        <f t="shared" si="36"/>
        <v>24 Д</v>
      </c>
      <c r="H604" s="18">
        <f t="shared" si="38"/>
        <v>2650</v>
      </c>
      <c r="I604" s="19" t="str">
        <f t="shared" si="2"/>
        <v/>
      </c>
      <c r="J604" s="20" t="str">
        <f t="shared" si="25"/>
        <v/>
      </c>
      <c r="K604" s="23">
        <f>27910+2650*8+2650*5</f>
        <v>62360</v>
      </c>
      <c r="L604" s="20"/>
      <c r="M604" s="23">
        <v>2650.0</v>
      </c>
      <c r="N604" s="49">
        <v>19800.0</v>
      </c>
      <c r="O604" s="22">
        <f>IFERROR(__xludf.DUMMYFUNCTION("IFERROR(
  VLOOKUP(C604,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C604
    ), 
    7, FALSE
  ), 
  """"
)
"),17900.0)</f>
        <v>17900</v>
      </c>
      <c r="P604" s="22">
        <f>IFERROR(__xludf.DUMMYFUNCTION("IF(AND(Q604="""", R604=""""),
  """",
  IF(OR(ISBLANK(Q604), ISBLANK(O604)),
    """",
    IF(VALUE(SUBSTITUTE(INDEX(SPLIT(IF(ISBLANK(R604), Q604, R604), "",""), 0, 1), "" Km"", """")) - O604 = 0,
      """",
      VALUE(SUBSTITUTE(INDEX(SPLIT(IF(ISBLANK("&amp;"R604), Q604, R604), "",""), 0, 1), "" Km"", """")) - O604
    )
  )
)"),1900.0)</f>
        <v>1900</v>
      </c>
      <c r="Q604" s="23" t="str">
        <f t="shared" si="4"/>
        <v>19 800 Km, 20.01.2026</v>
      </c>
      <c r="R604" s="20"/>
      <c r="S604" s="41">
        <v>30000.0</v>
      </c>
      <c r="T604" s="13">
        <v>2.0</v>
      </c>
      <c r="U604" s="13" t="s">
        <v>1167</v>
      </c>
      <c r="V604" s="24"/>
      <c r="W604" s="24" t="str">
        <f t="shared" si="26"/>
        <v>Завершена</v>
      </c>
      <c r="X604" s="13" t="str">
        <f>IFERROR(__xludf.DUMMYFUNCTION("IF(C604 = """", """", IF(REGEXMATCH(C604, ""PCX|NMAX|ADV 150|CLICK""), ""скутер"", ""мото""))"),"мото")</f>
        <v>мото</v>
      </c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</row>
    <row r="605" hidden="1">
      <c r="A605" s="25" t="s">
        <v>24</v>
      </c>
      <c r="B605" s="25" t="s">
        <v>25</v>
      </c>
      <c r="C605" s="27" t="s">
        <v>468</v>
      </c>
      <c r="D605" s="27" t="s">
        <v>1175</v>
      </c>
      <c r="E605" s="43">
        <v>46059.0</v>
      </c>
      <c r="F605" s="39">
        <v>46067.75</v>
      </c>
      <c r="G605" s="30" t="str">
        <f t="shared" si="36"/>
        <v>8 Д</v>
      </c>
      <c r="H605" s="31">
        <f t="shared" si="38"/>
        <v>1008</v>
      </c>
      <c r="I605" s="32" t="str">
        <f t="shared" si="2"/>
        <v/>
      </c>
      <c r="J605" s="33" t="str">
        <f t="shared" si="25"/>
        <v/>
      </c>
      <c r="K605" s="36">
        <v>8064.0</v>
      </c>
      <c r="L605" s="33"/>
      <c r="M605" s="36">
        <v>1008.0</v>
      </c>
      <c r="N605" s="34"/>
      <c r="O605" s="35">
        <f>IFERROR(__xludf.DUMMYFUNCTION("IFERROR(
  VLOOKUP(C605,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C605
    ), 
    7, FALSE
  ), 
  """"
)
"),22200.0)</f>
        <v>22200</v>
      </c>
      <c r="P605" s="35">
        <f>IFERROR(__xludf.DUMMYFUNCTION("IF(AND(Q605="""", R605=""""),
  """",
  IF(OR(ISBLANK(Q605), ISBLANK(O605)),
    """",
    IF(VALUE(SUBSTITUTE(INDEX(SPLIT(IF(ISBLANK(R605), Q605, R605), "",""), 0, 1), "" Km"", """")) - O605 = 0,
      """",
      VALUE(SUBSTITUTE(INDEX(SPLIT(IF(ISBLANK("&amp;"R605), Q605, R605), "",""), 0, 1), "" Km"", """")) - O605
    )
  )
)"),-22200.0)</f>
        <v>-22200</v>
      </c>
      <c r="Q605" s="36" t="str">
        <f t="shared" si="4"/>
        <v>0 Km, 06.02.2026</v>
      </c>
      <c r="R605" s="33"/>
      <c r="S605" s="40">
        <v>15000.0</v>
      </c>
      <c r="T605" s="25">
        <v>2.0</v>
      </c>
      <c r="U605" s="25" t="s">
        <v>1176</v>
      </c>
      <c r="V605" s="37"/>
      <c r="W605" s="37" t="str">
        <f t="shared" si="26"/>
        <v>Завершена</v>
      </c>
      <c r="X605" s="25" t="str">
        <f>IFERROR(__xludf.DUMMYFUNCTION("IF(C605 = """", """", IF(REGEXMATCH(C605, ""PCX|NMAX|ADV 150|CLICK""), ""скутер"", ""мото""))"),"мото")</f>
        <v>мото</v>
      </c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</row>
    <row r="606" hidden="1">
      <c r="A606" s="13" t="s">
        <v>24</v>
      </c>
      <c r="B606" s="13" t="s">
        <v>25</v>
      </c>
      <c r="C606" s="14" t="s">
        <v>151</v>
      </c>
      <c r="D606" s="14" t="s">
        <v>1177</v>
      </c>
      <c r="E606" s="48">
        <v>46057.0</v>
      </c>
      <c r="F606" s="38">
        <v>46068.5</v>
      </c>
      <c r="G606" s="17" t="str">
        <f t="shared" si="36"/>
        <v>11 Д</v>
      </c>
      <c r="H606" s="18">
        <f t="shared" si="38"/>
        <v>450</v>
      </c>
      <c r="I606" s="19" t="str">
        <f t="shared" si="2"/>
        <v/>
      </c>
      <c r="J606" s="20" t="str">
        <f t="shared" si="25"/>
        <v/>
      </c>
      <c r="K606" s="23">
        <f>4500+450</f>
        <v>4950</v>
      </c>
      <c r="L606" s="20"/>
      <c r="M606" s="23">
        <v>450.0</v>
      </c>
      <c r="N606" s="21"/>
      <c r="O606" s="22">
        <f>IFERROR(__xludf.DUMMYFUNCTION("IFERROR(
  VLOOKUP(C606,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C606
    ), 
    7, FALSE
  ), 
  """"
)
"),35800.0)</f>
        <v>35800</v>
      </c>
      <c r="P606" s="22">
        <f>IFERROR(__xludf.DUMMYFUNCTION("IF(AND(Q606="""", R606=""""),
  """",
  IF(OR(ISBLANK(Q606), ISBLANK(O606)),
    """",
    IF(VALUE(SUBSTITUTE(INDEX(SPLIT(IF(ISBLANK(R606), Q606, R606), "",""), 0, 1), "" Km"", """")) - O606 = 0,
      """",
      VALUE(SUBSTITUTE(INDEX(SPLIT(IF(ISBLANK("&amp;"R606), Q606, R606), "",""), 0, 1), "" Km"", """")) - O606
    )
  )
)"),-35800.0)</f>
        <v>-35800</v>
      </c>
      <c r="Q606" s="23" t="str">
        <f t="shared" si="4"/>
        <v>0 Km, 04.02.2026</v>
      </c>
      <c r="R606" s="20"/>
      <c r="S606" s="41" t="s">
        <v>912</v>
      </c>
      <c r="T606" s="13">
        <v>2.0</v>
      </c>
      <c r="U606" s="13" t="s">
        <v>1178</v>
      </c>
      <c r="V606" s="24"/>
      <c r="W606" s="24" t="str">
        <f t="shared" si="26"/>
        <v>Завершена</v>
      </c>
      <c r="X606" s="13" t="str">
        <f>IFERROR(__xludf.DUMMYFUNCTION("IF(C606 = """", """", IF(REGEXMATCH(C606, ""PCX|NMAX|ADV 150|CLICK""), ""скутер"", ""мото""))"),"скутер")</f>
        <v>скутер</v>
      </c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</row>
    <row r="607" hidden="1">
      <c r="A607" s="25" t="s">
        <v>24</v>
      </c>
      <c r="B607" s="25" t="s">
        <v>25</v>
      </c>
      <c r="C607" s="27" t="s">
        <v>928</v>
      </c>
      <c r="D607" s="27" t="s">
        <v>1179</v>
      </c>
      <c r="E607" s="43">
        <v>46059.0</v>
      </c>
      <c r="F607" s="39">
        <v>46068.5</v>
      </c>
      <c r="G607" s="30" t="str">
        <f t="shared" si="36"/>
        <v>9 Д</v>
      </c>
      <c r="H607" s="31">
        <f t="shared" si="38"/>
        <v>981</v>
      </c>
      <c r="I607" s="32" t="str">
        <f t="shared" si="2"/>
        <v/>
      </c>
      <c r="J607" s="33" t="str">
        <f t="shared" si="25"/>
        <v/>
      </c>
      <c r="K607" s="36">
        <f>5886+981*3</f>
        <v>8829</v>
      </c>
      <c r="L607" s="33"/>
      <c r="M607" s="36">
        <v>981.0</v>
      </c>
      <c r="N607" s="34"/>
      <c r="O607" s="35">
        <f>IFERROR(__xludf.DUMMYFUNCTION("IFERROR(
  VLOOKUP(C607,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C607
    ), 
    7, FALSE
  ), 
  """"
)
"),11000.0)</f>
        <v>11000</v>
      </c>
      <c r="P607" s="35">
        <f>IFERROR(__xludf.DUMMYFUNCTION("IF(AND(Q607="""", R607=""""),
  """",
  IF(OR(ISBLANK(Q607), ISBLANK(O607)),
    """",
    IF(VALUE(SUBSTITUTE(INDEX(SPLIT(IF(ISBLANK(R607), Q607, R607), "",""), 0, 1), "" Km"", """")) - O607 = 0,
      """",
      VALUE(SUBSTITUTE(INDEX(SPLIT(IF(ISBLANK("&amp;"R607), Q607, R607), "",""), 0, 1), "" Km"", """")) - O607
    )
  )
)"),-11000.0)</f>
        <v>-11000</v>
      </c>
      <c r="Q607" s="36" t="str">
        <f t="shared" si="4"/>
        <v>0 Km, 06.02.2026</v>
      </c>
      <c r="R607" s="33"/>
      <c r="S607" s="40">
        <v>7000.0</v>
      </c>
      <c r="T607" s="25">
        <v>2.0</v>
      </c>
      <c r="U607" s="25" t="s">
        <v>1180</v>
      </c>
      <c r="V607" s="37"/>
      <c r="W607" s="37" t="str">
        <f t="shared" si="26"/>
        <v>Завершена</v>
      </c>
      <c r="X607" s="25" t="str">
        <f>IFERROR(__xludf.DUMMYFUNCTION("IF(C607 = """", """", IF(REGEXMATCH(C607, ""PCX|NMAX|ADV 150|CLICK""), ""скутер"", ""мото""))"),"мото")</f>
        <v>мото</v>
      </c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</row>
    <row r="608" hidden="1">
      <c r="A608" s="13" t="s">
        <v>24</v>
      </c>
      <c r="B608" s="13" t="s">
        <v>25</v>
      </c>
      <c r="C608" s="14" t="s">
        <v>64</v>
      </c>
      <c r="D608" s="14" t="s">
        <v>1181</v>
      </c>
      <c r="E608" s="48">
        <v>46055.0</v>
      </c>
      <c r="F608" s="38">
        <v>46070.583333333336</v>
      </c>
      <c r="G608" s="17" t="str">
        <f t="shared" si="36"/>
        <v>15 Д</v>
      </c>
      <c r="H608" s="18">
        <f t="shared" si="38"/>
        <v>672</v>
      </c>
      <c r="I608" s="19" t="str">
        <f t="shared" si="2"/>
        <v/>
      </c>
      <c r="J608" s="20" t="str">
        <f t="shared" si="25"/>
        <v/>
      </c>
      <c r="K608" s="23">
        <v>10080.0</v>
      </c>
      <c r="L608" s="20"/>
      <c r="M608" s="23">
        <v>672.0</v>
      </c>
      <c r="N608" s="49">
        <v>33000.0</v>
      </c>
      <c r="O608" s="22">
        <f>IFERROR(__xludf.DUMMYFUNCTION("IFERROR(
  VLOOKUP(C608,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C608
    ), 
    7, FALSE
  ), 
  """"
)
"),32600.0)</f>
        <v>32600</v>
      </c>
      <c r="P608" s="22">
        <f>IFERROR(__xludf.DUMMYFUNCTION("IF(AND(Q608="""", R608=""""),
  """",
  IF(OR(ISBLANK(Q608), ISBLANK(O608)),
    """",
    IF(VALUE(SUBSTITUTE(INDEX(SPLIT(IF(ISBLANK(R608), Q608, R608), "",""), 0, 1), "" Km"", """")) - O608 = 0,
      """",
      VALUE(SUBSTITUTE(INDEX(SPLIT(IF(ISBLANK("&amp;"R608), Q608, R608), "",""), 0, 1), "" Km"", """")) - O608
    )
  )
)"),400.0)</f>
        <v>400</v>
      </c>
      <c r="Q608" s="23" t="str">
        <f t="shared" si="4"/>
        <v>33 000 Km, 02.02.2026</v>
      </c>
      <c r="R608" s="20"/>
      <c r="S608" s="41">
        <v>5000.0</v>
      </c>
      <c r="T608" s="13">
        <v>2.0</v>
      </c>
      <c r="U608" s="13" t="s">
        <v>1182</v>
      </c>
      <c r="V608" s="24"/>
      <c r="W608" s="24" t="str">
        <f t="shared" si="26"/>
        <v>Завершена</v>
      </c>
      <c r="X608" s="13" t="str">
        <f>IFERROR(__xludf.DUMMYFUNCTION("IF(C608 = """", """", IF(REGEXMATCH(C608, ""PCX|NMAX|ADV 150|CLICK""), ""скутер"", ""мото""))"),"мото")</f>
        <v>мото</v>
      </c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</row>
    <row r="609" hidden="1">
      <c r="A609" s="25" t="s">
        <v>24</v>
      </c>
      <c r="B609" s="25" t="s">
        <v>25</v>
      </c>
      <c r="C609" s="27" t="s">
        <v>44</v>
      </c>
      <c r="D609" s="27" t="s">
        <v>1183</v>
      </c>
      <c r="E609" s="43">
        <v>46062.0</v>
      </c>
      <c r="F609" s="39">
        <v>46071.625</v>
      </c>
      <c r="G609" s="30" t="str">
        <f t="shared" si="36"/>
        <v>9 Д</v>
      </c>
      <c r="H609" s="31">
        <f t="shared" si="38"/>
        <v>450</v>
      </c>
      <c r="I609" s="32" t="str">
        <f t="shared" si="2"/>
        <v/>
      </c>
      <c r="J609" s="33" t="str">
        <f t="shared" si="25"/>
        <v/>
      </c>
      <c r="K609" s="36">
        <v>4500.0</v>
      </c>
      <c r="L609" s="33"/>
      <c r="M609" s="36">
        <v>450.0</v>
      </c>
      <c r="N609" s="34"/>
      <c r="O609" s="35">
        <f>IFERROR(__xludf.DUMMYFUNCTION("IFERROR(
  VLOOKUP(C609,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C609
    ), 
    7, FALSE
  ), 
  """"
)
"),30800.0)</f>
        <v>30800</v>
      </c>
      <c r="P609" s="35">
        <f>IFERROR(__xludf.DUMMYFUNCTION("IF(AND(Q609="""", R609=""""),
  """",
  IF(OR(ISBLANK(Q609), ISBLANK(O609)),
    """",
    IF(VALUE(SUBSTITUTE(INDEX(SPLIT(IF(ISBLANK(R609), Q609, R609), "",""), 0, 1), "" Km"", """")) - O609 = 0,
      """",
      VALUE(SUBSTITUTE(INDEX(SPLIT(IF(ISBLANK("&amp;"R609), Q609, R609), "",""), 0, 1), "" Km"", """")) - O609
    )
  )
)"),-30800.0)</f>
        <v>-30800</v>
      </c>
      <c r="Q609" s="36" t="str">
        <f t="shared" si="4"/>
        <v>0 Km, 09.02.2026</v>
      </c>
      <c r="R609" s="33"/>
      <c r="S609" s="40">
        <v>3000.0</v>
      </c>
      <c r="T609" s="25">
        <v>2.0</v>
      </c>
      <c r="U609" s="25" t="s">
        <v>1184</v>
      </c>
      <c r="V609" s="37"/>
      <c r="W609" s="37" t="str">
        <f t="shared" si="26"/>
        <v>Завершена</v>
      </c>
      <c r="X609" s="25" t="str">
        <f>IFERROR(__xludf.DUMMYFUNCTION("IF(C609 = """", """", IF(REGEXMATCH(C609, ""PCX|NMAX|ADV 150|CLICK""), ""скутер"", ""мото""))"),"скутер")</f>
        <v>скутер</v>
      </c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</row>
    <row r="610" hidden="1">
      <c r="A610" s="13" t="s">
        <v>24</v>
      </c>
      <c r="B610" s="13" t="s">
        <v>25</v>
      </c>
      <c r="C610" s="14" t="s">
        <v>916</v>
      </c>
      <c r="D610" s="14" t="s">
        <v>469</v>
      </c>
      <c r="E610" s="48">
        <v>46057.0</v>
      </c>
      <c r="F610" s="38">
        <v>46071.708333333336</v>
      </c>
      <c r="G610" s="17" t="str">
        <f t="shared" si="36"/>
        <v>14 Д</v>
      </c>
      <c r="H610" s="18">
        <f t="shared" si="38"/>
        <v>1680</v>
      </c>
      <c r="I610" s="19" t="str">
        <f t="shared" si="2"/>
        <v/>
      </c>
      <c r="J610" s="20" t="str">
        <f t="shared" si="25"/>
        <v/>
      </c>
      <c r="K610" s="23">
        <f>11760*2</f>
        <v>23520</v>
      </c>
      <c r="L610" s="20"/>
      <c r="M610" s="23">
        <v>1680.0</v>
      </c>
      <c r="N610" s="21"/>
      <c r="O610" s="22">
        <f>IFERROR(__xludf.DUMMYFUNCTION("IFERROR(
  VLOOKUP(C610,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C610
    ), 
    7, FALSE
  ), 
  """"
)
"),29300.0)</f>
        <v>29300</v>
      </c>
      <c r="P610" s="22">
        <f>IFERROR(__xludf.DUMMYFUNCTION("IF(AND(Q610="""", R610=""""),
  """",
  IF(OR(ISBLANK(Q610), ISBLANK(O610)),
    """",
    IF(VALUE(SUBSTITUTE(INDEX(SPLIT(IF(ISBLANK(R610), Q610, R610), "",""), 0, 1), "" Km"", """")) - O610 = 0,
      """",
      VALUE(SUBSTITUTE(INDEX(SPLIT(IF(ISBLANK("&amp;"R610), Q610, R610), "",""), 0, 1), "" Km"", """")) - O610
    )
  )
)"),-29300.0)</f>
        <v>-29300</v>
      </c>
      <c r="Q610" s="23" t="str">
        <f t="shared" si="4"/>
        <v>0 Km, 04.02.2026</v>
      </c>
      <c r="R610" s="20"/>
      <c r="S610" s="41">
        <v>20000.0</v>
      </c>
      <c r="T610" s="13">
        <v>2.0</v>
      </c>
      <c r="U610" s="13" t="s">
        <v>1185</v>
      </c>
      <c r="V610" s="24"/>
      <c r="W610" s="24" t="str">
        <f t="shared" si="26"/>
        <v>Завершена</v>
      </c>
      <c r="X610" s="13" t="str">
        <f>IFERROR(__xludf.DUMMYFUNCTION("IF(C610 = """", """", IF(REGEXMATCH(C610, ""PCX|NMAX|ADV 150|CLICK""), ""скутер"", ""мото""))"),"мото")</f>
        <v>мото</v>
      </c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</row>
    <row r="611" hidden="1">
      <c r="A611" s="25" t="s">
        <v>24</v>
      </c>
      <c r="B611" s="25" t="s">
        <v>25</v>
      </c>
      <c r="C611" s="27" t="s">
        <v>77</v>
      </c>
      <c r="D611" s="27" t="s">
        <v>1186</v>
      </c>
      <c r="E611" s="43">
        <v>46067.0</v>
      </c>
      <c r="F611" s="39">
        <v>46072.458333333336</v>
      </c>
      <c r="G611" s="30" t="str">
        <f t="shared" si="36"/>
        <v>5 Д</v>
      </c>
      <c r="H611" s="31">
        <f t="shared" si="38"/>
        <v>494</v>
      </c>
      <c r="I611" s="32" t="str">
        <f t="shared" si="2"/>
        <v/>
      </c>
      <c r="J611" s="33" t="str">
        <f t="shared" si="25"/>
        <v/>
      </c>
      <c r="K611" s="36">
        <v>2470.0</v>
      </c>
      <c r="L611" s="33"/>
      <c r="M611" s="36">
        <v>494.0</v>
      </c>
      <c r="N611" s="34"/>
      <c r="O611" s="35">
        <f>IFERROR(__xludf.DUMMYFUNCTION("IFERROR(
  VLOOKUP(C611,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C611
    ), 
    7, FALSE
  ), 
  """"
)
"),37300.0)</f>
        <v>37300</v>
      </c>
      <c r="P611" s="35">
        <f>IFERROR(__xludf.DUMMYFUNCTION("IF(AND(Q611="""", R611=""""),
  """",
  IF(OR(ISBLANK(Q611), ISBLANK(O611)),
    """",
    IF(VALUE(SUBSTITUTE(INDEX(SPLIT(IF(ISBLANK(R611), Q611, R611), "",""), 0, 1), "" Km"", """")) - O611 = 0,
      """",
      VALUE(SUBSTITUTE(INDEX(SPLIT(IF(ISBLANK("&amp;"R611), Q611, R611), "",""), 0, 1), "" Km"", """")) - O611
    )
  )
)"),-37300.0)</f>
        <v>-37300</v>
      </c>
      <c r="Q611" s="36" t="str">
        <f t="shared" si="4"/>
        <v>0 Km, 14.02.2026</v>
      </c>
      <c r="R611" s="33"/>
      <c r="S611" s="40">
        <v>3000.0</v>
      </c>
      <c r="T611" s="25">
        <v>2.0</v>
      </c>
      <c r="U611" s="25" t="s">
        <v>1187</v>
      </c>
      <c r="V611" s="37"/>
      <c r="W611" s="37" t="str">
        <f t="shared" si="26"/>
        <v>Завершена</v>
      </c>
      <c r="X611" s="25" t="str">
        <f>IFERROR(__xludf.DUMMYFUNCTION("IF(C611 = """", """", IF(REGEXMATCH(C611, ""PCX|NMAX|ADV 150|CLICK""), ""скутер"", ""мото""))"),"скутер")</f>
        <v>скутер</v>
      </c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</row>
    <row r="612" hidden="1">
      <c r="A612" s="13" t="s">
        <v>24</v>
      </c>
      <c r="B612" s="13" t="s">
        <v>25</v>
      </c>
      <c r="C612" s="14" t="s">
        <v>946</v>
      </c>
      <c r="D612" s="14" t="s">
        <v>1188</v>
      </c>
      <c r="E612" s="48">
        <v>46055.0</v>
      </c>
      <c r="F612" s="38">
        <v>46072.75</v>
      </c>
      <c r="G612" s="17" t="str">
        <f t="shared" si="36"/>
        <v>17 Д</v>
      </c>
      <c r="H612" s="18">
        <f t="shared" si="38"/>
        <v>740</v>
      </c>
      <c r="I612" s="19" t="str">
        <f t="shared" si="2"/>
        <v/>
      </c>
      <c r="J612" s="20" t="str">
        <f t="shared" si="25"/>
        <v/>
      </c>
      <c r="K612" s="23">
        <v>12580.0</v>
      </c>
      <c r="L612" s="20"/>
      <c r="M612" s="23">
        <v>740.0</v>
      </c>
      <c r="N612" s="49">
        <v>22662.0</v>
      </c>
      <c r="O612" s="22">
        <f>IFERROR(__xludf.DUMMYFUNCTION("IFERROR(
  VLOOKUP(C612,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C612
    ), 
    7, FALSE
  ), 
  """"
)
"),20400.0)</f>
        <v>20400</v>
      </c>
      <c r="P612" s="22">
        <f>IFERROR(__xludf.DUMMYFUNCTION("IF(AND(Q612="""", R612=""""),
  """",
  IF(OR(ISBLANK(Q612), ISBLANK(O612)),
    """",
    IF(VALUE(SUBSTITUTE(INDEX(SPLIT(IF(ISBLANK(R612), Q612, R612), "",""), 0, 1), "" Km"", """")) - O612 = 0,
      """",
      VALUE(SUBSTITUTE(INDEX(SPLIT(IF(ISBLANK("&amp;"R612), Q612, R612), "",""), 0, 1), "" Km"", """")) - O612
    )
  )
)"),2262.0)</f>
        <v>2262</v>
      </c>
      <c r="Q612" s="23" t="str">
        <f t="shared" si="4"/>
        <v>22 662 Km, 02.02.2026</v>
      </c>
      <c r="R612" s="20"/>
      <c r="S612" s="41">
        <v>7000.0</v>
      </c>
      <c r="T612" s="13">
        <v>2.0</v>
      </c>
      <c r="U612" s="13" t="s">
        <v>1189</v>
      </c>
      <c r="V612" s="24"/>
      <c r="W612" s="24" t="str">
        <f t="shared" si="26"/>
        <v>Завершена</v>
      </c>
      <c r="X612" s="13" t="str">
        <f>IFERROR(__xludf.DUMMYFUNCTION("IF(C612 = """", """", IF(REGEXMATCH(C612, ""PCX|NMAX|ADV 150|CLICK""), ""скутер"", ""мото""))"),"мото")</f>
        <v>мото</v>
      </c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</row>
    <row r="613" hidden="1">
      <c r="A613" s="25" t="s">
        <v>24</v>
      </c>
      <c r="B613" s="25" t="s">
        <v>25</v>
      </c>
      <c r="C613" s="27" t="s">
        <v>951</v>
      </c>
      <c r="D613" s="27" t="s">
        <v>1190</v>
      </c>
      <c r="E613" s="43">
        <v>46055.0</v>
      </c>
      <c r="F613" s="39">
        <v>46072.75</v>
      </c>
      <c r="G613" s="30" t="str">
        <f t="shared" si="36"/>
        <v>17 Д</v>
      </c>
      <c r="H613" s="31">
        <f t="shared" si="38"/>
        <v>740</v>
      </c>
      <c r="I613" s="32" t="str">
        <f t="shared" si="2"/>
        <v/>
      </c>
      <c r="J613" s="33" t="str">
        <f t="shared" si="25"/>
        <v/>
      </c>
      <c r="K613" s="36">
        <v>12580.0</v>
      </c>
      <c r="L613" s="33"/>
      <c r="M613" s="36">
        <v>740.0</v>
      </c>
      <c r="N613" s="44"/>
      <c r="O613" s="35">
        <f>IFERROR(__xludf.DUMMYFUNCTION("IFERROR(
  VLOOKUP(C613,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C613
    ), 
    7, FALSE
  ), 
  """"
)
"),21100.0)</f>
        <v>21100</v>
      </c>
      <c r="P613" s="35">
        <f>IFERROR(__xludf.DUMMYFUNCTION("IF(AND(Q613="""", R613=""""),
  """",
  IF(OR(ISBLANK(Q613), ISBLANK(O613)),
    """",
    IF(VALUE(SUBSTITUTE(INDEX(SPLIT(IF(ISBLANK(R613), Q613, R613), "",""), 0, 1), "" Km"", """")) - O613 = 0,
      """",
      VALUE(SUBSTITUTE(INDEX(SPLIT(IF(ISBLANK("&amp;"R613), Q613, R613), "",""), 0, 1), "" Km"", """")) - O613
    )
  )
)"),-21100.0)</f>
        <v>-21100</v>
      </c>
      <c r="Q613" s="36" t="str">
        <f t="shared" si="4"/>
        <v>0 Km, 02.02.2026</v>
      </c>
      <c r="R613" s="33"/>
      <c r="S613" s="40">
        <v>7000.0</v>
      </c>
      <c r="T613" s="25">
        <v>2.0</v>
      </c>
      <c r="U613" s="25" t="s">
        <v>1189</v>
      </c>
      <c r="V613" s="37"/>
      <c r="W613" s="37" t="str">
        <f t="shared" si="26"/>
        <v>Завершена</v>
      </c>
      <c r="X613" s="25" t="str">
        <f>IFERROR(__xludf.DUMMYFUNCTION("IF(C613 = """", """", IF(REGEXMATCH(C613, ""PCX|NMAX|ADV 150|CLICK""), ""скутер"", ""мото""))"),"мото")</f>
        <v>мото</v>
      </c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</row>
    <row r="614" hidden="1">
      <c r="A614" s="13" t="s">
        <v>24</v>
      </c>
      <c r="B614" s="13" t="s">
        <v>25</v>
      </c>
      <c r="C614" s="14" t="s">
        <v>960</v>
      </c>
      <c r="D614" s="14" t="s">
        <v>1191</v>
      </c>
      <c r="E614" s="48">
        <v>46055.0</v>
      </c>
      <c r="F614" s="38">
        <v>46072.791666666664</v>
      </c>
      <c r="G614" s="17" t="str">
        <f t="shared" si="36"/>
        <v>17 Д</v>
      </c>
      <c r="H614" s="18">
        <f t="shared" si="38"/>
        <v>740</v>
      </c>
      <c r="I614" s="19" t="str">
        <f t="shared" si="2"/>
        <v/>
      </c>
      <c r="J614" s="20" t="str">
        <f t="shared" si="25"/>
        <v/>
      </c>
      <c r="K614" s="23">
        <v>12580.0</v>
      </c>
      <c r="L614" s="20"/>
      <c r="M614" s="23">
        <v>740.0</v>
      </c>
      <c r="N614" s="49">
        <v>17243.0</v>
      </c>
      <c r="O614" s="22">
        <f>IFERROR(__xludf.DUMMYFUNCTION("IFERROR(
  VLOOKUP(C614,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C614
    ), 
    7, FALSE
  ), 
  """"
)
"),20316.0)</f>
        <v>20316</v>
      </c>
      <c r="P614" s="22">
        <f>IFERROR(__xludf.DUMMYFUNCTION("IF(AND(Q614="""", R614=""""),
  """",
  IF(OR(ISBLANK(Q614), ISBLANK(O614)),
    """",
    IF(VALUE(SUBSTITUTE(INDEX(SPLIT(IF(ISBLANK(R614), Q614, R614), "",""), 0, 1), "" Km"", """")) - O614 = 0,
      """",
      VALUE(SUBSTITUTE(INDEX(SPLIT(IF(ISBLANK("&amp;"R614), Q614, R614), "",""), 0, 1), "" Km"", """")) - O614
    )
  )
)"),-3073.0)</f>
        <v>-3073</v>
      </c>
      <c r="Q614" s="23" t="str">
        <f t="shared" si="4"/>
        <v>17 243 Km, 02.02.2026</v>
      </c>
      <c r="R614" s="20"/>
      <c r="S614" s="41">
        <v>7000.0</v>
      </c>
      <c r="T614" s="13">
        <v>2.0</v>
      </c>
      <c r="U614" s="13" t="s">
        <v>1189</v>
      </c>
      <c r="V614" s="24"/>
      <c r="W614" s="24" t="str">
        <f t="shared" si="26"/>
        <v>Завершена</v>
      </c>
      <c r="X614" s="13" t="str">
        <f>IFERROR(__xludf.DUMMYFUNCTION("IF(C614 = """", """", IF(REGEXMATCH(C614, ""PCX|NMAX|ADV 150|CLICK""), ""скутер"", ""мото""))"),"мото")</f>
        <v>мото</v>
      </c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</row>
    <row r="615" hidden="1">
      <c r="A615" s="25" t="s">
        <v>24</v>
      </c>
      <c r="B615" s="25" t="s">
        <v>25</v>
      </c>
      <c r="C615" s="27" t="s">
        <v>48</v>
      </c>
      <c r="D615" s="27" t="s">
        <v>1192</v>
      </c>
      <c r="E615" s="43">
        <v>46055.0</v>
      </c>
      <c r="F615" s="39">
        <v>46072.791666666664</v>
      </c>
      <c r="G615" s="30" t="str">
        <f t="shared" si="36"/>
        <v>17 Д</v>
      </c>
      <c r="H615" s="31">
        <f t="shared" si="38"/>
        <v>354</v>
      </c>
      <c r="I615" s="32" t="str">
        <f t="shared" si="2"/>
        <v/>
      </c>
      <c r="J615" s="33" t="str">
        <f t="shared" si="25"/>
        <v/>
      </c>
      <c r="K615" s="36">
        <v>6018.0</v>
      </c>
      <c r="L615" s="33"/>
      <c r="M615" s="36">
        <v>354.0</v>
      </c>
      <c r="N615" s="44">
        <v>37267.0</v>
      </c>
      <c r="O615" s="35">
        <f>IFERROR(__xludf.DUMMYFUNCTION("IFERROR(
  VLOOKUP(C615,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C615
    ), 
    7, FALSE
  ), 
  """"
)
"),35800.0)</f>
        <v>35800</v>
      </c>
      <c r="P615" s="35">
        <f>IFERROR(__xludf.DUMMYFUNCTION("IF(AND(Q615="""", R615=""""),
  """",
  IF(OR(ISBLANK(Q615), ISBLANK(O615)),
    """",
    IF(VALUE(SUBSTITUTE(INDEX(SPLIT(IF(ISBLANK(R615), Q615, R615), "",""), 0, 1), "" Km"", """")) - O615 = 0,
      """",
      VALUE(SUBSTITUTE(INDEX(SPLIT(IF(ISBLANK("&amp;"R615), Q615, R615), "",""), 0, 1), "" Km"", """")) - O615
    )
  )
)"),1467.0)</f>
        <v>1467</v>
      </c>
      <c r="Q615" s="36" t="str">
        <f t="shared" si="4"/>
        <v>37 267 Km, 02.02.2026</v>
      </c>
      <c r="R615" s="33"/>
      <c r="S615" s="40">
        <v>3000.0</v>
      </c>
      <c r="T615" s="25">
        <v>1.0</v>
      </c>
      <c r="U615" s="25" t="s">
        <v>1189</v>
      </c>
      <c r="V615" s="37"/>
      <c r="W615" s="37" t="str">
        <f t="shared" si="26"/>
        <v>Завершена</v>
      </c>
      <c r="X615" s="25" t="str">
        <f>IFERROR(__xludf.DUMMYFUNCTION("IF(C615 = """", """", IF(REGEXMATCH(C615, ""PCX|NMAX|ADV 150|CLICK""), ""скутер"", ""мото""))"),"скутер")</f>
        <v>скутер</v>
      </c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</row>
    <row r="616" hidden="1">
      <c r="A616" s="13" t="s">
        <v>24</v>
      </c>
      <c r="B616" s="13" t="s">
        <v>25</v>
      </c>
      <c r="C616" s="14" t="s">
        <v>73</v>
      </c>
      <c r="D616" s="14" t="s">
        <v>1193</v>
      </c>
      <c r="E616" s="48">
        <v>46038.0</v>
      </c>
      <c r="F616" s="38">
        <v>46073.583333333336</v>
      </c>
      <c r="G616" s="17" t="str">
        <f t="shared" si="36"/>
        <v>35 Д</v>
      </c>
      <c r="H616" s="18">
        <f t="shared" si="38"/>
        <v>278</v>
      </c>
      <c r="I616" s="19" t="str">
        <f t="shared" si="2"/>
        <v/>
      </c>
      <c r="J616" s="20" t="str">
        <f t="shared" si="25"/>
        <v/>
      </c>
      <c r="K616" s="23">
        <v>12788.0</v>
      </c>
      <c r="L616" s="20"/>
      <c r="M616" s="23">
        <v>278.0</v>
      </c>
      <c r="N616" s="49">
        <v>30100.0</v>
      </c>
      <c r="O616" s="22">
        <f>IFERROR(__xludf.DUMMYFUNCTION("IFERROR(
  VLOOKUP(C616,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C616
    ), 
    7, FALSE
  ), 
  """"
)
"),31000.0)</f>
        <v>31000</v>
      </c>
      <c r="P616" s="22">
        <f>IFERROR(__xludf.DUMMYFUNCTION("IF(AND(Q616="""", R616=""""),
  """",
  IF(OR(ISBLANK(Q616), ISBLANK(O616)),
    """",
    IF(VALUE(SUBSTITUTE(INDEX(SPLIT(IF(ISBLANK(R616), Q616, R616), "",""), 0, 1), "" Km"", """")) - O616 = 0,
      """",
      VALUE(SUBSTITUTE(INDEX(SPLIT(IF(ISBLANK("&amp;"R616), Q616, R616), "",""), 0, 1), "" Km"", """")) - O616
    )
  )
)"),-900.0)</f>
        <v>-900</v>
      </c>
      <c r="Q616" s="23" t="str">
        <f t="shared" si="4"/>
        <v>30 100 Km, 16.01.2026</v>
      </c>
      <c r="R616" s="20"/>
      <c r="S616" s="41">
        <v>3000.0</v>
      </c>
      <c r="T616" s="13">
        <v>1.0</v>
      </c>
      <c r="U616" s="13" t="s">
        <v>1194</v>
      </c>
      <c r="V616" s="24"/>
      <c r="W616" s="24" t="str">
        <f t="shared" si="26"/>
        <v>Завершена</v>
      </c>
      <c r="X616" s="13" t="str">
        <f>IFERROR(__xludf.DUMMYFUNCTION("IF(C616 = """", """", IF(REGEXMATCH(C616, ""PCX|NMAX|ADV 150|CLICK""), ""скутер"", ""мото""))"),"скутер")</f>
        <v>скутер</v>
      </c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</row>
    <row r="617" hidden="1">
      <c r="A617" s="25" t="s">
        <v>24</v>
      </c>
      <c r="B617" s="25" t="s">
        <v>25</v>
      </c>
      <c r="C617" s="27" t="s">
        <v>56</v>
      </c>
      <c r="D617" s="27" t="s">
        <v>1195</v>
      </c>
      <c r="E617" s="43">
        <v>46063.0</v>
      </c>
      <c r="F617" s="39">
        <v>46073.583333333336</v>
      </c>
      <c r="G617" s="30" t="str">
        <f t="shared" si="36"/>
        <v>10 Д</v>
      </c>
      <c r="H617" s="31">
        <f t="shared" si="38"/>
        <v>450</v>
      </c>
      <c r="I617" s="32" t="str">
        <f t="shared" si="2"/>
        <v/>
      </c>
      <c r="J617" s="33" t="str">
        <f t="shared" si="25"/>
        <v/>
      </c>
      <c r="K617" s="36">
        <v>4500.0</v>
      </c>
      <c r="L617" s="33"/>
      <c r="M617" s="36">
        <v>450.0</v>
      </c>
      <c r="N617" s="34"/>
      <c r="O617" s="35">
        <f>IFERROR(__xludf.DUMMYFUNCTION("IFERROR(
  VLOOKUP(C617,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C617
    ), 
    7, FALSE
  ), 
  """"
)
"),36400.0)</f>
        <v>36400</v>
      </c>
      <c r="P617" s="35">
        <f>IFERROR(__xludf.DUMMYFUNCTION("IF(AND(Q617="""", R617=""""),
  """",
  IF(OR(ISBLANK(Q617), ISBLANK(O617)),
    """",
    IF(VALUE(SUBSTITUTE(INDEX(SPLIT(IF(ISBLANK(R617), Q617, R617), "",""), 0, 1), "" Km"", """")) - O617 = 0,
      """",
      VALUE(SUBSTITUTE(INDEX(SPLIT(IF(ISBLANK("&amp;"R617), Q617, R617), "",""), 0, 1), "" Km"", """")) - O617
    )
  )
)"),-36400.0)</f>
        <v>-36400</v>
      </c>
      <c r="Q617" s="36" t="str">
        <f t="shared" si="4"/>
        <v>0 Km, 10.02.2026</v>
      </c>
      <c r="R617" s="33"/>
      <c r="S617" s="40">
        <v>3000.0</v>
      </c>
      <c r="T617" s="25">
        <v>2.0</v>
      </c>
      <c r="U617" s="25" t="s">
        <v>1196</v>
      </c>
      <c r="V617" s="37"/>
      <c r="W617" s="37" t="str">
        <f t="shared" si="26"/>
        <v>Завершена</v>
      </c>
      <c r="X617" s="25" t="str">
        <f>IFERROR(__xludf.DUMMYFUNCTION("IF(C617 = """", """", IF(REGEXMATCH(C617, ""PCX|NMAX|ADV 150|CLICK""), ""скутер"", ""мото""))"),"скутер")</f>
        <v>скутер</v>
      </c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</row>
    <row r="618" hidden="1">
      <c r="A618" s="13" t="s">
        <v>24</v>
      </c>
      <c r="B618" s="13" t="s">
        <v>25</v>
      </c>
      <c r="C618" s="14" t="s">
        <v>974</v>
      </c>
      <c r="D618" s="14" t="s">
        <v>1197</v>
      </c>
      <c r="E618" s="48">
        <v>46065.0</v>
      </c>
      <c r="F618" s="38">
        <v>46076.583333333336</v>
      </c>
      <c r="G618" s="17" t="str">
        <f t="shared" si="36"/>
        <v>11 Д</v>
      </c>
      <c r="H618" s="18">
        <f t="shared" si="38"/>
        <v>917</v>
      </c>
      <c r="I618" s="19" t="str">
        <f t="shared" si="2"/>
        <v/>
      </c>
      <c r="J618" s="20" t="str">
        <f t="shared" si="25"/>
        <v/>
      </c>
      <c r="K618" s="23">
        <f>11*917</f>
        <v>10087</v>
      </c>
      <c r="L618" s="20"/>
      <c r="M618" s="23">
        <v>917.0</v>
      </c>
      <c r="N618" s="49">
        <v>11900.0</v>
      </c>
      <c r="O618" s="22">
        <f>IFERROR(__xludf.DUMMYFUNCTION("IFERROR(
  VLOOKUP(C618,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C618
    ), 
    7, FALSE
  ), 
  """"
)
"),11800.0)</f>
        <v>11800</v>
      </c>
      <c r="P618" s="22">
        <f>IFERROR(__xludf.DUMMYFUNCTION("IF(AND(Q618="""", R618=""""),
  """",
  IF(OR(ISBLANK(Q618), ISBLANK(O618)),
    """",
    IF(VALUE(SUBSTITUTE(INDEX(SPLIT(IF(ISBLANK(R618), Q618, R618), "",""), 0, 1), "" Km"", """")) - O618 = 0,
      """",
      VALUE(SUBSTITUTE(INDEX(SPLIT(IF(ISBLANK("&amp;"R618), Q618, R618), "",""), 0, 1), "" Km"", """")) - O618
    )
  )
)"),100.0)</f>
        <v>100</v>
      </c>
      <c r="Q618" s="23" t="str">
        <f t="shared" si="4"/>
        <v>11 900 Km, 12.02.2026</v>
      </c>
      <c r="R618" s="20"/>
      <c r="S618" s="41">
        <v>7000.0</v>
      </c>
      <c r="T618" s="13">
        <v>0.0</v>
      </c>
      <c r="U618" s="13" t="s">
        <v>1198</v>
      </c>
      <c r="V618" s="24"/>
      <c r="W618" s="24" t="str">
        <f t="shared" si="26"/>
        <v>Завершена</v>
      </c>
      <c r="X618" s="13" t="str">
        <f>IFERROR(__xludf.DUMMYFUNCTION("IF(C618 = """", """", IF(REGEXMATCH(C618, ""PCX|NMAX|ADV 150|CLICK""), ""скутер"", ""мото""))"),"мото")</f>
        <v>мото</v>
      </c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</row>
    <row r="619" hidden="1">
      <c r="A619" s="25" t="s">
        <v>24</v>
      </c>
      <c r="B619" s="25" t="s">
        <v>25</v>
      </c>
      <c r="C619" s="27" t="s">
        <v>202</v>
      </c>
      <c r="D619" s="27" t="s">
        <v>1199</v>
      </c>
      <c r="E619" s="43">
        <v>46060.0</v>
      </c>
      <c r="F619" s="39">
        <v>46074.416666666664</v>
      </c>
      <c r="G619" s="30" t="str">
        <f t="shared" si="36"/>
        <v>14 Д</v>
      </c>
      <c r="H619" s="31">
        <f t="shared" si="38"/>
        <v>595</v>
      </c>
      <c r="I619" s="32" t="str">
        <f t="shared" si="2"/>
        <v/>
      </c>
      <c r="J619" s="33" t="str">
        <f t="shared" si="25"/>
        <v/>
      </c>
      <c r="K619" s="36">
        <v>8330.0</v>
      </c>
      <c r="L619" s="33"/>
      <c r="M619" s="36">
        <v>595.0</v>
      </c>
      <c r="N619" s="34"/>
      <c r="O619" s="35">
        <f>IFERROR(__xludf.DUMMYFUNCTION("IFERROR(
  VLOOKUP(C619,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C619
    ), 
    7, FALSE
  ), 
  """"
)
"),30225.0)</f>
        <v>30225</v>
      </c>
      <c r="P619" s="35">
        <f>IFERROR(__xludf.DUMMYFUNCTION("IF(AND(Q619="""", R619=""""),
  """",
  IF(OR(ISBLANK(Q619), ISBLANK(O619)),
    """",
    IF(VALUE(SUBSTITUTE(INDEX(SPLIT(IF(ISBLANK(R619), Q619, R619), "",""), 0, 1), "" Km"", """")) - O619 = 0,
      """",
      VALUE(SUBSTITUTE(INDEX(SPLIT(IF(ISBLANK("&amp;"R619), Q619, R619), "",""), 0, 1), "" Km"", """")) - O619
    )
  )
)"),-30225.0)</f>
        <v>-30225</v>
      </c>
      <c r="Q619" s="36" t="str">
        <f t="shared" si="4"/>
        <v>0 Km, 07.02.2026</v>
      </c>
      <c r="R619" s="33"/>
      <c r="S619" s="40">
        <v>5000.0</v>
      </c>
      <c r="T619" s="25">
        <v>3.0</v>
      </c>
      <c r="U619" s="25" t="s">
        <v>1200</v>
      </c>
      <c r="V619" s="37"/>
      <c r="W619" s="37" t="str">
        <f t="shared" si="26"/>
        <v>Завершена</v>
      </c>
      <c r="X619" s="25" t="str">
        <f>IFERROR(__xludf.DUMMYFUNCTION("IF(C619 = """", """", IF(REGEXMATCH(C619, ""PCX|NMAX|ADV 150|CLICK""), ""скутер"", ""мото""))"),"мото")</f>
        <v>мото</v>
      </c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</row>
    <row r="620" hidden="1">
      <c r="A620" s="13" t="s">
        <v>24</v>
      </c>
      <c r="B620" s="13" t="s">
        <v>25</v>
      </c>
      <c r="C620" s="14" t="s">
        <v>92</v>
      </c>
      <c r="D620" s="14" t="s">
        <v>1201</v>
      </c>
      <c r="E620" s="48">
        <v>46065.0</v>
      </c>
      <c r="F620" s="38">
        <v>46074.458333333336</v>
      </c>
      <c r="G620" s="17" t="str">
        <f t="shared" si="36"/>
        <v>9 Д</v>
      </c>
      <c r="H620" s="18">
        <f t="shared" si="38"/>
        <v>764</v>
      </c>
      <c r="I620" s="19" t="str">
        <f t="shared" si="2"/>
        <v/>
      </c>
      <c r="J620" s="20" t="str">
        <f t="shared" si="25"/>
        <v/>
      </c>
      <c r="K620" s="23">
        <v>6876.0</v>
      </c>
      <c r="L620" s="20"/>
      <c r="M620" s="23">
        <v>764.0</v>
      </c>
      <c r="N620" s="21"/>
      <c r="O620" s="22">
        <f>IFERROR(__xludf.DUMMYFUNCTION("IFERROR(
  VLOOKUP(C620,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C620
    ), 
    7, FALSE
  ), 
  """"
)
"),23500.0)</f>
        <v>23500</v>
      </c>
      <c r="P620" s="22">
        <f>IFERROR(__xludf.DUMMYFUNCTION("IF(AND(Q620="""", R620=""""),
  """",
  IF(OR(ISBLANK(Q620), ISBLANK(O620)),
    """",
    IF(VALUE(SUBSTITUTE(INDEX(SPLIT(IF(ISBLANK(R620), Q620, R620), "",""), 0, 1), "" Km"", """")) - O620 = 0,
      """",
      VALUE(SUBSTITUTE(INDEX(SPLIT(IF(ISBLANK("&amp;"R620), Q620, R620), "",""), 0, 1), "" Km"", """")) - O620
    )
  )
)"),-23500.0)</f>
        <v>-23500</v>
      </c>
      <c r="Q620" s="23" t="str">
        <f t="shared" si="4"/>
        <v>0 Km, 12.02.2026</v>
      </c>
      <c r="R620" s="20"/>
      <c r="S620" s="41">
        <v>5000.0</v>
      </c>
      <c r="T620" s="13">
        <v>2.0</v>
      </c>
      <c r="U620" s="13" t="s">
        <v>1202</v>
      </c>
      <c r="V620" s="24"/>
      <c r="W620" s="24" t="str">
        <f t="shared" si="26"/>
        <v>Завершена</v>
      </c>
      <c r="X620" s="13" t="str">
        <f>IFERROR(__xludf.DUMMYFUNCTION("IF(C620 = """", """", IF(REGEXMATCH(C620, ""PCX|NMAX|ADV 150|CLICK""), ""скутер"", ""мото""))"),"мото")</f>
        <v>мото</v>
      </c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</row>
    <row r="621" hidden="1">
      <c r="A621" s="25" t="s">
        <v>24</v>
      </c>
      <c r="B621" s="25" t="s">
        <v>25</v>
      </c>
      <c r="C621" s="27" t="s">
        <v>928</v>
      </c>
      <c r="D621" s="27" t="s">
        <v>1193</v>
      </c>
      <c r="E621" s="43">
        <v>46070.0</v>
      </c>
      <c r="F621" s="39">
        <v>46074.541666666664</v>
      </c>
      <c r="G621" s="30" t="str">
        <f t="shared" si="36"/>
        <v>4 Д</v>
      </c>
      <c r="H621" s="31">
        <f t="shared" si="38"/>
        <v>986</v>
      </c>
      <c r="I621" s="32" t="str">
        <f t="shared" si="2"/>
        <v/>
      </c>
      <c r="J621" s="33" t="str">
        <f t="shared" si="25"/>
        <v/>
      </c>
      <c r="K621" s="36">
        <v>3944.0</v>
      </c>
      <c r="L621" s="33"/>
      <c r="M621" s="36">
        <v>986.0</v>
      </c>
      <c r="N621" s="34"/>
      <c r="O621" s="35">
        <f>IFERROR(__xludf.DUMMYFUNCTION("IFERROR(
  VLOOKUP(C621,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C621
    ), 
    7, FALSE
  ), 
  """"
)
"),11000.0)</f>
        <v>11000</v>
      </c>
      <c r="P621" s="35">
        <f>IFERROR(__xludf.DUMMYFUNCTION("IF(AND(Q621="""", R621=""""),
  """",
  IF(OR(ISBLANK(Q621), ISBLANK(O621)),
    """",
    IF(VALUE(SUBSTITUTE(INDEX(SPLIT(IF(ISBLANK(R621), Q621, R621), "",""), 0, 1), "" Km"", """")) - O621 = 0,
      """",
      VALUE(SUBSTITUTE(INDEX(SPLIT(IF(ISBLANK("&amp;"R621), Q621, R621), "",""), 0, 1), "" Km"", """")) - O621
    )
  )
)"),-11000.0)</f>
        <v>-11000</v>
      </c>
      <c r="Q621" s="36" t="str">
        <f t="shared" si="4"/>
        <v>0 Km, 17.02.2026</v>
      </c>
      <c r="R621" s="33"/>
      <c r="S621" s="40">
        <v>7000.0</v>
      </c>
      <c r="T621" s="25">
        <v>0.0</v>
      </c>
      <c r="U621" s="25" t="s">
        <v>1203</v>
      </c>
      <c r="V621" s="37"/>
      <c r="W621" s="37" t="str">
        <f t="shared" si="26"/>
        <v>Завершена</v>
      </c>
      <c r="X621" s="25" t="str">
        <f>IFERROR(__xludf.DUMMYFUNCTION("IF(C621 = """", """", IF(REGEXMATCH(C621, ""PCX|NMAX|ADV 150|CLICK""), ""скутер"", ""мото""))"),"мото")</f>
        <v>мото</v>
      </c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</row>
    <row r="622" hidden="1">
      <c r="A622" s="13" t="s">
        <v>24</v>
      </c>
      <c r="B622" s="13" t="s">
        <v>25</v>
      </c>
      <c r="C622" s="14" t="s">
        <v>68</v>
      </c>
      <c r="D622" s="14" t="s">
        <v>1204</v>
      </c>
      <c r="E622" s="48">
        <v>46058.0</v>
      </c>
      <c r="F622" s="38">
        <v>46079.583333333336</v>
      </c>
      <c r="G622" s="17" t="str">
        <f t="shared" si="36"/>
        <v>21 Д</v>
      </c>
      <c r="H622" s="18">
        <f t="shared" si="38"/>
        <v>368</v>
      </c>
      <c r="I622" s="19" t="str">
        <f t="shared" si="2"/>
        <v/>
      </c>
      <c r="J622" s="20" t="str">
        <f t="shared" si="25"/>
        <v/>
      </c>
      <c r="K622" s="23">
        <f>7728+568</f>
        <v>8296</v>
      </c>
      <c r="L622" s="20"/>
      <c r="M622" s="23">
        <v>368.0</v>
      </c>
      <c r="N622" s="21"/>
      <c r="O622" s="22">
        <f>IFERROR(__xludf.DUMMYFUNCTION("IFERROR(
  VLOOKUP(C622,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C622
    ), 
    7, FALSE
  ), 
  """"
)
"),24094.0)</f>
        <v>24094</v>
      </c>
      <c r="P622" s="22">
        <f>IFERROR(__xludf.DUMMYFUNCTION("IF(AND(Q622="""", R622=""""),
  """",
  IF(OR(ISBLANK(Q622), ISBLANK(O622)),
    """",
    IF(VALUE(SUBSTITUTE(INDEX(SPLIT(IF(ISBLANK(R622), Q622, R622), "",""), 0, 1), "" Km"", """")) - O622 = 0,
      """",
      VALUE(SUBSTITUTE(INDEX(SPLIT(IF(ISBLANK("&amp;"R622), Q622, R622), "",""), 0, 1), "" Km"", """")) - O622
    )
  )
)"),-24094.0)</f>
        <v>-24094</v>
      </c>
      <c r="Q622" s="23" t="str">
        <f t="shared" si="4"/>
        <v>0 Km, 05.02.2026</v>
      </c>
      <c r="R622" s="20"/>
      <c r="S622" s="41">
        <v>3000.0</v>
      </c>
      <c r="T622" s="13">
        <v>2.0</v>
      </c>
      <c r="U622" s="13" t="s">
        <v>1205</v>
      </c>
      <c r="V622" s="24"/>
      <c r="W622" s="24" t="str">
        <f t="shared" si="26"/>
        <v>Завершена</v>
      </c>
      <c r="X622" s="13" t="str">
        <f>IFERROR(__xludf.DUMMYFUNCTION("IF(C622 = """", """", IF(REGEXMATCH(C622, ""PCX|NMAX|ADV 150|CLICK""), ""скутер"", ""мото""))"),"скутер")</f>
        <v>скутер</v>
      </c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</row>
    <row r="623" hidden="1">
      <c r="A623" s="25" t="s">
        <v>24</v>
      </c>
      <c r="B623" s="25" t="s">
        <v>25</v>
      </c>
      <c r="C623" s="27" t="s">
        <v>948</v>
      </c>
      <c r="D623" s="27" t="s">
        <v>1206</v>
      </c>
      <c r="E623" s="43">
        <v>46060.0</v>
      </c>
      <c r="F623" s="39">
        <v>46081.5</v>
      </c>
      <c r="G623" s="30" t="str">
        <f t="shared" si="36"/>
        <v>21 Д</v>
      </c>
      <c r="H623" s="31">
        <f t="shared" si="38"/>
        <v>819</v>
      </c>
      <c r="I623" s="32" t="str">
        <f t="shared" si="2"/>
        <v/>
      </c>
      <c r="J623" s="33" t="str">
        <f t="shared" si="25"/>
        <v/>
      </c>
      <c r="K623" s="36">
        <v>17199.0</v>
      </c>
      <c r="L623" s="33"/>
      <c r="M623" s="36">
        <v>819.0</v>
      </c>
      <c r="N623" s="34"/>
      <c r="O623" s="35">
        <f>IFERROR(__xludf.DUMMYFUNCTION("IFERROR(
  VLOOKUP(C623,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C623
    ), 
    7, FALSE
  ), 
  """"
)
"),24553.0)</f>
        <v>24553</v>
      </c>
      <c r="P623" s="35">
        <f>IFERROR(__xludf.DUMMYFUNCTION("IF(AND(Q623="""", R623=""""),
  """",
  IF(OR(ISBLANK(Q623), ISBLANK(O623)),
    """",
    IF(VALUE(SUBSTITUTE(INDEX(SPLIT(IF(ISBLANK(R623), Q623, R623), "",""), 0, 1), "" Km"", """")) - O623 = 0,
      """",
      VALUE(SUBSTITUTE(INDEX(SPLIT(IF(ISBLANK("&amp;"R623), Q623, R623), "",""), 0, 1), "" Km"", """")) - O623
    )
  )
)"),-24553.0)</f>
        <v>-24553</v>
      </c>
      <c r="Q623" s="36" t="str">
        <f t="shared" si="4"/>
        <v>0 Km, 07.02.2026</v>
      </c>
      <c r="R623" s="33"/>
      <c r="S623" s="40">
        <v>7000.0</v>
      </c>
      <c r="T623" s="25">
        <v>2.0</v>
      </c>
      <c r="U623" s="25" t="s">
        <v>1207</v>
      </c>
      <c r="V623" s="37"/>
      <c r="W623" s="37" t="str">
        <f t="shared" si="26"/>
        <v>Завершена</v>
      </c>
      <c r="X623" s="25" t="str">
        <f>IFERROR(__xludf.DUMMYFUNCTION("IF(C623 = """", """", IF(REGEXMATCH(C623, ""PCX|NMAX|ADV 150|CLICK""), ""скутер"", ""мото""))"),"мото")</f>
        <v>мото</v>
      </c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</row>
    <row r="624" hidden="1">
      <c r="A624" s="13" t="s">
        <v>24</v>
      </c>
      <c r="B624" s="13" t="s">
        <v>25</v>
      </c>
      <c r="C624" s="14" t="s">
        <v>151</v>
      </c>
      <c r="D624" s="14" t="s">
        <v>469</v>
      </c>
      <c r="E624" s="48">
        <v>46071.0</v>
      </c>
      <c r="F624" s="38">
        <v>46081.625</v>
      </c>
      <c r="G624" s="17" t="str">
        <f t="shared" si="36"/>
        <v>10 Д</v>
      </c>
      <c r="H624" s="18">
        <f t="shared" si="38"/>
        <v>429</v>
      </c>
      <c r="I624" s="19" t="str">
        <f t="shared" si="2"/>
        <v/>
      </c>
      <c r="J624" s="20" t="str">
        <f t="shared" si="25"/>
        <v/>
      </c>
      <c r="K624" s="23">
        <v>4290.0</v>
      </c>
      <c r="L624" s="20"/>
      <c r="M624" s="23">
        <v>429.0</v>
      </c>
      <c r="N624" s="21"/>
      <c r="O624" s="22">
        <f>IFERROR(__xludf.DUMMYFUNCTION("IFERROR(
  VLOOKUP(C624,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C624
    ), 
    7, FALSE
  ), 
  """"
)
"),35800.0)</f>
        <v>35800</v>
      </c>
      <c r="P624" s="22">
        <f>IFERROR(__xludf.DUMMYFUNCTION("IF(AND(Q624="""", R624=""""),
  """",
  IF(OR(ISBLANK(Q624), ISBLANK(O624)),
    """",
    IF(VALUE(SUBSTITUTE(INDEX(SPLIT(IF(ISBLANK(R624), Q624, R624), "",""), 0, 1), "" Km"", """")) - O624 = 0,
      """",
      VALUE(SUBSTITUTE(INDEX(SPLIT(IF(ISBLANK("&amp;"R624), Q624, R624), "",""), 0, 1), "" Km"", """")) - O624
    )
  )
)"),-35800.0)</f>
        <v>-35800</v>
      </c>
      <c r="Q624" s="23" t="str">
        <f t="shared" si="4"/>
        <v>0 Km, 18.02.2026</v>
      </c>
      <c r="R624" s="20"/>
      <c r="S624" s="41">
        <v>3000.0</v>
      </c>
      <c r="T624" s="13">
        <v>0.0</v>
      </c>
      <c r="U624" s="13" t="s">
        <v>1208</v>
      </c>
      <c r="V624" s="24"/>
      <c r="W624" s="24" t="str">
        <f t="shared" si="26"/>
        <v>Завершена</v>
      </c>
      <c r="X624" s="13" t="str">
        <f>IFERROR(__xludf.DUMMYFUNCTION("IF(C624 = """", """", IF(REGEXMATCH(C624, ""PCX|NMAX|ADV 150|CLICK""), ""скутер"", ""мото""))"),"скутер")</f>
        <v>скутер</v>
      </c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</row>
    <row r="625" hidden="1">
      <c r="A625" s="25" t="s">
        <v>24</v>
      </c>
      <c r="B625" s="25" t="s">
        <v>25</v>
      </c>
      <c r="C625" s="27" t="s">
        <v>1028</v>
      </c>
      <c r="D625" s="27" t="s">
        <v>727</v>
      </c>
      <c r="E625" s="43">
        <v>46052.0</v>
      </c>
      <c r="F625" s="39">
        <v>46082.583333333336</v>
      </c>
      <c r="G625" s="30" t="str">
        <f t="shared" si="36"/>
        <v>30 Д</v>
      </c>
      <c r="H625" s="31">
        <f t="shared" si="38"/>
        <v>919</v>
      </c>
      <c r="I625" s="32" t="str">
        <f t="shared" si="2"/>
        <v/>
      </c>
      <c r="J625" s="33" t="str">
        <f t="shared" si="25"/>
        <v/>
      </c>
      <c r="K625" s="36">
        <f>11028+919*9+9*873</f>
        <v>27156</v>
      </c>
      <c r="L625" s="33"/>
      <c r="M625" s="36">
        <v>919.0</v>
      </c>
      <c r="N625" s="44">
        <v>22000.0</v>
      </c>
      <c r="O625" s="35">
        <f>IFERROR(__xludf.DUMMYFUNCTION("IFERROR(
  VLOOKUP(C625,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C625
    ), 
    7, FALSE
  ), 
  """"
)
"),21600.0)</f>
        <v>21600</v>
      </c>
      <c r="P625" s="35">
        <f>IFERROR(__xludf.DUMMYFUNCTION("IF(AND(Q625="""", R625=""""),
  """",
  IF(OR(ISBLANK(Q625), ISBLANK(O625)),
    """",
    IF(VALUE(SUBSTITUTE(INDEX(SPLIT(IF(ISBLANK(R625), Q625, R625), "",""), 0, 1), "" Km"", """")) - O625 = 0,
      """",
      VALUE(SUBSTITUTE(INDEX(SPLIT(IF(ISBLANK("&amp;"R625), Q625, R625), "",""), 0, 1), "" Km"", """")) - O625
    )
  )
)"),400.0)</f>
        <v>400</v>
      </c>
      <c r="Q625" s="36" t="str">
        <f t="shared" si="4"/>
        <v>22 000 Km, 30.01.2026</v>
      </c>
      <c r="R625" s="33"/>
      <c r="S625" s="40" t="s">
        <v>985</v>
      </c>
      <c r="T625" s="25">
        <v>2.0</v>
      </c>
      <c r="U625" s="25" t="s">
        <v>1209</v>
      </c>
      <c r="V625" s="25" t="s">
        <v>1210</v>
      </c>
      <c r="W625" s="37" t="str">
        <f t="shared" si="26"/>
        <v>Завершена</v>
      </c>
      <c r="X625" s="25" t="str">
        <f>IFERROR(__xludf.DUMMYFUNCTION("IF(C625 = """", """", IF(REGEXMATCH(C625, ""PCX|NMAX|ADV 150|CLICK""), ""скутер"", ""мото""))"),"мото")</f>
        <v>мото</v>
      </c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</row>
    <row r="626" hidden="1">
      <c r="A626" s="13" t="s">
        <v>24</v>
      </c>
      <c r="B626" s="13" t="s">
        <v>25</v>
      </c>
      <c r="C626" s="14" t="s">
        <v>77</v>
      </c>
      <c r="D626" s="14" t="s">
        <v>1211</v>
      </c>
      <c r="E626" s="48">
        <v>46081.0</v>
      </c>
      <c r="F626" s="38">
        <v>46092.458333333336</v>
      </c>
      <c r="G626" s="17" t="str">
        <f t="shared" si="36"/>
        <v>11 Д</v>
      </c>
      <c r="H626" s="18">
        <f t="shared" si="38"/>
        <v>433</v>
      </c>
      <c r="I626" s="19" t="str">
        <f t="shared" si="2"/>
        <v/>
      </c>
      <c r="J626" s="20" t="str">
        <f t="shared" si="25"/>
        <v/>
      </c>
      <c r="K626" s="23">
        <f>3897+866</f>
        <v>4763</v>
      </c>
      <c r="L626" s="20"/>
      <c r="M626" s="23">
        <v>433.0</v>
      </c>
      <c r="N626" s="21"/>
      <c r="O626" s="22">
        <f>IFERROR(__xludf.DUMMYFUNCTION("IFERROR(
  VLOOKUP(C626,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C626
    ), 
    7, FALSE
  ), 
  """"
)
"),37300.0)</f>
        <v>37300</v>
      </c>
      <c r="P626" s="22">
        <f>IFERROR(__xludf.DUMMYFUNCTION("IF(AND(Q626="""", R626=""""),
  """",
  IF(OR(ISBLANK(Q626), ISBLANK(O626)),
    """",
    IF(VALUE(SUBSTITUTE(INDEX(SPLIT(IF(ISBLANK(R626), Q626, R626), "",""), 0, 1), "" Km"", """")) - O626 = 0,
      """",
      VALUE(SUBSTITUTE(INDEX(SPLIT(IF(ISBLANK("&amp;"R626), Q626, R626), "",""), 0, 1), "" Km"", """")) - O626
    )
  )
)"),-37300.0)</f>
        <v>-37300</v>
      </c>
      <c r="Q626" s="23" t="str">
        <f t="shared" si="4"/>
        <v>0 Km, 28.02.2026</v>
      </c>
      <c r="R626" s="20"/>
      <c r="S626" s="41">
        <v>3000.0</v>
      </c>
      <c r="T626" s="13">
        <v>2.0</v>
      </c>
      <c r="U626" s="13" t="s">
        <v>1212</v>
      </c>
      <c r="V626" s="24"/>
      <c r="W626" s="24" t="str">
        <f t="shared" si="26"/>
        <v>Завершена</v>
      </c>
      <c r="X626" s="13" t="str">
        <f>IFERROR(__xludf.DUMMYFUNCTION("IF(C626 = """", """", IF(REGEXMATCH(C626, ""PCX|NMAX|ADV 150|CLICK""), ""скутер"", ""мото""))"),"скутер")</f>
        <v>скутер</v>
      </c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</row>
    <row r="627" hidden="1">
      <c r="A627" s="25" t="s">
        <v>24</v>
      </c>
      <c r="B627" s="25" t="s">
        <v>25</v>
      </c>
      <c r="C627" s="27" t="s">
        <v>73</v>
      </c>
      <c r="D627" s="27" t="s">
        <v>1213</v>
      </c>
      <c r="E627" s="43">
        <v>46077.0</v>
      </c>
      <c r="F627" s="39">
        <v>46085.541666666664</v>
      </c>
      <c r="G627" s="30" t="str">
        <f t="shared" si="36"/>
        <v>8 Д</v>
      </c>
      <c r="H627" s="31">
        <f t="shared" si="38"/>
        <v>430</v>
      </c>
      <c r="I627" s="32" t="str">
        <f t="shared" si="2"/>
        <v/>
      </c>
      <c r="J627" s="33" t="str">
        <f t="shared" si="25"/>
        <v/>
      </c>
      <c r="K627" s="36">
        <v>3440.0</v>
      </c>
      <c r="L627" s="33"/>
      <c r="M627" s="36">
        <v>430.0</v>
      </c>
      <c r="N627" s="44">
        <v>30000.0</v>
      </c>
      <c r="O627" s="35">
        <f>IFERROR(__xludf.DUMMYFUNCTION("IFERROR(
  VLOOKUP(C627,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C627
    ), 
    7, FALSE
  ), 
  """"
)
"),31000.0)</f>
        <v>31000</v>
      </c>
      <c r="P627" s="35">
        <f>IFERROR(__xludf.DUMMYFUNCTION("IF(AND(Q627="""", R627=""""),
  """",
  IF(OR(ISBLANK(Q627), ISBLANK(O627)),
    """",
    IF(VALUE(SUBSTITUTE(INDEX(SPLIT(IF(ISBLANK(R627), Q627, R627), "",""), 0, 1), "" Km"", """")) - O627 = 0,
      """",
      VALUE(SUBSTITUTE(INDEX(SPLIT(IF(ISBLANK("&amp;"R627), Q627, R627), "",""), 0, 1), "" Km"", """")) - O627
    )
  )
)"),-1000.0)</f>
        <v>-1000</v>
      </c>
      <c r="Q627" s="36" t="str">
        <f t="shared" si="4"/>
        <v>30 000 Km, 24.02.2026</v>
      </c>
      <c r="R627" s="33"/>
      <c r="S627" s="40">
        <v>3000.0</v>
      </c>
      <c r="T627" s="25">
        <v>2.0</v>
      </c>
      <c r="U627" s="71" t="s">
        <v>1214</v>
      </c>
      <c r="V627" s="37"/>
      <c r="W627" s="37" t="str">
        <f t="shared" si="26"/>
        <v>Завершена</v>
      </c>
      <c r="X627" s="25" t="str">
        <f>IFERROR(__xludf.DUMMYFUNCTION("IF(C627 = """", """", IF(REGEXMATCH(C627, ""PCX|NMAX|ADV 150|CLICK""), ""скутер"", ""мото""))"),"скутер")</f>
        <v>скутер</v>
      </c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</row>
    <row r="628" hidden="1">
      <c r="A628" s="13" t="s">
        <v>24</v>
      </c>
      <c r="B628" s="13" t="s">
        <v>25</v>
      </c>
      <c r="C628" s="14" t="s">
        <v>98</v>
      </c>
      <c r="D628" s="14" t="s">
        <v>1215</v>
      </c>
      <c r="E628" s="48">
        <v>46045.0</v>
      </c>
      <c r="F628" s="38">
        <v>46085.583333333336</v>
      </c>
      <c r="G628" s="17" t="str">
        <f t="shared" si="36"/>
        <v>40 Д</v>
      </c>
      <c r="H628" s="18">
        <f t="shared" si="38"/>
        <v>263</v>
      </c>
      <c r="I628" s="19" t="str">
        <f t="shared" si="2"/>
        <v/>
      </c>
      <c r="J628" s="20" t="str">
        <f t="shared" si="25"/>
        <v/>
      </c>
      <c r="K628" s="23">
        <v>10520.0</v>
      </c>
      <c r="L628" s="20"/>
      <c r="M628" s="23">
        <v>263.0</v>
      </c>
      <c r="N628" s="49">
        <v>35284.0</v>
      </c>
      <c r="O628" s="22">
        <f>IFERROR(__xludf.DUMMYFUNCTION("IFERROR(
  VLOOKUP(C628,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C628
    ), 
    7, FALSE
  ), 
  """"
)
"),32200.0)</f>
        <v>32200</v>
      </c>
      <c r="P628" s="22">
        <f>IFERROR(__xludf.DUMMYFUNCTION("IF(AND(Q628="""", R628=""""),
  """",
  IF(OR(ISBLANK(Q628), ISBLANK(O628)),
    """",
    IF(VALUE(SUBSTITUTE(INDEX(SPLIT(IF(ISBLANK(R628), Q628, R628), "",""), 0, 1), "" Km"", """")) - O628 = 0,
      """",
      VALUE(SUBSTITUTE(INDEX(SPLIT(IF(ISBLANK("&amp;"R628), Q628, R628), "",""), 0, 1), "" Km"", """")) - O628
    )
  )
)"),3084.0)</f>
        <v>3084</v>
      </c>
      <c r="Q628" s="23" t="str">
        <f t="shared" si="4"/>
        <v>35 284 Km, 23.01.2026</v>
      </c>
      <c r="R628" s="20"/>
      <c r="S628" s="41" t="s">
        <v>912</v>
      </c>
      <c r="T628" s="13">
        <v>2.0</v>
      </c>
      <c r="U628" s="13" t="s">
        <v>1216</v>
      </c>
      <c r="V628" s="24"/>
      <c r="W628" s="24" t="str">
        <f t="shared" si="26"/>
        <v>Завершена</v>
      </c>
      <c r="X628" s="13" t="str">
        <f>IFERROR(__xludf.DUMMYFUNCTION("IF(C628 = """", """", IF(REGEXMATCH(C628, ""PCX|NMAX|ADV 150|CLICK""), ""скутер"", ""мото""))"),"скутер")</f>
        <v>скутер</v>
      </c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</row>
    <row r="629" hidden="1">
      <c r="A629" s="25" t="s">
        <v>24</v>
      </c>
      <c r="B629" s="25" t="s">
        <v>25</v>
      </c>
      <c r="C629" s="27" t="s">
        <v>979</v>
      </c>
      <c r="D629" s="27" t="s">
        <v>1217</v>
      </c>
      <c r="E629" s="43">
        <v>46055.0</v>
      </c>
      <c r="F629" s="39">
        <v>46083.541666666664</v>
      </c>
      <c r="G629" s="30" t="str">
        <f t="shared" si="36"/>
        <v>28 Д</v>
      </c>
      <c r="H629" s="31">
        <f t="shared" si="38"/>
        <v>666.3333333</v>
      </c>
      <c r="I629" s="32" t="str">
        <f t="shared" si="2"/>
        <v/>
      </c>
      <c r="J629" s="33" t="str">
        <f t="shared" si="25"/>
        <v/>
      </c>
      <c r="K629" s="36">
        <v>19990.0</v>
      </c>
      <c r="L629" s="36">
        <v>19990.0</v>
      </c>
      <c r="M629" s="33"/>
      <c r="N629" s="44"/>
      <c r="O629" s="35">
        <f>IFERROR(__xludf.DUMMYFUNCTION("IFERROR(
  VLOOKUP(C629,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C629
    ), 
    7, FALSE
  ), 
  """"
)
"),6800.0)</f>
        <v>6800</v>
      </c>
      <c r="P629" s="35">
        <f>IFERROR(__xludf.DUMMYFUNCTION("IF(AND(Q629="""", R629=""""),
  """",
  IF(OR(ISBLANK(Q629), ISBLANK(O629)),
    """",
    IF(VALUE(SUBSTITUTE(INDEX(SPLIT(IF(ISBLANK(R629), Q629, R629), "",""), 0, 1), "" Km"", """")) - O629 = 0,
      """",
      VALUE(SUBSTITUTE(INDEX(SPLIT(IF(ISBLANK("&amp;"R629), Q629, R629), "",""), 0, 1), "" Km"", """")) - O629
    )
  )
)"),-6800.0)</f>
        <v>-6800</v>
      </c>
      <c r="Q629" s="36" t="str">
        <f t="shared" si="4"/>
        <v>0 Km, 02.02.2026</v>
      </c>
      <c r="R629" s="33"/>
      <c r="S629" s="40">
        <v>7000.0</v>
      </c>
      <c r="T629" s="25">
        <v>3.0</v>
      </c>
      <c r="U629" s="25" t="s">
        <v>1218</v>
      </c>
      <c r="V629" s="37"/>
      <c r="W629" s="37" t="str">
        <f t="shared" si="26"/>
        <v>Завершена</v>
      </c>
      <c r="X629" s="25" t="str">
        <f>IFERROR(__xludf.DUMMYFUNCTION("IF(C629 = """", """", IF(REGEXMATCH(C629, ""PCX|NMAX|ADV 150|CLICK""), ""скутер"", ""мото""))"),"мото")</f>
        <v>мото</v>
      </c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</row>
    <row r="630" hidden="1">
      <c r="A630" s="13" t="s">
        <v>24</v>
      </c>
      <c r="B630" s="13" t="s">
        <v>25</v>
      </c>
      <c r="C630" s="14" t="s">
        <v>48</v>
      </c>
      <c r="D630" s="14" t="s">
        <v>1219</v>
      </c>
      <c r="E630" s="48">
        <v>46080.0</v>
      </c>
      <c r="F630" s="38">
        <v>46087.458333333336</v>
      </c>
      <c r="G630" s="17" t="str">
        <f t="shared" si="36"/>
        <v>7 Д</v>
      </c>
      <c r="H630" s="18">
        <f t="shared" si="38"/>
        <v>443</v>
      </c>
      <c r="I630" s="19" t="str">
        <f t="shared" si="2"/>
        <v/>
      </c>
      <c r="J630" s="20" t="str">
        <f t="shared" si="25"/>
        <v/>
      </c>
      <c r="K630" s="23">
        <v>2658.0</v>
      </c>
      <c r="L630" s="20"/>
      <c r="M630" s="23">
        <v>443.0</v>
      </c>
      <c r="N630" s="21"/>
      <c r="O630" s="22">
        <f>IFERROR(__xludf.DUMMYFUNCTION("IFERROR(
  VLOOKUP(C630,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C630
    ), 
    7, FALSE
  ), 
  """"
)
"),35800.0)</f>
        <v>35800</v>
      </c>
      <c r="P630" s="22">
        <f>IFERROR(__xludf.DUMMYFUNCTION("IF(AND(Q630="""", R630=""""),
  """",
  IF(OR(ISBLANK(Q630), ISBLANK(O630)),
    """",
    IF(VALUE(SUBSTITUTE(INDEX(SPLIT(IF(ISBLANK(R630), Q630, R630), "",""), 0, 1), "" Km"", """")) - O630 = 0,
      """",
      VALUE(SUBSTITUTE(INDEX(SPLIT(IF(ISBLANK("&amp;"R630), Q630, R630), "",""), 0, 1), "" Km"", """")) - O630
    )
  )
)"),-35800.0)</f>
        <v>-35800</v>
      </c>
      <c r="Q630" s="23" t="str">
        <f t="shared" si="4"/>
        <v>0 Km, 27.02.2026</v>
      </c>
      <c r="R630" s="20"/>
      <c r="S630" s="41" t="s">
        <v>912</v>
      </c>
      <c r="T630" s="13">
        <v>1.0</v>
      </c>
      <c r="U630" s="13" t="s">
        <v>1220</v>
      </c>
      <c r="V630" s="24"/>
      <c r="W630" s="24" t="str">
        <f t="shared" si="26"/>
        <v>Завершена</v>
      </c>
      <c r="X630" s="13" t="str">
        <f>IFERROR(__xludf.DUMMYFUNCTION("IF(C630 = """", """", IF(REGEXMATCH(C630, ""PCX|NMAX|ADV 150|CLICK""), ""скутер"", ""мото""))"),"скутер")</f>
        <v>скутер</v>
      </c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</row>
    <row r="631" hidden="1">
      <c r="A631" s="25" t="s">
        <v>24</v>
      </c>
      <c r="B631" s="25" t="s">
        <v>25</v>
      </c>
      <c r="C631" s="27" t="s">
        <v>1065</v>
      </c>
      <c r="D631" s="27" t="s">
        <v>1213</v>
      </c>
      <c r="E631" s="43">
        <v>46077.0</v>
      </c>
      <c r="F631" s="39">
        <v>46087.541666666664</v>
      </c>
      <c r="G631" s="30" t="str">
        <f t="shared" si="36"/>
        <v>10 Д</v>
      </c>
      <c r="H631" s="31">
        <f t="shared" si="38"/>
        <v>887</v>
      </c>
      <c r="I631" s="32" t="str">
        <f t="shared" si="2"/>
        <v/>
      </c>
      <c r="J631" s="33" t="str">
        <f t="shared" si="25"/>
        <v/>
      </c>
      <c r="K631" s="36">
        <v>8870.0</v>
      </c>
      <c r="L631" s="33"/>
      <c r="M631" s="36">
        <v>887.0</v>
      </c>
      <c r="N631" s="44">
        <v>17081.0</v>
      </c>
      <c r="O631" s="35">
        <f>IFERROR(__xludf.DUMMYFUNCTION("IFERROR(
  VLOOKUP(C631,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C631
    ), 
    7, FALSE
  ), 
  """"
)
"),19130.0)</f>
        <v>19130</v>
      </c>
      <c r="P631" s="35">
        <f>IFERROR(__xludf.DUMMYFUNCTION("IF(AND(Q631="""", R631=""""),
  """",
  IF(OR(ISBLANK(Q631), ISBLANK(O631)),
    """",
    IF(VALUE(SUBSTITUTE(INDEX(SPLIT(IF(ISBLANK(R631), Q631, R631), "",""), 0, 1), "" Km"", """")) - O631 = 0,
      """",
      VALUE(SUBSTITUTE(INDEX(SPLIT(IF(ISBLANK("&amp;"R631), Q631, R631), "",""), 0, 1), "" Km"", """")) - O631
    )
  )
)"),-2049.0)</f>
        <v>-2049</v>
      </c>
      <c r="Q631" s="36" t="str">
        <f t="shared" si="4"/>
        <v>17 081 Km, 24.02.2026</v>
      </c>
      <c r="R631" s="33"/>
      <c r="S631" s="40">
        <v>5000.0</v>
      </c>
      <c r="T631" s="25">
        <v>2.0</v>
      </c>
      <c r="U631" s="71" t="s">
        <v>1214</v>
      </c>
      <c r="V631" s="37"/>
      <c r="W631" s="37" t="str">
        <f t="shared" si="26"/>
        <v>Завершена</v>
      </c>
      <c r="X631" s="25" t="str">
        <f>IFERROR(__xludf.DUMMYFUNCTION("IF(C631 = """", """", IF(REGEXMATCH(C631, ""PCX|NMAX|ADV 150|CLICK""), ""скутер"", ""мото""))"),"мото")</f>
        <v>мото</v>
      </c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</row>
    <row r="632" hidden="1">
      <c r="A632" s="13" t="s">
        <v>24</v>
      </c>
      <c r="B632" s="13" t="s">
        <v>25</v>
      </c>
      <c r="C632" s="14" t="s">
        <v>981</v>
      </c>
      <c r="D632" s="14" t="s">
        <v>878</v>
      </c>
      <c r="E632" s="48">
        <v>46033.0</v>
      </c>
      <c r="F632" s="38">
        <v>46087.625</v>
      </c>
      <c r="G632" s="17" t="str">
        <f t="shared" si="36"/>
        <v>54 Д</v>
      </c>
      <c r="H632" s="18">
        <f t="shared" si="38"/>
        <v>667</v>
      </c>
      <c r="I632" s="19" t="str">
        <f t="shared" si="2"/>
        <v/>
      </c>
      <c r="J632" s="20" t="str">
        <f t="shared" si="25"/>
        <v/>
      </c>
      <c r="K632" s="23">
        <v>36018.0</v>
      </c>
      <c r="L632" s="20"/>
      <c r="M632" s="23">
        <v>667.0</v>
      </c>
      <c r="N632" s="49">
        <v>7800.0</v>
      </c>
      <c r="O632" s="22">
        <f>IFERROR(__xludf.DUMMYFUNCTION("IFERROR(
  VLOOKUP(C632,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C632
    ), 
    7, FALSE
  ), 
  """"
)
"),6800.0)</f>
        <v>6800</v>
      </c>
      <c r="P632" s="22">
        <f>IFERROR(__xludf.DUMMYFUNCTION("IF(AND(Q632="""", R632=""""),
  """",
  IF(OR(ISBLANK(Q632), ISBLANK(O632)),
    """",
    IF(VALUE(SUBSTITUTE(INDEX(SPLIT(IF(ISBLANK(R632), Q632, R632), "",""), 0, 1), "" Km"", """")) - O632 = 0,
      """",
      VALUE(SUBSTITUTE(INDEX(SPLIT(IF(ISBLANK("&amp;"R632), Q632, R632), "",""), 0, 1), "" Km"", """")) - O632
    )
  )
)"),1000.0)</f>
        <v>1000</v>
      </c>
      <c r="Q632" s="23" t="str">
        <f t="shared" si="4"/>
        <v>7 800 Km, 11.01.2026</v>
      </c>
      <c r="R632" s="20"/>
      <c r="S632" s="41">
        <v>7000.0</v>
      </c>
      <c r="T632" s="13">
        <v>2.0</v>
      </c>
      <c r="U632" s="13" t="s">
        <v>1221</v>
      </c>
      <c r="V632" s="24"/>
      <c r="W632" s="24" t="str">
        <f t="shared" si="26"/>
        <v>Завершена</v>
      </c>
      <c r="X632" s="13" t="str">
        <f>IFERROR(__xludf.DUMMYFUNCTION("IF(C632 = """", """", IF(REGEXMATCH(C632, ""PCX|NMAX|ADV 150|CLICK""), ""скутер"", ""мото""))"),"мото")</f>
        <v>мото</v>
      </c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</row>
    <row r="633" hidden="1">
      <c r="A633" s="25" t="s">
        <v>24</v>
      </c>
      <c r="B633" s="25" t="s">
        <v>25</v>
      </c>
      <c r="C633" s="27" t="s">
        <v>279</v>
      </c>
      <c r="D633" s="27" t="s">
        <v>1222</v>
      </c>
      <c r="E633" s="43">
        <v>46072.0</v>
      </c>
      <c r="F633" s="39">
        <v>46087.75</v>
      </c>
      <c r="G633" s="30" t="str">
        <f t="shared" si="36"/>
        <v>15 Д</v>
      </c>
      <c r="H633" s="31">
        <f t="shared" si="38"/>
        <v>446</v>
      </c>
      <c r="I633" s="32" t="str">
        <f t="shared" si="2"/>
        <v/>
      </c>
      <c r="J633" s="33" t="str">
        <f t="shared" si="25"/>
        <v/>
      </c>
      <c r="K633" s="36">
        <v>6690.0</v>
      </c>
      <c r="L633" s="33"/>
      <c r="M633" s="36">
        <v>446.0</v>
      </c>
      <c r="N633" s="34"/>
      <c r="O633" s="35">
        <f>IFERROR(__xludf.DUMMYFUNCTION("IFERROR(
  VLOOKUP(C633,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C633
    ), 
    7, FALSE
  ), 
  """"
)
"),9000.0)</f>
        <v>9000</v>
      </c>
      <c r="P633" s="35">
        <f>IFERROR(__xludf.DUMMYFUNCTION("IF(AND(Q633="""", R633=""""),
  """",
  IF(OR(ISBLANK(Q633), ISBLANK(O633)),
    """",
    IF(VALUE(SUBSTITUTE(INDEX(SPLIT(IF(ISBLANK(R633), Q633, R633), "",""), 0, 1), "" Km"", """")) - O633 = 0,
      """",
      VALUE(SUBSTITUTE(INDEX(SPLIT(IF(ISBLANK("&amp;"R633), Q633, R633), "",""), 0, 1), "" Km"", """")) - O633
    )
  )
)"),-9000.0)</f>
        <v>-9000</v>
      </c>
      <c r="Q633" s="36" t="str">
        <f t="shared" si="4"/>
        <v>0 Km, 19.02.2026</v>
      </c>
      <c r="R633" s="33"/>
      <c r="S633" s="40">
        <v>7000.0</v>
      </c>
      <c r="T633" s="25">
        <v>0.0</v>
      </c>
      <c r="U633" s="25" t="s">
        <v>1223</v>
      </c>
      <c r="V633" s="37"/>
      <c r="W633" s="37" t="str">
        <f t="shared" si="26"/>
        <v>Завершена</v>
      </c>
      <c r="X633" s="25" t="str">
        <f>IFERROR(__xludf.DUMMYFUNCTION("IF(C633 = """", """", IF(REGEXMATCH(C633, ""PCX|NMAX|ADV 150|CLICK""), ""скутер"", ""мото""))"),"мото")</f>
        <v>мото</v>
      </c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</row>
    <row r="634" hidden="1">
      <c r="A634" s="87" t="s">
        <v>24</v>
      </c>
      <c r="B634" s="88" t="s">
        <v>25</v>
      </c>
      <c r="C634" s="144" t="s">
        <v>1028</v>
      </c>
      <c r="D634" s="103" t="s">
        <v>727</v>
      </c>
      <c r="E634" s="145">
        <v>46082.0</v>
      </c>
      <c r="F634" s="146">
        <v>46089.583333333336</v>
      </c>
      <c r="G634" s="89" t="str">
        <f t="shared" si="36"/>
        <v>7 Д</v>
      </c>
      <c r="H634" s="90">
        <f t="shared" si="38"/>
        <v>735</v>
      </c>
      <c r="I634" s="127" t="str">
        <f t="shared" si="2"/>
        <v/>
      </c>
      <c r="J634" s="94" t="str">
        <f t="shared" si="25"/>
        <v/>
      </c>
      <c r="K634" s="93">
        <f>735*7</f>
        <v>5145</v>
      </c>
      <c r="L634" s="97"/>
      <c r="M634" s="93">
        <v>735.0</v>
      </c>
      <c r="N634" s="126">
        <v>22000.0</v>
      </c>
      <c r="O634" s="96">
        <f>IFERROR(__xludf.DUMMYFUNCTION("IFERROR(
  VLOOKUP(C634,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C634
    ), 
    7, FALSE
  ), 
  """"
)
"),21600.0)</f>
        <v>21600</v>
      </c>
      <c r="P634" s="96">
        <f>IFERROR(__xludf.DUMMYFUNCTION("IF(AND(Q634="""", R634=""""),
  """",
  IF(OR(ISBLANK(Q634), ISBLANK(O634)),
    """",
    IF(VALUE(SUBSTITUTE(INDEX(SPLIT(IF(ISBLANK(R634), Q634, R634), "",""), 0, 1), "" Km"", """")) - O634 = 0,
      """",
      VALUE(SUBSTITUTE(INDEX(SPLIT(IF(ISBLANK("&amp;"R634), Q634, R634), "",""), 0, 1), "" Km"", """")) - O634
    )
  )
)"),400.0)</f>
        <v>400</v>
      </c>
      <c r="Q634" s="94" t="str">
        <f t="shared" si="4"/>
        <v>22 000 Km, 01.03.2026</v>
      </c>
      <c r="R634" s="97"/>
      <c r="S634" s="90" t="s">
        <v>985</v>
      </c>
      <c r="T634" s="98">
        <v>2.0</v>
      </c>
      <c r="U634" s="98" t="s">
        <v>1209</v>
      </c>
      <c r="V634" s="98" t="s">
        <v>1210</v>
      </c>
      <c r="W634" s="98" t="str">
        <f t="shared" si="26"/>
        <v>Завершена</v>
      </c>
      <c r="X634" s="100" t="str">
        <f>IFERROR(__xludf.DUMMYFUNCTION("IF(C634 = """", """", IF(REGEXMATCH(C634, ""PCX|NMAX|ADV 150|CLICK""), ""скутер"", ""мото""))"),"мото")</f>
        <v>мото</v>
      </c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  <c r="AM634" s="101"/>
    </row>
    <row r="635" hidden="1">
      <c r="A635" s="25" t="s">
        <v>24</v>
      </c>
      <c r="B635" s="25" t="s">
        <v>25</v>
      </c>
      <c r="C635" s="27" t="s">
        <v>923</v>
      </c>
      <c r="D635" s="27" t="s">
        <v>1224</v>
      </c>
      <c r="E635" s="43">
        <v>46076.0</v>
      </c>
      <c r="F635" s="39">
        <v>46090.458333333336</v>
      </c>
      <c r="G635" s="30" t="str">
        <f t="shared" si="36"/>
        <v>14 Д</v>
      </c>
      <c r="H635" s="31">
        <f t="shared" si="38"/>
        <v>859</v>
      </c>
      <c r="I635" s="32" t="str">
        <f t="shared" si="2"/>
        <v/>
      </c>
      <c r="J635" s="33" t="str">
        <f t="shared" si="25"/>
        <v/>
      </c>
      <c r="K635" s="36">
        <v>12026.0</v>
      </c>
      <c r="L635" s="33"/>
      <c r="M635" s="36">
        <v>859.0</v>
      </c>
      <c r="N635" s="34"/>
      <c r="O635" s="35">
        <f>IFERROR(__xludf.DUMMYFUNCTION("IFERROR(
  VLOOKUP(C635,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C635
    ), 
    7, FALSE
  ), 
  """"
)
"),25378.0)</f>
        <v>25378</v>
      </c>
      <c r="P635" s="35">
        <f>IFERROR(__xludf.DUMMYFUNCTION("IF(AND(Q635="""", R635=""""),
  """",
  IF(OR(ISBLANK(Q635), ISBLANK(O635)),
    """",
    IF(VALUE(SUBSTITUTE(INDEX(SPLIT(IF(ISBLANK(R635), Q635, R635), "",""), 0, 1), "" Km"", """")) - O635 = 0,
      """",
      VALUE(SUBSTITUTE(INDEX(SPLIT(IF(ISBLANK("&amp;"R635), Q635, R635), "",""), 0, 1), "" Km"", """")) - O635
    )
  )
)"),-25378.0)</f>
        <v>-25378</v>
      </c>
      <c r="Q635" s="36" t="str">
        <f t="shared" si="4"/>
        <v>0 Km, 23.02.2026</v>
      </c>
      <c r="R635" s="33"/>
      <c r="S635" s="40">
        <v>7000.0</v>
      </c>
      <c r="T635" s="25">
        <v>2.0</v>
      </c>
      <c r="U635" s="71" t="s">
        <v>1225</v>
      </c>
      <c r="V635" s="37"/>
      <c r="W635" s="37" t="str">
        <f t="shared" si="26"/>
        <v>Завершена</v>
      </c>
      <c r="X635" s="25" t="str">
        <f>IFERROR(__xludf.DUMMYFUNCTION("IF(C635 = """", """", IF(REGEXMATCH(C635, ""PCX|NMAX|ADV 150|CLICK""), ""скутер"", ""мото""))"),"мото")</f>
        <v>мото</v>
      </c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</row>
    <row r="636" hidden="1">
      <c r="A636" s="13" t="s">
        <v>24</v>
      </c>
      <c r="B636" s="13" t="s">
        <v>25</v>
      </c>
      <c r="C636" s="14" t="s">
        <v>928</v>
      </c>
      <c r="D636" s="14" t="s">
        <v>1224</v>
      </c>
      <c r="E636" s="48">
        <v>46076.0</v>
      </c>
      <c r="F636" s="38">
        <v>46090.458333333336</v>
      </c>
      <c r="G636" s="17" t="str">
        <f t="shared" si="36"/>
        <v>14 Д</v>
      </c>
      <c r="H636" s="18">
        <f t="shared" si="38"/>
        <v>809</v>
      </c>
      <c r="I636" s="19" t="str">
        <f t="shared" si="2"/>
        <v/>
      </c>
      <c r="J636" s="20" t="str">
        <f t="shared" si="25"/>
        <v/>
      </c>
      <c r="K636" s="23">
        <v>11326.0</v>
      </c>
      <c r="L636" s="20"/>
      <c r="M636" s="23">
        <v>809.0</v>
      </c>
      <c r="N636" s="21"/>
      <c r="O636" s="22">
        <f>IFERROR(__xludf.DUMMYFUNCTION("IFERROR(
  VLOOKUP(C636,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C636
    ), 
    7, FALSE
  ), 
  """"
)
"),11000.0)</f>
        <v>11000</v>
      </c>
      <c r="P636" s="22">
        <f>IFERROR(__xludf.DUMMYFUNCTION("IF(AND(Q636="""", R636=""""),
  """",
  IF(OR(ISBLANK(Q636), ISBLANK(O636)),
    """",
    IF(VALUE(SUBSTITUTE(INDEX(SPLIT(IF(ISBLANK(R636), Q636, R636), "",""), 0, 1), "" Km"", """")) - O636 = 0,
      """",
      VALUE(SUBSTITUTE(INDEX(SPLIT(IF(ISBLANK("&amp;"R636), Q636, R636), "",""), 0, 1), "" Km"", """")) - O636
    )
  )
)"),-11000.0)</f>
        <v>-11000</v>
      </c>
      <c r="Q636" s="23" t="str">
        <f t="shared" si="4"/>
        <v>0 Km, 23.02.2026</v>
      </c>
      <c r="R636" s="20"/>
      <c r="S636" s="41">
        <v>7000.0</v>
      </c>
      <c r="T636" s="13">
        <v>2.0</v>
      </c>
      <c r="U636" s="66" t="s">
        <v>1226</v>
      </c>
      <c r="V636" s="24"/>
      <c r="W636" s="24" t="str">
        <f t="shared" si="26"/>
        <v>Завершена</v>
      </c>
      <c r="X636" s="13" t="str">
        <f>IFERROR(__xludf.DUMMYFUNCTION("IF(C636 = """", """", IF(REGEXMATCH(C636, ""PCX|NMAX|ADV 150|CLICK""), ""скутер"", ""мото""))"),"мото")</f>
        <v>мото</v>
      </c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</row>
    <row r="637" hidden="1">
      <c r="A637" s="25" t="s">
        <v>24</v>
      </c>
      <c r="B637" s="25" t="s">
        <v>25</v>
      </c>
      <c r="C637" s="27" t="s">
        <v>946</v>
      </c>
      <c r="D637" s="27" t="s">
        <v>1227</v>
      </c>
      <c r="E637" s="43">
        <v>46084.0</v>
      </c>
      <c r="F637" s="39">
        <v>46090.541666666664</v>
      </c>
      <c r="G637" s="30" t="str">
        <f t="shared" si="36"/>
        <v>6 Д</v>
      </c>
      <c r="H637" s="31">
        <f t="shared" si="38"/>
        <v>803</v>
      </c>
      <c r="I637" s="32" t="str">
        <f t="shared" si="2"/>
        <v/>
      </c>
      <c r="J637" s="33" t="str">
        <f t="shared" si="25"/>
        <v/>
      </c>
      <c r="K637" s="36">
        <v>4818.0</v>
      </c>
      <c r="L637" s="33"/>
      <c r="M637" s="36">
        <v>803.0</v>
      </c>
      <c r="N637" s="34"/>
      <c r="O637" s="35">
        <f>IFERROR(__xludf.DUMMYFUNCTION("IFERROR(
  VLOOKUP(C637,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C637
    ), 
    7, FALSE
  ), 
  """"
)
"),20400.0)</f>
        <v>20400</v>
      </c>
      <c r="P637" s="35">
        <f>IFERROR(__xludf.DUMMYFUNCTION("IF(AND(Q637="""", R637=""""),
  """",
  IF(OR(ISBLANK(Q637), ISBLANK(O637)),
    """",
    IF(VALUE(SUBSTITUTE(INDEX(SPLIT(IF(ISBLANK(R637), Q637, R637), "",""), 0, 1), "" Km"", """")) - O637 = 0,
      """",
      VALUE(SUBSTITUTE(INDEX(SPLIT(IF(ISBLANK("&amp;"R637), Q637, R637), "",""), 0, 1), "" Km"", """")) - O637
    )
  )
)"),-20400.0)</f>
        <v>-20400</v>
      </c>
      <c r="Q637" s="36" t="str">
        <f t="shared" si="4"/>
        <v>0 Km, 03.03.2026</v>
      </c>
      <c r="R637" s="33"/>
      <c r="S637" s="40">
        <v>7000.0</v>
      </c>
      <c r="T637" s="25">
        <v>2.0</v>
      </c>
      <c r="U637" s="25" t="s">
        <v>1228</v>
      </c>
      <c r="V637" s="37"/>
      <c r="W637" s="37" t="str">
        <f t="shared" si="26"/>
        <v>Завершена</v>
      </c>
      <c r="X637" s="25" t="str">
        <f>IFERROR(__xludf.DUMMYFUNCTION("IF(C637 = """", """", IF(REGEXMATCH(C637, ""PCX|NMAX|ADV 150|CLICK""), ""скутер"", ""мото""))"),"мото")</f>
        <v>мото</v>
      </c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</row>
    <row r="638" hidden="1">
      <c r="A638" s="13" t="s">
        <v>24</v>
      </c>
      <c r="B638" s="13" t="s">
        <v>25</v>
      </c>
      <c r="C638" s="14" t="s">
        <v>56</v>
      </c>
      <c r="D638" s="14" t="s">
        <v>1229</v>
      </c>
      <c r="E638" s="48">
        <v>46081.0</v>
      </c>
      <c r="F638" s="38">
        <v>46092.458333333336</v>
      </c>
      <c r="G638" s="17" t="str">
        <f t="shared" si="36"/>
        <v>11 Д</v>
      </c>
      <c r="H638" s="18">
        <f t="shared" si="38"/>
        <v>433</v>
      </c>
      <c r="I638" s="19" t="str">
        <f t="shared" si="2"/>
        <v/>
      </c>
      <c r="J638" s="20" t="str">
        <f t="shared" si="25"/>
        <v/>
      </c>
      <c r="K638" s="23">
        <f>3897+866</f>
        <v>4763</v>
      </c>
      <c r="L638" s="20"/>
      <c r="M638" s="23">
        <v>433.0</v>
      </c>
      <c r="N638" s="21"/>
      <c r="O638" s="22">
        <f>IFERROR(__xludf.DUMMYFUNCTION("IFERROR(
  VLOOKUP(C638,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C638
    ), 
    7, FALSE
  ), 
  """"
)
"),36400.0)</f>
        <v>36400</v>
      </c>
      <c r="P638" s="22">
        <f>IFERROR(__xludf.DUMMYFUNCTION("IF(AND(Q638="""", R638=""""),
  """",
  IF(OR(ISBLANK(Q638), ISBLANK(O638)),
    """",
    IF(VALUE(SUBSTITUTE(INDEX(SPLIT(IF(ISBLANK(R638), Q638, R638), "",""), 0, 1), "" Km"", """")) - O638 = 0,
      """",
      VALUE(SUBSTITUTE(INDEX(SPLIT(IF(ISBLANK("&amp;"R638), Q638, R638), "",""), 0, 1), "" Km"", """")) - O638
    )
  )
)"),-36400.0)</f>
        <v>-36400</v>
      </c>
      <c r="Q638" s="23" t="str">
        <f t="shared" si="4"/>
        <v>0 Km, 28.02.2026</v>
      </c>
      <c r="R638" s="20"/>
      <c r="S638" s="41">
        <v>3000.0</v>
      </c>
      <c r="T638" s="13">
        <v>2.0</v>
      </c>
      <c r="U638" s="13" t="s">
        <v>1212</v>
      </c>
      <c r="V638" s="24"/>
      <c r="W638" s="24" t="str">
        <f t="shared" si="26"/>
        <v>Завершена</v>
      </c>
      <c r="X638" s="13" t="str">
        <f>IFERROR(__xludf.DUMMYFUNCTION("IF(C638 = """", """", IF(REGEXMATCH(C638, ""PCX|NMAX|ADV 150|CLICK""), ""скутер"", ""мото""))"),"скутер")</f>
        <v>скутер</v>
      </c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</row>
    <row r="639" hidden="1">
      <c r="A639" s="25" t="s">
        <v>24</v>
      </c>
      <c r="B639" s="25" t="s">
        <v>25</v>
      </c>
      <c r="C639" s="27" t="s">
        <v>114</v>
      </c>
      <c r="D639" s="27" t="s">
        <v>1230</v>
      </c>
      <c r="E639" s="43">
        <v>46051.0</v>
      </c>
      <c r="F639" s="39">
        <v>46093.458333333336</v>
      </c>
      <c r="G639" s="30" t="str">
        <f t="shared" si="36"/>
        <v>42 Д</v>
      </c>
      <c r="H639" s="31">
        <f t="shared" si="38"/>
        <v>263.3333333</v>
      </c>
      <c r="I639" s="32" t="str">
        <f t="shared" si="2"/>
        <v/>
      </c>
      <c r="J639" s="33" t="str">
        <f t="shared" si="25"/>
        <v/>
      </c>
      <c r="K639" s="36">
        <f>7900+2893+263</f>
        <v>11056</v>
      </c>
      <c r="L639" s="36">
        <v>7900.0</v>
      </c>
      <c r="M639" s="33"/>
      <c r="N639" s="44">
        <v>33983.0</v>
      </c>
      <c r="O639" s="35">
        <f>IFERROR(__xludf.DUMMYFUNCTION("IFERROR(
  VLOOKUP(C639,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C639
    ), 
    7, FALSE
  ), 
  """"
)
"),31800.0)</f>
        <v>31800</v>
      </c>
      <c r="P639" s="35">
        <f>IFERROR(__xludf.DUMMYFUNCTION("IF(AND(Q639="""", R639=""""),
  """",
  IF(OR(ISBLANK(Q639), ISBLANK(O639)),
    """",
    IF(VALUE(SUBSTITUTE(INDEX(SPLIT(IF(ISBLANK(R639), Q639, R639), "",""), 0, 1), "" Km"", """")) - O639 = 0,
      """",
      VALUE(SUBSTITUTE(INDEX(SPLIT(IF(ISBLANK("&amp;"R639), Q639, R639), "",""), 0, 1), "" Km"", """")) - O639
    )
  )
)"),2183.0)</f>
        <v>2183</v>
      </c>
      <c r="Q639" s="36" t="str">
        <f t="shared" si="4"/>
        <v>33 983 Km, 29.01.2026</v>
      </c>
      <c r="R639" s="33"/>
      <c r="S639" s="40">
        <v>3000.0</v>
      </c>
      <c r="T639" s="25">
        <v>2.0</v>
      </c>
      <c r="U639" s="25" t="s">
        <v>1231</v>
      </c>
      <c r="V639" s="37"/>
      <c r="W639" s="37" t="str">
        <f t="shared" si="26"/>
        <v>Завершена</v>
      </c>
      <c r="X639" s="25" t="str">
        <f>IFERROR(__xludf.DUMMYFUNCTION("IF(C639 = """", """", IF(REGEXMATCH(C639, ""PCX|NMAX|ADV 150|CLICK""), ""скутер"", ""мото""))"),"скутер")</f>
        <v>скутер</v>
      </c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</row>
    <row r="640" hidden="1">
      <c r="A640" s="13" t="s">
        <v>24</v>
      </c>
      <c r="B640" s="13" t="s">
        <v>25</v>
      </c>
      <c r="C640" s="14" t="s">
        <v>106</v>
      </c>
      <c r="D640" s="14" t="s">
        <v>1232</v>
      </c>
      <c r="E640" s="48">
        <v>46088.0</v>
      </c>
      <c r="F640" s="38">
        <v>46095.666666666664</v>
      </c>
      <c r="G640" s="17" t="str">
        <f t="shared" si="36"/>
        <v>7 Д</v>
      </c>
      <c r="H640" s="18">
        <f t="shared" si="38"/>
        <v>443</v>
      </c>
      <c r="I640" s="19" t="str">
        <f t="shared" si="2"/>
        <v/>
      </c>
      <c r="J640" s="20" t="str">
        <f t="shared" si="25"/>
        <v/>
      </c>
      <c r="K640" s="23">
        <f>3101+443</f>
        <v>3544</v>
      </c>
      <c r="L640" s="20"/>
      <c r="M640" s="23">
        <v>443.0</v>
      </c>
      <c r="N640" s="21"/>
      <c r="O640" s="22">
        <f>IFERROR(__xludf.DUMMYFUNCTION("IFERROR(
  VLOOKUP(C640,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C640
    ), 
    7, FALSE
  ), 
  """"
)
"),26000.0)</f>
        <v>26000</v>
      </c>
      <c r="P640" s="22">
        <f>IFERROR(__xludf.DUMMYFUNCTION("IF(AND(Q640="""", R640=""""),
  """",
  IF(OR(ISBLANK(Q640), ISBLANK(O640)),
    """",
    IF(VALUE(SUBSTITUTE(INDEX(SPLIT(IF(ISBLANK(R640), Q640, R640), "",""), 0, 1), "" Km"", """")) - O640 = 0,
      """",
      VALUE(SUBSTITUTE(INDEX(SPLIT(IF(ISBLANK("&amp;"R640), Q640, R640), "",""), 0, 1), "" Km"", """")) - O640
    )
  )
)"),-26000.0)</f>
        <v>-26000</v>
      </c>
      <c r="Q640" s="23" t="str">
        <f t="shared" si="4"/>
        <v>0 Km, 07.03.2026</v>
      </c>
      <c r="R640" s="20"/>
      <c r="S640" s="41">
        <v>3000.0</v>
      </c>
      <c r="T640" s="13">
        <v>2.0</v>
      </c>
      <c r="U640" s="13" t="s">
        <v>1233</v>
      </c>
      <c r="V640" s="24"/>
      <c r="W640" s="24" t="str">
        <f t="shared" si="26"/>
        <v>Завершена</v>
      </c>
      <c r="X640" s="13" t="str">
        <f>IFERROR(__xludf.DUMMYFUNCTION("IF(C640 = """", """", IF(REGEXMATCH(C640, ""PCX|NMAX|ADV 150|CLICK""), ""скутер"", ""мото""))"),"скутер")</f>
        <v>скутер</v>
      </c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</row>
    <row r="641" hidden="1">
      <c r="A641" s="25" t="s">
        <v>24</v>
      </c>
      <c r="B641" s="25" t="s">
        <v>25</v>
      </c>
      <c r="C641" s="27" t="s">
        <v>979</v>
      </c>
      <c r="D641" s="27" t="s">
        <v>878</v>
      </c>
      <c r="E641" s="43">
        <v>46091.0</v>
      </c>
      <c r="F641" s="39">
        <v>46094.583333333336</v>
      </c>
      <c r="G641" s="30" t="str">
        <f t="shared" si="36"/>
        <v>3 Д</v>
      </c>
      <c r="H641" s="31">
        <f t="shared" si="38"/>
        <v>700</v>
      </c>
      <c r="I641" s="32" t="str">
        <f t="shared" si="2"/>
        <v/>
      </c>
      <c r="J641" s="33" t="str">
        <f t="shared" si="25"/>
        <v/>
      </c>
      <c r="K641" s="36">
        <v>2100.0</v>
      </c>
      <c r="L641" s="36"/>
      <c r="M641" s="36">
        <v>700.0</v>
      </c>
      <c r="N641" s="34"/>
      <c r="O641" s="35">
        <f>IFERROR(__xludf.DUMMYFUNCTION("IFERROR(
  VLOOKUP(C641,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C641
    ), 
    7, FALSE
  ), 
  """"
)
"),6800.0)</f>
        <v>6800</v>
      </c>
      <c r="P641" s="35">
        <f>IFERROR(__xludf.DUMMYFUNCTION("IF(AND(Q641="""", R641=""""),
  """",
  IF(OR(ISBLANK(Q641), ISBLANK(O641)),
    """",
    IF(VALUE(SUBSTITUTE(INDEX(SPLIT(IF(ISBLANK(R641), Q641, R641), "",""), 0, 1), "" Km"", """")) - O641 = 0,
      """",
      VALUE(SUBSTITUTE(INDEX(SPLIT(IF(ISBLANK("&amp;"R641), Q641, R641), "",""), 0, 1), "" Km"", """")) - O641
    )
  )
)"),-6800.0)</f>
        <v>-6800</v>
      </c>
      <c r="Q641" s="36" t="str">
        <f t="shared" si="4"/>
        <v>0 Km, 10.03.2026</v>
      </c>
      <c r="R641" s="33"/>
      <c r="S641" s="40">
        <v>4900.0</v>
      </c>
      <c r="T641" s="25">
        <v>0.0</v>
      </c>
      <c r="U641" s="25" t="s">
        <v>1234</v>
      </c>
      <c r="V641" s="37"/>
      <c r="W641" s="37" t="str">
        <f t="shared" si="26"/>
        <v>Завершена</v>
      </c>
      <c r="X641" s="25" t="str">
        <f>IFERROR(__xludf.DUMMYFUNCTION("IF(C641 = """", """", IF(REGEXMATCH(C641, ""PCX|NMAX|ADV 150|CLICK""), ""скутер"", ""мото""))"),"мото")</f>
        <v>мото</v>
      </c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</row>
    <row r="642" hidden="1">
      <c r="A642" s="13" t="s">
        <v>24</v>
      </c>
      <c r="B642" s="13" t="s">
        <v>25</v>
      </c>
      <c r="C642" s="14" t="s">
        <v>202</v>
      </c>
      <c r="D642" s="14" t="s">
        <v>1235</v>
      </c>
      <c r="E642" s="48">
        <v>46084.0</v>
      </c>
      <c r="F642" s="38">
        <v>46094.708333333336</v>
      </c>
      <c r="G642" s="17" t="str">
        <f t="shared" si="36"/>
        <v>10 Д</v>
      </c>
      <c r="H642" s="18">
        <f t="shared" si="38"/>
        <v>565</v>
      </c>
      <c r="I642" s="19" t="str">
        <f t="shared" si="2"/>
        <v/>
      </c>
      <c r="J642" s="20" t="str">
        <f t="shared" si="25"/>
        <v/>
      </c>
      <c r="K642" s="23">
        <v>5650.0</v>
      </c>
      <c r="L642" s="20"/>
      <c r="M642" s="23">
        <v>565.0</v>
      </c>
      <c r="N642" s="21"/>
      <c r="O642" s="22">
        <f>IFERROR(__xludf.DUMMYFUNCTION("IFERROR(
  VLOOKUP(C642,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C642
    ), 
    7, FALSE
  ), 
  """"
)
"),30225.0)</f>
        <v>30225</v>
      </c>
      <c r="P642" s="22">
        <f>IFERROR(__xludf.DUMMYFUNCTION("IF(AND(Q642="""", R642=""""),
  """",
  IF(OR(ISBLANK(Q642), ISBLANK(O642)),
    """",
    IF(VALUE(SUBSTITUTE(INDEX(SPLIT(IF(ISBLANK(R642), Q642, R642), "",""), 0, 1), "" Km"", """")) - O642 = 0,
      """",
      VALUE(SUBSTITUTE(INDEX(SPLIT(IF(ISBLANK("&amp;"R642), Q642, R642), "",""), 0, 1), "" Km"", """")) - O642
    )
  )
)"),-30225.0)</f>
        <v>-30225</v>
      </c>
      <c r="Q642" s="23" t="str">
        <f t="shared" si="4"/>
        <v>0 Km, 03.03.2026</v>
      </c>
      <c r="R642" s="20"/>
      <c r="S642" s="41">
        <v>5000.0</v>
      </c>
      <c r="T642" s="13">
        <v>2.0</v>
      </c>
      <c r="U642" s="13" t="s">
        <v>1236</v>
      </c>
      <c r="V642" s="24"/>
      <c r="W642" s="24" t="str">
        <f t="shared" si="26"/>
        <v>Завершена</v>
      </c>
      <c r="X642" s="13" t="str">
        <f>IFERROR(__xludf.DUMMYFUNCTION("IF(C642 = """", """", IF(REGEXMATCH(C642, ""PCX|NMAX|ADV 150|CLICK""), ""скутер"", ""мото""))"),"мото")</f>
        <v>мото</v>
      </c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</row>
    <row r="643" hidden="1">
      <c r="A643" s="25" t="s">
        <v>24</v>
      </c>
      <c r="B643" s="25" t="s">
        <v>25</v>
      </c>
      <c r="C643" s="27" t="s">
        <v>68</v>
      </c>
      <c r="D643" s="27" t="s">
        <v>1237</v>
      </c>
      <c r="E643" s="43">
        <v>46084.0</v>
      </c>
      <c r="F643" s="39">
        <v>46095.5</v>
      </c>
      <c r="G643" s="30" t="str">
        <f t="shared" si="36"/>
        <v>11 Д</v>
      </c>
      <c r="H643" s="31">
        <f t="shared" si="38"/>
        <v>424</v>
      </c>
      <c r="I643" s="32" t="str">
        <f t="shared" si="2"/>
        <v/>
      </c>
      <c r="J643" s="33" t="str">
        <f t="shared" si="25"/>
        <v/>
      </c>
      <c r="K643" s="36">
        <v>4664.0</v>
      </c>
      <c r="L643" s="33"/>
      <c r="M643" s="36">
        <v>424.0</v>
      </c>
      <c r="N643" s="34"/>
      <c r="O643" s="35">
        <f>IFERROR(__xludf.DUMMYFUNCTION("IFERROR(
  VLOOKUP(C643,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C643
    ), 
    7, FALSE
  ), 
  """"
)
"),24094.0)</f>
        <v>24094</v>
      </c>
      <c r="P643" s="35">
        <f>IFERROR(__xludf.DUMMYFUNCTION("IF(AND(Q643="""", R643=""""),
  """",
  IF(OR(ISBLANK(Q643), ISBLANK(O643)),
    """",
    IF(VALUE(SUBSTITUTE(INDEX(SPLIT(IF(ISBLANK(R643), Q643, R643), "",""), 0, 1), "" Km"", """")) - O643 = 0,
      """",
      VALUE(SUBSTITUTE(INDEX(SPLIT(IF(ISBLANK("&amp;"R643), Q643, R643), "",""), 0, 1), "" Km"", """")) - O643
    )
  )
)"),-24094.0)</f>
        <v>-24094</v>
      </c>
      <c r="Q643" s="36" t="str">
        <f t="shared" si="4"/>
        <v>0 Km, 03.03.2026</v>
      </c>
      <c r="R643" s="33"/>
      <c r="S643" s="40">
        <v>3000.0</v>
      </c>
      <c r="T643" s="25">
        <v>2.0</v>
      </c>
      <c r="U643" s="71" t="s">
        <v>1238</v>
      </c>
      <c r="V643" s="37"/>
      <c r="W643" s="37" t="str">
        <f t="shared" si="26"/>
        <v>Завершена</v>
      </c>
      <c r="X643" s="25" t="str">
        <f>IFERROR(__xludf.DUMMYFUNCTION("IF(C643 = """", """", IF(REGEXMATCH(C643, ""PCX|NMAX|ADV 150|CLICK""), ""скутер"", ""мото""))"),"скутер")</f>
        <v>скутер</v>
      </c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</row>
    <row r="644" hidden="1">
      <c r="A644" s="13" t="s">
        <v>24</v>
      </c>
      <c r="B644" s="13" t="s">
        <v>25</v>
      </c>
      <c r="C644" s="14" t="s">
        <v>73</v>
      </c>
      <c r="D644" s="14" t="s">
        <v>1239</v>
      </c>
      <c r="E644" s="48">
        <v>46088.0</v>
      </c>
      <c r="F644" s="38">
        <v>46095.666666666664</v>
      </c>
      <c r="G644" s="17" t="str">
        <f t="shared" si="36"/>
        <v>7 Д</v>
      </c>
      <c r="H644" s="18">
        <f t="shared" si="38"/>
        <v>443</v>
      </c>
      <c r="I644" s="19" t="str">
        <f t="shared" si="2"/>
        <v/>
      </c>
      <c r="J644" s="20" t="str">
        <f t="shared" si="25"/>
        <v/>
      </c>
      <c r="K644" s="23">
        <f>3101+443</f>
        <v>3544</v>
      </c>
      <c r="L644" s="20"/>
      <c r="M644" s="23">
        <v>443.0</v>
      </c>
      <c r="N644" s="21"/>
      <c r="O644" s="22">
        <f>IFERROR(__xludf.DUMMYFUNCTION("IFERROR(
  VLOOKUP(C644,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C644
    ), 
    7, FALSE
  ), 
  """"
)
"),31000.0)</f>
        <v>31000</v>
      </c>
      <c r="P644" s="22">
        <f>IFERROR(__xludf.DUMMYFUNCTION("IF(AND(Q644="""", R644=""""),
  """",
  IF(OR(ISBLANK(Q644), ISBLANK(O644)),
    """",
    IF(VALUE(SUBSTITUTE(INDEX(SPLIT(IF(ISBLANK(R644), Q644, R644), "",""), 0, 1), "" Km"", """")) - O644 = 0,
      """",
      VALUE(SUBSTITUTE(INDEX(SPLIT(IF(ISBLANK("&amp;"R644), Q644, R644), "",""), 0, 1), "" Km"", """")) - O644
    )
  )
)"),-31000.0)</f>
        <v>-31000</v>
      </c>
      <c r="Q644" s="23" t="str">
        <f t="shared" si="4"/>
        <v>0 Km, 07.03.2026</v>
      </c>
      <c r="R644" s="20"/>
      <c r="S644" s="41">
        <v>3000.0</v>
      </c>
      <c r="T644" s="13">
        <v>2.0</v>
      </c>
      <c r="U644" s="13" t="s">
        <v>1233</v>
      </c>
      <c r="V644" s="24"/>
      <c r="W644" s="24" t="str">
        <f t="shared" si="26"/>
        <v>Завершена</v>
      </c>
      <c r="X644" s="13" t="str">
        <f>IFERROR(__xludf.DUMMYFUNCTION("IF(C644 = """", """", IF(REGEXMATCH(C644, ""PCX|NMAX|ADV 150|CLICK""), ""скутер"", ""мото""))"),"скутер")</f>
        <v>скутер</v>
      </c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</row>
    <row r="645" hidden="1">
      <c r="A645" s="25" t="s">
        <v>24</v>
      </c>
      <c r="B645" s="25" t="s">
        <v>25</v>
      </c>
      <c r="C645" s="27" t="s">
        <v>974</v>
      </c>
      <c r="D645" s="27" t="s">
        <v>1240</v>
      </c>
      <c r="E645" s="43">
        <v>46088.0</v>
      </c>
      <c r="F645" s="39">
        <v>46095.75</v>
      </c>
      <c r="G645" s="30" t="str">
        <f t="shared" si="36"/>
        <v>7 Д</v>
      </c>
      <c r="H645" s="31">
        <f t="shared" si="38"/>
        <v>594</v>
      </c>
      <c r="I645" s="32" t="str">
        <f t="shared" si="2"/>
        <v/>
      </c>
      <c r="J645" s="33" t="str">
        <f t="shared" si="25"/>
        <v/>
      </c>
      <c r="K645" s="36">
        <v>4158.0</v>
      </c>
      <c r="L645" s="33"/>
      <c r="M645" s="36">
        <v>594.0</v>
      </c>
      <c r="N645" s="34"/>
      <c r="O645" s="35">
        <f>IFERROR(__xludf.DUMMYFUNCTION("IFERROR(
  VLOOKUP(C645,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C645
    ), 
    7, FALSE
  ), 
  """"
)
"),11800.0)</f>
        <v>11800</v>
      </c>
      <c r="P645" s="35">
        <f>IFERROR(__xludf.DUMMYFUNCTION("IF(AND(Q645="""", R645=""""),
  """",
  IF(OR(ISBLANK(Q645), ISBLANK(O645)),
    """",
    IF(VALUE(SUBSTITUTE(INDEX(SPLIT(IF(ISBLANK(R645), Q645, R645), "",""), 0, 1), "" Km"", """")) - O645 = 0,
      """",
      VALUE(SUBSTITUTE(INDEX(SPLIT(IF(ISBLANK("&amp;"R645), Q645, R645), "",""), 0, 1), "" Km"", """")) - O645
    )
  )
)"),-11800.0)</f>
        <v>-11800</v>
      </c>
      <c r="Q645" s="36" t="str">
        <f t="shared" si="4"/>
        <v>0 Km, 07.03.2026</v>
      </c>
      <c r="R645" s="33"/>
      <c r="S645" s="40">
        <v>5000.0</v>
      </c>
      <c r="T645" s="25">
        <v>2.0</v>
      </c>
      <c r="U645" s="71" t="s">
        <v>1241</v>
      </c>
      <c r="V645" s="37"/>
      <c r="W645" s="37" t="str">
        <f t="shared" si="26"/>
        <v>Завершена</v>
      </c>
      <c r="X645" s="25" t="str">
        <f>IFERROR(__xludf.DUMMYFUNCTION("IF(C645 = """", """", IF(REGEXMATCH(C645, ""PCX|NMAX|ADV 150|CLICK""), ""скутер"", ""мото""))"),"мото")</f>
        <v>мото</v>
      </c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</row>
    <row r="646" hidden="1">
      <c r="A646" s="13" t="s">
        <v>24</v>
      </c>
      <c r="B646" s="13" t="s">
        <v>25</v>
      </c>
      <c r="C646" s="14" t="s">
        <v>151</v>
      </c>
      <c r="D646" s="14" t="s">
        <v>1242</v>
      </c>
      <c r="E646" s="48">
        <v>46084.0</v>
      </c>
      <c r="F646" s="38">
        <v>46096.583333333336</v>
      </c>
      <c r="G646" s="17" t="str">
        <f t="shared" si="36"/>
        <v>12 Д</v>
      </c>
      <c r="H646" s="18">
        <f t="shared" si="38"/>
        <v>167</v>
      </c>
      <c r="I646" s="19" t="str">
        <f t="shared" si="2"/>
        <v/>
      </c>
      <c r="J646" s="20" t="str">
        <f t="shared" si="25"/>
        <v/>
      </c>
      <c r="K646" s="23">
        <f>331*12/2</f>
        <v>1986</v>
      </c>
      <c r="L646" s="20"/>
      <c r="M646" s="23">
        <v>167.0</v>
      </c>
      <c r="N646" s="21"/>
      <c r="O646" s="22">
        <f>IFERROR(__xludf.DUMMYFUNCTION("IFERROR(
  VLOOKUP(C646,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C646
    ), 
    7, FALSE
  ), 
  """"
)
"),35800.0)</f>
        <v>35800</v>
      </c>
      <c r="P646" s="22">
        <f>IFERROR(__xludf.DUMMYFUNCTION("IF(AND(Q646="""", R646=""""),
  """",
  IF(OR(ISBLANK(Q646), ISBLANK(O646)),
    """",
    IF(VALUE(SUBSTITUTE(INDEX(SPLIT(IF(ISBLANK(R646), Q646, R646), "",""), 0, 1), "" Km"", """")) - O646 = 0,
      """",
      VALUE(SUBSTITUTE(INDEX(SPLIT(IF(ISBLANK("&amp;"R646), Q646, R646), "",""), 0, 1), "" Km"", """")) - O646
    )
  )
)"),-35800.0)</f>
        <v>-35800</v>
      </c>
      <c r="Q646" s="23" t="str">
        <f t="shared" si="4"/>
        <v>0 Km, 03.03.2026</v>
      </c>
      <c r="R646" s="20"/>
      <c r="S646" s="41">
        <v>3000.0</v>
      </c>
      <c r="T646" s="13">
        <v>1.0</v>
      </c>
      <c r="U646" s="13" t="s">
        <v>1243</v>
      </c>
      <c r="V646" s="24"/>
      <c r="W646" s="24" t="str">
        <f t="shared" si="26"/>
        <v>Завершена</v>
      </c>
      <c r="X646" s="13" t="str">
        <f>IFERROR(__xludf.DUMMYFUNCTION("IF(C646 = """", """", IF(REGEXMATCH(C646, ""PCX|NMAX|ADV 150|CLICK""), ""скутер"", ""мото""))"),"скутер")</f>
        <v>скутер</v>
      </c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</row>
    <row r="647" hidden="1">
      <c r="A647" s="25" t="s">
        <v>24</v>
      </c>
      <c r="B647" s="25" t="s">
        <v>25</v>
      </c>
      <c r="C647" s="27" t="s">
        <v>941</v>
      </c>
      <c r="D647" s="27" t="s">
        <v>1244</v>
      </c>
      <c r="E647" s="43">
        <v>46049.0</v>
      </c>
      <c r="F647" s="39">
        <v>46080.5</v>
      </c>
      <c r="G647" s="30" t="str">
        <f t="shared" si="36"/>
        <v>31 Д</v>
      </c>
      <c r="H647" s="31">
        <f t="shared" si="38"/>
        <v>630</v>
      </c>
      <c r="I647" s="32" t="str">
        <f t="shared" si="2"/>
        <v/>
      </c>
      <c r="J647" s="33" t="str">
        <f t="shared" si="25"/>
        <v/>
      </c>
      <c r="K647" s="36">
        <f>18900</f>
        <v>18900</v>
      </c>
      <c r="L647" s="36">
        <v>18900.0</v>
      </c>
      <c r="M647" s="33"/>
      <c r="N647" s="44">
        <v>15157.0</v>
      </c>
      <c r="O647" s="35">
        <f>IFERROR(__xludf.DUMMYFUNCTION("IFERROR(
  VLOOKUP(C647,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C647
    ), 
    7, FALSE
  ), 
  """"
)
"),18302.0)</f>
        <v>18302</v>
      </c>
      <c r="P647" s="35">
        <f>IFERROR(__xludf.DUMMYFUNCTION("IF(AND(Q647="""", R647=""""),
  """",
  IF(OR(ISBLANK(Q647), ISBLANK(O647)),
    """",
    IF(VALUE(SUBSTITUTE(INDEX(SPLIT(IF(ISBLANK(R647), Q647, R647), "",""), 0, 1), "" Km"", """")) - O647 = 0,
      """",
      VALUE(SUBSTITUTE(INDEX(SPLIT(IF(ISBLANK("&amp;"R647), Q647, R647), "",""), 0, 1), "" Km"", """")) - O647
    )
  )
)"),-3145.0)</f>
        <v>-3145</v>
      </c>
      <c r="Q647" s="36" t="str">
        <f t="shared" si="4"/>
        <v>15 157 Km, 27.01.2026</v>
      </c>
      <c r="R647" s="33"/>
      <c r="S647" s="40">
        <v>6910.0</v>
      </c>
      <c r="T647" s="25">
        <v>2.0</v>
      </c>
      <c r="U647" s="25" t="s">
        <v>1245</v>
      </c>
      <c r="V647" s="37"/>
      <c r="W647" s="37" t="str">
        <f t="shared" si="26"/>
        <v>Завершена</v>
      </c>
      <c r="X647" s="25" t="str">
        <f>IFERROR(__xludf.DUMMYFUNCTION("IF(C647 = """", """", IF(REGEXMATCH(C647, ""PCX|NMAX|ADV 150|CLICK""), ""скутер"", ""мото""))"),"мото")</f>
        <v>мото</v>
      </c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</row>
    <row r="648" hidden="1">
      <c r="A648" s="13" t="s">
        <v>24</v>
      </c>
      <c r="B648" s="13" t="s">
        <v>25</v>
      </c>
      <c r="C648" s="14" t="s">
        <v>48</v>
      </c>
      <c r="D648" s="14" t="s">
        <v>1246</v>
      </c>
      <c r="E648" s="48">
        <v>46092.0</v>
      </c>
      <c r="F648" s="38">
        <v>46097.75</v>
      </c>
      <c r="G648" s="17" t="str">
        <f t="shared" si="36"/>
        <v>5 Д</v>
      </c>
      <c r="H648" s="18">
        <f t="shared" si="38"/>
        <v>404</v>
      </c>
      <c r="I648" s="19" t="str">
        <f t="shared" si="2"/>
        <v/>
      </c>
      <c r="J648" s="20" t="str">
        <f t="shared" si="25"/>
        <v/>
      </c>
      <c r="K648" s="23">
        <v>2020.0</v>
      </c>
      <c r="L648" s="20"/>
      <c r="M648" s="23">
        <v>404.0</v>
      </c>
      <c r="N648" s="21"/>
      <c r="O648" s="22">
        <f>IFERROR(__xludf.DUMMYFUNCTION("IFERROR(
  VLOOKUP(C648,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C648
    ), 
    7, FALSE
  ), 
  """"
)
"),35800.0)</f>
        <v>35800</v>
      </c>
      <c r="P648" s="22">
        <f>IFERROR(__xludf.DUMMYFUNCTION("IF(AND(Q648="""", R648=""""),
  """",
  IF(OR(ISBLANK(Q648), ISBLANK(O648)),
    """",
    IF(VALUE(SUBSTITUTE(INDEX(SPLIT(IF(ISBLANK(R648), Q648, R648), "",""), 0, 1), "" Km"", """")) - O648 = 0,
      """",
      VALUE(SUBSTITUTE(INDEX(SPLIT(IF(ISBLANK("&amp;"R648), Q648, R648), "",""), 0, 1), "" Km"", """")) - O648
    )
  )
)"),-35800.0)</f>
        <v>-35800</v>
      </c>
      <c r="Q648" s="23" t="str">
        <f t="shared" si="4"/>
        <v>0 Km, 11.03.2026</v>
      </c>
      <c r="R648" s="20"/>
      <c r="S648" s="41">
        <v>3000.0</v>
      </c>
      <c r="T648" s="13">
        <v>2.0</v>
      </c>
      <c r="U648" s="13" t="s">
        <v>1247</v>
      </c>
      <c r="V648" s="24"/>
      <c r="W648" s="24" t="str">
        <f t="shared" si="26"/>
        <v>Завершена</v>
      </c>
      <c r="X648" s="13" t="str">
        <f>IFERROR(__xludf.DUMMYFUNCTION("IF(C648 = """", """", IF(REGEXMATCH(C648, ""PCX|NMAX|ADV 150|CLICK""), ""скутер"", ""мото""))"),"скутер")</f>
        <v>скутер</v>
      </c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</row>
    <row r="649" hidden="1">
      <c r="A649" s="25" t="s">
        <v>24</v>
      </c>
      <c r="B649" s="25" t="s">
        <v>25</v>
      </c>
      <c r="C649" s="27" t="s">
        <v>941</v>
      </c>
      <c r="D649" s="27" t="s">
        <v>1244</v>
      </c>
      <c r="E649" s="43">
        <v>46080.0</v>
      </c>
      <c r="F649" s="39">
        <v>46098.5</v>
      </c>
      <c r="G649" s="30" t="str">
        <f t="shared" si="36"/>
        <v>18 Д</v>
      </c>
      <c r="H649" s="31">
        <f t="shared" si="38"/>
        <v>590</v>
      </c>
      <c r="I649" s="32" t="str">
        <f t="shared" si="2"/>
        <v/>
      </c>
      <c r="J649" s="33" t="str">
        <f t="shared" si="25"/>
        <v/>
      </c>
      <c r="K649" s="36">
        <f>3000+7700+690*2</f>
        <v>12080</v>
      </c>
      <c r="L649" s="36"/>
      <c r="M649" s="36">
        <v>590.0</v>
      </c>
      <c r="N649" s="44">
        <v>15157.0</v>
      </c>
      <c r="O649" s="35">
        <f>IFERROR(__xludf.DUMMYFUNCTION("IFERROR(
  VLOOKUP(C649,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C649
    ), 
    7, FALSE
  ), 
  """"
)
"),18302.0)</f>
        <v>18302</v>
      </c>
      <c r="P649" s="35">
        <f>IFERROR(__xludf.DUMMYFUNCTION("IF(AND(Q649="""", R649=""""),
  """",
  IF(OR(ISBLANK(Q649), ISBLANK(O649)),
    """",
    IF(VALUE(SUBSTITUTE(INDEX(SPLIT(IF(ISBLANK(R649), Q649, R649), "",""), 0, 1), "" Km"", """")) - O649 = 0,
      """",
      VALUE(SUBSTITUTE(INDEX(SPLIT(IF(ISBLANK("&amp;"R649), Q649, R649), "",""), 0, 1), "" Km"", """")) - O649
    )
  )
)"),-3145.0)</f>
        <v>-3145</v>
      </c>
      <c r="Q649" s="36" t="str">
        <f t="shared" si="4"/>
        <v>15 157 Km, 27.02.2026</v>
      </c>
      <c r="R649" s="33"/>
      <c r="S649" s="40">
        <v>6910.0</v>
      </c>
      <c r="T649" s="25">
        <v>2.0</v>
      </c>
      <c r="U649" s="25" t="s">
        <v>1245</v>
      </c>
      <c r="V649" s="37"/>
      <c r="W649" s="37" t="str">
        <f t="shared" si="26"/>
        <v>Завершена</v>
      </c>
      <c r="X649" s="25" t="str">
        <f>IFERROR(__xludf.DUMMYFUNCTION("IF(C649 = """", """", IF(REGEXMATCH(C649, ""PCX|NMAX|ADV 150|CLICK""), ""скутер"", ""мото""))"),"мото")</f>
        <v>мото</v>
      </c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</row>
    <row r="650" hidden="1">
      <c r="A650" s="13" t="s">
        <v>24</v>
      </c>
      <c r="B650" s="13" t="s">
        <v>25</v>
      </c>
      <c r="C650" s="14" t="s">
        <v>114</v>
      </c>
      <c r="D650" s="14" t="s">
        <v>1248</v>
      </c>
      <c r="E650" s="48">
        <v>46095.0</v>
      </c>
      <c r="F650" s="38">
        <v>46098.75</v>
      </c>
      <c r="G650" s="17" t="str">
        <f t="shared" si="36"/>
        <v>3 Д</v>
      </c>
      <c r="H650" s="18">
        <f t="shared" si="38"/>
        <v>400</v>
      </c>
      <c r="I650" s="19" t="str">
        <f t="shared" si="2"/>
        <v/>
      </c>
      <c r="J650" s="20" t="str">
        <f t="shared" si="25"/>
        <v/>
      </c>
      <c r="K650" s="23">
        <v>1200.0</v>
      </c>
      <c r="L650" s="20"/>
      <c r="M650" s="23">
        <v>400.0</v>
      </c>
      <c r="N650" s="21"/>
      <c r="O650" s="22">
        <f>IFERROR(__xludf.DUMMYFUNCTION("IFERROR(
  VLOOKUP(C650,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C650
    ), 
    7, FALSE
  ), 
  """"
)
"),31800.0)</f>
        <v>31800</v>
      </c>
      <c r="P650" s="22">
        <f>IFERROR(__xludf.DUMMYFUNCTION("IF(AND(Q650="""", R650=""""),
  """",
  IF(OR(ISBLANK(Q650), ISBLANK(O650)),
    """",
    IF(VALUE(SUBSTITUTE(INDEX(SPLIT(IF(ISBLANK(R650), Q650, R650), "",""), 0, 1), "" Km"", """")) - O650 = 0,
      """",
      VALUE(SUBSTITUTE(INDEX(SPLIT(IF(ISBLANK("&amp;"R650), Q650, R650), "",""), 0, 1), "" Km"", """")) - O650
    )
  )
)"),-31800.0)</f>
        <v>-31800</v>
      </c>
      <c r="Q650" s="23" t="str">
        <f t="shared" si="4"/>
        <v>0 Km, 14.03.2026</v>
      </c>
      <c r="R650" s="20"/>
      <c r="S650" s="41">
        <v>3000.0</v>
      </c>
      <c r="T650" s="13">
        <v>2.0</v>
      </c>
      <c r="U650" s="13" t="s">
        <v>1249</v>
      </c>
      <c r="V650" s="24"/>
      <c r="W650" s="24" t="str">
        <f t="shared" si="26"/>
        <v>Завершена</v>
      </c>
      <c r="X650" s="13" t="str">
        <f>IFERROR(__xludf.DUMMYFUNCTION("IF(C650 = """", """", IF(REGEXMATCH(C650, ""PCX|NMAX|ADV 150|CLICK""), ""скутер"", ""мото""))"),"скутер")</f>
        <v>скутер</v>
      </c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</row>
    <row r="651" hidden="1">
      <c r="A651" s="25" t="s">
        <v>24</v>
      </c>
      <c r="B651" s="25" t="s">
        <v>25</v>
      </c>
      <c r="C651" s="27" t="s">
        <v>981</v>
      </c>
      <c r="D651" s="27" t="s">
        <v>1213</v>
      </c>
      <c r="E651" s="43">
        <v>46091.0</v>
      </c>
      <c r="F651" s="39">
        <v>46099.416666666664</v>
      </c>
      <c r="G651" s="30" t="str">
        <f t="shared" si="36"/>
        <v>8 Д</v>
      </c>
      <c r="H651" s="31">
        <f t="shared" si="38"/>
        <v>800</v>
      </c>
      <c r="I651" s="32" t="str">
        <f t="shared" si="2"/>
        <v/>
      </c>
      <c r="J651" s="33" t="str">
        <f t="shared" si="25"/>
        <v/>
      </c>
      <c r="K651" s="36">
        <f>800*8</f>
        <v>6400</v>
      </c>
      <c r="L651" s="33"/>
      <c r="M651" s="36">
        <v>800.0</v>
      </c>
      <c r="N651" s="34"/>
      <c r="O651" s="35">
        <f>IFERROR(__xludf.DUMMYFUNCTION("IFERROR(
  VLOOKUP(C651,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C651
    ), 
    7, FALSE
  ), 
  """"
)
"),6800.0)</f>
        <v>6800</v>
      </c>
      <c r="P651" s="35">
        <f>IFERROR(__xludf.DUMMYFUNCTION("IF(AND(Q651="""", R651=""""),
  """",
  IF(OR(ISBLANK(Q651), ISBLANK(O651)),
    """",
    IF(VALUE(SUBSTITUTE(INDEX(SPLIT(IF(ISBLANK(R651), Q651, R651), "",""), 0, 1), "" Km"", """")) - O651 = 0,
      """",
      VALUE(SUBSTITUTE(INDEX(SPLIT(IF(ISBLANK("&amp;"R651), Q651, R651), "",""), 0, 1), "" Km"", """")) - O651
    )
  )
)"),-6800.0)</f>
        <v>-6800</v>
      </c>
      <c r="Q651" s="36" t="str">
        <f t="shared" si="4"/>
        <v>0 Km, 10.03.2026</v>
      </c>
      <c r="R651" s="33"/>
      <c r="S651" s="40">
        <v>5000.0</v>
      </c>
      <c r="T651" s="25">
        <v>2.0</v>
      </c>
      <c r="U651" s="25" t="s">
        <v>1250</v>
      </c>
      <c r="V651" s="37"/>
      <c r="W651" s="37" t="str">
        <f t="shared" si="26"/>
        <v>Завершена</v>
      </c>
      <c r="X651" s="25" t="str">
        <f>IFERROR(__xludf.DUMMYFUNCTION("IF(C651 = """", """", IF(REGEXMATCH(C651, ""PCX|NMAX|ADV 150|CLICK""), ""скутер"", ""мото""))"),"мото")</f>
        <v>мото</v>
      </c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</row>
    <row r="652" hidden="1">
      <c r="A652" s="13" t="s">
        <v>24</v>
      </c>
      <c r="B652" s="13" t="s">
        <v>25</v>
      </c>
      <c r="C652" s="14" t="s">
        <v>967</v>
      </c>
      <c r="D652" s="14" t="s">
        <v>1213</v>
      </c>
      <c r="E652" s="48">
        <v>46094.0</v>
      </c>
      <c r="F652" s="38">
        <v>46099.583333333336</v>
      </c>
      <c r="G652" s="17" t="str">
        <f t="shared" si="36"/>
        <v>5 Д</v>
      </c>
      <c r="H652" s="18">
        <f t="shared" si="38"/>
        <v>1900</v>
      </c>
      <c r="I652" s="19" t="str">
        <f t="shared" si="2"/>
        <v/>
      </c>
      <c r="J652" s="20" t="str">
        <f t="shared" si="25"/>
        <v/>
      </c>
      <c r="K652" s="23">
        <f>1900*5</f>
        <v>9500</v>
      </c>
      <c r="L652" s="20"/>
      <c r="M652" s="23">
        <v>1900.0</v>
      </c>
      <c r="N652" s="21"/>
      <c r="O652" s="22">
        <f>IFERROR(__xludf.DUMMYFUNCTION("IFERROR(
  VLOOKUP(C652,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C652
    ), 
    7, FALSE
  ), 
  """"
)
"),24800.0)</f>
        <v>24800</v>
      </c>
      <c r="P652" s="22">
        <f>IFERROR(__xludf.DUMMYFUNCTION("IF(AND(Q652="""", R652=""""),
  """",
  IF(OR(ISBLANK(Q652), ISBLANK(O652)),
    """",
    IF(VALUE(SUBSTITUTE(INDEX(SPLIT(IF(ISBLANK(R652), Q652, R652), "",""), 0, 1), "" Km"", """")) - O652 = 0,
      """",
      VALUE(SUBSTITUTE(INDEX(SPLIT(IF(ISBLANK("&amp;"R652), Q652, R652), "",""), 0, 1), "" Km"", """")) - O652
    )
  )
)"),-24800.0)</f>
        <v>-24800</v>
      </c>
      <c r="Q652" s="23" t="str">
        <f t="shared" si="4"/>
        <v>0 Km, 13.03.2026</v>
      </c>
      <c r="R652" s="20"/>
      <c r="S652" s="18"/>
      <c r="T652" s="13">
        <v>0.0</v>
      </c>
      <c r="U652" s="13" t="s">
        <v>1251</v>
      </c>
      <c r="V652" s="24"/>
      <c r="W652" s="24" t="str">
        <f t="shared" si="26"/>
        <v>Завершена</v>
      </c>
      <c r="X652" s="13" t="str">
        <f>IFERROR(__xludf.DUMMYFUNCTION("IF(C652 = """", """", IF(REGEXMATCH(C652, ""PCX|NMAX|ADV 150|CLICK""), ""скутер"", ""мото""))"),"мото")</f>
        <v>мото</v>
      </c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</row>
    <row r="653" hidden="1">
      <c r="A653" s="25" t="s">
        <v>24</v>
      </c>
      <c r="B653" s="25" t="s">
        <v>25</v>
      </c>
      <c r="C653" s="27" t="s">
        <v>948</v>
      </c>
      <c r="D653" s="27" t="s">
        <v>1217</v>
      </c>
      <c r="E653" s="43">
        <v>46090.0</v>
      </c>
      <c r="F653" s="39">
        <v>46099.666666666664</v>
      </c>
      <c r="G653" s="30" t="str">
        <f t="shared" si="36"/>
        <v>9 Д</v>
      </c>
      <c r="H653" s="31">
        <f t="shared" si="38"/>
        <v>500</v>
      </c>
      <c r="I653" s="32" t="str">
        <f t="shared" si="2"/>
        <v/>
      </c>
      <c r="J653" s="33" t="str">
        <f t="shared" si="25"/>
        <v/>
      </c>
      <c r="K653" s="36">
        <v>4500.0</v>
      </c>
      <c r="L653" s="33"/>
      <c r="M653" s="36">
        <v>500.0</v>
      </c>
      <c r="N653" s="34"/>
      <c r="O653" s="35">
        <f>IFERROR(__xludf.DUMMYFUNCTION("IFERROR(
  VLOOKUP(C653,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C653
    ), 
    7, FALSE
  ), 
  """"
)
"),24553.0)</f>
        <v>24553</v>
      </c>
      <c r="P653" s="35">
        <f>IFERROR(__xludf.DUMMYFUNCTION("IF(AND(Q653="""", R653=""""),
  """",
  IF(OR(ISBLANK(Q653), ISBLANK(O653)),
    """",
    IF(VALUE(SUBSTITUTE(INDEX(SPLIT(IF(ISBLANK(R653), Q653, R653), "",""), 0, 1), "" Km"", """")) - O653 = 0,
      """",
      VALUE(SUBSTITUTE(INDEX(SPLIT(IF(ISBLANK("&amp;"R653), Q653, R653), "",""), 0, 1), "" Km"", """")) - O653
    )
  )
)"),-24553.0)</f>
        <v>-24553</v>
      </c>
      <c r="Q653" s="36" t="str">
        <f t="shared" si="4"/>
        <v>0 Km, 09.03.2026</v>
      </c>
      <c r="R653" s="33"/>
      <c r="S653" s="40">
        <v>3100.0</v>
      </c>
      <c r="T653" s="25">
        <v>1.0</v>
      </c>
      <c r="U653" s="25" t="s">
        <v>1218</v>
      </c>
      <c r="V653" s="37"/>
      <c r="W653" s="37" t="str">
        <f t="shared" si="26"/>
        <v>Завершена</v>
      </c>
      <c r="X653" s="25" t="str">
        <f>IFERROR(__xludf.DUMMYFUNCTION("IF(C653 = """", """", IF(REGEXMATCH(C653, ""PCX|NMAX|ADV 150|CLICK""), ""скутер"", ""мото""))"),"мото")</f>
        <v>мото</v>
      </c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</row>
    <row r="654" hidden="1">
      <c r="A654" s="13" t="s">
        <v>24</v>
      </c>
      <c r="B654" s="13" t="s">
        <v>25</v>
      </c>
      <c r="C654" s="14" t="s">
        <v>923</v>
      </c>
      <c r="D654" s="14" t="s">
        <v>1252</v>
      </c>
      <c r="E654" s="48">
        <v>46093.0</v>
      </c>
      <c r="F654" s="38">
        <v>46100.458333333336</v>
      </c>
      <c r="G654" s="17" t="str">
        <f t="shared" si="36"/>
        <v>7 Д</v>
      </c>
      <c r="H654" s="18">
        <f t="shared" si="38"/>
        <v>844</v>
      </c>
      <c r="I654" s="19" t="str">
        <f t="shared" si="2"/>
        <v/>
      </c>
      <c r="J654" s="20" t="str">
        <f t="shared" si="25"/>
        <v/>
      </c>
      <c r="K654" s="23">
        <v>5908.0</v>
      </c>
      <c r="L654" s="20"/>
      <c r="M654" s="23">
        <v>844.0</v>
      </c>
      <c r="N654" s="21"/>
      <c r="O654" s="22">
        <f>IFERROR(__xludf.DUMMYFUNCTION("IFERROR(
  VLOOKUP(C654,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C654
    ), 
    7, FALSE
  ), 
  """"
)
"),25378.0)</f>
        <v>25378</v>
      </c>
      <c r="P654" s="22">
        <f>IFERROR(__xludf.DUMMYFUNCTION("IF(AND(Q654="""", R654=""""),
  """",
  IF(OR(ISBLANK(Q654), ISBLANK(O654)),
    """",
    IF(VALUE(SUBSTITUTE(INDEX(SPLIT(IF(ISBLANK(R654), Q654, R654), "",""), 0, 1), "" Km"", """")) - O654 = 0,
      """",
      VALUE(SUBSTITUTE(INDEX(SPLIT(IF(ISBLANK("&amp;"R654), Q654, R654), "",""), 0, 1), "" Km"", """")) - O654
    )
  )
)"),-25378.0)</f>
        <v>-25378</v>
      </c>
      <c r="Q654" s="23" t="str">
        <f t="shared" si="4"/>
        <v>0 Km, 12.03.2026</v>
      </c>
      <c r="R654" s="20"/>
      <c r="S654" s="41">
        <v>7000.0</v>
      </c>
      <c r="T654" s="13">
        <v>2.0</v>
      </c>
      <c r="U654" s="66" t="s">
        <v>1253</v>
      </c>
      <c r="V654" s="24"/>
      <c r="W654" s="24" t="str">
        <f t="shared" si="26"/>
        <v>Завершена</v>
      </c>
      <c r="X654" s="13" t="str">
        <f>IFERROR(__xludf.DUMMYFUNCTION("IF(C654 = """", """", IF(REGEXMATCH(C654, ""PCX|NMAX|ADV 150|CLICK""), ""скутер"", ""мото""))"),"мото")</f>
        <v>мото</v>
      </c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</row>
    <row r="655" hidden="1">
      <c r="A655" s="25" t="s">
        <v>24</v>
      </c>
      <c r="B655" s="25" t="s">
        <v>25</v>
      </c>
      <c r="C655" s="27" t="s">
        <v>44</v>
      </c>
      <c r="D655" s="27" t="s">
        <v>1254</v>
      </c>
      <c r="E655" s="43">
        <v>46096.0</v>
      </c>
      <c r="F655" s="39">
        <v>46101.583333333336</v>
      </c>
      <c r="G655" s="30" t="str">
        <f t="shared" si="36"/>
        <v>5 Д</v>
      </c>
      <c r="H655" s="31">
        <f t="shared" si="38"/>
        <v>404</v>
      </c>
      <c r="I655" s="32" t="str">
        <f t="shared" si="2"/>
        <v/>
      </c>
      <c r="J655" s="33" t="str">
        <f t="shared" si="25"/>
        <v/>
      </c>
      <c r="K655" s="36">
        <v>2020.0</v>
      </c>
      <c r="L655" s="33"/>
      <c r="M655" s="36">
        <v>404.0</v>
      </c>
      <c r="N655" s="34"/>
      <c r="O655" s="35">
        <f>IFERROR(__xludf.DUMMYFUNCTION("IFERROR(
  VLOOKUP(C655,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C655
    ), 
    7, FALSE
  ), 
  """"
)
"),30800.0)</f>
        <v>30800</v>
      </c>
      <c r="P655" s="35">
        <f>IFERROR(__xludf.DUMMYFUNCTION("IF(AND(Q655="""", R655=""""),
  """",
  IF(OR(ISBLANK(Q655), ISBLANK(O655)),
    """",
    IF(VALUE(SUBSTITUTE(INDEX(SPLIT(IF(ISBLANK(R655), Q655, R655), "",""), 0, 1), "" Km"", """")) - O655 = 0,
      """",
      VALUE(SUBSTITUTE(INDEX(SPLIT(IF(ISBLANK("&amp;"R655), Q655, R655), "",""), 0, 1), "" Km"", """")) - O655
    )
  )
)"),-30800.0)</f>
        <v>-30800</v>
      </c>
      <c r="Q655" s="36" t="str">
        <f t="shared" si="4"/>
        <v>0 Km, 15.03.2026</v>
      </c>
      <c r="R655" s="33"/>
      <c r="S655" s="40">
        <v>3000.0</v>
      </c>
      <c r="T655" s="25">
        <v>2.0</v>
      </c>
      <c r="U655" s="25" t="s">
        <v>1255</v>
      </c>
      <c r="V655" s="37"/>
      <c r="W655" s="37" t="str">
        <f t="shared" si="26"/>
        <v>Завершена</v>
      </c>
      <c r="X655" s="25" t="str">
        <f>IFERROR(__xludf.DUMMYFUNCTION("IF(C655 = """", """", IF(REGEXMATCH(C655, ""PCX|NMAX|ADV 150|CLICK""), ""скутер"", ""мото""))"),"скутер")</f>
        <v>скутер</v>
      </c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</row>
    <row r="656" hidden="1">
      <c r="A656" s="13" t="s">
        <v>24</v>
      </c>
      <c r="B656" s="13" t="s">
        <v>25</v>
      </c>
      <c r="C656" s="14" t="s">
        <v>73</v>
      </c>
      <c r="D656" s="14" t="s">
        <v>1256</v>
      </c>
      <c r="E656" s="48">
        <v>46097.0</v>
      </c>
      <c r="F656" s="38">
        <v>46103.541666666664</v>
      </c>
      <c r="G656" s="17" t="str">
        <f t="shared" si="36"/>
        <v>6 Д</v>
      </c>
      <c r="H656" s="18">
        <f t="shared" si="38"/>
        <v>380</v>
      </c>
      <c r="I656" s="19" t="str">
        <f t="shared" si="2"/>
        <v/>
      </c>
      <c r="J656" s="20" t="str">
        <f t="shared" si="25"/>
        <v/>
      </c>
      <c r="K656" s="23">
        <v>2280.0</v>
      </c>
      <c r="L656" s="20"/>
      <c r="M656" s="23">
        <v>380.0</v>
      </c>
      <c r="N656" s="21"/>
      <c r="O656" s="22">
        <f>IFERROR(__xludf.DUMMYFUNCTION("IFERROR(
  VLOOKUP(C656,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C656
    ), 
    7, FALSE
  ), 
  """"
)
"),31000.0)</f>
        <v>31000</v>
      </c>
      <c r="P656" s="22">
        <f>IFERROR(__xludf.DUMMYFUNCTION("IF(AND(Q656="""", R656=""""),
  """",
  IF(OR(ISBLANK(Q656), ISBLANK(O656)),
    """",
    IF(VALUE(SUBSTITUTE(INDEX(SPLIT(IF(ISBLANK(R656), Q656, R656), "",""), 0, 1), "" Km"", """")) - O656 = 0,
      """",
      VALUE(SUBSTITUTE(INDEX(SPLIT(IF(ISBLANK("&amp;"R656), Q656, R656), "",""), 0, 1), "" Km"", """")) - O656
    )
  )
)"),-31000.0)</f>
        <v>-31000</v>
      </c>
      <c r="Q656" s="23" t="str">
        <f t="shared" si="4"/>
        <v>0 Km, 16.03.2026</v>
      </c>
      <c r="R656" s="20"/>
      <c r="S656" s="41" t="s">
        <v>912</v>
      </c>
      <c r="T656" s="13">
        <v>2.0</v>
      </c>
      <c r="U656" s="13" t="s">
        <v>1257</v>
      </c>
      <c r="V656" s="24"/>
      <c r="W656" s="24" t="str">
        <f t="shared" si="26"/>
        <v>Завершена</v>
      </c>
      <c r="X656" s="13" t="str">
        <f>IFERROR(__xludf.DUMMYFUNCTION("IF(C656 = """", """", IF(REGEXMATCH(C656, ""PCX|NMAX|ADV 150|CLICK""), ""скутер"", ""мото""))"),"скутер")</f>
        <v>скутер</v>
      </c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</row>
    <row r="657" hidden="1">
      <c r="A657" s="25" t="s">
        <v>24</v>
      </c>
      <c r="B657" s="25" t="s">
        <v>25</v>
      </c>
      <c r="C657" s="27" t="s">
        <v>974</v>
      </c>
      <c r="D657" s="27" t="s">
        <v>1258</v>
      </c>
      <c r="E657" s="43">
        <v>46096.0</v>
      </c>
      <c r="F657" s="39">
        <v>46103.625</v>
      </c>
      <c r="G657" s="30" t="str">
        <f t="shared" si="36"/>
        <v>7 Д</v>
      </c>
      <c r="H657" s="31">
        <f t="shared" si="38"/>
        <v>746</v>
      </c>
      <c r="I657" s="32" t="str">
        <f t="shared" si="2"/>
        <v/>
      </c>
      <c r="J657" s="33" t="str">
        <f t="shared" si="25"/>
        <v/>
      </c>
      <c r="K657" s="36">
        <v>5222.0</v>
      </c>
      <c r="L657" s="33"/>
      <c r="M657" s="36">
        <v>746.0</v>
      </c>
      <c r="N657" s="34"/>
      <c r="O657" s="35">
        <f>IFERROR(__xludf.DUMMYFUNCTION("IFERROR(
  VLOOKUP(C657,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C657
    ), 
    7, FALSE
  ), 
  """"
)
"),11800.0)</f>
        <v>11800</v>
      </c>
      <c r="P657" s="35">
        <f>IFERROR(__xludf.DUMMYFUNCTION("IF(AND(Q657="""", R657=""""),
  """",
  IF(OR(ISBLANK(Q657), ISBLANK(O657)),
    """",
    IF(VALUE(SUBSTITUTE(INDEX(SPLIT(IF(ISBLANK(R657), Q657, R657), "",""), 0, 1), "" Km"", """")) - O657 = 0,
      """",
      VALUE(SUBSTITUTE(INDEX(SPLIT(IF(ISBLANK("&amp;"R657), Q657, R657), "",""), 0, 1), "" Km"", """")) - O657
    )
  )
)"),-11800.0)</f>
        <v>-11800</v>
      </c>
      <c r="Q657" s="36" t="str">
        <f t="shared" si="4"/>
        <v>0 Km, 15.03.2026</v>
      </c>
      <c r="R657" s="33"/>
      <c r="S657" s="40">
        <v>7000.0</v>
      </c>
      <c r="T657" s="25">
        <v>2.0</v>
      </c>
      <c r="U657" s="71" t="s">
        <v>1259</v>
      </c>
      <c r="V657" s="37"/>
      <c r="W657" s="37" t="str">
        <f t="shared" si="26"/>
        <v>Завершена</v>
      </c>
      <c r="X657" s="25" t="str">
        <f>IFERROR(__xludf.DUMMYFUNCTION("IF(C657 = """", """", IF(REGEXMATCH(C657, ""PCX|NMAX|ADV 150|CLICK""), ""скутер"", ""мото""))"),"мото")</f>
        <v>мото</v>
      </c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</row>
    <row r="658" hidden="1">
      <c r="A658" s="13" t="s">
        <v>24</v>
      </c>
      <c r="B658" s="13" t="s">
        <v>25</v>
      </c>
      <c r="C658" s="14" t="s">
        <v>916</v>
      </c>
      <c r="D658" s="14" t="s">
        <v>685</v>
      </c>
      <c r="E658" s="48">
        <v>46098.0</v>
      </c>
      <c r="F658" s="38">
        <v>46105.666666666664</v>
      </c>
      <c r="G658" s="17" t="str">
        <f t="shared" si="36"/>
        <v>7 Д</v>
      </c>
      <c r="H658" s="18">
        <f t="shared" si="38"/>
        <v>1440</v>
      </c>
      <c r="I658" s="19" t="str">
        <f t="shared" si="2"/>
        <v/>
      </c>
      <c r="J658" s="20" t="str">
        <f t="shared" si="25"/>
        <v/>
      </c>
      <c r="K658" s="23">
        <v>10080.0</v>
      </c>
      <c r="L658" s="20"/>
      <c r="M658" s="23">
        <v>1440.0</v>
      </c>
      <c r="N658" s="21"/>
      <c r="O658" s="22">
        <f>IFERROR(__xludf.DUMMYFUNCTION("IFERROR(
  VLOOKUP(C658,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C658
    ), 
    7, FALSE
  ), 
  """"
)
"),29300.0)</f>
        <v>29300</v>
      </c>
      <c r="P658" s="22">
        <f>IFERROR(__xludf.DUMMYFUNCTION("IF(AND(Q658="""", R658=""""),
  """",
  IF(OR(ISBLANK(Q658), ISBLANK(O658)),
    """",
    IF(VALUE(SUBSTITUTE(INDEX(SPLIT(IF(ISBLANK(R658), Q658, R658), "",""), 0, 1), "" Km"", """")) - O658 = 0,
      """",
      VALUE(SUBSTITUTE(INDEX(SPLIT(IF(ISBLANK("&amp;"R658), Q658, R658), "",""), 0, 1), "" Km"", """")) - O658
    )
  )
)"),-29300.0)</f>
        <v>-29300</v>
      </c>
      <c r="Q658" s="23" t="str">
        <f t="shared" si="4"/>
        <v>0 Km, 17.03.2026</v>
      </c>
      <c r="R658" s="20"/>
      <c r="S658" s="41">
        <v>20000.0</v>
      </c>
      <c r="T658" s="13">
        <v>2.0</v>
      </c>
      <c r="U658" s="66" t="s">
        <v>1260</v>
      </c>
      <c r="V658" s="24"/>
      <c r="W658" s="24" t="str">
        <f t="shared" si="26"/>
        <v>Завершена</v>
      </c>
      <c r="X658" s="13" t="str">
        <f>IFERROR(__xludf.DUMMYFUNCTION("IF(C658 = """", """", IF(REGEXMATCH(C658, ""PCX|NMAX|ADV 150|CLICK""), ""скутер"", ""мото""))"),"мото")</f>
        <v>мото</v>
      </c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</row>
    <row r="659" hidden="1">
      <c r="A659" s="25" t="s">
        <v>24</v>
      </c>
      <c r="B659" s="25" t="s">
        <v>25</v>
      </c>
      <c r="C659" s="27" t="s">
        <v>971</v>
      </c>
      <c r="D659" s="27" t="s">
        <v>1261</v>
      </c>
      <c r="E659" s="43">
        <v>46039.0</v>
      </c>
      <c r="F659" s="39">
        <v>46112.541666666664</v>
      </c>
      <c r="G659" s="30" t="str">
        <f t="shared" si="36"/>
        <v>73 Д</v>
      </c>
      <c r="H659" s="31">
        <f t="shared" si="38"/>
        <v>633</v>
      </c>
      <c r="I659" s="32" t="str">
        <f t="shared" si="2"/>
        <v/>
      </c>
      <c r="J659" s="33" t="str">
        <f t="shared" si="25"/>
        <v/>
      </c>
      <c r="K659" s="36">
        <f>18990+633*12+633*4+600*21+717*6</f>
        <v>46020</v>
      </c>
      <c r="L659" s="36">
        <v>18990.0</v>
      </c>
      <c r="M659" s="33"/>
      <c r="N659" s="44">
        <v>19900.0</v>
      </c>
      <c r="O659" s="35">
        <f>IFERROR(__xludf.DUMMYFUNCTION("IFERROR(
  VLOOKUP(C659,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C659
    ), 
    7, FALSE
  ), 
  """"
)
"),18300.0)</f>
        <v>18300</v>
      </c>
      <c r="P659" s="35">
        <f>IFERROR(__xludf.DUMMYFUNCTION("IF(AND(Q659="""", R659=""""),
  """",
  IF(OR(ISBLANK(Q659), ISBLANK(O659)),
    """",
    IF(VALUE(SUBSTITUTE(INDEX(SPLIT(IF(ISBLANK(R659), Q659, R659), "",""), 0, 1), "" Km"", """")) - O659 = 0,
      """",
      VALUE(SUBSTITUTE(INDEX(SPLIT(IF(ISBLANK("&amp;"R659), Q659, R659), "",""), 0, 1), "" Km"", """")) - O659
    )
  )
)"),1600.0)</f>
        <v>1600</v>
      </c>
      <c r="Q659" s="36" t="str">
        <f t="shared" si="4"/>
        <v>19 900 Km, 17.01.2026</v>
      </c>
      <c r="R659" s="33"/>
      <c r="S659" s="40">
        <v>7000.0</v>
      </c>
      <c r="T659" s="25">
        <v>2.0</v>
      </c>
      <c r="U659" s="25" t="s">
        <v>1262</v>
      </c>
      <c r="V659" s="37"/>
      <c r="W659" s="37" t="str">
        <f t="shared" si="26"/>
        <v>Завершена</v>
      </c>
      <c r="X659" s="25" t="str">
        <f>IFERROR(__xludf.DUMMYFUNCTION("IF(C659 = """", """", IF(REGEXMATCH(C659, ""PCX|NMAX|ADV 150|CLICK""), ""скутер"", ""мото""))"),"мото")</f>
        <v>мото</v>
      </c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</row>
    <row r="660" hidden="1">
      <c r="A660" s="13" t="s">
        <v>24</v>
      </c>
      <c r="B660" s="13" t="s">
        <v>25</v>
      </c>
      <c r="C660" s="14" t="s">
        <v>967</v>
      </c>
      <c r="D660" s="14" t="s">
        <v>1263</v>
      </c>
      <c r="E660" s="48">
        <v>46084.0</v>
      </c>
      <c r="F660" s="38">
        <v>46112.5</v>
      </c>
      <c r="G660" s="17" t="str">
        <f t="shared" si="36"/>
        <v>28 Д</v>
      </c>
      <c r="H660" s="18">
        <f t="shared" si="38"/>
        <v>1290</v>
      </c>
      <c r="I660" s="19" t="str">
        <f t="shared" si="2"/>
        <v/>
      </c>
      <c r="J660" s="20" t="str">
        <f t="shared" si="25"/>
        <v/>
      </c>
      <c r="K660" s="23">
        <v>36120.0</v>
      </c>
      <c r="L660" s="20"/>
      <c r="M660" s="23">
        <v>1290.0</v>
      </c>
      <c r="N660" s="21"/>
      <c r="O660" s="22">
        <f>IFERROR(__xludf.DUMMYFUNCTION("IFERROR(
  VLOOKUP(C660,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C660
    ), 
    7, FALSE
  ), 
  """"
)
"),24800.0)</f>
        <v>24800</v>
      </c>
      <c r="P660" s="22">
        <f>IFERROR(__xludf.DUMMYFUNCTION("IF(AND(Q660="""", R660=""""),
  """",
  IF(OR(ISBLANK(Q660), ISBLANK(O660)),
    """",
    IF(VALUE(SUBSTITUTE(INDEX(SPLIT(IF(ISBLANK(R660), Q660, R660), "",""), 0, 1), "" Km"", """")) - O660 = 0,
      """",
      VALUE(SUBSTITUTE(INDEX(SPLIT(IF(ISBLANK("&amp;"R660), Q660, R660), "",""), 0, 1), "" Km"", """")) - O660
    )
  )
)"),-24800.0)</f>
        <v>-24800</v>
      </c>
      <c r="Q660" s="23" t="str">
        <f t="shared" si="4"/>
        <v>0 Km, 03.03.2026</v>
      </c>
      <c r="R660" s="20"/>
      <c r="S660" s="41" t="s">
        <v>515</v>
      </c>
      <c r="T660" s="13">
        <v>1.0</v>
      </c>
      <c r="U660" s="13" t="s">
        <v>1264</v>
      </c>
      <c r="V660" s="24"/>
      <c r="W660" s="24" t="str">
        <f t="shared" si="26"/>
        <v>Завершена</v>
      </c>
      <c r="X660" s="13" t="str">
        <f>IFERROR(__xludf.DUMMYFUNCTION("IF(C660 = """", """", IF(REGEXMATCH(C660, ""PCX|NMAX|ADV 150|CLICK""), ""скутер"", ""мото""))"),"мото")</f>
        <v>мото</v>
      </c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</row>
    <row r="661" hidden="1">
      <c r="A661" s="25" t="s">
        <v>24</v>
      </c>
      <c r="B661" s="25" t="s">
        <v>25</v>
      </c>
      <c r="C661" s="27" t="s">
        <v>979</v>
      </c>
      <c r="D661" s="27" t="s">
        <v>1265</v>
      </c>
      <c r="E661" s="43">
        <v>46102.0</v>
      </c>
      <c r="F661" s="39">
        <v>46112.666666666664</v>
      </c>
      <c r="G661" s="30" t="str">
        <f t="shared" si="36"/>
        <v>10 Д</v>
      </c>
      <c r="H661" s="31">
        <f t="shared" si="38"/>
        <v>817</v>
      </c>
      <c r="I661" s="32" t="str">
        <f t="shared" si="2"/>
        <v/>
      </c>
      <c r="J661" s="33" t="str">
        <f t="shared" si="25"/>
        <v/>
      </c>
      <c r="K661" s="36">
        <v>8170.0</v>
      </c>
      <c r="L661" s="33"/>
      <c r="M661" s="36">
        <v>817.0</v>
      </c>
      <c r="N661" s="34"/>
      <c r="O661" s="35">
        <f>IFERROR(__xludf.DUMMYFUNCTION("IFERROR(
  VLOOKUP(C661,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C661
    ), 
    7, FALSE
  ), 
  """"
)
"),6800.0)</f>
        <v>6800</v>
      </c>
      <c r="P661" s="35">
        <f>IFERROR(__xludf.DUMMYFUNCTION("IF(AND(Q661="""", R661=""""),
  """",
  IF(OR(ISBLANK(Q661), ISBLANK(O661)),
    """",
    IF(VALUE(SUBSTITUTE(INDEX(SPLIT(IF(ISBLANK(R661), Q661, R661), "",""), 0, 1), "" Km"", """")) - O661 = 0,
      """",
      VALUE(SUBSTITUTE(INDEX(SPLIT(IF(ISBLANK("&amp;"R661), Q661, R661), "",""), 0, 1), "" Km"", """")) - O661
    )
  )
)"),-6800.0)</f>
        <v>-6800</v>
      </c>
      <c r="Q661" s="36" t="str">
        <f t="shared" si="4"/>
        <v>0 Km, 21.03.2026</v>
      </c>
      <c r="R661" s="33"/>
      <c r="S661" s="40">
        <v>7000.0</v>
      </c>
      <c r="T661" s="25">
        <v>2.0</v>
      </c>
      <c r="U661" s="25" t="s">
        <v>1266</v>
      </c>
      <c r="V661" s="37"/>
      <c r="W661" s="37" t="str">
        <f t="shared" si="26"/>
        <v>Завершена</v>
      </c>
      <c r="X661" s="25" t="str">
        <f>IFERROR(__xludf.DUMMYFUNCTION("IF(C661 = """", """", IF(REGEXMATCH(C661, ""PCX|NMAX|ADV 150|CLICK""), ""скутер"", ""мото""))"),"мото")</f>
        <v>мото</v>
      </c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</row>
    <row r="662" hidden="1">
      <c r="A662" s="13" t="s">
        <v>24</v>
      </c>
      <c r="B662" s="13" t="s">
        <v>25</v>
      </c>
      <c r="C662" s="14" t="s">
        <v>941</v>
      </c>
      <c r="D662" s="14" t="s">
        <v>1007</v>
      </c>
      <c r="E662" s="48">
        <v>46105.0</v>
      </c>
      <c r="F662" s="38">
        <v>46113.541666666664</v>
      </c>
      <c r="G662" s="17" t="str">
        <f t="shared" si="36"/>
        <v>8 Д</v>
      </c>
      <c r="H662" s="18">
        <f t="shared" si="38"/>
        <v>835</v>
      </c>
      <c r="I662" s="19" t="str">
        <f t="shared" si="2"/>
        <v/>
      </c>
      <c r="J662" s="20" t="str">
        <f t="shared" si="25"/>
        <v/>
      </c>
      <c r="K662" s="23">
        <v>6680.0</v>
      </c>
      <c r="L662" s="20"/>
      <c r="M662" s="23">
        <v>835.0</v>
      </c>
      <c r="N662" s="21"/>
      <c r="O662" s="22">
        <f>IFERROR(__xludf.DUMMYFUNCTION("IFERROR(
  VLOOKUP(C662,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C662
    ), 
    7, FALSE
  ), 
  """"
)
"),18302.0)</f>
        <v>18302</v>
      </c>
      <c r="P662" s="22">
        <f>IFERROR(__xludf.DUMMYFUNCTION("IF(AND(Q662="""", R662=""""),
  """",
  IF(OR(ISBLANK(Q662), ISBLANK(O662)),
    """",
    IF(VALUE(SUBSTITUTE(INDEX(SPLIT(IF(ISBLANK(R662), Q662, R662), "",""), 0, 1), "" Km"", """")) - O662 = 0,
      """",
      VALUE(SUBSTITUTE(INDEX(SPLIT(IF(ISBLANK("&amp;"R662), Q662, R662), "",""), 0, 1), "" Km"", """")) - O662
    )
  )
)"),-18302.0)</f>
        <v>-18302</v>
      </c>
      <c r="Q662" s="23" t="str">
        <f t="shared" si="4"/>
        <v>0 Km, 24.03.2026</v>
      </c>
      <c r="R662" s="20"/>
      <c r="S662" s="41">
        <v>7000.0</v>
      </c>
      <c r="T662" s="13">
        <v>2.0</v>
      </c>
      <c r="U662" s="13" t="s">
        <v>1267</v>
      </c>
      <c r="V662" s="24"/>
      <c r="W662" s="24" t="str">
        <f t="shared" si="26"/>
        <v>Завершена</v>
      </c>
      <c r="X662" s="13" t="str">
        <f>IFERROR(__xludf.DUMMYFUNCTION("IF(C662 = """", """", IF(REGEXMATCH(C662, ""PCX|NMAX|ADV 150|CLICK""), ""скутер"", ""мото""))"),"мото")</f>
        <v>мото</v>
      </c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</row>
    <row r="663" hidden="1">
      <c r="A663" s="25" t="s">
        <v>24</v>
      </c>
      <c r="B663" s="25" t="s">
        <v>25</v>
      </c>
      <c r="C663" s="27" t="s">
        <v>461</v>
      </c>
      <c r="D663" s="27" t="s">
        <v>1268</v>
      </c>
      <c r="E663" s="43">
        <v>46111.0</v>
      </c>
      <c r="F663" s="39">
        <v>46114.583333333336</v>
      </c>
      <c r="G663" s="30" t="str">
        <f t="shared" si="36"/>
        <v>3 Д</v>
      </c>
      <c r="H663" s="31">
        <f t="shared" si="38"/>
        <v>801</v>
      </c>
      <c r="I663" s="32" t="str">
        <f t="shared" si="2"/>
        <v/>
      </c>
      <c r="J663" s="33" t="str">
        <f t="shared" si="25"/>
        <v/>
      </c>
      <c r="K663" s="36">
        <v>2403.0</v>
      </c>
      <c r="L663" s="33"/>
      <c r="M663" s="36">
        <v>801.0</v>
      </c>
      <c r="N663" s="34"/>
      <c r="O663" s="35">
        <f>IFERROR(__xludf.DUMMYFUNCTION("IFERROR(
  VLOOKUP(C663,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C663
    ), 
    7, FALSE
  ), 
  """"
)
"),30500.0)</f>
        <v>30500</v>
      </c>
      <c r="P663" s="35">
        <f>IFERROR(__xludf.DUMMYFUNCTION("IF(AND(Q663="""", R663=""""),
  """",
  IF(OR(ISBLANK(Q663), ISBLANK(O663)),
    """",
    IF(VALUE(SUBSTITUTE(INDEX(SPLIT(IF(ISBLANK(R663), Q663, R663), "",""), 0, 1), "" Km"", """")) - O663 = 0,
      """",
      VALUE(SUBSTITUTE(INDEX(SPLIT(IF(ISBLANK("&amp;"R663), Q663, R663), "",""), 0, 1), "" Km"", """")) - O663
    )
  )
)"),-30500.0)</f>
        <v>-30500</v>
      </c>
      <c r="Q663" s="36" t="str">
        <f t="shared" si="4"/>
        <v>0 Km, 30.03.2026</v>
      </c>
      <c r="R663" s="33"/>
      <c r="S663" s="40">
        <v>15000.0</v>
      </c>
      <c r="T663" s="25">
        <v>2.0</v>
      </c>
      <c r="U663" s="25" t="s">
        <v>1269</v>
      </c>
      <c r="V663" s="37"/>
      <c r="W663" s="37" t="str">
        <f t="shared" si="26"/>
        <v>Завершена</v>
      </c>
      <c r="X663" s="25" t="str">
        <f>IFERROR(__xludf.DUMMYFUNCTION("IF(C663 = """", """", IF(REGEXMATCH(C663, ""PCX|NMAX|ADV 150|CLICK""), ""скутер"", ""мото""))"),"мото")</f>
        <v>мото</v>
      </c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</row>
    <row r="664" hidden="1">
      <c r="A664" s="13" t="s">
        <v>24</v>
      </c>
      <c r="B664" s="13" t="s">
        <v>25</v>
      </c>
      <c r="C664" s="14" t="s">
        <v>64</v>
      </c>
      <c r="D664" s="14" t="s">
        <v>807</v>
      </c>
      <c r="E664" s="48">
        <v>46107.0</v>
      </c>
      <c r="F664" s="38">
        <v>46114.708333333336</v>
      </c>
      <c r="G664" s="17" t="str">
        <f t="shared" si="36"/>
        <v>7 Д</v>
      </c>
      <c r="H664" s="18">
        <f t="shared" si="38"/>
        <v>672</v>
      </c>
      <c r="I664" s="19" t="str">
        <f t="shared" si="2"/>
        <v/>
      </c>
      <c r="J664" s="20" t="str">
        <f t="shared" si="25"/>
        <v/>
      </c>
      <c r="K664" s="23">
        <f>3360+672*2</f>
        <v>4704</v>
      </c>
      <c r="L664" s="20"/>
      <c r="M664" s="23">
        <v>672.0</v>
      </c>
      <c r="N664" s="21"/>
      <c r="O664" s="22">
        <f>IFERROR(__xludf.DUMMYFUNCTION("IFERROR(
  VLOOKUP(C664,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C664
    ), 
    7, FALSE
  ), 
  """"
)
"),32600.0)</f>
        <v>32600</v>
      </c>
      <c r="P664" s="22">
        <f>IFERROR(__xludf.DUMMYFUNCTION("IF(AND(Q664="""", R664=""""),
  """",
  IF(OR(ISBLANK(Q664), ISBLANK(O664)),
    """",
    IF(VALUE(SUBSTITUTE(INDEX(SPLIT(IF(ISBLANK(R664), Q664, R664), "",""), 0, 1), "" Km"", """")) - O664 = 0,
      """",
      VALUE(SUBSTITUTE(INDEX(SPLIT(IF(ISBLANK("&amp;"R664), Q664, R664), "",""), 0, 1), "" Km"", """")) - O664
    )
  )
)"),-32600.0)</f>
        <v>-32600</v>
      </c>
      <c r="Q664" s="23" t="str">
        <f t="shared" si="4"/>
        <v>0 Km, 26.03.2026</v>
      </c>
      <c r="R664" s="20"/>
      <c r="S664" s="41">
        <v>5000.0</v>
      </c>
      <c r="T664" s="13">
        <v>2.0</v>
      </c>
      <c r="U664" s="13" t="s">
        <v>808</v>
      </c>
      <c r="V664" s="24"/>
      <c r="W664" s="24" t="str">
        <f t="shared" si="26"/>
        <v>Завершена</v>
      </c>
      <c r="X664" s="13" t="str">
        <f>IFERROR(__xludf.DUMMYFUNCTION("IF(C664 = """", """", IF(REGEXMATCH(C664, ""PCX|NMAX|ADV 150|CLICK""), ""скутер"", ""мото""))"),"мото")</f>
        <v>мото</v>
      </c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</row>
    <row r="665" hidden="1">
      <c r="A665" s="25" t="s">
        <v>24</v>
      </c>
      <c r="B665" s="25" t="s">
        <v>25</v>
      </c>
      <c r="C665" s="27" t="s">
        <v>928</v>
      </c>
      <c r="D665" s="27" t="s">
        <v>1168</v>
      </c>
      <c r="E665" s="43">
        <v>46106.0</v>
      </c>
      <c r="F665" s="39">
        <v>46127.541666666664</v>
      </c>
      <c r="G665" s="30" t="str">
        <f t="shared" si="36"/>
        <v>21 Д</v>
      </c>
      <c r="H665" s="31">
        <f t="shared" si="38"/>
        <v>693</v>
      </c>
      <c r="I665" s="32" t="str">
        <f t="shared" si="2"/>
        <v/>
      </c>
      <c r="J665" s="33" t="str">
        <f t="shared" si="25"/>
        <v/>
      </c>
      <c r="K665" s="36">
        <f>13231</f>
        <v>13231</v>
      </c>
      <c r="L665" s="33"/>
      <c r="M665" s="36">
        <v>693.0</v>
      </c>
      <c r="N665" s="34"/>
      <c r="O665" s="35">
        <f>IFERROR(__xludf.DUMMYFUNCTION("IFERROR(
  VLOOKUP(C665,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C665
    ), 
    7, FALSE
  ), 
  """"
)
"),11000.0)</f>
        <v>11000</v>
      </c>
      <c r="P665" s="35">
        <f>IFERROR(__xludf.DUMMYFUNCTION("IF(AND(Q665="""", R665=""""),
  """",
  IF(OR(ISBLANK(Q665), ISBLANK(O665)),
    """",
    IF(VALUE(SUBSTITUTE(INDEX(SPLIT(IF(ISBLANK(R665), Q665, R665), "",""), 0, 1), "" Km"", """")) - O665 = 0,
      """",
      VALUE(SUBSTITUTE(INDEX(SPLIT(IF(ISBLANK("&amp;"R665), Q665, R665), "",""), 0, 1), "" Km"", """")) - O665
    )
  )
)"),-11000.0)</f>
        <v>-11000</v>
      </c>
      <c r="Q665" s="36" t="str">
        <f t="shared" si="4"/>
        <v>0 Km, 25.03.2026</v>
      </c>
      <c r="R665" s="33"/>
      <c r="S665" s="40">
        <v>7000.0</v>
      </c>
      <c r="T665" s="25">
        <v>2.0</v>
      </c>
      <c r="U665" s="25" t="s">
        <v>1270</v>
      </c>
      <c r="V665" s="37"/>
      <c r="W665" s="37" t="str">
        <f t="shared" si="26"/>
        <v>Завершена</v>
      </c>
      <c r="X665" s="25" t="str">
        <f>IFERROR(__xludf.DUMMYFUNCTION("IF(C665 = """", """", IF(REGEXMATCH(C665, ""PCX|NMAX|ADV 150|CLICK""), ""скутер"", ""мото""))"),"мото")</f>
        <v>мото</v>
      </c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</row>
    <row r="666" hidden="1">
      <c r="A666" s="13" t="s">
        <v>24</v>
      </c>
      <c r="B666" s="13" t="s">
        <v>25</v>
      </c>
      <c r="C666" s="14" t="s">
        <v>438</v>
      </c>
      <c r="D666" s="14" t="s">
        <v>983</v>
      </c>
      <c r="E666" s="48">
        <v>46055.0</v>
      </c>
      <c r="F666" s="38">
        <v>46142.5</v>
      </c>
      <c r="G666" s="17" t="str">
        <f t="shared" si="36"/>
        <v>87 Д</v>
      </c>
      <c r="H666" s="18">
        <f t="shared" si="38"/>
        <v>516.6666667</v>
      </c>
      <c r="I666" s="19" t="str">
        <f t="shared" si="2"/>
        <v/>
      </c>
      <c r="J666" s="20" t="str">
        <f t="shared" si="25"/>
        <v/>
      </c>
      <c r="K666" s="23">
        <f>15500+6500+9000+15500</f>
        <v>46500</v>
      </c>
      <c r="L666" s="23">
        <v>15500.0</v>
      </c>
      <c r="M666" s="20"/>
      <c r="N666" s="49">
        <v>32800.0</v>
      </c>
      <c r="O666" s="22">
        <f>IFERROR(__xludf.DUMMYFUNCTION("IFERROR(
  VLOOKUP(C666,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C666
    ), 
    7, FALSE
  ), 
  """"
)
"),37823.0)</f>
        <v>37823</v>
      </c>
      <c r="P666" s="22">
        <f>IFERROR(__xludf.DUMMYFUNCTION("IF(AND(Q666="""", R666=""""),
  """",
  IF(OR(ISBLANK(Q666), ISBLANK(O666)),
    """",
    IF(VALUE(SUBSTITUTE(INDEX(SPLIT(IF(ISBLANK(R666), Q666, R666), "",""), 0, 1), "" Km"", """")) - O666 = 0,
      """",
      VALUE(SUBSTITUTE(INDEX(SPLIT(IF(ISBLANK("&amp;"R666), Q666, R666), "",""), 0, 1), "" Km"", """")) - O666
    )
  )
)"),-5023.0)</f>
        <v>-5023</v>
      </c>
      <c r="Q666" s="23" t="str">
        <f t="shared" si="4"/>
        <v>32 800 Km, 02.02.2026</v>
      </c>
      <c r="R666" s="20"/>
      <c r="S666" s="41" t="s">
        <v>515</v>
      </c>
      <c r="T666" s="13">
        <v>1.0</v>
      </c>
      <c r="U666" s="66" t="s">
        <v>1271</v>
      </c>
      <c r="V666" s="24"/>
      <c r="W666" s="24" t="str">
        <f t="shared" si="26"/>
        <v>Завершена</v>
      </c>
      <c r="X666" s="13" t="str">
        <f>IFERROR(__xludf.DUMMYFUNCTION("IF(C666 = """", """", IF(REGEXMATCH(C666, ""PCX|NMAX|ADV 150|CLICK""), ""скутер"", ""мото""))"),"мото")</f>
        <v>мото</v>
      </c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</row>
    <row r="667" hidden="1">
      <c r="A667" s="25" t="s">
        <v>24</v>
      </c>
      <c r="B667" s="25" t="s">
        <v>25</v>
      </c>
      <c r="C667" s="27" t="s">
        <v>946</v>
      </c>
      <c r="D667" s="27" t="s">
        <v>1272</v>
      </c>
      <c r="E667" s="43">
        <v>46110.0</v>
      </c>
      <c r="F667" s="39">
        <v>46117.625</v>
      </c>
      <c r="G667" s="30" t="str">
        <f t="shared" si="36"/>
        <v>7 Д</v>
      </c>
      <c r="H667" s="31">
        <f t="shared" si="38"/>
        <v>750</v>
      </c>
      <c r="I667" s="32" t="str">
        <f t="shared" si="2"/>
        <v/>
      </c>
      <c r="J667" s="33" t="str">
        <f t="shared" si="25"/>
        <v/>
      </c>
      <c r="K667" s="36">
        <f>750*7</f>
        <v>5250</v>
      </c>
      <c r="L667" s="33"/>
      <c r="M667" s="36">
        <v>750.0</v>
      </c>
      <c r="N667" s="34"/>
      <c r="O667" s="35">
        <f>IFERROR(__xludf.DUMMYFUNCTION("IFERROR(
  VLOOKUP(C667,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C667
    ), 
    7, FALSE
  ), 
  """"
)
"),20400.0)</f>
        <v>20400</v>
      </c>
      <c r="P667" s="35">
        <f>IFERROR(__xludf.DUMMYFUNCTION("IF(AND(Q667="""", R667=""""),
  """",
  IF(OR(ISBLANK(Q667), ISBLANK(O667)),
    """",
    IF(VALUE(SUBSTITUTE(INDEX(SPLIT(IF(ISBLANK(R667), Q667, R667), "",""), 0, 1), "" Km"", """")) - O667 = 0,
      """",
      VALUE(SUBSTITUTE(INDEX(SPLIT(IF(ISBLANK("&amp;"R667), Q667, R667), "",""), 0, 1), "" Km"", """")) - O667
    )
  )
)"),-20400.0)</f>
        <v>-20400</v>
      </c>
      <c r="Q667" s="36" t="str">
        <f t="shared" si="4"/>
        <v>0 Km, 29.03.2026</v>
      </c>
      <c r="R667" s="33"/>
      <c r="S667" s="40">
        <v>7000.0</v>
      </c>
      <c r="T667" s="25">
        <v>1.0</v>
      </c>
      <c r="U667" s="25" t="s">
        <v>1273</v>
      </c>
      <c r="V667" s="37"/>
      <c r="W667" s="37" t="str">
        <f t="shared" si="26"/>
        <v>Завершена</v>
      </c>
      <c r="X667" s="25" t="str">
        <f>IFERROR(__xludf.DUMMYFUNCTION("IF(C667 = """", """", IF(REGEXMATCH(C667, ""PCX|NMAX|ADV 150|CLICK""), ""скутер"", ""мото""))"),"мото")</f>
        <v>мото</v>
      </c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</row>
    <row r="668" hidden="1">
      <c r="A668" s="13" t="s">
        <v>24</v>
      </c>
      <c r="B668" s="13" t="s">
        <v>25</v>
      </c>
      <c r="C668" s="14" t="s">
        <v>44</v>
      </c>
      <c r="D668" s="14" t="s">
        <v>1274</v>
      </c>
      <c r="E668" s="48">
        <v>46106.0</v>
      </c>
      <c r="F668" s="38">
        <v>46116.541666666664</v>
      </c>
      <c r="G668" s="17" t="str">
        <f t="shared" si="36"/>
        <v>10 Д</v>
      </c>
      <c r="H668" s="18">
        <f t="shared" si="38"/>
        <v>368</v>
      </c>
      <c r="I668" s="19" t="str">
        <f t="shared" si="2"/>
        <v/>
      </c>
      <c r="J668" s="20" t="str">
        <f t="shared" si="25"/>
        <v/>
      </c>
      <c r="K668" s="23">
        <v>3680.0</v>
      </c>
      <c r="L668" s="20"/>
      <c r="M668" s="23">
        <v>368.0</v>
      </c>
      <c r="N668" s="21"/>
      <c r="O668" s="22">
        <f>IFERROR(__xludf.DUMMYFUNCTION("IFERROR(
  VLOOKUP(C668,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C668
    ), 
    7, FALSE
  ), 
  """"
)
"),30800.0)</f>
        <v>30800</v>
      </c>
      <c r="P668" s="22">
        <f>IFERROR(__xludf.DUMMYFUNCTION("IF(AND(Q668="""", R668=""""),
  """",
  IF(OR(ISBLANK(Q668), ISBLANK(O668)),
    """",
    IF(VALUE(SUBSTITUTE(INDEX(SPLIT(IF(ISBLANK(R668), Q668, R668), "",""), 0, 1), "" Km"", """")) - O668 = 0,
      """",
      VALUE(SUBSTITUTE(INDEX(SPLIT(IF(ISBLANK("&amp;"R668), Q668, R668), "",""), 0, 1), "" Km"", """")) - O668
    )
  )
)"),-30800.0)</f>
        <v>-30800</v>
      </c>
      <c r="Q668" s="23" t="str">
        <f t="shared" si="4"/>
        <v>0 Km, 25.03.2026</v>
      </c>
      <c r="R668" s="20"/>
      <c r="S668" s="41">
        <v>3000.0</v>
      </c>
      <c r="T668" s="13">
        <v>2.0</v>
      </c>
      <c r="U668" s="13" t="s">
        <v>1275</v>
      </c>
      <c r="V668" s="24"/>
      <c r="W668" s="24" t="str">
        <f t="shared" si="26"/>
        <v>Завершена</v>
      </c>
      <c r="X668" s="13" t="str">
        <f>IFERROR(__xludf.DUMMYFUNCTION("IF(C668 = """", """", IF(REGEXMATCH(C668, ""PCX|NMAX|ADV 150|CLICK""), ""скутер"", ""мото""))"),"скутер")</f>
        <v>скутер</v>
      </c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</row>
    <row r="669" hidden="1">
      <c r="A669" s="25" t="s">
        <v>24</v>
      </c>
      <c r="B669" s="25" t="s">
        <v>25</v>
      </c>
      <c r="C669" s="27" t="s">
        <v>960</v>
      </c>
      <c r="D669" s="27" t="s">
        <v>1276</v>
      </c>
      <c r="E669" s="43">
        <v>46096.0</v>
      </c>
      <c r="F669" s="39">
        <v>46116.75</v>
      </c>
      <c r="G669" s="30" t="str">
        <f t="shared" si="36"/>
        <v>20 Д</v>
      </c>
      <c r="H669" s="31">
        <f t="shared" si="38"/>
        <v>639</v>
      </c>
      <c r="I669" s="32" t="str">
        <f t="shared" si="2"/>
        <v/>
      </c>
      <c r="J669" s="33" t="str">
        <f t="shared" si="25"/>
        <v/>
      </c>
      <c r="K669" s="36">
        <v>12780.0</v>
      </c>
      <c r="L669" s="33"/>
      <c r="M669" s="36">
        <v>639.0</v>
      </c>
      <c r="N669" s="34"/>
      <c r="O669" s="35">
        <f>IFERROR(__xludf.DUMMYFUNCTION("IFERROR(
  VLOOKUP(C669,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C669
    ), 
    7, FALSE
  ), 
  """"
)
"),20316.0)</f>
        <v>20316</v>
      </c>
      <c r="P669" s="35">
        <f>IFERROR(__xludf.DUMMYFUNCTION("IF(AND(Q669="""", R669=""""),
  """",
  IF(OR(ISBLANK(Q669), ISBLANK(O669)),
    """",
    IF(VALUE(SUBSTITUTE(INDEX(SPLIT(IF(ISBLANK(R669), Q669, R669), "",""), 0, 1), "" Km"", """")) - O669 = 0,
      """",
      VALUE(SUBSTITUTE(INDEX(SPLIT(IF(ISBLANK("&amp;"R669), Q669, R669), "",""), 0, 1), "" Km"", """")) - O669
    )
  )
)"),-20316.0)</f>
        <v>-20316</v>
      </c>
      <c r="Q669" s="36" t="str">
        <f t="shared" si="4"/>
        <v>0 Km, 15.03.2026</v>
      </c>
      <c r="R669" s="33"/>
      <c r="S669" s="40" t="s">
        <v>985</v>
      </c>
      <c r="T669" s="25">
        <v>2.0</v>
      </c>
      <c r="U669" s="25" t="s">
        <v>1277</v>
      </c>
      <c r="V669" s="37"/>
      <c r="W669" s="37" t="str">
        <f t="shared" si="26"/>
        <v>Завершена</v>
      </c>
      <c r="X669" s="25" t="str">
        <f>IFERROR(__xludf.DUMMYFUNCTION("IF(C669 = """", """", IF(REGEXMATCH(C669, ""PCX|NMAX|ADV 150|CLICK""), ""скутер"", ""мото""))"),"мото")</f>
        <v>мото</v>
      </c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</row>
    <row r="670" hidden="1">
      <c r="A670" s="13" t="s">
        <v>24</v>
      </c>
      <c r="B670" s="13" t="s">
        <v>25</v>
      </c>
      <c r="C670" s="14" t="s">
        <v>951</v>
      </c>
      <c r="D670" s="14" t="s">
        <v>1227</v>
      </c>
      <c r="E670" s="48">
        <v>46116.0</v>
      </c>
      <c r="F670" s="38">
        <v>46130.5</v>
      </c>
      <c r="G670" s="17" t="str">
        <f t="shared" si="36"/>
        <v>14 Д</v>
      </c>
      <c r="H670" s="18">
        <f t="shared" si="38"/>
        <v>683</v>
      </c>
      <c r="I670" s="19" t="str">
        <f t="shared" si="2"/>
        <v/>
      </c>
      <c r="J670" s="20" t="str">
        <f t="shared" si="25"/>
        <v/>
      </c>
      <c r="K670" s="23">
        <f>683*14</f>
        <v>9562</v>
      </c>
      <c r="L670" s="20"/>
      <c r="M670" s="23">
        <v>683.0</v>
      </c>
      <c r="N670" s="21"/>
      <c r="O670" s="22">
        <f>IFERROR(__xludf.DUMMYFUNCTION("IFERROR(
  VLOOKUP(C670,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C670
    ), 
    7, FALSE
  ), 
  """"
)
"),21100.0)</f>
        <v>21100</v>
      </c>
      <c r="P670" s="22">
        <f>IFERROR(__xludf.DUMMYFUNCTION("IF(AND(Q670="""", R670=""""),
  """",
  IF(OR(ISBLANK(Q670), ISBLANK(O670)),
    """",
    IF(VALUE(SUBSTITUTE(INDEX(SPLIT(IF(ISBLANK(R670), Q670, R670), "",""), 0, 1), "" Km"", """")) - O670 = 0,
      """",
      VALUE(SUBSTITUTE(INDEX(SPLIT(IF(ISBLANK("&amp;"R670), Q670, R670), "",""), 0, 1), "" Km"", """")) - O670
    )
  )
)"),-21100.0)</f>
        <v>-21100</v>
      </c>
      <c r="Q670" s="23" t="str">
        <f t="shared" si="4"/>
        <v>0 Km, 04.04.2026</v>
      </c>
      <c r="R670" s="20"/>
      <c r="S670" s="41">
        <v>7000.0</v>
      </c>
      <c r="T670" s="13">
        <v>0.0</v>
      </c>
      <c r="U670" s="13" t="s">
        <v>1278</v>
      </c>
      <c r="V670" s="24"/>
      <c r="W670" s="24" t="str">
        <f t="shared" si="26"/>
        <v>Завершена</v>
      </c>
      <c r="X670" s="13" t="str">
        <f>IFERROR(__xludf.DUMMYFUNCTION("IF(C670 = """", """", IF(REGEXMATCH(C670, ""PCX|NMAX|ADV 150|CLICK""), ""скутер"", ""мото""))"),"мото")</f>
        <v>мото</v>
      </c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</row>
    <row r="671" hidden="1">
      <c r="A671" s="25" t="s">
        <v>24</v>
      </c>
      <c r="B671" s="25" t="s">
        <v>25</v>
      </c>
      <c r="C671" s="27" t="s">
        <v>68</v>
      </c>
      <c r="D671" s="27" t="s">
        <v>945</v>
      </c>
      <c r="E671" s="43">
        <v>46108.0</v>
      </c>
      <c r="F671" s="39">
        <v>46117.625</v>
      </c>
      <c r="G671" s="30" t="str">
        <f t="shared" si="36"/>
        <v>9 Д</v>
      </c>
      <c r="H671" s="31">
        <f t="shared" si="38"/>
        <v>372</v>
      </c>
      <c r="I671" s="32" t="str">
        <f t="shared" si="2"/>
        <v/>
      </c>
      <c r="J671" s="33" t="str">
        <f t="shared" si="25"/>
        <v/>
      </c>
      <c r="K671" s="36">
        <v>3348.0</v>
      </c>
      <c r="L671" s="33"/>
      <c r="M671" s="36">
        <v>372.0</v>
      </c>
      <c r="N671" s="34"/>
      <c r="O671" s="35">
        <f>IFERROR(__xludf.DUMMYFUNCTION("IFERROR(
  VLOOKUP(C671,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C671
    ), 
    7, FALSE
  ), 
  """"
)
"),24094.0)</f>
        <v>24094</v>
      </c>
      <c r="P671" s="35">
        <f>IFERROR(__xludf.DUMMYFUNCTION("IF(AND(Q671="""", R671=""""),
  """",
  IF(OR(ISBLANK(Q671), ISBLANK(O671)),
    """",
    IF(VALUE(SUBSTITUTE(INDEX(SPLIT(IF(ISBLANK(R671), Q671, R671), "",""), 0, 1), "" Km"", """")) - O671 = 0,
      """",
      VALUE(SUBSTITUTE(INDEX(SPLIT(IF(ISBLANK("&amp;"R671), Q671, R671), "",""), 0, 1), "" Km"", """")) - O671
    )
  )
)"),-24094.0)</f>
        <v>-24094</v>
      </c>
      <c r="Q671" s="36" t="str">
        <f t="shared" si="4"/>
        <v>0 Km, 27.03.2026</v>
      </c>
      <c r="R671" s="33"/>
      <c r="S671" s="40" t="s">
        <v>1279</v>
      </c>
      <c r="T671" s="25">
        <v>3.0</v>
      </c>
      <c r="U671" s="25" t="s">
        <v>944</v>
      </c>
      <c r="V671" s="37"/>
      <c r="W671" s="37" t="str">
        <f t="shared" si="26"/>
        <v>Завершена</v>
      </c>
      <c r="X671" s="25" t="str">
        <f>IFERROR(__xludf.DUMMYFUNCTION("IF(C671 = """", """", IF(REGEXMATCH(C671, ""PCX|NMAX|ADV 150|CLICK""), ""скутер"", ""мото""))"),"скутер")</f>
        <v>скутер</v>
      </c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</row>
    <row r="672" hidden="1">
      <c r="A672" s="13" t="s">
        <v>24</v>
      </c>
      <c r="B672" s="13" t="s">
        <v>25</v>
      </c>
      <c r="C672" s="14" t="s">
        <v>48</v>
      </c>
      <c r="D672" s="14" t="s">
        <v>1280</v>
      </c>
      <c r="E672" s="48">
        <v>46112.0</v>
      </c>
      <c r="F672" s="38">
        <v>46117.666666666664</v>
      </c>
      <c r="G672" s="17" t="str">
        <f t="shared" si="36"/>
        <v>5 Д</v>
      </c>
      <c r="H672" s="18">
        <f t="shared" si="38"/>
        <v>404</v>
      </c>
      <c r="I672" s="19" t="str">
        <f t="shared" si="2"/>
        <v/>
      </c>
      <c r="J672" s="20" t="str">
        <f t="shared" si="25"/>
        <v/>
      </c>
      <c r="K672" s="23">
        <v>2020.0</v>
      </c>
      <c r="L672" s="20"/>
      <c r="M672" s="23">
        <v>404.0</v>
      </c>
      <c r="N672" s="21"/>
      <c r="O672" s="22">
        <f>IFERROR(__xludf.DUMMYFUNCTION("IFERROR(
  VLOOKUP(C672,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C672
    ), 
    7, FALSE
  ), 
  """"
)
"),35800.0)</f>
        <v>35800</v>
      </c>
      <c r="P672" s="22">
        <f>IFERROR(__xludf.DUMMYFUNCTION("IF(AND(Q672="""", R672=""""),
  """",
  IF(OR(ISBLANK(Q672), ISBLANK(O672)),
    """",
    IF(VALUE(SUBSTITUTE(INDEX(SPLIT(IF(ISBLANK(R672), Q672, R672), "",""), 0, 1), "" Km"", """")) - O672 = 0,
      """",
      VALUE(SUBSTITUTE(INDEX(SPLIT(IF(ISBLANK("&amp;"R672), Q672, R672), "",""), 0, 1), "" Km"", """")) - O672
    )
  )
)"),-35800.0)</f>
        <v>-35800</v>
      </c>
      <c r="Q672" s="23" t="str">
        <f t="shared" si="4"/>
        <v>0 Km, 31.03.2026</v>
      </c>
      <c r="R672" s="20"/>
      <c r="S672" s="41">
        <v>3000.0</v>
      </c>
      <c r="T672" s="13">
        <v>2.0</v>
      </c>
      <c r="U672" s="13" t="s">
        <v>1281</v>
      </c>
      <c r="V672" s="24"/>
      <c r="W672" s="24" t="str">
        <f t="shared" si="26"/>
        <v>Завершена</v>
      </c>
      <c r="X672" s="13" t="str">
        <f>IFERROR(__xludf.DUMMYFUNCTION("IF(C672 = """", """", IF(REGEXMATCH(C672, ""PCX|NMAX|ADV 150|CLICK""), ""скутер"", ""мото""))"),"скутер")</f>
        <v>скутер</v>
      </c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</row>
    <row r="673" hidden="1">
      <c r="A673" s="25" t="s">
        <v>24</v>
      </c>
      <c r="B673" s="25" t="s">
        <v>25</v>
      </c>
      <c r="C673" s="27" t="s">
        <v>981</v>
      </c>
      <c r="D673" s="27" t="s">
        <v>1213</v>
      </c>
      <c r="E673" s="43">
        <v>46099.0</v>
      </c>
      <c r="F673" s="39">
        <v>46134.416666666664</v>
      </c>
      <c r="G673" s="30" t="str">
        <f t="shared" si="36"/>
        <v>35 Д</v>
      </c>
      <c r="H673" s="31">
        <f t="shared" si="38"/>
        <v>550</v>
      </c>
      <c r="I673" s="32" t="str">
        <f t="shared" si="2"/>
        <v/>
      </c>
      <c r="J673" s="33" t="str">
        <f t="shared" si="25"/>
        <v/>
      </c>
      <c r="K673" s="36">
        <f>550*31+550*4</f>
        <v>19250</v>
      </c>
      <c r="L673" s="33"/>
      <c r="M673" s="36">
        <v>550.0</v>
      </c>
      <c r="N673" s="34"/>
      <c r="O673" s="35">
        <f>IFERROR(__xludf.DUMMYFUNCTION("IFERROR(
  VLOOKUP(C673,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C673
    ), 
    7, FALSE
  ), 
  """"
)
"),6800.0)</f>
        <v>6800</v>
      </c>
      <c r="P673" s="35">
        <f>IFERROR(__xludf.DUMMYFUNCTION("IF(AND(Q673="""", R673=""""),
  """",
  IF(OR(ISBLANK(Q673), ISBLANK(O673)),
    """",
    IF(VALUE(SUBSTITUTE(INDEX(SPLIT(IF(ISBLANK(R673), Q673, R673), "",""), 0, 1), "" Km"", """")) - O673 = 0,
      """",
      VALUE(SUBSTITUTE(INDEX(SPLIT(IF(ISBLANK("&amp;"R673), Q673, R673), "",""), 0, 1), "" Km"", """")) - O673
    )
  )
)"),-6800.0)</f>
        <v>-6800</v>
      </c>
      <c r="Q673" s="36" t="str">
        <f t="shared" si="4"/>
        <v>0 Km, 18.03.2026</v>
      </c>
      <c r="R673" s="33"/>
      <c r="S673" s="40">
        <v>5000.0</v>
      </c>
      <c r="T673" s="25">
        <v>2.0</v>
      </c>
      <c r="U673" s="25" t="s">
        <v>1250</v>
      </c>
      <c r="V673" s="37"/>
      <c r="W673" s="37" t="str">
        <f t="shared" si="26"/>
        <v>Завершена</v>
      </c>
      <c r="X673" s="25" t="str">
        <f>IFERROR(__xludf.DUMMYFUNCTION("IF(C673 = """", """", IF(REGEXMATCH(C673, ""PCX|NMAX|ADV 150|CLICK""), ""скутер"", ""мото""))"),"мото")</f>
        <v>мото</v>
      </c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</row>
    <row r="674" hidden="1">
      <c r="A674" s="13" t="s">
        <v>24</v>
      </c>
      <c r="B674" s="13" t="s">
        <v>25</v>
      </c>
      <c r="C674" s="14" t="s">
        <v>923</v>
      </c>
      <c r="D674" s="14" t="s">
        <v>1282</v>
      </c>
      <c r="E674" s="48">
        <v>46105.0</v>
      </c>
      <c r="F674" s="38">
        <v>46119.583333333336</v>
      </c>
      <c r="G674" s="17" t="str">
        <f t="shared" si="36"/>
        <v>14 Д</v>
      </c>
      <c r="H674" s="18">
        <f t="shared" si="38"/>
        <v>844</v>
      </c>
      <c r="I674" s="19" t="str">
        <f t="shared" si="2"/>
        <v/>
      </c>
      <c r="J674" s="20" t="str">
        <f t="shared" si="25"/>
        <v/>
      </c>
      <c r="K674" s="23">
        <f>5908+844*7</f>
        <v>11816</v>
      </c>
      <c r="L674" s="20"/>
      <c r="M674" s="23">
        <v>844.0</v>
      </c>
      <c r="N674" s="21"/>
      <c r="O674" s="22">
        <f>IFERROR(__xludf.DUMMYFUNCTION("IFERROR(
  VLOOKUP(C674,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C674
    ), 
    7, FALSE
  ), 
  """"
)
"),25378.0)</f>
        <v>25378</v>
      </c>
      <c r="P674" s="22">
        <f>IFERROR(__xludf.DUMMYFUNCTION("IF(AND(Q674="""", R674=""""),
  """",
  IF(OR(ISBLANK(Q674), ISBLANK(O674)),
    """",
    IF(VALUE(SUBSTITUTE(INDEX(SPLIT(IF(ISBLANK(R674), Q674, R674), "",""), 0, 1), "" Km"", """")) - O674 = 0,
      """",
      VALUE(SUBSTITUTE(INDEX(SPLIT(IF(ISBLANK("&amp;"R674), Q674, R674), "",""), 0, 1), "" Km"", """")) - O674
    )
  )
)"),-25378.0)</f>
        <v>-25378</v>
      </c>
      <c r="Q674" s="23" t="str">
        <f t="shared" si="4"/>
        <v>0 Km, 24.03.2026</v>
      </c>
      <c r="R674" s="20"/>
      <c r="S674" s="41">
        <v>7000.0</v>
      </c>
      <c r="T674" s="13">
        <v>2.0</v>
      </c>
      <c r="U674" s="13" t="s">
        <v>1283</v>
      </c>
      <c r="V674" s="24"/>
      <c r="W674" s="24" t="str">
        <f t="shared" si="26"/>
        <v>Завершена</v>
      </c>
      <c r="X674" s="13" t="str">
        <f>IFERROR(__xludf.DUMMYFUNCTION("IF(C674 = """", """", IF(REGEXMATCH(C674, ""PCX|NMAX|ADV 150|CLICK""), ""скутер"", ""мото""))"),"мото")</f>
        <v>мото</v>
      </c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</row>
    <row r="675" hidden="1">
      <c r="A675" s="25" t="s">
        <v>24</v>
      </c>
      <c r="B675" s="25" t="s">
        <v>25</v>
      </c>
      <c r="C675" s="27" t="s">
        <v>73</v>
      </c>
      <c r="D675" s="27" t="s">
        <v>1284</v>
      </c>
      <c r="E675" s="43">
        <v>46111.0</v>
      </c>
      <c r="F675" s="39">
        <v>46119.791666666664</v>
      </c>
      <c r="G675" s="30" t="str">
        <f t="shared" si="36"/>
        <v>8 Д</v>
      </c>
      <c r="H675" s="31">
        <f t="shared" si="38"/>
        <v>355</v>
      </c>
      <c r="I675" s="32" t="str">
        <f t="shared" si="2"/>
        <v/>
      </c>
      <c r="J675" s="33" t="str">
        <f t="shared" si="25"/>
        <v/>
      </c>
      <c r="K675" s="36">
        <v>2840.0</v>
      </c>
      <c r="L675" s="33"/>
      <c r="M675" s="36">
        <v>355.0</v>
      </c>
      <c r="N675" s="34"/>
      <c r="O675" s="35">
        <f>IFERROR(__xludf.DUMMYFUNCTION("IFERROR(
  VLOOKUP(C675,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C675
    ), 
    7, FALSE
  ), 
  """"
)
"),31000.0)</f>
        <v>31000</v>
      </c>
      <c r="P675" s="35">
        <f>IFERROR(__xludf.DUMMYFUNCTION("IF(AND(Q675="""", R675=""""),
  """",
  IF(OR(ISBLANK(Q675), ISBLANK(O675)),
    """",
    IF(VALUE(SUBSTITUTE(INDEX(SPLIT(IF(ISBLANK(R675), Q675, R675), "",""), 0, 1), "" Km"", """")) - O675 = 0,
      """",
      VALUE(SUBSTITUTE(INDEX(SPLIT(IF(ISBLANK("&amp;"R675), Q675, R675), "",""), 0, 1), "" Km"", """")) - O675
    )
  )
)"),-31000.0)</f>
        <v>-31000</v>
      </c>
      <c r="Q675" s="36" t="str">
        <f t="shared" si="4"/>
        <v>0 Km, 30.03.2026</v>
      </c>
      <c r="R675" s="33"/>
      <c r="S675" s="40">
        <v>3000.0</v>
      </c>
      <c r="T675" s="25">
        <v>2.0</v>
      </c>
      <c r="U675" s="25" t="s">
        <v>1285</v>
      </c>
      <c r="V675" s="37"/>
      <c r="W675" s="37" t="str">
        <f t="shared" si="26"/>
        <v>Завершена</v>
      </c>
      <c r="X675" s="25" t="str">
        <f>IFERROR(__xludf.DUMMYFUNCTION("IF(C675 = """", """", IF(REGEXMATCH(C675, ""PCX|NMAX|ADV 150|CLICK""), ""скутер"", ""мото""))"),"скутер")</f>
        <v>скутер</v>
      </c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</row>
    <row r="676" hidden="1">
      <c r="A676" s="13" t="s">
        <v>24</v>
      </c>
      <c r="B676" s="13" t="s">
        <v>25</v>
      </c>
      <c r="C676" s="14" t="s">
        <v>914</v>
      </c>
      <c r="D676" s="14" t="s">
        <v>747</v>
      </c>
      <c r="E676" s="48">
        <v>46140.0</v>
      </c>
      <c r="F676" s="38">
        <v>46142.583333333336</v>
      </c>
      <c r="G676" s="17" t="str">
        <f t="shared" si="36"/>
        <v>2 Д</v>
      </c>
      <c r="H676" s="18">
        <f t="shared" si="38"/>
        <v>2000</v>
      </c>
      <c r="I676" s="19" t="str">
        <f t="shared" si="2"/>
        <v/>
      </c>
      <c r="J676" s="20" t="str">
        <f t="shared" si="25"/>
        <v/>
      </c>
      <c r="K676" s="23">
        <v>4000.0</v>
      </c>
      <c r="L676" s="20"/>
      <c r="M676" s="23">
        <v>2000.0</v>
      </c>
      <c r="N676" s="21"/>
      <c r="O676" s="22">
        <f>IFERROR(__xludf.DUMMYFUNCTION("IFERROR(
  VLOOKUP(C676,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C676
    ), 
    7, FALSE
  ), 
  """"
)
"),17900.0)</f>
        <v>17900</v>
      </c>
      <c r="P676" s="22"/>
      <c r="Q676" s="23" t="str">
        <f t="shared" si="4"/>
        <v>0 Km, 28.04.2026</v>
      </c>
      <c r="R676" s="20"/>
      <c r="S676" s="41">
        <v>0.0</v>
      </c>
      <c r="T676" s="13">
        <v>0.0</v>
      </c>
      <c r="U676" s="13" t="s">
        <v>516</v>
      </c>
      <c r="V676" s="24"/>
      <c r="W676" s="24" t="str">
        <f t="shared" si="26"/>
        <v>Завершена</v>
      </c>
      <c r="X676" s="13" t="str">
        <f>IFERROR(__xludf.DUMMYFUNCTION("IF(C676 = """", """", IF(REGEXMATCH(C676, ""PCX|NMAX|ADV 150|CLICK""), ""скутер"", ""мото""))"),"мото")</f>
        <v>мото</v>
      </c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</row>
    <row r="677" hidden="1">
      <c r="A677" s="25" t="s">
        <v>24</v>
      </c>
      <c r="B677" s="25" t="s">
        <v>25</v>
      </c>
      <c r="C677" s="27" t="s">
        <v>923</v>
      </c>
      <c r="D677" s="27" t="s">
        <v>1286</v>
      </c>
      <c r="E677" s="43">
        <v>46111.0</v>
      </c>
      <c r="F677" s="39">
        <v>46142.75</v>
      </c>
      <c r="G677" s="30" t="str">
        <f t="shared" si="36"/>
        <v>31 Д</v>
      </c>
      <c r="H677" s="31">
        <f t="shared" si="38"/>
        <v>516.6666667</v>
      </c>
      <c r="I677" s="32" t="str">
        <f t="shared" si="2"/>
        <v/>
      </c>
      <c r="J677" s="33" t="str">
        <f t="shared" si="25"/>
        <v/>
      </c>
      <c r="K677" s="36">
        <v>15500.0</v>
      </c>
      <c r="L677" s="36">
        <v>15500.0</v>
      </c>
      <c r="M677" s="33"/>
      <c r="N677" s="34"/>
      <c r="O677" s="35">
        <f>IFERROR(__xludf.DUMMYFUNCTION("IFERROR(
  VLOOKUP(C677,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C677
    ), 
    7, FALSE
  ), 
  """"
)
"),25378.0)</f>
        <v>25378</v>
      </c>
      <c r="P677" s="35">
        <f>IFERROR(__xludf.DUMMYFUNCTION("IF(AND(Q677="""", R677=""""),
  """",
  IF(OR(ISBLANK(Q677), ISBLANK(O677)),
    """",
    IF(VALUE(SUBSTITUTE(INDEX(SPLIT(IF(ISBLANK(R677), Q677, R677), "",""), 0, 1), "" Km"", """")) - O677 = 0,
      """",
      VALUE(SUBSTITUTE(INDEX(SPLIT(IF(ISBLANK("&amp;"R677), Q677, R677), "",""), 0, 1), "" Km"", """")) - O677
    )
  )
)"),-25378.0)</f>
        <v>-25378</v>
      </c>
      <c r="Q677" s="36" t="str">
        <f t="shared" si="4"/>
        <v>0 Km, 30.03.2026</v>
      </c>
      <c r="R677" s="33"/>
      <c r="S677" s="40">
        <v>5000.0</v>
      </c>
      <c r="T677" s="25">
        <v>2.0</v>
      </c>
      <c r="U677" s="25" t="s">
        <v>1287</v>
      </c>
      <c r="V677" s="37"/>
      <c r="W677" s="37" t="str">
        <f t="shared" si="26"/>
        <v>Завершена</v>
      </c>
      <c r="X677" s="25" t="str">
        <f>IFERROR(__xludf.DUMMYFUNCTION("IF(C677 = """", """", IF(REGEXMATCH(C677, ""PCX|NMAX|ADV 150|CLICK""), ""скутер"", ""мото""))"),"мото")</f>
        <v>мото</v>
      </c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</row>
    <row r="678" hidden="1">
      <c r="A678" s="13" t="s">
        <v>24</v>
      </c>
      <c r="B678" s="13" t="s">
        <v>25</v>
      </c>
      <c r="C678" s="14" t="s">
        <v>960</v>
      </c>
      <c r="D678" s="14" t="s">
        <v>1288</v>
      </c>
      <c r="E678" s="48">
        <v>46131.0</v>
      </c>
      <c r="F678" s="38">
        <v>46144.583333333336</v>
      </c>
      <c r="G678" s="17" t="str">
        <f t="shared" si="36"/>
        <v>13 Д</v>
      </c>
      <c r="H678" s="18">
        <f t="shared" si="38"/>
        <v>750</v>
      </c>
      <c r="I678" s="19" t="str">
        <f t="shared" si="2"/>
        <v/>
      </c>
      <c r="J678" s="20" t="str">
        <f t="shared" si="25"/>
        <v/>
      </c>
      <c r="K678" s="23">
        <v>9750.0</v>
      </c>
      <c r="L678" s="20"/>
      <c r="M678" s="23">
        <v>750.0</v>
      </c>
      <c r="N678" s="21"/>
      <c r="O678" s="22">
        <f>IFERROR(__xludf.DUMMYFUNCTION("IFERROR(
  VLOOKUP(C678,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C678
    ), 
    7, FALSE
  ), 
  """"
)
"),20316.0)</f>
        <v>20316</v>
      </c>
      <c r="P678" s="22"/>
      <c r="Q678" s="23" t="str">
        <f t="shared" si="4"/>
        <v>0 Km, 19.04.2026</v>
      </c>
      <c r="R678" s="20"/>
      <c r="S678" s="41">
        <v>7000.0</v>
      </c>
      <c r="T678" s="13">
        <v>1.0</v>
      </c>
      <c r="U678" s="13" t="s">
        <v>1289</v>
      </c>
      <c r="V678" s="24"/>
      <c r="W678" s="24"/>
      <c r="X678" s="13" t="str">
        <f>IFERROR(__xludf.DUMMYFUNCTION("IF(C678 = """", """", IF(REGEXMATCH(C678, ""PCX|NMAX|ADV 150|CLICK""), ""скутер"", ""мото""))"),"мото")</f>
        <v>мото</v>
      </c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</row>
    <row r="679" hidden="1">
      <c r="A679" s="25" t="s">
        <v>24</v>
      </c>
      <c r="B679" s="25" t="s">
        <v>25</v>
      </c>
      <c r="C679" s="27" t="s">
        <v>948</v>
      </c>
      <c r="D679" s="27" t="s">
        <v>1290</v>
      </c>
      <c r="E679" s="43">
        <v>46116.0</v>
      </c>
      <c r="F679" s="39">
        <v>46133.625</v>
      </c>
      <c r="G679" s="30" t="str">
        <f t="shared" si="36"/>
        <v>17 Д</v>
      </c>
      <c r="H679" s="31">
        <f t="shared" si="38"/>
        <v>629</v>
      </c>
      <c r="I679" s="32" t="str">
        <f t="shared" si="2"/>
        <v/>
      </c>
      <c r="J679" s="33" t="str">
        <f t="shared" si="25"/>
        <v/>
      </c>
      <c r="K679" s="36">
        <f>10693</f>
        <v>10693</v>
      </c>
      <c r="L679" s="33"/>
      <c r="M679" s="36">
        <v>629.0</v>
      </c>
      <c r="N679" s="34"/>
      <c r="O679" s="35">
        <f>IFERROR(__xludf.DUMMYFUNCTION("IFERROR(
  VLOOKUP(C679,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C679
    ), 
    7, FALSE
  ), 
  """"
)
"),24553.0)</f>
        <v>24553</v>
      </c>
      <c r="P679" s="35">
        <f>IFERROR(__xludf.DUMMYFUNCTION("IF(AND(Q679="""", R679=""""),
  """",
  IF(OR(ISBLANK(Q679), ISBLANK(O679)),
    """",
    IF(VALUE(SUBSTITUTE(INDEX(SPLIT(IF(ISBLANK(R679), Q679, R679), "",""), 0, 1), "" Km"", """")) - O679 = 0,
      """",
      VALUE(SUBSTITUTE(INDEX(SPLIT(IF(ISBLANK("&amp;"R679), Q679, R679), "",""), 0, 1), "" Km"", """")) - O679
    )
  )
)"),-24553.0)</f>
        <v>-24553</v>
      </c>
      <c r="Q679" s="36" t="str">
        <f t="shared" si="4"/>
        <v>0 Km, 04.04.2026</v>
      </c>
      <c r="R679" s="33"/>
      <c r="S679" s="40">
        <v>7000.0</v>
      </c>
      <c r="T679" s="25">
        <v>2.0</v>
      </c>
      <c r="U679" s="71" t="s">
        <v>1291</v>
      </c>
      <c r="V679" s="37"/>
      <c r="W679" s="37" t="str">
        <f>IF(F679 = "", "", IF(NOW() &gt; (DATEVALUE(LEFT(F679, SEARCH(",", F679) - 2)) + TIMEVALUE(MID(F679, SEARCH(",", F679) + 2, 5))), "Завершена", "В аренде"))</f>
        <v>Завершена</v>
      </c>
      <c r="X679" s="25" t="str">
        <f>IFERROR(__xludf.DUMMYFUNCTION("IF(C679 = """", """", IF(REGEXMATCH(C679, ""PCX|NMAX|ADV 150|CLICK""), ""скутер"", ""мото""))"),"мото")</f>
        <v>мото</v>
      </c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</row>
    <row r="680" hidden="1">
      <c r="A680" s="13" t="s">
        <v>24</v>
      </c>
      <c r="B680" s="13" t="s">
        <v>25</v>
      </c>
      <c r="C680" s="14" t="s">
        <v>1028</v>
      </c>
      <c r="D680" s="14" t="s">
        <v>1292</v>
      </c>
      <c r="E680" s="48">
        <v>46139.0</v>
      </c>
      <c r="F680" s="38">
        <v>46147.625</v>
      </c>
      <c r="G680" s="17" t="str">
        <f t="shared" si="36"/>
        <v>8 Д</v>
      </c>
      <c r="H680" s="18">
        <f t="shared" si="38"/>
        <v>798</v>
      </c>
      <c r="I680" s="19" t="str">
        <f t="shared" si="2"/>
        <v/>
      </c>
      <c r="J680" s="20" t="str">
        <f t="shared" si="25"/>
        <v/>
      </c>
      <c r="K680" s="23">
        <f>3990+90*31</f>
        <v>6780</v>
      </c>
      <c r="L680" s="20"/>
      <c r="M680" s="23">
        <v>798.0</v>
      </c>
      <c r="N680" s="21"/>
      <c r="O680" s="22">
        <f>IFERROR(__xludf.DUMMYFUNCTION("IFERROR(
  VLOOKUP(C680,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C680
    ), 
    7, FALSE
  ), 
  """"
)
"),21600.0)</f>
        <v>21600</v>
      </c>
      <c r="P680" s="22"/>
      <c r="Q680" s="23" t="str">
        <f t="shared" si="4"/>
        <v>0 Km, 27.04.2026</v>
      </c>
      <c r="R680" s="20"/>
      <c r="S680" s="41">
        <v>7000.0</v>
      </c>
      <c r="T680" s="13">
        <v>2.0</v>
      </c>
      <c r="U680" s="13" t="s">
        <v>1293</v>
      </c>
      <c r="V680" s="24"/>
      <c r="W680" s="24"/>
      <c r="X680" s="13" t="str">
        <f>IFERROR(__xludf.DUMMYFUNCTION("IF(C680 = """", """", IF(REGEXMATCH(C680, ""PCX|NMAX|ADV 150|CLICK""), ""скутер"", ""мото""))"),"мото")</f>
        <v>мото</v>
      </c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</row>
    <row r="681" hidden="1">
      <c r="A681" s="25" t="s">
        <v>24</v>
      </c>
      <c r="B681" s="25" t="s">
        <v>25</v>
      </c>
      <c r="C681" s="27" t="s">
        <v>981</v>
      </c>
      <c r="D681" s="27" t="s">
        <v>1292</v>
      </c>
      <c r="E681" s="43">
        <v>46139.0</v>
      </c>
      <c r="F681" s="39">
        <v>46147.625</v>
      </c>
      <c r="G681" s="30" t="str">
        <f t="shared" si="36"/>
        <v>8 Д</v>
      </c>
      <c r="H681" s="31">
        <f t="shared" si="38"/>
        <v>848</v>
      </c>
      <c r="I681" s="32" t="str">
        <f>IF(OR(A681="В аренде", A681="в аренде 1", A681="в аренде 2"), J681-K681, "")</f>
        <v/>
      </c>
      <c r="J681" s="33" t="str">
        <f t="shared" si="25"/>
        <v/>
      </c>
      <c r="K681" s="36">
        <f>4240+90*31</f>
        <v>7030</v>
      </c>
      <c r="L681" s="33"/>
      <c r="M681" s="36">
        <v>848.0</v>
      </c>
      <c r="N681" s="34"/>
      <c r="O681" s="35">
        <f>IFERROR(__xludf.DUMMYFUNCTION("IFERROR(
  VLOOKUP(C681,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C681
    ), 
    7, FALSE
  ), 
  """"
)
"),6800.0)</f>
        <v>6800</v>
      </c>
      <c r="P681" s="35"/>
      <c r="Q681" s="36" t="str">
        <f t="shared" si="4"/>
        <v>0 Km, 27.04.2026</v>
      </c>
      <c r="R681" s="33"/>
      <c r="S681" s="40">
        <v>7000.0</v>
      </c>
      <c r="T681" s="25">
        <v>2.0</v>
      </c>
      <c r="U681" s="25" t="s">
        <v>1293</v>
      </c>
      <c r="V681" s="37"/>
      <c r="W681" s="37"/>
      <c r="X681" s="25" t="str">
        <f>IFERROR(__xludf.DUMMYFUNCTION("IF(C681 = """", """", IF(REGEXMATCH(C681, ""PCX|NMAX|ADV 150|CLICK""), ""скутер"", ""мото""))"),"мото")</f>
        <v>мото</v>
      </c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</row>
    <row r="682" hidden="1">
      <c r="A682" s="13" t="s">
        <v>24</v>
      </c>
      <c r="B682" s="13" t="s">
        <v>25</v>
      </c>
      <c r="C682" s="14" t="s">
        <v>946</v>
      </c>
      <c r="D682" s="14" t="s">
        <v>1272</v>
      </c>
      <c r="E682" s="48">
        <v>46117.0</v>
      </c>
      <c r="F682" s="38">
        <v>46147.625</v>
      </c>
      <c r="G682" s="17" t="str">
        <f t="shared" si="36"/>
        <v>30 Д</v>
      </c>
      <c r="H682" s="18">
        <f t="shared" si="38"/>
        <v>366.6666667</v>
      </c>
      <c r="I682" s="19" t="str">
        <f t="shared" ref="I682:I1136" si="39">IF(OR(A682="в аренде", A682="в аренде 1", A682="в аренде 2"), J682-K682, "")</f>
        <v/>
      </c>
      <c r="J682" s="20" t="str">
        <f t="shared" si="25"/>
        <v/>
      </c>
      <c r="K682" s="23">
        <v>11000.0</v>
      </c>
      <c r="L682" s="23">
        <v>11000.0</v>
      </c>
      <c r="M682" s="23"/>
      <c r="N682" s="21"/>
      <c r="O682" s="22">
        <f>IFERROR(__xludf.DUMMYFUNCTION("IFERROR(
  VLOOKUP(C682,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C682
    ), 
    7, FALSE
  ), 
  """"
)
"),20400.0)</f>
        <v>20400</v>
      </c>
      <c r="P682" s="22">
        <f>IFERROR(__xludf.DUMMYFUNCTION("IF(AND(Q682="""", R682=""""),
  """",
  IF(OR(ISBLANK(Q682), ISBLANK(O682)),
    """",
    IF(VALUE(SUBSTITUTE(INDEX(SPLIT(IF(ISBLANK(R682), Q682, R682), "",""), 0, 1), "" Km"", """")) - O682 = 0,
      """",
      VALUE(SUBSTITUTE(INDEX(SPLIT(IF(ISBLANK("&amp;"R682), Q682, R682), "",""), 0, 1), "" Km"", """")) - O682
    )
  )
)"),-20400.0)</f>
        <v>-20400</v>
      </c>
      <c r="Q682" s="23" t="str">
        <f t="shared" si="4"/>
        <v>0 Km, 05.04.2026</v>
      </c>
      <c r="R682" s="20"/>
      <c r="S682" s="41">
        <v>7000.0</v>
      </c>
      <c r="T682" s="13">
        <v>1.0</v>
      </c>
      <c r="U682" s="13" t="s">
        <v>1273</v>
      </c>
      <c r="V682" s="24"/>
      <c r="W682" s="24" t="str">
        <f t="shared" ref="W682:W683" si="40">IF(F682 = "", "", IF(NOW() &gt; (DATEVALUE(LEFT(F682, SEARCH(",", F682) - 2)) + TIMEVALUE(MID(F682, SEARCH(",", F682) + 2, 5))), "Завершена", "В аренде"))</f>
        <v>Завершена</v>
      </c>
      <c r="X682" s="13" t="str">
        <f>IFERROR(__xludf.DUMMYFUNCTION("IF(C682 = """", """", IF(REGEXMATCH(C682, ""PCX|NMAX|ADV 150|CLICK""), ""скутер"", ""мото""))"),"мото")</f>
        <v>мото</v>
      </c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</row>
    <row r="683" hidden="1">
      <c r="A683" s="25" t="s">
        <v>24</v>
      </c>
      <c r="B683" s="25" t="s">
        <v>25</v>
      </c>
      <c r="C683" s="27" t="s">
        <v>974</v>
      </c>
      <c r="D683" s="27" t="s">
        <v>747</v>
      </c>
      <c r="E683" s="43">
        <v>46118.0</v>
      </c>
      <c r="F683" s="39">
        <v>46148.583333333336</v>
      </c>
      <c r="G683" s="30" t="str">
        <f t="shared" si="36"/>
        <v>30 Д</v>
      </c>
      <c r="H683" s="31">
        <f t="shared" si="38"/>
        <v>550</v>
      </c>
      <c r="I683" s="32" t="str">
        <f t="shared" si="39"/>
        <v/>
      </c>
      <c r="J683" s="33" t="str">
        <f t="shared" si="25"/>
        <v/>
      </c>
      <c r="K683" s="36">
        <f>16500+2800</f>
        <v>19300</v>
      </c>
      <c r="L683" s="33"/>
      <c r="M683" s="36">
        <v>550.0</v>
      </c>
      <c r="N683" s="34"/>
      <c r="O683" s="35">
        <f>IFERROR(__xludf.DUMMYFUNCTION("IFERROR(
  VLOOKUP(C683,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C683
    ), 
    7, FALSE
  ), 
  """"
)
"),11800.0)</f>
        <v>11800</v>
      </c>
      <c r="P683" s="35"/>
      <c r="Q683" s="36" t="str">
        <f t="shared" si="4"/>
        <v>0 Km, 06.04.2026</v>
      </c>
      <c r="R683" s="33"/>
      <c r="S683" s="40">
        <v>0.0</v>
      </c>
      <c r="T683" s="25">
        <v>0.0</v>
      </c>
      <c r="U683" s="25" t="s">
        <v>516</v>
      </c>
      <c r="V683" s="37"/>
      <c r="W683" s="37" t="str">
        <f t="shared" si="40"/>
        <v>Завершена</v>
      </c>
      <c r="X683" s="25" t="str">
        <f>IFERROR(__xludf.DUMMYFUNCTION("IF(C683 = """", """", IF(REGEXMATCH(C683, ""PCX|NMAX|ADV 150|CLICK""), ""скутер"", ""мото""))"),"мото")</f>
        <v>мото</v>
      </c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</row>
    <row r="684" hidden="1">
      <c r="A684" s="13" t="s">
        <v>24</v>
      </c>
      <c r="B684" s="13" t="s">
        <v>25</v>
      </c>
      <c r="C684" s="14" t="s">
        <v>1065</v>
      </c>
      <c r="D684" s="14" t="s">
        <v>1156</v>
      </c>
      <c r="E684" s="48">
        <v>46139.0</v>
      </c>
      <c r="F684" s="38">
        <v>46151.708333333336</v>
      </c>
      <c r="G684" s="17" t="str">
        <f t="shared" si="36"/>
        <v>12 Д</v>
      </c>
      <c r="H684" s="18">
        <f t="shared" si="38"/>
        <v>650</v>
      </c>
      <c r="I684" s="19" t="str">
        <f t="shared" si="39"/>
        <v/>
      </c>
      <c r="J684" s="20" t="str">
        <f t="shared" si="25"/>
        <v/>
      </c>
      <c r="K684" s="23">
        <v>7800.0</v>
      </c>
      <c r="L684" s="20"/>
      <c r="M684" s="23">
        <v>650.0</v>
      </c>
      <c r="N684" s="21"/>
      <c r="O684" s="22">
        <f>IFERROR(__xludf.DUMMYFUNCTION("IFERROR(
  VLOOKUP(C684,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C684
    ), 
    7, FALSE
  ), 
  """"
)
"),19130.0)</f>
        <v>19130</v>
      </c>
      <c r="P684" s="22"/>
      <c r="Q684" s="23" t="str">
        <f t="shared" si="4"/>
        <v>0 Km, 27.04.2026</v>
      </c>
      <c r="R684" s="20"/>
      <c r="S684" s="41">
        <v>0.0</v>
      </c>
      <c r="T684" s="13">
        <v>0.0</v>
      </c>
      <c r="U684" s="13" t="s">
        <v>1294</v>
      </c>
      <c r="V684" s="24"/>
      <c r="W684" s="24"/>
      <c r="X684" s="13" t="str">
        <f>IFERROR(__xludf.DUMMYFUNCTION("IF(C684 = """", """", IF(REGEXMATCH(C684, ""PCX|NMAX|ADV 150|CLICK""), ""скутер"", ""мото""))"),"мото")</f>
        <v>мото</v>
      </c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</row>
    <row r="685" hidden="1">
      <c r="A685" s="25" t="s">
        <v>24</v>
      </c>
      <c r="B685" s="25" t="s">
        <v>25</v>
      </c>
      <c r="C685" s="27" t="s">
        <v>948</v>
      </c>
      <c r="D685" s="27" t="s">
        <v>1290</v>
      </c>
      <c r="E685" s="43">
        <v>46133.0</v>
      </c>
      <c r="F685" s="39">
        <v>46153.625</v>
      </c>
      <c r="G685" s="30" t="str">
        <f t="shared" si="36"/>
        <v>20 Д</v>
      </c>
      <c r="H685" s="31">
        <f t="shared" si="38"/>
        <v>550</v>
      </c>
      <c r="I685" s="32" t="str">
        <f t="shared" si="39"/>
        <v/>
      </c>
      <c r="J685" s="33" t="str">
        <f t="shared" si="25"/>
        <v/>
      </c>
      <c r="K685" s="36">
        <v>11000.0</v>
      </c>
      <c r="L685" s="33"/>
      <c r="M685" s="36">
        <v>550.0</v>
      </c>
      <c r="N685" s="34"/>
      <c r="O685" s="35">
        <f>IFERROR(__xludf.DUMMYFUNCTION("IFERROR(
  VLOOKUP(C685,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C685
    ), 
    7, FALSE
  ), 
  """"
)
"),24553.0)</f>
        <v>24553</v>
      </c>
      <c r="P685" s="35">
        <f>IFERROR(__xludf.DUMMYFUNCTION("IF(AND(Q685="""", R685=""""),
  """",
  IF(OR(ISBLANK(Q685), ISBLANK(O685)),
    """",
    IF(VALUE(SUBSTITUTE(INDEX(SPLIT(IF(ISBLANK(R685), Q685, R685), "",""), 0, 1), "" Km"", """")) - O685 = 0,
      """",
      VALUE(SUBSTITUTE(INDEX(SPLIT(IF(ISBLANK("&amp;"R685), Q685, R685), "",""), 0, 1), "" Km"", """")) - O685
    )
  )
)"),-24553.0)</f>
        <v>-24553</v>
      </c>
      <c r="Q685" s="36" t="str">
        <f t="shared" si="4"/>
        <v>0 Km, 21.04.2026</v>
      </c>
      <c r="R685" s="33"/>
      <c r="S685" s="40">
        <v>7000.0</v>
      </c>
      <c r="T685" s="25">
        <v>2.0</v>
      </c>
      <c r="U685" s="71" t="s">
        <v>1291</v>
      </c>
      <c r="V685" s="37"/>
      <c r="W685" s="37" t="str">
        <f>IF(F685 = "", "", IF(NOW() &gt; (DATEVALUE(LEFT(F685, SEARCH(",", F685) - 2)) + TIMEVALUE(MID(F685, SEARCH(",", F685) + 2, 5))), "Завершена", "В аренде"))</f>
        <v>Завершена</v>
      </c>
      <c r="X685" s="25" t="str">
        <f>IFERROR(__xludf.DUMMYFUNCTION("IF(C685 = """", """", IF(REGEXMATCH(C685, ""PCX|NMAX|ADV 150|CLICK""), ""скутер"", ""мото""))"),"мото")</f>
        <v>мото</v>
      </c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</row>
    <row r="686" hidden="1">
      <c r="A686" s="13" t="s">
        <v>24</v>
      </c>
      <c r="B686" s="13" t="s">
        <v>25</v>
      </c>
      <c r="C686" s="14" t="s">
        <v>1028</v>
      </c>
      <c r="D686" s="14" t="s">
        <v>1295</v>
      </c>
      <c r="E686" s="48">
        <v>46149.0</v>
      </c>
      <c r="F686" s="38">
        <v>46156.583333333336</v>
      </c>
      <c r="G686" s="17" t="str">
        <f t="shared" si="36"/>
        <v>7 Д</v>
      </c>
      <c r="H686" s="18">
        <f t="shared" si="38"/>
        <v>600</v>
      </c>
      <c r="I686" s="19" t="str">
        <f t="shared" si="39"/>
        <v/>
      </c>
      <c r="J686" s="20" t="str">
        <f t="shared" si="25"/>
        <v/>
      </c>
      <c r="K686" s="23">
        <v>4200.0</v>
      </c>
      <c r="L686" s="20"/>
      <c r="M686" s="23">
        <v>600.0</v>
      </c>
      <c r="N686" s="21"/>
      <c r="O686" s="22">
        <f>IFERROR(__xludf.DUMMYFUNCTION("IFERROR(
  VLOOKUP(C686,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C686
    ), 
    7, FALSE
  ), 
  """"
)
"),21600.0)</f>
        <v>21600</v>
      </c>
      <c r="P686" s="22"/>
      <c r="Q686" s="23" t="str">
        <f t="shared" si="4"/>
        <v>0 Km, 07.05.2026</v>
      </c>
      <c r="R686" s="20"/>
      <c r="S686" s="41" t="s">
        <v>430</v>
      </c>
      <c r="T686" s="13">
        <v>2.0</v>
      </c>
      <c r="U686" s="66" t="s">
        <v>1296</v>
      </c>
      <c r="V686" s="24"/>
      <c r="W686" s="24"/>
      <c r="X686" s="13" t="str">
        <f>IFERROR(__xludf.DUMMYFUNCTION("IF(C686 = """", """", IF(REGEXMATCH(C686, ""PCX|NMAX|ADV 150|CLICK""), ""скутер"", ""мото""))"),"мото")</f>
        <v>мото</v>
      </c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</row>
    <row r="687" hidden="1">
      <c r="A687" s="25" t="s">
        <v>24</v>
      </c>
      <c r="B687" s="25" t="s">
        <v>25</v>
      </c>
      <c r="C687" s="27" t="s">
        <v>102</v>
      </c>
      <c r="D687" s="27" t="s">
        <v>1297</v>
      </c>
      <c r="E687" s="43">
        <v>46130.0</v>
      </c>
      <c r="F687" s="39">
        <v>46135.541666666664</v>
      </c>
      <c r="G687" s="30" t="str">
        <f t="shared" si="36"/>
        <v>5 Д</v>
      </c>
      <c r="H687" s="31">
        <f t="shared" si="38"/>
        <v>1650</v>
      </c>
      <c r="I687" s="32" t="str">
        <f t="shared" si="39"/>
        <v/>
      </c>
      <c r="J687" s="33" t="str">
        <f t="shared" si="25"/>
        <v/>
      </c>
      <c r="K687" s="36">
        <f>4950+1650*2</f>
        <v>8250</v>
      </c>
      <c r="L687" s="33"/>
      <c r="M687" s="36">
        <v>1650.0</v>
      </c>
      <c r="N687" s="34"/>
      <c r="O687" s="35">
        <f>IFERROR(__xludf.DUMMYFUNCTION("IFERROR(
  VLOOKUP(C687,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C687
    ), 
    7, FALSE
  ), 
  """"
)
"),63700.0)</f>
        <v>63700</v>
      </c>
      <c r="P687" s="35"/>
      <c r="Q687" s="36" t="str">
        <f t="shared" si="4"/>
        <v>0 Km, 18.04.2026</v>
      </c>
      <c r="R687" s="33"/>
      <c r="S687" s="40">
        <v>20000.0</v>
      </c>
      <c r="T687" s="25">
        <v>0.0</v>
      </c>
      <c r="U687" s="25" t="s">
        <v>1298</v>
      </c>
      <c r="V687" s="37"/>
      <c r="W687" s="37" t="str">
        <f t="shared" ref="W687:W692" si="41">IF(F687 = "", "", IF(NOW() &gt; (DATEVALUE(LEFT(F687, SEARCH(",", F687) - 2)) + TIMEVALUE(MID(F687, SEARCH(",", F687) + 2, 5))), "Завершена", "В аренде"))</f>
        <v>Завершена</v>
      </c>
      <c r="X687" s="25" t="str">
        <f>IFERROR(__xludf.DUMMYFUNCTION("IF(C687 = """", """", IF(REGEXMATCH(C687, ""PCX|NMAX|ADV 150|CLICK""), ""скутер"", ""мото""))"),"мото")</f>
        <v>мото</v>
      </c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</row>
    <row r="688" hidden="1">
      <c r="A688" s="13" t="s">
        <v>24</v>
      </c>
      <c r="B688" s="13" t="s">
        <v>25</v>
      </c>
      <c r="C688" s="14" t="s">
        <v>941</v>
      </c>
      <c r="D688" s="14" t="s">
        <v>1168</v>
      </c>
      <c r="E688" s="48">
        <v>46125.0</v>
      </c>
      <c r="F688" s="38">
        <v>46157.541666666664</v>
      </c>
      <c r="G688" s="17" t="str">
        <f t="shared" si="36"/>
        <v>32 Д</v>
      </c>
      <c r="H688" s="18">
        <f t="shared" si="38"/>
        <v>550</v>
      </c>
      <c r="I688" s="19" t="str">
        <f t="shared" si="39"/>
        <v/>
      </c>
      <c r="J688" s="20" t="str">
        <f t="shared" si="25"/>
        <v/>
      </c>
      <c r="K688" s="23">
        <v>16500.0</v>
      </c>
      <c r="L688" s="20"/>
      <c r="M688" s="23">
        <v>550.0</v>
      </c>
      <c r="N688" s="21"/>
      <c r="O688" s="22">
        <f>IFERROR(__xludf.DUMMYFUNCTION("IFERROR(
  VLOOKUP(C688,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C688
    ), 
    7, FALSE
  ), 
  """"
)
"),18302.0)</f>
        <v>18302</v>
      </c>
      <c r="P688" s="22">
        <f>IFERROR(__xludf.DUMMYFUNCTION("IF(AND(Q688="""", R688=""""),
  """",
  IF(OR(ISBLANK(Q688), ISBLANK(O688)),
    """",
    IF(VALUE(SUBSTITUTE(INDEX(SPLIT(IF(ISBLANK(R688), Q688, R688), "",""), 0, 1), "" Km"", """")) - O688 = 0,
      """",
      VALUE(SUBSTITUTE(INDEX(SPLIT(IF(ISBLANK("&amp;"R688), Q688, R688), "",""), 0, 1), "" Km"", """")) - O688
    )
  )
)"),-18302.0)</f>
        <v>-18302</v>
      </c>
      <c r="Q688" s="23" t="str">
        <f t="shared" si="4"/>
        <v>0 Km, 13.04.2026</v>
      </c>
      <c r="R688" s="20"/>
      <c r="S688" s="41">
        <v>7000.0</v>
      </c>
      <c r="T688" s="13">
        <v>2.0</v>
      </c>
      <c r="U688" s="13" t="s">
        <v>1270</v>
      </c>
      <c r="V688" s="24"/>
      <c r="W688" s="24" t="str">
        <f t="shared" si="41"/>
        <v>Завершена</v>
      </c>
      <c r="X688" s="13" t="str">
        <f>IFERROR(__xludf.DUMMYFUNCTION("IF(C688 = """", """", IF(REGEXMATCH(C688, ""PCX|NMAX|ADV 150|CLICK""), ""скутер"", ""мото""))"),"мото")</f>
        <v>мото</v>
      </c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</row>
    <row r="689" hidden="1">
      <c r="A689" s="25" t="s">
        <v>24</v>
      </c>
      <c r="B689" s="25" t="s">
        <v>25</v>
      </c>
      <c r="C689" s="27" t="s">
        <v>979</v>
      </c>
      <c r="D689" s="27" t="s">
        <v>740</v>
      </c>
      <c r="E689" s="43">
        <v>46127.0</v>
      </c>
      <c r="F689" s="39">
        <v>46158.833333333336</v>
      </c>
      <c r="G689" s="30" t="str">
        <f t="shared" si="36"/>
        <v>31 Д</v>
      </c>
      <c r="H689" s="31">
        <f t="shared" si="38"/>
        <v>550</v>
      </c>
      <c r="I689" s="32" t="str">
        <f t="shared" si="39"/>
        <v/>
      </c>
      <c r="J689" s="33" t="str">
        <f t="shared" si="25"/>
        <v/>
      </c>
      <c r="K689" s="36">
        <v>17050.0</v>
      </c>
      <c r="L689" s="33"/>
      <c r="M689" s="36">
        <v>550.0</v>
      </c>
      <c r="N689" s="34"/>
      <c r="O689" s="35">
        <f>IFERROR(__xludf.DUMMYFUNCTION("IFERROR(
  VLOOKUP(C689,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C689
    ), 
    7, FALSE
  ), 
  """"
)
"),6800.0)</f>
        <v>6800</v>
      </c>
      <c r="P689" s="35"/>
      <c r="Q689" s="36" t="str">
        <f t="shared" si="4"/>
        <v>0 Km, 15.04.2026</v>
      </c>
      <c r="R689" s="33"/>
      <c r="S689" s="40">
        <v>0.0</v>
      </c>
      <c r="T689" s="25">
        <v>2.0</v>
      </c>
      <c r="U689" s="25" t="s">
        <v>1299</v>
      </c>
      <c r="V689" s="37"/>
      <c r="W689" s="37" t="str">
        <f t="shared" si="41"/>
        <v>Завершена</v>
      </c>
      <c r="X689" s="25" t="str">
        <f>IFERROR(__xludf.DUMMYFUNCTION("IF(C689 = """", """", IF(REGEXMATCH(C689, ""PCX|NMAX|ADV 150|CLICK""), ""скутер"", ""мото""))"),"мото")</f>
        <v>мото</v>
      </c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</row>
    <row r="690" hidden="1">
      <c r="A690" s="13" t="s">
        <v>24</v>
      </c>
      <c r="B690" s="13" t="s">
        <v>25</v>
      </c>
      <c r="C690" s="14" t="s">
        <v>914</v>
      </c>
      <c r="D690" s="14" t="s">
        <v>1300</v>
      </c>
      <c r="E690" s="48">
        <v>46149.0</v>
      </c>
      <c r="F690" s="38">
        <v>46166.5</v>
      </c>
      <c r="G690" s="17" t="str">
        <f t="shared" si="36"/>
        <v>17 Д</v>
      </c>
      <c r="H690" s="18">
        <f t="shared" si="38"/>
        <v>1700</v>
      </c>
      <c r="I690" s="19" t="str">
        <f t="shared" si="39"/>
        <v/>
      </c>
      <c r="J690" s="20" t="str">
        <f t="shared" si="25"/>
        <v/>
      </c>
      <c r="K690" s="23">
        <v>28900.0</v>
      </c>
      <c r="L690" s="20"/>
      <c r="M690" s="23">
        <v>1700.0</v>
      </c>
      <c r="N690" s="21"/>
      <c r="O690" s="22">
        <f>IFERROR(__xludf.DUMMYFUNCTION("IFERROR(
  VLOOKUP(C690,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C690
    ), 
    7, FALSE
  ), 
  """"
)
"),17900.0)</f>
        <v>17900</v>
      </c>
      <c r="P690" s="22"/>
      <c r="Q690" s="23" t="str">
        <f t="shared" si="4"/>
        <v>0 Km, 07.05.2026</v>
      </c>
      <c r="R690" s="20"/>
      <c r="S690" s="41" t="s">
        <v>515</v>
      </c>
      <c r="T690" s="13">
        <v>0.0</v>
      </c>
      <c r="U690" s="13" t="s">
        <v>1301</v>
      </c>
      <c r="V690" s="24"/>
      <c r="W690" s="24" t="str">
        <f t="shared" si="41"/>
        <v>Завершена</v>
      </c>
      <c r="X690" s="13" t="str">
        <f>IFERROR(__xludf.DUMMYFUNCTION("IF(C690 = """", """", IF(REGEXMATCH(C690, ""PCX|NMAX|ADV 150|CLICK""), ""скутер"", ""мото""))"),"мото")</f>
        <v>мото</v>
      </c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</row>
    <row r="691" hidden="1">
      <c r="A691" s="25" t="s">
        <v>24</v>
      </c>
      <c r="B691" s="25" t="s">
        <v>25</v>
      </c>
      <c r="C691" s="27" t="s">
        <v>279</v>
      </c>
      <c r="D691" s="27" t="s">
        <v>1302</v>
      </c>
      <c r="E691" s="43">
        <v>46119.0</v>
      </c>
      <c r="F691" s="39">
        <v>46180.75</v>
      </c>
      <c r="G691" s="30" t="str">
        <f t="shared" si="36"/>
        <v>61 Д</v>
      </c>
      <c r="H691" s="31">
        <f t="shared" si="38"/>
        <v>263.3333333</v>
      </c>
      <c r="I691" s="32" t="str">
        <f t="shared" si="39"/>
        <v/>
      </c>
      <c r="J691" s="33" t="str">
        <f t="shared" si="25"/>
        <v/>
      </c>
      <c r="K691" s="36">
        <f>7900+8153</f>
        <v>16053</v>
      </c>
      <c r="L691" s="36">
        <v>7900.0</v>
      </c>
      <c r="M691" s="33"/>
      <c r="N691" s="44">
        <v>12500.0</v>
      </c>
      <c r="O691" s="35">
        <f>IFERROR(__xludf.DUMMYFUNCTION("IFERROR(
  VLOOKUP(C691,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C691
    ), 
    7, FALSE
  ), 
  """"
)
"),9000.0)</f>
        <v>9000</v>
      </c>
      <c r="P691" s="35"/>
      <c r="Q691" s="36" t="str">
        <f t="shared" si="4"/>
        <v>12 500 Km, 07.04.2026</v>
      </c>
      <c r="R691" s="33"/>
      <c r="S691" s="40">
        <v>7000.0</v>
      </c>
      <c r="T691" s="25">
        <v>0.0</v>
      </c>
      <c r="U691" s="25" t="s">
        <v>1303</v>
      </c>
      <c r="V691" s="37"/>
      <c r="W691" s="37" t="str">
        <f t="shared" si="41"/>
        <v>Завершена</v>
      </c>
      <c r="X691" s="25" t="str">
        <f>IFERROR(__xludf.DUMMYFUNCTION("IF(C691 = """", """", IF(REGEXMATCH(C691, ""PCX|NMAX|ADV 150|CLICK""), ""скутер"", ""мото""))"),"мото")</f>
        <v>мото</v>
      </c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</row>
    <row r="692" hidden="1">
      <c r="A692" s="13" t="s">
        <v>24</v>
      </c>
      <c r="B692" s="13" t="s">
        <v>25</v>
      </c>
      <c r="C692" s="14" t="s">
        <v>967</v>
      </c>
      <c r="D692" s="14" t="s">
        <v>1304</v>
      </c>
      <c r="E692" s="48">
        <v>46134.0</v>
      </c>
      <c r="F692" s="38">
        <v>46188.541666666664</v>
      </c>
      <c r="G692" s="17" t="str">
        <f t="shared" si="36"/>
        <v>54 Д</v>
      </c>
      <c r="H692" s="18">
        <f t="shared" si="38"/>
        <v>1140</v>
      </c>
      <c r="I692" s="19" t="str">
        <f t="shared" si="39"/>
        <v/>
      </c>
      <c r="J692" s="20" t="str">
        <f t="shared" si="25"/>
        <v/>
      </c>
      <c r="K692" s="23">
        <v>65000.0</v>
      </c>
      <c r="L692" s="23"/>
      <c r="M692" s="23">
        <v>1140.0</v>
      </c>
      <c r="N692" s="21"/>
      <c r="O692" s="22">
        <f>IFERROR(__xludf.DUMMYFUNCTION("IFERROR(
  VLOOKUP(C692,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C692
    ), 
    7, FALSE
  ), 
  """"
)
"),24800.0)</f>
        <v>24800</v>
      </c>
      <c r="P692" s="22"/>
      <c r="Q692" s="23" t="str">
        <f t="shared" si="4"/>
        <v>0 Km, 22.04.2026</v>
      </c>
      <c r="R692" s="20"/>
      <c r="S692" s="41">
        <v>20000.0</v>
      </c>
      <c r="T692" s="13">
        <v>0.0</v>
      </c>
      <c r="U692" s="13" t="s">
        <v>1305</v>
      </c>
      <c r="V692" s="24"/>
      <c r="W692" s="24" t="str">
        <f t="shared" si="41"/>
        <v>Завершена</v>
      </c>
      <c r="X692" s="13" t="str">
        <f>IFERROR(__xludf.DUMMYFUNCTION("IF(C692 = """", """", IF(REGEXMATCH(C692, ""PCX|NMAX|ADV 150|CLICK""), ""скутер"", ""мото""))"),"мото")</f>
        <v>мото</v>
      </c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</row>
    <row r="693" hidden="1">
      <c r="A693" s="25" t="s">
        <v>24</v>
      </c>
      <c r="B693" s="25" t="s">
        <v>25</v>
      </c>
      <c r="C693" s="27" t="s">
        <v>68</v>
      </c>
      <c r="D693" s="27" t="s">
        <v>1306</v>
      </c>
      <c r="E693" s="43">
        <v>46180.0</v>
      </c>
      <c r="F693" s="39">
        <v>46190.583333333336</v>
      </c>
      <c r="G693" s="30" t="str">
        <f t="shared" si="36"/>
        <v>10 Д</v>
      </c>
      <c r="H693" s="31">
        <f t="shared" si="38"/>
        <v>307</v>
      </c>
      <c r="I693" s="32" t="str">
        <f t="shared" si="39"/>
        <v/>
      </c>
      <c r="J693" s="33" t="str">
        <f t="shared" si="25"/>
        <v/>
      </c>
      <c r="K693" s="36">
        <v>3000.0</v>
      </c>
      <c r="L693" s="36"/>
      <c r="M693" s="36">
        <v>307.0</v>
      </c>
      <c r="N693" s="34"/>
      <c r="O693" s="35">
        <f>IFERROR(__xludf.DUMMYFUNCTION("IFERROR(
  VLOOKUP(C693,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C693
    ), 
    7, FALSE
  ), 
  """"
)
"),24094.0)</f>
        <v>24094</v>
      </c>
      <c r="P693" s="35"/>
      <c r="Q693" s="36" t="str">
        <f t="shared" si="4"/>
        <v>0 Km, 07.06.2026</v>
      </c>
      <c r="R693" s="33"/>
      <c r="S693" s="40">
        <v>3000.0</v>
      </c>
      <c r="T693" s="25">
        <v>1.0</v>
      </c>
      <c r="U693" s="25" t="s">
        <v>1307</v>
      </c>
      <c r="V693" s="37"/>
      <c r="W693" s="37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</row>
    <row r="694" hidden="1">
      <c r="A694" s="13" t="s">
        <v>24</v>
      </c>
      <c r="B694" s="13" t="s">
        <v>25</v>
      </c>
      <c r="C694" s="14" t="s">
        <v>946</v>
      </c>
      <c r="D694" s="14" t="s">
        <v>1308</v>
      </c>
      <c r="E694" s="48">
        <v>46193.0</v>
      </c>
      <c r="F694" s="38">
        <v>46200.708333333336</v>
      </c>
      <c r="G694" s="17" t="str">
        <f t="shared" si="36"/>
        <v>7 Д</v>
      </c>
      <c r="H694" s="18">
        <f t="shared" si="38"/>
        <v>649</v>
      </c>
      <c r="I694" s="19" t="str">
        <f t="shared" si="39"/>
        <v/>
      </c>
      <c r="J694" s="20" t="str">
        <f t="shared" si="25"/>
        <v/>
      </c>
      <c r="K694" s="23">
        <v>4543.0</v>
      </c>
      <c r="L694" s="20"/>
      <c r="M694" s="23">
        <v>649.0</v>
      </c>
      <c r="N694" s="21"/>
      <c r="O694" s="22">
        <f>IFERROR(__xludf.DUMMYFUNCTION("IFERROR(
  VLOOKUP(C694,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C694
    ), 
    7, FALSE
  ), 
  """"
)
"),20400.0)</f>
        <v>20400</v>
      </c>
      <c r="P694" s="22"/>
      <c r="Q694" s="23" t="str">
        <f t="shared" si="4"/>
        <v>0 Km, 20.06.2026</v>
      </c>
      <c r="R694" s="20"/>
      <c r="S694" s="41" t="s">
        <v>600</v>
      </c>
      <c r="T694" s="13">
        <v>2.0</v>
      </c>
      <c r="U694" s="13" t="s">
        <v>1309</v>
      </c>
      <c r="V694" s="24"/>
      <c r="W694" s="24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</row>
    <row r="695" hidden="1">
      <c r="A695" s="25" t="s">
        <v>24</v>
      </c>
      <c r="B695" s="25" t="s">
        <v>25</v>
      </c>
      <c r="C695" s="27" t="s">
        <v>44</v>
      </c>
      <c r="D695" s="27" t="s">
        <v>1310</v>
      </c>
      <c r="E695" s="43">
        <v>46172.0</v>
      </c>
      <c r="F695" s="39">
        <v>46203.791666666664</v>
      </c>
      <c r="G695" s="30" t="str">
        <f t="shared" si="36"/>
        <v>31 Д</v>
      </c>
      <c r="H695" s="31">
        <f t="shared" si="38"/>
        <v>166.6666667</v>
      </c>
      <c r="I695" s="32" t="str">
        <f t="shared" si="39"/>
        <v/>
      </c>
      <c r="J695" s="33" t="str">
        <f t="shared" si="25"/>
        <v/>
      </c>
      <c r="K695" s="36">
        <v>5000.0</v>
      </c>
      <c r="L695" s="36">
        <v>5000.0</v>
      </c>
      <c r="M695" s="33"/>
      <c r="N695" s="34"/>
      <c r="O695" s="35">
        <f>IFERROR(__xludf.DUMMYFUNCTION("IFERROR(
  VLOOKUP(C695,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C695
    ), 
    7, FALSE
  ), 
  """"
)
"),30800.0)</f>
        <v>30800</v>
      </c>
      <c r="P695" s="35"/>
      <c r="Q695" s="36" t="str">
        <f t="shared" si="4"/>
        <v>0 Km, 30.05.2026</v>
      </c>
      <c r="R695" s="33"/>
      <c r="S695" s="40">
        <v>3000.0</v>
      </c>
      <c r="T695" s="25">
        <v>2.0</v>
      </c>
      <c r="U695" s="25" t="s">
        <v>1311</v>
      </c>
      <c r="V695" s="37"/>
      <c r="W695" s="37"/>
      <c r="X695" s="25" t="str">
        <f>IFERROR(__xludf.DUMMYFUNCTION("IF(C695 = """", """", IF(REGEXMATCH(C695, ""PCX|NMAX|ADV 150|CLICK""), ""скутер"", ""мото""))"),"скутер")</f>
        <v>скутер</v>
      </c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</row>
    <row r="696">
      <c r="A696" s="13" t="s">
        <v>1312</v>
      </c>
      <c r="B696" s="13" t="s">
        <v>25</v>
      </c>
      <c r="C696" s="14" t="s">
        <v>981</v>
      </c>
      <c r="D696" s="14" t="s">
        <v>1313</v>
      </c>
      <c r="E696" s="48">
        <v>46149.0</v>
      </c>
      <c r="F696" s="38">
        <v>46201.666666666664</v>
      </c>
      <c r="G696" s="17" t="str">
        <f t="shared" si="36"/>
        <v>52 Д</v>
      </c>
      <c r="H696" s="18">
        <f t="shared" si="38"/>
        <v>500</v>
      </c>
      <c r="I696" s="19">
        <f t="shared" si="39"/>
        <v>3500</v>
      </c>
      <c r="J696" s="20">
        <f t="shared" si="25"/>
        <v>29500</v>
      </c>
      <c r="K696" s="23">
        <f>37*500+7500</f>
        <v>26000</v>
      </c>
      <c r="L696" s="20"/>
      <c r="M696" s="23">
        <v>500.0</v>
      </c>
      <c r="N696" s="21"/>
      <c r="O696" s="22">
        <f>IFERROR(__xludf.DUMMYFUNCTION("IFERROR(
  VLOOKUP(C696,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C696
    ), 
    7, FALSE
  ), 
  """"
)
"),6800.0)</f>
        <v>6800</v>
      </c>
      <c r="P696" s="22"/>
      <c r="Q696" s="23" t="str">
        <f t="shared" si="4"/>
        <v>0 Km, 07.05.2026</v>
      </c>
      <c r="R696" s="20"/>
      <c r="S696" s="41">
        <v>7000.0</v>
      </c>
      <c r="T696" s="13">
        <v>2.0</v>
      </c>
      <c r="U696" s="13" t="s">
        <v>1314</v>
      </c>
      <c r="V696" s="24"/>
      <c r="W696" s="24"/>
      <c r="X696" s="13" t="str">
        <f>IFERROR(__xludf.DUMMYFUNCTION("IF(C696 = """", """", IF(REGEXMATCH(C696, ""PCX|NMAX|ADV 150|CLICK""), ""скутер"", ""мото""))"),"мото")</f>
        <v>мото</v>
      </c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</row>
    <row r="697">
      <c r="A697" s="25" t="s">
        <v>1312</v>
      </c>
      <c r="B697" s="25" t="s">
        <v>25</v>
      </c>
      <c r="C697" s="27" t="s">
        <v>73</v>
      </c>
      <c r="D697" s="27" t="s">
        <v>1315</v>
      </c>
      <c r="E697" s="43">
        <v>46174.0</v>
      </c>
      <c r="F697" s="39">
        <v>46204.625</v>
      </c>
      <c r="G697" s="30" t="str">
        <f t="shared" si="36"/>
        <v>30 Д</v>
      </c>
      <c r="H697" s="31">
        <f t="shared" si="38"/>
        <v>166.6666667</v>
      </c>
      <c r="I697" s="32">
        <f t="shared" si="39"/>
        <v>666.6666667</v>
      </c>
      <c r="J697" s="33">
        <f t="shared" si="25"/>
        <v>5666.666667</v>
      </c>
      <c r="K697" s="36">
        <v>5000.0</v>
      </c>
      <c r="L697" s="36">
        <v>5000.0</v>
      </c>
      <c r="M697" s="33"/>
      <c r="N697" s="34"/>
      <c r="O697" s="35">
        <f>IFERROR(__xludf.DUMMYFUNCTION("IFERROR(
  VLOOKUP(C697,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C697
    ), 
    7, FALSE
  ), 
  """"
)
"),31000.0)</f>
        <v>31000</v>
      </c>
      <c r="P697" s="35"/>
      <c r="Q697" s="36" t="str">
        <f t="shared" si="4"/>
        <v>0 Km, 01.06.2026</v>
      </c>
      <c r="R697" s="33"/>
      <c r="S697" s="40">
        <v>3000.0</v>
      </c>
      <c r="T697" s="25">
        <v>2.0</v>
      </c>
      <c r="U697" s="25" t="s">
        <v>1316</v>
      </c>
      <c r="V697" s="37"/>
      <c r="W697" s="37"/>
      <c r="X697" s="25" t="str">
        <f>IFERROR(__xludf.DUMMYFUNCTION("IF(C697 = """", """", IF(REGEXMATCH(C697, ""PCX|NMAX|ADV 150|CLICK""), ""скутер"", ""мото""))"),"скутер")</f>
        <v>скутер</v>
      </c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</row>
    <row r="698">
      <c r="A698" s="13" t="s">
        <v>1312</v>
      </c>
      <c r="B698" s="13" t="s">
        <v>25</v>
      </c>
      <c r="C698" s="14" t="s">
        <v>279</v>
      </c>
      <c r="D698" s="14" t="s">
        <v>1317</v>
      </c>
      <c r="E698" s="48">
        <v>46203.0</v>
      </c>
      <c r="F698" s="38">
        <v>46206.583333333336</v>
      </c>
      <c r="G698" s="17" t="str">
        <f t="shared" si="36"/>
        <v>3 Д</v>
      </c>
      <c r="H698" s="18">
        <f t="shared" si="38"/>
        <v>502</v>
      </c>
      <c r="I698" s="19">
        <f t="shared" si="39"/>
        <v>1004</v>
      </c>
      <c r="J698" s="20">
        <f t="shared" si="25"/>
        <v>2510</v>
      </c>
      <c r="K698" s="23">
        <v>1506.0</v>
      </c>
      <c r="L698" s="20"/>
      <c r="M698" s="23">
        <v>502.0</v>
      </c>
      <c r="N698" s="49">
        <v>13000.0</v>
      </c>
      <c r="O698" s="22">
        <f>IFERROR(__xludf.DUMMYFUNCTION("IFERROR(
  VLOOKUP(C698,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C698
    ), 
    7, FALSE
  ), 
  """"
)
"),9000.0)</f>
        <v>9000</v>
      </c>
      <c r="P698" s="22"/>
      <c r="Q698" s="23" t="str">
        <f t="shared" si="4"/>
        <v>13 000 Km, 30.06.2026</v>
      </c>
      <c r="R698" s="20"/>
      <c r="S698" s="41">
        <v>7000.0</v>
      </c>
      <c r="T698" s="13">
        <v>1.0</v>
      </c>
      <c r="U698" s="13" t="s">
        <v>1318</v>
      </c>
      <c r="V698" s="24"/>
      <c r="W698" s="24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</row>
    <row r="699">
      <c r="A699" s="111" t="s">
        <v>1312</v>
      </c>
      <c r="B699" s="112" t="s">
        <v>25</v>
      </c>
      <c r="C699" s="112" t="s">
        <v>979</v>
      </c>
      <c r="D699" s="112" t="s">
        <v>1319</v>
      </c>
      <c r="E699" s="147">
        <v>46177.0</v>
      </c>
      <c r="F699" s="148">
        <v>46207.666666666664</v>
      </c>
      <c r="G699" s="115" t="str">
        <f t="shared" si="36"/>
        <v>30 Д</v>
      </c>
      <c r="H699" s="116">
        <f t="shared" si="38"/>
        <v>0</v>
      </c>
      <c r="I699" s="149">
        <f t="shared" si="39"/>
        <v>0</v>
      </c>
      <c r="J699" s="121">
        <f t="shared" si="25"/>
        <v>0</v>
      </c>
      <c r="K699" s="121">
        <v>0.0</v>
      </c>
      <c r="L699" s="117"/>
      <c r="M699" s="121">
        <v>0.0</v>
      </c>
      <c r="N699" s="150"/>
      <c r="O699" s="120">
        <f>IFERROR(__xludf.DUMMYFUNCTION("IFERROR(
  VLOOKUP(C699,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C699
    ), 
    7, FALSE
  ), 
  """"
)
"),6800.0)</f>
        <v>6800</v>
      </c>
      <c r="P699" s="151"/>
      <c r="Q699" s="121" t="str">
        <f t="shared" si="4"/>
        <v>0 Km, 04.06.2026</v>
      </c>
      <c r="R699" s="117"/>
      <c r="S699" s="116">
        <v>0.0</v>
      </c>
      <c r="T699" s="122">
        <v>2.0</v>
      </c>
      <c r="U699" s="123"/>
      <c r="V699" s="123"/>
      <c r="W699" s="123"/>
      <c r="X699" s="124" t="str">
        <f>IFERROR(__xludf.DUMMYFUNCTION("IF(C699 = """", """", IF(REGEXMATCH(C699, ""PCX|NMAX|ADV 150|CLICK""), ""скутер"", ""мото""))"),"мото")</f>
        <v>мото</v>
      </c>
      <c r="Y699" s="125"/>
      <c r="Z699" s="125"/>
      <c r="AA699" s="125"/>
      <c r="AB699" s="125"/>
      <c r="AC699" s="125"/>
      <c r="AD699" s="125"/>
      <c r="AE699" s="125"/>
      <c r="AF699" s="125"/>
      <c r="AG699" s="125"/>
      <c r="AH699" s="125"/>
      <c r="AI699" s="125"/>
      <c r="AJ699" s="125"/>
      <c r="AK699" s="125"/>
      <c r="AL699" s="125"/>
      <c r="AM699" s="125"/>
    </row>
    <row r="700">
      <c r="A700" s="13" t="s">
        <v>1312</v>
      </c>
      <c r="B700" s="13" t="s">
        <v>25</v>
      </c>
      <c r="C700" s="14" t="s">
        <v>461</v>
      </c>
      <c r="D700" s="14" t="s">
        <v>1320</v>
      </c>
      <c r="E700" s="48">
        <v>46198.0</v>
      </c>
      <c r="F700" s="38">
        <v>46209.541666666664</v>
      </c>
      <c r="G700" s="17" t="str">
        <f t="shared" si="36"/>
        <v>11 Д</v>
      </c>
      <c r="H700" s="18">
        <f t="shared" si="38"/>
        <v>643</v>
      </c>
      <c r="I700" s="19">
        <f t="shared" si="39"/>
        <v>-643</v>
      </c>
      <c r="J700" s="20">
        <f t="shared" si="25"/>
        <v>6430</v>
      </c>
      <c r="K700" s="23">
        <v>7073.0</v>
      </c>
      <c r="L700" s="20"/>
      <c r="M700" s="23">
        <v>643.0</v>
      </c>
      <c r="N700" s="21"/>
      <c r="O700" s="22">
        <f>IFERROR(__xludf.DUMMYFUNCTION("IFERROR(
  VLOOKUP(C700,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C700
    ), 
    7, FALSE
  ), 
  """"
)
"),30500.0)</f>
        <v>30500</v>
      </c>
      <c r="P700" s="22"/>
      <c r="Q700" s="23" t="str">
        <f t="shared" si="4"/>
        <v>0 Km, 25.06.2026</v>
      </c>
      <c r="R700" s="20"/>
      <c r="S700" s="41">
        <v>15000.0</v>
      </c>
      <c r="T700" s="13">
        <v>2.0</v>
      </c>
      <c r="U700" s="13" t="s">
        <v>1321</v>
      </c>
      <c r="V700" s="24"/>
      <c r="W700" s="24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</row>
    <row r="701">
      <c r="A701" s="25" t="s">
        <v>1312</v>
      </c>
      <c r="B701" s="25" t="s">
        <v>25</v>
      </c>
      <c r="C701" s="27" t="s">
        <v>202</v>
      </c>
      <c r="D701" s="27" t="s">
        <v>1322</v>
      </c>
      <c r="E701" s="43">
        <v>46183.0</v>
      </c>
      <c r="F701" s="39">
        <v>46213.666666666664</v>
      </c>
      <c r="G701" s="30" t="str">
        <f t="shared" si="36"/>
        <v>30 Д</v>
      </c>
      <c r="H701" s="31">
        <f t="shared" si="38"/>
        <v>233.3333333</v>
      </c>
      <c r="I701" s="32">
        <f t="shared" si="39"/>
        <v>-1166.666667</v>
      </c>
      <c r="J701" s="33">
        <f t="shared" si="25"/>
        <v>5833.333333</v>
      </c>
      <c r="K701" s="36">
        <v>7000.0</v>
      </c>
      <c r="L701" s="36">
        <v>7000.0</v>
      </c>
      <c r="M701" s="36"/>
      <c r="N701" s="34"/>
      <c r="O701" s="35">
        <f>IFERROR(__xludf.DUMMYFUNCTION("IFERROR(
  VLOOKUP(C701,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C701
    ), 
    7, FALSE
  ), 
  """"
)
"),30225.0)</f>
        <v>30225</v>
      </c>
      <c r="P701" s="35">
        <f>IFERROR(__xludf.DUMMYFUNCTION("IF(AND(Q701="""", R701=""""),
  """",
  IF(OR(ISBLANK(Q701), ISBLANK(O701)),
    """",
    IF(VALUE(SUBSTITUTE(INDEX(SPLIT(IF(ISBLANK(R701), Q701, R701), "",""), 0, 1), "" Km"", """")) - O701 = 0,
      """",
      VALUE(SUBSTITUTE(INDEX(SPLIT(IF(ISBLANK("&amp;"R701), Q701, R701), "",""), 0, 1), "" Km"", """")) - O701
    )
  )
)"),-30225.0)</f>
        <v>-30225</v>
      </c>
      <c r="Q701" s="36" t="str">
        <f t="shared" si="4"/>
        <v>0 Km, 10.06.2026</v>
      </c>
      <c r="R701" s="33"/>
      <c r="S701" s="40">
        <v>0.0</v>
      </c>
      <c r="T701" s="25">
        <v>2.0</v>
      </c>
      <c r="U701" s="25"/>
      <c r="V701" s="37"/>
      <c r="W701" s="37" t="str">
        <f>IF(F701 = "", "", IF(NOW() &gt; (DATEVALUE(LEFT(F701, SEARCH(",", F701) - 2)) + TIMEVALUE(MID(F701, SEARCH(",", F701) + 2, 5))), "Завершена", "В аренде"))</f>
        <v>В аренде</v>
      </c>
      <c r="X701" s="25" t="str">
        <f>IFERROR(__xludf.DUMMYFUNCTION("IF(C701 = """", """", IF(REGEXMATCH(C701, ""PCX|NMAX|ADV 150|CLICK""), ""скутер"", ""мото""))"),"мото")</f>
        <v>мото</v>
      </c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</row>
    <row r="702">
      <c r="A702" s="13" t="s">
        <v>1312</v>
      </c>
      <c r="B702" s="13" t="s">
        <v>25</v>
      </c>
      <c r="C702" s="14" t="s">
        <v>48</v>
      </c>
      <c r="D702" s="14" t="s">
        <v>1323</v>
      </c>
      <c r="E702" s="48">
        <v>46184.0</v>
      </c>
      <c r="F702" s="38">
        <v>46214.708333333336</v>
      </c>
      <c r="G702" s="17" t="str">
        <f t="shared" si="36"/>
        <v>30 Д</v>
      </c>
      <c r="H702" s="18">
        <f t="shared" si="38"/>
        <v>166.6666667</v>
      </c>
      <c r="I702" s="19">
        <f t="shared" si="39"/>
        <v>-1000</v>
      </c>
      <c r="J702" s="20">
        <f t="shared" si="25"/>
        <v>4000</v>
      </c>
      <c r="K702" s="23">
        <v>5000.0</v>
      </c>
      <c r="L702" s="23">
        <v>5000.0</v>
      </c>
      <c r="M702" s="20"/>
      <c r="N702" s="21"/>
      <c r="O702" s="22">
        <f>IFERROR(__xludf.DUMMYFUNCTION("IFERROR(
  VLOOKUP(C702,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C702
    ), 
    7, FALSE
  ), 
  """"
)
"),35800.0)</f>
        <v>35800</v>
      </c>
      <c r="P702" s="22"/>
      <c r="Q702" s="23" t="str">
        <f t="shared" si="4"/>
        <v>0 Km, 11.06.2026</v>
      </c>
      <c r="R702" s="20"/>
      <c r="S702" s="41">
        <v>3000.0</v>
      </c>
      <c r="T702" s="13">
        <v>2.0</v>
      </c>
      <c r="U702" s="13" t="s">
        <v>1324</v>
      </c>
      <c r="V702" s="24"/>
      <c r="W702" s="24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</row>
    <row r="703">
      <c r="A703" s="25" t="s">
        <v>1312</v>
      </c>
      <c r="B703" s="25" t="s">
        <v>25</v>
      </c>
      <c r="C703" s="27" t="s">
        <v>77</v>
      </c>
      <c r="D703" s="27" t="s">
        <v>1325</v>
      </c>
      <c r="E703" s="43">
        <v>46184.0</v>
      </c>
      <c r="F703" s="39">
        <v>46214.708333333336</v>
      </c>
      <c r="G703" s="30" t="str">
        <f t="shared" si="36"/>
        <v>30 Д</v>
      </c>
      <c r="H703" s="31">
        <f t="shared" si="38"/>
        <v>166.6666667</v>
      </c>
      <c r="I703" s="32">
        <f t="shared" si="39"/>
        <v>-1000</v>
      </c>
      <c r="J703" s="33">
        <f t="shared" si="25"/>
        <v>4000</v>
      </c>
      <c r="K703" s="36">
        <v>5000.0</v>
      </c>
      <c r="L703" s="36">
        <v>5000.0</v>
      </c>
      <c r="M703" s="33"/>
      <c r="N703" s="34"/>
      <c r="O703" s="35">
        <f>IFERROR(__xludf.DUMMYFUNCTION("IFERROR(
  VLOOKUP(C703,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C703
    ), 
    7, FALSE
  ), 
  """"
)
"),37300.0)</f>
        <v>37300</v>
      </c>
      <c r="P703" s="35"/>
      <c r="Q703" s="36" t="str">
        <f t="shared" si="4"/>
        <v>0 Km, 11.06.2026</v>
      </c>
      <c r="R703" s="33"/>
      <c r="S703" s="40">
        <v>3000.0</v>
      </c>
      <c r="T703" s="25">
        <v>0.0</v>
      </c>
      <c r="U703" s="25" t="s">
        <v>1324</v>
      </c>
      <c r="V703" s="37"/>
      <c r="W703" s="37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</row>
    <row r="704">
      <c r="A704" s="13" t="s">
        <v>1312</v>
      </c>
      <c r="B704" s="13" t="s">
        <v>25</v>
      </c>
      <c r="C704" s="14" t="s">
        <v>468</v>
      </c>
      <c r="D704" s="14" t="s">
        <v>1326</v>
      </c>
      <c r="E704" s="48">
        <v>46186.0</v>
      </c>
      <c r="F704" s="38">
        <v>46216.541666666664</v>
      </c>
      <c r="G704" s="17" t="str">
        <f t="shared" si="36"/>
        <v>30 Д</v>
      </c>
      <c r="H704" s="18">
        <f t="shared" si="38"/>
        <v>430</v>
      </c>
      <c r="I704" s="19">
        <f t="shared" si="39"/>
        <v>-3440</v>
      </c>
      <c r="J704" s="20">
        <f t="shared" si="25"/>
        <v>9460</v>
      </c>
      <c r="K704" s="23">
        <v>12900.0</v>
      </c>
      <c r="L704" s="23">
        <v>12900.0</v>
      </c>
      <c r="M704" s="20"/>
      <c r="N704" s="21"/>
      <c r="O704" s="22">
        <f>IFERROR(__xludf.DUMMYFUNCTION("IFERROR(
  VLOOKUP(C704,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C704
    ), 
    7, FALSE
  ), 
  """"
)
"),22200.0)</f>
        <v>22200</v>
      </c>
      <c r="P704" s="22"/>
      <c r="Q704" s="23" t="str">
        <f t="shared" si="4"/>
        <v>0 Km, 13.06.2026</v>
      </c>
      <c r="R704" s="20"/>
      <c r="S704" s="41">
        <v>10000.0</v>
      </c>
      <c r="T704" s="13">
        <v>1.0</v>
      </c>
      <c r="U704" s="13" t="s">
        <v>1327</v>
      </c>
      <c r="V704" s="24"/>
      <c r="W704" s="24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</row>
    <row r="705">
      <c r="A705" s="25" t="s">
        <v>1312</v>
      </c>
      <c r="B705" s="25" t="s">
        <v>25</v>
      </c>
      <c r="C705" s="27" t="s">
        <v>52</v>
      </c>
      <c r="D705" s="27" t="s">
        <v>1328</v>
      </c>
      <c r="E705" s="43">
        <v>46015.0</v>
      </c>
      <c r="F705" s="39">
        <v>46227.625</v>
      </c>
      <c r="G705" s="30" t="str">
        <f t="shared" si="36"/>
        <v>212 Д</v>
      </c>
      <c r="H705" s="31">
        <f t="shared" si="38"/>
        <v>83.33333333</v>
      </c>
      <c r="I705" s="32">
        <f t="shared" si="39"/>
        <v>11083.33333</v>
      </c>
      <c r="J705" s="33">
        <f t="shared" si="25"/>
        <v>16083.33333</v>
      </c>
      <c r="K705" s="36">
        <f>2500+2500</f>
        <v>5000</v>
      </c>
      <c r="L705" s="36">
        <v>2500.0</v>
      </c>
      <c r="M705" s="36"/>
      <c r="N705" s="44">
        <v>30100.0</v>
      </c>
      <c r="O705" s="35">
        <f>IFERROR(__xludf.DUMMYFUNCTION("IFERROR(
  VLOOKUP(C705,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C705
    ), 
    7, FALSE
  ), 
  """"
)
"),33515.0)</f>
        <v>33515</v>
      </c>
      <c r="P705" s="35">
        <f>IFERROR(__xludf.DUMMYFUNCTION("IF(AND(Q705="""", R705=""""),
  """",
  IF(OR(ISBLANK(Q705), ISBLANK(O705)),
    """",
    IF(VALUE(SUBSTITUTE(INDEX(SPLIT(IF(ISBLANK(R705), Q705, R705), "",""), 0, 1), "" Km"", """")) - O705 = 0,
      """",
      VALUE(SUBSTITUTE(INDEX(SPLIT(IF(ISBLANK("&amp;"R705), Q705, R705), "",""), 0, 1), "" Km"", """")) - O705
    )
  )
)"),-3415.0)</f>
        <v>-3415</v>
      </c>
      <c r="Q705" s="36" t="str">
        <f t="shared" si="4"/>
        <v>30 100 Km, 24.12.2025</v>
      </c>
      <c r="R705" s="33"/>
      <c r="S705" s="40">
        <v>0.0</v>
      </c>
      <c r="T705" s="25">
        <v>2.0</v>
      </c>
      <c r="U705" s="25" t="s">
        <v>1043</v>
      </c>
      <c r="V705" s="37"/>
      <c r="W705" s="37" t="str">
        <f t="shared" ref="W705:W708" si="42">IF(F705 = "", "", IF(NOW() &gt; (DATEVALUE(LEFT(F705, SEARCH(",", F705) - 2)) + TIMEVALUE(MID(F705, SEARCH(",", F705) + 2, 5))), "Завершена", "В аренде"))</f>
        <v>В аренде</v>
      </c>
      <c r="X705" s="25" t="str">
        <f>IFERROR(__xludf.DUMMYFUNCTION("IF(C705 = """", """", IF(REGEXMATCH(C705, ""PCX|NMAX|ADV 150|CLICK""), ""скутер"", ""мото""))"),"скутер")</f>
        <v>скутер</v>
      </c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</row>
    <row r="706" hidden="1">
      <c r="A706" s="13" t="s">
        <v>1329</v>
      </c>
      <c r="B706" s="13" t="s">
        <v>25</v>
      </c>
      <c r="C706" s="14" t="s">
        <v>114</v>
      </c>
      <c r="D706" s="14" t="s">
        <v>1330</v>
      </c>
      <c r="E706" s="48">
        <v>45957.0</v>
      </c>
      <c r="F706" s="38">
        <v>46046.583333333336</v>
      </c>
      <c r="G706" s="17" t="str">
        <f t="shared" si="36"/>
        <v>89 Д</v>
      </c>
      <c r="H706" s="18">
        <f t="shared" si="38"/>
        <v>200</v>
      </c>
      <c r="I706" s="19" t="str">
        <f t="shared" si="39"/>
        <v/>
      </c>
      <c r="J706" s="20" t="str">
        <f t="shared" si="25"/>
        <v/>
      </c>
      <c r="K706" s="23">
        <v>18000.0</v>
      </c>
      <c r="L706" s="23">
        <v>6000.0</v>
      </c>
      <c r="M706" s="20"/>
      <c r="N706" s="21"/>
      <c r="O706" s="22">
        <f>IFERROR(__xludf.DUMMYFUNCTION("IFERROR(
  VLOOKUP(C706,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C706
    ), 
    7, FALSE
  ), 
  """"
)
"),31800.0)</f>
        <v>31800</v>
      </c>
      <c r="P706" s="22">
        <f>IFERROR(__xludf.DUMMYFUNCTION("IF(AND(Q706="""", R706=""""),
  """",
  IF(OR(ISBLANK(Q706), ISBLANK(O706)),
    """",
    IF(VALUE(SUBSTITUTE(INDEX(SPLIT(IF(ISBLANK(R706), Q706, R706), "",""), 0, 1), "" Km"", """")) - O706 = 0,
      """",
      VALUE(SUBSTITUTE(INDEX(SPLIT(IF(ISBLANK("&amp;"R706), Q706, R706), "",""), 0, 1), "" Km"", """")) - O706
    )
  )
)"),-31800.0)</f>
        <v>-31800</v>
      </c>
      <c r="Q706" s="23" t="str">
        <f t="shared" si="4"/>
        <v>0 Km, 27.10.2025</v>
      </c>
      <c r="R706" s="20"/>
      <c r="S706" s="41">
        <v>3000.0</v>
      </c>
      <c r="T706" s="13">
        <v>2.0</v>
      </c>
      <c r="U706" s="13" t="s">
        <v>516</v>
      </c>
      <c r="V706" s="24"/>
      <c r="W706" s="24" t="str">
        <f t="shared" si="42"/>
        <v>Завершена</v>
      </c>
      <c r="X706" s="13" t="str">
        <f>IFERROR(__xludf.DUMMYFUNCTION("IF(C706 = """", """", IF(REGEXMATCH(C706, ""PCX|NMAX|ADV 150|CLICK""), ""скутер"", ""мото""))"),"скутер")</f>
        <v>скутер</v>
      </c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</row>
    <row r="707" hidden="1">
      <c r="A707" s="25" t="s">
        <v>24</v>
      </c>
      <c r="B707" s="25" t="s">
        <v>25</v>
      </c>
      <c r="C707" s="27" t="s">
        <v>321</v>
      </c>
      <c r="D707" s="27" t="s">
        <v>712</v>
      </c>
      <c r="E707" s="43">
        <v>45338.0</v>
      </c>
      <c r="F707" s="39">
        <v>45384.875</v>
      </c>
      <c r="G707" s="30" t="str">
        <f t="shared" si="36"/>
        <v>46 Д</v>
      </c>
      <c r="H707" s="31">
        <f t="shared" si="38"/>
        <v>391.5</v>
      </c>
      <c r="I707" s="32" t="str">
        <f t="shared" si="39"/>
        <v/>
      </c>
      <c r="J707" s="33" t="str">
        <f t="shared" si="25"/>
        <v/>
      </c>
      <c r="K707" s="36">
        <f>(19000-650)/2+13000/2</f>
        <v>15675</v>
      </c>
      <c r="L707" s="36"/>
      <c r="M707" s="36">
        <f>783/2</f>
        <v>391.5</v>
      </c>
      <c r="N707" s="44">
        <v>36300.0</v>
      </c>
      <c r="O707" s="35" t="str">
        <f>IFERROR(__xludf.DUMMYFUNCTION("IFERROR(
  VLOOKUP(C707,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C707
    ), 
    7, FALSE
  ), 
  """"
)
"),"")</f>
        <v/>
      </c>
      <c r="P707" s="35">
        <f>IFERROR(__xludf.DUMMYFUNCTION("IF(AND(Q707="""", R707=""""),
  """",
  IF(OR(ISBLANK(Q707), ISBLANK(O707)),
    """",
    IF(VALUE(SUBSTITUTE(INDEX(SPLIT(IF(ISBLANK(R707), Q707, R707), "",""), 0, 1), "" Km"", """")) - O707 = 0,
      """",
      VALUE(SUBSTITUTE(INDEX(SPLIT(IF(ISBLANK("&amp;"R707), Q707, R707), "",""), 0, 1), "" Km"", """")) - O707
    )
  )
)"),36300.0)</f>
        <v>36300</v>
      </c>
      <c r="Q707" s="36" t="str">
        <f t="shared" si="4"/>
        <v>36 300 Km, 16.02.2024</v>
      </c>
      <c r="R707" s="33"/>
      <c r="S707" s="40" t="s">
        <v>600</v>
      </c>
      <c r="T707" s="25">
        <v>1.0</v>
      </c>
      <c r="U707" s="25" t="s">
        <v>713</v>
      </c>
      <c r="V707" s="37"/>
      <c r="W707" s="37" t="str">
        <f t="shared" si="42"/>
        <v>Завершена</v>
      </c>
      <c r="X707" s="25" t="str">
        <f>IFERROR(__xludf.DUMMYFUNCTION("IF(C707 = """", """", IF(REGEXMATCH(C707, ""PCX|NMAX|ADV 150|CLICK""), ""скутер"", ""мото""))"),"мото")</f>
        <v>мото</v>
      </c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</row>
    <row r="708" hidden="1">
      <c r="A708" s="13" t="s">
        <v>24</v>
      </c>
      <c r="B708" s="13" t="s">
        <v>25</v>
      </c>
      <c r="C708" s="14" t="s">
        <v>468</v>
      </c>
      <c r="D708" s="14" t="s">
        <v>1331</v>
      </c>
      <c r="E708" s="48">
        <v>45341.0</v>
      </c>
      <c r="F708" s="38">
        <v>45370.708333333336</v>
      </c>
      <c r="G708" s="17" t="str">
        <f t="shared" ref="G708:G822" si="43">IF((E708="")+(F708=""), "", IF(DATEDIF(E708, F708, "d") &gt; 30, DATEDIF(E708, F708, "m") &amp; " М", DATEDIF(E708, F708, "d") &amp; " Д"))
</f>
        <v>29 Д</v>
      </c>
      <c r="H708" s="18">
        <f t="shared" si="38"/>
        <v>496.6666667</v>
      </c>
      <c r="I708" s="19" t="str">
        <f t="shared" si="39"/>
        <v/>
      </c>
      <c r="J708" s="20" t="str">
        <f t="shared" si="25"/>
        <v/>
      </c>
      <c r="K708" s="23">
        <v>14900.0</v>
      </c>
      <c r="L708" s="23">
        <v>14900.0</v>
      </c>
      <c r="M708" s="20"/>
      <c r="N708" s="49">
        <v>16600.0</v>
      </c>
      <c r="O708" s="22">
        <f>IFERROR(__xludf.DUMMYFUNCTION("IFERROR(
  VLOOKUP(C708,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C708
    ), 
    7, FALSE
  ), 
  """"
)
"),22200.0)</f>
        <v>22200</v>
      </c>
      <c r="P708" s="22">
        <f>IFERROR(__xludf.DUMMYFUNCTION("IF(AND(Q708="""", R708=""""),
  """",
  IF(OR(ISBLANK(Q708), ISBLANK(O708)),
    """",
    IF(VALUE(SUBSTITUTE(INDEX(SPLIT(IF(ISBLANK(R708), Q708, R708), "",""), 0, 1), "" Km"", """")) - O708 = 0,
      """",
      VALUE(SUBSTITUTE(INDEX(SPLIT(IF(ISBLANK("&amp;"R708), Q708, R708), "",""), 0, 1), "" Km"", """")) - O708
    )
  )
)"),-5600.0)</f>
        <v>-5600</v>
      </c>
      <c r="Q708" s="23" t="str">
        <f t="shared" si="4"/>
        <v>16 600 Km, 19.02.2024</v>
      </c>
      <c r="R708" s="20"/>
      <c r="S708" s="41">
        <v>15000.0</v>
      </c>
      <c r="T708" s="13">
        <v>2.0</v>
      </c>
      <c r="U708" s="13" t="s">
        <v>1332</v>
      </c>
      <c r="V708" s="24"/>
      <c r="W708" s="24" t="str">
        <f t="shared" si="42"/>
        <v>Завершена</v>
      </c>
      <c r="X708" s="13" t="str">
        <f>IFERROR(__xludf.DUMMYFUNCTION("IF(C708 = """", """", IF(REGEXMATCH(C708, ""PCX|NMAX|ADV|CLICK""), ""скутер"", ""мото""))"),"мото")</f>
        <v>мото</v>
      </c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</row>
    <row r="709" hidden="1">
      <c r="A709" s="25" t="s">
        <v>24</v>
      </c>
      <c r="B709" s="25" t="s">
        <v>25</v>
      </c>
      <c r="C709" s="27" t="s">
        <v>427</v>
      </c>
      <c r="D709" s="27" t="s">
        <v>1333</v>
      </c>
      <c r="E709" s="43">
        <v>45343.0</v>
      </c>
      <c r="F709" s="39">
        <v>45347.666666666664</v>
      </c>
      <c r="G709" s="30" t="str">
        <f t="shared" si="43"/>
        <v>4 Д</v>
      </c>
      <c r="H709" s="31">
        <f t="shared" si="38"/>
        <v>890</v>
      </c>
      <c r="I709" s="32" t="str">
        <f t="shared" si="39"/>
        <v/>
      </c>
      <c r="J709" s="33" t="str">
        <f t="shared" si="25"/>
        <v/>
      </c>
      <c r="K709" s="36">
        <v>3560.0</v>
      </c>
      <c r="L709" s="33"/>
      <c r="M709" s="36">
        <v>890.0</v>
      </c>
      <c r="N709" s="44">
        <v>19354.0</v>
      </c>
      <c r="O709" s="35" t="str">
        <f>IFERROR(__xludf.DUMMYFUNCTION("IFERROR(
  VLOOKUP(C709,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C709
    ), 
    7, FALSE
  ), 
  """"
)
"),"")</f>
        <v/>
      </c>
      <c r="P709" s="35">
        <f>IFERROR(__xludf.DUMMYFUNCTION("IF(AND(Q709="""", R709=""""),
  """",
  IF(OR(ISBLANK(Q709), ISBLANK(O709)),
    """",
    IF(VALUE(SUBSTITUTE(INDEX(SPLIT(IF(ISBLANK(R709), Q709, R709), "",""), 0, 1), "" Km"", """")) - O709 = 0,
      """",
      VALUE(SUBSTITUTE(INDEX(SPLIT(IF(ISBLANK("&amp;"R709), Q709, R709), "",""), 0, 1), "" Km"", """")) - O709
    )
  )
)"),19354.0)</f>
        <v>19354</v>
      </c>
      <c r="Q709" s="36" t="str">
        <f t="shared" si="4"/>
        <v>19 354 Km, 21.02.2024</v>
      </c>
      <c r="R709" s="33"/>
      <c r="S709" s="40">
        <v>400.0</v>
      </c>
      <c r="T709" s="25">
        <v>2.0</v>
      </c>
      <c r="U709" s="71" t="s">
        <v>1334</v>
      </c>
      <c r="V709" s="37"/>
      <c r="W709" s="37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</row>
    <row r="710" hidden="1">
      <c r="A710" s="13" t="s">
        <v>24</v>
      </c>
      <c r="B710" s="13" t="s">
        <v>25</v>
      </c>
      <c r="C710" s="14" t="s">
        <v>102</v>
      </c>
      <c r="D710" s="14" t="s">
        <v>511</v>
      </c>
      <c r="E710" s="48">
        <v>45344.0</v>
      </c>
      <c r="F710" s="38">
        <v>45346.75</v>
      </c>
      <c r="G710" s="17" t="str">
        <f t="shared" si="43"/>
        <v>2 Д</v>
      </c>
      <c r="H710" s="18">
        <f t="shared" si="38"/>
        <v>1500</v>
      </c>
      <c r="I710" s="19" t="str">
        <f t="shared" si="39"/>
        <v/>
      </c>
      <c r="J710" s="20" t="str">
        <f t="shared" si="25"/>
        <v/>
      </c>
      <c r="K710" s="23">
        <v>3000.0</v>
      </c>
      <c r="L710" s="20"/>
      <c r="M710" s="23">
        <v>1500.0</v>
      </c>
      <c r="N710" s="49">
        <v>37000.0</v>
      </c>
      <c r="O710" s="22">
        <f>IFERROR(__xludf.DUMMYFUNCTION("IFERROR(
  VLOOKUP(C710,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C710
    ), 
    7, FALSE
  ), 
  """"
)
"),63700.0)</f>
        <v>63700</v>
      </c>
      <c r="P710" s="22">
        <f>IFERROR(__xludf.DUMMYFUNCTION("IF(AND(Q710="""", R710=""""),
  """",
  IF(OR(ISBLANK(Q710), ISBLANK(O710)),
    """",
    IF(VALUE(SUBSTITUTE(INDEX(SPLIT(IF(ISBLANK(R710), Q710, R710), "",""), 0, 1), "" Km"", """")) - O710 = 0,
      """",
      VALUE(SUBSTITUTE(INDEX(SPLIT(IF(ISBLANK("&amp;"R710), Q710, R710), "",""), 0, 1), "" Km"", """")) - O710
    )
  )
)"),-26700.0)</f>
        <v>-26700</v>
      </c>
      <c r="Q710" s="23" t="str">
        <f t="shared" si="4"/>
        <v>37 000 Km, 22.02.2024</v>
      </c>
      <c r="R710" s="20"/>
      <c r="S710" s="41">
        <v>20000.0</v>
      </c>
      <c r="T710" s="24"/>
      <c r="U710" s="13" t="s">
        <v>516</v>
      </c>
      <c r="V710" s="24"/>
      <c r="W710" s="24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</row>
    <row r="711" hidden="1">
      <c r="A711" s="25" t="s">
        <v>24</v>
      </c>
      <c r="B711" s="25" t="s">
        <v>25</v>
      </c>
      <c r="C711" s="27" t="s">
        <v>483</v>
      </c>
      <c r="D711" s="27" t="s">
        <v>1335</v>
      </c>
      <c r="E711" s="43">
        <v>45344.0</v>
      </c>
      <c r="F711" s="39">
        <v>45350.625</v>
      </c>
      <c r="G711" s="30" t="str">
        <f t="shared" si="43"/>
        <v>6 Д</v>
      </c>
      <c r="H711" s="31">
        <f t="shared" si="38"/>
        <v>1490</v>
      </c>
      <c r="I711" s="32" t="str">
        <f t="shared" si="39"/>
        <v/>
      </c>
      <c r="J711" s="33" t="str">
        <f t="shared" si="25"/>
        <v/>
      </c>
      <c r="K711" s="36">
        <v>8940.0</v>
      </c>
      <c r="L711" s="33"/>
      <c r="M711" s="36">
        <v>1490.0</v>
      </c>
      <c r="N711" s="44">
        <v>27400.0</v>
      </c>
      <c r="O711" s="35">
        <f>IFERROR(__xludf.DUMMYFUNCTION("IFERROR(
  VLOOKUP(C711,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C711
    ), 
    7, FALSE
  ), 
  """"
)
"),41500.0)</f>
        <v>41500</v>
      </c>
      <c r="P711" s="35">
        <f>IFERROR(__xludf.DUMMYFUNCTION("IF(AND(Q711="""", R711=""""),
  """",
  IF(OR(ISBLANK(Q711), ISBLANK(O711)),
    """",
    IF(VALUE(SUBSTITUTE(INDEX(SPLIT(IF(ISBLANK(R711), Q711, R711), "",""), 0, 1), "" Km"", """")) - O711 = 0,
      """",
      VALUE(SUBSTITUTE(INDEX(SPLIT(IF(ISBLANK("&amp;"R711), Q711, R711), "",""), 0, 1), "" Km"", """")) - O711
    )
  )
)"),-14100.0)</f>
        <v>-14100</v>
      </c>
      <c r="Q711" s="36" t="str">
        <f t="shared" si="4"/>
        <v>27 400 Km, 22.02.2024</v>
      </c>
      <c r="R711" s="33"/>
      <c r="S711" s="40" t="s">
        <v>600</v>
      </c>
      <c r="T711" s="25">
        <v>2.0</v>
      </c>
      <c r="U711" s="25" t="s">
        <v>1336</v>
      </c>
      <c r="V711" s="37"/>
      <c r="W711" s="37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</row>
    <row r="712" hidden="1">
      <c r="A712" s="13" t="s">
        <v>24</v>
      </c>
      <c r="B712" s="13" t="s">
        <v>25</v>
      </c>
      <c r="C712" s="14" t="s">
        <v>125</v>
      </c>
      <c r="D712" s="14" t="s">
        <v>1337</v>
      </c>
      <c r="E712" s="48">
        <v>45345.0</v>
      </c>
      <c r="F712" s="38">
        <v>45376.625</v>
      </c>
      <c r="G712" s="17" t="str">
        <f t="shared" si="43"/>
        <v>1 М</v>
      </c>
      <c r="H712" s="18">
        <f t="shared" si="38"/>
        <v>136.6666667</v>
      </c>
      <c r="I712" s="19" t="str">
        <f t="shared" si="39"/>
        <v/>
      </c>
      <c r="J712" s="20" t="str">
        <f t="shared" si="25"/>
        <v/>
      </c>
      <c r="K712" s="23">
        <v>4100.0</v>
      </c>
      <c r="L712" s="23">
        <v>4100.0</v>
      </c>
      <c r="M712" s="20"/>
      <c r="N712" s="49">
        <v>18126.0</v>
      </c>
      <c r="O712" s="22" t="str">
        <f>IFERROR(__xludf.DUMMYFUNCTION("IFERROR(
  VLOOKUP(C712,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C712
    ), 
    7, FALSE
  ), 
  """"
)
"),"")</f>
        <v/>
      </c>
      <c r="P712" s="22">
        <f>IFERROR(__xludf.DUMMYFUNCTION("IF(AND(Q712="""", R712=""""),
  """",
  IF(OR(ISBLANK(Q712), ISBLANK(O712)),
    """",
    IF(VALUE(SUBSTITUTE(INDEX(SPLIT(IF(ISBLANK(R712), Q712, R712), "",""), 0, 1), "" Km"", """")) - O712 = 0,
      """",
      VALUE(SUBSTITUTE(INDEX(SPLIT(IF(ISBLANK("&amp;"R712), Q712, R712), "",""), 0, 1), "" Km"", """")) - O712
    )
  )
)"),18126.0)</f>
        <v>18126</v>
      </c>
      <c r="Q712" s="23" t="str">
        <f t="shared" si="4"/>
        <v>18 126 Km, 23.02.2024</v>
      </c>
      <c r="R712" s="20"/>
      <c r="S712" s="41">
        <v>100.0</v>
      </c>
      <c r="T712" s="13">
        <v>1.0</v>
      </c>
      <c r="U712" s="66" t="s">
        <v>1338</v>
      </c>
      <c r="V712" s="24"/>
      <c r="W712" s="24" t="str">
        <f>IF(F712 = "", "", IF(NOW() &gt; (DATEVALUE(LEFT(F712, SEARCH(",", F712) - 2)) + TIMEVALUE(MID(F712, SEARCH(",", F712) + 2, 5))), "Завершена", "В аренде"))</f>
        <v>Завершена</v>
      </c>
      <c r="X712" s="13" t="str">
        <f>IFERROR(__xludf.DUMMYFUNCTION("IF(C712 = """", """", IF(REGEXMATCH(C712, ""PCX|NMAX|ADV|CLICK""), ""скутер"", ""мото""))"),"скутер")</f>
        <v>скутер</v>
      </c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</row>
    <row r="713" hidden="1">
      <c r="A713" s="25" t="s">
        <v>24</v>
      </c>
      <c r="B713" s="25" t="s">
        <v>25</v>
      </c>
      <c r="C713" s="27" t="s">
        <v>32</v>
      </c>
      <c r="D713" s="27" t="s">
        <v>1339</v>
      </c>
      <c r="E713" s="43">
        <v>45346.0</v>
      </c>
      <c r="F713" s="39">
        <v>45350.625</v>
      </c>
      <c r="G713" s="30" t="str">
        <f t="shared" si="43"/>
        <v>4 Д</v>
      </c>
      <c r="H713" s="31">
        <f t="shared" si="38"/>
        <v>790</v>
      </c>
      <c r="I713" s="32" t="str">
        <f t="shared" si="39"/>
        <v/>
      </c>
      <c r="J713" s="33" t="str">
        <f t="shared" si="25"/>
        <v/>
      </c>
      <c r="K713" s="36">
        <f>2370+790</f>
        <v>3160</v>
      </c>
      <c r="L713" s="33"/>
      <c r="M713" s="36">
        <v>790.0</v>
      </c>
      <c r="N713" s="44">
        <v>22800.0</v>
      </c>
      <c r="O713" s="35">
        <f>IFERROR(__xludf.DUMMYFUNCTION("IFERROR(
  VLOOKUP(C713,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C713
    ), 
    7, FALSE
  ), 
  """"
)
"),38640.0)</f>
        <v>38640</v>
      </c>
      <c r="P713" s="35">
        <f>IFERROR(__xludf.DUMMYFUNCTION("IF(AND(Q713="""", R713=""""),
  """",
  IF(OR(ISBLANK(Q713), ISBLANK(O713)),
    """",
    IF(VALUE(SUBSTITUTE(INDEX(SPLIT(IF(ISBLANK(R713), Q713, R713), "",""), 0, 1), "" Km"", """")) - O713 = 0,
      """",
      VALUE(SUBSTITUTE(INDEX(SPLIT(IF(ISBLANK("&amp;"R713), Q713, R713), "",""), 0, 1), "" Km"", """")) - O713
    )
  )
)"),-15840.0)</f>
        <v>-15840</v>
      </c>
      <c r="Q713" s="36" t="str">
        <f t="shared" si="4"/>
        <v>22 800 Km, 24.02.2024</v>
      </c>
      <c r="R713" s="33"/>
      <c r="S713" s="40">
        <v>5000.0</v>
      </c>
      <c r="T713" s="25">
        <v>2.0</v>
      </c>
      <c r="U713" s="71" t="s">
        <v>1340</v>
      </c>
      <c r="V713" s="37"/>
      <c r="W713" s="37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</row>
    <row r="714" hidden="1">
      <c r="A714" s="13" t="s">
        <v>24</v>
      </c>
      <c r="B714" s="13" t="s">
        <v>25</v>
      </c>
      <c r="C714" s="14" t="s">
        <v>159</v>
      </c>
      <c r="D714" s="14" t="s">
        <v>1341</v>
      </c>
      <c r="E714" s="48">
        <v>45346.0</v>
      </c>
      <c r="F714" s="38">
        <v>45377.458333333336</v>
      </c>
      <c r="G714" s="17" t="str">
        <f t="shared" si="43"/>
        <v>1 М</v>
      </c>
      <c r="H714" s="18">
        <f t="shared" si="38"/>
        <v>249.6666667</v>
      </c>
      <c r="I714" s="19" t="str">
        <f t="shared" si="39"/>
        <v/>
      </c>
      <c r="J714" s="20" t="str">
        <f t="shared" si="25"/>
        <v/>
      </c>
      <c r="K714" s="23">
        <f>7490+250</f>
        <v>7740</v>
      </c>
      <c r="L714" s="23">
        <v>7490.0</v>
      </c>
      <c r="M714" s="20"/>
      <c r="N714" s="49">
        <v>24865.0</v>
      </c>
      <c r="O714" s="22" t="str">
        <f>IFERROR(__xludf.DUMMYFUNCTION("IFERROR(
  VLOOKUP(C714,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C714
    ), 
    7, FALSE
  ), 
  """"
)
"),"")</f>
        <v/>
      </c>
      <c r="P714" s="22">
        <f>IFERROR(__xludf.DUMMYFUNCTION("IF(AND(Q714="""", R714=""""),
  """",
  IF(OR(ISBLANK(Q714), ISBLANK(O714)),
    """",
    IF(VALUE(SUBSTITUTE(INDEX(SPLIT(IF(ISBLANK(R714), Q714, R714), "",""), 0, 1), "" Km"", """")) - O714 = 0,
      """",
      VALUE(SUBSTITUTE(INDEX(SPLIT(IF(ISBLANK("&amp;"R714), Q714, R714), "",""), 0, 1), "" Km"", """")) - O714
    )
  )
)"),24865.0)</f>
        <v>24865</v>
      </c>
      <c r="Q714" s="23" t="str">
        <f t="shared" si="4"/>
        <v>24 865 Km, 24.02.2024</v>
      </c>
      <c r="R714" s="20"/>
      <c r="S714" s="41">
        <v>3000.0</v>
      </c>
      <c r="T714" s="13">
        <v>2.0</v>
      </c>
      <c r="U714" s="13" t="s">
        <v>1342</v>
      </c>
      <c r="V714" s="24"/>
      <c r="W714" s="24" t="str">
        <f>IF(F714 = "", "", IF(NOW() &gt; (DATEVALUE(LEFT(F714, SEARCH(",", F714) - 2)) + TIMEVALUE(MID(F714, SEARCH(",", F714) + 2, 5))), "Завершена", "В аренде"))</f>
        <v>Завершена</v>
      </c>
      <c r="X714" s="13" t="str">
        <f>IFERROR(__xludf.DUMMYFUNCTION("IF(C714 = """", """", IF(REGEXMATCH(C714, ""PCX|NMAX|ADV|CLICK""), ""скутер"", ""мото""))"),"скутер")</f>
        <v>скутер</v>
      </c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</row>
    <row r="715" hidden="1">
      <c r="A715" s="25" t="s">
        <v>24</v>
      </c>
      <c r="B715" s="25" t="s">
        <v>25</v>
      </c>
      <c r="C715" s="27" t="s">
        <v>98</v>
      </c>
      <c r="D715" s="27" t="s">
        <v>1343</v>
      </c>
      <c r="E715" s="43">
        <v>45347.0</v>
      </c>
      <c r="F715" s="39">
        <v>45354.75</v>
      </c>
      <c r="G715" s="30" t="str">
        <f t="shared" si="43"/>
        <v>7 Д</v>
      </c>
      <c r="H715" s="31">
        <f t="shared" si="38"/>
        <v>390</v>
      </c>
      <c r="I715" s="32" t="str">
        <f t="shared" si="39"/>
        <v/>
      </c>
      <c r="J715" s="33" t="str">
        <f t="shared" si="25"/>
        <v/>
      </c>
      <c r="K715" s="36">
        <v>2730.0</v>
      </c>
      <c r="L715" s="33"/>
      <c r="M715" s="36">
        <v>390.0</v>
      </c>
      <c r="N715" s="44">
        <v>22428.0</v>
      </c>
      <c r="O715" s="35">
        <f>IFERROR(__xludf.DUMMYFUNCTION("IFERROR(
  VLOOKUP(C715,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C715
    ), 
    7, FALSE
  ), 
  """"
)
"),32200.0)</f>
        <v>32200</v>
      </c>
      <c r="P715" s="35">
        <f>IFERROR(__xludf.DUMMYFUNCTION("IF(AND(Q715="""", R715=""""),
  """",
  IF(OR(ISBLANK(Q715), ISBLANK(O715)),
    """",
    IF(VALUE(SUBSTITUTE(INDEX(SPLIT(IF(ISBLANK(R715), Q715, R715), "",""), 0, 1), "" Km"", """")) - O715 = 0,
      """",
      VALUE(SUBSTITUTE(INDEX(SPLIT(IF(ISBLANK("&amp;"R715), Q715, R715), "",""), 0, 1), "" Km"", """")) - O715
    )
  )
)"),-9772.0)</f>
        <v>-9772</v>
      </c>
      <c r="Q715" s="36" t="str">
        <f t="shared" si="4"/>
        <v>22 428 Km, 25.02.2024</v>
      </c>
      <c r="R715" s="33"/>
      <c r="S715" s="40">
        <v>3000.0</v>
      </c>
      <c r="T715" s="25">
        <v>2.0</v>
      </c>
      <c r="U715" s="25" t="s">
        <v>1344</v>
      </c>
      <c r="V715" s="25" t="s">
        <v>489</v>
      </c>
      <c r="W715" s="37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</row>
    <row r="716" hidden="1">
      <c r="A716" s="13" t="s">
        <v>24</v>
      </c>
      <c r="B716" s="13" t="s">
        <v>25</v>
      </c>
      <c r="C716" s="14" t="s">
        <v>202</v>
      </c>
      <c r="D716" s="14" t="s">
        <v>1345</v>
      </c>
      <c r="E716" s="48">
        <v>45347.0</v>
      </c>
      <c r="F716" s="38">
        <v>45379.541666666664</v>
      </c>
      <c r="G716" s="17" t="str">
        <f t="shared" si="43"/>
        <v>1 М</v>
      </c>
      <c r="H716" s="18">
        <f t="shared" si="38"/>
        <v>333.3333333</v>
      </c>
      <c r="I716" s="19" t="str">
        <f t="shared" si="39"/>
        <v/>
      </c>
      <c r="J716" s="20" t="str">
        <f t="shared" si="25"/>
        <v/>
      </c>
      <c r="K716" s="23">
        <v>10300.0</v>
      </c>
      <c r="L716" s="23">
        <v>10000.0</v>
      </c>
      <c r="M716" s="20"/>
      <c r="N716" s="49">
        <v>20150.0</v>
      </c>
      <c r="O716" s="22">
        <f>IFERROR(__xludf.DUMMYFUNCTION("IFERROR(
  VLOOKUP(C716,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C716
    ), 
    7, FALSE
  ), 
  """"
)
"),30225.0)</f>
        <v>30225</v>
      </c>
      <c r="P716" s="22">
        <f>IFERROR(__xludf.DUMMYFUNCTION("IF(AND(Q716="""", R716=""""),
  """",
  IF(OR(ISBLANK(Q716), ISBLANK(O716)),
    """",
    IF(VALUE(SUBSTITUTE(INDEX(SPLIT(IF(ISBLANK(R716), Q716, R716), "",""), 0, 1), "" Km"", """")) - O716 = 0,
      """",
      VALUE(SUBSTITUTE(INDEX(SPLIT(IF(ISBLANK("&amp;"R716), Q716, R716), "",""), 0, 1), "" Km"", """")) - O716
    )
  )
)"),-10075.0)</f>
        <v>-10075</v>
      </c>
      <c r="Q716" s="23" t="str">
        <f t="shared" si="4"/>
        <v>20 150 Km, 25.02.2024</v>
      </c>
      <c r="R716" s="20"/>
      <c r="S716" s="41">
        <v>5000.0</v>
      </c>
      <c r="T716" s="13">
        <v>2.0</v>
      </c>
      <c r="U716" s="13" t="s">
        <v>1346</v>
      </c>
      <c r="V716" s="24"/>
      <c r="W716" s="24" t="str">
        <f t="shared" ref="W716:W718" si="44">IF(F716 = "", "", IF(NOW() &gt; (DATEVALUE(LEFT(F716, SEARCH(",", F716) - 2)) + TIMEVALUE(MID(F716, SEARCH(",", F716) + 2, 5))), "Завершена", "В аренде"))</f>
        <v>Завершена</v>
      </c>
      <c r="X716" s="13" t="str">
        <f>IFERROR(__xludf.DUMMYFUNCTION("IF(C716 = """", """", IF(REGEXMATCH(C716, ""PCX|NMAX|ADV|CLICK""), ""скутер"", ""мото""))"),"мото")</f>
        <v>мото</v>
      </c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</row>
    <row r="717" hidden="1">
      <c r="A717" s="25" t="s">
        <v>24</v>
      </c>
      <c r="B717" s="25" t="s">
        <v>25</v>
      </c>
      <c r="C717" s="27" t="s">
        <v>73</v>
      </c>
      <c r="D717" s="27" t="s">
        <v>1347</v>
      </c>
      <c r="E717" s="43">
        <v>45348.0</v>
      </c>
      <c r="F717" s="39">
        <v>45360.5</v>
      </c>
      <c r="G717" s="30" t="str">
        <f t="shared" si="43"/>
        <v>12 Д</v>
      </c>
      <c r="H717" s="31">
        <f t="shared" si="38"/>
        <v>390</v>
      </c>
      <c r="I717" s="32" t="str">
        <f t="shared" si="39"/>
        <v/>
      </c>
      <c r="J717" s="33" t="str">
        <f t="shared" si="25"/>
        <v/>
      </c>
      <c r="K717" s="36"/>
      <c r="L717" s="33"/>
      <c r="M717" s="36">
        <v>390.0</v>
      </c>
      <c r="N717" s="44">
        <v>20450.0</v>
      </c>
      <c r="O717" s="35">
        <f>IFERROR(__xludf.DUMMYFUNCTION("IFERROR(
  VLOOKUP(C717,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C717
    ), 
    7, FALSE
  ), 
  """"
)
"),31000.0)</f>
        <v>31000</v>
      </c>
      <c r="P717" s="35">
        <f>IFERROR(__xludf.DUMMYFUNCTION("IF(AND(Q717="""", R717=""""),
  """",
  IF(OR(ISBLANK(Q717), ISBLANK(O717)),
    """",
    IF(VALUE(SUBSTITUTE(INDEX(SPLIT(IF(ISBLANK(R717), Q717, R717), "",""), 0, 1), "" Km"", """")) - O717 = 0,
      """",
      VALUE(SUBSTITUTE(INDEX(SPLIT(IF(ISBLANK("&amp;"R717), Q717, R717), "",""), 0, 1), "" Km"", """")) - O717
    )
  )
)"),-10550.0)</f>
        <v>-10550</v>
      </c>
      <c r="Q717" s="36" t="str">
        <f t="shared" si="4"/>
        <v>20 450 Km, 26.02.2024</v>
      </c>
      <c r="R717" s="33"/>
      <c r="S717" s="40">
        <v>3000.0</v>
      </c>
      <c r="T717" s="25">
        <v>2.0</v>
      </c>
      <c r="U717" s="25" t="s">
        <v>1348</v>
      </c>
      <c r="V717" s="25" t="s">
        <v>1349</v>
      </c>
      <c r="W717" s="37" t="str">
        <f t="shared" si="44"/>
        <v>Завершена</v>
      </c>
      <c r="X717" s="25" t="str">
        <f>IFERROR(__xludf.DUMMYFUNCTION("IF(C717 = """", """", IF(REGEXMATCH(C717, ""PCX|NMAX|ADV|CLICK""), ""скутер"", ""мото""))"),"скутер")</f>
        <v>скутер</v>
      </c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</row>
    <row r="718" hidden="1">
      <c r="A718" s="13" t="s">
        <v>24</v>
      </c>
      <c r="B718" s="13" t="s">
        <v>25</v>
      </c>
      <c r="C718" s="14" t="s">
        <v>185</v>
      </c>
      <c r="D718" s="14" t="s">
        <v>1350</v>
      </c>
      <c r="E718" s="48">
        <v>45348.0</v>
      </c>
      <c r="F718" s="38">
        <v>45362.5</v>
      </c>
      <c r="G718" s="17" t="str">
        <f t="shared" si="43"/>
        <v>14 Д</v>
      </c>
      <c r="H718" s="18">
        <f t="shared" si="38"/>
        <v>390</v>
      </c>
      <c r="I718" s="19" t="str">
        <f t="shared" si="39"/>
        <v/>
      </c>
      <c r="J718" s="20" t="str">
        <f t="shared" si="25"/>
        <v/>
      </c>
      <c r="K718" s="23">
        <v>5460.0</v>
      </c>
      <c r="L718" s="20"/>
      <c r="M718" s="23">
        <v>390.0</v>
      </c>
      <c r="N718" s="49">
        <v>28500.0</v>
      </c>
      <c r="O718" s="22" t="str">
        <f>IFERROR(__xludf.DUMMYFUNCTION("IFERROR(
  VLOOKUP(C718,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C718
    ), 
    7, FALSE
  ), 
  """"
)
"),"")</f>
        <v/>
      </c>
      <c r="P718" s="22">
        <f>IFERROR(__xludf.DUMMYFUNCTION("IF(AND(Q718="""", R718=""""),
  """",
  IF(OR(ISBLANK(Q718), ISBLANK(O718)),
    """",
    IF(VALUE(SUBSTITUTE(INDEX(SPLIT(IF(ISBLANK(R718), Q718, R718), "",""), 0, 1), "" Km"", """")) - O718 = 0,
      """",
      VALUE(SUBSTITUTE(INDEX(SPLIT(IF(ISBLANK("&amp;"R718), Q718, R718), "",""), 0, 1), "" Km"", """")) - O718
    )
  )
)"),28500.0)</f>
        <v>28500</v>
      </c>
      <c r="Q718" s="23" t="str">
        <f t="shared" si="4"/>
        <v>28 500 Km, 26.02.2024</v>
      </c>
      <c r="R718" s="20"/>
      <c r="S718" s="41">
        <v>3000.0</v>
      </c>
      <c r="T718" s="13">
        <v>2.0</v>
      </c>
      <c r="U718" s="66" t="s">
        <v>1351</v>
      </c>
      <c r="V718" s="13" t="s">
        <v>1352</v>
      </c>
      <c r="W718" s="24" t="str">
        <f t="shared" si="44"/>
        <v>Завершена</v>
      </c>
      <c r="X718" s="13" t="str">
        <f>IFERROR(__xludf.DUMMYFUNCTION("IF(C718 = """", """", IF(REGEXMATCH(C718, ""PCX|NMAX|ADV|CLICK""), ""скутер"", ""мото""))"),"скутер")</f>
        <v>скутер</v>
      </c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</row>
    <row r="719" hidden="1">
      <c r="A719" s="25" t="s">
        <v>24</v>
      </c>
      <c r="B719" s="25" t="s">
        <v>25</v>
      </c>
      <c r="C719" s="27" t="s">
        <v>92</v>
      </c>
      <c r="D719" s="27" t="s">
        <v>953</v>
      </c>
      <c r="E719" s="43">
        <v>45349.0</v>
      </c>
      <c r="F719" s="39">
        <v>45358.541666666664</v>
      </c>
      <c r="G719" s="30" t="str">
        <f t="shared" si="43"/>
        <v>9 Д</v>
      </c>
      <c r="H719" s="31">
        <f t="shared" si="38"/>
        <v>690</v>
      </c>
      <c r="I719" s="32" t="str">
        <f t="shared" si="39"/>
        <v/>
      </c>
      <c r="J719" s="33" t="str">
        <f t="shared" si="25"/>
        <v/>
      </c>
      <c r="K719" s="36">
        <v>6210.0</v>
      </c>
      <c r="L719" s="33"/>
      <c r="M719" s="36">
        <v>690.0</v>
      </c>
      <c r="N719" s="44">
        <v>24000.0</v>
      </c>
      <c r="O719" s="35">
        <f>IFERROR(__xludf.DUMMYFUNCTION("IFERROR(
  VLOOKUP(C719,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C719
    ), 
    7, FALSE
  ), 
  """"
)
"),23500.0)</f>
        <v>23500</v>
      </c>
      <c r="P719" s="35">
        <f>IFERROR(__xludf.DUMMYFUNCTION("IF(AND(Q719="""", R719=""""),
  """",
  IF(OR(ISBLANK(Q719), ISBLANK(O719)),
    """",
    IF(VALUE(SUBSTITUTE(INDEX(SPLIT(IF(ISBLANK(R719), Q719, R719), "",""), 0, 1), "" Km"", """")) - O719 = 0,
      """",
      VALUE(SUBSTITUTE(INDEX(SPLIT(IF(ISBLANK("&amp;"R719), Q719, R719), "",""), 0, 1), "" Km"", """")) - O719
    )
  )
)"),500.0)</f>
        <v>500</v>
      </c>
      <c r="Q719" s="36" t="str">
        <f t="shared" si="4"/>
        <v>24 000 Km, 27.02.2024</v>
      </c>
      <c r="R719" s="33"/>
      <c r="S719" s="40">
        <v>5000.0</v>
      </c>
      <c r="T719" s="25">
        <v>0.0</v>
      </c>
      <c r="U719" s="71" t="s">
        <v>1353</v>
      </c>
      <c r="V719" s="37"/>
      <c r="W719" s="37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</row>
    <row r="720" hidden="1">
      <c r="A720" s="13" t="s">
        <v>24</v>
      </c>
      <c r="B720" s="13" t="s">
        <v>25</v>
      </c>
      <c r="C720" s="14" t="s">
        <v>423</v>
      </c>
      <c r="D720" s="14" t="s">
        <v>1354</v>
      </c>
      <c r="E720" s="48">
        <v>45350.0</v>
      </c>
      <c r="F720" s="38">
        <v>45357.833333333336</v>
      </c>
      <c r="G720" s="17" t="str">
        <f t="shared" si="43"/>
        <v>7 Д</v>
      </c>
      <c r="H720" s="18">
        <f t="shared" si="38"/>
        <v>900</v>
      </c>
      <c r="I720" s="19" t="str">
        <f t="shared" si="39"/>
        <v/>
      </c>
      <c r="J720" s="20" t="str">
        <f t="shared" si="25"/>
        <v/>
      </c>
      <c r="K720" s="23">
        <v>6300.0</v>
      </c>
      <c r="L720" s="20"/>
      <c r="M720" s="23">
        <v>900.0</v>
      </c>
      <c r="N720" s="49">
        <v>16600.0</v>
      </c>
      <c r="O720" s="22" t="str">
        <f>IFERROR(__xludf.DUMMYFUNCTION("IFERROR(
  VLOOKUP(C720,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C720
    ), 
    7, FALSE
  ), 
  """"
)
"),"")</f>
        <v/>
      </c>
      <c r="P720" s="22">
        <f>IFERROR(__xludf.DUMMYFUNCTION("IF(AND(Q720="""", R720=""""),
  """",
  IF(OR(ISBLANK(Q720), ISBLANK(O720)),
    """",
    IF(VALUE(SUBSTITUTE(INDEX(SPLIT(IF(ISBLANK(R720), Q720, R720), "",""), 0, 1), "" Km"", """")) - O720 = 0,
      """",
      VALUE(SUBSTITUTE(INDEX(SPLIT(IF(ISBLANK("&amp;"R720), Q720, R720), "",""), 0, 1), "" Km"", """")) - O720
    )
  )
)"),16600.0)</f>
        <v>16600</v>
      </c>
      <c r="Q720" s="23" t="str">
        <f t="shared" si="4"/>
        <v>16 600 Km, 28.02.2024</v>
      </c>
      <c r="R720" s="20"/>
      <c r="S720" s="41" t="s">
        <v>430</v>
      </c>
      <c r="T720" s="13">
        <v>1.0</v>
      </c>
      <c r="U720" s="66" t="s">
        <v>1355</v>
      </c>
      <c r="V720" s="24"/>
      <c r="W720" s="24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</row>
    <row r="721" hidden="1">
      <c r="A721" s="25" t="s">
        <v>24</v>
      </c>
      <c r="B721" s="25" t="s">
        <v>25</v>
      </c>
      <c r="C721" s="27" t="s">
        <v>73</v>
      </c>
      <c r="D721" s="27" t="s">
        <v>1356</v>
      </c>
      <c r="E721" s="43">
        <v>45350.0</v>
      </c>
      <c r="F721" s="39">
        <v>45360.458333333336</v>
      </c>
      <c r="G721" s="30" t="str">
        <f t="shared" si="43"/>
        <v>10 Д</v>
      </c>
      <c r="H721" s="31">
        <f t="shared" si="38"/>
        <v>390</v>
      </c>
      <c r="I721" s="32" t="str">
        <f t="shared" si="39"/>
        <v/>
      </c>
      <c r="J721" s="33" t="str">
        <f t="shared" si="25"/>
        <v/>
      </c>
      <c r="K721" s="36">
        <v>3900.0</v>
      </c>
      <c r="L721" s="33"/>
      <c r="M721" s="36">
        <v>390.0</v>
      </c>
      <c r="N721" s="44">
        <v>24500.0</v>
      </c>
      <c r="O721" s="35">
        <f>IFERROR(__xludf.DUMMYFUNCTION("IFERROR(
  VLOOKUP(C721,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C721
    ), 
    7, FALSE
  ), 
  """"
)
"),31000.0)</f>
        <v>31000</v>
      </c>
      <c r="P721" s="35">
        <f>IFERROR(__xludf.DUMMYFUNCTION("IF(AND(Q721="""", R721=""""),
  """",
  IF(OR(ISBLANK(Q721), ISBLANK(O721)),
    """",
    IF(VALUE(SUBSTITUTE(INDEX(SPLIT(IF(ISBLANK(R721), Q721, R721), "",""), 0, 1), "" Km"", """")) - O721 = 0,
      """",
      VALUE(SUBSTITUTE(INDEX(SPLIT(IF(ISBLANK("&amp;"R721), Q721, R721), "",""), 0, 1), "" Km"", """")) - O721
    )
  )
)"),-6500.0)</f>
        <v>-6500</v>
      </c>
      <c r="Q721" s="36" t="str">
        <f t="shared" si="4"/>
        <v>24 500 Km, 28.02.2024</v>
      </c>
      <c r="R721" s="33"/>
      <c r="S721" s="40">
        <v>3000.0</v>
      </c>
      <c r="T721" s="25">
        <v>2.0</v>
      </c>
      <c r="U721" s="25" t="s">
        <v>1357</v>
      </c>
      <c r="V721" s="37"/>
      <c r="W721" s="37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</row>
    <row r="722" hidden="1">
      <c r="A722" s="13" t="s">
        <v>24</v>
      </c>
      <c r="B722" s="13" t="s">
        <v>25</v>
      </c>
      <c r="C722" s="14" t="s">
        <v>64</v>
      </c>
      <c r="D722" s="14" t="s">
        <v>1358</v>
      </c>
      <c r="E722" s="48">
        <v>45351.0</v>
      </c>
      <c r="F722" s="38">
        <v>45353.916666666664</v>
      </c>
      <c r="G722" s="17" t="str">
        <f t="shared" si="43"/>
        <v>2 Д</v>
      </c>
      <c r="H722" s="18">
        <f t="shared" si="38"/>
        <v>690</v>
      </c>
      <c r="I722" s="19" t="str">
        <f t="shared" si="39"/>
        <v/>
      </c>
      <c r="J722" s="20" t="str">
        <f t="shared" si="25"/>
        <v/>
      </c>
      <c r="K722" s="20">
        <f>690*2</f>
        <v>1380</v>
      </c>
      <c r="L722" s="20"/>
      <c r="M722" s="23">
        <v>690.0</v>
      </c>
      <c r="N722" s="49">
        <v>19900.0</v>
      </c>
      <c r="O722" s="22">
        <f>IFERROR(__xludf.DUMMYFUNCTION("IFERROR(
  VLOOKUP(C722,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C722
    ), 
    7, FALSE
  ), 
  """"
)
"),32600.0)</f>
        <v>32600</v>
      </c>
      <c r="P722" s="22">
        <f>IFERROR(__xludf.DUMMYFUNCTION("IF(AND(Q722="""", R722=""""),
  """",
  IF(OR(ISBLANK(Q722), ISBLANK(O722)),
    """",
    IF(VALUE(SUBSTITUTE(INDEX(SPLIT(IF(ISBLANK(R722), Q722, R722), "",""), 0, 1), "" Km"", """")) - O722 = 0,
      """",
      VALUE(SUBSTITUTE(INDEX(SPLIT(IF(ISBLANK("&amp;"R722), Q722, R722), "",""), 0, 1), "" Km"", """")) - O722
    )
  )
)"),-12700.0)</f>
        <v>-12700</v>
      </c>
      <c r="Q722" s="23" t="str">
        <f t="shared" si="4"/>
        <v>19 900 Km, 29.02.2024</v>
      </c>
      <c r="R722" s="20"/>
      <c r="S722" s="41">
        <v>5000.0</v>
      </c>
      <c r="T722" s="13">
        <v>2.0</v>
      </c>
      <c r="U722" s="24">
        <f>79629999977</f>
        <v>79629999977</v>
      </c>
      <c r="V722" s="24"/>
      <c r="W722" s="24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</row>
    <row r="723" hidden="1">
      <c r="A723" s="25" t="s">
        <v>24</v>
      </c>
      <c r="B723" s="25" t="s">
        <v>25</v>
      </c>
      <c r="C723" s="27" t="s">
        <v>88</v>
      </c>
      <c r="D723" s="27" t="s">
        <v>1359</v>
      </c>
      <c r="E723" s="43">
        <v>45352.0</v>
      </c>
      <c r="F723" s="39">
        <v>45383.833333333336</v>
      </c>
      <c r="G723" s="30" t="str">
        <f t="shared" si="43"/>
        <v>1 М</v>
      </c>
      <c r="H723" s="31">
        <f t="shared" si="38"/>
        <v>230</v>
      </c>
      <c r="I723" s="32" t="str">
        <f t="shared" si="39"/>
        <v/>
      </c>
      <c r="J723" s="33" t="str">
        <f t="shared" si="25"/>
        <v/>
      </c>
      <c r="K723" s="36">
        <v>6900.0</v>
      </c>
      <c r="L723" s="36">
        <v>6900.0</v>
      </c>
      <c r="M723" s="33"/>
      <c r="N723" s="44">
        <v>17225.0</v>
      </c>
      <c r="O723" s="35" t="str">
        <f>IFERROR(__xludf.DUMMYFUNCTION("IFERROR(
  VLOOKUP(C723,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C723
    ), 
    7, FALSE
  ), 
  """"
)
"),"")</f>
        <v/>
      </c>
      <c r="P723" s="35">
        <f>IFERROR(__xludf.DUMMYFUNCTION("IF(AND(Q723="""", R723=""""),
  """",
  IF(OR(ISBLANK(Q723), ISBLANK(O723)),
    """",
    IF(VALUE(SUBSTITUTE(INDEX(SPLIT(IF(ISBLANK(R723), Q723, R723), "",""), 0, 1), "" Km"", """")) - O723 = 0,
      """",
      VALUE(SUBSTITUTE(INDEX(SPLIT(IF(ISBLANK("&amp;"R723), Q723, R723), "",""), 0, 1), "" Km"", """")) - O723
    )
  )
)"),17225.0)</f>
        <v>17225</v>
      </c>
      <c r="Q723" s="36" t="str">
        <f t="shared" si="4"/>
        <v>17 225 Km, 01.03.2024</v>
      </c>
      <c r="R723" s="33"/>
      <c r="S723" s="40">
        <v>100.0</v>
      </c>
      <c r="T723" s="25">
        <v>2.0</v>
      </c>
      <c r="U723" s="71" t="s">
        <v>1360</v>
      </c>
      <c r="V723" s="37"/>
      <c r="W723" s="37" t="str">
        <f t="shared" ref="W723:W728" si="45">IF(F723 = "", "", IF(NOW() &gt; (DATEVALUE(LEFT(F723, SEARCH(",", F723) - 2)) + TIMEVALUE(MID(F723, SEARCH(",", F723) + 2, 5))), "Завершена", "В аренде"))</f>
        <v>Завершена</v>
      </c>
      <c r="X723" s="25" t="str">
        <f>IFERROR(__xludf.DUMMYFUNCTION("IF(C723 = """", """", IF(REGEXMATCH(C723, ""PCX|NMAX|ADV|CLICK""), ""скутер"", ""мото""))"),"скутер")</f>
        <v>скутер</v>
      </c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</row>
    <row r="724" hidden="1">
      <c r="A724" s="13" t="s">
        <v>24</v>
      </c>
      <c r="B724" s="14" t="s">
        <v>25</v>
      </c>
      <c r="C724" s="62" t="s">
        <v>92</v>
      </c>
      <c r="D724" s="14" t="s">
        <v>247</v>
      </c>
      <c r="E724" s="48">
        <v>45353.0</v>
      </c>
      <c r="F724" s="38">
        <v>45357.541666666664</v>
      </c>
      <c r="G724" s="17" t="str">
        <f t="shared" si="43"/>
        <v>4 Д</v>
      </c>
      <c r="H724" s="18">
        <f t="shared" si="38"/>
        <v>650</v>
      </c>
      <c r="I724" s="80" t="str">
        <f t="shared" si="39"/>
        <v/>
      </c>
      <c r="J724" s="20" t="str">
        <f t="shared" si="25"/>
        <v/>
      </c>
      <c r="K724" s="23">
        <v>2500.0</v>
      </c>
      <c r="L724" s="64"/>
      <c r="M724" s="63">
        <v>650.0</v>
      </c>
      <c r="N724" s="49">
        <v>21000.0</v>
      </c>
      <c r="O724" s="22">
        <f>IFERROR(__xludf.DUMMYFUNCTION("IFERROR(
  VLOOKUP(C724,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C724
    ), 
    7, FALSE
  ), 
  """"
)
"),23500.0)</f>
        <v>23500</v>
      </c>
      <c r="P724" s="22">
        <f>IFERROR(__xludf.DUMMYFUNCTION("IF(AND(Q724="""", R724=""""),
  """",
  IF(OR(ISBLANK(Q724), ISBLANK(O724)),
    """",
    IF(VALUE(SUBSTITUTE(INDEX(SPLIT(IF(ISBLANK(R724), Q724, R724), "",""), 0, 1), "" Km"", """")) - O724 = 0,
      """",
      VALUE(SUBSTITUTE(INDEX(SPLIT(IF(ISBLANK("&amp;"R724), Q724, R724), "",""), 0, 1), "" Km"", """")) - O724
    )
  )
)"),-2500.0)</f>
        <v>-2500</v>
      </c>
      <c r="Q724" s="20" t="str">
        <f t="shared" si="4"/>
        <v>21 000 Km, 02.03.2024</v>
      </c>
      <c r="R724" s="152"/>
      <c r="S724" s="41" t="s">
        <v>1361</v>
      </c>
      <c r="T724" s="19">
        <v>2.0</v>
      </c>
      <c r="U724" s="24" t="s">
        <v>0</v>
      </c>
      <c r="V724" s="24" t="s">
        <v>248</v>
      </c>
      <c r="W724" s="24" t="str">
        <f t="shared" si="45"/>
        <v>Завершена</v>
      </c>
      <c r="X724" s="42" t="str">
        <f>IFERROR(__xludf.DUMMYFUNCTION("IF(C724 = """", """", IF(REGEXMATCH(C724, ""PCX|NMAX|ADV|CLICK""), ""скутер"", ""мото""))"),"мото")</f>
        <v>мото</v>
      </c>
      <c r="Y724" s="13"/>
      <c r="Z724" s="13"/>
      <c r="AA724" s="153"/>
      <c r="AB724" s="153"/>
      <c r="AC724" s="153"/>
      <c r="AD724" s="153"/>
      <c r="AE724" s="153"/>
      <c r="AF724" s="153"/>
      <c r="AG724" s="153"/>
      <c r="AH724" s="153"/>
      <c r="AI724" s="153"/>
      <c r="AJ724" s="153"/>
      <c r="AK724" s="153"/>
      <c r="AL724" s="153"/>
      <c r="AM724" s="153"/>
    </row>
    <row r="725" hidden="1">
      <c r="A725" s="25" t="s">
        <v>24</v>
      </c>
      <c r="B725" s="25" t="s">
        <v>25</v>
      </c>
      <c r="C725" s="27" t="s">
        <v>68</v>
      </c>
      <c r="D725" s="27" t="s">
        <v>1362</v>
      </c>
      <c r="E725" s="43">
        <v>45353.0</v>
      </c>
      <c r="F725" s="39">
        <v>45361.541666666664</v>
      </c>
      <c r="G725" s="30" t="str">
        <f t="shared" si="43"/>
        <v>8 Д</v>
      </c>
      <c r="H725" s="31">
        <f t="shared" si="38"/>
        <v>390</v>
      </c>
      <c r="I725" s="32" t="str">
        <f t="shared" si="39"/>
        <v/>
      </c>
      <c r="J725" s="33" t="str">
        <f t="shared" si="25"/>
        <v/>
      </c>
      <c r="K725" s="36">
        <v>3120.0</v>
      </c>
      <c r="L725" s="33"/>
      <c r="M725" s="36">
        <v>390.0</v>
      </c>
      <c r="N725" s="44">
        <v>25000.0</v>
      </c>
      <c r="O725" s="35">
        <f>IFERROR(__xludf.DUMMYFUNCTION("IFERROR(
  VLOOKUP(C725,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C725
    ), 
    7, FALSE
  ), 
  """"
)
"),24094.0)</f>
        <v>24094</v>
      </c>
      <c r="P725" s="35">
        <f>IFERROR(__xludf.DUMMYFUNCTION("IF(AND(Q725="""", R725=""""),
  """",
  IF(OR(ISBLANK(Q725), ISBLANK(O725)),
    """",
    IF(VALUE(SUBSTITUTE(INDEX(SPLIT(IF(ISBLANK(R725), Q725, R725), "",""), 0, 1), "" Km"", """")) - O725 = 0,
      """",
      VALUE(SUBSTITUTE(INDEX(SPLIT(IF(ISBLANK("&amp;"R725), Q725, R725), "",""), 0, 1), "" Km"", """")) - O725
    )
  )
)"),906.0)</f>
        <v>906</v>
      </c>
      <c r="Q725" s="36" t="str">
        <f t="shared" si="4"/>
        <v>25 000 Km, 02.03.2024</v>
      </c>
      <c r="R725" s="33"/>
      <c r="S725" s="40" t="s">
        <v>843</v>
      </c>
      <c r="T725" s="25">
        <v>2.0</v>
      </c>
      <c r="U725" s="25" t="s">
        <v>1363</v>
      </c>
      <c r="V725" s="37"/>
      <c r="W725" s="37" t="str">
        <f t="shared" si="45"/>
        <v>Завершена</v>
      </c>
      <c r="X725" s="25" t="str">
        <f>IFERROR(__xludf.DUMMYFUNCTION("IF(C725 = """", """", IF(REGEXMATCH(C725, ""PCX|NMAX|ADV|CLICK""), ""скутер"", ""мото""))"),"скутер")</f>
        <v>скутер</v>
      </c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</row>
    <row r="726" hidden="1">
      <c r="A726" s="13" t="s">
        <v>24</v>
      </c>
      <c r="B726" s="14" t="s">
        <v>25</v>
      </c>
      <c r="C726" s="62" t="s">
        <v>438</v>
      </c>
      <c r="D726" s="14" t="s">
        <v>505</v>
      </c>
      <c r="E726" s="48">
        <v>45353.0</v>
      </c>
      <c r="F726" s="38">
        <v>45384.666666666664</v>
      </c>
      <c r="G726" s="17" t="str">
        <f t="shared" si="43"/>
        <v>1 М</v>
      </c>
      <c r="H726" s="18">
        <f t="shared" si="38"/>
        <v>516.6666667</v>
      </c>
      <c r="I726" s="19" t="str">
        <f t="shared" si="39"/>
        <v/>
      </c>
      <c r="J726" s="20" t="str">
        <f t="shared" si="25"/>
        <v/>
      </c>
      <c r="K726" s="23">
        <v>15500.0</v>
      </c>
      <c r="L726" s="23">
        <v>15500.0</v>
      </c>
      <c r="M726" s="64"/>
      <c r="N726" s="21">
        <v>15500.0</v>
      </c>
      <c r="O726" s="22">
        <f>IFERROR(__xludf.DUMMYFUNCTION("IFERROR(
  VLOOKUP(C726,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C726
    ), 
    7, FALSE
  ), 
  """"
)
"),37823.0)</f>
        <v>37823</v>
      </c>
      <c r="P726" s="22">
        <f>IFERROR(__xludf.DUMMYFUNCTION("IF(AND(Q726="""", R726=""""),
  """",
  IF(OR(ISBLANK(Q726), ISBLANK(O726)),
    """",
    IF(VALUE(SUBSTITUTE(INDEX(SPLIT(IF(ISBLANK(R726), Q726, R726), "",""), 0, 1), "" Km"", """")) - O726 = 0,
      """",
      VALUE(SUBSTITUTE(INDEX(SPLIT(IF(ISBLANK("&amp;"R726), Q726, R726), "",""), 0, 1), "" Km"", """")) - O726
    )
  )
)"),-18823.0)</f>
        <v>-18823</v>
      </c>
      <c r="Q726" s="20" t="str">
        <f t="shared" si="4"/>
        <v>19000 Km, 03.03.2024</v>
      </c>
      <c r="R726" s="53" t="s">
        <v>696</v>
      </c>
      <c r="S726" s="18">
        <v>20000.0</v>
      </c>
      <c r="T726" s="24">
        <v>0.0</v>
      </c>
      <c r="U726" s="24" t="s">
        <v>576</v>
      </c>
      <c r="V726" s="73"/>
      <c r="W726" s="24" t="str">
        <f t="shared" si="45"/>
        <v>Завершена</v>
      </c>
      <c r="X726" s="13" t="str">
        <f>IFERROR(__xludf.DUMMYFUNCTION("IF(C726 = """", """", IF(REGEXMATCH(C726, ""PCX|NMAX|ADV|CLICK""), ""скутер"", ""мото""))"),"мото")</f>
        <v>мото</v>
      </c>
      <c r="Y726" s="13"/>
      <c r="Z726" s="13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</row>
    <row r="727" hidden="1">
      <c r="A727" s="25" t="s">
        <v>24</v>
      </c>
      <c r="B727" s="25" t="s">
        <v>25</v>
      </c>
      <c r="C727" s="27" t="s">
        <v>98</v>
      </c>
      <c r="D727" s="27" t="s">
        <v>1343</v>
      </c>
      <c r="E727" s="43">
        <v>45354.0</v>
      </c>
      <c r="F727" s="39">
        <v>45446.75</v>
      </c>
      <c r="G727" s="30" t="str">
        <f t="shared" si="43"/>
        <v>3 М</v>
      </c>
      <c r="H727" s="31">
        <f t="shared" si="38"/>
        <v>216.6666667</v>
      </c>
      <c r="I727" s="74" t="str">
        <f t="shared" si="39"/>
        <v/>
      </c>
      <c r="J727" s="33" t="str">
        <f t="shared" si="25"/>
        <v/>
      </c>
      <c r="K727" s="36">
        <f>6500+6500+6500</f>
        <v>19500</v>
      </c>
      <c r="L727" s="36">
        <v>6500.0</v>
      </c>
      <c r="M727" s="36"/>
      <c r="N727" s="44">
        <v>22428.0</v>
      </c>
      <c r="O727" s="35">
        <f>IFERROR(__xludf.DUMMYFUNCTION("IFERROR(
  VLOOKUP(C727,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C727
    ), 
    7, FALSE
  ), 
  """"
)
"),32200.0)</f>
        <v>32200</v>
      </c>
      <c r="P727" s="35">
        <f>IFERROR(__xludf.DUMMYFUNCTION("IF(AND(Q727="""", R727=""""),
  """",
  IF(OR(ISBLANK(Q727), ISBLANK(O727)),
    """",
    IF(VALUE(SUBSTITUTE(INDEX(SPLIT(IF(ISBLANK(R727), Q727, R727), "",""), 0, 1), "" Km"", """")) - O727 = 0,
      """",
      VALUE(SUBSTITUTE(INDEX(SPLIT(IF(ISBLANK("&amp;"R727), Q727, R727), "",""), 0, 1), "" Km"", """")) - O727
    )
  )
)"),-9200.0)</f>
        <v>-9200</v>
      </c>
      <c r="Q727" s="36" t="str">
        <f t="shared" si="4"/>
        <v>23000 Km, 05.05.2024</v>
      </c>
      <c r="R727" s="58" t="s">
        <v>1364</v>
      </c>
      <c r="S727" s="40">
        <v>3000.0</v>
      </c>
      <c r="T727" s="25">
        <v>2.0</v>
      </c>
      <c r="U727" s="25" t="s">
        <v>1344</v>
      </c>
      <c r="V727" s="25" t="s">
        <v>489</v>
      </c>
      <c r="W727" s="37" t="str">
        <f t="shared" si="45"/>
        <v>Завершена</v>
      </c>
      <c r="X727" s="25" t="str">
        <f>IFERROR(__xludf.DUMMYFUNCTION("IF(C727 = """", """", IF(REGEXMATCH(C727, ""PCX|NMAX|ADV 150|CLICK""), ""скутер"", ""мото""))"),"скутер")</f>
        <v>скутер</v>
      </c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</row>
    <row r="728" hidden="1">
      <c r="A728" s="13" t="s">
        <v>24</v>
      </c>
      <c r="B728" s="13" t="s">
        <v>25</v>
      </c>
      <c r="C728" s="14" t="s">
        <v>88</v>
      </c>
      <c r="D728" s="14" t="s">
        <v>1365</v>
      </c>
      <c r="E728" s="48">
        <v>45355.0</v>
      </c>
      <c r="F728" s="38">
        <v>45364.458333333336</v>
      </c>
      <c r="G728" s="17" t="str">
        <f t="shared" si="43"/>
        <v>9 Д</v>
      </c>
      <c r="H728" s="18">
        <f t="shared" si="38"/>
        <v>390</v>
      </c>
      <c r="I728" s="19" t="str">
        <f t="shared" si="39"/>
        <v/>
      </c>
      <c r="J728" s="20" t="str">
        <f t="shared" si="25"/>
        <v/>
      </c>
      <c r="K728" s="23">
        <f>2730+390*2</f>
        <v>3510</v>
      </c>
      <c r="L728" s="20"/>
      <c r="M728" s="23">
        <v>390.0</v>
      </c>
      <c r="N728" s="49">
        <v>19000.0</v>
      </c>
      <c r="O728" s="22" t="str">
        <f>IFERROR(__xludf.DUMMYFUNCTION("IFERROR(
  VLOOKUP(C728,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C728
    ), 
    7, FALSE
  ), 
  """"
)
"),"")</f>
        <v/>
      </c>
      <c r="P728" s="22">
        <f>IFERROR(__xludf.DUMMYFUNCTION("IF(AND(Q728="""", R728=""""),
  """",
  IF(OR(ISBLANK(Q728), ISBLANK(O728)),
    """",
    IF(VALUE(SUBSTITUTE(INDEX(SPLIT(IF(ISBLANK(R728), Q728, R728), "",""), 0, 1), "" Km"", """")) - O728 = 0,
      """",
      VALUE(SUBSTITUTE(INDEX(SPLIT(IF(ISBLANK("&amp;"R728), Q728, R728), "",""), 0, 1), "" Km"", """")) - O728
    )
  )
)"),19000.0)</f>
        <v>19000</v>
      </c>
      <c r="Q728" s="23" t="str">
        <f t="shared" si="4"/>
        <v>19 000 Km, 04.03.2024</v>
      </c>
      <c r="R728" s="20"/>
      <c r="S728" s="41">
        <v>3000.0</v>
      </c>
      <c r="T728" s="13">
        <v>2.0</v>
      </c>
      <c r="U728" s="13" t="s">
        <v>1366</v>
      </c>
      <c r="V728" s="24"/>
      <c r="W728" s="24" t="str">
        <f t="shared" si="45"/>
        <v>Завершена</v>
      </c>
      <c r="X728" s="13" t="str">
        <f>IFERROR(__xludf.DUMMYFUNCTION("IF(C728 = """", """", IF(REGEXMATCH(C728, ""PCX|NMAX|ADV|CLICK""), ""скутер"", ""мото""))"),"скутер")</f>
        <v>скутер</v>
      </c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</row>
    <row r="729" hidden="1">
      <c r="A729" s="25" t="s">
        <v>24</v>
      </c>
      <c r="B729" s="25" t="s">
        <v>25</v>
      </c>
      <c r="C729" s="27" t="s">
        <v>102</v>
      </c>
      <c r="D729" s="27" t="s">
        <v>1367</v>
      </c>
      <c r="E729" s="43">
        <v>45356.0</v>
      </c>
      <c r="F729" s="39">
        <v>45359.583333333336</v>
      </c>
      <c r="G729" s="30" t="str">
        <f t="shared" si="43"/>
        <v>3 Д</v>
      </c>
      <c r="H729" s="31">
        <f t="shared" si="38"/>
        <v>1500</v>
      </c>
      <c r="I729" s="32" t="str">
        <f t="shared" si="39"/>
        <v/>
      </c>
      <c r="J729" s="33" t="str">
        <f t="shared" si="25"/>
        <v/>
      </c>
      <c r="K729" s="36">
        <v>4500.0</v>
      </c>
      <c r="L729" s="33"/>
      <c r="M729" s="36">
        <v>1500.0</v>
      </c>
      <c r="N729" s="44">
        <v>37500.0</v>
      </c>
      <c r="O729" s="35">
        <f>IFERROR(__xludf.DUMMYFUNCTION("IFERROR(
  VLOOKUP(C729,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C729
    ), 
    7, FALSE
  ), 
  """"
)
"),63700.0)</f>
        <v>63700</v>
      </c>
      <c r="P729" s="35">
        <f>IFERROR(__xludf.DUMMYFUNCTION("IF(AND(Q729="""", R729=""""),
  """",
  IF(OR(ISBLANK(Q729), ISBLANK(O729)),
    """",
    IF(VALUE(SUBSTITUTE(INDEX(SPLIT(IF(ISBLANK(R729), Q729, R729), "",""), 0, 1), "" Km"", """")) - O729 = 0,
      """",
      VALUE(SUBSTITUTE(INDEX(SPLIT(IF(ISBLANK("&amp;"R729), Q729, R729), "",""), 0, 1), "" Km"", """")) - O729
    )
  )
)"),-26200.0)</f>
        <v>-26200</v>
      </c>
      <c r="Q729" s="36" t="str">
        <f t="shared" si="4"/>
        <v>37 500 Km, 05.03.2024</v>
      </c>
      <c r="R729" s="33"/>
      <c r="S729" s="40" t="s">
        <v>1368</v>
      </c>
      <c r="T729" s="25">
        <v>0.0</v>
      </c>
      <c r="U729" s="25" t="s">
        <v>1369</v>
      </c>
      <c r="V729" s="37"/>
      <c r="W729" s="37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</row>
    <row r="730" hidden="1">
      <c r="A730" s="13" t="s">
        <v>24</v>
      </c>
      <c r="B730" s="13" t="s">
        <v>25</v>
      </c>
      <c r="C730" s="14" t="s">
        <v>64</v>
      </c>
      <c r="D730" s="14" t="s">
        <v>1370</v>
      </c>
      <c r="E730" s="48">
        <v>45356.0</v>
      </c>
      <c r="F730" s="38">
        <v>45366.5</v>
      </c>
      <c r="G730" s="17" t="str">
        <f t="shared" si="43"/>
        <v>10 Д</v>
      </c>
      <c r="H730" s="18">
        <f t="shared" si="38"/>
        <v>590</v>
      </c>
      <c r="I730" s="19" t="str">
        <f t="shared" si="39"/>
        <v/>
      </c>
      <c r="J730" s="20" t="str">
        <f t="shared" si="25"/>
        <v/>
      </c>
      <c r="K730" s="23">
        <v>6200.0</v>
      </c>
      <c r="L730" s="20"/>
      <c r="M730" s="23">
        <v>590.0</v>
      </c>
      <c r="N730" s="49">
        <v>20000.0</v>
      </c>
      <c r="O730" s="22">
        <f>IFERROR(__xludf.DUMMYFUNCTION("IFERROR(
  VLOOKUP(C730,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C730
    ), 
    7, FALSE
  ), 
  """"
)
"),32600.0)</f>
        <v>32600</v>
      </c>
      <c r="P730" s="22">
        <f>IFERROR(__xludf.DUMMYFUNCTION("IF(AND(Q730="""", R730=""""),
  """",
  IF(OR(ISBLANK(Q730), ISBLANK(O730)),
    """",
    IF(VALUE(SUBSTITUTE(INDEX(SPLIT(IF(ISBLANK(R730), Q730, R730), "",""), 0, 1), "" Km"", """")) - O730 = 0,
      """",
      VALUE(SUBSTITUTE(INDEX(SPLIT(IF(ISBLANK("&amp;"R730), Q730, R730), "",""), 0, 1), "" Km"", """")) - O730
    )
  )
)"),-12600.0)</f>
        <v>-12600</v>
      </c>
      <c r="Q730" s="23" t="str">
        <f t="shared" si="4"/>
        <v>20 000 Km, 05.03.2024</v>
      </c>
      <c r="R730" s="20"/>
      <c r="S730" s="41">
        <v>5000.0</v>
      </c>
      <c r="T730" s="13">
        <v>2.0</v>
      </c>
      <c r="U730" s="13" t="s">
        <v>1371</v>
      </c>
      <c r="V730" s="24"/>
      <c r="W730" s="24" t="str">
        <f t="shared" ref="W730:W1253" si="46">IF(F730 = "", "", IF(NOW() &gt; (DATEVALUE(LEFT(F730, SEARCH(",", F730) - 2)) + TIMEVALUE(MID(F730, SEARCH(",", F730) + 2, 5))), "Завершена", "В аренде"))</f>
        <v>Завершена</v>
      </c>
      <c r="X730" s="13" t="str">
        <f>IFERROR(__xludf.DUMMYFUNCTION("IF(C730 = """", """", IF(REGEXMATCH(C730, ""PCX|NMAX|ADV|CLICK""), ""скутер"", ""мото""))"),"мото")</f>
        <v>мото</v>
      </c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</row>
    <row r="731" hidden="1">
      <c r="A731" s="25" t="s">
        <v>24</v>
      </c>
      <c r="B731" s="25" t="s">
        <v>25</v>
      </c>
      <c r="C731" s="27" t="s">
        <v>483</v>
      </c>
      <c r="D731" s="27" t="s">
        <v>1372</v>
      </c>
      <c r="E731" s="43">
        <v>45356.0</v>
      </c>
      <c r="F731" s="39">
        <v>45369.791666666664</v>
      </c>
      <c r="G731" s="30" t="str">
        <f t="shared" si="43"/>
        <v>13 Д</v>
      </c>
      <c r="H731" s="31">
        <f t="shared" si="38"/>
        <v>1290</v>
      </c>
      <c r="I731" s="32" t="str">
        <f t="shared" si="39"/>
        <v/>
      </c>
      <c r="J731" s="33" t="str">
        <f t="shared" si="25"/>
        <v/>
      </c>
      <c r="K731" s="36">
        <v>16770.0</v>
      </c>
      <c r="L731" s="33"/>
      <c r="M731" s="36">
        <v>1290.0</v>
      </c>
      <c r="N731" s="44">
        <v>28144.0</v>
      </c>
      <c r="O731" s="35">
        <f>IFERROR(__xludf.DUMMYFUNCTION("IFERROR(
  VLOOKUP(C731,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C731
    ), 
    7, FALSE
  ), 
  """"
)
"),41500.0)</f>
        <v>41500</v>
      </c>
      <c r="P731" s="35">
        <f>IFERROR(__xludf.DUMMYFUNCTION("IF(AND(Q731="""", R731=""""),
  """",
  IF(OR(ISBLANK(Q731), ISBLANK(O731)),
    """",
    IF(VALUE(SUBSTITUTE(INDEX(SPLIT(IF(ISBLANK(R731), Q731, R731), "",""), 0, 1), "" Km"", """")) - O731 = 0,
      """",
      VALUE(SUBSTITUTE(INDEX(SPLIT(IF(ISBLANK("&amp;"R731), Q731, R731), "",""), 0, 1), "" Km"", """")) - O731
    )
  )
)"),-13356.0)</f>
        <v>-13356</v>
      </c>
      <c r="Q731" s="36" t="str">
        <f t="shared" si="4"/>
        <v>28 144 Km, 05.03.2024</v>
      </c>
      <c r="R731" s="33"/>
      <c r="S731" s="40">
        <v>20000.0</v>
      </c>
      <c r="T731" s="25">
        <v>2.0</v>
      </c>
      <c r="U731" s="25" t="s">
        <v>1373</v>
      </c>
      <c r="V731" s="37"/>
      <c r="W731" s="37" t="str">
        <f t="shared" si="46"/>
        <v>Завершена</v>
      </c>
      <c r="X731" s="25" t="str">
        <f>IFERROR(__xludf.DUMMYFUNCTION("IF(C731 = """", """", IF(REGEXMATCH(C731, ""PCX|NMAX|ADV|CLICK""), ""скутер"", ""мото""))"),"мото")</f>
        <v>мото</v>
      </c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</row>
    <row r="732" hidden="1">
      <c r="A732" s="13" t="s">
        <v>24</v>
      </c>
      <c r="B732" s="14" t="s">
        <v>25</v>
      </c>
      <c r="C732" s="62" t="s">
        <v>193</v>
      </c>
      <c r="D732" s="14" t="s">
        <v>752</v>
      </c>
      <c r="E732" s="48">
        <v>45359.0</v>
      </c>
      <c r="F732" s="38">
        <v>45397.541666666664</v>
      </c>
      <c r="G732" s="17" t="str">
        <f t="shared" si="43"/>
        <v>1 М</v>
      </c>
      <c r="H732" s="18">
        <f t="shared" si="38"/>
        <v>296.6666667</v>
      </c>
      <c r="I732" s="80" t="str">
        <f t="shared" si="39"/>
        <v/>
      </c>
      <c r="J732" s="20" t="str">
        <f t="shared" si="25"/>
        <v/>
      </c>
      <c r="K732" s="23">
        <f>8900+2079</f>
        <v>10979</v>
      </c>
      <c r="L732" s="20">
        <v>8900.0</v>
      </c>
      <c r="M732" s="64"/>
      <c r="N732" s="49">
        <v>12800.0</v>
      </c>
      <c r="O732" s="22" t="str">
        <f>IFERROR(__xludf.DUMMYFUNCTION("IFERROR(
  VLOOKUP(C732,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C732
    ), 
    7, FALSE
  ), 
  """"
)
"),"")</f>
        <v/>
      </c>
      <c r="P732" s="22">
        <f>IFERROR(__xludf.DUMMYFUNCTION("IF(AND(Q732="""", R732=""""),
  """",
  IF(OR(ISBLANK(Q732), ISBLANK(O732)),
    """",
    IF(VALUE(SUBSTITUTE(INDEX(SPLIT(IF(ISBLANK(R732), Q732, R732), "",""), 0, 1), "" Km"", """")) - O732 = 0,
      """",
      VALUE(SUBSTITUTE(INDEX(SPLIT(IF(ISBLANK("&amp;"R732), Q732, R732), "",""), 0, 1), "" Km"", """")) - O732
    )
  )
)"),12800.0)</f>
        <v>12800</v>
      </c>
      <c r="Q732" s="20" t="str">
        <f t="shared" si="4"/>
        <v>12 800 Km, 08.03.2024</v>
      </c>
      <c r="R732" s="152"/>
      <c r="S732" s="18" t="s">
        <v>753</v>
      </c>
      <c r="T732" s="24">
        <v>2.0</v>
      </c>
      <c r="U732" s="24" t="s">
        <v>754</v>
      </c>
      <c r="V732" s="154"/>
      <c r="W732" s="24" t="str">
        <f t="shared" si="46"/>
        <v>Завершена</v>
      </c>
      <c r="X732" s="13" t="str">
        <f>IFERROR(__xludf.DUMMYFUNCTION("IF(C732 = """", """", IF(REGEXMATCH(C732, ""PCX|NMAX|ADV 150|CLICK""), ""скутер"", ""мото""))"),"мото")</f>
        <v>мото</v>
      </c>
      <c r="Y732" s="13"/>
      <c r="Z732" s="13"/>
      <c r="AA732" s="153"/>
      <c r="AB732" s="153"/>
      <c r="AC732" s="153"/>
      <c r="AD732" s="153"/>
      <c r="AE732" s="153"/>
      <c r="AF732" s="153"/>
      <c r="AG732" s="153"/>
      <c r="AH732" s="153"/>
      <c r="AI732" s="153"/>
      <c r="AJ732" s="153"/>
      <c r="AK732" s="153"/>
      <c r="AL732" s="153"/>
      <c r="AM732" s="153"/>
    </row>
    <row r="733" hidden="1">
      <c r="A733" s="25" t="s">
        <v>24</v>
      </c>
      <c r="B733" s="25" t="s">
        <v>25</v>
      </c>
      <c r="C733" s="27" t="s">
        <v>32</v>
      </c>
      <c r="D733" s="27" t="s">
        <v>1374</v>
      </c>
      <c r="E733" s="43">
        <v>45360.0</v>
      </c>
      <c r="F733" s="39">
        <v>45373.625</v>
      </c>
      <c r="G733" s="30" t="str">
        <f t="shared" si="43"/>
        <v>13 Д</v>
      </c>
      <c r="H733" s="31">
        <f t="shared" si="38"/>
        <v>590</v>
      </c>
      <c r="I733" s="32" t="str">
        <f t="shared" si="39"/>
        <v/>
      </c>
      <c r="J733" s="33" t="str">
        <f t="shared" si="25"/>
        <v/>
      </c>
      <c r="K733" s="36">
        <v>7670.0</v>
      </c>
      <c r="L733" s="33"/>
      <c r="M733" s="36">
        <v>590.0</v>
      </c>
      <c r="N733" s="44">
        <v>20500.0</v>
      </c>
      <c r="O733" s="35">
        <f>IFERROR(__xludf.DUMMYFUNCTION("IFERROR(
  VLOOKUP(C733,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C733
    ), 
    7, FALSE
  ), 
  """"
)
"),38640.0)</f>
        <v>38640</v>
      </c>
      <c r="P733" s="35">
        <f>IFERROR(__xludf.DUMMYFUNCTION("IF(AND(Q733="""", R733=""""),
  """",
  IF(OR(ISBLANK(Q733), ISBLANK(O733)),
    """",
    IF(VALUE(SUBSTITUTE(INDEX(SPLIT(IF(ISBLANK(R733), Q733, R733), "",""), 0, 1), "" Km"", """")) - O733 = 0,
      """",
      VALUE(SUBSTITUTE(INDEX(SPLIT(IF(ISBLANK("&amp;"R733), Q733, R733), "",""), 0, 1), "" Km"", """")) - O733
    )
  )
)"),-18140.0)</f>
        <v>-18140</v>
      </c>
      <c r="Q733" s="33" t="str">
        <f t="shared" si="4"/>
        <v>20 500 Km, 09.03.2024</v>
      </c>
      <c r="R733" s="33"/>
      <c r="S733" s="40">
        <v>5000.0</v>
      </c>
      <c r="T733" s="25">
        <v>2.0</v>
      </c>
      <c r="U733" s="25" t="s">
        <v>1375</v>
      </c>
      <c r="V733" s="37"/>
      <c r="W733" s="37" t="str">
        <f t="shared" si="46"/>
        <v>Завершена</v>
      </c>
      <c r="X733" s="25" t="str">
        <f>IFERROR(__xludf.DUMMYFUNCTION("IF(C733 = """", """", IF(REGEXMATCH(C733, ""PCX|NMAX|ADV|CLICK""), ""скутер"", ""мото""))"),"мото")</f>
        <v>мото</v>
      </c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</row>
    <row r="734" hidden="1">
      <c r="A734" s="13" t="s">
        <v>24</v>
      </c>
      <c r="B734" s="13" t="s">
        <v>25</v>
      </c>
      <c r="C734" s="14" t="s">
        <v>113</v>
      </c>
      <c r="D734" s="14" t="s">
        <v>1376</v>
      </c>
      <c r="E734" s="48">
        <v>45360.0</v>
      </c>
      <c r="F734" s="38">
        <v>45391.625</v>
      </c>
      <c r="G734" s="17" t="str">
        <f t="shared" si="43"/>
        <v>1 М</v>
      </c>
      <c r="H734" s="18">
        <f t="shared" si="38"/>
        <v>396.6666667</v>
      </c>
      <c r="I734" s="80" t="str">
        <f t="shared" si="39"/>
        <v/>
      </c>
      <c r="J734" s="20" t="str">
        <f t="shared" si="25"/>
        <v/>
      </c>
      <c r="K734" s="23">
        <v>11900.0</v>
      </c>
      <c r="L734" s="23">
        <v>11900.0</v>
      </c>
      <c r="M734" s="20"/>
      <c r="N734" s="49">
        <v>29000.0</v>
      </c>
      <c r="O734" s="22" t="str">
        <f>IFERROR(__xludf.DUMMYFUNCTION("IFERROR(
  VLOOKUP(C734,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C734
    ), 
    7, FALSE
  ), 
  """"
)
"),"")</f>
        <v/>
      </c>
      <c r="P734" s="22">
        <f>IFERROR(__xludf.DUMMYFUNCTION("IF(AND(Q734="""", R734=""""),
  """",
  IF(OR(ISBLANK(Q734), ISBLANK(O734)),
    """",
    IF(VALUE(SUBSTITUTE(INDEX(SPLIT(IF(ISBLANK(R734), Q734, R734), "",""), 0, 1), "" Km"", """")) - O734 = 0,
      """",
      VALUE(SUBSTITUTE(INDEX(SPLIT(IF(ISBLANK("&amp;"R734), Q734, R734), "",""), 0, 1), "" Km"", """")) - O734
    )
  )
)"),29000.0)</f>
        <v>29000</v>
      </c>
      <c r="Q734" s="20" t="str">
        <f t="shared" si="4"/>
        <v>29 000 Km, 09.03.2024</v>
      </c>
      <c r="R734" s="20"/>
      <c r="S734" s="41">
        <v>150.0</v>
      </c>
      <c r="T734" s="13">
        <v>2.0</v>
      </c>
      <c r="U734" s="13" t="s">
        <v>1377</v>
      </c>
      <c r="V734" s="24"/>
      <c r="W734" s="24" t="str">
        <f t="shared" si="46"/>
        <v>Завершена</v>
      </c>
      <c r="X734" s="13" t="str">
        <f>IFERROR(__xludf.DUMMYFUNCTION("IF(C734 = """", """", IF(REGEXMATCH(C734, ""PCX|NMAX|ADV|CLICK""), ""скутер"", ""мото""))"),"мото")</f>
        <v>мото</v>
      </c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</row>
    <row r="735" hidden="1">
      <c r="A735" s="25" t="s">
        <v>24</v>
      </c>
      <c r="B735" s="25" t="s">
        <v>25</v>
      </c>
      <c r="C735" s="27" t="s">
        <v>173</v>
      </c>
      <c r="D735" s="27" t="s">
        <v>1378</v>
      </c>
      <c r="E735" s="43">
        <v>45360.0</v>
      </c>
      <c r="F735" s="39">
        <v>45454.833333333336</v>
      </c>
      <c r="G735" s="30" t="str">
        <f t="shared" si="43"/>
        <v>3 М</v>
      </c>
      <c r="H735" s="31">
        <f t="shared" si="38"/>
        <v>216.6666667</v>
      </c>
      <c r="I735" s="74" t="str">
        <f t="shared" si="39"/>
        <v/>
      </c>
      <c r="J735" s="33" t="str">
        <f t="shared" si="25"/>
        <v/>
      </c>
      <c r="K735" s="36">
        <f>1000+5000+5000+6700+2667</f>
        <v>20367</v>
      </c>
      <c r="L735" s="36">
        <v>6500.0</v>
      </c>
      <c r="M735" s="33"/>
      <c r="N735" s="44">
        <v>14485.0</v>
      </c>
      <c r="O735" s="35">
        <f>IFERROR(__xludf.DUMMYFUNCTION("IFERROR(
  VLOOKUP(C735,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C735
    ), 
    7, FALSE
  ), 
  """"
)
"),27000.0)</f>
        <v>27000</v>
      </c>
      <c r="P735" s="35">
        <f>IFERROR(__xludf.DUMMYFUNCTION("IF(AND(Q735="""", R735=""""),
  """",
  IF(OR(ISBLANK(Q735), ISBLANK(O735)),
    """",
    IF(VALUE(SUBSTITUTE(INDEX(SPLIT(IF(ISBLANK(R735), Q735, R735), "",""), 0, 1), "" Km"", """")) - O735 = 0,
      """",
      VALUE(SUBSTITUTE(INDEX(SPLIT(IF(ISBLANK("&amp;"R735), Q735, R735), "",""), 0, 1), "" Km"", """")) - O735
    )
  )
)"),-4500.0)</f>
        <v>-4500</v>
      </c>
      <c r="Q735" s="36" t="str">
        <f t="shared" si="4"/>
        <v>22500 Km, 03.06.2024</v>
      </c>
      <c r="R735" s="58" t="s">
        <v>1379</v>
      </c>
      <c r="S735" s="40" t="s">
        <v>430</v>
      </c>
      <c r="T735" s="25">
        <v>1.0</v>
      </c>
      <c r="U735" s="71" t="s">
        <v>1380</v>
      </c>
      <c r="V735" s="25" t="s">
        <v>806</v>
      </c>
      <c r="W735" s="37" t="str">
        <f t="shared" si="46"/>
        <v>Завершена</v>
      </c>
      <c r="X735" s="25" t="str">
        <f>IFERROR(__xludf.DUMMYFUNCTION("IF(C735 = """", """", IF(REGEXMATCH(C735, ""PCX|NMAX|ADV|CLICK""), ""скутер"", ""мото""))"),"мото")</f>
        <v>мото</v>
      </c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</row>
    <row r="736" hidden="1">
      <c r="A736" s="13" t="s">
        <v>24</v>
      </c>
      <c r="B736" s="13" t="s">
        <v>25</v>
      </c>
      <c r="C736" s="14" t="s">
        <v>423</v>
      </c>
      <c r="D736" s="14" t="s">
        <v>1381</v>
      </c>
      <c r="E736" s="48">
        <v>45361.0</v>
      </c>
      <c r="F736" s="38">
        <v>45392.625</v>
      </c>
      <c r="G736" s="17" t="str">
        <f t="shared" si="43"/>
        <v>1 М</v>
      </c>
      <c r="H736" s="18">
        <f t="shared" si="38"/>
        <v>463.3333333</v>
      </c>
      <c r="I736" s="80" t="str">
        <f t="shared" si="39"/>
        <v/>
      </c>
      <c r="J736" s="20" t="str">
        <f t="shared" si="25"/>
        <v/>
      </c>
      <c r="K736" s="23">
        <v>14900.0</v>
      </c>
      <c r="L736" s="23">
        <v>13900.0</v>
      </c>
      <c r="M736" s="20"/>
      <c r="N736" s="49">
        <v>13000.0</v>
      </c>
      <c r="O736" s="22" t="str">
        <f>IFERROR(__xludf.DUMMYFUNCTION("IFERROR(
  VLOOKUP(C736,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C736
    ), 
    7, FALSE
  ), 
  """"
)
"),"")</f>
        <v/>
      </c>
      <c r="P736" s="22">
        <f>IFERROR(__xludf.DUMMYFUNCTION("IF(AND(Q736="""", R736=""""),
  """",
  IF(OR(ISBLANK(Q736), ISBLANK(O736)),
    """",
    IF(VALUE(SUBSTITUTE(INDEX(SPLIT(IF(ISBLANK(R736), Q736, R736), "",""), 0, 1), "" Km"", """")) - O736 = 0,
      """",
      VALUE(SUBSTITUTE(INDEX(SPLIT(IF(ISBLANK("&amp;"R736), Q736, R736), "",""), 0, 1), "" Km"", """")) - O736
    )
  )
)"),13000.0)</f>
        <v>13000</v>
      </c>
      <c r="Q736" s="23" t="str">
        <f t="shared" si="4"/>
        <v>13 000 Km, 10.03.2024</v>
      </c>
      <c r="R736" s="20"/>
      <c r="S736" s="41">
        <v>3000.0</v>
      </c>
      <c r="T736" s="13">
        <v>0.0</v>
      </c>
      <c r="U736" s="13" t="s">
        <v>1382</v>
      </c>
      <c r="V736" s="24"/>
      <c r="W736" s="24" t="str">
        <f t="shared" si="46"/>
        <v>Завершена</v>
      </c>
      <c r="X736" s="13" t="str">
        <f>IFERROR(__xludf.DUMMYFUNCTION("IF(C736 = """", """", IF(REGEXMATCH(C736, ""PCX|NMAX|ADV|CLICK""), ""скутер"", ""мото""))"),"мото")</f>
        <v>мото</v>
      </c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</row>
    <row r="737" hidden="1">
      <c r="A737" s="25" t="s">
        <v>24</v>
      </c>
      <c r="B737" s="25" t="s">
        <v>25</v>
      </c>
      <c r="C737" s="27" t="s">
        <v>73</v>
      </c>
      <c r="D737" s="27" t="s">
        <v>1383</v>
      </c>
      <c r="E737" s="43">
        <v>45363.0</v>
      </c>
      <c r="F737" s="39">
        <v>45377.833333333336</v>
      </c>
      <c r="G737" s="30" t="str">
        <f t="shared" si="43"/>
        <v>14 Д</v>
      </c>
      <c r="H737" s="31">
        <f t="shared" si="38"/>
        <v>390</v>
      </c>
      <c r="I737" s="32" t="str">
        <f t="shared" si="39"/>
        <v/>
      </c>
      <c r="J737" s="33" t="str">
        <f t="shared" si="25"/>
        <v/>
      </c>
      <c r="K737" s="36">
        <f t="shared" ref="K737:K738" si="47">390*14</f>
        <v>5460</v>
      </c>
      <c r="L737" s="33"/>
      <c r="M737" s="36">
        <v>390.0</v>
      </c>
      <c r="N737" s="44">
        <v>20700.0</v>
      </c>
      <c r="O737" s="35">
        <f>IFERROR(__xludf.DUMMYFUNCTION("IFERROR(
  VLOOKUP(C737,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C737
    ), 
    7, FALSE
  ), 
  """"
)
"),31000.0)</f>
        <v>31000</v>
      </c>
      <c r="P737" s="35">
        <f>IFERROR(__xludf.DUMMYFUNCTION("IF(AND(Q737="""", R737=""""),
  """",
  IF(OR(ISBLANK(Q737), ISBLANK(O737)),
    """",
    IF(VALUE(SUBSTITUTE(INDEX(SPLIT(IF(ISBLANK(R737), Q737, R737), "",""), 0, 1), "" Km"", """")) - O737 = 0,
      """",
      VALUE(SUBSTITUTE(INDEX(SPLIT(IF(ISBLANK("&amp;"R737), Q737, R737), "",""), 0, 1), "" Km"", """")) - O737
    )
  )
)"),-10300.0)</f>
        <v>-10300</v>
      </c>
      <c r="Q737" s="36" t="str">
        <f t="shared" si="4"/>
        <v>20 700 Km, 12.03.2024</v>
      </c>
      <c r="R737" s="33"/>
      <c r="S737" s="40">
        <v>3000.0</v>
      </c>
      <c r="T737" s="25">
        <v>2.0</v>
      </c>
      <c r="U737" s="25" t="s">
        <v>726</v>
      </c>
      <c r="V737" s="37"/>
      <c r="W737" s="37" t="str">
        <f t="shared" si="46"/>
        <v>Завершена</v>
      </c>
      <c r="X737" s="25" t="str">
        <f>IFERROR(__xludf.DUMMYFUNCTION("IF(C737 = """", """", IF(REGEXMATCH(C737, ""PCX|NMAX|ADV|CLICK""), ""скутер"", ""мото""))"),"скутер")</f>
        <v>скутер</v>
      </c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</row>
    <row r="738" hidden="1">
      <c r="A738" s="13" t="s">
        <v>24</v>
      </c>
      <c r="B738" s="13" t="s">
        <v>25</v>
      </c>
      <c r="C738" s="14" t="s">
        <v>68</v>
      </c>
      <c r="D738" s="14" t="s">
        <v>1384</v>
      </c>
      <c r="E738" s="48">
        <v>45363.0</v>
      </c>
      <c r="F738" s="38">
        <v>45377.833333333336</v>
      </c>
      <c r="G738" s="17" t="str">
        <f t="shared" si="43"/>
        <v>14 Д</v>
      </c>
      <c r="H738" s="18">
        <f t="shared" si="38"/>
        <v>390</v>
      </c>
      <c r="I738" s="19" t="str">
        <f t="shared" si="39"/>
        <v/>
      </c>
      <c r="J738" s="20" t="str">
        <f t="shared" si="25"/>
        <v/>
      </c>
      <c r="K738" s="23">
        <f t="shared" si="47"/>
        <v>5460</v>
      </c>
      <c r="L738" s="20"/>
      <c r="M738" s="23">
        <v>390.0</v>
      </c>
      <c r="N738" s="49">
        <v>21367.0</v>
      </c>
      <c r="O738" s="22">
        <f>IFERROR(__xludf.DUMMYFUNCTION("IFERROR(
  VLOOKUP(C738,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C738
    ), 
    7, FALSE
  ), 
  """"
)
"),24094.0)</f>
        <v>24094</v>
      </c>
      <c r="P738" s="22">
        <f>IFERROR(__xludf.DUMMYFUNCTION("IF(AND(Q738="""", R738=""""),
  """",
  IF(OR(ISBLANK(Q738), ISBLANK(O738)),
    """",
    IF(VALUE(SUBSTITUTE(INDEX(SPLIT(IF(ISBLANK(R738), Q738, R738), "",""), 0, 1), "" Km"", """")) - O738 = 0,
      """",
      VALUE(SUBSTITUTE(INDEX(SPLIT(IF(ISBLANK("&amp;"R738), Q738, R738), "",""), 0, 1), "" Km"", """")) - O738
    )
  )
)"),-2727.0)</f>
        <v>-2727</v>
      </c>
      <c r="Q738" s="23" t="str">
        <f t="shared" si="4"/>
        <v>21 367 Km, 12.03.2024</v>
      </c>
      <c r="R738" s="20"/>
      <c r="S738" s="41" t="s">
        <v>766</v>
      </c>
      <c r="T738" s="13">
        <v>2.0</v>
      </c>
      <c r="U738" s="13" t="s">
        <v>767</v>
      </c>
      <c r="V738" s="24"/>
      <c r="W738" s="24" t="str">
        <f t="shared" si="46"/>
        <v>Завершена</v>
      </c>
      <c r="X738" s="13" t="str">
        <f>IFERROR(__xludf.DUMMYFUNCTION("IF(C738 = """", """", IF(REGEXMATCH(C738, ""PCX|NMAX|ADV|CLICK""), ""скутер"", ""мото""))"),"скутер")</f>
        <v>скутер</v>
      </c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</row>
    <row r="739" hidden="1">
      <c r="A739" s="25" t="s">
        <v>24</v>
      </c>
      <c r="B739" s="25" t="s">
        <v>25</v>
      </c>
      <c r="C739" s="27" t="s">
        <v>198</v>
      </c>
      <c r="D739" s="27" t="s">
        <v>1385</v>
      </c>
      <c r="E739" s="43">
        <v>45364.0</v>
      </c>
      <c r="F739" s="39">
        <v>45369.583333333336</v>
      </c>
      <c r="G739" s="30" t="str">
        <f t="shared" si="43"/>
        <v>5 Д</v>
      </c>
      <c r="H739" s="31">
        <f t="shared" si="38"/>
        <v>690</v>
      </c>
      <c r="I739" s="32" t="str">
        <f t="shared" si="39"/>
        <v/>
      </c>
      <c r="J739" s="33" t="str">
        <f t="shared" si="25"/>
        <v/>
      </c>
      <c r="K739" s="36">
        <v>3850.0</v>
      </c>
      <c r="L739" s="33"/>
      <c r="M739" s="36">
        <v>690.0</v>
      </c>
      <c r="N739" s="44">
        <v>18000.0</v>
      </c>
      <c r="O739" s="35" t="str">
        <f>IFERROR(__xludf.DUMMYFUNCTION("IFERROR(
  VLOOKUP(C739,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C739
    ), 
    7, FALSE
  ), 
  """"
)
"),"")</f>
        <v/>
      </c>
      <c r="P739" s="35">
        <f>IFERROR(__xludf.DUMMYFUNCTION("IF(AND(Q739="""", R739=""""),
  """",
  IF(OR(ISBLANK(Q739), ISBLANK(O739)),
    """",
    IF(VALUE(SUBSTITUTE(INDEX(SPLIT(IF(ISBLANK(R739), Q739, R739), "",""), 0, 1), "" Km"", """")) - O739 = 0,
      """",
      VALUE(SUBSTITUTE(INDEX(SPLIT(IF(ISBLANK("&amp;"R739), Q739, R739), "",""), 0, 1), "" Km"", """")) - O739
    )
  )
)"),18000.0)</f>
        <v>18000</v>
      </c>
      <c r="Q739" s="33" t="str">
        <f t="shared" si="4"/>
        <v>18 000 Km, 13.03.2024</v>
      </c>
      <c r="R739" s="33"/>
      <c r="S739" s="40">
        <v>200.0</v>
      </c>
      <c r="T739" s="25">
        <v>2.0</v>
      </c>
      <c r="U739" s="25" t="s">
        <v>1386</v>
      </c>
      <c r="V739" s="37"/>
      <c r="W739" s="37" t="str">
        <f t="shared" si="46"/>
        <v>Завершена</v>
      </c>
      <c r="X739" s="25" t="str">
        <f>IFERROR(__xludf.DUMMYFUNCTION("IF(C739 = """", """", IF(REGEXMATCH(C739, ""PCX|NMAX|ADV|CLICK""), ""скутер"", ""мото""))"),"мото")</f>
        <v>мото</v>
      </c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</row>
    <row r="740" hidden="1">
      <c r="A740" s="13" t="s">
        <v>24</v>
      </c>
      <c r="B740" s="13" t="s">
        <v>25</v>
      </c>
      <c r="C740" s="14" t="s">
        <v>461</v>
      </c>
      <c r="D740" s="14" t="s">
        <v>1387</v>
      </c>
      <c r="E740" s="48">
        <v>45364.0</v>
      </c>
      <c r="F740" s="38">
        <v>45395.75</v>
      </c>
      <c r="G740" s="17" t="str">
        <f t="shared" si="43"/>
        <v>1 М</v>
      </c>
      <c r="H740" s="18">
        <f t="shared" si="38"/>
        <v>396.6666667</v>
      </c>
      <c r="I740" s="80" t="str">
        <f t="shared" si="39"/>
        <v/>
      </c>
      <c r="J740" s="20" t="str">
        <f t="shared" si="25"/>
        <v/>
      </c>
      <c r="K740" s="23">
        <v>11900.0</v>
      </c>
      <c r="L740" s="23">
        <v>11900.0</v>
      </c>
      <c r="M740" s="20"/>
      <c r="N740" s="49">
        <v>28000.0</v>
      </c>
      <c r="O740" s="22">
        <f>IFERROR(__xludf.DUMMYFUNCTION("IFERROR(
  VLOOKUP(C740,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C740
    ), 
    7, FALSE
  ), 
  """"
)
"),30500.0)</f>
        <v>30500</v>
      </c>
      <c r="P740" s="22">
        <f>IFERROR(__xludf.DUMMYFUNCTION("IF(AND(Q740="""", R740=""""),
  """",
  IF(OR(ISBLANK(Q740), ISBLANK(O740)),
    """",
    IF(VALUE(SUBSTITUTE(INDEX(SPLIT(IF(ISBLANK(R740), Q740, R740), "",""), 0, 1), "" Km"", """")) - O740 = 0,
      """",
      VALUE(SUBSTITUTE(INDEX(SPLIT(IF(ISBLANK("&amp;"R740), Q740, R740), "",""), 0, 1), "" Km"", """")) - O740
    )
  )
)"),-2500.0)</f>
        <v>-2500</v>
      </c>
      <c r="Q740" s="20" t="str">
        <f t="shared" si="4"/>
        <v>28 000 Km, 13.03.2024</v>
      </c>
      <c r="R740" s="20"/>
      <c r="S740" s="41" t="s">
        <v>1388</v>
      </c>
      <c r="T740" s="13">
        <v>2.0</v>
      </c>
      <c r="U740" s="13" t="s">
        <v>1389</v>
      </c>
      <c r="V740" s="24"/>
      <c r="W740" s="24" t="str">
        <f t="shared" si="46"/>
        <v>Завершена</v>
      </c>
      <c r="X740" s="13" t="str">
        <f>IFERROR(__xludf.DUMMYFUNCTION("IF(C740 = """", """", IF(REGEXMATCH(C740, ""PCX|NMAX|ADV|CLICK""), ""скутер"", ""мото""))"),"мото")</f>
        <v>мото</v>
      </c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</row>
    <row r="741" hidden="1">
      <c r="A741" s="25" t="s">
        <v>24</v>
      </c>
      <c r="B741" s="25" t="s">
        <v>25</v>
      </c>
      <c r="C741" s="27" t="s">
        <v>77</v>
      </c>
      <c r="D741" s="27" t="s">
        <v>1390</v>
      </c>
      <c r="E741" s="43">
        <v>45366.0</v>
      </c>
      <c r="F741" s="39">
        <v>45389.75</v>
      </c>
      <c r="G741" s="30" t="str">
        <f t="shared" si="43"/>
        <v>23 Д</v>
      </c>
      <c r="H741" s="31">
        <f t="shared" si="38"/>
        <v>150</v>
      </c>
      <c r="I741" s="74" t="str">
        <f t="shared" si="39"/>
        <v/>
      </c>
      <c r="J741" s="33" t="str">
        <f t="shared" si="25"/>
        <v/>
      </c>
      <c r="K741" s="36">
        <f>1000+2100</f>
        <v>3100</v>
      </c>
      <c r="L741" s="36"/>
      <c r="M741" s="36">
        <v>150.0</v>
      </c>
      <c r="N741" s="44">
        <v>25428.0</v>
      </c>
      <c r="O741" s="35">
        <f>IFERROR(__xludf.DUMMYFUNCTION("IFERROR(
  VLOOKUP(C741,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C741
    ), 
    7, FALSE
  ), 
  """"
)
"),37300.0)</f>
        <v>37300</v>
      </c>
      <c r="P741" s="35">
        <f>IFERROR(__xludf.DUMMYFUNCTION("IF(AND(Q741="""", R741=""""),
  """",
  IF(OR(ISBLANK(Q741), ISBLANK(O741)),
    """",
    IF(VALUE(SUBSTITUTE(INDEX(SPLIT(IF(ISBLANK(R741), Q741, R741), "",""), 0, 1), "" Km"", """")) - O741 = 0,
      """",
      VALUE(SUBSTITUTE(INDEX(SPLIT(IF(ISBLANK("&amp;"R741), Q741, R741), "",""), 0, 1), "" Km"", """")) - O741
    )
  )
)"),-11872.0)</f>
        <v>-11872</v>
      </c>
      <c r="Q741" s="36" t="str">
        <f t="shared" si="4"/>
        <v>25 428 Km, 15.03.2024</v>
      </c>
      <c r="R741" s="33"/>
      <c r="S741" s="40">
        <v>0.0</v>
      </c>
      <c r="T741" s="25">
        <v>2.0</v>
      </c>
      <c r="U741" s="25" t="s">
        <v>1344</v>
      </c>
      <c r="V741" s="25" t="s">
        <v>489</v>
      </c>
      <c r="W741" s="37" t="str">
        <f t="shared" si="46"/>
        <v>Завершена</v>
      </c>
      <c r="X741" s="25" t="str">
        <f>IFERROR(__xludf.DUMMYFUNCTION("IF(C741 = """", """", IF(REGEXMATCH(C741, ""PCX|NMAX|ADV|CLICK""), ""скутер"", ""мото""))"),"скутер")</f>
        <v>скутер</v>
      </c>
      <c r="Y741" s="25"/>
      <c r="Z741" s="25"/>
      <c r="AA741" s="25"/>
      <c r="AB741" s="25"/>
      <c r="AC741" s="25"/>
      <c r="AD741" s="25" t="s">
        <v>1391</v>
      </c>
      <c r="AE741" s="25"/>
      <c r="AF741" s="25"/>
      <c r="AG741" s="25"/>
      <c r="AH741" s="25"/>
      <c r="AI741" s="25"/>
      <c r="AJ741" s="25"/>
      <c r="AK741" s="25"/>
      <c r="AL741" s="25"/>
      <c r="AM741" s="25"/>
    </row>
    <row r="742" hidden="1">
      <c r="A742" s="13" t="s">
        <v>24</v>
      </c>
      <c r="B742" s="14" t="s">
        <v>25</v>
      </c>
      <c r="C742" s="62" t="s">
        <v>52</v>
      </c>
      <c r="D742" s="14" t="s">
        <v>1392</v>
      </c>
      <c r="E742" s="48">
        <v>45367.0</v>
      </c>
      <c r="F742" s="38">
        <v>45398.666666666664</v>
      </c>
      <c r="G742" s="17" t="str">
        <f t="shared" si="43"/>
        <v>1 М</v>
      </c>
      <c r="H742" s="18">
        <f t="shared" si="38"/>
        <v>100</v>
      </c>
      <c r="I742" s="80" t="str">
        <f t="shared" si="39"/>
        <v/>
      </c>
      <c r="J742" s="20" t="str">
        <f t="shared" si="25"/>
        <v/>
      </c>
      <c r="K742" s="23">
        <v>3000.0</v>
      </c>
      <c r="L742" s="20">
        <v>3000.0</v>
      </c>
      <c r="M742" s="64"/>
      <c r="N742" s="49">
        <v>33600.0</v>
      </c>
      <c r="O742" s="22">
        <f>IFERROR(__xludf.DUMMYFUNCTION("IFERROR(
  VLOOKUP(C742,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C742
    ), 
    7, FALSE
  ), 
  """"
)
"),33515.0)</f>
        <v>33515</v>
      </c>
      <c r="P742" s="22">
        <f>IFERROR(__xludf.DUMMYFUNCTION("IF(AND(Q742="""", R742=""""),
  """",
  IF(OR(ISBLANK(Q742), ISBLANK(O742)),
    """",
    IF(VALUE(SUBSTITUTE(INDEX(SPLIT(IF(ISBLANK(R742), Q742, R742), "",""), 0, 1), "" Km"", """")) - O742 = 0,
      """",
      VALUE(SUBSTITUTE(INDEX(SPLIT(IF(ISBLANK("&amp;"R742), Q742, R742), "",""), 0, 1), "" Km"", """")) - O742
    )
  )
)"),85.0)</f>
        <v>85</v>
      </c>
      <c r="Q742" s="20" t="str">
        <f t="shared" si="4"/>
        <v>33 600 Km, 16.03.2024</v>
      </c>
      <c r="R742" s="20"/>
      <c r="S742" s="18">
        <v>0.0</v>
      </c>
      <c r="T742" s="24">
        <v>0.0</v>
      </c>
      <c r="U742" s="24"/>
      <c r="V742" s="73"/>
      <c r="W742" s="24" t="str">
        <f t="shared" si="46"/>
        <v>Завершена</v>
      </c>
      <c r="X742" s="13" t="str">
        <f>IFERROR(__xludf.DUMMYFUNCTION("IF(C742 = """", """", IF(REGEXMATCH(C742, ""PCX|NMAX|ADV 150|CLICK""), ""скутер"", ""мото""))"),"скутер")</f>
        <v>скутер</v>
      </c>
      <c r="Y742" s="13"/>
      <c r="Z742" s="13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</row>
    <row r="743" hidden="1">
      <c r="A743" s="25" t="s">
        <v>24</v>
      </c>
      <c r="B743" s="25" t="s">
        <v>25</v>
      </c>
      <c r="C743" s="27" t="s">
        <v>92</v>
      </c>
      <c r="D743" s="27" t="s">
        <v>1393</v>
      </c>
      <c r="E743" s="43">
        <v>45370.0</v>
      </c>
      <c r="F743" s="39">
        <v>45375.5</v>
      </c>
      <c r="G743" s="30" t="str">
        <f t="shared" si="43"/>
        <v>5 Д</v>
      </c>
      <c r="H743" s="31">
        <f t="shared" si="38"/>
        <v>690</v>
      </c>
      <c r="I743" s="32" t="str">
        <f t="shared" si="39"/>
        <v/>
      </c>
      <c r="J743" s="33" t="str">
        <f t="shared" si="25"/>
        <v/>
      </c>
      <c r="K743" s="36">
        <v>3450.0</v>
      </c>
      <c r="L743" s="33"/>
      <c r="M743" s="36">
        <v>690.0</v>
      </c>
      <c r="N743" s="44">
        <v>25200.0</v>
      </c>
      <c r="O743" s="35">
        <f>IFERROR(__xludf.DUMMYFUNCTION("IFERROR(
  VLOOKUP(C743,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C743
    ), 
    7, FALSE
  ), 
  """"
)
"),23500.0)</f>
        <v>23500</v>
      </c>
      <c r="P743" s="35">
        <f>IFERROR(__xludf.DUMMYFUNCTION("IF(AND(Q743="""", R743=""""),
  """",
  IF(OR(ISBLANK(Q743), ISBLANK(O743)),
    """",
    IF(VALUE(SUBSTITUTE(INDEX(SPLIT(IF(ISBLANK(R743), Q743, R743), "",""), 0, 1), "" Km"", """")) - O743 = 0,
      """",
      VALUE(SUBSTITUTE(INDEX(SPLIT(IF(ISBLANK("&amp;"R743), Q743, R743), "",""), 0, 1), "" Km"", """")) - O743
    )
  )
)"),1700.0)</f>
        <v>1700</v>
      </c>
      <c r="Q743" s="33" t="str">
        <f t="shared" si="4"/>
        <v>25 200 Km, 19.03.2024</v>
      </c>
      <c r="R743" s="33"/>
      <c r="S743" s="40">
        <v>5000.0</v>
      </c>
      <c r="T743" s="25">
        <v>2.0</v>
      </c>
      <c r="U743" s="71" t="s">
        <v>1394</v>
      </c>
      <c r="V743" s="25" t="s">
        <v>1395</v>
      </c>
      <c r="W743" s="37" t="str">
        <f t="shared" si="46"/>
        <v>Завершена</v>
      </c>
      <c r="X743" s="25" t="str">
        <f>IFERROR(__xludf.DUMMYFUNCTION("IF(C743 = """", """", IF(REGEXMATCH(C743, ""PCX|NMAX|ADV|CLICK""), ""скутер"", ""мото""))"),"мото")</f>
        <v>мото</v>
      </c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</row>
    <row r="744" hidden="1">
      <c r="A744" s="13" t="s">
        <v>24</v>
      </c>
      <c r="B744" s="13" t="s">
        <v>25</v>
      </c>
      <c r="C744" s="14" t="s">
        <v>32</v>
      </c>
      <c r="D744" s="14" t="s">
        <v>1396</v>
      </c>
      <c r="E744" s="48">
        <v>45373.0</v>
      </c>
      <c r="F744" s="38">
        <v>45400.708333333336</v>
      </c>
      <c r="G744" s="17" t="str">
        <f t="shared" si="43"/>
        <v>27 Д</v>
      </c>
      <c r="H744" s="18">
        <f t="shared" si="38"/>
        <v>423</v>
      </c>
      <c r="I744" s="80" t="str">
        <f t="shared" si="39"/>
        <v/>
      </c>
      <c r="J744" s="20" t="str">
        <f t="shared" si="25"/>
        <v/>
      </c>
      <c r="K744" s="23">
        <f>8900+2538</f>
        <v>11438</v>
      </c>
      <c r="L744" s="20"/>
      <c r="M744" s="23">
        <v>423.0</v>
      </c>
      <c r="N744" s="49">
        <v>22800.0</v>
      </c>
      <c r="O744" s="22">
        <f>IFERROR(__xludf.DUMMYFUNCTION("IFERROR(
  VLOOKUP(C744,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C744
    ), 
    7, FALSE
  ), 
  """"
)
"),38640.0)</f>
        <v>38640</v>
      </c>
      <c r="P744" s="22">
        <f>IFERROR(__xludf.DUMMYFUNCTION("IF(AND(Q744="""", R744=""""),
  """",
  IF(OR(ISBLANK(Q744), ISBLANK(O744)),
    """",
    IF(VALUE(SUBSTITUTE(INDEX(SPLIT(IF(ISBLANK(R744), Q744, R744), "",""), 0, 1), "" Km"", """")) - O744 = 0,
      """",
      VALUE(SUBSTITUTE(INDEX(SPLIT(IF(ISBLANK("&amp;"R744), Q744, R744), "",""), 0, 1), "" Km"", """")) - O744
    )
  )
)"),-15840.0)</f>
        <v>-15840</v>
      </c>
      <c r="Q744" s="20" t="str">
        <f t="shared" si="4"/>
        <v>22 800 Km, 22.03.2024</v>
      </c>
      <c r="R744" s="20"/>
      <c r="S744" s="41">
        <v>5000.0</v>
      </c>
      <c r="T744" s="13">
        <v>2.0</v>
      </c>
      <c r="U744" s="13" t="s">
        <v>1397</v>
      </c>
      <c r="V744" s="24"/>
      <c r="W744" s="24" t="str">
        <f t="shared" si="46"/>
        <v>Завершена</v>
      </c>
      <c r="X744" s="13" t="str">
        <f>IFERROR(__xludf.DUMMYFUNCTION("IF(C744 = """", """", IF(REGEXMATCH(C744, ""PCX|NMAX|ADV|CLICK""), ""скутер"", ""мото""))"),"мото")</f>
        <v>мото</v>
      </c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</row>
    <row r="745" hidden="1">
      <c r="A745" s="25" t="s">
        <v>24</v>
      </c>
      <c r="B745" s="25" t="s">
        <v>25</v>
      </c>
      <c r="C745" s="27" t="s">
        <v>56</v>
      </c>
      <c r="D745" s="27" t="s">
        <v>1398</v>
      </c>
      <c r="E745" s="43">
        <v>45373.0</v>
      </c>
      <c r="F745" s="39">
        <v>45404.75</v>
      </c>
      <c r="G745" s="30" t="str">
        <f t="shared" si="43"/>
        <v>1 М</v>
      </c>
      <c r="H745" s="31">
        <f t="shared" si="38"/>
        <v>216.6666667</v>
      </c>
      <c r="I745" s="74" t="str">
        <f t="shared" si="39"/>
        <v/>
      </c>
      <c r="J745" s="33" t="str">
        <f t="shared" si="25"/>
        <v/>
      </c>
      <c r="K745" s="36">
        <v>6500.0</v>
      </c>
      <c r="L745" s="36">
        <v>6500.0</v>
      </c>
      <c r="M745" s="33"/>
      <c r="N745" s="44">
        <v>24500.0</v>
      </c>
      <c r="O745" s="35">
        <f>IFERROR(__xludf.DUMMYFUNCTION("IFERROR(
  VLOOKUP(C745,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C745
    ), 
    7, FALSE
  ), 
  """"
)
"),36400.0)</f>
        <v>36400</v>
      </c>
      <c r="P745" s="35">
        <f>IFERROR(__xludf.DUMMYFUNCTION("IF(AND(Q745="""", R745=""""),
  """",
  IF(OR(ISBLANK(Q745), ISBLANK(O745)),
    """",
    IF(VALUE(SUBSTITUTE(INDEX(SPLIT(IF(ISBLANK(R745), Q745, R745), "",""), 0, 1), "" Km"", """")) - O745 = 0,
      """",
      VALUE(SUBSTITUTE(INDEX(SPLIT(IF(ISBLANK("&amp;"R745), Q745, R745), "",""), 0, 1), "" Km"", """")) - O745
    )
  )
)"),-11900.0)</f>
        <v>-11900</v>
      </c>
      <c r="Q745" s="33" t="str">
        <f t="shared" si="4"/>
        <v>24 500 Km, 22.03.2024</v>
      </c>
      <c r="R745" s="33"/>
      <c r="S745" s="40">
        <v>3000.0</v>
      </c>
      <c r="T745" s="25">
        <v>3.0</v>
      </c>
      <c r="U745" s="25" t="s">
        <v>1399</v>
      </c>
      <c r="V745" s="37"/>
      <c r="W745" s="37" t="str">
        <f t="shared" si="46"/>
        <v>Завершена</v>
      </c>
      <c r="X745" s="25" t="str">
        <f>IFERROR(__xludf.DUMMYFUNCTION("IF(C745 = """", """", IF(REGEXMATCH(C745, ""PCX|NMAX|ADV 150|CLICK""), ""скутер"", ""мото""))"),"скутер")</f>
        <v>скутер</v>
      </c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</row>
    <row r="746" hidden="1">
      <c r="A746" s="13" t="s">
        <v>24</v>
      </c>
      <c r="B746" s="13" t="s">
        <v>25</v>
      </c>
      <c r="C746" s="14" t="s">
        <v>468</v>
      </c>
      <c r="D746" s="14" t="s">
        <v>1400</v>
      </c>
      <c r="E746" s="48">
        <v>45378.0</v>
      </c>
      <c r="F746" s="38">
        <v>45381.75</v>
      </c>
      <c r="G746" s="17" t="str">
        <f t="shared" si="43"/>
        <v>3 Д</v>
      </c>
      <c r="H746" s="18">
        <f t="shared" si="38"/>
        <v>990</v>
      </c>
      <c r="I746" s="19" t="str">
        <f t="shared" si="39"/>
        <v/>
      </c>
      <c r="J746" s="20" t="str">
        <f t="shared" si="25"/>
        <v/>
      </c>
      <c r="K746" s="23">
        <v>5940.0</v>
      </c>
      <c r="L746" s="20"/>
      <c r="M746" s="23">
        <v>990.0</v>
      </c>
      <c r="N746" s="49">
        <v>17900.0</v>
      </c>
      <c r="O746" s="22">
        <f>IFERROR(__xludf.DUMMYFUNCTION("IFERROR(
  VLOOKUP(C746,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C746
    ), 
    7, FALSE
  ), 
  """"
)
"),22200.0)</f>
        <v>22200</v>
      </c>
      <c r="P746" s="22">
        <f>IFERROR(__xludf.DUMMYFUNCTION("IF(AND(Q746="""", R746=""""),
  """",
  IF(OR(ISBLANK(Q746), ISBLANK(O746)),
    """",
    IF(VALUE(SUBSTITUTE(INDEX(SPLIT(IF(ISBLANK(R746), Q746, R746), "",""), 0, 1), "" Km"", """")) - O746 = 0,
      """",
      VALUE(SUBSTITUTE(INDEX(SPLIT(IF(ISBLANK("&amp;"R746), Q746, R746), "",""), 0, 1), "" Km"", """")) - O746
    )
  )
)"),-4300.0)</f>
        <v>-4300</v>
      </c>
      <c r="Q746" s="20" t="str">
        <f t="shared" si="4"/>
        <v>17 900 Km, 27.03.2024</v>
      </c>
      <c r="R746" s="20"/>
      <c r="S746" s="41">
        <v>15000.0</v>
      </c>
      <c r="T746" s="13">
        <v>2.0</v>
      </c>
      <c r="U746" s="13" t="s">
        <v>1401</v>
      </c>
      <c r="V746" s="24"/>
      <c r="W746" s="24" t="str">
        <f t="shared" si="46"/>
        <v>Завершена</v>
      </c>
      <c r="X746" s="13" t="str">
        <f>IFERROR(__xludf.DUMMYFUNCTION("IF(C746 = """", """", IF(REGEXMATCH(C746, ""PCX|NMAX|ADV|CLICK""), ""скутер"", ""мото""))"),"мото")</f>
        <v>мото</v>
      </c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</row>
    <row r="747" hidden="1">
      <c r="A747" s="25" t="s">
        <v>24</v>
      </c>
      <c r="B747" s="25" t="s">
        <v>25</v>
      </c>
      <c r="C747" s="27" t="s">
        <v>472</v>
      </c>
      <c r="D747" s="27" t="s">
        <v>1402</v>
      </c>
      <c r="E747" s="43">
        <v>45378.0</v>
      </c>
      <c r="F747" s="39">
        <v>45381.75</v>
      </c>
      <c r="G747" s="30" t="str">
        <f t="shared" si="43"/>
        <v>3 Д</v>
      </c>
      <c r="H747" s="31">
        <f t="shared" si="38"/>
        <v>990</v>
      </c>
      <c r="I747" s="32" t="str">
        <f t="shared" si="39"/>
        <v/>
      </c>
      <c r="J747" s="33" t="str">
        <f t="shared" si="25"/>
        <v/>
      </c>
      <c r="K747" s="36">
        <v>5940.0</v>
      </c>
      <c r="L747" s="33"/>
      <c r="M747" s="36">
        <v>990.0</v>
      </c>
      <c r="N747" s="44">
        <v>23000.0</v>
      </c>
      <c r="O747" s="35" t="str">
        <f>IFERROR(__xludf.DUMMYFUNCTION("IFERROR(
  VLOOKUP(C747,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C747
    ), 
    7, FALSE
  ), 
  """"
)
"),"")</f>
        <v/>
      </c>
      <c r="P747" s="35">
        <f>IFERROR(__xludf.DUMMYFUNCTION("IF(AND(Q747="""", R747=""""),
  """",
  IF(OR(ISBLANK(Q747), ISBLANK(O747)),
    """",
    IF(VALUE(SUBSTITUTE(INDEX(SPLIT(IF(ISBLANK(R747), Q747, R747), "",""), 0, 1), "" Km"", """")) - O747 = 0,
      """",
      VALUE(SUBSTITUTE(INDEX(SPLIT(IF(ISBLANK("&amp;"R747), Q747, R747), "",""), 0, 1), "" Km"", """")) - O747
    )
  )
)"),23000.0)</f>
        <v>23000</v>
      </c>
      <c r="Q747" s="33" t="str">
        <f t="shared" si="4"/>
        <v>23 000 Km, 27.03.2024</v>
      </c>
      <c r="R747" s="33"/>
      <c r="S747" s="40">
        <v>150000.0</v>
      </c>
      <c r="T747" s="25">
        <v>1.0</v>
      </c>
      <c r="U747" s="25" t="s">
        <v>1403</v>
      </c>
      <c r="V747" s="37"/>
      <c r="W747" s="37" t="str">
        <f t="shared" si="46"/>
        <v>Завершена</v>
      </c>
      <c r="X747" s="25" t="str">
        <f>IFERROR(__xludf.DUMMYFUNCTION("IF(C747 = """", """", IF(REGEXMATCH(C747, ""PCX|NMAX|ADV|CLICK""), ""скутер"", ""мото""))"),"мото")</f>
        <v>мото</v>
      </c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</row>
    <row r="748" hidden="1">
      <c r="A748" s="13" t="s">
        <v>24</v>
      </c>
      <c r="B748" s="13" t="s">
        <v>25</v>
      </c>
      <c r="C748" s="14" t="s">
        <v>185</v>
      </c>
      <c r="D748" s="14" t="s">
        <v>1404</v>
      </c>
      <c r="E748" s="48">
        <v>45378.0</v>
      </c>
      <c r="F748" s="38">
        <v>45388.583333333336</v>
      </c>
      <c r="G748" s="17" t="str">
        <f t="shared" si="43"/>
        <v>10 Д</v>
      </c>
      <c r="H748" s="18">
        <f t="shared" si="38"/>
        <v>390</v>
      </c>
      <c r="I748" s="80" t="str">
        <f t="shared" si="39"/>
        <v/>
      </c>
      <c r="J748" s="20" t="str">
        <f t="shared" si="25"/>
        <v/>
      </c>
      <c r="K748" s="23">
        <v>3900.0</v>
      </c>
      <c r="L748" s="20"/>
      <c r="M748" s="23">
        <v>390.0</v>
      </c>
      <c r="N748" s="49">
        <v>28000.0</v>
      </c>
      <c r="O748" s="22" t="str">
        <f>IFERROR(__xludf.DUMMYFUNCTION("IFERROR(
  VLOOKUP(C748,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C748
    ), 
    7, FALSE
  ), 
  """"
)
"),"")</f>
        <v/>
      </c>
      <c r="P748" s="22">
        <f>IFERROR(__xludf.DUMMYFUNCTION("IF(AND(Q748="""", R748=""""),
  """",
  IF(OR(ISBLANK(Q748), ISBLANK(O748)),
    """",
    IF(VALUE(SUBSTITUTE(INDEX(SPLIT(IF(ISBLANK(R748), Q748, R748), "",""), 0, 1), "" Km"", """")) - O748 = 0,
      """",
      VALUE(SUBSTITUTE(INDEX(SPLIT(IF(ISBLANK("&amp;"R748), Q748, R748), "",""), 0, 1), "" Km"", """")) - O748
    )
  )
)"),28000.0)</f>
        <v>28000</v>
      </c>
      <c r="Q748" s="20" t="str">
        <f t="shared" si="4"/>
        <v>28 000 Km, 27.03.2024</v>
      </c>
      <c r="R748" s="20"/>
      <c r="S748" s="41" t="s">
        <v>843</v>
      </c>
      <c r="T748" s="13">
        <v>2.0</v>
      </c>
      <c r="U748" s="13" t="s">
        <v>1405</v>
      </c>
      <c r="V748" s="24"/>
      <c r="W748" s="24" t="str">
        <f t="shared" si="46"/>
        <v>Завершена</v>
      </c>
      <c r="X748" s="13" t="str">
        <f>IFERROR(__xludf.DUMMYFUNCTION("IF(C748 = """", """", IF(REGEXMATCH(C748, ""PCX|NMAX|ADV|CLICK""), ""скутер"", ""мото""))"),"скутер")</f>
        <v>скутер</v>
      </c>
      <c r="Y748" s="13"/>
      <c r="Z748" s="13"/>
      <c r="AA748" s="13"/>
      <c r="AB748" s="13"/>
      <c r="AC748" s="13"/>
      <c r="AD748" s="13" t="s">
        <v>1406</v>
      </c>
      <c r="AE748" s="13"/>
      <c r="AF748" s="13"/>
      <c r="AG748" s="13"/>
      <c r="AH748" s="13"/>
      <c r="AI748" s="13"/>
      <c r="AJ748" s="13"/>
      <c r="AK748" s="13"/>
      <c r="AL748" s="13"/>
      <c r="AM748" s="13"/>
    </row>
    <row r="749" hidden="1">
      <c r="A749" s="25" t="s">
        <v>24</v>
      </c>
      <c r="B749" s="25" t="s">
        <v>25</v>
      </c>
      <c r="C749" s="27" t="s">
        <v>155</v>
      </c>
      <c r="D749" s="27" t="s">
        <v>1407</v>
      </c>
      <c r="E749" s="43">
        <v>45379.0</v>
      </c>
      <c r="F749" s="39">
        <v>45391.583333333336</v>
      </c>
      <c r="G749" s="30" t="str">
        <f t="shared" si="43"/>
        <v>12 Д</v>
      </c>
      <c r="H749" s="31">
        <f t="shared" si="38"/>
        <v>550</v>
      </c>
      <c r="I749" s="74" t="str">
        <f t="shared" si="39"/>
        <v/>
      </c>
      <c r="J749" s="33" t="str">
        <f t="shared" si="25"/>
        <v/>
      </c>
      <c r="K749" s="36">
        <f>2750+3850</f>
        <v>6600</v>
      </c>
      <c r="L749" s="33"/>
      <c r="M749" s="36">
        <v>550.0</v>
      </c>
      <c r="N749" s="44">
        <v>32777.0</v>
      </c>
      <c r="O749" s="35" t="str">
        <f>IFERROR(__xludf.DUMMYFUNCTION("IFERROR(
  VLOOKUP(C749,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C749
    ), 
    7, FALSE
  ), 
  """"
)
"),"")</f>
        <v/>
      </c>
      <c r="P749" s="35">
        <f>IFERROR(__xludf.DUMMYFUNCTION("IF(AND(Q749="""", R749=""""),
  """",
  IF(OR(ISBLANK(Q749), ISBLANK(O749)),
    """",
    IF(VALUE(SUBSTITUTE(INDEX(SPLIT(IF(ISBLANK(R749), Q749, R749), "",""), 0, 1), "" Km"", """")) - O749 = 0,
      """",
      VALUE(SUBSTITUTE(INDEX(SPLIT(IF(ISBLANK("&amp;"R749), Q749, R749), "",""), 0, 1), "" Km"", """")) - O749
    )
  )
)"),32777.0)</f>
        <v>32777</v>
      </c>
      <c r="Q749" s="33" t="str">
        <f t="shared" si="4"/>
        <v>32 777 Km, 28.03.2024</v>
      </c>
      <c r="R749" s="33"/>
      <c r="S749" s="40">
        <v>200.0</v>
      </c>
      <c r="T749" s="25">
        <v>2.0</v>
      </c>
      <c r="U749" s="25" t="s">
        <v>1408</v>
      </c>
      <c r="V749" s="37"/>
      <c r="W749" s="37" t="str">
        <f t="shared" si="46"/>
        <v>Завершена</v>
      </c>
      <c r="X749" s="25" t="str">
        <f>IFERROR(__xludf.DUMMYFUNCTION("IF(C749 = """", """", IF(REGEXMATCH(C749, ""PCX|NMAX|ADV|CLICK""), ""скутер"", ""мото""))"),"мото")</f>
        <v>мото</v>
      </c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</row>
    <row r="750" hidden="1">
      <c r="A750" s="13" t="s">
        <v>24</v>
      </c>
      <c r="B750" s="14" t="s">
        <v>25</v>
      </c>
      <c r="C750" s="62" t="s">
        <v>142</v>
      </c>
      <c r="D750" s="14" t="s">
        <v>89</v>
      </c>
      <c r="E750" s="48">
        <v>45379.0</v>
      </c>
      <c r="F750" s="38">
        <v>45440.833333333336</v>
      </c>
      <c r="G750" s="17" t="str">
        <f t="shared" si="43"/>
        <v>2 М</v>
      </c>
      <c r="H750" s="18">
        <f>IF(L750&lt;&gt;"", VALUE(L750)/31, IF(M750&lt;&gt;"", VALUE(M750)/1, ""))
</f>
        <v>387.0967742</v>
      </c>
      <c r="I750" s="80" t="str">
        <f t="shared" si="39"/>
        <v/>
      </c>
      <c r="J750" s="20" t="str">
        <f t="shared" si="25"/>
        <v/>
      </c>
      <c r="K750" s="23">
        <f>12000+12000</f>
        <v>24000</v>
      </c>
      <c r="L750" s="63">
        <v>12000.0</v>
      </c>
      <c r="M750" s="64"/>
      <c r="N750" s="49">
        <v>28500.0</v>
      </c>
      <c r="O750" s="22" t="str">
        <f>IFERROR(__xludf.DUMMYFUNCTION("IFERROR(
  VLOOKUP(C750,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C750
    ), 
    7, FALSE
  ), 
  """"
)
"),"")</f>
        <v/>
      </c>
      <c r="P750" s="22">
        <f>IFERROR(__xludf.DUMMYFUNCTION("IF(AND(Q750="""", R750=""""),
  """",
  IF(OR(ISBLANK(Q750), ISBLANK(O750)),
    """",
    IF(VALUE(SUBSTITUTE(INDEX(SPLIT(IF(ISBLANK(R750), Q750, R750), "",""), 0, 1), "" Km"", """")) - O750 = 0,
      """",
      VALUE(SUBSTITUTE(INDEX(SPLIT(IF(ISBLANK("&amp;"R750), Q750, R750), "",""), 0, 1), "" Km"", """")) - O750
    )
  )
)"),32700.0)</f>
        <v>32700</v>
      </c>
      <c r="Q750" s="20" t="str">
        <f t="shared" si="4"/>
        <v>32700 Km, 01.02.2024</v>
      </c>
      <c r="R750" s="53" t="s">
        <v>1409</v>
      </c>
      <c r="S750" s="18">
        <v>5000.0</v>
      </c>
      <c r="T750" s="19">
        <v>1.0</v>
      </c>
      <c r="U750" s="24" t="s">
        <v>90</v>
      </c>
      <c r="V750" s="24" t="s">
        <v>91</v>
      </c>
      <c r="W750" s="24" t="str">
        <f t="shared" si="46"/>
        <v>Завершена</v>
      </c>
      <c r="X750" s="13" t="str">
        <f>IFERROR(__xludf.DUMMYFUNCTION("IF(C750 = """", """", IF(REGEXMATCH(C750, ""PCX|NMAX|ADV 150|CLICK""), ""скутер"", ""мото""))"),"мото")</f>
        <v>мото</v>
      </c>
      <c r="Y750" s="13"/>
      <c r="Z750" s="13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</row>
    <row r="751" hidden="1">
      <c r="A751" s="25" t="s">
        <v>24</v>
      </c>
      <c r="B751" s="27" t="s">
        <v>25</v>
      </c>
      <c r="C751" s="60" t="s">
        <v>198</v>
      </c>
      <c r="D751" s="27" t="s">
        <v>1410</v>
      </c>
      <c r="E751" s="43">
        <v>45384.0</v>
      </c>
      <c r="F751" s="39">
        <v>45391.541666666664</v>
      </c>
      <c r="G751" s="30" t="str">
        <f t="shared" si="43"/>
        <v>7 Д</v>
      </c>
      <c r="H751" s="31">
        <f t="shared" ref="H751:H806" si="48">IF(L751&lt;&gt;"", VALUE(L751)/30, IF(M751&lt;&gt;"", VALUE(M751)/1, ""))
</f>
        <v>650</v>
      </c>
      <c r="I751" s="74" t="str">
        <f t="shared" si="39"/>
        <v/>
      </c>
      <c r="J751" s="33" t="str">
        <f t="shared" si="25"/>
        <v/>
      </c>
      <c r="K751" s="36">
        <v>4550.0</v>
      </c>
      <c r="L751" s="67"/>
      <c r="M751" s="36">
        <v>650.0</v>
      </c>
      <c r="N751" s="44">
        <v>18000.0</v>
      </c>
      <c r="O751" s="35" t="str">
        <f>IFERROR(__xludf.DUMMYFUNCTION("IFERROR(
  VLOOKUP(C751,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C751
    ), 
    7, FALSE
  ), 
  """"
)
"),"")</f>
        <v/>
      </c>
      <c r="P751" s="35">
        <f>IFERROR(__xludf.DUMMYFUNCTION("IF(AND(Q751="""", R751=""""),
  """",
  IF(OR(ISBLANK(Q751), ISBLANK(O751)),
    """",
    IF(VALUE(SUBSTITUTE(INDEX(SPLIT(IF(ISBLANK(R751), Q751, R751), "",""), 0, 1), "" Km"", """")) - O751 = 0,
      """",
      VALUE(SUBSTITUTE(INDEX(SPLIT(IF(ISBLANK("&amp;"R751), Q751, R751), "",""), 0, 1), "" Km"", """")) - O751
    )
  )
)"),18000.0)</f>
        <v>18000</v>
      </c>
      <c r="Q751" s="36" t="str">
        <f t="shared" si="4"/>
        <v>18 000 Km, 02.04.2024</v>
      </c>
      <c r="R751" s="67"/>
      <c r="S751" s="40">
        <v>0.0</v>
      </c>
      <c r="T751" s="37">
        <v>2.0</v>
      </c>
      <c r="U751" s="37" t="s">
        <v>516</v>
      </c>
      <c r="V751" s="155" t="s">
        <v>1411</v>
      </c>
      <c r="W751" s="37" t="str">
        <f t="shared" si="46"/>
        <v>Завершена</v>
      </c>
      <c r="X751" s="25" t="str">
        <f>IFERROR(__xludf.DUMMYFUNCTION("IF(C751 = """", """", IF(REGEXMATCH(C751, ""PCX|NMAX|ADV|CLICK""), ""скутер"", ""мото""))"),"мото")</f>
        <v>мото</v>
      </c>
      <c r="Y751" s="25"/>
      <c r="Z751" s="25"/>
      <c r="AA751" s="69"/>
      <c r="AB751" s="69"/>
      <c r="AC751" s="69"/>
      <c r="AD751" s="155" t="s">
        <v>1412</v>
      </c>
      <c r="AE751" s="69"/>
      <c r="AF751" s="69"/>
      <c r="AG751" s="69"/>
      <c r="AH751" s="69"/>
      <c r="AI751" s="69"/>
      <c r="AJ751" s="69"/>
      <c r="AK751" s="69"/>
      <c r="AL751" s="69"/>
      <c r="AM751" s="69"/>
    </row>
    <row r="752" hidden="1">
      <c r="A752" s="13" t="s">
        <v>24</v>
      </c>
      <c r="B752" s="14" t="s">
        <v>25</v>
      </c>
      <c r="C752" s="62" t="s">
        <v>438</v>
      </c>
      <c r="D752" s="14" t="s">
        <v>505</v>
      </c>
      <c r="E752" s="48">
        <v>45384.0</v>
      </c>
      <c r="F752" s="38">
        <v>45414.666666666664</v>
      </c>
      <c r="G752" s="17" t="str">
        <f t="shared" si="43"/>
        <v>30 Д</v>
      </c>
      <c r="H752" s="18">
        <f t="shared" si="48"/>
        <v>483.3333333</v>
      </c>
      <c r="I752" s="80" t="str">
        <f t="shared" si="39"/>
        <v/>
      </c>
      <c r="J752" s="20" t="str">
        <f t="shared" si="25"/>
        <v/>
      </c>
      <c r="K752" s="23">
        <v>14500.0</v>
      </c>
      <c r="L752" s="23">
        <v>14500.0</v>
      </c>
      <c r="M752" s="64"/>
      <c r="N752" s="21">
        <v>15500.0</v>
      </c>
      <c r="O752" s="22">
        <f>IFERROR(__xludf.DUMMYFUNCTION("IFERROR(
  VLOOKUP(C752,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C752
    ), 
    7, FALSE
  ), 
  """"
)
"),37823.0)</f>
        <v>37823</v>
      </c>
      <c r="P752" s="22">
        <f>IFERROR(__xludf.DUMMYFUNCTION("IF(AND(Q752="""", R752=""""),
  """",
  IF(OR(ISBLANK(Q752), ISBLANK(O752)),
    """",
    IF(VALUE(SUBSTITUTE(INDEX(SPLIT(IF(ISBLANK(R752), Q752, R752), "",""), 0, 1), "" Km"", """")) - O752 = 0,
      """",
      VALUE(SUBSTITUTE(INDEX(SPLIT(IF(ISBLANK("&amp;"R752), Q752, R752), "",""), 0, 1), "" Km"", """")) - O752
    )
  )
)"),-17123.0)</f>
        <v>-17123</v>
      </c>
      <c r="Q752" s="20" t="str">
        <f t="shared" si="4"/>
        <v>20700 Km, 03.04.2024</v>
      </c>
      <c r="R752" s="23" t="s">
        <v>1413</v>
      </c>
      <c r="S752" s="18">
        <v>20000.0</v>
      </c>
      <c r="T752" s="24">
        <v>0.0</v>
      </c>
      <c r="U752" s="24" t="s">
        <v>576</v>
      </c>
      <c r="V752" s="73"/>
      <c r="W752" s="24" t="str">
        <f t="shared" si="46"/>
        <v>Завершена</v>
      </c>
      <c r="X752" s="13" t="str">
        <f>IFERROR(__xludf.DUMMYFUNCTION("IF(C752 = """", """", IF(REGEXMATCH(C752, ""PCX|NMAX|ADV 150|CLICK""), ""скутер"", ""мото""))"),"мото")</f>
        <v>мото</v>
      </c>
      <c r="Y752" s="13"/>
      <c r="Z752" s="13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</row>
    <row r="753" hidden="1">
      <c r="A753" s="25" t="s">
        <v>24</v>
      </c>
      <c r="B753" s="25" t="s">
        <v>25</v>
      </c>
      <c r="C753" s="27" t="s">
        <v>286</v>
      </c>
      <c r="D753" s="27" t="s">
        <v>1414</v>
      </c>
      <c r="E753" s="43">
        <v>45384.0</v>
      </c>
      <c r="F753" s="39">
        <v>45414.916666666664</v>
      </c>
      <c r="G753" s="30" t="str">
        <f t="shared" si="43"/>
        <v>30 Д</v>
      </c>
      <c r="H753" s="31">
        <f t="shared" si="48"/>
        <v>250</v>
      </c>
      <c r="I753" s="74" t="str">
        <f t="shared" si="39"/>
        <v/>
      </c>
      <c r="J753" s="33" t="str">
        <f t="shared" si="25"/>
        <v/>
      </c>
      <c r="K753" s="36">
        <v>7500.0</v>
      </c>
      <c r="L753" s="36">
        <v>7500.0</v>
      </c>
      <c r="M753" s="33"/>
      <c r="N753" s="44">
        <v>15150.0</v>
      </c>
      <c r="O753" s="35" t="str">
        <f>IFERROR(__xludf.DUMMYFUNCTION("IFERROR(
  VLOOKUP(C753,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C753
    ), 
    7, FALSE
  ), 
  """"
)
"),"")</f>
        <v/>
      </c>
      <c r="P753" s="35">
        <f>IFERROR(__xludf.DUMMYFUNCTION("IF(AND(Q753="""", R753=""""),
  """",
  IF(OR(ISBLANK(Q753), ISBLANK(O753)),
    """",
    IF(VALUE(SUBSTITUTE(INDEX(SPLIT(IF(ISBLANK(R753), Q753, R753), "",""), 0, 1), "" Km"", """")) - O753 = 0,
      """",
      VALUE(SUBSTITUTE(INDEX(SPLIT(IF(ISBLANK("&amp;"R753), Q753, R753), "",""), 0, 1), "" Km"", """")) - O753
    )
  )
)"),15150.0)</f>
        <v>15150</v>
      </c>
      <c r="Q753" s="36" t="str">
        <f t="shared" si="4"/>
        <v>15 150 Km, 02.04.2024</v>
      </c>
      <c r="R753" s="33"/>
      <c r="S753" s="40" t="s">
        <v>1415</v>
      </c>
      <c r="T753" s="25">
        <v>2.0</v>
      </c>
      <c r="U753" s="25" t="s">
        <v>1416</v>
      </c>
      <c r="V753" s="37"/>
      <c r="W753" s="37" t="str">
        <f t="shared" si="46"/>
        <v>Завершена</v>
      </c>
      <c r="X753" s="25" t="str">
        <f>IFERROR(__xludf.DUMMYFUNCTION("IF(C753 = """", """", IF(REGEXMATCH(C753, ""PCX|NMAX|ADV 150|CLICK""), ""скутер"", ""мото""))"),"мото")</f>
        <v>мото</v>
      </c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</row>
    <row r="754" hidden="1">
      <c r="A754" s="13" t="s">
        <v>24</v>
      </c>
      <c r="B754" s="13" t="s">
        <v>25</v>
      </c>
      <c r="C754" s="14" t="s">
        <v>1028</v>
      </c>
      <c r="D754" s="14" t="s">
        <v>1417</v>
      </c>
      <c r="E754" s="48">
        <v>45385.0</v>
      </c>
      <c r="F754" s="38">
        <v>45390.041666666664</v>
      </c>
      <c r="G754" s="17" t="str">
        <f t="shared" si="43"/>
        <v>5 Д</v>
      </c>
      <c r="H754" s="18">
        <f t="shared" si="48"/>
        <v>790</v>
      </c>
      <c r="I754" s="80" t="str">
        <f t="shared" si="39"/>
        <v/>
      </c>
      <c r="J754" s="20" t="str">
        <f t="shared" si="25"/>
        <v/>
      </c>
      <c r="K754" s="23">
        <v>3950.0</v>
      </c>
      <c r="L754" s="20"/>
      <c r="M754" s="23">
        <v>790.0</v>
      </c>
      <c r="N754" s="49">
        <v>8950.0</v>
      </c>
      <c r="O754" s="22">
        <f>IFERROR(__xludf.DUMMYFUNCTION("IFERROR(
  VLOOKUP(C754,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C754
    ), 
    7, FALSE
  ), 
  """"
)
"),21600.0)</f>
        <v>21600</v>
      </c>
      <c r="P754" s="22">
        <f>IFERROR(__xludf.DUMMYFUNCTION("IF(AND(Q754="""", R754=""""),
  """",
  IF(OR(ISBLANK(Q754), ISBLANK(O754)),
    """",
    IF(VALUE(SUBSTITUTE(INDEX(SPLIT(IF(ISBLANK(R754), Q754, R754), "",""), 0, 1), "" Km"", """")) - O754 = 0,
      """",
      VALUE(SUBSTITUTE(INDEX(SPLIT(IF(ISBLANK("&amp;"R754), Q754, R754), "",""), 0, 1), "" Km"", """")) - O754
    )
  )
)"),-12650.0)</f>
        <v>-12650</v>
      </c>
      <c r="Q754" s="23" t="str">
        <f t="shared" si="4"/>
        <v>8 950 Km, 03.04.2024</v>
      </c>
      <c r="R754" s="20"/>
      <c r="S754" s="41">
        <v>5000.0</v>
      </c>
      <c r="T754" s="13">
        <v>2.0</v>
      </c>
      <c r="U754" s="13" t="s">
        <v>1418</v>
      </c>
      <c r="V754" s="24"/>
      <c r="W754" s="24" t="str">
        <f t="shared" si="46"/>
        <v>Завершена</v>
      </c>
      <c r="X754" s="13" t="str">
        <f>IFERROR(__xludf.DUMMYFUNCTION("IF(C754 = """", """", IF(REGEXMATCH(C754, ""PCX|NMAX|ADV|CLICK""), ""скутер"", ""мото""))"),"мото")</f>
        <v>мото</v>
      </c>
      <c r="Y754" s="13"/>
      <c r="Z754" s="13"/>
      <c r="AA754" s="13"/>
      <c r="AB754" s="13"/>
      <c r="AC754" s="13"/>
      <c r="AD754" s="13" t="s">
        <v>1419</v>
      </c>
      <c r="AE754" s="13"/>
      <c r="AF754" s="13"/>
      <c r="AG754" s="13"/>
      <c r="AH754" s="13"/>
      <c r="AI754" s="13"/>
      <c r="AJ754" s="13"/>
      <c r="AK754" s="13"/>
      <c r="AL754" s="13"/>
      <c r="AM754" s="13"/>
    </row>
    <row r="755" hidden="1">
      <c r="A755" s="25" t="s">
        <v>24</v>
      </c>
      <c r="B755" s="25" t="s">
        <v>25</v>
      </c>
      <c r="C755" s="27" t="s">
        <v>68</v>
      </c>
      <c r="D755" s="27" t="s">
        <v>1420</v>
      </c>
      <c r="E755" s="43">
        <v>45385.0</v>
      </c>
      <c r="F755" s="39">
        <v>45403.75</v>
      </c>
      <c r="G755" s="30" t="str">
        <f t="shared" si="43"/>
        <v>18 Д</v>
      </c>
      <c r="H755" s="31">
        <f t="shared" si="48"/>
        <v>300</v>
      </c>
      <c r="I755" s="74" t="str">
        <f t="shared" si="39"/>
        <v/>
      </c>
      <c r="J755" s="33" t="str">
        <f t="shared" si="25"/>
        <v/>
      </c>
      <c r="K755" s="36">
        <v>5400.0</v>
      </c>
      <c r="L755" s="33"/>
      <c r="M755" s="36">
        <v>300.0</v>
      </c>
      <c r="N755" s="44">
        <v>22000.0</v>
      </c>
      <c r="O755" s="35">
        <f>IFERROR(__xludf.DUMMYFUNCTION("IFERROR(
  VLOOKUP(C755,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C755
    ), 
    7, FALSE
  ), 
  """"
)
"),24094.0)</f>
        <v>24094</v>
      </c>
      <c r="P755" s="35">
        <f>IFERROR(__xludf.DUMMYFUNCTION("IF(AND(Q755="""", R755=""""),
  """",
  IF(OR(ISBLANK(Q755), ISBLANK(O755)),
    """",
    IF(VALUE(SUBSTITUTE(INDEX(SPLIT(IF(ISBLANK(R755), Q755, R755), "",""), 0, 1), "" Km"", """")) - O755 = 0,
      """",
      VALUE(SUBSTITUTE(INDEX(SPLIT(IF(ISBLANK("&amp;"R755), Q755, R755), "",""), 0, 1), "" Km"", """")) - O755
    )
  )
)"),-2094.0)</f>
        <v>-2094</v>
      </c>
      <c r="Q755" s="36" t="str">
        <f t="shared" si="4"/>
        <v>22 000 Km, 03.04.2024</v>
      </c>
      <c r="R755" s="33"/>
      <c r="S755" s="40">
        <v>3000.0</v>
      </c>
      <c r="T755" s="25">
        <v>2.0</v>
      </c>
      <c r="U755" s="25" t="s">
        <v>1421</v>
      </c>
      <c r="V755" s="37"/>
      <c r="W755" s="37" t="str">
        <f t="shared" si="46"/>
        <v>Завершена</v>
      </c>
      <c r="X755" s="25" t="str">
        <f>IFERROR(__xludf.DUMMYFUNCTION("IF(C755 = """", """", IF(REGEXMATCH(C755, ""PCX|NMAX|ADV 150|CLICK""), ""скутер"", ""мото""))"),"скутер")</f>
        <v>скутер</v>
      </c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</row>
    <row r="756" hidden="1">
      <c r="A756" s="13" t="s">
        <v>24</v>
      </c>
      <c r="B756" s="13" t="s">
        <v>25</v>
      </c>
      <c r="C756" s="14" t="s">
        <v>26</v>
      </c>
      <c r="D756" s="14" t="s">
        <v>703</v>
      </c>
      <c r="E756" s="48">
        <v>45386.0</v>
      </c>
      <c r="F756" s="38">
        <v>45416.5</v>
      </c>
      <c r="G756" s="17" t="str">
        <f t="shared" si="43"/>
        <v>30 Д</v>
      </c>
      <c r="H756" s="18">
        <f t="shared" si="48"/>
        <v>166.6666667</v>
      </c>
      <c r="I756" s="80" t="str">
        <f t="shared" si="39"/>
        <v/>
      </c>
      <c r="J756" s="20" t="str">
        <f t="shared" si="25"/>
        <v/>
      </c>
      <c r="K756" s="23">
        <v>5000.0</v>
      </c>
      <c r="L756" s="23">
        <v>5000.0</v>
      </c>
      <c r="M756" s="20"/>
      <c r="N756" s="49">
        <v>25750.0</v>
      </c>
      <c r="O756" s="22" t="str">
        <f>IFERROR(__xludf.DUMMYFUNCTION("IFERROR(
  VLOOKUP(C756,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C756
    ), 
    7, FALSE
  ), 
  """"
)
"),"")</f>
        <v/>
      </c>
      <c r="P756" s="22">
        <f>IFERROR(__xludf.DUMMYFUNCTION("IF(AND(Q756="""", R756=""""),
  """",
  IF(OR(ISBLANK(Q756), ISBLANK(O756)),
    """",
    IF(VALUE(SUBSTITUTE(INDEX(SPLIT(IF(ISBLANK(R756), Q756, R756), "",""), 0, 1), "" Km"", """")) - O756 = 0,
      """",
      VALUE(SUBSTITUTE(INDEX(SPLIT(IF(ISBLANK("&amp;"R756), Q756, R756), "",""), 0, 1), "" Km"", """")) - O756
    )
  )
)"),25750.0)</f>
        <v>25750</v>
      </c>
      <c r="Q756" s="23" t="str">
        <f t="shared" si="4"/>
        <v>25 750 Km, 04.04.2024</v>
      </c>
      <c r="R756" s="20"/>
      <c r="S756" s="41">
        <v>0.0</v>
      </c>
      <c r="T756" s="13">
        <v>2.0</v>
      </c>
      <c r="U756" s="13" t="s">
        <v>705</v>
      </c>
      <c r="V756" s="24"/>
      <c r="W756" s="24" t="str">
        <f t="shared" si="46"/>
        <v>Завершена</v>
      </c>
      <c r="X756" s="13" t="str">
        <f>IFERROR(__xludf.DUMMYFUNCTION("IF(C756 = """", """", IF(REGEXMATCH(C756, ""PCX|NMAX|ADV 150|CLICK""), ""скутер"", ""мото""))"),"скутер")</f>
        <v>скутер</v>
      </c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</row>
    <row r="757" hidden="1">
      <c r="A757" s="25" t="s">
        <v>24</v>
      </c>
      <c r="B757" s="25" t="s">
        <v>25</v>
      </c>
      <c r="C757" s="27" t="s">
        <v>92</v>
      </c>
      <c r="D757" s="27" t="s">
        <v>1422</v>
      </c>
      <c r="E757" s="43">
        <v>45387.0</v>
      </c>
      <c r="F757" s="39">
        <v>45395.583333333336</v>
      </c>
      <c r="G757" s="30" t="str">
        <f t="shared" si="43"/>
        <v>8 Д</v>
      </c>
      <c r="H757" s="31">
        <f t="shared" si="48"/>
        <v>650</v>
      </c>
      <c r="I757" s="74" t="str">
        <f t="shared" si="39"/>
        <v/>
      </c>
      <c r="J757" s="33" t="str">
        <f t="shared" si="25"/>
        <v/>
      </c>
      <c r="K757" s="36">
        <f>2600+650*3+650</f>
        <v>5200</v>
      </c>
      <c r="L757" s="33"/>
      <c r="M757" s="36">
        <v>650.0</v>
      </c>
      <c r="N757" s="44">
        <v>25000.0</v>
      </c>
      <c r="O757" s="35">
        <f>IFERROR(__xludf.DUMMYFUNCTION("IFERROR(
  VLOOKUP(C757,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C757
    ), 
    7, FALSE
  ), 
  """"
)
"),23500.0)</f>
        <v>23500</v>
      </c>
      <c r="P757" s="35">
        <f>IFERROR(__xludf.DUMMYFUNCTION("IF(AND(Q757="""", R757=""""),
  """",
  IF(OR(ISBLANK(Q757), ISBLANK(O757)),
    """",
    IF(VALUE(SUBSTITUTE(INDEX(SPLIT(IF(ISBLANK(R757), Q757, R757), "",""), 0, 1), "" Km"", """")) - O757 = 0,
      """",
      VALUE(SUBSTITUTE(INDEX(SPLIT(IF(ISBLANK("&amp;"R757), Q757, R757), "",""), 0, 1), "" Km"", """")) - O757
    )
  )
)"),1500.0)</f>
        <v>1500</v>
      </c>
      <c r="Q757" s="36" t="str">
        <f t="shared" si="4"/>
        <v>25 000 Km, 05.04.2024</v>
      </c>
      <c r="R757" s="33"/>
      <c r="S757" s="40">
        <v>5000.0</v>
      </c>
      <c r="T757" s="25">
        <v>2.0</v>
      </c>
      <c r="U757" s="25" t="s">
        <v>516</v>
      </c>
      <c r="V757" s="25" t="s">
        <v>1423</v>
      </c>
      <c r="W757" s="37" t="str">
        <f t="shared" si="46"/>
        <v>Завершена</v>
      </c>
      <c r="X757" s="25" t="str">
        <f>IFERROR(__xludf.DUMMYFUNCTION("IF(C757 = """", """", IF(REGEXMATCH(C757, ""PCX|NMAX|ADV|CLICK""), ""скутер"", ""мото""))"),"мото")</f>
        <v>мото</v>
      </c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</row>
    <row r="758" hidden="1">
      <c r="A758" s="13" t="s">
        <v>24</v>
      </c>
      <c r="B758" s="14" t="s">
        <v>25</v>
      </c>
      <c r="C758" s="62" t="s">
        <v>279</v>
      </c>
      <c r="D758" s="14" t="s">
        <v>1424</v>
      </c>
      <c r="E758" s="15">
        <v>45387.0</v>
      </c>
      <c r="F758" s="38">
        <v>45570.666666666664</v>
      </c>
      <c r="G758" s="17" t="str">
        <f t="shared" si="43"/>
        <v>6 М</v>
      </c>
      <c r="H758" s="18">
        <f t="shared" si="48"/>
        <v>223.3333333</v>
      </c>
      <c r="I758" s="80" t="str">
        <f t="shared" si="39"/>
        <v/>
      </c>
      <c r="J758" s="20" t="str">
        <f t="shared" si="25"/>
        <v/>
      </c>
      <c r="K758" s="20">
        <f>6700+6700+6700+6700+6700+6700-1787</f>
        <v>38413</v>
      </c>
      <c r="L758" s="20">
        <v>6700.0</v>
      </c>
      <c r="M758" s="64"/>
      <c r="N758" s="49">
        <v>9050.0</v>
      </c>
      <c r="O758" s="22">
        <f>IFERROR(__xludf.DUMMYFUNCTION("IFERROR(
  VLOOKUP(C758,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C758
    ), 
    7, FALSE
  ), 
  """"
)
"),9000.0)</f>
        <v>9000</v>
      </c>
      <c r="P758" s="22">
        <f>IFERROR(__xludf.DUMMYFUNCTION("IF(AND(Q758="""", R758=""""),
  """",
  IF(OR(ISBLANK(Q758), ISBLANK(O758)),
    """",
    IF(VALUE(SUBSTITUTE(INDEX(SPLIT(IF(ISBLANK(R758), Q758, R758), "",""), 0, 1), "" Km"", """")) - O758 = 0,
      """",
      VALUE(SUBSTITUTE(INDEX(SPLIT(IF(ISBLANK("&amp;"R758), Q758, R758), "",""), 0, 1), "" Km"", """")) - O758
    )
  )
)"),50.0)</f>
        <v>50</v>
      </c>
      <c r="Q758" s="20" t="str">
        <f t="shared" si="4"/>
        <v>9 050 Km, 05.04.2024</v>
      </c>
      <c r="R758" s="152"/>
      <c r="S758" s="18">
        <v>8000.0</v>
      </c>
      <c r="T758" s="24">
        <v>2.0</v>
      </c>
      <c r="U758" s="24" t="s">
        <v>1425</v>
      </c>
      <c r="V758" s="154"/>
      <c r="W758" s="24" t="str">
        <f t="shared" si="46"/>
        <v>Завершена</v>
      </c>
      <c r="X758" s="42" t="str">
        <f>IFERROR(__xludf.DUMMYFUNCTION("IF(C758 = """", """", IF(REGEXMATCH(C758, ""PCX|NMAX|ADV 150|CLICK""), ""скутер"", ""мото""))"),"мото")</f>
        <v>мото</v>
      </c>
      <c r="Y758" s="13"/>
      <c r="Z758" s="13"/>
      <c r="AA758" s="153"/>
      <c r="AB758" s="153"/>
      <c r="AC758" s="153"/>
      <c r="AD758" s="153"/>
      <c r="AE758" s="153"/>
      <c r="AF758" s="153"/>
      <c r="AG758" s="153"/>
      <c r="AH758" s="153"/>
      <c r="AI758" s="153"/>
      <c r="AJ758" s="153"/>
      <c r="AK758" s="153"/>
      <c r="AL758" s="153"/>
      <c r="AM758" s="153"/>
    </row>
    <row r="759" hidden="1">
      <c r="A759" s="25" t="s">
        <v>24</v>
      </c>
      <c r="B759" s="25" t="s">
        <v>25</v>
      </c>
      <c r="C759" s="27" t="s">
        <v>321</v>
      </c>
      <c r="D759" s="27" t="s">
        <v>1426</v>
      </c>
      <c r="E759" s="43">
        <v>45389.0</v>
      </c>
      <c r="F759" s="39">
        <v>45394.75</v>
      </c>
      <c r="G759" s="30" t="str">
        <f t="shared" si="43"/>
        <v>5 Д</v>
      </c>
      <c r="H759" s="31">
        <f t="shared" si="48"/>
        <v>695</v>
      </c>
      <c r="I759" s="74" t="str">
        <f t="shared" si="39"/>
        <v/>
      </c>
      <c r="J759" s="33" t="str">
        <f t="shared" si="25"/>
        <v/>
      </c>
      <c r="K759" s="36">
        <f>8340/2</f>
        <v>4170</v>
      </c>
      <c r="L759" s="33"/>
      <c r="M759" s="36">
        <f>1390/2</f>
        <v>695</v>
      </c>
      <c r="N759" s="44">
        <v>50750.0</v>
      </c>
      <c r="O759" s="35" t="str">
        <f>IFERROR(__xludf.DUMMYFUNCTION("IFERROR(
  VLOOKUP(C759,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C759
    ), 
    7, FALSE
  ), 
  """"
)
"),"")</f>
        <v/>
      </c>
      <c r="P759" s="35">
        <f>IFERROR(__xludf.DUMMYFUNCTION("IF(AND(Q759="""", R759=""""),
  """",
  IF(OR(ISBLANK(Q759), ISBLANK(O759)),
    """",
    IF(VALUE(SUBSTITUTE(INDEX(SPLIT(IF(ISBLANK(R759), Q759, R759), "",""), 0, 1), "" Km"", """")) - O759 = 0,
      """",
      VALUE(SUBSTITUTE(INDEX(SPLIT(IF(ISBLANK("&amp;"R759), Q759, R759), "",""), 0, 1), "" Km"", """")) - O759
    )
  )
)"),50750.0)</f>
        <v>50750</v>
      </c>
      <c r="Q759" s="36" t="str">
        <f t="shared" si="4"/>
        <v>50 750 Km, 07.04.2024</v>
      </c>
      <c r="R759" s="33"/>
      <c r="S759" s="40">
        <v>20000.0</v>
      </c>
      <c r="T759" s="25">
        <v>0.0</v>
      </c>
      <c r="U759" s="25" t="s">
        <v>1427</v>
      </c>
      <c r="V759" s="37"/>
      <c r="W759" s="37" t="str">
        <f t="shared" si="46"/>
        <v>Завершена</v>
      </c>
      <c r="X759" s="25" t="str">
        <f>IFERROR(__xludf.DUMMYFUNCTION("IF(C759 = """", """", IF(REGEXMATCH(C759, ""PCX|NMAX|ADV|CLICK""), ""скутер"", ""мото""))"),"мото")</f>
        <v>мото</v>
      </c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</row>
    <row r="760" hidden="1">
      <c r="A760" s="13" t="s">
        <v>24</v>
      </c>
      <c r="B760" s="13" t="s">
        <v>25</v>
      </c>
      <c r="C760" s="14" t="s">
        <v>102</v>
      </c>
      <c r="D760" s="14" t="s">
        <v>712</v>
      </c>
      <c r="E760" s="48">
        <v>45389.0</v>
      </c>
      <c r="F760" s="38">
        <v>45395.458333333336</v>
      </c>
      <c r="G760" s="17" t="str">
        <f t="shared" si="43"/>
        <v>6 Д</v>
      </c>
      <c r="H760" s="18">
        <f t="shared" si="48"/>
        <v>783</v>
      </c>
      <c r="I760" s="80" t="str">
        <f t="shared" si="39"/>
        <v/>
      </c>
      <c r="J760" s="20" t="str">
        <f t="shared" si="25"/>
        <v/>
      </c>
      <c r="K760" s="23"/>
      <c r="L760" s="23"/>
      <c r="M760" s="23">
        <v>783.0</v>
      </c>
      <c r="N760" s="49">
        <v>38000.0</v>
      </c>
      <c r="O760" s="22">
        <f>IFERROR(__xludf.DUMMYFUNCTION("IFERROR(
  VLOOKUP(C760,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C760
    ), 
    7, FALSE
  ), 
  """"
)
"),63700.0)</f>
        <v>63700</v>
      </c>
      <c r="P760" s="22">
        <f>IFERROR(__xludf.DUMMYFUNCTION("IF(AND(Q760="""", R760=""""),
  """",
  IF(OR(ISBLANK(Q760), ISBLANK(O760)),
    """",
    IF(VALUE(SUBSTITUTE(INDEX(SPLIT(IF(ISBLANK(R760), Q760, R760), "",""), 0, 1), "" Km"", """")) - O760 = 0,
      """",
      VALUE(SUBSTITUTE(INDEX(SPLIT(IF(ISBLANK("&amp;"R760), Q760, R760), "",""), 0, 1), "" Km"", """")) - O760
    )
  )
)"),-25700.0)</f>
        <v>-25700</v>
      </c>
      <c r="Q760" s="23" t="str">
        <f t="shared" si="4"/>
        <v>38 000 Km, 07.04.2024</v>
      </c>
      <c r="R760" s="20"/>
      <c r="S760" s="41" t="s">
        <v>600</v>
      </c>
      <c r="T760" s="13">
        <v>1.0</v>
      </c>
      <c r="U760" s="13" t="s">
        <v>713</v>
      </c>
      <c r="V760" s="13" t="s">
        <v>714</v>
      </c>
      <c r="W760" s="24" t="str">
        <f t="shared" si="46"/>
        <v>Завершена</v>
      </c>
      <c r="X760" s="13" t="str">
        <f>IFERROR(__xludf.DUMMYFUNCTION("IF(C760 = """", """", IF(REGEXMATCH(C760, ""PCX|NMAX|ADV|CLICK""), ""скутер"", ""мото""))"),"мото")</f>
        <v>мото</v>
      </c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</row>
    <row r="761" hidden="1">
      <c r="A761" s="25" t="s">
        <v>24</v>
      </c>
      <c r="B761" s="25" t="s">
        <v>25</v>
      </c>
      <c r="C761" s="27" t="s">
        <v>948</v>
      </c>
      <c r="D761" s="27" t="s">
        <v>1428</v>
      </c>
      <c r="E761" s="43">
        <v>45390.0</v>
      </c>
      <c r="F761" s="39">
        <v>45397.833333333336</v>
      </c>
      <c r="G761" s="30" t="str">
        <f t="shared" si="43"/>
        <v>7 Д</v>
      </c>
      <c r="H761" s="31">
        <f t="shared" si="48"/>
        <v>790</v>
      </c>
      <c r="I761" s="74" t="str">
        <f t="shared" si="39"/>
        <v/>
      </c>
      <c r="J761" s="33" t="str">
        <f t="shared" si="25"/>
        <v/>
      </c>
      <c r="K761" s="36">
        <f>3959+790*2</f>
        <v>5539</v>
      </c>
      <c r="L761" s="33"/>
      <c r="M761" s="36">
        <v>790.0</v>
      </c>
      <c r="N761" s="44">
        <v>9701.0</v>
      </c>
      <c r="O761" s="35">
        <f>IFERROR(__xludf.DUMMYFUNCTION("IFERROR(
  VLOOKUP(C761,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C761
    ), 
    7, FALSE
  ), 
  """"
)
"),24553.0)</f>
        <v>24553</v>
      </c>
      <c r="P761" s="35">
        <f>IFERROR(__xludf.DUMMYFUNCTION("IF(AND(Q761="""", R761=""""),
  """",
  IF(OR(ISBLANK(Q761), ISBLANK(O761)),
    """",
    IF(VALUE(SUBSTITUTE(INDEX(SPLIT(IF(ISBLANK(R761), Q761, R761), "",""), 0, 1), "" Km"", """")) - O761 = 0,
      """",
      VALUE(SUBSTITUTE(INDEX(SPLIT(IF(ISBLANK("&amp;"R761), Q761, R761), "",""), 0, 1), "" Km"", """")) - O761
    )
  )
)"),-14852.0)</f>
        <v>-14852</v>
      </c>
      <c r="Q761" s="36" t="str">
        <f t="shared" si="4"/>
        <v>9 701 Km, 08.04.2024</v>
      </c>
      <c r="R761" s="33"/>
      <c r="S761" s="40" t="s">
        <v>600</v>
      </c>
      <c r="T761" s="25">
        <v>2.0</v>
      </c>
      <c r="U761" s="25" t="s">
        <v>1429</v>
      </c>
      <c r="V761" s="37"/>
      <c r="W761" s="37" t="str">
        <f t="shared" si="46"/>
        <v>Завершена</v>
      </c>
      <c r="X761" s="25" t="str">
        <f>IFERROR(__xludf.DUMMYFUNCTION("IF(C761 = """", """", IF(REGEXMATCH(C761, ""PCX|NMAX|ADV 150|CLICK""), ""скутер"", ""мото""))"),"мото")</f>
        <v>мото</v>
      </c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</row>
    <row r="762" hidden="1">
      <c r="A762" s="13" t="s">
        <v>24</v>
      </c>
      <c r="B762" s="13" t="s">
        <v>25</v>
      </c>
      <c r="C762" s="14" t="s">
        <v>151</v>
      </c>
      <c r="D762" s="14" t="s">
        <v>1430</v>
      </c>
      <c r="E762" s="48">
        <v>45390.0</v>
      </c>
      <c r="F762" s="38">
        <v>45403.833333333336</v>
      </c>
      <c r="G762" s="17" t="str">
        <f t="shared" si="43"/>
        <v>13 Д</v>
      </c>
      <c r="H762" s="18">
        <f t="shared" si="48"/>
        <v>349</v>
      </c>
      <c r="I762" s="80" t="str">
        <f t="shared" si="39"/>
        <v/>
      </c>
      <c r="J762" s="20" t="str">
        <f t="shared" si="25"/>
        <v/>
      </c>
      <c r="K762" s="23">
        <f>1745+2792</f>
        <v>4537</v>
      </c>
      <c r="L762" s="20"/>
      <c r="M762" s="23">
        <v>349.0</v>
      </c>
      <c r="N762" s="49">
        <v>26300.0</v>
      </c>
      <c r="O762" s="22">
        <f>IFERROR(__xludf.DUMMYFUNCTION("IFERROR(
  VLOOKUP(C762,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C762
    ), 
    7, FALSE
  ), 
  """"
)
"),35800.0)</f>
        <v>35800</v>
      </c>
      <c r="P762" s="22">
        <f>IFERROR(__xludf.DUMMYFUNCTION("IF(AND(Q762="""", R762=""""),
  """",
  IF(OR(ISBLANK(Q762), ISBLANK(O762)),
    """",
    IF(VALUE(SUBSTITUTE(INDEX(SPLIT(IF(ISBLANK(R762), Q762, R762), "",""), 0, 1), "" Km"", """")) - O762 = 0,
      """",
      VALUE(SUBSTITUTE(INDEX(SPLIT(IF(ISBLANK("&amp;"R762), Q762, R762), "",""), 0, 1), "" Km"", """")) - O762
    )
  )
)"),-9500.0)</f>
        <v>-9500</v>
      </c>
      <c r="Q762" s="23" t="str">
        <f t="shared" si="4"/>
        <v>26 300 Km, 08.04.2024</v>
      </c>
      <c r="R762" s="20"/>
      <c r="S762" s="41" t="s">
        <v>600</v>
      </c>
      <c r="T762" s="13">
        <v>2.0</v>
      </c>
      <c r="U762" s="13" t="s">
        <v>1431</v>
      </c>
      <c r="V762" s="24"/>
      <c r="W762" s="24" t="str">
        <f t="shared" si="46"/>
        <v>Завершена</v>
      </c>
      <c r="X762" s="13" t="str">
        <f>IFERROR(__xludf.DUMMYFUNCTION("IF(C762 = """", """", IF(REGEXMATCH(C762, ""PCX|NMAX|ADV 150|CLICK""), ""скутер"", ""мото""))"),"скутер")</f>
        <v>скутер</v>
      </c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</row>
    <row r="763" hidden="1">
      <c r="A763" s="25" t="s">
        <v>24</v>
      </c>
      <c r="B763" s="25" t="s">
        <v>25</v>
      </c>
      <c r="C763" s="27" t="s">
        <v>125</v>
      </c>
      <c r="D763" s="27" t="s">
        <v>1432</v>
      </c>
      <c r="E763" s="43">
        <v>45390.0</v>
      </c>
      <c r="F763" s="39">
        <v>45405.833333333336</v>
      </c>
      <c r="G763" s="30" t="str">
        <f t="shared" si="43"/>
        <v>15 Д</v>
      </c>
      <c r="H763" s="31">
        <f t="shared" si="48"/>
        <v>349</v>
      </c>
      <c r="I763" s="74" t="str">
        <f t="shared" si="39"/>
        <v/>
      </c>
      <c r="J763" s="33" t="str">
        <f t="shared" si="25"/>
        <v/>
      </c>
      <c r="K763" s="36">
        <f>1745+2148+740+602</f>
        <v>5235</v>
      </c>
      <c r="L763" s="33"/>
      <c r="M763" s="36">
        <v>349.0</v>
      </c>
      <c r="N763" s="44">
        <v>21300.0</v>
      </c>
      <c r="O763" s="35" t="str">
        <f>IFERROR(__xludf.DUMMYFUNCTION("IFERROR(
  VLOOKUP(C763,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C763
    ), 
    7, FALSE
  ), 
  """"
)
"),"")</f>
        <v/>
      </c>
      <c r="P763" s="35">
        <f>IFERROR(__xludf.DUMMYFUNCTION("IF(AND(Q763="""", R763=""""),
  """",
  IF(OR(ISBLANK(Q763), ISBLANK(O763)),
    """",
    IF(VALUE(SUBSTITUTE(INDEX(SPLIT(IF(ISBLANK(R763), Q763, R763), "",""), 0, 1), "" Km"", """")) - O763 = 0,
      """",
      VALUE(SUBSTITUTE(INDEX(SPLIT(IF(ISBLANK("&amp;"R763), Q763, R763), "",""), 0, 1), "" Km"", """")) - O763
    )
  )
)"),21300.0)</f>
        <v>21300</v>
      </c>
      <c r="Q763" s="36" t="str">
        <f t="shared" si="4"/>
        <v>21 300 Km, 08.04.2024</v>
      </c>
      <c r="R763" s="33"/>
      <c r="S763" s="40" t="s">
        <v>515</v>
      </c>
      <c r="T763" s="25">
        <v>1.0</v>
      </c>
      <c r="U763" s="25" t="s">
        <v>1433</v>
      </c>
      <c r="V763" s="37"/>
      <c r="W763" s="37" t="str">
        <f t="shared" si="46"/>
        <v>Завершена</v>
      </c>
      <c r="X763" s="25" t="str">
        <f>IFERROR(__xludf.DUMMYFUNCTION("IF(C763 = """", """", IF(REGEXMATCH(C763, ""PCX|NMAX|ADV 150|CLICK""), ""скутер"", ""мото""))"),"скутер")</f>
        <v>скутер</v>
      </c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</row>
    <row r="764" hidden="1">
      <c r="A764" s="13" t="s">
        <v>24</v>
      </c>
      <c r="B764" s="13" t="s">
        <v>25</v>
      </c>
      <c r="C764" s="14" t="s">
        <v>1028</v>
      </c>
      <c r="D764" s="14" t="s">
        <v>1434</v>
      </c>
      <c r="E764" s="48">
        <v>45391.0</v>
      </c>
      <c r="F764" s="38">
        <v>45397.708333333336</v>
      </c>
      <c r="G764" s="17" t="str">
        <f t="shared" si="43"/>
        <v>6 Д</v>
      </c>
      <c r="H764" s="18">
        <f t="shared" si="48"/>
        <v>790</v>
      </c>
      <c r="I764" s="80" t="str">
        <f t="shared" si="39"/>
        <v/>
      </c>
      <c r="J764" s="20" t="str">
        <f t="shared" si="25"/>
        <v/>
      </c>
      <c r="K764" s="23">
        <v>4740.0</v>
      </c>
      <c r="L764" s="20"/>
      <c r="M764" s="23">
        <v>790.0</v>
      </c>
      <c r="N764" s="49">
        <v>9000.0</v>
      </c>
      <c r="O764" s="22">
        <f>IFERROR(__xludf.DUMMYFUNCTION("IFERROR(
  VLOOKUP(C764,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C764
    ), 
    7, FALSE
  ), 
  """"
)
"),21600.0)</f>
        <v>21600</v>
      </c>
      <c r="P764" s="22">
        <f>IFERROR(__xludf.DUMMYFUNCTION("IF(AND(Q764="""", R764=""""),
  """",
  IF(OR(ISBLANK(Q764), ISBLANK(O764)),
    """",
    IF(VALUE(SUBSTITUTE(INDEX(SPLIT(IF(ISBLANK(R764), Q764, R764), "",""), 0, 1), "" Km"", """")) - O764 = 0,
      """",
      VALUE(SUBSTITUTE(INDEX(SPLIT(IF(ISBLANK("&amp;"R764), Q764, R764), "",""), 0, 1), "" Km"", """")) - O764
    )
  )
)"),-12600.0)</f>
        <v>-12600</v>
      </c>
      <c r="Q764" s="23" t="str">
        <f t="shared" si="4"/>
        <v>9 000 Km, 09.04.2024</v>
      </c>
      <c r="R764" s="20"/>
      <c r="S764" s="41" t="s">
        <v>515</v>
      </c>
      <c r="T764" s="13">
        <v>2.0</v>
      </c>
      <c r="U764" s="66" t="s">
        <v>1435</v>
      </c>
      <c r="V764" s="24"/>
      <c r="W764" s="24" t="str">
        <f t="shared" si="46"/>
        <v>Завершена</v>
      </c>
      <c r="X764" s="13" t="str">
        <f>IFERROR(__xludf.DUMMYFUNCTION("IF(C764 = """", """", IF(REGEXMATCH(C764, ""PCX|NMAX|ADV 150|CLICK""), ""скутер"", ""мото""))"),"мото")</f>
        <v>мото</v>
      </c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</row>
    <row r="765" hidden="1">
      <c r="A765" s="25" t="s">
        <v>24</v>
      </c>
      <c r="B765" s="25" t="s">
        <v>25</v>
      </c>
      <c r="C765" s="27" t="s">
        <v>321</v>
      </c>
      <c r="D765" s="27" t="s">
        <v>1426</v>
      </c>
      <c r="E765" s="43">
        <v>45394.0</v>
      </c>
      <c r="F765" s="39">
        <v>45402.75</v>
      </c>
      <c r="G765" s="30" t="str">
        <f t="shared" si="43"/>
        <v>8 Д</v>
      </c>
      <c r="H765" s="31">
        <f t="shared" si="48"/>
        <v>600</v>
      </c>
      <c r="I765" s="74" t="str">
        <f t="shared" si="39"/>
        <v/>
      </c>
      <c r="J765" s="33" t="str">
        <f t="shared" si="25"/>
        <v/>
      </c>
      <c r="K765" s="36">
        <f>10800/2</f>
        <v>5400</v>
      </c>
      <c r="L765" s="33"/>
      <c r="M765" s="36">
        <v>600.0</v>
      </c>
      <c r="N765" s="44">
        <v>50750.0</v>
      </c>
      <c r="O765" s="35" t="str">
        <f>IFERROR(__xludf.DUMMYFUNCTION("IFERROR(
  VLOOKUP(C765,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C765
    ), 
    7, FALSE
  ), 
  """"
)
"),"")</f>
        <v/>
      </c>
      <c r="P765" s="35">
        <f>IFERROR(__xludf.DUMMYFUNCTION("IF(AND(Q765="""", R765=""""),
  """",
  IF(OR(ISBLANK(Q765), ISBLANK(O765)),
    """",
    IF(VALUE(SUBSTITUTE(INDEX(SPLIT(IF(ISBLANK(R765), Q765, R765), "",""), 0, 1), "" Km"", """")) - O765 = 0,
      """",
      VALUE(SUBSTITUTE(INDEX(SPLIT(IF(ISBLANK("&amp;"R765), Q765, R765), "",""), 0, 1), "" Km"", """")) - O765
    )
  )
)"),50750.0)</f>
        <v>50750</v>
      </c>
      <c r="Q765" s="36" t="str">
        <f t="shared" si="4"/>
        <v>50 750 Km, 12.04.2024</v>
      </c>
      <c r="R765" s="33"/>
      <c r="S765" s="40">
        <v>20000.0</v>
      </c>
      <c r="T765" s="25">
        <v>0.0</v>
      </c>
      <c r="U765" s="25" t="s">
        <v>1427</v>
      </c>
      <c r="V765" s="37"/>
      <c r="W765" s="37" t="str">
        <f t="shared" si="46"/>
        <v>Завершена</v>
      </c>
      <c r="X765" s="25" t="str">
        <f>IFERROR(__xludf.DUMMYFUNCTION("IF(C765 = """", """", IF(REGEXMATCH(C765, ""PCX|NMAX|ADV|CLICK""), ""скутер"", ""мото""))"),"мото")</f>
        <v>мото</v>
      </c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</row>
    <row r="766" hidden="1">
      <c r="A766" s="13" t="s">
        <v>24</v>
      </c>
      <c r="B766" s="13" t="s">
        <v>25</v>
      </c>
      <c r="C766" s="14" t="s">
        <v>48</v>
      </c>
      <c r="D766" s="14" t="s">
        <v>1436</v>
      </c>
      <c r="E766" s="48">
        <v>45394.0</v>
      </c>
      <c r="F766" s="38">
        <v>45407.416666666664</v>
      </c>
      <c r="G766" s="17" t="str">
        <f t="shared" si="43"/>
        <v>13 Д</v>
      </c>
      <c r="H766" s="18">
        <f t="shared" si="48"/>
        <v>315</v>
      </c>
      <c r="I766" s="80" t="str">
        <f t="shared" si="39"/>
        <v/>
      </c>
      <c r="J766" s="20" t="str">
        <f t="shared" si="25"/>
        <v/>
      </c>
      <c r="K766" s="23">
        <f t="shared" ref="K766:K767" si="49">315*13</f>
        <v>4095</v>
      </c>
      <c r="L766" s="20"/>
      <c r="M766" s="23">
        <v>315.0</v>
      </c>
      <c r="N766" s="49">
        <v>22000.0</v>
      </c>
      <c r="O766" s="22">
        <f>IFERROR(__xludf.DUMMYFUNCTION("IFERROR(
  VLOOKUP(C766,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C766
    ), 
    7, FALSE
  ), 
  """"
)
"),35800.0)</f>
        <v>35800</v>
      </c>
      <c r="P766" s="22">
        <f>IFERROR(__xludf.DUMMYFUNCTION("IF(AND(Q766="""", R766=""""),
  """",
  IF(OR(ISBLANK(Q766), ISBLANK(O766)),
    """",
    IF(VALUE(SUBSTITUTE(INDEX(SPLIT(IF(ISBLANK(R766), Q766, R766), "",""), 0, 1), "" Km"", """")) - O766 = 0,
      """",
      VALUE(SUBSTITUTE(INDEX(SPLIT(IF(ISBLANK("&amp;"R766), Q766, R766), "",""), 0, 1), "" Km"", """")) - O766
    )
  )
)"),-13800.0)</f>
        <v>-13800</v>
      </c>
      <c r="Q766" s="23" t="str">
        <f t="shared" si="4"/>
        <v>22 000 Km, 12.04.2024</v>
      </c>
      <c r="R766" s="20"/>
      <c r="S766" s="41">
        <v>3000.0</v>
      </c>
      <c r="T766" s="13">
        <v>2.0</v>
      </c>
      <c r="U766" s="13" t="s">
        <v>1437</v>
      </c>
      <c r="V766" s="24"/>
      <c r="W766" s="24" t="str">
        <f t="shared" si="46"/>
        <v>Завершена</v>
      </c>
      <c r="X766" s="13" t="str">
        <f>IFERROR(__xludf.DUMMYFUNCTION("IF(C766 = """", """", IF(REGEXMATCH(C766, ""PCX|NMAX|ADV 150|CLICK""), ""скутер"", ""мото""))"),"скутер")</f>
        <v>скутер</v>
      </c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</row>
    <row r="767" hidden="1">
      <c r="A767" s="25" t="s">
        <v>24</v>
      </c>
      <c r="B767" s="25" t="s">
        <v>25</v>
      </c>
      <c r="C767" s="27" t="s">
        <v>185</v>
      </c>
      <c r="D767" s="27" t="s">
        <v>1436</v>
      </c>
      <c r="E767" s="43">
        <v>45394.0</v>
      </c>
      <c r="F767" s="39">
        <v>45407.416666666664</v>
      </c>
      <c r="G767" s="30" t="str">
        <f t="shared" si="43"/>
        <v>13 Д</v>
      </c>
      <c r="H767" s="31">
        <f t="shared" si="48"/>
        <v>315</v>
      </c>
      <c r="I767" s="74" t="str">
        <f t="shared" si="39"/>
        <v/>
      </c>
      <c r="J767" s="33" t="str">
        <f t="shared" si="25"/>
        <v/>
      </c>
      <c r="K767" s="36">
        <f t="shared" si="49"/>
        <v>4095</v>
      </c>
      <c r="L767" s="33"/>
      <c r="M767" s="36">
        <v>315.0</v>
      </c>
      <c r="N767" s="44">
        <v>29200.0</v>
      </c>
      <c r="O767" s="35" t="str">
        <f>IFERROR(__xludf.DUMMYFUNCTION("IFERROR(
  VLOOKUP(C767,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C767
    ), 
    7, FALSE
  ), 
  """"
)
"),"")</f>
        <v/>
      </c>
      <c r="P767" s="35">
        <f>IFERROR(__xludf.DUMMYFUNCTION("IF(AND(Q767="""", R767=""""),
  """",
  IF(OR(ISBLANK(Q767), ISBLANK(O767)),
    """",
    IF(VALUE(SUBSTITUTE(INDEX(SPLIT(IF(ISBLANK(R767), Q767, R767), "",""), 0, 1), "" Km"", """")) - O767 = 0,
      """",
      VALUE(SUBSTITUTE(INDEX(SPLIT(IF(ISBLANK("&amp;"R767), Q767, R767), "",""), 0, 1), "" Km"", """")) - O767
    )
  )
)"),29200.0)</f>
        <v>29200</v>
      </c>
      <c r="Q767" s="36" t="str">
        <f t="shared" si="4"/>
        <v>29 200 Km, 12.04.2024</v>
      </c>
      <c r="R767" s="33"/>
      <c r="S767" s="40">
        <v>3000.0</v>
      </c>
      <c r="T767" s="25">
        <v>2.0</v>
      </c>
      <c r="U767" s="25" t="s">
        <v>1437</v>
      </c>
      <c r="V767" s="37"/>
      <c r="W767" s="37" t="str">
        <f t="shared" si="46"/>
        <v>Завершена</v>
      </c>
      <c r="X767" s="25" t="str">
        <f>IFERROR(__xludf.DUMMYFUNCTION("IF(C767 = """", """", IF(REGEXMATCH(C767, ""PCX|NMAX|ADV 150|CLICK""), ""скутер"", ""мото""))"),"скутер")</f>
        <v>скутер</v>
      </c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</row>
    <row r="768" hidden="1">
      <c r="A768" s="13" t="s">
        <v>24</v>
      </c>
      <c r="B768" s="14" t="s">
        <v>25</v>
      </c>
      <c r="C768" s="14" t="s">
        <v>483</v>
      </c>
      <c r="D768" s="14" t="s">
        <v>752</v>
      </c>
      <c r="E768" s="48">
        <v>45395.0</v>
      </c>
      <c r="F768" s="38">
        <v>45397.541666666664</v>
      </c>
      <c r="G768" s="17" t="str">
        <f t="shared" si="43"/>
        <v>2 Д</v>
      </c>
      <c r="H768" s="18">
        <f t="shared" si="48"/>
        <v>800</v>
      </c>
      <c r="I768" s="80" t="str">
        <f t="shared" si="39"/>
        <v/>
      </c>
      <c r="J768" s="20" t="str">
        <f t="shared" si="25"/>
        <v/>
      </c>
      <c r="K768" s="23">
        <v>1600.0</v>
      </c>
      <c r="L768" s="23"/>
      <c r="M768" s="63">
        <v>800.0</v>
      </c>
      <c r="N768" s="49">
        <v>29042.0</v>
      </c>
      <c r="O768" s="22">
        <f>IFERROR(__xludf.DUMMYFUNCTION("IFERROR(
  VLOOKUP(C768,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C768
    ), 
    7, FALSE
  ), 
  """"
)
"),41500.0)</f>
        <v>41500</v>
      </c>
      <c r="P768" s="22">
        <f>IFERROR(__xludf.DUMMYFUNCTION("IF(AND(Q768="""", R768=""""),
  """",
  IF(OR(ISBLANK(Q768), ISBLANK(O768)),
    """",
    IF(VALUE(SUBSTITUTE(INDEX(SPLIT(IF(ISBLANK(R768), Q768, R768), "",""), 0, 1), "" Km"", """")) - O768 = 0,
      """",
      VALUE(SUBSTITUTE(INDEX(SPLIT(IF(ISBLANK("&amp;"R768), Q768, R768), "",""), 0, 1), "" Km"", """")) - O768
    )
  )
)"),-12458.0)</f>
        <v>-12458</v>
      </c>
      <c r="Q768" s="20" t="str">
        <f t="shared" si="4"/>
        <v>29 042 Km, 13.04.2024</v>
      </c>
      <c r="R768" s="152"/>
      <c r="S768" s="41">
        <v>20000.0</v>
      </c>
      <c r="T768" s="24">
        <v>2.0</v>
      </c>
      <c r="U768" s="24" t="s">
        <v>754</v>
      </c>
      <c r="V768" s="154"/>
      <c r="W768" s="24" t="str">
        <f t="shared" si="46"/>
        <v>Завершена</v>
      </c>
      <c r="X768" s="13" t="str">
        <f>IFERROR(__xludf.DUMMYFUNCTION("IF(C768 = """", """", IF(REGEXMATCH(C768, ""PCX|NMAX|ADV 150|CLICK""), ""скутер"", ""мото""))"),"мото")</f>
        <v>мото</v>
      </c>
      <c r="Y768" s="13"/>
      <c r="Z768" s="13"/>
      <c r="AA768" s="153"/>
      <c r="AB768" s="153"/>
      <c r="AC768" s="153"/>
      <c r="AD768" s="153"/>
      <c r="AE768" s="153"/>
      <c r="AF768" s="153"/>
      <c r="AG768" s="153"/>
      <c r="AH768" s="153"/>
      <c r="AI768" s="153"/>
      <c r="AJ768" s="153"/>
      <c r="AK768" s="153"/>
      <c r="AL768" s="153"/>
      <c r="AM768" s="153"/>
    </row>
    <row r="769" hidden="1">
      <c r="A769" s="25" t="s">
        <v>24</v>
      </c>
      <c r="B769" s="25" t="s">
        <v>25</v>
      </c>
      <c r="C769" s="27" t="s">
        <v>468</v>
      </c>
      <c r="D769" s="27" t="s">
        <v>1387</v>
      </c>
      <c r="E769" s="43">
        <v>45395.0</v>
      </c>
      <c r="F769" s="39">
        <v>45425.75</v>
      </c>
      <c r="G769" s="30" t="str">
        <f t="shared" si="43"/>
        <v>30 Д</v>
      </c>
      <c r="H769" s="31">
        <f t="shared" si="48"/>
        <v>463.3333333</v>
      </c>
      <c r="I769" s="74" t="str">
        <f t="shared" si="39"/>
        <v/>
      </c>
      <c r="J769" s="33" t="str">
        <f t="shared" si="25"/>
        <v/>
      </c>
      <c r="K769" s="36">
        <v>13900.0</v>
      </c>
      <c r="L769" s="36">
        <v>13900.0</v>
      </c>
      <c r="M769" s="33"/>
      <c r="N769" s="44">
        <v>18547.0</v>
      </c>
      <c r="O769" s="35">
        <f>IFERROR(__xludf.DUMMYFUNCTION("IFERROR(
  VLOOKUP(C769,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C769
    ), 
    7, FALSE
  ), 
  """"
)
"),22200.0)</f>
        <v>22200</v>
      </c>
      <c r="P769" s="35">
        <f>IFERROR(__xludf.DUMMYFUNCTION("IF(AND(Q769="""", R769=""""),
  """",
  IF(OR(ISBLANK(Q769), ISBLANK(O769)),
    """",
    IF(VALUE(SUBSTITUTE(INDEX(SPLIT(IF(ISBLANK(R769), Q769, R769), "",""), 0, 1), "" Km"", """")) - O769 = 0,
      """",
      VALUE(SUBSTITUTE(INDEX(SPLIT(IF(ISBLANK("&amp;"R769), Q769, R769), "",""), 0, 1), "" Km"", """")) - O769
    )
  )
)"),-3653.0)</f>
        <v>-3653</v>
      </c>
      <c r="Q769" s="33" t="str">
        <f t="shared" si="4"/>
        <v>18 547 Km, 13.04.2024</v>
      </c>
      <c r="R769" s="33"/>
      <c r="S769" s="40" t="s">
        <v>1388</v>
      </c>
      <c r="T769" s="25">
        <v>2.0</v>
      </c>
      <c r="U769" s="25" t="s">
        <v>1389</v>
      </c>
      <c r="V769" s="37"/>
      <c r="W769" s="37" t="str">
        <f t="shared" si="46"/>
        <v>Завершена</v>
      </c>
      <c r="X769" s="25" t="str">
        <f>IFERROR(__xludf.DUMMYFUNCTION("IF(C769 = """", """", IF(REGEXMATCH(C769, ""PCX|NMAX|ADV|CLICK""), ""скутер"", ""мото""))"),"мото")</f>
        <v>мото</v>
      </c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</row>
    <row r="770" hidden="1">
      <c r="A770" s="13" t="s">
        <v>24</v>
      </c>
      <c r="B770" s="14" t="s">
        <v>25</v>
      </c>
      <c r="C770" s="14" t="s">
        <v>461</v>
      </c>
      <c r="D770" s="14" t="s">
        <v>752</v>
      </c>
      <c r="E770" s="48">
        <v>45397.0</v>
      </c>
      <c r="F770" s="38">
        <v>45430.541666666664</v>
      </c>
      <c r="G770" s="17" t="str">
        <f t="shared" si="43"/>
        <v>1 М</v>
      </c>
      <c r="H770" s="18">
        <f t="shared" si="48"/>
        <v>396.6666667</v>
      </c>
      <c r="I770" s="80" t="str">
        <f t="shared" si="39"/>
        <v/>
      </c>
      <c r="J770" s="20" t="str">
        <f t="shared" si="25"/>
        <v/>
      </c>
      <c r="K770" s="23">
        <f>5000+6900+2380</f>
        <v>14280</v>
      </c>
      <c r="L770" s="23">
        <v>11900.0</v>
      </c>
      <c r="M770" s="64"/>
      <c r="N770" s="49">
        <v>29042.0</v>
      </c>
      <c r="O770" s="22">
        <f>IFERROR(__xludf.DUMMYFUNCTION("IFERROR(
  VLOOKUP(C770,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C770
    ), 
    7, FALSE
  ), 
  """"
)
"),30500.0)</f>
        <v>30500</v>
      </c>
      <c r="P770" s="22">
        <f>IFERROR(__xludf.DUMMYFUNCTION("IF(AND(Q770="""", R770=""""),
  """",
  IF(OR(ISBLANK(Q770), ISBLANK(O770)),
    """",
    IF(VALUE(SUBSTITUTE(INDEX(SPLIT(IF(ISBLANK(R770), Q770, R770), "",""), 0, 1), "" Km"", """")) - O770 = 0,
      """",
      VALUE(SUBSTITUTE(INDEX(SPLIT(IF(ISBLANK("&amp;"R770), Q770, R770), "",""), 0, 1), "" Km"", """")) - O770
    )
  )
)"),-1458.0)</f>
        <v>-1458</v>
      </c>
      <c r="Q770" s="20" t="str">
        <f t="shared" si="4"/>
        <v>29 042 Km, 15.04.2024</v>
      </c>
      <c r="R770" s="152"/>
      <c r="S770" s="41">
        <v>15000.0</v>
      </c>
      <c r="T770" s="24">
        <v>2.0</v>
      </c>
      <c r="U770" s="24" t="s">
        <v>754</v>
      </c>
      <c r="V770" s="154"/>
      <c r="W770" s="24" t="str">
        <f t="shared" si="46"/>
        <v>Завершена</v>
      </c>
      <c r="X770" s="13" t="str">
        <f>IFERROR(__xludf.DUMMYFUNCTION("IF(C770 = """", """", IF(REGEXMATCH(C770, ""PCX|NMAX|ADV 150|CLICK""), ""скутер"", ""мото""))"),"мото")</f>
        <v>мото</v>
      </c>
      <c r="Y770" s="13"/>
      <c r="Z770" s="13"/>
      <c r="AA770" s="153"/>
      <c r="AB770" s="153"/>
      <c r="AC770" s="153"/>
      <c r="AD770" s="153"/>
      <c r="AE770" s="153"/>
      <c r="AF770" s="153"/>
      <c r="AG770" s="153"/>
      <c r="AH770" s="153"/>
      <c r="AI770" s="153"/>
      <c r="AJ770" s="153"/>
      <c r="AK770" s="153"/>
      <c r="AL770" s="153"/>
      <c r="AM770" s="153"/>
    </row>
    <row r="771" hidden="1">
      <c r="A771" s="25" t="s">
        <v>24</v>
      </c>
      <c r="B771" s="25" t="s">
        <v>25</v>
      </c>
      <c r="C771" s="27" t="s">
        <v>472</v>
      </c>
      <c r="D771" s="27" t="s">
        <v>1438</v>
      </c>
      <c r="E771" s="43">
        <v>45397.0</v>
      </c>
      <c r="F771" s="39">
        <v>45448.5</v>
      </c>
      <c r="G771" s="30" t="str">
        <f t="shared" si="43"/>
        <v>1 М</v>
      </c>
      <c r="H771" s="31">
        <f t="shared" si="48"/>
        <v>396.6666667</v>
      </c>
      <c r="I771" s="74" t="str">
        <f t="shared" si="39"/>
        <v/>
      </c>
      <c r="J771" s="33" t="str">
        <f t="shared" si="25"/>
        <v/>
      </c>
      <c r="K771" s="36">
        <v>11900.0</v>
      </c>
      <c r="L771" s="36">
        <v>11900.0</v>
      </c>
      <c r="M771" s="33"/>
      <c r="N771" s="44">
        <v>23000.0</v>
      </c>
      <c r="O771" s="35" t="str">
        <f>IFERROR(__xludf.DUMMYFUNCTION("IFERROR(
  VLOOKUP(C771,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C771
    ), 
    7, FALSE
  ), 
  """"
)
"),"")</f>
        <v/>
      </c>
      <c r="P771" s="35">
        <f>IFERROR(__xludf.DUMMYFUNCTION("IF(AND(Q771="""", R771=""""),
  """",
  IF(OR(ISBLANK(Q771), ISBLANK(O771)),
    """",
    IF(VALUE(SUBSTITUTE(INDEX(SPLIT(IF(ISBLANK(R771), Q771, R771), "",""), 0, 1), "" Km"", """")) - O771 = 0,
      """",
      VALUE(SUBSTITUTE(INDEX(SPLIT(IF(ISBLANK("&amp;"R771), Q771, R771), "",""), 0, 1), "" Km"", """")) - O771
    )
  )
)"),23000.0)</f>
        <v>23000</v>
      </c>
      <c r="Q771" s="36" t="str">
        <f t="shared" si="4"/>
        <v>23 000 Km, 15.04.2024</v>
      </c>
      <c r="R771" s="33"/>
      <c r="S771" s="40">
        <v>15000.0</v>
      </c>
      <c r="T771" s="25">
        <v>1.0</v>
      </c>
      <c r="U771" s="25" t="s">
        <v>1439</v>
      </c>
      <c r="V771" s="37"/>
      <c r="W771" s="37" t="str">
        <f t="shared" si="46"/>
        <v>Завершена</v>
      </c>
      <c r="X771" s="25" t="str">
        <f>IFERROR(__xludf.DUMMYFUNCTION("IF(C771 = """", """", IF(REGEXMATCH(C771, ""PCX|NMAX|ADV 150|CLICK""), ""скутер"", ""мото""))"),"мото")</f>
        <v>мото</v>
      </c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</row>
    <row r="772" hidden="1">
      <c r="A772" s="13" t="s">
        <v>24</v>
      </c>
      <c r="B772" s="14" t="s">
        <v>25</v>
      </c>
      <c r="C772" s="14" t="s">
        <v>77</v>
      </c>
      <c r="D772" s="14" t="s">
        <v>1392</v>
      </c>
      <c r="E772" s="48">
        <v>45398.0</v>
      </c>
      <c r="F772" s="38">
        <v>45408.666666666664</v>
      </c>
      <c r="G772" s="17" t="str">
        <f t="shared" si="43"/>
        <v>10 Д</v>
      </c>
      <c r="H772" s="18">
        <f t="shared" si="48"/>
        <v>200</v>
      </c>
      <c r="I772" s="80" t="str">
        <f t="shared" si="39"/>
        <v/>
      </c>
      <c r="J772" s="20" t="str">
        <f t="shared" si="25"/>
        <v/>
      </c>
      <c r="K772" s="23">
        <v>2000.0</v>
      </c>
      <c r="L772" s="20"/>
      <c r="M772" s="63">
        <v>200.0</v>
      </c>
      <c r="N772" s="49">
        <v>26584.0</v>
      </c>
      <c r="O772" s="22">
        <f>IFERROR(__xludf.DUMMYFUNCTION("IFERROR(
  VLOOKUP(C772,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C772
    ), 
    7, FALSE
  ), 
  """"
)
"),37300.0)</f>
        <v>37300</v>
      </c>
      <c r="P772" s="22">
        <f>IFERROR(__xludf.DUMMYFUNCTION("IF(AND(Q772="""", R772=""""),
  """",
  IF(OR(ISBLANK(Q772), ISBLANK(O772)),
    """",
    IF(VALUE(SUBSTITUTE(INDEX(SPLIT(IF(ISBLANK(R772), Q772, R772), "",""), 0, 1), "" Km"", """")) - O772 = 0,
      """",
      VALUE(SUBSTITUTE(INDEX(SPLIT(IF(ISBLANK("&amp;"R772), Q772, R772), "",""), 0, 1), "" Km"", """")) - O772
    )
  )
)"),-10716.0)</f>
        <v>-10716</v>
      </c>
      <c r="Q772" s="20" t="str">
        <f t="shared" si="4"/>
        <v>26 584 Km, 16.04.2024</v>
      </c>
      <c r="R772" s="152"/>
      <c r="S772" s="18">
        <v>0.0</v>
      </c>
      <c r="T772" s="24">
        <v>0.0</v>
      </c>
      <c r="U772" s="154"/>
      <c r="V772" s="154"/>
      <c r="W772" s="24" t="str">
        <f t="shared" si="46"/>
        <v>Завершена</v>
      </c>
      <c r="X772" s="42" t="str">
        <f>IFERROR(__xludf.DUMMYFUNCTION("IF(C772 = """", """", IF(REGEXMATCH(C772, ""PCX|NMAX|ADV 150|CLICK""), ""скутер"", ""мото""))"),"скутер")</f>
        <v>скутер</v>
      </c>
      <c r="Y772" s="13"/>
      <c r="Z772" s="13"/>
      <c r="AA772" s="153"/>
      <c r="AB772" s="153"/>
      <c r="AC772" s="153"/>
      <c r="AD772" s="153"/>
      <c r="AE772" s="153"/>
      <c r="AF772" s="153"/>
      <c r="AG772" s="153"/>
      <c r="AH772" s="153"/>
      <c r="AI772" s="153"/>
      <c r="AJ772" s="153"/>
      <c r="AK772" s="153"/>
      <c r="AL772" s="153"/>
      <c r="AM772" s="153"/>
    </row>
    <row r="773" hidden="1">
      <c r="A773" s="25" t="s">
        <v>24</v>
      </c>
      <c r="B773" s="25" t="s">
        <v>25</v>
      </c>
      <c r="C773" s="27" t="s">
        <v>948</v>
      </c>
      <c r="D773" s="27" t="s">
        <v>1440</v>
      </c>
      <c r="E773" s="43">
        <v>45401.0</v>
      </c>
      <c r="F773" s="39">
        <v>45404.75</v>
      </c>
      <c r="G773" s="30" t="str">
        <f t="shared" si="43"/>
        <v>3 Д</v>
      </c>
      <c r="H773" s="31">
        <f t="shared" si="48"/>
        <v>900</v>
      </c>
      <c r="I773" s="74" t="str">
        <f t="shared" si="39"/>
        <v/>
      </c>
      <c r="J773" s="33" t="str">
        <f t="shared" si="25"/>
        <v/>
      </c>
      <c r="K773" s="36">
        <v>2700.0</v>
      </c>
      <c r="L773" s="33"/>
      <c r="M773" s="36">
        <v>900.0</v>
      </c>
      <c r="N773" s="44">
        <v>10500.0</v>
      </c>
      <c r="O773" s="35">
        <f>IFERROR(__xludf.DUMMYFUNCTION("IFERROR(
  VLOOKUP(C773,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C773
    ), 
    7, FALSE
  ), 
  """"
)
"),24553.0)</f>
        <v>24553</v>
      </c>
      <c r="P773" s="35">
        <f>IFERROR(__xludf.DUMMYFUNCTION("IF(AND(Q773="""", R773=""""),
  """",
  IF(OR(ISBLANK(Q773), ISBLANK(O773)),
    """",
    IF(VALUE(SUBSTITUTE(INDEX(SPLIT(IF(ISBLANK(R773), Q773, R773), "",""), 0, 1), "" Km"", """")) - O773 = 0,
      """",
      VALUE(SUBSTITUTE(INDEX(SPLIT(IF(ISBLANK("&amp;"R773), Q773, R773), "",""), 0, 1), "" Km"", """")) - O773
    )
  )
)"),-14053.0)</f>
        <v>-14053</v>
      </c>
      <c r="Q773" s="36" t="str">
        <f t="shared" si="4"/>
        <v>10 500 Km, 19.04.2024</v>
      </c>
      <c r="R773" s="33"/>
      <c r="S773" s="40">
        <v>200.0</v>
      </c>
      <c r="T773" s="25">
        <v>3.0</v>
      </c>
      <c r="U773" s="25" t="s">
        <v>1441</v>
      </c>
      <c r="V773" s="37"/>
      <c r="W773" s="37" t="str">
        <f t="shared" si="46"/>
        <v>Завершена</v>
      </c>
      <c r="X773" s="25" t="str">
        <f>IFERROR(__xludf.DUMMYFUNCTION("IF(C773 = """", """", IF(REGEXMATCH(C773, ""PCX|NMAX|ADV 150|CLICK""), ""скутер"", ""мото""))"),"мото")</f>
        <v>мото</v>
      </c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</row>
    <row r="774" hidden="1">
      <c r="A774" s="13" t="s">
        <v>24</v>
      </c>
      <c r="B774" s="13" t="s">
        <v>25</v>
      </c>
      <c r="C774" s="14" t="s">
        <v>52</v>
      </c>
      <c r="D774" s="14" t="s">
        <v>1442</v>
      </c>
      <c r="E774" s="48">
        <v>45402.0</v>
      </c>
      <c r="F774" s="38">
        <v>45406.541666666664</v>
      </c>
      <c r="G774" s="17" t="str">
        <f t="shared" si="43"/>
        <v>4 Д</v>
      </c>
      <c r="H774" s="18">
        <f t="shared" si="48"/>
        <v>200</v>
      </c>
      <c r="I774" s="80" t="str">
        <f t="shared" si="39"/>
        <v/>
      </c>
      <c r="J774" s="20" t="str">
        <f t="shared" si="25"/>
        <v/>
      </c>
      <c r="K774" s="23">
        <v>800.0</v>
      </c>
      <c r="L774" s="20"/>
      <c r="M774" s="23">
        <v>200.0</v>
      </c>
      <c r="N774" s="49">
        <v>34500.0</v>
      </c>
      <c r="O774" s="22">
        <f>IFERROR(__xludf.DUMMYFUNCTION("IFERROR(
  VLOOKUP(C774,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C774
    ), 
    7, FALSE
  ), 
  """"
)
"),33515.0)</f>
        <v>33515</v>
      </c>
      <c r="P774" s="22">
        <f>IFERROR(__xludf.DUMMYFUNCTION("IF(AND(Q774="""", R774=""""),
  """",
  IF(OR(ISBLANK(Q774), ISBLANK(O774)),
    """",
    IF(VALUE(SUBSTITUTE(INDEX(SPLIT(IF(ISBLANK(R774), Q774, R774), "",""), 0, 1), "" Km"", """")) - O774 = 0,
      """",
      VALUE(SUBSTITUTE(INDEX(SPLIT(IF(ISBLANK("&amp;"R774), Q774, R774), "",""), 0, 1), "" Km"", """")) - O774
    )
  )
)"),985.0)</f>
        <v>985</v>
      </c>
      <c r="Q774" s="23" t="str">
        <f t="shared" si="4"/>
        <v>34 500 Km, 20.04.2024</v>
      </c>
      <c r="R774" s="20"/>
      <c r="S774" s="41">
        <v>3000.0</v>
      </c>
      <c r="T774" s="13">
        <v>2.0</v>
      </c>
      <c r="U774" s="13" t="s">
        <v>1443</v>
      </c>
      <c r="V774" s="24"/>
      <c r="W774" s="24" t="str">
        <f t="shared" si="46"/>
        <v>Завершена</v>
      </c>
      <c r="X774" s="13" t="str">
        <f>IFERROR(__xludf.DUMMYFUNCTION("IF(C774 = """", """", IF(REGEXMATCH(C774, ""PCX|NMAX|ADV 150|CLICK""), ""скутер"", ""мото""))"),"скутер")</f>
        <v>скутер</v>
      </c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</row>
    <row r="775" hidden="1">
      <c r="A775" s="25" t="s">
        <v>24</v>
      </c>
      <c r="B775" s="25" t="s">
        <v>25</v>
      </c>
      <c r="C775" s="27" t="s">
        <v>198</v>
      </c>
      <c r="D775" s="27" t="s">
        <v>1444</v>
      </c>
      <c r="E775" s="43">
        <v>45402.0</v>
      </c>
      <c r="F775" s="39">
        <v>45418.458333333336</v>
      </c>
      <c r="G775" s="30" t="str">
        <f t="shared" si="43"/>
        <v>16 Д</v>
      </c>
      <c r="H775" s="31">
        <f t="shared" si="48"/>
        <v>550</v>
      </c>
      <c r="I775" s="74" t="str">
        <f t="shared" si="39"/>
        <v/>
      </c>
      <c r="J775" s="33" t="str">
        <f t="shared" si="25"/>
        <v/>
      </c>
      <c r="K775" s="36">
        <f>8250+550</f>
        <v>8800</v>
      </c>
      <c r="L775" s="33"/>
      <c r="M775" s="36">
        <v>550.0</v>
      </c>
      <c r="N775" s="44">
        <v>18300.0</v>
      </c>
      <c r="O775" s="35" t="str">
        <f>IFERROR(__xludf.DUMMYFUNCTION("IFERROR(
  VLOOKUP(C775,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C775
    ), 
    7, FALSE
  ), 
  """"
)
"),"")</f>
        <v/>
      </c>
      <c r="P775" s="35">
        <f>IFERROR(__xludf.DUMMYFUNCTION("IF(AND(Q775="""", R775=""""),
  """",
  IF(OR(ISBLANK(Q775), ISBLANK(O775)),
    """",
    IF(VALUE(SUBSTITUTE(INDEX(SPLIT(IF(ISBLANK(R775), Q775, R775), "",""), 0, 1), "" Km"", """")) - O775 = 0,
      """",
      VALUE(SUBSTITUTE(INDEX(SPLIT(IF(ISBLANK("&amp;"R775), Q775, R775), "",""), 0, 1), "" Km"", """")) - O775
    )
  )
)"),18300.0)</f>
        <v>18300</v>
      </c>
      <c r="Q775" s="36" t="str">
        <f t="shared" si="4"/>
        <v>18 300 Km, 20.04.2024</v>
      </c>
      <c r="R775" s="33"/>
      <c r="S775" s="40">
        <v>100.0</v>
      </c>
      <c r="T775" s="25">
        <v>2.0</v>
      </c>
      <c r="U775" s="71" t="s">
        <v>1445</v>
      </c>
      <c r="V775" s="37"/>
      <c r="W775" s="37" t="str">
        <f t="shared" si="46"/>
        <v>Завершена</v>
      </c>
      <c r="X775" s="25" t="str">
        <f>IFERROR(__xludf.DUMMYFUNCTION("IF(C775 = """", """", IF(REGEXMATCH(C775, ""PCX|NMAX|ADV 150|CLICK""), ""скутер"", ""мото""))"),"мото")</f>
        <v>мото</v>
      </c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</row>
    <row r="776" hidden="1">
      <c r="A776" s="13" t="s">
        <v>24</v>
      </c>
      <c r="B776" s="13" t="s">
        <v>25</v>
      </c>
      <c r="C776" s="14" t="s">
        <v>73</v>
      </c>
      <c r="D776" s="14" t="s">
        <v>1446</v>
      </c>
      <c r="E776" s="48">
        <v>45403.0</v>
      </c>
      <c r="F776" s="38">
        <v>45411.458333333336</v>
      </c>
      <c r="G776" s="17" t="str">
        <f t="shared" si="43"/>
        <v>8 Д</v>
      </c>
      <c r="H776" s="18">
        <f t="shared" si="48"/>
        <v>349</v>
      </c>
      <c r="I776" s="80" t="str">
        <f t="shared" si="39"/>
        <v/>
      </c>
      <c r="J776" s="20" t="str">
        <f t="shared" si="25"/>
        <v/>
      </c>
      <c r="K776" s="23">
        <f>2443+349</f>
        <v>2792</v>
      </c>
      <c r="L776" s="20"/>
      <c r="M776" s="23">
        <v>349.0</v>
      </c>
      <c r="N776" s="49">
        <v>22000.0</v>
      </c>
      <c r="O776" s="22">
        <f>IFERROR(__xludf.DUMMYFUNCTION("IFERROR(
  VLOOKUP(C776,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C776
    ), 
    7, FALSE
  ), 
  """"
)
"),31000.0)</f>
        <v>31000</v>
      </c>
      <c r="P776" s="22">
        <f>IFERROR(__xludf.DUMMYFUNCTION("IF(AND(Q776="""", R776=""""),
  """",
  IF(OR(ISBLANK(Q776), ISBLANK(O776)),
    """",
    IF(VALUE(SUBSTITUTE(INDEX(SPLIT(IF(ISBLANK(R776), Q776, R776), "",""), 0, 1), "" Km"", """")) - O776 = 0,
      """",
      VALUE(SUBSTITUTE(INDEX(SPLIT(IF(ISBLANK("&amp;"R776), Q776, R776), "",""), 0, 1), "" Km"", """")) - O776
    )
  )
)"),-9000.0)</f>
        <v>-9000</v>
      </c>
      <c r="Q776" s="23" t="str">
        <f t="shared" si="4"/>
        <v>22 000 Km, 21.04.2024</v>
      </c>
      <c r="R776" s="20"/>
      <c r="S776" s="41">
        <v>3000.0</v>
      </c>
      <c r="T776" s="13">
        <v>2.0</v>
      </c>
      <c r="U776" s="13" t="s">
        <v>1447</v>
      </c>
      <c r="V776" s="24"/>
      <c r="W776" s="24" t="str">
        <f t="shared" si="46"/>
        <v>Завершена</v>
      </c>
      <c r="X776" s="13" t="str">
        <f>IFERROR(__xludf.DUMMYFUNCTION("IF(C776 = """", """", IF(REGEXMATCH(C776, ""PCX|NMAX|ADV 150|CLICK""), ""скутер"", ""мото""))"),"скутер")</f>
        <v>скутер</v>
      </c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</row>
    <row r="777" hidden="1">
      <c r="A777" s="25" t="s">
        <v>24</v>
      </c>
      <c r="B777" s="25" t="s">
        <v>25</v>
      </c>
      <c r="C777" s="27" t="s">
        <v>423</v>
      </c>
      <c r="D777" s="27" t="s">
        <v>1448</v>
      </c>
      <c r="E777" s="43">
        <v>45405.0</v>
      </c>
      <c r="F777" s="39">
        <v>45410.708333333336</v>
      </c>
      <c r="G777" s="30" t="str">
        <f t="shared" si="43"/>
        <v>5 Д</v>
      </c>
      <c r="H777" s="31">
        <f t="shared" si="48"/>
        <v>1000</v>
      </c>
      <c r="I777" s="74" t="str">
        <f t="shared" si="39"/>
        <v/>
      </c>
      <c r="J777" s="33" t="str">
        <f t="shared" si="25"/>
        <v/>
      </c>
      <c r="K777" s="36">
        <v>5000.0</v>
      </c>
      <c r="L777" s="33"/>
      <c r="M777" s="36">
        <v>1000.0</v>
      </c>
      <c r="N777" s="44">
        <v>17850.0</v>
      </c>
      <c r="O777" s="35" t="str">
        <f>IFERROR(__xludf.DUMMYFUNCTION("IFERROR(
  VLOOKUP(C777,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C777
    ), 
    7, FALSE
  ), 
  """"
)
"),"")</f>
        <v/>
      </c>
      <c r="P777" s="35">
        <f>IFERROR(__xludf.DUMMYFUNCTION("IF(AND(Q777="""", R777=""""),
  """",
  IF(OR(ISBLANK(Q777), ISBLANK(O777)),
    """",
    IF(VALUE(SUBSTITUTE(INDEX(SPLIT(IF(ISBLANK(R777), Q777, R777), "",""), 0, 1), "" Km"", """")) - O777 = 0,
      """",
      VALUE(SUBSTITUTE(INDEX(SPLIT(IF(ISBLANK("&amp;"R777), Q777, R777), "",""), 0, 1), "" Km"", """")) - O777
    )
  )
)"),17850.0)</f>
        <v>17850</v>
      </c>
      <c r="Q777" s="36" t="str">
        <f t="shared" si="4"/>
        <v>17 850 Km, 23.04.2024</v>
      </c>
      <c r="R777" s="33"/>
      <c r="S777" s="40" t="s">
        <v>430</v>
      </c>
      <c r="T777" s="25">
        <v>2.0</v>
      </c>
      <c r="U777" s="25" t="s">
        <v>1449</v>
      </c>
      <c r="V777" s="37"/>
      <c r="W777" s="37" t="str">
        <f t="shared" si="46"/>
        <v>Завершена</v>
      </c>
      <c r="X777" s="25" t="str">
        <f>IFERROR(__xludf.DUMMYFUNCTION("IF(C777 = """", """", IF(REGEXMATCH(C777, ""PCX|NMAX|ADV 150|CLICK""), ""скутер"", ""мото""))"),"мото")</f>
        <v>мото</v>
      </c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</row>
    <row r="778" hidden="1">
      <c r="A778" s="13" t="s">
        <v>24</v>
      </c>
      <c r="B778" s="13" t="s">
        <v>25</v>
      </c>
      <c r="C778" s="14" t="s">
        <v>102</v>
      </c>
      <c r="D778" s="14" t="s">
        <v>685</v>
      </c>
      <c r="E778" s="48">
        <v>45405.0</v>
      </c>
      <c r="F778" s="38">
        <v>45410.708333333336</v>
      </c>
      <c r="G778" s="17" t="str">
        <f t="shared" si="43"/>
        <v>5 Д</v>
      </c>
      <c r="H778" s="18">
        <f t="shared" si="48"/>
        <v>1500</v>
      </c>
      <c r="I778" s="80" t="str">
        <f t="shared" si="39"/>
        <v/>
      </c>
      <c r="J778" s="20" t="str">
        <f t="shared" si="25"/>
        <v/>
      </c>
      <c r="K778" s="23">
        <v>7500.0</v>
      </c>
      <c r="L778" s="20"/>
      <c r="M778" s="23">
        <v>1500.0</v>
      </c>
      <c r="N778" s="49">
        <v>39500.0</v>
      </c>
      <c r="O778" s="22">
        <f>IFERROR(__xludf.DUMMYFUNCTION("IFERROR(
  VLOOKUP(C778,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C778
    ), 
    7, FALSE
  ), 
  """"
)
"),63700.0)</f>
        <v>63700</v>
      </c>
      <c r="P778" s="22">
        <f>IFERROR(__xludf.DUMMYFUNCTION("IF(AND(Q778="""", R778=""""),
  """",
  IF(OR(ISBLANK(Q778), ISBLANK(O778)),
    """",
    IF(VALUE(SUBSTITUTE(INDEX(SPLIT(IF(ISBLANK(R778), Q778, R778), "",""), 0, 1), "" Km"", """")) - O778 = 0,
      """",
      VALUE(SUBSTITUTE(INDEX(SPLIT(IF(ISBLANK("&amp;"R778), Q778, R778), "",""), 0, 1), "" Km"", """")) - O778
    )
  )
)"),-24200.0)</f>
        <v>-24200</v>
      </c>
      <c r="Q778" s="23" t="str">
        <f t="shared" si="4"/>
        <v>39 500 Km, 23.04.2024</v>
      </c>
      <c r="R778" s="20"/>
      <c r="S778" s="41" t="s">
        <v>430</v>
      </c>
      <c r="T778" s="13">
        <v>2.0</v>
      </c>
      <c r="U778" s="13" t="s">
        <v>686</v>
      </c>
      <c r="V778" s="24"/>
      <c r="W778" s="24" t="str">
        <f t="shared" si="46"/>
        <v>Завершена</v>
      </c>
      <c r="X778" s="13" t="str">
        <f>IFERROR(__xludf.DUMMYFUNCTION("IF(C778 = """", """", IF(REGEXMATCH(C778, ""PCX|NMAX|ADV|CLICK""), ""скутер"", ""мото""))"),"мото")</f>
        <v>мото</v>
      </c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</row>
    <row r="779" hidden="1">
      <c r="A779" s="25" t="s">
        <v>24</v>
      </c>
      <c r="B779" s="25" t="s">
        <v>25</v>
      </c>
      <c r="C779" s="27" t="s">
        <v>483</v>
      </c>
      <c r="D779" s="27" t="s">
        <v>683</v>
      </c>
      <c r="E779" s="43">
        <v>45406.0</v>
      </c>
      <c r="F779" s="39">
        <v>45410.708333333336</v>
      </c>
      <c r="G779" s="30" t="str">
        <f t="shared" si="43"/>
        <v>4 Д</v>
      </c>
      <c r="H779" s="31">
        <f t="shared" si="48"/>
        <v>1500</v>
      </c>
      <c r="I779" s="74" t="str">
        <f t="shared" si="39"/>
        <v/>
      </c>
      <c r="J779" s="33" t="str">
        <f t="shared" si="25"/>
        <v/>
      </c>
      <c r="K779" s="36">
        <v>6000.0</v>
      </c>
      <c r="L779" s="33"/>
      <c r="M779" s="36">
        <v>1500.0</v>
      </c>
      <c r="N779" s="44">
        <v>31000.0</v>
      </c>
      <c r="O779" s="35">
        <f>IFERROR(__xludf.DUMMYFUNCTION("IFERROR(
  VLOOKUP(C779,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C779
    ), 
    7, FALSE
  ), 
  """"
)
"),41500.0)</f>
        <v>41500</v>
      </c>
      <c r="P779" s="35">
        <f>IFERROR(__xludf.DUMMYFUNCTION("IF(AND(Q779="""", R779=""""),
  """",
  IF(OR(ISBLANK(Q779), ISBLANK(O779)),
    """",
    IF(VALUE(SUBSTITUTE(INDEX(SPLIT(IF(ISBLANK(R779), Q779, R779), "",""), 0, 1), "" Km"", """")) - O779 = 0,
      """",
      VALUE(SUBSTITUTE(INDEX(SPLIT(IF(ISBLANK("&amp;"R779), Q779, R779), "",""), 0, 1), "" Km"", """")) - O779
    )
  )
)"),-10500.0)</f>
        <v>-10500</v>
      </c>
      <c r="Q779" s="36" t="str">
        <f t="shared" si="4"/>
        <v>31 000 Km, 24.04.2024</v>
      </c>
      <c r="R779" s="33"/>
      <c r="S779" s="40" t="s">
        <v>600</v>
      </c>
      <c r="T779" s="25">
        <v>1.0</v>
      </c>
      <c r="U779" s="25" t="s">
        <v>516</v>
      </c>
      <c r="V779" s="37"/>
      <c r="W779" s="37" t="str">
        <f t="shared" si="46"/>
        <v>Завершена</v>
      </c>
      <c r="X779" s="25" t="str">
        <f>IFERROR(__xludf.DUMMYFUNCTION("IF(C779 = """", """", IF(REGEXMATCH(C779, ""PCX|NMAX|ADV 150|CLICK""), ""скутер"", ""мото""))"),"мото")</f>
        <v>мото</v>
      </c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</row>
    <row r="780" hidden="1">
      <c r="A780" s="13" t="s">
        <v>24</v>
      </c>
      <c r="B780" s="13" t="s">
        <v>25</v>
      </c>
      <c r="C780" s="14" t="s">
        <v>44</v>
      </c>
      <c r="D780" s="14" t="s">
        <v>1450</v>
      </c>
      <c r="E780" s="48">
        <v>45407.0</v>
      </c>
      <c r="F780" s="38">
        <v>45436.583333333336</v>
      </c>
      <c r="G780" s="17" t="str">
        <f t="shared" si="43"/>
        <v>29 Д</v>
      </c>
      <c r="H780" s="18">
        <f t="shared" si="48"/>
        <v>196.6666667</v>
      </c>
      <c r="I780" s="80" t="str">
        <f t="shared" si="39"/>
        <v/>
      </c>
      <c r="J780" s="20" t="str">
        <f t="shared" si="25"/>
        <v/>
      </c>
      <c r="K780" s="23">
        <v>5900.0</v>
      </c>
      <c r="L780" s="23">
        <v>5900.0</v>
      </c>
      <c r="M780" s="20"/>
      <c r="N780" s="49">
        <v>18301.0</v>
      </c>
      <c r="O780" s="22">
        <f>IFERROR(__xludf.DUMMYFUNCTION("IFERROR(
  VLOOKUP(C780,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C780
    ), 
    7, FALSE
  ), 
  """"
)
"),30800.0)</f>
        <v>30800</v>
      </c>
      <c r="P780" s="22">
        <f>IFERROR(__xludf.DUMMYFUNCTION("IF(AND(Q780="""", R780=""""),
  """",
  IF(OR(ISBLANK(Q780), ISBLANK(O780)),
    """",
    IF(VALUE(SUBSTITUTE(INDEX(SPLIT(IF(ISBLANK(R780), Q780, R780), "",""), 0, 1), "" Km"", """")) - O780 = 0,
      """",
      VALUE(SUBSTITUTE(INDEX(SPLIT(IF(ISBLANK("&amp;"R780), Q780, R780), "",""), 0, 1), "" Km"", """")) - O780
    )
  )
)"),-12499.0)</f>
        <v>-12499</v>
      </c>
      <c r="Q780" s="23" t="str">
        <f t="shared" si="4"/>
        <v>18 301 Km, 25.04.2024</v>
      </c>
      <c r="R780" s="20"/>
      <c r="S780" s="41" t="s">
        <v>1451</v>
      </c>
      <c r="T780" s="13">
        <v>3.0</v>
      </c>
      <c r="U780" s="13" t="s">
        <v>1452</v>
      </c>
      <c r="V780" s="24"/>
      <c r="W780" s="24" t="str">
        <f t="shared" si="46"/>
        <v>Завершена</v>
      </c>
      <c r="X780" s="13" t="str">
        <f>IFERROR(__xludf.DUMMYFUNCTION("IF(C780 = """", """", IF(REGEXMATCH(C780, ""PCX|NMAX|ADV 150|CLICK""), ""скутер"", ""мото""))"),"скутер")</f>
        <v>скутер</v>
      </c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</row>
    <row r="781" hidden="1">
      <c r="A781" s="25" t="s">
        <v>24</v>
      </c>
      <c r="B781" s="25" t="s">
        <v>25</v>
      </c>
      <c r="C781" s="27" t="s">
        <v>193</v>
      </c>
      <c r="D781" s="27" t="s">
        <v>561</v>
      </c>
      <c r="E781" s="43">
        <v>45408.0</v>
      </c>
      <c r="F781" s="39">
        <v>45415.041666666664</v>
      </c>
      <c r="G781" s="30" t="str">
        <f t="shared" si="43"/>
        <v>7 Д</v>
      </c>
      <c r="H781" s="31">
        <f t="shared" si="48"/>
        <v>590</v>
      </c>
      <c r="I781" s="74" t="str">
        <f t="shared" si="39"/>
        <v/>
      </c>
      <c r="J781" s="33" t="str">
        <f t="shared" si="25"/>
        <v/>
      </c>
      <c r="K781" s="36">
        <v>4130.0</v>
      </c>
      <c r="L781" s="33"/>
      <c r="M781" s="36">
        <v>590.0</v>
      </c>
      <c r="N781" s="44">
        <v>14122.0</v>
      </c>
      <c r="O781" s="35" t="str">
        <f>IFERROR(__xludf.DUMMYFUNCTION("IFERROR(
  VLOOKUP(C781,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C781
    ), 
    7, FALSE
  ), 
  """"
)
"),"")</f>
        <v/>
      </c>
      <c r="P781" s="35">
        <f>IFERROR(__xludf.DUMMYFUNCTION("IF(AND(Q781="""", R781=""""),
  """",
  IF(OR(ISBLANK(Q781), ISBLANK(O781)),
    """",
    IF(VALUE(SUBSTITUTE(INDEX(SPLIT(IF(ISBLANK(R781), Q781, R781), "",""), 0, 1), "" Km"", """")) - O781 = 0,
      """",
      VALUE(SUBSTITUTE(INDEX(SPLIT(IF(ISBLANK("&amp;"R781), Q781, R781), "",""), 0, 1), "" Km"", """")) - O781
    )
  )
)"),14122.0)</f>
        <v>14122</v>
      </c>
      <c r="Q781" s="36" t="str">
        <f t="shared" si="4"/>
        <v>14 122 Km, 26.04.2024</v>
      </c>
      <c r="R781" s="33"/>
      <c r="S781" s="40">
        <v>200.0</v>
      </c>
      <c r="T781" s="25">
        <v>1.0</v>
      </c>
      <c r="U781" s="25" t="s">
        <v>1453</v>
      </c>
      <c r="V781" s="37"/>
      <c r="W781" s="37" t="str">
        <f t="shared" si="46"/>
        <v>Завершена</v>
      </c>
      <c r="X781" s="25" t="str">
        <f>IFERROR(__xludf.DUMMYFUNCTION("IF(C781 = """", """", IF(REGEXMATCH(C781, ""PCX|NMAX|ADV 150|CLICK""), ""скутер"", ""мото""))"),"мото")</f>
        <v>мото</v>
      </c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</row>
    <row r="782" hidden="1">
      <c r="A782" s="13" t="s">
        <v>24</v>
      </c>
      <c r="B782" s="13" t="s">
        <v>25</v>
      </c>
      <c r="C782" s="14" t="s">
        <v>1028</v>
      </c>
      <c r="D782" s="14" t="s">
        <v>365</v>
      </c>
      <c r="E782" s="156">
        <v>45408.0</v>
      </c>
      <c r="F782" s="38">
        <v>45425.708333333336</v>
      </c>
      <c r="G782" s="17" t="str">
        <f t="shared" si="43"/>
        <v>17 Д</v>
      </c>
      <c r="H782" s="18">
        <f t="shared" si="48"/>
        <v>750</v>
      </c>
      <c r="I782" s="80" t="str">
        <f t="shared" si="39"/>
        <v/>
      </c>
      <c r="J782" s="20" t="str">
        <f t="shared" si="25"/>
        <v/>
      </c>
      <c r="K782" s="53">
        <v>9750.0</v>
      </c>
      <c r="L782" s="23"/>
      <c r="M782" s="53">
        <v>750.0</v>
      </c>
      <c r="N782" s="49">
        <v>10000.0</v>
      </c>
      <c r="O782" s="22">
        <f>IFERROR(__xludf.DUMMYFUNCTION("IFERROR(
  VLOOKUP(C782,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C782
    ), 
    7, FALSE
  ), 
  """"
)
"),21600.0)</f>
        <v>21600</v>
      </c>
      <c r="P782" s="22">
        <f>IFERROR(__xludf.DUMMYFUNCTION("IF(OR(ISBLANK(Q782), ISBLANK(O782), VALUE(SUBSTITUTE(INDEX(SPLIT(IF(ISBLANK(R782), Q782, R782), "" km""), 0, 1), "" "", """")) - O782 = 0), """", IF(ISBLANK(R782), VALUE(SUBSTITUTE(INDEX(SPLIT(Q782, "" km""), 0, 1), "" "", """")) - O782, VALUE(SUBSTITUTE("&amp;"INDEX(SPLIT(R782, "" km""), 0, 1), "" "", """")) - O782))"),-11600.0)</f>
        <v>-11600</v>
      </c>
      <c r="Q782" s="23" t="str">
        <f t="shared" si="4"/>
        <v>10 000 Km, 26.04.2024</v>
      </c>
      <c r="R782" s="20"/>
      <c r="S782" s="41">
        <v>0.0</v>
      </c>
      <c r="T782" s="50">
        <v>2.0</v>
      </c>
      <c r="U782" s="42" t="s">
        <v>0</v>
      </c>
      <c r="V782" s="13" t="s">
        <v>366</v>
      </c>
      <c r="W782" s="24" t="str">
        <f t="shared" si="46"/>
        <v>Завершена</v>
      </c>
      <c r="X782" s="13" t="str">
        <f>IFERROR(__xludf.DUMMYFUNCTION("IF(C782 = """", """", IF(REGEXMATCH(C782, ""PCX|NMAX|ADV|CLICK""), ""скутер"", ""мото""))"),"мото")</f>
        <v>мото</v>
      </c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</row>
    <row r="783" hidden="1">
      <c r="A783" s="25" t="s">
        <v>24</v>
      </c>
      <c r="B783" s="27" t="s">
        <v>25</v>
      </c>
      <c r="C783" s="27" t="s">
        <v>423</v>
      </c>
      <c r="D783" s="27" t="s">
        <v>1448</v>
      </c>
      <c r="E783" s="43">
        <v>45410.0</v>
      </c>
      <c r="F783" s="39">
        <v>45417.708333333336</v>
      </c>
      <c r="G783" s="30" t="str">
        <f t="shared" si="43"/>
        <v>7 Д</v>
      </c>
      <c r="H783" s="31">
        <f t="shared" si="48"/>
        <v>1000</v>
      </c>
      <c r="I783" s="74" t="str">
        <f t="shared" si="39"/>
        <v/>
      </c>
      <c r="J783" s="33" t="str">
        <f t="shared" si="25"/>
        <v/>
      </c>
      <c r="K783" s="36">
        <f>5500</f>
        <v>5500</v>
      </c>
      <c r="L783" s="67"/>
      <c r="M783" s="33">
        <v>1000.0</v>
      </c>
      <c r="N783" s="34">
        <v>17850.0</v>
      </c>
      <c r="O783" s="35" t="str">
        <f>IFERROR(__xludf.DUMMYFUNCTION("IFERROR(
  VLOOKUP(C783,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C783
    ), 
    7, FALSE
  ), 
  """"
)
"),"")</f>
        <v/>
      </c>
      <c r="P783" s="35">
        <f>IFERROR(__xludf.DUMMYFUNCTION("IF(AND(Q783="""", R783=""""),
  """",
  IF(OR(ISBLANK(Q783), ISBLANK(O783)),
    """",
    IF(VALUE(SUBSTITUTE(INDEX(SPLIT(IF(ISBLANK(R783), Q783, R783), "",""), 0, 1), "" Km"", """")) - O783 = 0,
      """",
      VALUE(SUBSTITUTE(INDEX(SPLIT(IF(ISBLANK("&amp;"R783), Q783, R783), "",""), 0, 1), "" Km"", """")) - O783
    )
  )
)"),17850.0)</f>
        <v>17850</v>
      </c>
      <c r="Q783" s="33" t="str">
        <f t="shared" si="4"/>
        <v>17 850 Km, 28.04.2024</v>
      </c>
      <c r="R783" s="77"/>
      <c r="S783" s="31" t="s">
        <v>430</v>
      </c>
      <c r="T783" s="37">
        <v>2.0</v>
      </c>
      <c r="U783" s="37" t="s">
        <v>1449</v>
      </c>
      <c r="V783" s="78"/>
      <c r="W783" s="37" t="str">
        <f t="shared" si="46"/>
        <v>Завершена</v>
      </c>
      <c r="X783" s="46" t="str">
        <f>IFERROR(__xludf.DUMMYFUNCTION("IF(C783 = """", """", IF(REGEXMATCH(C783, ""PCX|NMAX|ADV 150|CLICK""), ""скутер"", ""мото""))"),"мото")</f>
        <v>мото</v>
      </c>
      <c r="Y783" s="25"/>
      <c r="Z783" s="25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</row>
    <row r="784" hidden="1">
      <c r="A784" s="13" t="s">
        <v>24</v>
      </c>
      <c r="B784" s="14" t="s">
        <v>25</v>
      </c>
      <c r="C784" s="62" t="s">
        <v>102</v>
      </c>
      <c r="D784" s="14" t="s">
        <v>685</v>
      </c>
      <c r="E784" s="48">
        <v>45410.0</v>
      </c>
      <c r="F784" s="38">
        <v>45419.708333333336</v>
      </c>
      <c r="G784" s="17" t="str">
        <f t="shared" si="43"/>
        <v>9 Д</v>
      </c>
      <c r="H784" s="18">
        <f t="shared" si="48"/>
        <v>1400</v>
      </c>
      <c r="I784" s="80" t="str">
        <f t="shared" si="39"/>
        <v/>
      </c>
      <c r="J784" s="20" t="str">
        <f t="shared" si="25"/>
        <v/>
      </c>
      <c r="K784" s="20">
        <f>1400*9</f>
        <v>12600</v>
      </c>
      <c r="L784" s="64"/>
      <c r="M784" s="23">
        <v>1400.0</v>
      </c>
      <c r="N784" s="21">
        <v>39500.0</v>
      </c>
      <c r="O784" s="22">
        <f>IFERROR(__xludf.DUMMYFUNCTION("IFERROR(
  VLOOKUP(C784,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C784
    ), 
    7, FALSE
  ), 
  """"
)
"),63700.0)</f>
        <v>63700</v>
      </c>
      <c r="P784" s="157">
        <f>IFERROR(__xludf.DUMMYFUNCTION("IF(AND(Q784="""", R784=""""),
  """",
  IF(OR(ISBLANK(Q784), ISBLANK(O784)),
    """",
    IF(VALUE(SUBSTITUTE(INDEX(SPLIT(IF(ISBLANK(R784), Q784, R784), "",""), 0, 1), "" Km"", """")) - O784 = 0,
      """",
      VALUE(SUBSTITUTE(INDEX(SPLIT(IF(ISBLANK("&amp;"R784), Q784, R784), "",""), 0, 1), "" Km"", """")) - O784
    )
  )
)"),-24200.0)</f>
        <v>-24200</v>
      </c>
      <c r="Q784" s="20" t="str">
        <f t="shared" si="4"/>
        <v>39 500 Km, 28.04.2024</v>
      </c>
      <c r="R784" s="152"/>
      <c r="S784" s="18" t="s">
        <v>430</v>
      </c>
      <c r="T784" s="24">
        <v>2.0</v>
      </c>
      <c r="U784" s="24" t="s">
        <v>686</v>
      </c>
      <c r="V784" s="154"/>
      <c r="W784" s="24" t="str">
        <f t="shared" si="46"/>
        <v>Завершена</v>
      </c>
      <c r="X784" s="42" t="str">
        <f>IFERROR(__xludf.DUMMYFUNCTION("IF(C784 = """", """", IF(REGEXMATCH(C784, ""PCX|NMAX|ADV|CLICK""), ""скутер"", ""мото""))"),"мото")</f>
        <v>мото</v>
      </c>
      <c r="Y784" s="13"/>
      <c r="Z784" s="13"/>
      <c r="AA784" s="153"/>
      <c r="AB784" s="153"/>
      <c r="AC784" s="153"/>
      <c r="AD784" s="153"/>
      <c r="AE784" s="153"/>
      <c r="AF784" s="153"/>
      <c r="AG784" s="153"/>
      <c r="AH784" s="153"/>
      <c r="AI784" s="153"/>
      <c r="AJ784" s="153"/>
      <c r="AK784" s="153"/>
      <c r="AL784" s="153"/>
      <c r="AM784" s="153"/>
    </row>
    <row r="785" hidden="1">
      <c r="A785" s="25" t="s">
        <v>24</v>
      </c>
      <c r="B785" s="27" t="s">
        <v>25</v>
      </c>
      <c r="C785" s="60" t="s">
        <v>483</v>
      </c>
      <c r="D785" s="27" t="s">
        <v>683</v>
      </c>
      <c r="E785" s="43">
        <v>45410.0</v>
      </c>
      <c r="F785" s="39">
        <v>45424.708333333336</v>
      </c>
      <c r="G785" s="30" t="str">
        <f t="shared" si="43"/>
        <v>14 Д</v>
      </c>
      <c r="H785" s="31">
        <f t="shared" si="48"/>
        <v>1400</v>
      </c>
      <c r="I785" s="74" t="str">
        <f t="shared" si="39"/>
        <v/>
      </c>
      <c r="J785" s="33" t="str">
        <f t="shared" si="25"/>
        <v/>
      </c>
      <c r="K785" s="36">
        <f>9800+195*36.7</f>
        <v>16956.5</v>
      </c>
      <c r="L785" s="67"/>
      <c r="M785" s="36">
        <v>1400.0</v>
      </c>
      <c r="N785" s="34">
        <v>31000.0</v>
      </c>
      <c r="O785" s="35">
        <f>IFERROR(__xludf.DUMMYFUNCTION("IFERROR(
  VLOOKUP(C785,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C785
    ), 
    7, FALSE
  ), 
  """"
)
"),41500.0)</f>
        <v>41500</v>
      </c>
      <c r="P785" s="35">
        <f>IFERROR(__xludf.DUMMYFUNCTION("IF(AND(Q785="""", R785=""""),
  """",
  IF(OR(ISBLANK(Q785), ISBLANK(O785)),
    """",
    IF(VALUE(SUBSTITUTE(INDEX(SPLIT(IF(ISBLANK(R785), Q785, R785), "",""), 0, 1), "" Km"", """")) - O785 = 0,
      """",
      VALUE(SUBSTITUTE(INDEX(SPLIT(IF(ISBLANK("&amp;"R785), Q785, R785), "",""), 0, 1), "" Km"", """")) - O785
    )
  )
)"),-10500.0)</f>
        <v>-10500</v>
      </c>
      <c r="Q785" s="33" t="str">
        <f t="shared" si="4"/>
        <v>31 000 Km, 28.04.2024</v>
      </c>
      <c r="R785" s="77"/>
      <c r="S785" s="31" t="s">
        <v>600</v>
      </c>
      <c r="T785" s="37">
        <v>1.0</v>
      </c>
      <c r="U785" s="37" t="s">
        <v>516</v>
      </c>
      <c r="V785" s="78"/>
      <c r="W785" s="37" t="str">
        <f t="shared" si="46"/>
        <v>Завершена</v>
      </c>
      <c r="X785" s="46" t="str">
        <f>IFERROR(__xludf.DUMMYFUNCTION("IF(C785 = """", """", IF(REGEXMATCH(C785, ""PCX|NMAX|ADV 150|CLICK""), ""скутер"", ""мото""))"),"мото")</f>
        <v>мото</v>
      </c>
      <c r="Y785" s="25"/>
      <c r="Z785" s="25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</row>
    <row r="786" hidden="1">
      <c r="A786" s="13" t="s">
        <v>24</v>
      </c>
      <c r="B786" s="13" t="s">
        <v>25</v>
      </c>
      <c r="C786" s="14" t="s">
        <v>948</v>
      </c>
      <c r="D786" s="14" t="s">
        <v>1454</v>
      </c>
      <c r="E786" s="48">
        <v>45411.0</v>
      </c>
      <c r="F786" s="38">
        <v>45421.875</v>
      </c>
      <c r="G786" s="17" t="str">
        <f t="shared" si="43"/>
        <v>10 Д</v>
      </c>
      <c r="H786" s="18">
        <f t="shared" si="48"/>
        <v>750</v>
      </c>
      <c r="I786" s="80" t="str">
        <f t="shared" si="39"/>
        <v/>
      </c>
      <c r="J786" s="20" t="str">
        <f t="shared" si="25"/>
        <v/>
      </c>
      <c r="K786" s="23">
        <v>7500.0</v>
      </c>
      <c r="L786" s="20"/>
      <c r="M786" s="23">
        <v>750.0</v>
      </c>
      <c r="N786" s="49">
        <v>10500.0</v>
      </c>
      <c r="O786" s="22">
        <f>IFERROR(__xludf.DUMMYFUNCTION("IFERROR(
  VLOOKUP(C786,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C786
    ), 
    7, FALSE
  ), 
  """"
)
"),24553.0)</f>
        <v>24553</v>
      </c>
      <c r="P786" s="22">
        <f>IFERROR(__xludf.DUMMYFUNCTION("IF(AND(Q786="""", R786=""""),
  """",
  IF(OR(ISBLANK(Q786), ISBLANK(O786)),
    """",
    IF(VALUE(SUBSTITUTE(INDEX(SPLIT(IF(ISBLANK(R786), Q786, R786), "",""), 0, 1), "" Km"", """")) - O786 = 0,
      """",
      VALUE(SUBSTITUTE(INDEX(SPLIT(IF(ISBLANK("&amp;"R786), Q786, R786), "",""), 0, 1), "" Km"", """")) - O786
    )
  )
)"),-14053.0)</f>
        <v>-14053</v>
      </c>
      <c r="Q786" s="23" t="str">
        <f t="shared" si="4"/>
        <v>10 500 Km, 29.04.2024</v>
      </c>
      <c r="R786" s="20"/>
      <c r="S786" s="41">
        <v>0.0</v>
      </c>
      <c r="T786" s="13">
        <v>2.0</v>
      </c>
      <c r="U786" s="13" t="s">
        <v>1455</v>
      </c>
      <c r="V786" s="24"/>
      <c r="W786" s="24" t="str">
        <f t="shared" si="46"/>
        <v>Завершена</v>
      </c>
      <c r="X786" s="13" t="str">
        <f>IFERROR(__xludf.DUMMYFUNCTION("IF(C786 = """", """", IF(REGEXMATCH(C786, ""PCX|NMAX|ADV 150|CLICK""), ""скутер"", ""мото""))"),"мото")</f>
        <v>мото</v>
      </c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</row>
    <row r="787" hidden="1">
      <c r="A787" s="25" t="s">
        <v>24</v>
      </c>
      <c r="B787" s="25" t="s">
        <v>25</v>
      </c>
      <c r="C787" s="27" t="s">
        <v>64</v>
      </c>
      <c r="D787" s="27" t="s">
        <v>747</v>
      </c>
      <c r="E787" s="43">
        <v>45411.0</v>
      </c>
      <c r="F787" s="39">
        <v>45425.583333333336</v>
      </c>
      <c r="G787" s="30" t="str">
        <f t="shared" si="43"/>
        <v>14 Д</v>
      </c>
      <c r="H787" s="31">
        <f t="shared" si="48"/>
        <v>550</v>
      </c>
      <c r="I787" s="74" t="str">
        <f t="shared" si="39"/>
        <v/>
      </c>
      <c r="J787" s="33" t="str">
        <f t="shared" si="25"/>
        <v/>
      </c>
      <c r="K787" s="36">
        <f>550*14</f>
        <v>7700</v>
      </c>
      <c r="L787" s="33"/>
      <c r="M787" s="36">
        <v>550.0</v>
      </c>
      <c r="N787" s="44">
        <v>22900.0</v>
      </c>
      <c r="O787" s="35">
        <f>IFERROR(__xludf.DUMMYFUNCTION("IFERROR(
  VLOOKUP(C787,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C787
    ), 
    7, FALSE
  ), 
  """"
)
"),32600.0)</f>
        <v>32600</v>
      </c>
      <c r="P787" s="35">
        <f>IFERROR(__xludf.DUMMYFUNCTION("IF(AND(Q787="""", R787=""""),
  """",
  IF(OR(ISBLANK(Q787), ISBLANK(O787)),
    """",
    IF(VALUE(SUBSTITUTE(INDEX(SPLIT(IF(ISBLANK(R787), Q787, R787), "",""), 0, 1), "" Km"", """")) - O787 = 0,
      """",
      VALUE(SUBSTITUTE(INDEX(SPLIT(IF(ISBLANK("&amp;"R787), Q787, R787), "",""), 0, 1), "" Km"", """")) - O787
    )
  )
)"),-9700.0)</f>
        <v>-9700</v>
      </c>
      <c r="Q787" s="36" t="str">
        <f t="shared" si="4"/>
        <v>22 900 Km, 29.04.2024</v>
      </c>
      <c r="R787" s="33"/>
      <c r="S787" s="40">
        <v>0.0</v>
      </c>
      <c r="T787" s="25">
        <v>2.0</v>
      </c>
      <c r="U787" s="25" t="s">
        <v>1371</v>
      </c>
      <c r="V787" s="37"/>
      <c r="W787" s="37" t="str">
        <f t="shared" si="46"/>
        <v>Завершена</v>
      </c>
      <c r="X787" s="25" t="str">
        <f>IFERROR(__xludf.DUMMYFUNCTION("IF(C787 = """", """", IF(REGEXMATCH(C787, ""PCX|NMAX|ADV|CLICK""), ""скутер"", ""мото""))"),"мото")</f>
        <v>мото</v>
      </c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</row>
    <row r="788" hidden="1">
      <c r="A788" s="13" t="s">
        <v>24</v>
      </c>
      <c r="B788" s="13" t="s">
        <v>25</v>
      </c>
      <c r="C788" s="14" t="s">
        <v>155</v>
      </c>
      <c r="D788" s="14" t="s">
        <v>1456</v>
      </c>
      <c r="E788" s="48">
        <v>45412.0</v>
      </c>
      <c r="F788" s="38">
        <v>45421.6875</v>
      </c>
      <c r="G788" s="17" t="str">
        <f t="shared" si="43"/>
        <v>9 Д</v>
      </c>
      <c r="H788" s="18">
        <f t="shared" si="48"/>
        <v>550</v>
      </c>
      <c r="I788" s="80" t="str">
        <f t="shared" si="39"/>
        <v/>
      </c>
      <c r="J788" s="20" t="str">
        <f t="shared" si="25"/>
        <v/>
      </c>
      <c r="K788" s="23">
        <v>5500.0</v>
      </c>
      <c r="L788" s="20"/>
      <c r="M788" s="23">
        <v>550.0</v>
      </c>
      <c r="N788" s="49">
        <v>33655.0</v>
      </c>
      <c r="O788" s="22" t="str">
        <f>IFERROR(__xludf.DUMMYFUNCTION("IFERROR(
  VLOOKUP(C788,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C788
    ), 
    7, FALSE
  ), 
  """"
)
"),"")</f>
        <v/>
      </c>
      <c r="P788" s="22">
        <f>IFERROR(__xludf.DUMMYFUNCTION("IF(AND(Q788="""", R788=""""),
  """",
  IF(OR(ISBLANK(Q788), ISBLANK(O788)),
    """",
    IF(VALUE(SUBSTITUTE(INDEX(SPLIT(IF(ISBLANK(R788), Q788, R788), "",""), 0, 1), "" Km"", """")) - O788 = 0,
      """",
      VALUE(SUBSTITUTE(INDEX(SPLIT(IF(ISBLANK("&amp;"R788), Q788, R788), "",""), 0, 1), "" Km"", """")) - O788
    )
  )
)"),33655.0)</f>
        <v>33655</v>
      </c>
      <c r="Q788" s="23" t="str">
        <f t="shared" si="4"/>
        <v>33 655 Km, 30.04.2024</v>
      </c>
      <c r="R788" s="20"/>
      <c r="S788" s="41">
        <v>200.0</v>
      </c>
      <c r="T788" s="13">
        <v>1.0</v>
      </c>
      <c r="U788" s="13" t="s">
        <v>1457</v>
      </c>
      <c r="V788" s="24"/>
      <c r="W788" s="24" t="str">
        <f t="shared" si="46"/>
        <v>Завершена</v>
      </c>
      <c r="X788" s="13" t="str">
        <f>IFERROR(__xludf.DUMMYFUNCTION("IF(C788 = """", """", IF(REGEXMATCH(C788, ""PCX|NMAX|ADV 150|CLICK""), ""скутер"", ""мото""))"),"мото")</f>
        <v>мото</v>
      </c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</row>
    <row r="789" hidden="1">
      <c r="A789" s="25" t="s">
        <v>24</v>
      </c>
      <c r="B789" s="25" t="s">
        <v>25</v>
      </c>
      <c r="C789" s="27" t="s">
        <v>113</v>
      </c>
      <c r="D789" s="27" t="s">
        <v>1458</v>
      </c>
      <c r="E789" s="43">
        <v>45414.0</v>
      </c>
      <c r="F789" s="39">
        <v>45419.75</v>
      </c>
      <c r="G789" s="30" t="str">
        <f t="shared" si="43"/>
        <v>5 Д</v>
      </c>
      <c r="H789" s="31">
        <f t="shared" si="48"/>
        <v>649</v>
      </c>
      <c r="I789" s="74" t="str">
        <f t="shared" si="39"/>
        <v/>
      </c>
      <c r="J789" s="33" t="str">
        <f t="shared" si="25"/>
        <v/>
      </c>
      <c r="K789" s="36">
        <v>3245.0</v>
      </c>
      <c r="L789" s="33"/>
      <c r="M789" s="36">
        <v>649.0</v>
      </c>
      <c r="N789" s="44">
        <v>31005.0</v>
      </c>
      <c r="O789" s="35" t="str">
        <f>IFERROR(__xludf.DUMMYFUNCTION("IFERROR(
  VLOOKUP(C789,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C789
    ), 
    7, FALSE
  ), 
  """"
)
"),"")</f>
        <v/>
      </c>
      <c r="P789" s="35">
        <f>IFERROR(__xludf.DUMMYFUNCTION("IF(AND(Q789="""", R789=""""),
  """",
  IF(OR(ISBLANK(Q789), ISBLANK(O789)),
    """",
    IF(VALUE(SUBSTITUTE(INDEX(SPLIT(IF(ISBLANK(R789), Q789, R789), "",""), 0, 1), "" Km"", """")) - O789 = 0,
      """",
      VALUE(SUBSTITUTE(INDEX(SPLIT(IF(ISBLANK("&amp;"R789), Q789, R789), "",""), 0, 1), "" Km"", """")) - O789
    )
  )
)"),31005.0)</f>
        <v>31005</v>
      </c>
      <c r="Q789" s="36" t="str">
        <f t="shared" si="4"/>
        <v>31 005 Km, 02.05.2024</v>
      </c>
      <c r="R789" s="33"/>
      <c r="S789" s="40">
        <v>5000.0</v>
      </c>
      <c r="T789" s="25">
        <v>2.0</v>
      </c>
      <c r="U789" s="25" t="s">
        <v>1459</v>
      </c>
      <c r="V789" s="37"/>
      <c r="W789" s="37" t="str">
        <f t="shared" si="46"/>
        <v>Завершена</v>
      </c>
      <c r="X789" s="25" t="str">
        <f>IFERROR(__xludf.DUMMYFUNCTION("IF(C789 = """", """", IF(REGEXMATCH(C789, ""PCX|NMAX|ADV 150|CLICK""), ""скутер"", ""мото""))"),"мото")</f>
        <v>мото</v>
      </c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</row>
    <row r="790" hidden="1">
      <c r="A790" s="13" t="s">
        <v>24</v>
      </c>
      <c r="B790" s="13" t="s">
        <v>25</v>
      </c>
      <c r="C790" s="14" t="s">
        <v>92</v>
      </c>
      <c r="D790" s="14" t="s">
        <v>1460</v>
      </c>
      <c r="E790" s="48">
        <v>45414.0</v>
      </c>
      <c r="F790" s="38">
        <v>45422.666666666664</v>
      </c>
      <c r="G790" s="17" t="str">
        <f t="shared" si="43"/>
        <v>8 Д</v>
      </c>
      <c r="H790" s="18">
        <f t="shared" si="48"/>
        <v>590</v>
      </c>
      <c r="I790" s="80" t="str">
        <f t="shared" si="39"/>
        <v/>
      </c>
      <c r="J790" s="20" t="str">
        <f t="shared" si="25"/>
        <v/>
      </c>
      <c r="K790" s="23">
        <v>4720.0</v>
      </c>
      <c r="L790" s="20"/>
      <c r="M790" s="23">
        <v>590.0</v>
      </c>
      <c r="N790" s="49">
        <v>23000.0</v>
      </c>
      <c r="O790" s="22">
        <f>IFERROR(__xludf.DUMMYFUNCTION("IFERROR(
  VLOOKUP(C790,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C790
    ), 
    7, FALSE
  ), 
  """"
)
"),23500.0)</f>
        <v>23500</v>
      </c>
      <c r="P790" s="22">
        <f>IFERROR(__xludf.DUMMYFUNCTION("IF(AND(Q790="""", R790=""""),
  """",
  IF(OR(ISBLANK(Q790), ISBLANK(O790)),
    """",
    IF(VALUE(SUBSTITUTE(INDEX(SPLIT(IF(ISBLANK(R790), Q790, R790), "",""), 0, 1), "" Km"", """")) - O790 = 0,
      """",
      VALUE(SUBSTITUTE(INDEX(SPLIT(IF(ISBLANK("&amp;"R790), Q790, R790), "",""), 0, 1), "" Km"", """")) - O790
    )
  )
)"),-500.0)</f>
        <v>-500</v>
      </c>
      <c r="Q790" s="23" t="str">
        <f t="shared" si="4"/>
        <v>23 000 Km, 02.05.2024</v>
      </c>
      <c r="R790" s="20"/>
      <c r="S790" s="41">
        <v>5000.0</v>
      </c>
      <c r="T790" s="13">
        <v>2.0</v>
      </c>
      <c r="U790" s="13" t="s">
        <v>1461</v>
      </c>
      <c r="V790" s="24"/>
      <c r="W790" s="24" t="str">
        <f t="shared" si="46"/>
        <v>Завершена</v>
      </c>
      <c r="X790" s="13" t="str">
        <f>IFERROR(__xludf.DUMMYFUNCTION("IF(C790 = """", """", IF(REGEXMATCH(C790, ""PCX|NMAX|ADV 150|CLICK""), ""скутер"", ""мото""))"),"мото")</f>
        <v>мото</v>
      </c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</row>
    <row r="791" hidden="1">
      <c r="A791" s="25" t="s">
        <v>24</v>
      </c>
      <c r="B791" s="25" t="s">
        <v>25</v>
      </c>
      <c r="C791" s="27" t="s">
        <v>73</v>
      </c>
      <c r="D791" s="27" t="s">
        <v>1462</v>
      </c>
      <c r="E791" s="43">
        <v>45414.0</v>
      </c>
      <c r="F791" s="39">
        <v>45423.75</v>
      </c>
      <c r="G791" s="30" t="str">
        <f t="shared" si="43"/>
        <v>9 Д</v>
      </c>
      <c r="H791" s="31">
        <f t="shared" si="48"/>
        <v>390</v>
      </c>
      <c r="I791" s="74" t="str">
        <f t="shared" si="39"/>
        <v/>
      </c>
      <c r="J791" s="33" t="str">
        <f t="shared" si="25"/>
        <v/>
      </c>
      <c r="K791" s="36">
        <f>1950+390*4</f>
        <v>3510</v>
      </c>
      <c r="L791" s="33"/>
      <c r="M791" s="36">
        <v>390.0</v>
      </c>
      <c r="N791" s="44">
        <v>22429.0</v>
      </c>
      <c r="O791" s="35">
        <f>IFERROR(__xludf.DUMMYFUNCTION("IFERROR(
  VLOOKUP(C791,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C791
    ), 
    7, FALSE
  ), 
  """"
)
"),31000.0)</f>
        <v>31000</v>
      </c>
      <c r="P791" s="35">
        <f>IFERROR(__xludf.DUMMYFUNCTION("IF(AND(Q791="""", R791=""""),
  """",
  IF(OR(ISBLANK(Q791), ISBLANK(O791)),
    """",
    IF(VALUE(SUBSTITUTE(INDEX(SPLIT(IF(ISBLANK(R791), Q791, R791), "",""), 0, 1), "" Km"", """")) - O791 = 0,
      """",
      VALUE(SUBSTITUTE(INDEX(SPLIT(IF(ISBLANK("&amp;"R791), Q791, R791), "",""), 0, 1), "" Km"", """")) - O791
    )
  )
)"),-8571.0)</f>
        <v>-8571</v>
      </c>
      <c r="Q791" s="36" t="str">
        <f t="shared" si="4"/>
        <v>22 429 Km, 02.05.2024</v>
      </c>
      <c r="R791" s="33"/>
      <c r="S791" s="40">
        <v>3000.0</v>
      </c>
      <c r="T791" s="25">
        <v>2.0</v>
      </c>
      <c r="U791" s="25" t="s">
        <v>1463</v>
      </c>
      <c r="V791" s="37"/>
      <c r="W791" s="37" t="str">
        <f t="shared" si="46"/>
        <v>Завершена</v>
      </c>
      <c r="X791" s="25" t="str">
        <f>IFERROR(__xludf.DUMMYFUNCTION("IF(C791 = """", """", IF(REGEXMATCH(C791, ""PCX|NMAX|ADV 150|CLICK""), ""скутер"", ""мото""))"),"скутер")</f>
        <v>скутер</v>
      </c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</row>
    <row r="792" hidden="1">
      <c r="A792" s="13" t="s">
        <v>24</v>
      </c>
      <c r="B792" s="13" t="s">
        <v>25</v>
      </c>
      <c r="C792" s="14" t="s">
        <v>32</v>
      </c>
      <c r="D792" s="14" t="s">
        <v>1464</v>
      </c>
      <c r="E792" s="48">
        <v>45414.0</v>
      </c>
      <c r="F792" s="38">
        <v>45428.625</v>
      </c>
      <c r="G792" s="17" t="str">
        <f t="shared" si="43"/>
        <v>14 Д</v>
      </c>
      <c r="H792" s="18">
        <f t="shared" si="48"/>
        <v>550</v>
      </c>
      <c r="I792" s="80" t="str">
        <f t="shared" si="39"/>
        <v/>
      </c>
      <c r="J792" s="20" t="str">
        <f t="shared" si="25"/>
        <v/>
      </c>
      <c r="K792" s="23">
        <v>7700.0</v>
      </c>
      <c r="L792" s="20"/>
      <c r="M792" s="23">
        <v>550.0</v>
      </c>
      <c r="N792" s="49">
        <v>25000.0</v>
      </c>
      <c r="O792" s="22">
        <f>IFERROR(__xludf.DUMMYFUNCTION("IFERROR(
  VLOOKUP(C792,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C792
    ), 
    7, FALSE
  ), 
  """"
)
"),38640.0)</f>
        <v>38640</v>
      </c>
      <c r="P792" s="22">
        <f>IFERROR(__xludf.DUMMYFUNCTION("IF(AND(Q792="""", R792=""""),
  """",
  IF(OR(ISBLANK(Q792), ISBLANK(O792)),
    """",
    IF(VALUE(SUBSTITUTE(INDEX(SPLIT(IF(ISBLANK(R792), Q792, R792), "",""), 0, 1), "" Km"", """")) - O792 = 0,
      """",
      VALUE(SUBSTITUTE(INDEX(SPLIT(IF(ISBLANK("&amp;"R792), Q792, R792), "",""), 0, 1), "" Km"", """")) - O792
    )
  )
)"),-13640.0)</f>
        <v>-13640</v>
      </c>
      <c r="Q792" s="23" t="str">
        <f t="shared" si="4"/>
        <v>25 000 Km, 02.05.2024</v>
      </c>
      <c r="R792" s="20"/>
      <c r="S792" s="41">
        <v>5000.0</v>
      </c>
      <c r="T792" s="13">
        <v>2.0</v>
      </c>
      <c r="U792" s="13" t="s">
        <v>1465</v>
      </c>
      <c r="V792" s="24"/>
      <c r="W792" s="24" t="str">
        <f t="shared" si="46"/>
        <v>Завершена</v>
      </c>
      <c r="X792" s="13" t="str">
        <f>IFERROR(__xludf.DUMMYFUNCTION("IF(C792 = """", """", IF(REGEXMATCH(C792, ""PCX|NMAX|ADV 150|CLICK""), ""скутер"", ""мото""))"),"мото")</f>
        <v>мото</v>
      </c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</row>
    <row r="793" hidden="1">
      <c r="A793" s="25" t="s">
        <v>24</v>
      </c>
      <c r="B793" s="25" t="s">
        <v>25</v>
      </c>
      <c r="C793" s="27" t="s">
        <v>68</v>
      </c>
      <c r="D793" s="27" t="s">
        <v>1258</v>
      </c>
      <c r="E793" s="43">
        <v>45415.0</v>
      </c>
      <c r="F793" s="39">
        <v>45420.583333333336</v>
      </c>
      <c r="G793" s="30" t="str">
        <f t="shared" si="43"/>
        <v>5 Д</v>
      </c>
      <c r="H793" s="31">
        <f t="shared" si="48"/>
        <v>390</v>
      </c>
      <c r="I793" s="74" t="str">
        <f t="shared" si="39"/>
        <v/>
      </c>
      <c r="J793" s="33" t="str">
        <f t="shared" si="25"/>
        <v/>
      </c>
      <c r="K793" s="36">
        <v>1950.0</v>
      </c>
      <c r="L793" s="33"/>
      <c r="M793" s="36">
        <v>390.0</v>
      </c>
      <c r="N793" s="34"/>
      <c r="O793" s="35">
        <f>IFERROR(__xludf.DUMMYFUNCTION("IFERROR(
  VLOOKUP(C793,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C793
    ), 
    7, FALSE
  ), 
  """"
)
"),24094.0)</f>
        <v>24094</v>
      </c>
      <c r="P793" s="35">
        <f>IFERROR(__xludf.DUMMYFUNCTION("IF(AND(Q793="""", R793=""""),
  """",
  IF(OR(ISBLANK(Q793), ISBLANK(O793)),
    """",
    IF(VALUE(SUBSTITUTE(INDEX(SPLIT(IF(ISBLANK(R793), Q793, R793), "",""), 0, 1), "" Km"", """")) - O793 = 0,
      """",
      VALUE(SUBSTITUTE(INDEX(SPLIT(IF(ISBLANK("&amp;"R793), Q793, R793), "",""), 0, 1), "" Km"", """")) - O793
    )
  )
)"),-24094.0)</f>
        <v>-24094</v>
      </c>
      <c r="Q793" s="36" t="str">
        <f t="shared" si="4"/>
        <v>0 Km, 03.05.2024</v>
      </c>
      <c r="R793" s="33"/>
      <c r="S793" s="40">
        <v>3000.0</v>
      </c>
      <c r="T793" s="25">
        <v>2.0</v>
      </c>
      <c r="U793" s="71" t="s">
        <v>1466</v>
      </c>
      <c r="V793" s="37"/>
      <c r="W793" s="37" t="str">
        <f t="shared" si="46"/>
        <v>Завершена</v>
      </c>
      <c r="X793" s="25" t="str">
        <f>IFERROR(__xludf.DUMMYFUNCTION("IF(C793 = """", """", IF(REGEXMATCH(C793, ""PCX|NMAX|ADV 150|CLICK""), ""скутер"", ""мото""))"),"скутер")</f>
        <v>скутер</v>
      </c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</row>
    <row r="794" hidden="1">
      <c r="A794" s="13" t="s">
        <v>24</v>
      </c>
      <c r="B794" s="13" t="s">
        <v>25</v>
      </c>
      <c r="C794" s="14" t="s">
        <v>56</v>
      </c>
      <c r="D794" s="14" t="s">
        <v>703</v>
      </c>
      <c r="E794" s="48">
        <v>45416.0</v>
      </c>
      <c r="F794" s="38">
        <v>45477.5</v>
      </c>
      <c r="G794" s="17" t="str">
        <f t="shared" si="43"/>
        <v>2 М</v>
      </c>
      <c r="H794" s="18">
        <f t="shared" si="48"/>
        <v>166.6666667</v>
      </c>
      <c r="I794" s="80" t="str">
        <f t="shared" si="39"/>
        <v/>
      </c>
      <c r="J794" s="20" t="str">
        <f t="shared" si="25"/>
        <v/>
      </c>
      <c r="K794" s="23">
        <f>5000+5000</f>
        <v>10000</v>
      </c>
      <c r="L794" s="23">
        <v>5000.0</v>
      </c>
      <c r="M794" s="20"/>
      <c r="N794" s="49">
        <v>25349.0</v>
      </c>
      <c r="O794" s="22">
        <f>IFERROR(__xludf.DUMMYFUNCTION("IFERROR(
  VLOOKUP(C794,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C794
    ), 
    7, FALSE
  ), 
  """"
)
"),36400.0)</f>
        <v>36400</v>
      </c>
      <c r="P794" s="22">
        <f>IFERROR(__xludf.DUMMYFUNCTION("IF(AND(Q794="""", R794=""""),
  """",
  IF(OR(ISBLANK(Q794), ISBLANK(O794)),
    """",
    IF(VALUE(SUBSTITUTE(INDEX(SPLIT(IF(ISBLANK(R794), Q794, R794), "",""), 0, 1), "" Km"", """")) - O794 = 0,
      """",
      VALUE(SUBSTITUTE(INDEX(SPLIT(IF(ISBLANK("&amp;"R794), Q794, R794), "",""), 0, 1), "" Km"", """")) - O794
    )
  )
)"),-11051.0)</f>
        <v>-11051</v>
      </c>
      <c r="Q794" s="23" t="str">
        <f t="shared" si="4"/>
        <v>25 349 Km, 04.05.2024</v>
      </c>
      <c r="R794" s="20"/>
      <c r="S794" s="41">
        <v>0.0</v>
      </c>
      <c r="T794" s="13">
        <v>2.0</v>
      </c>
      <c r="U794" s="13" t="s">
        <v>705</v>
      </c>
      <c r="V794" s="13" t="s">
        <v>1467</v>
      </c>
      <c r="W794" s="24" t="str">
        <f t="shared" si="46"/>
        <v>Завершена</v>
      </c>
      <c r="X794" s="13" t="str">
        <f>IFERROR(__xludf.DUMMYFUNCTION("IF(C794 = """", """", IF(REGEXMATCH(C794, ""PCX|NMAX|ADV 150|CLICK""), ""скутер"", ""мото""))"),"скутер")</f>
        <v>скутер</v>
      </c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</row>
    <row r="795" hidden="1">
      <c r="A795" s="25" t="s">
        <v>24</v>
      </c>
      <c r="B795" s="25" t="s">
        <v>25</v>
      </c>
      <c r="C795" s="27" t="s">
        <v>423</v>
      </c>
      <c r="D795" s="27" t="s">
        <v>1468</v>
      </c>
      <c r="E795" s="43">
        <v>45417.0</v>
      </c>
      <c r="F795" s="39">
        <v>45448.5</v>
      </c>
      <c r="G795" s="30" t="str">
        <f t="shared" si="43"/>
        <v>1 М</v>
      </c>
      <c r="H795" s="31">
        <f t="shared" si="48"/>
        <v>380</v>
      </c>
      <c r="I795" s="74" t="str">
        <f t="shared" si="39"/>
        <v/>
      </c>
      <c r="J795" s="33" t="str">
        <f t="shared" si="25"/>
        <v/>
      </c>
      <c r="K795" s="36">
        <v>11400.0</v>
      </c>
      <c r="L795" s="36">
        <v>11400.0</v>
      </c>
      <c r="M795" s="33"/>
      <c r="N795" s="44">
        <v>18205.0</v>
      </c>
      <c r="O795" s="35" t="str">
        <f>IFERROR(__xludf.DUMMYFUNCTION("IFERROR(
  VLOOKUP(C795,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C795
    ), 
    7, FALSE
  ), 
  """"
)
"),"")</f>
        <v/>
      </c>
      <c r="P795" s="35">
        <f>IFERROR(__xludf.DUMMYFUNCTION("IF(AND(Q795="""", R795=""""),
  """",
  IF(OR(ISBLANK(Q795), ISBLANK(O795)),
    """",
    IF(VALUE(SUBSTITUTE(INDEX(SPLIT(IF(ISBLANK(R795), Q795, R795), "",""), 0, 1), "" Km"", """")) - O795 = 0,
      """",
      VALUE(SUBSTITUTE(INDEX(SPLIT(IF(ISBLANK("&amp;"R795), Q795, R795), "",""), 0, 1), "" Km"", """")) - O795
    )
  )
)"),18205.0)</f>
        <v>18205</v>
      </c>
      <c r="Q795" s="36" t="str">
        <f t="shared" si="4"/>
        <v>18 205 Km, 05.05.2024</v>
      </c>
      <c r="R795" s="33"/>
      <c r="S795" s="40">
        <v>400.0</v>
      </c>
      <c r="T795" s="25">
        <v>0.0</v>
      </c>
      <c r="U795" s="25" t="s">
        <v>1469</v>
      </c>
      <c r="V795" s="37"/>
      <c r="W795" s="37" t="str">
        <f t="shared" si="46"/>
        <v>Завершена</v>
      </c>
      <c r="X795" s="25" t="str">
        <f>IFERROR(__xludf.DUMMYFUNCTION("IF(C795 = """", """", IF(REGEXMATCH(C795, ""PCX|NMAX|ADV 150|CLICK""), ""скутер"", ""мото""))"),"мото")</f>
        <v>мото</v>
      </c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</row>
    <row r="796" hidden="1">
      <c r="A796" s="13" t="s">
        <v>24</v>
      </c>
      <c r="B796" s="13" t="s">
        <v>25</v>
      </c>
      <c r="C796" s="14" t="s">
        <v>185</v>
      </c>
      <c r="D796" s="14" t="s">
        <v>1470</v>
      </c>
      <c r="E796" s="48">
        <v>45420.0</v>
      </c>
      <c r="F796" s="38">
        <v>45427.791666666664</v>
      </c>
      <c r="G796" s="17" t="str">
        <f t="shared" si="43"/>
        <v>7 Д</v>
      </c>
      <c r="H796" s="18">
        <f t="shared" si="48"/>
        <v>390</v>
      </c>
      <c r="I796" s="80" t="str">
        <f t="shared" si="39"/>
        <v/>
      </c>
      <c r="J796" s="20" t="str">
        <f t="shared" si="25"/>
        <v/>
      </c>
      <c r="K796" s="23">
        <f>1950+780</f>
        <v>2730</v>
      </c>
      <c r="L796" s="20"/>
      <c r="M796" s="23">
        <v>390.0</v>
      </c>
      <c r="N796" s="49">
        <v>29675.0</v>
      </c>
      <c r="O796" s="22" t="str">
        <f>IFERROR(__xludf.DUMMYFUNCTION("IFERROR(
  VLOOKUP(C796,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C796
    ), 
    7, FALSE
  ), 
  """"
)
"),"")</f>
        <v/>
      </c>
      <c r="P796" s="22">
        <f>IFERROR(__xludf.DUMMYFUNCTION("IF(AND(Q796="""", R796=""""),
  """",
  IF(OR(ISBLANK(Q796), ISBLANK(O796)),
    """",
    IF(VALUE(SUBSTITUTE(INDEX(SPLIT(IF(ISBLANK(R796), Q796, R796), "",""), 0, 1), "" Km"", """")) - O796 = 0,
      """",
      VALUE(SUBSTITUTE(INDEX(SPLIT(IF(ISBLANK("&amp;"R796), Q796, R796), "",""), 0, 1), "" Km"", """")) - O796
    )
  )
)"),29675.0)</f>
        <v>29675</v>
      </c>
      <c r="Q796" s="23" t="str">
        <f t="shared" si="4"/>
        <v>29 675 Km, 08.05.2024</v>
      </c>
      <c r="R796" s="20"/>
      <c r="S796" s="41">
        <f>3000-780</f>
        <v>2220</v>
      </c>
      <c r="T796" s="13">
        <v>1.0</v>
      </c>
      <c r="U796" s="13" t="s">
        <v>1471</v>
      </c>
      <c r="V796" s="24"/>
      <c r="W796" s="24" t="str">
        <f t="shared" si="46"/>
        <v>Завершена</v>
      </c>
      <c r="X796" s="13" t="str">
        <f>IFERROR(__xludf.DUMMYFUNCTION("IF(C796 = """", """", IF(REGEXMATCH(C796, ""PCX|NMAX|ADV 150|CLICK""), ""скутер"", ""мото""))"),"скутер")</f>
        <v>скутер</v>
      </c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</row>
    <row r="797" hidden="1">
      <c r="A797" s="25" t="s">
        <v>24</v>
      </c>
      <c r="B797" s="25" t="s">
        <v>25</v>
      </c>
      <c r="C797" s="27" t="s">
        <v>198</v>
      </c>
      <c r="D797" s="27" t="s">
        <v>1472</v>
      </c>
      <c r="E797" s="43">
        <v>45421.0</v>
      </c>
      <c r="F797" s="39">
        <v>45427.541666666664</v>
      </c>
      <c r="G797" s="30" t="str">
        <f t="shared" si="43"/>
        <v>6 Д</v>
      </c>
      <c r="H797" s="31">
        <f t="shared" si="48"/>
        <v>590</v>
      </c>
      <c r="I797" s="74" t="str">
        <f t="shared" si="39"/>
        <v/>
      </c>
      <c r="J797" s="33" t="str">
        <f t="shared" si="25"/>
        <v/>
      </c>
      <c r="K797" s="36">
        <v>3540.0</v>
      </c>
      <c r="L797" s="33"/>
      <c r="M797" s="36">
        <v>590.0</v>
      </c>
      <c r="N797" s="44">
        <v>18632.0</v>
      </c>
      <c r="O797" s="35" t="str">
        <f>IFERROR(__xludf.DUMMYFUNCTION("IFERROR(
  VLOOKUP(C797,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C797
    ), 
    7, FALSE
  ), 
  """"
)
"),"")</f>
        <v/>
      </c>
      <c r="P797" s="35">
        <f>IFERROR(__xludf.DUMMYFUNCTION("IF(AND(Q797="""", R797=""""),
  """",
  IF(OR(ISBLANK(Q797), ISBLANK(O797)),
    """",
    IF(VALUE(SUBSTITUTE(INDEX(SPLIT(IF(ISBLANK(R797), Q797, R797), "",""), 0, 1), "" Km"", """")) - O797 = 0,
      """",
      VALUE(SUBSTITUTE(INDEX(SPLIT(IF(ISBLANK("&amp;"R797), Q797, R797), "",""), 0, 1), "" Km"", """")) - O797
    )
  )
)"),18632.0)</f>
        <v>18632</v>
      </c>
      <c r="Q797" s="36" t="str">
        <f t="shared" si="4"/>
        <v>18 632 Km, 09.05.2024</v>
      </c>
      <c r="R797" s="33"/>
      <c r="S797" s="40">
        <v>5000.0</v>
      </c>
      <c r="T797" s="25">
        <v>2.0</v>
      </c>
      <c r="U797" s="25" t="s">
        <v>1473</v>
      </c>
      <c r="V797" s="37"/>
      <c r="W797" s="37" t="str">
        <f t="shared" si="46"/>
        <v>Завершена</v>
      </c>
      <c r="X797" s="25" t="str">
        <f>IFERROR(__xludf.DUMMYFUNCTION("IF(C797 = """", """", IF(REGEXMATCH(C797, ""PCX|NMAX|ADV 150|CLICK""), ""скутер"", ""мото""))"),"мото")</f>
        <v>мото</v>
      </c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</row>
    <row r="798" hidden="1">
      <c r="A798" s="13" t="s">
        <v>24</v>
      </c>
      <c r="B798" s="13" t="s">
        <v>25</v>
      </c>
      <c r="C798" s="14" t="s">
        <v>114</v>
      </c>
      <c r="D798" s="14" t="s">
        <v>630</v>
      </c>
      <c r="E798" s="48">
        <v>45422.0</v>
      </c>
      <c r="F798" s="38">
        <v>45449.625</v>
      </c>
      <c r="G798" s="17" t="str">
        <f t="shared" si="43"/>
        <v>27 Д</v>
      </c>
      <c r="H798" s="18">
        <f t="shared" si="48"/>
        <v>390</v>
      </c>
      <c r="I798" s="80" t="str">
        <f t="shared" si="39"/>
        <v/>
      </c>
      <c r="J798" s="20" t="str">
        <f t="shared" si="25"/>
        <v/>
      </c>
      <c r="K798" s="23">
        <f>390*10+8190-390*4</f>
        <v>10530</v>
      </c>
      <c r="L798" s="20"/>
      <c r="M798" s="23">
        <v>390.0</v>
      </c>
      <c r="N798" s="49">
        <v>29042.0</v>
      </c>
      <c r="O798" s="22">
        <f>IFERROR(__xludf.DUMMYFUNCTION("IFERROR(
  VLOOKUP(C798,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C798
    ), 
    7, FALSE
  ), 
  """"
)
"),31800.0)</f>
        <v>31800</v>
      </c>
      <c r="P798" s="22">
        <f>IFERROR(__xludf.DUMMYFUNCTION("IF(AND(Q798="""", R798=""""),
  """",
  IF(OR(ISBLANK(Q798), ISBLANK(O798)),
    """",
    IF(VALUE(SUBSTITUTE(INDEX(SPLIT(IF(ISBLANK(R798), Q798, R798), "",""), 0, 1), "" Km"", """")) - O798 = 0,
      """",
      VALUE(SUBSTITUTE(INDEX(SPLIT(IF(ISBLANK("&amp;"R798), Q798, R798), "",""), 0, 1), "" Km"", """")) - O798
    )
  )
)"),-2758.0)</f>
        <v>-2758</v>
      </c>
      <c r="Q798" s="23" t="str">
        <f t="shared" si="4"/>
        <v>29 042 Km, 10.05.2024</v>
      </c>
      <c r="R798" s="20"/>
      <c r="S798" s="41">
        <v>3000.0</v>
      </c>
      <c r="T798" s="13">
        <v>2.0</v>
      </c>
      <c r="U798" s="13" t="s">
        <v>1474</v>
      </c>
      <c r="V798" s="24"/>
      <c r="W798" s="24" t="str">
        <f t="shared" si="46"/>
        <v>Завершена</v>
      </c>
      <c r="X798" s="13" t="str">
        <f>IFERROR(__xludf.DUMMYFUNCTION("IF(C798 = """", """", IF(REGEXMATCH(C798, ""PCX|NMAX|ADV 150|CLICK""), ""скутер"", ""мото""))"),"скутер")</f>
        <v>скутер</v>
      </c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</row>
    <row r="799" hidden="1">
      <c r="A799" s="25" t="s">
        <v>24</v>
      </c>
      <c r="B799" s="25" t="s">
        <v>25</v>
      </c>
      <c r="C799" s="27" t="s">
        <v>185</v>
      </c>
      <c r="D799" s="27" t="s">
        <v>1475</v>
      </c>
      <c r="E799" s="43">
        <v>45430.0</v>
      </c>
      <c r="F799" s="39">
        <v>45435.375</v>
      </c>
      <c r="G799" s="30" t="str">
        <f t="shared" si="43"/>
        <v>5 Д</v>
      </c>
      <c r="H799" s="31">
        <f t="shared" si="48"/>
        <v>300</v>
      </c>
      <c r="I799" s="74" t="str">
        <f t="shared" si="39"/>
        <v/>
      </c>
      <c r="J799" s="33" t="str">
        <f t="shared" si="25"/>
        <v/>
      </c>
      <c r="K799" s="36">
        <v>1500.0</v>
      </c>
      <c r="L799" s="33"/>
      <c r="M799" s="36">
        <v>300.0</v>
      </c>
      <c r="N799" s="44">
        <v>29500.0</v>
      </c>
      <c r="O799" s="35" t="str">
        <f>IFERROR(__xludf.DUMMYFUNCTION("IFERROR(
  VLOOKUP(C799,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C799
    ), 
    7, FALSE
  ), 
  """"
)
"),"")</f>
        <v/>
      </c>
      <c r="P799" s="35">
        <f>IFERROR(__xludf.DUMMYFUNCTION("IF(AND(Q799="""", R799=""""),
  """",
  IF(OR(ISBLANK(Q799), ISBLANK(O799)),
    """",
    IF(VALUE(SUBSTITUTE(INDEX(SPLIT(IF(ISBLANK(R799), Q799, R799), "",""), 0, 1), "" Km"", """")) - O799 = 0,
      """",
      VALUE(SUBSTITUTE(INDEX(SPLIT(IF(ISBLANK("&amp;"R799), Q799, R799), "",""), 0, 1), "" Km"", """")) - O799
    )
  )
)"),29500.0)</f>
        <v>29500</v>
      </c>
      <c r="Q799" s="36" t="str">
        <f t="shared" si="4"/>
        <v>29 500 Km, 18.05.2024</v>
      </c>
      <c r="R799" s="33"/>
      <c r="S799" s="40">
        <v>0.0</v>
      </c>
      <c r="T799" s="25">
        <v>2.0</v>
      </c>
      <c r="U799" s="25" t="s">
        <v>516</v>
      </c>
      <c r="V799" s="37"/>
      <c r="W799" s="37" t="str">
        <f t="shared" si="46"/>
        <v>Завершена</v>
      </c>
      <c r="X799" s="25" t="str">
        <f>IFERROR(__xludf.DUMMYFUNCTION("IF(C799 = """", """", IF(REGEXMATCH(C799, ""PCX|NMAX|ADV 150|CLICK""), ""скутер"", ""мото""))"),"скутер")</f>
        <v>скутер</v>
      </c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</row>
    <row r="800" hidden="1">
      <c r="A800" s="13" t="s">
        <v>24</v>
      </c>
      <c r="B800" s="14" t="s">
        <v>25</v>
      </c>
      <c r="C800" s="105" t="s">
        <v>73</v>
      </c>
      <c r="D800" s="14" t="s">
        <v>1476</v>
      </c>
      <c r="E800" s="15">
        <v>45430.0</v>
      </c>
      <c r="F800" s="158">
        <v>45438.416666666664</v>
      </c>
      <c r="G800" s="17" t="str">
        <f t="shared" si="43"/>
        <v>8 Д</v>
      </c>
      <c r="H800" s="18">
        <f t="shared" si="48"/>
        <v>349</v>
      </c>
      <c r="I800" s="80" t="str">
        <f t="shared" si="39"/>
        <v/>
      </c>
      <c r="J800" s="20" t="str">
        <f t="shared" si="25"/>
        <v/>
      </c>
      <c r="K800" s="20">
        <f>2443+390</f>
        <v>2833</v>
      </c>
      <c r="L800" s="64"/>
      <c r="M800" s="20">
        <v>349.0</v>
      </c>
      <c r="N800" s="21">
        <v>22800.0</v>
      </c>
      <c r="O800" s="22">
        <f>IFERROR(__xludf.DUMMYFUNCTION("IFERROR(
  VLOOKUP(C800,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C800
    ), 
    7, FALSE
  ), 
  """"
)
"),31000.0)</f>
        <v>31000</v>
      </c>
      <c r="P800" s="22">
        <f>IFERROR(__xludf.DUMMYFUNCTION("IF(AND(Q800="""", R800=""""),
  """",
  IF(OR(ISBLANK(Q800), ISBLANK(O800)),
    """",
    IF(VALUE(SUBSTITUTE(INDEX(SPLIT(IF(ISBLANK(R800), Q800, R800), "",""), 0, 1), "" Km"", """")) - O800 = 0,
      """",
      VALUE(SUBSTITUTE(INDEX(SPLIT(IF(ISBLANK("&amp;"R800), Q800, R800), "",""), 0, 1), "" Km"", """")) - O800
    )
  )
)"),-8200.0)</f>
        <v>-8200</v>
      </c>
      <c r="Q800" s="20" t="str">
        <f t="shared" si="4"/>
        <v>22 800 Km, 18.05.2024</v>
      </c>
      <c r="R800" s="152"/>
      <c r="S800" s="18">
        <v>3000.0</v>
      </c>
      <c r="T800" s="42">
        <v>1.0</v>
      </c>
      <c r="U800" s="159" t="s">
        <v>1477</v>
      </c>
      <c r="V800" s="154"/>
      <c r="W800" s="24" t="str">
        <f t="shared" si="46"/>
        <v>Завершена</v>
      </c>
      <c r="X800" s="42" t="str">
        <f>IFERROR(__xludf.DUMMYFUNCTION("IF(C800 = """", """", IF(REGEXMATCH(C800, ""PCX|NMAX|ADV 150|CLICK""), ""скутер"", ""мото""))"),"скутер")</f>
        <v>скутер</v>
      </c>
      <c r="Y800" s="13"/>
      <c r="Z800" s="13"/>
      <c r="AA800" s="153"/>
      <c r="AB800" s="153"/>
      <c r="AC800" s="153"/>
      <c r="AD800" s="153"/>
      <c r="AE800" s="153"/>
      <c r="AF800" s="153"/>
      <c r="AG800" s="153"/>
      <c r="AH800" s="153"/>
      <c r="AI800" s="153"/>
      <c r="AJ800" s="153"/>
      <c r="AK800" s="153"/>
      <c r="AL800" s="153"/>
      <c r="AM800" s="153"/>
    </row>
    <row r="801" hidden="1">
      <c r="A801" s="25" t="s">
        <v>24</v>
      </c>
      <c r="B801" s="27" t="s">
        <v>25</v>
      </c>
      <c r="C801" s="60" t="s">
        <v>438</v>
      </c>
      <c r="D801" s="27" t="s">
        <v>505</v>
      </c>
      <c r="E801" s="43">
        <v>45431.0</v>
      </c>
      <c r="F801" s="39">
        <v>45433.666666666664</v>
      </c>
      <c r="G801" s="30" t="str">
        <f t="shared" si="43"/>
        <v>2 Д</v>
      </c>
      <c r="H801" s="31">
        <f t="shared" si="48"/>
        <v>900</v>
      </c>
      <c r="I801" s="74" t="str">
        <f t="shared" si="39"/>
        <v/>
      </c>
      <c r="J801" s="33" t="str">
        <f t="shared" si="25"/>
        <v/>
      </c>
      <c r="K801" s="36">
        <v>1800.0</v>
      </c>
      <c r="L801" s="36"/>
      <c r="M801" s="108">
        <v>900.0</v>
      </c>
      <c r="N801" s="44">
        <v>22000.0</v>
      </c>
      <c r="O801" s="35">
        <f>IFERROR(__xludf.DUMMYFUNCTION("IFERROR(
  VLOOKUP(C801,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C801
    ), 
    7, FALSE
  ), 
  """"
)
"),37823.0)</f>
        <v>37823</v>
      </c>
      <c r="P801" s="35">
        <f>IFERROR(__xludf.DUMMYFUNCTION("IF(AND(Q801="""", R801=""""),
  """",
  IF(OR(ISBLANK(Q801), ISBLANK(O801)),
    """",
    IF(VALUE(SUBSTITUTE(INDEX(SPLIT(IF(ISBLANK(R801), Q801, R801), "",""), 0, 1), "" Km"", """")) - O801 = 0,
      """",
      VALUE(SUBSTITUTE(INDEX(SPLIT(IF(ISBLANK("&amp;"R801), Q801, R801), "",""), 0, 1), "" Km"", """")) - O801
    )
  )
)"),-15823.0)</f>
        <v>-15823</v>
      </c>
      <c r="Q801" s="33" t="str">
        <f t="shared" si="4"/>
        <v>22 000 Km, 19.05.2024</v>
      </c>
      <c r="R801" s="36"/>
      <c r="S801" s="31">
        <v>20000.0</v>
      </c>
      <c r="T801" s="37">
        <v>0.0</v>
      </c>
      <c r="U801" s="37" t="s">
        <v>576</v>
      </c>
      <c r="V801" s="75"/>
      <c r="W801" s="37" t="str">
        <f t="shared" si="46"/>
        <v>Завершена</v>
      </c>
      <c r="X801" s="25" t="str">
        <f>IFERROR(__xludf.DUMMYFUNCTION("IF(C801 = """", """", IF(REGEXMATCH(C801, ""PCX|NMAX|ADV 150|CLICK""), ""скутер"", ""мото""))"),"мото")</f>
        <v>мото</v>
      </c>
      <c r="Y801" s="25"/>
      <c r="Z801" s="25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</row>
    <row r="802" hidden="1">
      <c r="A802" s="13" t="s">
        <v>24</v>
      </c>
      <c r="B802" s="13" t="s">
        <v>25</v>
      </c>
      <c r="C802" s="14" t="s">
        <v>68</v>
      </c>
      <c r="D802" s="14" t="s">
        <v>1478</v>
      </c>
      <c r="E802" s="48">
        <v>45431.0</v>
      </c>
      <c r="F802" s="38">
        <v>45435.375</v>
      </c>
      <c r="G802" s="17" t="str">
        <f t="shared" si="43"/>
        <v>4 Д</v>
      </c>
      <c r="H802" s="18">
        <f t="shared" si="48"/>
        <v>300</v>
      </c>
      <c r="I802" s="80" t="str">
        <f t="shared" si="39"/>
        <v/>
      </c>
      <c r="J802" s="20" t="str">
        <f t="shared" si="25"/>
        <v/>
      </c>
      <c r="K802" s="23">
        <v>1200.0</v>
      </c>
      <c r="L802" s="20"/>
      <c r="M802" s="23">
        <v>300.0</v>
      </c>
      <c r="N802" s="21"/>
      <c r="O802" s="22">
        <f>IFERROR(__xludf.DUMMYFUNCTION("IFERROR(
  VLOOKUP(C802,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C802
    ), 
    7, FALSE
  ), 
  """"
)
"),24094.0)</f>
        <v>24094</v>
      </c>
      <c r="P802" s="22">
        <f>IFERROR(__xludf.DUMMYFUNCTION("IF(AND(Q802="""", R802=""""),
  """",
  IF(OR(ISBLANK(Q802), ISBLANK(O802)),
    """",
    IF(VALUE(SUBSTITUTE(INDEX(SPLIT(IF(ISBLANK(R802), Q802, R802), "",""), 0, 1), "" Km"", """")) - O802 = 0,
      """",
      VALUE(SUBSTITUTE(INDEX(SPLIT(IF(ISBLANK("&amp;"R802), Q802, R802), "",""), 0, 1), "" Km"", """")) - O802
    )
  )
)"),-24094.0)</f>
        <v>-24094</v>
      </c>
      <c r="Q802" s="23" t="str">
        <f t="shared" si="4"/>
        <v>0 Km, 19.05.2024</v>
      </c>
      <c r="R802" s="20"/>
      <c r="S802" s="18"/>
      <c r="T802" s="13">
        <v>1.0</v>
      </c>
      <c r="U802" s="13" t="s">
        <v>516</v>
      </c>
      <c r="V802" s="24"/>
      <c r="W802" s="24" t="str">
        <f t="shared" si="46"/>
        <v>Завершена</v>
      </c>
      <c r="X802" s="13" t="str">
        <f>IFERROR(__xludf.DUMMYFUNCTION("IF(C802 = """", """", IF(REGEXMATCH(C802, ""PCX|NMAX|ADV 150|CLICK""), ""скутер"", ""мото""))"),"скутер")</f>
        <v>скутер</v>
      </c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</row>
    <row r="803" hidden="1">
      <c r="A803" s="25" t="s">
        <v>24</v>
      </c>
      <c r="B803" s="27" t="s">
        <v>25</v>
      </c>
      <c r="C803" s="60" t="s">
        <v>193</v>
      </c>
      <c r="D803" s="27" t="s">
        <v>1479</v>
      </c>
      <c r="E803" s="28">
        <v>45435.0</v>
      </c>
      <c r="F803" s="29">
        <v>45439.541666666664</v>
      </c>
      <c r="G803" s="30" t="str">
        <f t="shared" si="43"/>
        <v>4 Д</v>
      </c>
      <c r="H803" s="31">
        <f t="shared" si="48"/>
        <v>490</v>
      </c>
      <c r="I803" s="74" t="str">
        <f t="shared" si="39"/>
        <v/>
      </c>
      <c r="J803" s="33" t="str">
        <f t="shared" si="25"/>
        <v/>
      </c>
      <c r="K803" s="33">
        <v>1960.0</v>
      </c>
      <c r="L803" s="67"/>
      <c r="M803" s="33">
        <v>490.0</v>
      </c>
      <c r="N803" s="34">
        <v>15464.0</v>
      </c>
      <c r="O803" s="35" t="str">
        <f>IFERROR(__xludf.DUMMYFUNCTION("IFERROR(
  VLOOKUP(C803,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C803
    ), 
    7, FALSE
  ), 
  """"
)
"),"")</f>
        <v/>
      </c>
      <c r="P803" s="35">
        <f>IFERROR(__xludf.DUMMYFUNCTION("IF(AND(Q803="""", R803=""""),
  """",
  IF(OR(ISBLANK(Q803), ISBLANK(O803)),
    """",
    IF(VALUE(SUBSTITUTE(INDEX(SPLIT(IF(ISBLANK(R803), Q803, R803), "",""), 0, 1), "" Km"", """")) - O803 = 0,
      """",
      VALUE(SUBSTITUTE(INDEX(SPLIT(IF(ISBLANK("&amp;"R803), Q803, R803), "",""), 0, 1), "" Km"", """")) - O803
    )
  )
)"),15464.0)</f>
        <v>15464</v>
      </c>
      <c r="Q803" s="33" t="str">
        <f t="shared" si="4"/>
        <v>15 464 Km, 23.05.2024</v>
      </c>
      <c r="R803" s="77"/>
      <c r="S803" s="31">
        <v>8000.0</v>
      </c>
      <c r="T803" s="37">
        <v>0.0</v>
      </c>
      <c r="U803" s="37" t="s">
        <v>1480</v>
      </c>
      <c r="V803" s="78"/>
      <c r="W803" s="37" t="str">
        <f t="shared" si="46"/>
        <v>Завершена</v>
      </c>
      <c r="X803" s="46" t="str">
        <f>IFERROR(__xludf.DUMMYFUNCTION("IF(C803 = """", """", IF(REGEXMATCH(C803, ""PCX|NMAX|ADV 150|CLICK""), ""скутер"", ""мото""))"),"мото")</f>
        <v>мото</v>
      </c>
      <c r="Y803" s="25"/>
      <c r="Z803" s="25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</row>
    <row r="804" hidden="1">
      <c r="A804" s="13" t="s">
        <v>24</v>
      </c>
      <c r="B804" s="13" t="s">
        <v>25</v>
      </c>
      <c r="C804" s="62" t="s">
        <v>68</v>
      </c>
      <c r="D804" s="14" t="s">
        <v>1481</v>
      </c>
      <c r="E804" s="15">
        <v>45436.0</v>
      </c>
      <c r="F804" s="16">
        <v>45467.5</v>
      </c>
      <c r="G804" s="17" t="str">
        <f t="shared" si="43"/>
        <v>1 М</v>
      </c>
      <c r="H804" s="18">
        <f t="shared" si="48"/>
        <v>166.6666667</v>
      </c>
      <c r="I804" s="80" t="str">
        <f t="shared" si="39"/>
        <v/>
      </c>
      <c r="J804" s="20" t="str">
        <f t="shared" si="25"/>
        <v/>
      </c>
      <c r="K804" s="20">
        <v>5000.0</v>
      </c>
      <c r="L804" s="20">
        <v>5000.0</v>
      </c>
      <c r="M804" s="64"/>
      <c r="N804" s="21">
        <v>22000.0</v>
      </c>
      <c r="O804" s="22">
        <f>IFERROR(__xludf.DUMMYFUNCTION("IFERROR(
  VLOOKUP(C804,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C804
    ), 
    7, FALSE
  ), 
  """"
)
"),24094.0)</f>
        <v>24094</v>
      </c>
      <c r="P804" s="157">
        <f>IFERROR(__xludf.DUMMYFUNCTION("IF(AND(Q804="""", R804=""""),
  """",
  IF(OR(ISBLANK(Q804), ISBLANK(O804)),
    """",
    IF(VALUE(SUBSTITUTE(INDEX(SPLIT(IF(ISBLANK(R804), Q804, R804), "",""), 0, 1), "" Km"", """")) - O804 = 0,
      """",
      VALUE(SUBSTITUTE(INDEX(SPLIT(IF(ISBLANK("&amp;"R804), Q804, R804), "",""), 0, 1), "" Km"", """")) - O804
    )
  )
)"),-2094.0)</f>
        <v>-2094</v>
      </c>
      <c r="Q804" s="20" t="str">
        <f t="shared" si="4"/>
        <v>22 000 Km, 24.05.2024</v>
      </c>
      <c r="R804" s="64"/>
      <c r="S804" s="18">
        <v>3000.0</v>
      </c>
      <c r="T804" s="24">
        <v>2.0</v>
      </c>
      <c r="U804" s="24" t="s">
        <v>1482</v>
      </c>
      <c r="V804" s="73"/>
      <c r="W804" s="24" t="str">
        <f t="shared" si="46"/>
        <v>Завершена</v>
      </c>
      <c r="X804" s="42" t="str">
        <f>IFERROR(__xludf.DUMMYFUNCTION("IF(C804 = """", """", IF(REGEXMATCH(C804, ""PCX|NMAX|ADV|CLICK""), ""скутер"", ""мото""))"),"скутер")</f>
        <v>скутер</v>
      </c>
      <c r="Y804" s="13"/>
      <c r="Z804" s="13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</row>
    <row r="805" hidden="1">
      <c r="A805" s="25" t="s">
        <v>24</v>
      </c>
      <c r="B805" s="27" t="s">
        <v>25</v>
      </c>
      <c r="C805" s="60" t="s">
        <v>132</v>
      </c>
      <c r="D805" s="27" t="s">
        <v>1483</v>
      </c>
      <c r="E805" s="28">
        <v>45437.0</v>
      </c>
      <c r="F805" s="29">
        <v>45468.666666666664</v>
      </c>
      <c r="G805" s="30" t="str">
        <f t="shared" si="43"/>
        <v>1 М</v>
      </c>
      <c r="H805" s="31">
        <f t="shared" si="48"/>
        <v>133.3333333</v>
      </c>
      <c r="I805" s="74" t="str">
        <f t="shared" si="39"/>
        <v/>
      </c>
      <c r="J805" s="33" t="str">
        <f t="shared" si="25"/>
        <v/>
      </c>
      <c r="K805" s="33">
        <v>4000.0</v>
      </c>
      <c r="L805" s="33">
        <v>4000.0</v>
      </c>
      <c r="M805" s="67"/>
      <c r="N805" s="34">
        <v>35500.0</v>
      </c>
      <c r="O805" s="35" t="str">
        <f>IFERROR(__xludf.DUMMYFUNCTION("IFERROR(
  VLOOKUP(C805,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C805
    ), 
    7, FALSE
  ), 
  """"
)
"),"")</f>
        <v/>
      </c>
      <c r="P805" s="35">
        <f>IFERROR(__xludf.DUMMYFUNCTION("IF(AND(Q805="""", R805=""""),
  """",
  IF(OR(ISBLANK(Q805), ISBLANK(O805)),
    """",
    IF(VALUE(SUBSTITUTE(INDEX(SPLIT(IF(ISBLANK(R805), Q805, R805), "",""), 0, 1), "" Km"", """")) - O805 = 0,
      """",
      VALUE(SUBSTITUTE(INDEX(SPLIT(IF(ISBLANK("&amp;"R805), Q805, R805), "",""), 0, 1), "" Km"", """")) - O805
    )
  )
)"),35500.0)</f>
        <v>35500</v>
      </c>
      <c r="Q805" s="33" t="str">
        <f t="shared" si="4"/>
        <v>35 500 Km, 25.05.2024</v>
      </c>
      <c r="R805" s="67"/>
      <c r="S805" s="31">
        <v>0.0</v>
      </c>
      <c r="T805" s="37">
        <v>0.0</v>
      </c>
      <c r="U805" s="75" t="s">
        <v>1484</v>
      </c>
      <c r="V805" s="75"/>
      <c r="W805" s="37" t="str">
        <f t="shared" si="46"/>
        <v>Завершена</v>
      </c>
      <c r="X805" s="46" t="str">
        <f>IFERROR(__xludf.DUMMYFUNCTION("IF(C805 = """", """", IF(REGEXMATCH(C805, ""PCX|NMAX|ADV 150|CLICK""), ""скутер"", ""мото""))"),"скутер")</f>
        <v>скутер</v>
      </c>
      <c r="Y805" s="25"/>
      <c r="Z805" s="25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</row>
    <row r="806" hidden="1">
      <c r="A806" s="13" t="s">
        <v>24</v>
      </c>
      <c r="B806" s="14" t="s">
        <v>25</v>
      </c>
      <c r="C806" s="62" t="s">
        <v>438</v>
      </c>
      <c r="D806" s="14" t="s">
        <v>1485</v>
      </c>
      <c r="E806" s="15">
        <v>45440.0</v>
      </c>
      <c r="F806" s="38">
        <v>45447.583333333336</v>
      </c>
      <c r="G806" s="17" t="str">
        <f t="shared" si="43"/>
        <v>7 Д</v>
      </c>
      <c r="H806" s="18">
        <f t="shared" si="48"/>
        <v>1090</v>
      </c>
      <c r="I806" s="80" t="str">
        <f t="shared" si="39"/>
        <v/>
      </c>
      <c r="J806" s="20" t="str">
        <f t="shared" si="25"/>
        <v/>
      </c>
      <c r="K806" s="20">
        <f>1090*7</f>
        <v>7630</v>
      </c>
      <c r="L806" s="20"/>
      <c r="M806" s="63">
        <v>1090.0</v>
      </c>
      <c r="N806" s="49">
        <v>22400.0</v>
      </c>
      <c r="O806" s="22">
        <f>IFERROR(__xludf.DUMMYFUNCTION("IFERROR(
  VLOOKUP(C806,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C806
    ), 
    7, FALSE
  ), 
  """"
)
"),37823.0)</f>
        <v>37823</v>
      </c>
      <c r="P806" s="22">
        <f>IFERROR(__xludf.DUMMYFUNCTION("IF(AND(Q806="""", R806=""""),
  """",
  IF(OR(ISBLANK(Q806), ISBLANK(O806)),
    """",
    IF(VALUE(SUBSTITUTE(INDEX(SPLIT(IF(ISBLANK(R806), Q806, R806), "",""), 0, 1), "" Km"", """")) - O806 = 0,
      """",
      VALUE(SUBSTITUTE(INDEX(SPLIT(IF(ISBLANK("&amp;"R806), Q806, R806), "",""), 0, 1), "" Km"", """")) - O806
    )
  )
)"),-15423.0)</f>
        <v>-15423</v>
      </c>
      <c r="Q806" s="20" t="str">
        <f t="shared" si="4"/>
        <v>22 400 Km, 28.05.2024</v>
      </c>
      <c r="R806" s="64"/>
      <c r="S806" s="18">
        <v>20000.0</v>
      </c>
      <c r="T806" s="24">
        <v>2.0</v>
      </c>
      <c r="U806" s="24" t="s">
        <v>1486</v>
      </c>
      <c r="V806" s="73"/>
      <c r="W806" s="24" t="str">
        <f t="shared" si="46"/>
        <v>Завершена</v>
      </c>
      <c r="X806" s="42" t="str">
        <f>IFERROR(__xludf.DUMMYFUNCTION("IF(C806 = """", """", IF(REGEXMATCH(C806, ""PCX|NMAX|ADV 150|CLICK""), ""скутер"", ""мото""))"),"мото")</f>
        <v>мото</v>
      </c>
      <c r="Y806" s="13"/>
      <c r="Z806" s="13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</row>
    <row r="807" hidden="1">
      <c r="A807" s="25" t="s">
        <v>24</v>
      </c>
      <c r="B807" s="27" t="s">
        <v>25</v>
      </c>
      <c r="C807" s="60" t="s">
        <v>142</v>
      </c>
      <c r="D807" s="27" t="s">
        <v>89</v>
      </c>
      <c r="E807" s="43">
        <v>45440.0</v>
      </c>
      <c r="F807" s="39">
        <v>45532.833333333336</v>
      </c>
      <c r="G807" s="30" t="str">
        <f t="shared" si="43"/>
        <v>3 М</v>
      </c>
      <c r="H807" s="31">
        <f>IF(L807&lt;&gt;"", VALUE(L807)/31, IF(M807&lt;&gt;"", VALUE(M807)/1, ""))
</f>
        <v>290.3225806</v>
      </c>
      <c r="I807" s="74" t="str">
        <f t="shared" si="39"/>
        <v/>
      </c>
      <c r="J807" s="33" t="str">
        <f t="shared" si="25"/>
        <v/>
      </c>
      <c r="K807" s="36">
        <f>9000+9000+9000</f>
        <v>27000</v>
      </c>
      <c r="L807" s="108">
        <v>9000.0</v>
      </c>
      <c r="M807" s="67"/>
      <c r="N807" s="34">
        <v>28500.0</v>
      </c>
      <c r="O807" s="35" t="str">
        <f>IFERROR(__xludf.DUMMYFUNCTION("IFERROR(
  VLOOKUP(C807,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C807
    ), 
    7, FALSE
  ), 
  """"
)
"),"")</f>
        <v/>
      </c>
      <c r="P807" s="35">
        <f>IFERROR(__xludf.DUMMYFUNCTION("IF(AND(Q807="""", R807=""""),
  """",
  IF(OR(ISBLANK(Q807), ISBLANK(O807)),
    """",
    IF(VALUE(SUBSTITUTE(INDEX(SPLIT(IF(ISBLANK(R807), Q807, R807), "",""), 0, 1), "" Km"", """")) - O807 = 0,
      """",
      VALUE(SUBSTITUTE(INDEX(SPLIT(IF(ISBLANK("&amp;"R807), Q807, R807), "",""), 0, 1), "" Km"", """")) - O807
    )
  )
)"),34700.0)</f>
        <v>34700</v>
      </c>
      <c r="Q807" s="33" t="str">
        <f t="shared" si="4"/>
        <v>34700 Km, 01.08.2024</v>
      </c>
      <c r="R807" s="36" t="s">
        <v>1487</v>
      </c>
      <c r="S807" s="31">
        <v>5000.0</v>
      </c>
      <c r="T807" s="32">
        <v>1.0</v>
      </c>
      <c r="U807" s="37" t="s">
        <v>90</v>
      </c>
      <c r="V807" s="37"/>
      <c r="W807" s="37" t="str">
        <f t="shared" si="46"/>
        <v>Завершена</v>
      </c>
      <c r="X807" s="46" t="str">
        <f>IFERROR(__xludf.DUMMYFUNCTION("IF(C807 = """", """", IF(REGEXMATCH(C807, ""PCX|NMAX|ADV 150|CLICK""), ""скутер"", ""мото""))"),"мото")</f>
        <v>мото</v>
      </c>
      <c r="Y807" s="25"/>
      <c r="Z807" s="25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</row>
    <row r="808" hidden="1">
      <c r="A808" s="13" t="s">
        <v>24</v>
      </c>
      <c r="B808" s="14" t="s">
        <v>25</v>
      </c>
      <c r="C808" s="62" t="s">
        <v>102</v>
      </c>
      <c r="D808" s="14" t="s">
        <v>1488</v>
      </c>
      <c r="E808" s="15">
        <v>45441.0</v>
      </c>
      <c r="F808" s="16">
        <v>45444.583333333336</v>
      </c>
      <c r="G808" s="17" t="str">
        <f t="shared" si="43"/>
        <v>3 Д</v>
      </c>
      <c r="H808" s="18">
        <f t="shared" ref="H808:H813" si="50">IF(L808&lt;&gt;"", VALUE(L808)/30, IF(M808&lt;&gt;"", VALUE(M808)/1, ""))
</f>
        <v>1490</v>
      </c>
      <c r="I808" s="80" t="str">
        <f t="shared" si="39"/>
        <v/>
      </c>
      <c r="J808" s="20" t="str">
        <f t="shared" si="25"/>
        <v/>
      </c>
      <c r="K808" s="20">
        <v>4970.0</v>
      </c>
      <c r="L808" s="64"/>
      <c r="M808" s="20">
        <v>1490.0</v>
      </c>
      <c r="N808" s="21">
        <v>40000.0</v>
      </c>
      <c r="O808" s="22">
        <f>IFERROR(__xludf.DUMMYFUNCTION("IFERROR(
  VLOOKUP(C808,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C808
    ), 
    7, FALSE
  ), 
  """"
)
"),63700.0)</f>
        <v>63700</v>
      </c>
      <c r="P808" s="22">
        <f>IFERROR(__xludf.DUMMYFUNCTION("IF(AND(Q808="""", R808=""""),
  """",
  IF(OR(ISBLANK(Q808), ISBLANK(O808)),
    """",
    IF(VALUE(SUBSTITUTE(INDEX(SPLIT(IF(ISBLANK(R808), Q808, R808), "",""), 0, 1), "" Km"", """")) - O808 = 0,
      """",
      VALUE(SUBSTITUTE(INDEX(SPLIT(IF(ISBLANK("&amp;"R808), Q808, R808), "",""), 0, 1), "" Km"", """")) - O808
    )
  )
)"),-23700.0)</f>
        <v>-23700</v>
      </c>
      <c r="Q808" s="20" t="str">
        <f t="shared" si="4"/>
        <v>40 000 Km, 29.05.2024</v>
      </c>
      <c r="R808" s="152"/>
      <c r="S808" s="18">
        <v>20000.0</v>
      </c>
      <c r="T808" s="24">
        <v>2.0</v>
      </c>
      <c r="U808" s="160" t="s">
        <v>1489</v>
      </c>
      <c r="V808" s="154"/>
      <c r="W808" s="24" t="str">
        <f t="shared" si="46"/>
        <v>Завершена</v>
      </c>
      <c r="X808" s="42" t="str">
        <f>IFERROR(__xludf.DUMMYFUNCTION("IF(C808 = """", """", IF(REGEXMATCH(C808, ""PCX|NMAX|ADV 150|CLICK""), ""скутер"", ""мото""))"),"мото")</f>
        <v>мото</v>
      </c>
      <c r="Y808" s="13"/>
      <c r="Z808" s="13"/>
      <c r="AA808" s="153"/>
      <c r="AB808" s="153"/>
      <c r="AC808" s="153"/>
      <c r="AD808" s="153"/>
      <c r="AE808" s="153"/>
      <c r="AF808" s="153"/>
      <c r="AG808" s="153"/>
      <c r="AH808" s="153"/>
      <c r="AI808" s="153"/>
      <c r="AJ808" s="153"/>
      <c r="AK808" s="153"/>
      <c r="AL808" s="153"/>
      <c r="AM808" s="153"/>
    </row>
    <row r="809" hidden="1">
      <c r="A809" s="25" t="s">
        <v>24</v>
      </c>
      <c r="B809" s="27" t="s">
        <v>25</v>
      </c>
      <c r="C809" s="27" t="s">
        <v>193</v>
      </c>
      <c r="D809" s="27" t="s">
        <v>1343</v>
      </c>
      <c r="E809" s="43">
        <v>45447.0</v>
      </c>
      <c r="F809" s="39">
        <v>45508.75</v>
      </c>
      <c r="G809" s="30" t="str">
        <f t="shared" si="43"/>
        <v>2 М</v>
      </c>
      <c r="H809" s="31">
        <f t="shared" si="50"/>
        <v>223.3333333</v>
      </c>
      <c r="I809" s="74" t="str">
        <f t="shared" si="39"/>
        <v/>
      </c>
      <c r="J809" s="33" t="str">
        <f t="shared" si="25"/>
        <v/>
      </c>
      <c r="K809" s="36">
        <f>6700+1864</f>
        <v>8564</v>
      </c>
      <c r="L809" s="36">
        <v>6700.0</v>
      </c>
      <c r="M809" s="67"/>
      <c r="N809" s="44">
        <v>15500.0</v>
      </c>
      <c r="O809" s="35" t="str">
        <f>IFERROR(__xludf.DUMMYFUNCTION("IFERROR(
  VLOOKUP(C809,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C809
    ), 
    7, FALSE
  ), 
  """"
)
"),"")</f>
        <v/>
      </c>
      <c r="P809" s="35">
        <f>IFERROR(__xludf.DUMMYFUNCTION("IF(AND(Q809="""", R809=""""),
  """",
  IF(OR(ISBLANK(Q809), ISBLANK(O809)),
    """",
    IF(VALUE(SUBSTITUTE(INDEX(SPLIT(IF(ISBLANK(R809), Q809, R809), "",""), 0, 1), "" Km"", """")) - O809 = 0,
      """",
      VALUE(SUBSTITUTE(INDEX(SPLIT(IF(ISBLANK("&amp;"R809), Q809, R809), "",""), 0, 1), "" Km"", """")) - O809
    )
  )
)"),15500.0)</f>
        <v>15500</v>
      </c>
      <c r="Q809" s="33" t="str">
        <f t="shared" si="4"/>
        <v>15 500 Km, 04.06.2024</v>
      </c>
      <c r="R809" s="33"/>
      <c r="S809" s="40">
        <v>5000.0</v>
      </c>
      <c r="T809" s="37">
        <v>2.0</v>
      </c>
      <c r="U809" s="37" t="s">
        <v>1344</v>
      </c>
      <c r="V809" s="37" t="s">
        <v>489</v>
      </c>
      <c r="W809" s="37" t="str">
        <f t="shared" si="46"/>
        <v>Завершена</v>
      </c>
      <c r="X809" s="46" t="str">
        <f>IFERROR(__xludf.DUMMYFUNCTION("IF(C809 = """", """", IF(REGEXMATCH(C809, ""PCX|NMAX|ADV 150|CLICK""), ""скутер"", ""мото""))"),"мото")</f>
        <v>мото</v>
      </c>
      <c r="Y809" s="25"/>
      <c r="Z809" s="25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</row>
    <row r="810" hidden="1">
      <c r="A810" s="13" t="s">
        <v>24</v>
      </c>
      <c r="B810" s="14" t="s">
        <v>25</v>
      </c>
      <c r="C810" s="14" t="s">
        <v>750</v>
      </c>
      <c r="D810" s="105" t="s">
        <v>630</v>
      </c>
      <c r="E810" s="48">
        <v>45449.0</v>
      </c>
      <c r="F810" s="38">
        <v>45517.625</v>
      </c>
      <c r="G810" s="17" t="str">
        <f t="shared" si="43"/>
        <v>2 М</v>
      </c>
      <c r="H810" s="18">
        <f t="shared" si="50"/>
        <v>550</v>
      </c>
      <c r="I810" s="80" t="str">
        <f t="shared" si="39"/>
        <v/>
      </c>
      <c r="J810" s="20" t="str">
        <f t="shared" si="25"/>
        <v/>
      </c>
      <c r="K810" s="20">
        <f>390*4+550*10+160*4+8250+5500+5500+5500+4500</f>
        <v>36950</v>
      </c>
      <c r="L810" s="64"/>
      <c r="M810" s="23">
        <v>550.0</v>
      </c>
      <c r="N810" s="49">
        <v>44000.0</v>
      </c>
      <c r="O810" s="22" t="str">
        <f>IFERROR(__xludf.DUMMYFUNCTION("IFERROR(
  VLOOKUP(C810,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C810
    ), 
    7, FALSE
  ), 
  """"
)
"),"")</f>
        <v/>
      </c>
      <c r="P810" s="22">
        <f>IFERROR(__xludf.DUMMYFUNCTION("IF(AND(Q810="""", R810=""""),
  """",
  IF(OR(ISBLANK(Q810), ISBLANK(O810)),
    """",
    IF(VALUE(SUBSTITUTE(INDEX(SPLIT(IF(ISBLANK(R810), Q810, R810), "",""), 0, 1), "" Km"", """")) - O810 = 0,
      """",
      VALUE(SUBSTITUTE(INDEX(SPLIT(IF(ISBLANK("&amp;"R810), Q810, R810), "",""), 0, 1), "" Km"", """")) - O810
    )
  )
)"),44000.0)</f>
        <v>44000</v>
      </c>
      <c r="Q810" s="20" t="str">
        <f t="shared" si="4"/>
        <v>44 000 Km, 06.06.2024</v>
      </c>
      <c r="R810" s="64"/>
      <c r="S810" s="41">
        <v>5000.0</v>
      </c>
      <c r="T810" s="24">
        <v>2.0</v>
      </c>
      <c r="U810" s="24" t="s">
        <v>1474</v>
      </c>
      <c r="V810" s="73"/>
      <c r="W810" s="24" t="str">
        <f t="shared" si="46"/>
        <v>Завершена</v>
      </c>
      <c r="X810" s="42" t="str">
        <f>IFERROR(__xludf.DUMMYFUNCTION("IF(C810 = """", """", IF(REGEXMATCH(C810, ""PCX|NMAX|ADV 150|CLICK""), ""скутер"", ""мото""))"),"мото")</f>
        <v>мото</v>
      </c>
      <c r="Y810" s="13"/>
      <c r="Z810" s="13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</row>
    <row r="811" hidden="1">
      <c r="A811" s="25" t="s">
        <v>24</v>
      </c>
      <c r="B811" s="25" t="s">
        <v>25</v>
      </c>
      <c r="C811" s="27" t="s">
        <v>948</v>
      </c>
      <c r="D811" s="27" t="s">
        <v>1417</v>
      </c>
      <c r="E811" s="43">
        <v>45452.0</v>
      </c>
      <c r="F811" s="39">
        <v>45491.708333333336</v>
      </c>
      <c r="G811" s="30" t="str">
        <f t="shared" si="43"/>
        <v>1 М</v>
      </c>
      <c r="H811" s="31">
        <f t="shared" si="50"/>
        <v>400</v>
      </c>
      <c r="I811" s="74" t="str">
        <f t="shared" si="39"/>
        <v/>
      </c>
      <c r="J811" s="33" t="str">
        <f t="shared" si="25"/>
        <v/>
      </c>
      <c r="K811" s="36">
        <v>15600.0</v>
      </c>
      <c r="L811" s="36">
        <f>12000</f>
        <v>12000</v>
      </c>
      <c r="M811" s="36"/>
      <c r="N811" s="44">
        <v>12500.0</v>
      </c>
      <c r="O811" s="35">
        <f>IFERROR(__xludf.DUMMYFUNCTION("IFERROR(
  VLOOKUP(C811,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C811
    ), 
    7, FALSE
  ), 
  """"
)
"),24553.0)</f>
        <v>24553</v>
      </c>
      <c r="P811" s="35">
        <f>IFERROR(__xludf.DUMMYFUNCTION("IF(AND(Q811="""", R811=""""),
  """",
  IF(OR(ISBLANK(Q811), ISBLANK(O811)),
    """",
    IF(VALUE(SUBSTITUTE(INDEX(SPLIT(IF(ISBLANK(R811), Q811, R811), "",""), 0, 1), "" Km"", """")) - O811 = 0,
      """",
      VALUE(SUBSTITUTE(INDEX(SPLIT(IF(ISBLANK("&amp;"R811), Q811, R811), "",""), 0, 1), "" Km"", """")) - O811
    )
  )
)"),-12053.0)</f>
        <v>-12053</v>
      </c>
      <c r="Q811" s="36" t="str">
        <f t="shared" si="4"/>
        <v>12 500 Km, 09.06.2024</v>
      </c>
      <c r="R811" s="33"/>
      <c r="S811" s="40">
        <v>0.0</v>
      </c>
      <c r="T811" s="25">
        <v>2.0</v>
      </c>
      <c r="U811" s="25" t="s">
        <v>1418</v>
      </c>
      <c r="V811" s="37"/>
      <c r="W811" s="37" t="str">
        <f t="shared" si="46"/>
        <v>Завершена</v>
      </c>
      <c r="X811" s="25" t="str">
        <f>IFERROR(__xludf.DUMMYFUNCTION("IF(C811 = """", """", IF(REGEXMATCH(C811, ""PCX|NMAX|ADV|CLICK""), ""скутер"", ""мото""))"),"скутер")</f>
        <v>скутер</v>
      </c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</row>
    <row r="812" hidden="1">
      <c r="A812" s="13" t="s">
        <v>24</v>
      </c>
      <c r="B812" s="13" t="s">
        <v>25</v>
      </c>
      <c r="C812" s="14" t="s">
        <v>173</v>
      </c>
      <c r="D812" s="14" t="s">
        <v>1378</v>
      </c>
      <c r="E812" s="48">
        <v>45452.0</v>
      </c>
      <c r="F812" s="38">
        <v>45513.833333333336</v>
      </c>
      <c r="G812" s="17" t="str">
        <f t="shared" si="43"/>
        <v>2 М</v>
      </c>
      <c r="H812" s="18">
        <f t="shared" si="50"/>
        <v>190</v>
      </c>
      <c r="I812" s="80" t="str">
        <f t="shared" si="39"/>
        <v/>
      </c>
      <c r="J812" s="20" t="str">
        <f t="shared" si="25"/>
        <v/>
      </c>
      <c r="K812" s="23">
        <f>9000-2667+1000</f>
        <v>7333</v>
      </c>
      <c r="L812" s="23">
        <v>5700.0</v>
      </c>
      <c r="M812" s="20"/>
      <c r="N812" s="49">
        <v>14485.0</v>
      </c>
      <c r="O812" s="22">
        <f>IFERROR(__xludf.DUMMYFUNCTION("IFERROR(
  VLOOKUP(C812,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C812
    ), 
    7, FALSE
  ), 
  """"
)
"),27000.0)</f>
        <v>27000</v>
      </c>
      <c r="P812" s="22">
        <f>IFERROR(__xludf.DUMMYFUNCTION("IF(AND(Q812="""", R812=""""),
  """",
  IF(OR(ISBLANK(Q812), ISBLANK(O812)),
    """",
    IF(VALUE(SUBSTITUTE(INDEX(SPLIT(IF(ISBLANK(R812), Q812, R812), "",""), 0, 1), "" Km"", """")) - O812 = 0,
      """",
      VALUE(SUBSTITUTE(INDEX(SPLIT(IF(ISBLANK("&amp;"R812), Q812, R812), "",""), 0, 1), "" Km"", """")) - O812
    )
  )
)"),-4500.0)</f>
        <v>-4500</v>
      </c>
      <c r="Q812" s="23" t="str">
        <f t="shared" si="4"/>
        <v>22500 Km, 03.06.2024</v>
      </c>
      <c r="R812" s="53" t="s">
        <v>1379</v>
      </c>
      <c r="S812" s="41" t="s">
        <v>430</v>
      </c>
      <c r="T812" s="13">
        <v>1.0</v>
      </c>
      <c r="U812" s="66" t="s">
        <v>1380</v>
      </c>
      <c r="V812" s="13" t="s">
        <v>806</v>
      </c>
      <c r="W812" s="24" t="str">
        <f t="shared" si="46"/>
        <v>Завершена</v>
      </c>
      <c r="X812" s="13" t="str">
        <f>IFERROR(__xludf.DUMMYFUNCTION("IF(C812 = """", """", IF(REGEXMATCH(C812, ""PCX|NMAX|ADV|CLICK""), ""скутер"", ""мото""))"),"мото")</f>
        <v>мото</v>
      </c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</row>
    <row r="813" hidden="1">
      <c r="A813" s="25" t="s">
        <v>24</v>
      </c>
      <c r="B813" s="27" t="s">
        <v>25</v>
      </c>
      <c r="C813" s="27" t="s">
        <v>102</v>
      </c>
      <c r="D813" s="82" t="s">
        <v>490</v>
      </c>
      <c r="E813" s="43">
        <v>45453.0</v>
      </c>
      <c r="F813" s="39">
        <v>45455.583333333336</v>
      </c>
      <c r="G813" s="30" t="str">
        <f t="shared" si="43"/>
        <v>2 Д</v>
      </c>
      <c r="H813" s="31">
        <f t="shared" si="50"/>
        <v>1300</v>
      </c>
      <c r="I813" s="74" t="str">
        <f t="shared" si="39"/>
        <v/>
      </c>
      <c r="J813" s="33" t="str">
        <f t="shared" si="25"/>
        <v/>
      </c>
      <c r="K813" s="36">
        <v>2600.0</v>
      </c>
      <c r="L813" s="67"/>
      <c r="M813" s="36">
        <v>1300.0</v>
      </c>
      <c r="N813" s="44">
        <v>40600.0</v>
      </c>
      <c r="O813" s="35">
        <f>IFERROR(__xludf.DUMMYFUNCTION("IFERROR(
  VLOOKUP(C813,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C813
    ), 
    7, FALSE
  ), 
  """"
)
"),63700.0)</f>
        <v>63700</v>
      </c>
      <c r="P813" s="35">
        <f>IFERROR(__xludf.DUMMYFUNCTION("IF(AND(Q813="""", R813=""""),
  """",
  IF(OR(ISBLANK(Q813), ISBLANK(O813)),
    """",
    IF(VALUE(SUBSTITUTE(INDEX(SPLIT(IF(ISBLANK(R813), Q813, R813), "",""), 0, 1), "" Km"", """")) - O813 = 0,
      """",
      VALUE(SUBSTITUTE(INDEX(SPLIT(IF(ISBLANK("&amp;"R813), Q813, R813), "",""), 0, 1), "" Km"", """")) - O813
    )
  )
)"),-23100.0)</f>
        <v>-23100</v>
      </c>
      <c r="Q813" s="33" t="str">
        <f t="shared" si="4"/>
        <v>40 600 Km, 10.06.2024</v>
      </c>
      <c r="R813" s="77"/>
      <c r="S813" s="40">
        <v>10000.0</v>
      </c>
      <c r="T813" s="37">
        <v>0.0</v>
      </c>
      <c r="U813" s="37" t="s">
        <v>516</v>
      </c>
      <c r="V813" s="37" t="s">
        <v>661</v>
      </c>
      <c r="W813" s="37" t="str">
        <f t="shared" si="46"/>
        <v>Завершена</v>
      </c>
      <c r="X813" s="46" t="str">
        <f>IFERROR(__xludf.DUMMYFUNCTION("IF(C813 = """", """", IF(REGEXMATCH(C813, ""PCX|NMAX|ADV|CLICK""), ""скутер"", ""мото""))"),"мото")</f>
        <v>мото</v>
      </c>
      <c r="Y813" s="25"/>
      <c r="Z813" s="25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</row>
    <row r="814" hidden="1">
      <c r="A814" s="13" t="s">
        <v>24</v>
      </c>
      <c r="B814" s="14" t="s">
        <v>25</v>
      </c>
      <c r="C814" s="14" t="s">
        <v>468</v>
      </c>
      <c r="D814" s="105" t="s">
        <v>490</v>
      </c>
      <c r="E814" s="48">
        <v>45455.0</v>
      </c>
      <c r="F814" s="38">
        <v>45460.583333333336</v>
      </c>
      <c r="G814" s="17" t="str">
        <f t="shared" si="43"/>
        <v>5 Д</v>
      </c>
      <c r="H814" s="18">
        <f t="shared" ref="H814:H816" si="51">IF(L814&lt;&gt;"", VALUE(L814)/31, IF(M814&lt;&gt;"", VALUE(M814)/1, ""))
</f>
        <v>600</v>
      </c>
      <c r="I814" s="80" t="str">
        <f t="shared" si="39"/>
        <v/>
      </c>
      <c r="J814" s="20" t="str">
        <f t="shared" si="25"/>
        <v/>
      </c>
      <c r="K814" s="23">
        <v>3000.0</v>
      </c>
      <c r="L814" s="64"/>
      <c r="M814" s="23">
        <v>600.0</v>
      </c>
      <c r="N814" s="49">
        <v>19900.0</v>
      </c>
      <c r="O814" s="22">
        <f>IFERROR(__xludf.DUMMYFUNCTION("IFERROR(
  VLOOKUP(C814,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C814
    ), 
    7, FALSE
  ), 
  """"
)
"),22200.0)</f>
        <v>22200</v>
      </c>
      <c r="P814" s="22">
        <f>IFERROR(__xludf.DUMMYFUNCTION("IF(AND(Q814="""", R814=""""),
  """",
  IF(OR(ISBLANK(Q814), ISBLANK(O814)),
    """",
    IF(VALUE(SUBSTITUTE(INDEX(SPLIT(IF(ISBLANK(R814), Q814, R814), "",""), 0, 1), "" Km"", """")) - O814 = 0,
      """",
      VALUE(SUBSTITUTE(INDEX(SPLIT(IF(ISBLANK("&amp;"R814), Q814, R814), "",""), 0, 1), "" Km"", """")) - O814
    )
  )
)"),-2300.0)</f>
        <v>-2300</v>
      </c>
      <c r="Q814" s="20" t="str">
        <f t="shared" si="4"/>
        <v>19 900 Km, 12.06.2024</v>
      </c>
      <c r="R814" s="152"/>
      <c r="S814" s="41">
        <v>10000.0</v>
      </c>
      <c r="T814" s="24">
        <v>0.0</v>
      </c>
      <c r="U814" s="24" t="s">
        <v>516</v>
      </c>
      <c r="V814" s="24" t="s">
        <v>661</v>
      </c>
      <c r="W814" s="24" t="str">
        <f t="shared" si="46"/>
        <v>Завершена</v>
      </c>
      <c r="X814" s="42" t="str">
        <f>IFERROR(__xludf.DUMMYFUNCTION("IF(C814 = """", """", IF(REGEXMATCH(C814, ""PCX|NMAX|ADV|CLICK""), ""скутер"", ""мото""))"),"мото")</f>
        <v>мото</v>
      </c>
      <c r="Y814" s="13"/>
      <c r="Z814" s="13"/>
      <c r="AA814" s="153"/>
      <c r="AB814" s="153"/>
      <c r="AC814" s="153"/>
      <c r="AD814" s="153"/>
      <c r="AE814" s="153"/>
      <c r="AF814" s="153"/>
      <c r="AG814" s="153"/>
      <c r="AH814" s="153"/>
      <c r="AI814" s="153"/>
      <c r="AJ814" s="153"/>
      <c r="AK814" s="153"/>
      <c r="AL814" s="153"/>
      <c r="AM814" s="153"/>
    </row>
    <row r="815" hidden="1">
      <c r="A815" s="25" t="s">
        <v>24</v>
      </c>
      <c r="B815" s="27" t="s">
        <v>25</v>
      </c>
      <c r="C815" s="27" t="s">
        <v>114</v>
      </c>
      <c r="D815" s="27" t="s">
        <v>1490</v>
      </c>
      <c r="E815" s="43">
        <v>45460.0</v>
      </c>
      <c r="F815" s="39">
        <v>45462.833333333336</v>
      </c>
      <c r="G815" s="30" t="str">
        <f t="shared" si="43"/>
        <v>2 Д</v>
      </c>
      <c r="H815" s="31">
        <f t="shared" si="51"/>
        <v>300</v>
      </c>
      <c r="I815" s="74" t="str">
        <f t="shared" si="39"/>
        <v/>
      </c>
      <c r="J815" s="33" t="str">
        <f t="shared" si="25"/>
        <v/>
      </c>
      <c r="K815" s="36">
        <v>600.0</v>
      </c>
      <c r="L815" s="108"/>
      <c r="M815" s="108">
        <v>300.0</v>
      </c>
      <c r="N815" s="44">
        <v>21650.0</v>
      </c>
      <c r="O815" s="35">
        <f>IFERROR(__xludf.DUMMYFUNCTION("IFERROR(
  VLOOKUP(C815,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C815
    ), 
    7, FALSE
  ), 
  """"
)
"),31800.0)</f>
        <v>31800</v>
      </c>
      <c r="P815" s="35">
        <f>IFERROR(__xludf.DUMMYFUNCTION("IF(AND(Q815="""", R815=""""),
  """",
  IF(OR(ISBLANK(Q815), ISBLANK(O815)),
    """",
    IF(VALUE(SUBSTITUTE(INDEX(SPLIT(IF(ISBLANK(R815), Q815, R815), "",""), 0, 1), "" Km"", """")) - O815 = 0,
      """",
      VALUE(SUBSTITUTE(INDEX(SPLIT(IF(ISBLANK("&amp;"R815), Q815, R815), "",""), 0, 1), "" Km"", """")) - O815
    )
  )
)"),-10150.0)</f>
        <v>-10150</v>
      </c>
      <c r="Q815" s="33" t="str">
        <f t="shared" si="4"/>
        <v>21 650 Km, 17.06.2024</v>
      </c>
      <c r="R815" s="33"/>
      <c r="S815" s="40" t="s">
        <v>430</v>
      </c>
      <c r="T815" s="32">
        <v>1.0</v>
      </c>
      <c r="U815" s="37"/>
      <c r="V815" s="37"/>
      <c r="W815" s="37" t="str">
        <f t="shared" si="46"/>
        <v>Завершена</v>
      </c>
      <c r="X815" s="46" t="str">
        <f>IFERROR(__xludf.DUMMYFUNCTION("IF(C815 = """", """", IF(REGEXMATCH(C815, ""PCX|NMAX|ADV 150|CLICK""), ""скутер"", ""мото""))"),"скутер")</f>
        <v>скутер</v>
      </c>
      <c r="Y815" s="25"/>
      <c r="Z815" s="25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</row>
    <row r="816" hidden="1">
      <c r="A816" s="13" t="s">
        <v>24</v>
      </c>
      <c r="B816" s="14" t="s">
        <v>25</v>
      </c>
      <c r="C816" s="14" t="s">
        <v>52</v>
      </c>
      <c r="D816" s="14" t="s">
        <v>1343</v>
      </c>
      <c r="E816" s="48">
        <v>45465.0</v>
      </c>
      <c r="F816" s="38">
        <v>45471.75</v>
      </c>
      <c r="G816" s="17" t="str">
        <f t="shared" si="43"/>
        <v>6 Д</v>
      </c>
      <c r="H816" s="18">
        <f t="shared" si="51"/>
        <v>166</v>
      </c>
      <c r="I816" s="80" t="str">
        <f t="shared" si="39"/>
        <v/>
      </c>
      <c r="J816" s="20" t="str">
        <f t="shared" si="25"/>
        <v/>
      </c>
      <c r="K816" s="23">
        <f>1000+500</f>
        <v>1500</v>
      </c>
      <c r="L816" s="23"/>
      <c r="M816" s="63">
        <v>166.0</v>
      </c>
      <c r="N816" s="49">
        <v>34500.0</v>
      </c>
      <c r="O816" s="22">
        <f>IFERROR(__xludf.DUMMYFUNCTION("IFERROR(
  VLOOKUP(C816,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C816
    ), 
    7, FALSE
  ), 
  """"
)
"),33515.0)</f>
        <v>33515</v>
      </c>
      <c r="P816" s="22">
        <f>IFERROR(__xludf.DUMMYFUNCTION("IF(AND(Q816="""", R816=""""),
  """",
  IF(OR(ISBLANK(Q816), ISBLANK(O816)),
    """",
    IF(VALUE(SUBSTITUTE(INDEX(SPLIT(IF(ISBLANK(R816), Q816, R816), "",""), 0, 1), "" Km"", """")) - O816 = 0,
      """",
      VALUE(SUBSTITUTE(INDEX(SPLIT(IF(ISBLANK("&amp;"R816), Q816, R816), "",""), 0, 1), "" Km"", """")) - O816
    )
  )
)"),985.0)</f>
        <v>985</v>
      </c>
      <c r="Q816" s="20" t="str">
        <f t="shared" si="4"/>
        <v>34 500 Km, 22.06.2024</v>
      </c>
      <c r="R816" s="20"/>
      <c r="S816" s="41">
        <v>0.0</v>
      </c>
      <c r="T816" s="24">
        <v>2.0</v>
      </c>
      <c r="U816" s="24" t="s">
        <v>1344</v>
      </c>
      <c r="V816" s="24" t="s">
        <v>489</v>
      </c>
      <c r="W816" s="24" t="str">
        <f t="shared" si="46"/>
        <v>Завершена</v>
      </c>
      <c r="X816" s="42" t="str">
        <f>IFERROR(__xludf.DUMMYFUNCTION("IF(C816 = """", """", IF(REGEXMATCH(C816, ""PCX|NMAX|ADV 150|CLICK""), ""скутер"", ""мото""))"),"скутер")</f>
        <v>скутер</v>
      </c>
      <c r="Y816" s="13"/>
      <c r="Z816" s="13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</row>
    <row r="817" hidden="1">
      <c r="A817" s="25" t="s">
        <v>24</v>
      </c>
      <c r="B817" s="27" t="s">
        <v>25</v>
      </c>
      <c r="C817" s="27" t="s">
        <v>68</v>
      </c>
      <c r="D817" s="82" t="s">
        <v>1483</v>
      </c>
      <c r="E817" s="43">
        <v>45468.0</v>
      </c>
      <c r="F817" s="39">
        <v>45590.666666666664</v>
      </c>
      <c r="G817" s="30" t="str">
        <f t="shared" si="43"/>
        <v>4 М</v>
      </c>
      <c r="H817" s="31">
        <f t="shared" ref="H817:H841" si="52">IF(L817&lt;&gt;"", VALUE(L817)/30, IF(M817&lt;&gt;"", VALUE(M817)/1, ""))
</f>
        <v>166.6666667</v>
      </c>
      <c r="I817" s="32" t="str">
        <f t="shared" si="39"/>
        <v/>
      </c>
      <c r="J817" s="33" t="str">
        <f t="shared" si="25"/>
        <v/>
      </c>
      <c r="K817" s="36">
        <f>5000+5000+5000+5000</f>
        <v>20000</v>
      </c>
      <c r="L817" s="36">
        <v>5000.0</v>
      </c>
      <c r="M817" s="67"/>
      <c r="N817" s="44">
        <v>24800.0</v>
      </c>
      <c r="O817" s="35">
        <f>IFERROR(__xludf.DUMMYFUNCTION("IFERROR(
  VLOOKUP(C817,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C817
    ), 
    7, FALSE
  ), 
  """"
)
"),24094.0)</f>
        <v>24094</v>
      </c>
      <c r="P817" s="35">
        <f>IFERROR(__xludf.DUMMYFUNCTION("IF(AND(Q817="""", R817=""""),
  """",
  IF(OR(ISBLANK(Q817), ISBLANK(O817)),
    """",
    IF(VALUE(SUBSTITUTE(INDEX(SPLIT(IF(ISBLANK(R817), Q817, R817), "",""), 0, 1), "" Km"", """")) - O817 = 0,
      """",
      VALUE(SUBSTITUTE(INDEX(SPLIT(IF(ISBLANK("&amp;"R817), Q817, R817), "",""), 0, 1), "" Km"", """")) - O817
    )
  )
)"),706.0)</f>
        <v>706</v>
      </c>
      <c r="Q817" s="33" t="str">
        <f t="shared" si="4"/>
        <v>24 800 Km, 25.06.2024</v>
      </c>
      <c r="R817" s="77"/>
      <c r="S817" s="31">
        <v>0.0</v>
      </c>
      <c r="T817" s="37">
        <v>0.0</v>
      </c>
      <c r="U817" s="75" t="s">
        <v>1484</v>
      </c>
      <c r="V817" s="78"/>
      <c r="W817" s="37" t="str">
        <f t="shared" si="46"/>
        <v>Завершена</v>
      </c>
      <c r="X817" s="46" t="str">
        <f>IFERROR(__xludf.DUMMYFUNCTION("IF(C817 = """", """", IF(REGEXMATCH(C817, ""PCX|NMAX|ADV 150|CLICK""), ""скутер"", ""мото""))"),"скутер")</f>
        <v>скутер</v>
      </c>
      <c r="Y817" s="25"/>
      <c r="Z817" s="25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</row>
    <row r="818" hidden="1">
      <c r="A818" s="13" t="s">
        <v>24</v>
      </c>
      <c r="B818" s="13" t="s">
        <v>25</v>
      </c>
      <c r="C818" s="14" t="s">
        <v>461</v>
      </c>
      <c r="D818" s="14" t="s">
        <v>1491</v>
      </c>
      <c r="E818" s="48">
        <v>45469.0</v>
      </c>
      <c r="F818" s="38">
        <v>45472.708333333336</v>
      </c>
      <c r="G818" s="17" t="str">
        <f t="shared" si="43"/>
        <v>3 Д</v>
      </c>
      <c r="H818" s="18">
        <f t="shared" si="52"/>
        <v>890</v>
      </c>
      <c r="I818" s="80" t="str">
        <f t="shared" si="39"/>
        <v/>
      </c>
      <c r="J818" s="20" t="str">
        <f t="shared" si="25"/>
        <v/>
      </c>
      <c r="K818" s="23">
        <v>2670.0</v>
      </c>
      <c r="L818" s="20"/>
      <c r="M818" s="23">
        <v>890.0</v>
      </c>
      <c r="N818" s="49">
        <v>30163.0</v>
      </c>
      <c r="O818" s="22">
        <f>IFERROR(__xludf.DUMMYFUNCTION("IFERROR(
  VLOOKUP(C818,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C818
    ), 
    7, FALSE
  ), 
  """"
)
"),30500.0)</f>
        <v>30500</v>
      </c>
      <c r="P818" s="22">
        <f>IFERROR(__xludf.DUMMYFUNCTION("IF(AND(Q818="""", R818=""""),
  """",
  IF(OR(ISBLANK(Q818), ISBLANK(O818)),
    """",
    IF(VALUE(SUBSTITUTE(INDEX(SPLIT(IF(ISBLANK(R818), Q818, R818), "",""), 0, 1), "" Km"", """")) - O818 = 0,
      """",
      VALUE(SUBSTITUTE(INDEX(SPLIT(IF(ISBLANK("&amp;"R818), Q818, R818), "",""), 0, 1), "" Km"", """")) - O818
    )
  )
)"),-337.0)</f>
        <v>-337</v>
      </c>
      <c r="Q818" s="23" t="str">
        <f t="shared" si="4"/>
        <v>30 163 Km, 26.06.2024</v>
      </c>
      <c r="R818" s="20"/>
      <c r="S818" s="41" t="s">
        <v>430</v>
      </c>
      <c r="T818" s="13">
        <v>2.0</v>
      </c>
      <c r="U818" s="13" t="s">
        <v>1492</v>
      </c>
      <c r="V818" s="24"/>
      <c r="W818" s="24" t="str">
        <f t="shared" si="46"/>
        <v>Завершена</v>
      </c>
      <c r="X818" s="13" t="str">
        <f>IFERROR(__xludf.DUMMYFUNCTION("IF(C818 = """", """", IF(REGEXMATCH(C818, ""PCX|NMAX|ADV 150|CLICK""), ""скутер"", ""мото""))"),"мото")</f>
        <v>мото</v>
      </c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</row>
    <row r="819" hidden="1">
      <c r="A819" s="25" t="s">
        <v>24</v>
      </c>
      <c r="B819" s="25" t="s">
        <v>25</v>
      </c>
      <c r="C819" s="27" t="s">
        <v>64</v>
      </c>
      <c r="D819" s="27" t="s">
        <v>1493</v>
      </c>
      <c r="E819" s="43">
        <v>45471.0</v>
      </c>
      <c r="F819" s="39">
        <v>45504.583333333336</v>
      </c>
      <c r="G819" s="30" t="str">
        <f t="shared" si="43"/>
        <v>1 М</v>
      </c>
      <c r="H819" s="31">
        <f t="shared" si="52"/>
        <v>300</v>
      </c>
      <c r="I819" s="74" t="str">
        <f t="shared" si="39"/>
        <v/>
      </c>
      <c r="J819" s="33" t="str">
        <f t="shared" si="25"/>
        <v/>
      </c>
      <c r="K819" s="36">
        <v>9000.0</v>
      </c>
      <c r="L819" s="33"/>
      <c r="M819" s="36">
        <v>300.0</v>
      </c>
      <c r="N819" s="44">
        <v>23000.0</v>
      </c>
      <c r="O819" s="35">
        <f>IFERROR(__xludf.DUMMYFUNCTION("IFERROR(
  VLOOKUP(C819,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C819
    ), 
    7, FALSE
  ), 
  """"
)
"),32600.0)</f>
        <v>32600</v>
      </c>
      <c r="P819" s="35">
        <f>IFERROR(__xludf.DUMMYFUNCTION("IF(AND(Q819="""", R819=""""),
  """",
  IF(OR(ISBLANK(Q819), ISBLANK(O819)),
    """",
    IF(VALUE(SUBSTITUTE(INDEX(SPLIT(IF(ISBLANK(R819), Q819, R819), "",""), 0, 1), "" Km"", """")) - O819 = 0,
      """",
      VALUE(SUBSTITUTE(INDEX(SPLIT(IF(ISBLANK("&amp;"R819), Q819, R819), "",""), 0, 1), "" Km"", """")) - O819
    )
  )
)"),-9600.0)</f>
        <v>-9600</v>
      </c>
      <c r="Q819" s="36" t="str">
        <f t="shared" si="4"/>
        <v>23 000 Km, 28.06.2024</v>
      </c>
      <c r="R819" s="33"/>
      <c r="S819" s="40" t="s">
        <v>1494</v>
      </c>
      <c r="T819" s="25">
        <v>2.0</v>
      </c>
      <c r="U819" s="71" t="s">
        <v>1495</v>
      </c>
      <c r="V819" s="37"/>
      <c r="W819" s="37" t="str">
        <f t="shared" si="46"/>
        <v>Завершена</v>
      </c>
      <c r="X819" s="25" t="str">
        <f>IFERROR(__xludf.DUMMYFUNCTION("IF(C819 = """", """", IF(REGEXMATCH(C819, ""PCX|NMAX|ADV 150|CLICK""), ""скутер"", ""мото""))"),"мото")</f>
        <v>мото</v>
      </c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</row>
    <row r="820" hidden="1">
      <c r="A820" s="13" t="s">
        <v>24</v>
      </c>
      <c r="B820" s="13" t="s">
        <v>25</v>
      </c>
      <c r="C820" s="14" t="s">
        <v>125</v>
      </c>
      <c r="D820" s="14" t="s">
        <v>1496</v>
      </c>
      <c r="E820" s="48">
        <v>45474.0</v>
      </c>
      <c r="F820" s="38">
        <v>45505.583333333336</v>
      </c>
      <c r="G820" s="17" t="str">
        <f t="shared" si="43"/>
        <v>1 М</v>
      </c>
      <c r="H820" s="18">
        <f t="shared" si="52"/>
        <v>196.6666667</v>
      </c>
      <c r="I820" s="80" t="str">
        <f t="shared" si="39"/>
        <v/>
      </c>
      <c r="J820" s="20" t="str">
        <f t="shared" si="25"/>
        <v/>
      </c>
      <c r="K820" s="23">
        <v>5900.0</v>
      </c>
      <c r="L820" s="23">
        <v>5900.0</v>
      </c>
      <c r="M820" s="20"/>
      <c r="N820" s="49">
        <v>22058.0</v>
      </c>
      <c r="O820" s="22" t="str">
        <f>IFERROR(__xludf.DUMMYFUNCTION("IFERROR(
  VLOOKUP(C820,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C820
    ), 
    7, FALSE
  ), 
  """"
)
"),"")</f>
        <v/>
      </c>
      <c r="P820" s="22">
        <f>IFERROR(__xludf.DUMMYFUNCTION("IF(AND(Q820="""", R820=""""),
  """",
  IF(OR(ISBLANK(Q820), ISBLANK(O820)),
    """",
    IF(VALUE(SUBSTITUTE(INDEX(SPLIT(IF(ISBLANK(R820), Q820, R820), "",""), 0, 1), "" Km"", """")) - O820 = 0,
      """",
      VALUE(SUBSTITUTE(INDEX(SPLIT(IF(ISBLANK("&amp;"R820), Q820, R820), "",""), 0, 1), "" Km"", """")) - O820
    )
  )
)"),22058.0)</f>
        <v>22058</v>
      </c>
      <c r="Q820" s="23" t="str">
        <f t="shared" si="4"/>
        <v>22 058 Km, 01.07.2024</v>
      </c>
      <c r="R820" s="20"/>
      <c r="S820" s="41">
        <v>3000.0</v>
      </c>
      <c r="T820" s="13">
        <v>2.0</v>
      </c>
      <c r="U820" s="13" t="s">
        <v>1497</v>
      </c>
      <c r="V820" s="24"/>
      <c r="W820" s="24" t="str">
        <f t="shared" si="46"/>
        <v>Завершена</v>
      </c>
      <c r="X820" s="13" t="str">
        <f>IFERROR(__xludf.DUMMYFUNCTION("IF(C820 = """", """", IF(REGEXMATCH(C820, ""PCX|NMAX|ADV 150|CLICK""), ""скутер"", ""мото""))"),"скутер")</f>
        <v>скутер</v>
      </c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</row>
    <row r="821" hidden="1">
      <c r="A821" s="25" t="s">
        <v>24</v>
      </c>
      <c r="B821" s="25" t="s">
        <v>25</v>
      </c>
      <c r="C821" s="27" t="s">
        <v>44</v>
      </c>
      <c r="D821" s="27" t="s">
        <v>1498</v>
      </c>
      <c r="E821" s="43">
        <v>45479.0</v>
      </c>
      <c r="F821" s="39">
        <v>45498.666666666664</v>
      </c>
      <c r="G821" s="30" t="str">
        <f t="shared" si="43"/>
        <v>19 Д</v>
      </c>
      <c r="H821" s="31">
        <f t="shared" si="52"/>
        <v>250</v>
      </c>
      <c r="I821" s="74" t="str">
        <f t="shared" si="39"/>
        <v/>
      </c>
      <c r="J821" s="33" t="str">
        <f t="shared" si="25"/>
        <v/>
      </c>
      <c r="K821" s="36">
        <v>4750.0</v>
      </c>
      <c r="L821" s="33"/>
      <c r="M821" s="36">
        <v>250.0</v>
      </c>
      <c r="N821" s="44">
        <v>19352.0</v>
      </c>
      <c r="O821" s="35">
        <f>IFERROR(__xludf.DUMMYFUNCTION("IFERROR(
  VLOOKUP(C821,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C821
    ), 
    7, FALSE
  ), 
  """"
)
"),30800.0)</f>
        <v>30800</v>
      </c>
      <c r="P821" s="35">
        <f>IFERROR(__xludf.DUMMYFUNCTION("IF(AND(Q821="""", R821=""""),
  """",
  IF(OR(ISBLANK(Q821), ISBLANK(O821)),
    """",
    IF(VALUE(SUBSTITUTE(INDEX(SPLIT(IF(ISBLANK(R821), Q821, R821), "",""), 0, 1), "" Km"", """")) - O821 = 0,
      """",
      VALUE(SUBSTITUTE(INDEX(SPLIT(IF(ISBLANK("&amp;"R821), Q821, R821), "",""), 0, 1), "" Km"", """")) - O821
    )
  )
)"),-11448.0)</f>
        <v>-11448</v>
      </c>
      <c r="Q821" s="36" t="str">
        <f t="shared" si="4"/>
        <v>19 352 Km, 06.07.2024</v>
      </c>
      <c r="R821" s="33"/>
      <c r="S821" s="40">
        <v>3000.0</v>
      </c>
      <c r="T821" s="25">
        <v>2.0</v>
      </c>
      <c r="U821" s="25" t="s">
        <v>1499</v>
      </c>
      <c r="V821" s="37"/>
      <c r="W821" s="37" t="str">
        <f t="shared" si="46"/>
        <v>Завершена</v>
      </c>
      <c r="X821" s="25" t="str">
        <f>IFERROR(__xludf.DUMMYFUNCTION("IF(C821 = """", """", IF(REGEXMATCH(C821, ""PCX|NMAX|ADV 150|CLICK""), ""скутер"", ""мото""))"),"скутер")</f>
        <v>скутер</v>
      </c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</row>
    <row r="822" hidden="1">
      <c r="A822" s="13" t="s">
        <v>24</v>
      </c>
      <c r="B822" s="13" t="s">
        <v>25</v>
      </c>
      <c r="C822" s="14" t="s">
        <v>52</v>
      </c>
      <c r="D822" s="14" t="s">
        <v>1493</v>
      </c>
      <c r="E822" s="48">
        <v>45479.0</v>
      </c>
      <c r="F822" s="38">
        <v>45510.541666666664</v>
      </c>
      <c r="G822" s="17" t="str">
        <f t="shared" si="43"/>
        <v>1 М</v>
      </c>
      <c r="H822" s="18">
        <f t="shared" si="52"/>
        <v>100</v>
      </c>
      <c r="I822" s="80" t="str">
        <f t="shared" si="39"/>
        <v/>
      </c>
      <c r="J822" s="20" t="str">
        <f t="shared" si="25"/>
        <v/>
      </c>
      <c r="K822" s="23">
        <v>3000.0</v>
      </c>
      <c r="L822" s="23">
        <v>3000.0</v>
      </c>
      <c r="M822" s="23"/>
      <c r="N822" s="49">
        <v>34700.0</v>
      </c>
      <c r="O822" s="22">
        <f>IFERROR(__xludf.DUMMYFUNCTION("IFERROR(
  VLOOKUP(C822,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C822
    ), 
    7, FALSE
  ), 
  """"
)
"),33515.0)</f>
        <v>33515</v>
      </c>
      <c r="P822" s="22">
        <f>IFERROR(__xludf.DUMMYFUNCTION("IF(AND(Q822="""", R822=""""),
  """",
  IF(OR(ISBLANK(Q822), ISBLANK(O822)),
    """",
    IF(VALUE(SUBSTITUTE(INDEX(SPLIT(IF(ISBLANK(R822), Q822, R822), "",""), 0, 1), "" Km"", """")) - O822 = 0,
      """",
      VALUE(SUBSTITUTE(INDEX(SPLIT(IF(ISBLANK("&amp;"R822), Q822, R822), "",""), 0, 1), "" Km"", """")) - O822
    )
  )
)"),1185.0)</f>
        <v>1185</v>
      </c>
      <c r="Q822" s="23" t="str">
        <f t="shared" si="4"/>
        <v>34 700 Km, 06.07.2024</v>
      </c>
      <c r="R822" s="20"/>
      <c r="S822" s="41" t="s">
        <v>1494</v>
      </c>
      <c r="T822" s="13">
        <v>2.0</v>
      </c>
      <c r="U822" s="66" t="s">
        <v>1495</v>
      </c>
      <c r="V822" s="24"/>
      <c r="W822" s="24" t="str">
        <f t="shared" si="46"/>
        <v>Завершена</v>
      </c>
      <c r="X822" s="13" t="str">
        <f>IFERROR(__xludf.DUMMYFUNCTION("IF(C822 = """", """", IF(REGEXMATCH(C822, ""PCX|NMAX|ADV 150|CLICK""), ""скутер"", ""мото""))"),"скутер")</f>
        <v>скутер</v>
      </c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</row>
    <row r="823" hidden="1">
      <c r="A823" s="25" t="s">
        <v>24</v>
      </c>
      <c r="B823" s="25" t="s">
        <v>25</v>
      </c>
      <c r="C823" s="27" t="s">
        <v>113</v>
      </c>
      <c r="D823" s="27" t="s">
        <v>1500</v>
      </c>
      <c r="E823" s="43">
        <v>45479.0</v>
      </c>
      <c r="F823" s="39">
        <v>45635.541666666664</v>
      </c>
      <c r="G823" s="30" t="str">
        <f>IF((E823="")+(F823=""), "",DATEDIF(E823, F823, "d") &amp; " Д")
</f>
        <v>156 Д</v>
      </c>
      <c r="H823" s="31">
        <f t="shared" si="52"/>
        <v>300</v>
      </c>
      <c r="I823" s="32" t="str">
        <f t="shared" si="39"/>
        <v/>
      </c>
      <c r="J823" s="33" t="str">
        <f t="shared" si="25"/>
        <v/>
      </c>
      <c r="K823" s="36">
        <f>9000+9000+9000+9000+9000</f>
        <v>45000</v>
      </c>
      <c r="L823" s="36">
        <v>9000.0</v>
      </c>
      <c r="M823" s="33"/>
      <c r="N823" s="44">
        <v>31900.0</v>
      </c>
      <c r="O823" s="35" t="str">
        <f>IFERROR(__xludf.DUMMYFUNCTION("IFERROR(
  VLOOKUP(C823,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C823
    ), 
    7, FALSE
  ), 
  """"
)
"),"")</f>
        <v/>
      </c>
      <c r="P823" s="35">
        <f>IFERROR(__xludf.DUMMYFUNCTION("IF(AND(Q823="""", R823=""""),
  """",
  IF(OR(ISBLANK(Q823), ISBLANK(O823)),
    """",
    IF(VALUE(SUBSTITUTE(INDEX(SPLIT(IF(ISBLANK(R823), Q823, R823), "",""), 0, 1), "" Km"", """")) - O823 = 0,
      """",
      VALUE(SUBSTITUTE(INDEX(SPLIT(IF(ISBLANK("&amp;"R823), Q823, R823), "",""), 0, 1), "" Km"", """")) - O823
    )
  )
)"),31900.0)</f>
        <v>31900</v>
      </c>
      <c r="Q823" s="36" t="str">
        <f t="shared" si="4"/>
        <v>31 900 Km, 06.07.2024</v>
      </c>
      <c r="R823" s="33"/>
      <c r="S823" s="40">
        <v>0.0</v>
      </c>
      <c r="T823" s="37">
        <v>2.0</v>
      </c>
      <c r="U823" s="37"/>
      <c r="V823" s="37"/>
      <c r="W823" s="122" t="str">
        <f t="shared" si="46"/>
        <v>Завершена</v>
      </c>
      <c r="X823" s="124" t="str">
        <f>IFERROR(__xludf.DUMMYFUNCTION("IF(C823 = """", """", IF(REGEXMATCH(C823, ""PCX|NMAX|ADV|CLICK""), ""скутер"", ""мото""))"),"мото")</f>
        <v>мото</v>
      </c>
      <c r="Y823" s="25"/>
      <c r="Z823" s="25"/>
      <c r="AA823" s="125"/>
      <c r="AB823" s="125"/>
      <c r="AC823" s="125"/>
      <c r="AD823" s="125"/>
      <c r="AE823" s="125"/>
      <c r="AF823" s="125"/>
      <c r="AG823" s="125"/>
      <c r="AH823" s="125"/>
      <c r="AI823" s="125"/>
      <c r="AJ823" s="125"/>
      <c r="AK823" s="125"/>
      <c r="AL823" s="125"/>
      <c r="AM823" s="125"/>
    </row>
    <row r="824" hidden="1">
      <c r="A824" s="13" t="s">
        <v>24</v>
      </c>
      <c r="B824" s="14" t="s">
        <v>25</v>
      </c>
      <c r="C824" s="14" t="s">
        <v>423</v>
      </c>
      <c r="D824" s="105" t="s">
        <v>752</v>
      </c>
      <c r="E824" s="48">
        <v>45483.0</v>
      </c>
      <c r="F824" s="38">
        <v>45526.541666666664</v>
      </c>
      <c r="G824" s="17" t="str">
        <f t="shared" ref="G824:G829" si="53">IF((E824="")+(F824=""), "", IF(DATEDIF(E824, F824, "d") &gt; 30, DATEDIF(E824, F824, "m") &amp; " М", DATEDIF(E824, F824, "d") &amp; " Д"))
</f>
        <v>1 М</v>
      </c>
      <c r="H824" s="18">
        <f t="shared" si="52"/>
        <v>423.3333333</v>
      </c>
      <c r="I824" s="80" t="str">
        <f t="shared" si="39"/>
        <v/>
      </c>
      <c r="J824" s="20" t="str">
        <f t="shared" si="25"/>
        <v/>
      </c>
      <c r="K824" s="23">
        <f>11900+3970</f>
        <v>15870</v>
      </c>
      <c r="L824" s="23">
        <f>11900+800</f>
        <v>12700</v>
      </c>
      <c r="M824" s="64"/>
      <c r="N824" s="49">
        <v>19800.0</v>
      </c>
      <c r="O824" s="22" t="str">
        <f>IFERROR(__xludf.DUMMYFUNCTION("IFERROR(
  VLOOKUP(C824,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C824
    ), 
    7, FALSE
  ), 
  """"
)
"),"")</f>
        <v/>
      </c>
      <c r="P824" s="22">
        <f>IFERROR(__xludf.DUMMYFUNCTION("IF(AND(Q824="""", R824=""""),
  """",
  IF(OR(ISBLANK(Q824), ISBLANK(O824)),
    """",
    IF(VALUE(SUBSTITUTE(INDEX(SPLIT(IF(ISBLANK(R824), Q824, R824), "",""), 0, 1), "" Km"", """")) - O824 = 0,
      """",
      VALUE(SUBSTITUTE(INDEX(SPLIT(IF(ISBLANK("&amp;"R824), Q824, R824), "",""), 0, 1), "" Km"", """")) - O824
    )
  )
)"),19800.0)</f>
        <v>19800</v>
      </c>
      <c r="Q824" s="20" t="str">
        <f t="shared" si="4"/>
        <v>19 800 Km, 10.07.2024</v>
      </c>
      <c r="R824" s="64"/>
      <c r="S824" s="18" t="s">
        <v>753</v>
      </c>
      <c r="T824" s="24">
        <v>2.0</v>
      </c>
      <c r="U824" s="24" t="s">
        <v>754</v>
      </c>
      <c r="V824" s="73"/>
      <c r="W824" s="24" t="str">
        <f t="shared" si="46"/>
        <v>Завершена</v>
      </c>
      <c r="X824" s="42" t="str">
        <f>IFERROR(__xludf.DUMMYFUNCTION("IF(C824 = """", """", IF(REGEXMATCH(C824, ""PCX|NMAX|ADV 150|CLICK""), ""скутер"", ""мото""))"),"мото")</f>
        <v>мото</v>
      </c>
      <c r="Y824" s="13"/>
      <c r="Z824" s="13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</row>
    <row r="825" hidden="1">
      <c r="A825" s="25" t="s">
        <v>24</v>
      </c>
      <c r="B825" s="27" t="s">
        <v>25</v>
      </c>
      <c r="C825" s="60" t="s">
        <v>56</v>
      </c>
      <c r="D825" s="82" t="s">
        <v>703</v>
      </c>
      <c r="E825" s="43">
        <v>45483.0</v>
      </c>
      <c r="F825" s="39">
        <v>45514.5</v>
      </c>
      <c r="G825" s="30" t="str">
        <f t="shared" si="53"/>
        <v>1 М</v>
      </c>
      <c r="H825" s="31">
        <f t="shared" si="52"/>
        <v>133.3333333</v>
      </c>
      <c r="I825" s="74" t="str">
        <f t="shared" si="39"/>
        <v/>
      </c>
      <c r="J825" s="33" t="str">
        <f t="shared" si="25"/>
        <v/>
      </c>
      <c r="K825" s="36">
        <f>4000</f>
        <v>4000</v>
      </c>
      <c r="L825" s="36">
        <v>4000.0</v>
      </c>
      <c r="M825" s="67"/>
      <c r="N825" s="44">
        <v>27000.0</v>
      </c>
      <c r="O825" s="35">
        <f>IFERROR(__xludf.DUMMYFUNCTION("IFERROR(
  VLOOKUP(C825,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C825
    ), 
    7, FALSE
  ), 
  """"
)
"),36400.0)</f>
        <v>36400</v>
      </c>
      <c r="P825" s="35">
        <f>IFERROR(__xludf.DUMMYFUNCTION("IF(AND(Q825="""", R825=""""),
  """",
  IF(OR(ISBLANK(Q825), ISBLANK(O825)),
    """",
    IF(VALUE(SUBSTITUTE(INDEX(SPLIT(IF(ISBLANK(R825), Q825, R825), "",""), 0, 1), "" Km"", """")) - O825 = 0,
      """",
      VALUE(SUBSTITUTE(INDEX(SPLIT(IF(ISBLANK("&amp;"R825), Q825, R825), "",""), 0, 1), "" Km"", """")) - O825
    )
  )
)"),-9400.0)</f>
        <v>-9400</v>
      </c>
      <c r="Q825" s="33" t="str">
        <f t="shared" si="4"/>
        <v>27 000 Km, 10.07.2024</v>
      </c>
      <c r="R825" s="67"/>
      <c r="S825" s="31">
        <v>0.0</v>
      </c>
      <c r="T825" s="37">
        <v>2.0</v>
      </c>
      <c r="U825" s="37" t="s">
        <v>705</v>
      </c>
      <c r="V825" s="37" t="s">
        <v>1467</v>
      </c>
      <c r="W825" s="37" t="str">
        <f t="shared" si="46"/>
        <v>Завершена</v>
      </c>
      <c r="X825" s="46" t="str">
        <f>IFERROR(__xludf.DUMMYFUNCTION("IF(C825 = """", """", IF(REGEXMATCH(C825, ""PCX|NMAX|ADV 150|CLICK""), ""скутер"", ""мото""))"),"скутер")</f>
        <v>скутер</v>
      </c>
      <c r="Y825" s="25"/>
      <c r="Z825" s="25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</row>
    <row r="826" hidden="1">
      <c r="A826" s="13" t="s">
        <v>24</v>
      </c>
      <c r="B826" s="13" t="s">
        <v>25</v>
      </c>
      <c r="C826" s="14" t="s">
        <v>102</v>
      </c>
      <c r="D826" s="14" t="s">
        <v>1501</v>
      </c>
      <c r="E826" s="48">
        <v>45485.0</v>
      </c>
      <c r="F826" s="38">
        <v>45489.625</v>
      </c>
      <c r="G826" s="17" t="str">
        <f t="shared" si="53"/>
        <v>4 Д</v>
      </c>
      <c r="H826" s="18">
        <f t="shared" si="52"/>
        <v>1590</v>
      </c>
      <c r="I826" s="80" t="str">
        <f t="shared" si="39"/>
        <v/>
      </c>
      <c r="J826" s="20" t="str">
        <f t="shared" si="25"/>
        <v/>
      </c>
      <c r="K826" s="23">
        <f>1590+1590</f>
        <v>3180</v>
      </c>
      <c r="L826" s="20"/>
      <c r="M826" s="23">
        <v>1590.0</v>
      </c>
      <c r="N826" s="49">
        <v>41174.0</v>
      </c>
      <c r="O826" s="22">
        <f>IFERROR(__xludf.DUMMYFUNCTION("IFERROR(
  VLOOKUP(C826,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C826
    ), 
    7, FALSE
  ), 
  """"
)
"),63700.0)</f>
        <v>63700</v>
      </c>
      <c r="P826" s="22">
        <f>IFERROR(__xludf.DUMMYFUNCTION("IF(AND(Q826="""", R826=""""),
  """",
  IF(OR(ISBLANK(Q826), ISBLANK(O826)),
    """",
    IF(VALUE(SUBSTITUTE(INDEX(SPLIT(IF(ISBLANK(R826), Q826, R826), "",""), 0, 1), "" Km"", """")) - O826 = 0,
      """",
      VALUE(SUBSTITUTE(INDEX(SPLIT(IF(ISBLANK("&amp;"R826), Q826, R826), "",""), 0, 1), "" Km"", """")) - O826
    )
  )
)"),-22526.0)</f>
        <v>-22526</v>
      </c>
      <c r="Q826" s="23" t="str">
        <f t="shared" si="4"/>
        <v>41 174 Km, 12.07.2024</v>
      </c>
      <c r="R826" s="20"/>
      <c r="S826" s="41" t="s">
        <v>1502</v>
      </c>
      <c r="T826" s="13">
        <v>2.0</v>
      </c>
      <c r="U826" s="13" t="s">
        <v>1474</v>
      </c>
      <c r="V826" s="24"/>
      <c r="W826" s="24" t="str">
        <f t="shared" si="46"/>
        <v>Завершена</v>
      </c>
      <c r="X826" s="13" t="str">
        <f>IFERROR(__xludf.DUMMYFUNCTION("IF(C826 = """", """", IF(REGEXMATCH(C826, ""PCX|NMAX|ADV 150|CLICK""), ""скутер"", ""мото""))"),"мото")</f>
        <v>мото</v>
      </c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</row>
    <row r="827" hidden="1">
      <c r="A827" s="25" t="s">
        <v>24</v>
      </c>
      <c r="B827" s="25" t="s">
        <v>25</v>
      </c>
      <c r="C827" s="27" t="s">
        <v>438</v>
      </c>
      <c r="D827" s="27" t="s">
        <v>630</v>
      </c>
      <c r="E827" s="43">
        <v>45485.0</v>
      </c>
      <c r="F827" s="39">
        <v>45490.625</v>
      </c>
      <c r="G827" s="30" t="str">
        <f t="shared" si="53"/>
        <v>5 Д</v>
      </c>
      <c r="H827" s="31">
        <f t="shared" si="52"/>
        <v>1290</v>
      </c>
      <c r="I827" s="74" t="str">
        <f t="shared" si="39"/>
        <v/>
      </c>
      <c r="J827" s="33" t="str">
        <f t="shared" si="25"/>
        <v/>
      </c>
      <c r="K827" s="36">
        <f>1290*5-1080</f>
        <v>5370</v>
      </c>
      <c r="L827" s="33"/>
      <c r="M827" s="36">
        <v>1290.0</v>
      </c>
      <c r="N827" s="44">
        <v>22683.0</v>
      </c>
      <c r="O827" s="35">
        <f>IFERROR(__xludf.DUMMYFUNCTION("IFERROR(
  VLOOKUP(C827,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C827
    ), 
    7, FALSE
  ), 
  """"
)
"),37823.0)</f>
        <v>37823</v>
      </c>
      <c r="P827" s="35">
        <f>IFERROR(__xludf.DUMMYFUNCTION("IF(AND(Q827="""", R827=""""),
  """",
  IF(OR(ISBLANK(Q827), ISBLANK(O827)),
    """",
    IF(VALUE(SUBSTITUTE(INDEX(SPLIT(IF(ISBLANK(R827), Q827, R827), "",""), 0, 1), "" Km"", """")) - O827 = 0,
      """",
      VALUE(SUBSTITUTE(INDEX(SPLIT(IF(ISBLANK("&amp;"R827), Q827, R827), "",""), 0, 1), "" Km"", """")) - O827
    )
  )
)"),-15140.0)</f>
        <v>-15140</v>
      </c>
      <c r="Q827" s="36" t="str">
        <f t="shared" si="4"/>
        <v>22 683 Km, 12.07.2024</v>
      </c>
      <c r="R827" s="33"/>
      <c r="S827" s="40">
        <v>600.0</v>
      </c>
      <c r="T827" s="25">
        <v>1.0</v>
      </c>
      <c r="U827" s="25" t="s">
        <v>1474</v>
      </c>
      <c r="V827" s="37"/>
      <c r="W827" s="37" t="str">
        <f t="shared" si="46"/>
        <v>Завершена</v>
      </c>
      <c r="X827" s="25" t="str">
        <f>IFERROR(__xludf.DUMMYFUNCTION("IF(C827 = """", """", IF(REGEXMATCH(C827, ""PCX|NMAX|ADV 150|CLICK""), ""скутер"", ""мото""))"),"мото")</f>
        <v>мото</v>
      </c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</row>
    <row r="828" hidden="1">
      <c r="A828" s="13" t="s">
        <v>24</v>
      </c>
      <c r="B828" s="14" t="s">
        <v>25</v>
      </c>
      <c r="C828" s="14" t="s">
        <v>468</v>
      </c>
      <c r="D828" s="105" t="s">
        <v>1343</v>
      </c>
      <c r="E828" s="48">
        <v>45485.0</v>
      </c>
      <c r="F828" s="38">
        <v>45516.75</v>
      </c>
      <c r="G828" s="17" t="str">
        <f t="shared" si="53"/>
        <v>1 М</v>
      </c>
      <c r="H828" s="18">
        <f t="shared" si="52"/>
        <v>383</v>
      </c>
      <c r="I828" s="80" t="str">
        <f t="shared" si="39"/>
        <v/>
      </c>
      <c r="J828" s="20" t="str">
        <f t="shared" si="25"/>
        <v/>
      </c>
      <c r="K828" s="20">
        <f>6700+1864+2926</f>
        <v>11490</v>
      </c>
      <c r="L828" s="23">
        <v>11490.0</v>
      </c>
      <c r="M828" s="64"/>
      <c r="N828" s="49">
        <v>19900.0</v>
      </c>
      <c r="O828" s="22">
        <f>IFERROR(__xludf.DUMMYFUNCTION("IFERROR(
  VLOOKUP(C828,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C828
    ), 
    7, FALSE
  ), 
  """"
)
"),22200.0)</f>
        <v>22200</v>
      </c>
      <c r="P828" s="22">
        <f>IFERROR(__xludf.DUMMYFUNCTION("IF(AND(Q828="""", R828=""""),
  """",
  IF(OR(ISBLANK(Q828), ISBLANK(O828)),
    """",
    IF(VALUE(SUBSTITUTE(INDEX(SPLIT(IF(ISBLANK(R828), Q828, R828), "",""), 0, 1), "" Km"", """")) - O828 = 0,
      """",
      VALUE(SUBSTITUTE(INDEX(SPLIT(IF(ISBLANK("&amp;"R828), Q828, R828), "",""), 0, 1), "" Km"", """")) - O828
    )
  )
)"),-2300.0)</f>
        <v>-2300</v>
      </c>
      <c r="Q828" s="20" t="str">
        <f t="shared" si="4"/>
        <v>19 900 Km, 12.07.2024</v>
      </c>
      <c r="R828" s="64"/>
      <c r="S828" s="41">
        <v>15000.0</v>
      </c>
      <c r="T828" s="24">
        <v>2.0</v>
      </c>
      <c r="U828" s="24" t="s">
        <v>1344</v>
      </c>
      <c r="V828" s="24" t="s">
        <v>489</v>
      </c>
      <c r="W828" s="24" t="str">
        <f t="shared" si="46"/>
        <v>Завершена</v>
      </c>
      <c r="X828" s="42" t="str">
        <f>IFERROR(__xludf.DUMMYFUNCTION("IF(C828 = """", """", IF(REGEXMATCH(C828, ""PCX|NMAX|ADV 150|CLICK""), ""скутер"", ""мото""))"),"мото")</f>
        <v>мото</v>
      </c>
      <c r="Y828" s="13"/>
      <c r="Z828" s="13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</row>
    <row r="829" hidden="1">
      <c r="A829" s="25" t="s">
        <v>24</v>
      </c>
      <c r="B829" s="25" t="s">
        <v>25</v>
      </c>
      <c r="C829" s="27" t="s">
        <v>1028</v>
      </c>
      <c r="D829" s="27" t="s">
        <v>1503</v>
      </c>
      <c r="E829" s="43">
        <v>45490.0</v>
      </c>
      <c r="F829" s="39">
        <v>45496.666666666664</v>
      </c>
      <c r="G829" s="30" t="str">
        <f t="shared" si="53"/>
        <v>6 Д</v>
      </c>
      <c r="H829" s="31">
        <f t="shared" si="52"/>
        <v>650</v>
      </c>
      <c r="I829" s="74" t="str">
        <f t="shared" si="39"/>
        <v/>
      </c>
      <c r="J829" s="33" t="str">
        <f t="shared" si="25"/>
        <v/>
      </c>
      <c r="K829" s="36">
        <f>2600+1300</f>
        <v>3900</v>
      </c>
      <c r="L829" s="33"/>
      <c r="M829" s="36">
        <v>650.0</v>
      </c>
      <c r="N829" s="44">
        <v>11009.0</v>
      </c>
      <c r="O829" s="35">
        <f>IFERROR(__xludf.DUMMYFUNCTION("IFERROR(
  VLOOKUP(C829,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C829
    ), 
    7, FALSE
  ), 
  """"
)
"),21600.0)</f>
        <v>21600</v>
      </c>
      <c r="P829" s="35">
        <f>IFERROR(__xludf.DUMMYFUNCTION("IF(AND(Q829="""", R829=""""),
  """",
  IF(OR(ISBLANK(Q829), ISBLANK(O829)),
    """",
    IF(VALUE(SUBSTITUTE(INDEX(SPLIT(IF(ISBLANK(R829), Q829, R829), "",""), 0, 1), "" Km"", """")) - O829 = 0,
      """",
      VALUE(SUBSTITUTE(INDEX(SPLIT(IF(ISBLANK("&amp;"R829), Q829, R829), "",""), 0, 1), "" Km"", """")) - O829
    )
  )
)"),-10591.0)</f>
        <v>-10591</v>
      </c>
      <c r="Q829" s="36" t="str">
        <f t="shared" si="4"/>
        <v>11 009 Km, 17.07.2024</v>
      </c>
      <c r="R829" s="33"/>
      <c r="S829" s="40">
        <v>5000.0</v>
      </c>
      <c r="T829" s="25">
        <v>2.0</v>
      </c>
      <c r="U829" s="25" t="s">
        <v>1504</v>
      </c>
      <c r="V829" s="25" t="s">
        <v>1505</v>
      </c>
      <c r="W829" s="37" t="str">
        <f t="shared" si="46"/>
        <v>Завершена</v>
      </c>
      <c r="X829" s="25" t="str">
        <f>IFERROR(__xludf.DUMMYFUNCTION("IF(C829 = """", """", IF(REGEXMATCH(C829, ""PCX|NMAX|ADV 150|CLICK""), ""скутер"", ""мото""))"),"мото")</f>
        <v>мото</v>
      </c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</row>
    <row r="830" hidden="1">
      <c r="A830" s="87" t="s">
        <v>24</v>
      </c>
      <c r="B830" s="88" t="s">
        <v>25</v>
      </c>
      <c r="C830" s="88" t="s">
        <v>114</v>
      </c>
      <c r="D830" s="103" t="s">
        <v>1383</v>
      </c>
      <c r="E830" s="48">
        <v>45534.0</v>
      </c>
      <c r="F830" s="38">
        <v>45595.833333333336</v>
      </c>
      <c r="G830" s="17" t="str">
        <f>IF((E830="")+(F830=""), "",DATEDIF(E830, F830, "d") &amp; " Д")
</f>
        <v>61 Д</v>
      </c>
      <c r="H830" s="90">
        <f t="shared" si="52"/>
        <v>166.6666667</v>
      </c>
      <c r="I830" s="19" t="str">
        <f t="shared" si="39"/>
        <v/>
      </c>
      <c r="J830" s="20" t="str">
        <f t="shared" si="25"/>
        <v/>
      </c>
      <c r="K830" s="93">
        <v>10000.0</v>
      </c>
      <c r="L830" s="161">
        <v>5000.0</v>
      </c>
      <c r="M830" s="20"/>
      <c r="N830" s="162">
        <v>22000.0</v>
      </c>
      <c r="O830" s="96">
        <f>IFERROR(__xludf.DUMMYFUNCTION("IFERROR(
  VLOOKUP(C830,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C830
    ), 
    7, FALSE
  ), 
  """"
)
"),31800.0)</f>
        <v>31800</v>
      </c>
      <c r="P830" s="96">
        <f>IFERROR(__xludf.DUMMYFUNCTION("IF(AND(Q830="""", R830=""""),
  """",
  IF(OR(ISBLANK(Q830), ISBLANK(O830)),
    """",
    IF(VALUE(SUBSTITUTE(INDEX(SPLIT(IF(ISBLANK(R830), Q830, R830), "",""), 0, 1), "" Km"", """")) - O830 = 0,
      """",
      VALUE(SUBSTITUTE(INDEX(SPLIT(IF(ISBLANK("&amp;"R830), Q830, R830), "",""), 0, 1), "" Km"", """")) - O830
    )
  )
)"),-9800.0)</f>
        <v>-9800</v>
      </c>
      <c r="Q830" s="94" t="str">
        <f t="shared" si="4"/>
        <v>22 000 Km, 30.08.2024</v>
      </c>
      <c r="R830" s="97"/>
      <c r="S830" s="90">
        <v>3000.0</v>
      </c>
      <c r="T830" s="98">
        <v>2.0</v>
      </c>
      <c r="U830" s="98" t="s">
        <v>726</v>
      </c>
      <c r="V830" s="99"/>
      <c r="W830" s="24" t="str">
        <f t="shared" si="46"/>
        <v>Завершена</v>
      </c>
      <c r="X830" s="42" t="str">
        <f>IFERROR(__xludf.DUMMYFUNCTION("IF(C830 = """", """", IF(REGEXMATCH(C830, ""PCX|NMAX|ADV 150|CLICK""), ""скутер"", ""мото""))"),"скутер")</f>
        <v>скутер</v>
      </c>
      <c r="Y830" s="13"/>
      <c r="Z830" s="13"/>
      <c r="AA830" s="153"/>
      <c r="AB830" s="153"/>
      <c r="AC830" s="153"/>
      <c r="AD830" s="153"/>
      <c r="AE830" s="153"/>
      <c r="AF830" s="153"/>
      <c r="AG830" s="153"/>
      <c r="AH830" s="153"/>
      <c r="AI830" s="153"/>
      <c r="AJ830" s="153"/>
      <c r="AK830" s="153"/>
      <c r="AL830" s="153"/>
      <c r="AM830" s="153"/>
    </row>
    <row r="831" hidden="1">
      <c r="A831" s="25" t="s">
        <v>24</v>
      </c>
      <c r="B831" s="25" t="s">
        <v>25</v>
      </c>
      <c r="C831" s="27" t="s">
        <v>114</v>
      </c>
      <c r="D831" s="27" t="s">
        <v>1506</v>
      </c>
      <c r="E831" s="43">
        <v>45500.0</v>
      </c>
      <c r="F831" s="39">
        <v>45507.75</v>
      </c>
      <c r="G831" s="30" t="str">
        <f t="shared" ref="G831:G841" si="54">IF((E831="")+(F831=""), "", IF(DATEDIF(E831, F831, "d") &gt; 30, DATEDIF(E831, F831, "m") &amp; " М", DATEDIF(E831, F831, "d") &amp; " Д"))
</f>
        <v>7 Д</v>
      </c>
      <c r="H831" s="31">
        <f t="shared" si="52"/>
        <v>300</v>
      </c>
      <c r="I831" s="74" t="str">
        <f t="shared" si="39"/>
        <v/>
      </c>
      <c r="J831" s="33" t="str">
        <f t="shared" si="25"/>
        <v/>
      </c>
      <c r="K831" s="36">
        <v>2100.0</v>
      </c>
      <c r="L831" s="33"/>
      <c r="M831" s="36">
        <v>300.0</v>
      </c>
      <c r="N831" s="44">
        <v>21872.0</v>
      </c>
      <c r="O831" s="35">
        <f>IFERROR(__xludf.DUMMYFUNCTION("IFERROR(
  VLOOKUP(C831,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C831
    ), 
    7, FALSE
  ), 
  """"
)
"),31800.0)</f>
        <v>31800</v>
      </c>
      <c r="P831" s="35">
        <f>IFERROR(__xludf.DUMMYFUNCTION("IF(AND(Q831="""", R831=""""),
  """",
  IF(OR(ISBLANK(Q831), ISBLANK(O831)),
    """",
    IF(VALUE(SUBSTITUTE(INDEX(SPLIT(IF(ISBLANK(R831), Q831, R831), "",""), 0, 1), "" Km"", """")) - O831 = 0,
      """",
      VALUE(SUBSTITUTE(INDEX(SPLIT(IF(ISBLANK("&amp;"R831), Q831, R831), "",""), 0, 1), "" Km"", """")) - O831
    )
  )
)"),-9928.0)</f>
        <v>-9928</v>
      </c>
      <c r="Q831" s="36" t="str">
        <f t="shared" si="4"/>
        <v>21 872 Km, 27.07.2024</v>
      </c>
      <c r="R831" s="33"/>
      <c r="S831" s="40">
        <v>3000.0</v>
      </c>
      <c r="T831" s="25">
        <v>2.0</v>
      </c>
      <c r="U831" s="25" t="s">
        <v>1507</v>
      </c>
      <c r="V831" s="37"/>
      <c r="W831" s="37" t="str">
        <f t="shared" si="46"/>
        <v>Завершена</v>
      </c>
      <c r="X831" s="25" t="str">
        <f>IFERROR(__xludf.DUMMYFUNCTION("IF(C831 = """", """", IF(REGEXMATCH(C831, ""PCX|NMAX|ADV 150|CLICK""), ""скутер"", ""мото""))"),"скутер")</f>
        <v>скутер</v>
      </c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</row>
    <row r="832" hidden="1">
      <c r="A832" s="13" t="s">
        <v>24</v>
      </c>
      <c r="B832" s="13" t="s">
        <v>25</v>
      </c>
      <c r="C832" s="14" t="s">
        <v>102</v>
      </c>
      <c r="D832" s="14" t="s">
        <v>1508</v>
      </c>
      <c r="E832" s="48">
        <v>45504.0</v>
      </c>
      <c r="F832" s="38">
        <v>45509.791666666664</v>
      </c>
      <c r="G832" s="17" t="str">
        <f t="shared" si="54"/>
        <v>5 Д</v>
      </c>
      <c r="H832" s="18">
        <f t="shared" si="52"/>
        <v>1490</v>
      </c>
      <c r="I832" s="80" t="str">
        <f t="shared" si="39"/>
        <v/>
      </c>
      <c r="J832" s="20" t="str">
        <f t="shared" si="25"/>
        <v/>
      </c>
      <c r="K832" s="23">
        <v>7450.0</v>
      </c>
      <c r="L832" s="20"/>
      <c r="M832" s="23">
        <v>1490.0</v>
      </c>
      <c r="N832" s="49">
        <v>41823.0</v>
      </c>
      <c r="O832" s="22">
        <f>IFERROR(__xludf.DUMMYFUNCTION("IFERROR(
  VLOOKUP(C832,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C832
    ), 
    7, FALSE
  ), 
  """"
)
"),63700.0)</f>
        <v>63700</v>
      </c>
      <c r="P832" s="22">
        <f>IFERROR(__xludf.DUMMYFUNCTION("IF(AND(Q832="""", R832=""""),
  """",
  IF(OR(ISBLANK(Q832), ISBLANK(O832)),
    """",
    IF(VALUE(SUBSTITUTE(INDEX(SPLIT(IF(ISBLANK(R832), Q832, R832), "",""), 0, 1), "" Km"", """")) - O832 = 0,
      """",
      VALUE(SUBSTITUTE(INDEX(SPLIT(IF(ISBLANK("&amp;"R832), Q832, R832), "",""), 0, 1), "" Km"", """")) - O832
    )
  )
)"),-21877.0)</f>
        <v>-21877</v>
      </c>
      <c r="Q832" s="23" t="str">
        <f t="shared" si="4"/>
        <v>41 823 Km, 31.07.2024</v>
      </c>
      <c r="R832" s="20"/>
      <c r="S832" s="41" t="s">
        <v>1502</v>
      </c>
      <c r="T832" s="13">
        <v>2.0</v>
      </c>
      <c r="U832" s="13" t="s">
        <v>1509</v>
      </c>
      <c r="V832" s="24"/>
      <c r="W832" s="24" t="str">
        <f t="shared" si="46"/>
        <v>Завершена</v>
      </c>
      <c r="X832" s="13" t="str">
        <f>IFERROR(__xludf.DUMMYFUNCTION("IF(C832 = """", """", IF(REGEXMATCH(C832, ""PCX|NMAX|ADV 150|CLICK""), ""скутер"", ""мото""))"),"мото")</f>
        <v>мото</v>
      </c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</row>
    <row r="833" hidden="1">
      <c r="A833" s="25" t="s">
        <v>24</v>
      </c>
      <c r="B833" s="25" t="s">
        <v>25</v>
      </c>
      <c r="C833" s="27" t="s">
        <v>185</v>
      </c>
      <c r="D833" s="27" t="s">
        <v>1510</v>
      </c>
      <c r="E833" s="43">
        <v>45504.0</v>
      </c>
      <c r="F833" s="39">
        <v>45514.75</v>
      </c>
      <c r="G833" s="30" t="str">
        <f t="shared" si="54"/>
        <v>10 Д</v>
      </c>
      <c r="H833" s="31">
        <f t="shared" si="52"/>
        <v>300</v>
      </c>
      <c r="I833" s="74" t="str">
        <f t="shared" si="39"/>
        <v/>
      </c>
      <c r="J833" s="33" t="str">
        <f t="shared" si="25"/>
        <v/>
      </c>
      <c r="K833" s="36">
        <v>3000.0</v>
      </c>
      <c r="L833" s="33"/>
      <c r="M833" s="36">
        <v>300.0</v>
      </c>
      <c r="N833" s="44">
        <v>30000.0</v>
      </c>
      <c r="O833" s="35" t="str">
        <f>IFERROR(__xludf.DUMMYFUNCTION("IFERROR(
  VLOOKUP(C833,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C833
    ), 
    7, FALSE
  ), 
  """"
)
"),"")</f>
        <v/>
      </c>
      <c r="P833" s="35">
        <f>IFERROR(__xludf.DUMMYFUNCTION("IF(AND(Q833="""", R833=""""),
  """",
  IF(OR(ISBLANK(Q833), ISBLANK(O833)),
    """",
    IF(VALUE(SUBSTITUTE(INDEX(SPLIT(IF(ISBLANK(R833), Q833, R833), "",""), 0, 1), "" Km"", """")) - O833 = 0,
      """",
      VALUE(SUBSTITUTE(INDEX(SPLIT(IF(ISBLANK("&amp;"R833), Q833, R833), "",""), 0, 1), "" Km"", """")) - O833
    )
  )
)"),30000.0)</f>
        <v>30000</v>
      </c>
      <c r="Q833" s="36" t="str">
        <f t="shared" si="4"/>
        <v>30 000 Km, 31.07.2024</v>
      </c>
      <c r="R833" s="33"/>
      <c r="S833" s="40">
        <v>3000.0</v>
      </c>
      <c r="T833" s="25">
        <v>1.0</v>
      </c>
      <c r="U833" s="25" t="s">
        <v>1511</v>
      </c>
      <c r="V833" s="37"/>
      <c r="W833" s="37" t="str">
        <f t="shared" si="46"/>
        <v>Завершена</v>
      </c>
      <c r="X833" s="25" t="str">
        <f>IFERROR(__xludf.DUMMYFUNCTION("IF(C833 = """", """", IF(REGEXMATCH(C833, ""PCX|NMAX|ADV 150|CLICK""), ""скутер"", ""мото""))"),"скутер")</f>
        <v>скутер</v>
      </c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</row>
    <row r="834" hidden="1">
      <c r="A834" s="13" t="s">
        <v>24</v>
      </c>
      <c r="B834" s="14" t="s">
        <v>25</v>
      </c>
      <c r="C834" s="14" t="s">
        <v>1512</v>
      </c>
      <c r="D834" s="105" t="s">
        <v>630</v>
      </c>
      <c r="E834" s="48">
        <v>45506.0</v>
      </c>
      <c r="F834" s="38">
        <v>45508.625</v>
      </c>
      <c r="G834" s="17" t="str">
        <f t="shared" si="54"/>
        <v>2 Д</v>
      </c>
      <c r="H834" s="18">
        <f t="shared" si="52"/>
        <v>2000</v>
      </c>
      <c r="I834" s="80" t="str">
        <f t="shared" si="39"/>
        <v/>
      </c>
      <c r="J834" s="20" t="str">
        <f t="shared" si="25"/>
        <v/>
      </c>
      <c r="K834" s="23">
        <v>4000.0</v>
      </c>
      <c r="L834" s="64"/>
      <c r="M834" s="23">
        <v>2000.0</v>
      </c>
      <c r="N834" s="49">
        <v>2300.0</v>
      </c>
      <c r="O834" s="22" t="str">
        <f>IFERROR(__xludf.DUMMYFUNCTION("IFERROR(
  VLOOKUP(C834,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C834
    ), 
    7, FALSE
  ), 
  """"
)
"),"")</f>
        <v/>
      </c>
      <c r="P834" s="22">
        <f>IFERROR(__xludf.DUMMYFUNCTION("IF(AND(Q834="""", R834=""""),
  """",
  IF(OR(ISBLANK(Q834), ISBLANK(O834)),
    """",
    IF(VALUE(SUBSTITUTE(INDEX(SPLIT(IF(ISBLANK(R834), Q834, R834), "",""), 0, 1), "" Km"", """")) - O834 = 0,
      """",
      VALUE(SUBSTITUTE(INDEX(SPLIT(IF(ISBLANK("&amp;"R834), Q834, R834), "",""), 0, 1), "" Km"", """")) - O834
    )
  )
)"),2300.0)</f>
        <v>2300</v>
      </c>
      <c r="Q834" s="20" t="str">
        <f t="shared" si="4"/>
        <v>2 300 Km, 02.08.2024</v>
      </c>
      <c r="R834" s="64"/>
      <c r="S834" s="41">
        <v>5000.0</v>
      </c>
      <c r="T834" s="24">
        <v>2.0</v>
      </c>
      <c r="U834" s="24" t="s">
        <v>1474</v>
      </c>
      <c r="V834" s="73"/>
      <c r="W834" s="24" t="str">
        <f t="shared" si="46"/>
        <v>Завершена</v>
      </c>
      <c r="X834" s="42" t="str">
        <f>IFERROR(__xludf.DUMMYFUNCTION("IF(C834 = """", """", IF(REGEXMATCH(C834, ""PCX|NMAX|ADV 150|CLICK""), ""скутер"", ""мото""))"),"мото")</f>
        <v>мото</v>
      </c>
      <c r="Y834" s="13"/>
      <c r="Z834" s="13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</row>
    <row r="835" hidden="1">
      <c r="A835" s="25" t="s">
        <v>24</v>
      </c>
      <c r="B835" s="25" t="s">
        <v>25</v>
      </c>
      <c r="C835" s="27" t="s">
        <v>193</v>
      </c>
      <c r="D835" s="27" t="s">
        <v>1513</v>
      </c>
      <c r="E835" s="43">
        <v>45513.0</v>
      </c>
      <c r="F835" s="39">
        <v>45544.75</v>
      </c>
      <c r="G835" s="30" t="str">
        <f t="shared" si="54"/>
        <v>1 М</v>
      </c>
      <c r="H835" s="31">
        <f t="shared" si="52"/>
        <v>223.3333333</v>
      </c>
      <c r="I835" s="74" t="str">
        <f t="shared" si="39"/>
        <v/>
      </c>
      <c r="J835" s="33" t="str">
        <f t="shared" si="25"/>
        <v/>
      </c>
      <c r="K835" s="36">
        <f>223*4</f>
        <v>892</v>
      </c>
      <c r="L835" s="36">
        <v>6700.0</v>
      </c>
      <c r="M835" s="33"/>
      <c r="N835" s="44">
        <v>14600.0</v>
      </c>
      <c r="O835" s="35" t="str">
        <f>IFERROR(__xludf.DUMMYFUNCTION("IFERROR(
  VLOOKUP(C835,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C835
    ), 
    7, FALSE
  ), 
  """"
)
"),"")</f>
        <v/>
      </c>
      <c r="P835" s="35">
        <f>IFERROR(__xludf.DUMMYFUNCTION("IF(AND(Q835="""", R835=""""),
  """",
  IF(OR(ISBLANK(Q835), ISBLANK(O835)),
    """",
    IF(VALUE(SUBSTITUTE(INDEX(SPLIT(IF(ISBLANK(R835), Q835, R835), "",""), 0, 1), "" Km"", """")) - O835 = 0,
      """",
      VALUE(SUBSTITUTE(INDEX(SPLIT(IF(ISBLANK("&amp;"R835), Q835, R835), "",""), 0, 1), "" Km"", """")) - O835
    )
  )
)"),14600.0)</f>
        <v>14600</v>
      </c>
      <c r="Q835" s="36" t="str">
        <f t="shared" si="4"/>
        <v>14 600 Km, 09.08.2024</v>
      </c>
      <c r="R835" s="33"/>
      <c r="S835" s="40">
        <v>8000.0</v>
      </c>
      <c r="T835" s="25">
        <v>1.0</v>
      </c>
      <c r="U835" s="71" t="s">
        <v>1514</v>
      </c>
      <c r="V835" s="37"/>
      <c r="W835" s="37" t="str">
        <f t="shared" si="46"/>
        <v>Завершена</v>
      </c>
      <c r="X835" s="25" t="str">
        <f>IFERROR(__xludf.DUMMYFUNCTION("IF(C835 = """", """", IF(REGEXMATCH(C835, ""PCX|NMAX|ADV 150|CLICK""), ""скутер"", ""мото""))"),"мото")</f>
        <v>мото</v>
      </c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</row>
    <row r="836" hidden="1">
      <c r="A836" s="13" t="s">
        <v>24</v>
      </c>
      <c r="B836" s="14" t="s">
        <v>25</v>
      </c>
      <c r="C836" s="62" t="s">
        <v>56</v>
      </c>
      <c r="D836" s="105" t="s">
        <v>703</v>
      </c>
      <c r="E836" s="48">
        <v>45514.0</v>
      </c>
      <c r="F836" s="163">
        <v>45585.5</v>
      </c>
      <c r="G836" s="17" t="str">
        <f t="shared" si="54"/>
        <v>2 М</v>
      </c>
      <c r="H836" s="18">
        <f t="shared" si="52"/>
        <v>166.6666667</v>
      </c>
      <c r="I836" s="80" t="str">
        <f t="shared" si="39"/>
        <v/>
      </c>
      <c r="J836" s="20" t="str">
        <f t="shared" si="25"/>
        <v/>
      </c>
      <c r="K836" s="23">
        <f>10000+800</f>
        <v>10800</v>
      </c>
      <c r="L836" s="23">
        <v>5000.0</v>
      </c>
      <c r="M836" s="64"/>
      <c r="N836" s="49">
        <v>27000.0</v>
      </c>
      <c r="O836" s="22">
        <f>IFERROR(__xludf.DUMMYFUNCTION("IFERROR(
  VLOOKUP(C836,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C836
    ), 
    7, FALSE
  ), 
  """"
)
"),36400.0)</f>
        <v>36400</v>
      </c>
      <c r="P836" s="22">
        <f>IFERROR(__xludf.DUMMYFUNCTION("IF(AND(Q836="""", R836=""""),
  """",
  IF(OR(ISBLANK(Q836), ISBLANK(O836)),
    """",
    IF(VALUE(SUBSTITUTE(INDEX(SPLIT(IF(ISBLANK(R836), Q836, R836), "",""), 0, 1), "" Km"", """")) - O836 = 0,
      """",
      VALUE(SUBSTITUTE(INDEX(SPLIT(IF(ISBLANK("&amp;"R836), Q836, R836), "",""), 0, 1), "" Km"", """")) - O836
    )
  )
)"),-9400.0)</f>
        <v>-9400</v>
      </c>
      <c r="Q836" s="20" t="str">
        <f t="shared" si="4"/>
        <v>27 000 Km, 10.08.2024</v>
      </c>
      <c r="R836" s="64"/>
      <c r="S836" s="18">
        <v>0.0</v>
      </c>
      <c r="T836" s="24">
        <v>2.0</v>
      </c>
      <c r="U836" s="24" t="s">
        <v>705</v>
      </c>
      <c r="V836" s="24" t="s">
        <v>1467</v>
      </c>
      <c r="W836" s="24" t="str">
        <f t="shared" si="46"/>
        <v>#VALUE!</v>
      </c>
      <c r="X836" s="13" t="str">
        <f>IFERROR(__xludf.DUMMYFUNCTION("IF(C836 = """", """", IF(REGEXMATCH(C836, ""PCX|NMAX|ADV|CLICK""), ""скутер"", ""мото""))"),"скутер")</f>
        <v>скутер</v>
      </c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</row>
    <row r="837" hidden="1">
      <c r="A837" s="25" t="s">
        <v>24</v>
      </c>
      <c r="B837" s="27" t="s">
        <v>25</v>
      </c>
      <c r="C837" s="60" t="s">
        <v>102</v>
      </c>
      <c r="D837" s="82" t="s">
        <v>1508</v>
      </c>
      <c r="E837" s="43">
        <v>45516.0</v>
      </c>
      <c r="F837" s="39">
        <v>45519.791666666664</v>
      </c>
      <c r="G837" s="30" t="str">
        <f t="shared" si="54"/>
        <v>3 Д</v>
      </c>
      <c r="H837" s="31">
        <f t="shared" si="52"/>
        <v>1490</v>
      </c>
      <c r="I837" s="74" t="str">
        <f t="shared" si="39"/>
        <v/>
      </c>
      <c r="J837" s="33" t="str">
        <f t="shared" si="25"/>
        <v/>
      </c>
      <c r="K837" s="36">
        <v>4470.0</v>
      </c>
      <c r="L837" s="67"/>
      <c r="M837" s="33">
        <v>1490.0</v>
      </c>
      <c r="N837" s="44">
        <v>42500.0</v>
      </c>
      <c r="O837" s="35">
        <f>IFERROR(__xludf.DUMMYFUNCTION("IFERROR(
  VLOOKUP(C837,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C837
    ), 
    7, FALSE
  ), 
  """"
)
"),63700.0)</f>
        <v>63700</v>
      </c>
      <c r="P837" s="35">
        <f>IFERROR(__xludf.DUMMYFUNCTION("IF(AND(Q837="""", R837=""""),
  """",
  IF(OR(ISBLANK(Q837), ISBLANK(O837)),
    """",
    IF(VALUE(SUBSTITUTE(INDEX(SPLIT(IF(ISBLANK(R837), Q837, R837), "",""), 0, 1), "" Km"", """")) - O837 = 0,
      """",
      VALUE(SUBSTITUTE(INDEX(SPLIT(IF(ISBLANK("&amp;"R837), Q837, R837), "",""), 0, 1), "" Km"", """")) - O837
    )
  )
)"),-21200.0)</f>
        <v>-21200</v>
      </c>
      <c r="Q837" s="33" t="str">
        <f t="shared" si="4"/>
        <v>42 500 Km, 12.08.2024</v>
      </c>
      <c r="R837" s="67"/>
      <c r="S837" s="31" t="s">
        <v>1502</v>
      </c>
      <c r="T837" s="37">
        <v>2.0</v>
      </c>
      <c r="U837" s="37" t="s">
        <v>1509</v>
      </c>
      <c r="V837" s="75"/>
      <c r="W837" s="37" t="str">
        <f t="shared" si="46"/>
        <v>Завершена</v>
      </c>
      <c r="X837" s="46" t="str">
        <f>IFERROR(__xludf.DUMMYFUNCTION("IF(C837 = """", """", IF(REGEXMATCH(C837, ""PCX|NMAX|ADV 150|CLICK""), ""скутер"", ""мото""))"),"мото")</f>
        <v>мото</v>
      </c>
      <c r="Y837" s="25"/>
      <c r="Z837" s="25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</row>
    <row r="838" hidden="1">
      <c r="A838" s="13" t="s">
        <v>24</v>
      </c>
      <c r="B838" s="13" t="s">
        <v>25</v>
      </c>
      <c r="C838" s="14" t="s">
        <v>468</v>
      </c>
      <c r="D838" s="14" t="s">
        <v>1513</v>
      </c>
      <c r="E838" s="48">
        <v>45517.0</v>
      </c>
      <c r="F838" s="38">
        <v>45544.75</v>
      </c>
      <c r="G838" s="17" t="str">
        <f t="shared" si="54"/>
        <v>27 Д</v>
      </c>
      <c r="H838" s="18">
        <f t="shared" si="52"/>
        <v>396.6666667</v>
      </c>
      <c r="I838" s="80" t="str">
        <f t="shared" si="39"/>
        <v/>
      </c>
      <c r="J838" s="20" t="str">
        <f t="shared" si="25"/>
        <v/>
      </c>
      <c r="K838" s="23">
        <f>6700-893+4917</f>
        <v>10724</v>
      </c>
      <c r="L838" s="23">
        <v>11900.0</v>
      </c>
      <c r="M838" s="20"/>
      <c r="N838" s="49">
        <v>20000.0</v>
      </c>
      <c r="O838" s="22">
        <f>IFERROR(__xludf.DUMMYFUNCTION("IFERROR(
  VLOOKUP(C838,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C838
    ), 
    7, FALSE
  ), 
  """"
)
"),22200.0)</f>
        <v>22200</v>
      </c>
      <c r="P838" s="22">
        <f>IFERROR(__xludf.DUMMYFUNCTION("IF(AND(Q838="""", R838=""""),
  """",
  IF(OR(ISBLANK(Q838), ISBLANK(O838)),
    """",
    IF(VALUE(SUBSTITUTE(INDEX(SPLIT(IF(ISBLANK(R838), Q838, R838), "",""), 0, 1), "" Km"", """")) - O838 = 0,
      """",
      VALUE(SUBSTITUTE(INDEX(SPLIT(IF(ISBLANK("&amp;"R838), Q838, R838), "",""), 0, 1), "" Km"", """")) - O838
    )
  )
)"),-2200.0)</f>
        <v>-2200</v>
      </c>
      <c r="Q838" s="23" t="str">
        <f t="shared" si="4"/>
        <v>20 000 Km, 13.08.2024</v>
      </c>
      <c r="R838" s="20"/>
      <c r="S838" s="41">
        <v>15000.0</v>
      </c>
      <c r="T838" s="13">
        <v>1.0</v>
      </c>
      <c r="U838" s="66" t="s">
        <v>1514</v>
      </c>
      <c r="V838" s="24"/>
      <c r="W838" s="24" t="str">
        <f t="shared" si="46"/>
        <v>Завершена</v>
      </c>
      <c r="X838" s="13" t="str">
        <f>IFERROR(__xludf.DUMMYFUNCTION("IF(C838 = """", """", IF(REGEXMATCH(C838, ""PCX|NMAX|ADV 150|CLICK""), ""скутер"", ""мото""))"),"мото")</f>
        <v>мото</v>
      </c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</row>
    <row r="839" hidden="1">
      <c r="A839" s="111" t="s">
        <v>24</v>
      </c>
      <c r="B839" s="112" t="s">
        <v>25</v>
      </c>
      <c r="C839" s="112" t="s">
        <v>185</v>
      </c>
      <c r="D839" s="114" t="s">
        <v>1508</v>
      </c>
      <c r="E839" s="43">
        <v>45519.0</v>
      </c>
      <c r="F839" s="39">
        <v>45523.791666666664</v>
      </c>
      <c r="G839" s="115" t="str">
        <f t="shared" si="54"/>
        <v>4 Д</v>
      </c>
      <c r="H839" s="116">
        <f t="shared" si="52"/>
        <v>338</v>
      </c>
      <c r="I839" s="74" t="str">
        <f t="shared" si="39"/>
        <v/>
      </c>
      <c r="J839" s="33" t="str">
        <f t="shared" si="25"/>
        <v/>
      </c>
      <c r="K839" s="118">
        <v>1350.0</v>
      </c>
      <c r="L839" s="164"/>
      <c r="M839" s="36">
        <v>338.0</v>
      </c>
      <c r="N839" s="165">
        <v>31000.0</v>
      </c>
      <c r="O839" s="120" t="str">
        <f>IFERROR(__xludf.DUMMYFUNCTION("IFERROR(
  VLOOKUP(C839,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C839
    ), 
    7, FALSE
  ), 
  """"
)
"),"")</f>
        <v/>
      </c>
      <c r="P839" s="120">
        <f>IFERROR(__xludf.DUMMYFUNCTION("IF(AND(Q839="""", R839=""""),
  """",
  IF(OR(ISBLANK(Q839), ISBLANK(O839)),
    """",
    IF(VALUE(SUBSTITUTE(INDEX(SPLIT(IF(ISBLANK(R839), Q839, R839), "",""), 0, 1), "" Km"", """")) - O839 = 0,
      """",
      VALUE(SUBSTITUTE(INDEX(SPLIT(IF(ISBLANK("&amp;"R839), Q839, R839), "",""), 0, 1), "" Km"", """")) - O839
    )
  )
)"),31000.0)</f>
        <v>31000</v>
      </c>
      <c r="Q839" s="121" t="str">
        <f t="shared" si="4"/>
        <v>31 000 Km, 15.08.2024</v>
      </c>
      <c r="R839" s="117"/>
      <c r="S839" s="116" t="s">
        <v>1502</v>
      </c>
      <c r="T839" s="122">
        <v>2.0</v>
      </c>
      <c r="U839" s="122" t="s">
        <v>1509</v>
      </c>
      <c r="V839" s="123"/>
      <c r="W839" s="122" t="str">
        <f t="shared" si="46"/>
        <v>Завершена</v>
      </c>
      <c r="X839" s="124" t="str">
        <f>IFERROR(__xludf.DUMMYFUNCTION("IF(C839 = """", """", IF(REGEXMATCH(C839, ""PCX|NMAX|ADV 150|CLICK""), ""скутер"", ""мото""))"),"скутер")</f>
        <v>скутер</v>
      </c>
      <c r="Y839" s="25"/>
      <c r="Z839" s="25"/>
      <c r="AA839" s="125"/>
      <c r="AB839" s="125"/>
      <c r="AC839" s="125"/>
      <c r="AD839" s="125"/>
      <c r="AE839" s="125"/>
      <c r="AF839" s="125"/>
      <c r="AG839" s="125"/>
      <c r="AH839" s="125"/>
      <c r="AI839" s="125"/>
      <c r="AJ839" s="125"/>
      <c r="AK839" s="125"/>
      <c r="AL839" s="125"/>
      <c r="AM839" s="125"/>
    </row>
    <row r="840" hidden="1">
      <c r="A840" s="13" t="s">
        <v>24</v>
      </c>
      <c r="B840" s="13" t="s">
        <v>25</v>
      </c>
      <c r="C840" s="14" t="s">
        <v>1028</v>
      </c>
      <c r="D840" s="14" t="s">
        <v>1515</v>
      </c>
      <c r="E840" s="48">
        <v>45520.0</v>
      </c>
      <c r="F840" s="38">
        <v>45523.416666666664</v>
      </c>
      <c r="G840" s="17" t="str">
        <f t="shared" si="54"/>
        <v>3 Д</v>
      </c>
      <c r="H840" s="18">
        <f t="shared" si="52"/>
        <v>690</v>
      </c>
      <c r="I840" s="80" t="str">
        <f t="shared" si="39"/>
        <v/>
      </c>
      <c r="J840" s="20" t="str">
        <f t="shared" si="25"/>
        <v/>
      </c>
      <c r="K840" s="23">
        <v>2070.0</v>
      </c>
      <c r="L840" s="20"/>
      <c r="M840" s="23">
        <v>690.0</v>
      </c>
      <c r="N840" s="49">
        <v>11000.0</v>
      </c>
      <c r="O840" s="22">
        <f>IFERROR(__xludf.DUMMYFUNCTION("IFERROR(
  VLOOKUP(C840,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C840
    ), 
    7, FALSE
  ), 
  """"
)
"),21600.0)</f>
        <v>21600</v>
      </c>
      <c r="P840" s="22">
        <f>IFERROR(__xludf.DUMMYFUNCTION("IF(AND(Q840="""", R840=""""),
  """",
  IF(OR(ISBLANK(Q840), ISBLANK(O840)),
    """",
    IF(VALUE(SUBSTITUTE(INDEX(SPLIT(IF(ISBLANK(R840), Q840, R840), "",""), 0, 1), "" Km"", """")) - O840 = 0,
      """",
      VALUE(SUBSTITUTE(INDEX(SPLIT(IF(ISBLANK("&amp;"R840), Q840, R840), "",""), 0, 1), "" Km"", """")) - O840
    )
  )
)"),-10600.0)</f>
        <v>-10600</v>
      </c>
      <c r="Q840" s="23" t="str">
        <f t="shared" si="4"/>
        <v>11 000 Km, 16.08.2024</v>
      </c>
      <c r="R840" s="20"/>
      <c r="S840" s="41">
        <v>5000.0</v>
      </c>
      <c r="T840" s="13">
        <v>2.0</v>
      </c>
      <c r="U840" s="13" t="s">
        <v>1516</v>
      </c>
      <c r="V840" s="24"/>
      <c r="W840" s="24" t="str">
        <f t="shared" si="46"/>
        <v>Завершена</v>
      </c>
      <c r="X840" s="13" t="str">
        <f>IFERROR(__xludf.DUMMYFUNCTION("IF(C840 = """", """", IF(REGEXMATCH(C840, ""PCX|NMAX|ADV 150|CLICK""), ""скутер"", ""мото""))"),"мото")</f>
        <v>мото</v>
      </c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</row>
    <row r="841" hidden="1">
      <c r="A841" s="25" t="s">
        <v>24</v>
      </c>
      <c r="B841" s="25" t="s">
        <v>25</v>
      </c>
      <c r="C841" s="27" t="s">
        <v>423</v>
      </c>
      <c r="D841" s="27" t="s">
        <v>1517</v>
      </c>
      <c r="E841" s="43">
        <v>45526.0</v>
      </c>
      <c r="F841" s="39">
        <v>45533.75</v>
      </c>
      <c r="G841" s="30" t="str">
        <f t="shared" si="54"/>
        <v>7 Д</v>
      </c>
      <c r="H841" s="31">
        <f t="shared" si="52"/>
        <v>706</v>
      </c>
      <c r="I841" s="74" t="str">
        <f t="shared" si="39"/>
        <v/>
      </c>
      <c r="J841" s="33" t="str">
        <f t="shared" si="25"/>
        <v/>
      </c>
      <c r="K841" s="36">
        <v>4942.0</v>
      </c>
      <c r="L841" s="33"/>
      <c r="M841" s="36">
        <v>706.0</v>
      </c>
      <c r="N841" s="44">
        <v>21592.0</v>
      </c>
      <c r="O841" s="35" t="str">
        <f>IFERROR(__xludf.DUMMYFUNCTION("IFERROR(
  VLOOKUP(C841,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C841
    ), 
    7, FALSE
  ), 
  """"
)
"),"")</f>
        <v/>
      </c>
      <c r="P841" s="35">
        <f>IFERROR(__xludf.DUMMYFUNCTION("IF(AND(Q841="""", R841=""""),
  """",
  IF(OR(ISBLANK(Q841), ISBLANK(O841)),
    """",
    IF(VALUE(SUBSTITUTE(INDEX(SPLIT(IF(ISBLANK(R841), Q841, R841), "",""), 0, 1), "" Km"", """")) - O841 = 0,
      """",
      VALUE(SUBSTITUTE(INDEX(SPLIT(IF(ISBLANK("&amp;"R841), Q841, R841), "",""), 0, 1), "" Km"", """")) - O841
    )
  )
)"),21592.0)</f>
        <v>21592</v>
      </c>
      <c r="Q841" s="36" t="str">
        <f t="shared" si="4"/>
        <v>21 592 Km, 22.08.2024</v>
      </c>
      <c r="R841" s="33"/>
      <c r="S841" s="40">
        <v>15000.0</v>
      </c>
      <c r="T841" s="25">
        <v>0.0</v>
      </c>
      <c r="U841" s="25" t="s">
        <v>1518</v>
      </c>
      <c r="V841" s="37"/>
      <c r="W841" s="37" t="str">
        <f t="shared" si="46"/>
        <v>Завершена</v>
      </c>
      <c r="X841" s="25" t="str">
        <f>IFERROR(__xludf.DUMMYFUNCTION("IF(C841 = """", """", IF(REGEXMATCH(C841, ""PCX|NMAX|ADV 150|CLICK""), ""скутер"", ""мото""))"),"мото")</f>
        <v>мото</v>
      </c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</row>
    <row r="842" hidden="1">
      <c r="A842" s="13" t="s">
        <v>24</v>
      </c>
      <c r="B842" s="14" t="s">
        <v>25</v>
      </c>
      <c r="C842" s="14" t="s">
        <v>948</v>
      </c>
      <c r="D842" s="14" t="s">
        <v>89</v>
      </c>
      <c r="E842" s="48">
        <v>45532.0</v>
      </c>
      <c r="F842" s="38">
        <v>45842.458333333336</v>
      </c>
      <c r="G842" s="17" t="str">
        <f>IF((E842="")+(F842=""), "",DATEDIF(E842, F842, "d") &amp; " Д")
</f>
        <v>310 Д</v>
      </c>
      <c r="H842" s="18">
        <f>IF(L842&lt;&gt;"", VALUE(L842)/31, IF(M842&lt;&gt;"", VALUE(M842)/1, ""))
</f>
        <v>419.3548387</v>
      </c>
      <c r="I842" s="19" t="str">
        <f t="shared" si="39"/>
        <v/>
      </c>
      <c r="J842" s="20" t="str">
        <f t="shared" si="25"/>
        <v/>
      </c>
      <c r="K842" s="23">
        <f>50000+28000+14000+12000+12000+10000</f>
        <v>126000</v>
      </c>
      <c r="L842" s="63">
        <v>13000.0</v>
      </c>
      <c r="M842" s="64"/>
      <c r="N842" s="49">
        <v>13300.0</v>
      </c>
      <c r="O842" s="22">
        <f>IFERROR(__xludf.DUMMYFUNCTION("IFERROR(
  VLOOKUP(C842,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C842
    ), 
    7, FALSE
  ), 
  """"
)
"),24553.0)</f>
        <v>24553</v>
      </c>
      <c r="P842" s="22">
        <f>IFERROR(__xludf.DUMMYFUNCTION("IF(AND(Q842="""", R842=""""),
  """",
  IF(OR(ISBLANK(Q842), ISBLANK(O842)),
    """",
    IF(VALUE(SUBSTITUTE(INDEX(SPLIT(IF(ISBLANK(R842), Q842, R842), "",""), 0, 1), "" Km"", """")) - O842 = 0,
      """",
      VALUE(SUBSTITUTE(INDEX(SPLIT(IF(ISBLANK("&amp;"R842), Q842, R842), "",""), 0, 1), "" Km"", """")) - O842
    )
  )
)"),-8553.0)</f>
        <v>-8553</v>
      </c>
      <c r="Q842" s="20" t="str">
        <f t="shared" si="4"/>
        <v>16000 Km, 22.04.2025</v>
      </c>
      <c r="R842" s="53" t="s">
        <v>1519</v>
      </c>
      <c r="S842" s="18">
        <v>5000.0</v>
      </c>
      <c r="T842" s="19">
        <v>1.0</v>
      </c>
      <c r="U842" s="24" t="s">
        <v>90</v>
      </c>
      <c r="V842" s="24"/>
      <c r="W842" s="24" t="str">
        <f t="shared" si="46"/>
        <v>Завершена</v>
      </c>
      <c r="X842" s="13" t="str">
        <f>IFERROR(__xludf.DUMMYFUNCTION("IF(C842 = """", """", IF(REGEXMATCH(C842, ""PCX|NMAX|ADV 150|CLICK""), ""скутер"", ""мото""))"),"мото")</f>
        <v>мото</v>
      </c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</row>
    <row r="843" hidden="1">
      <c r="A843" s="25" t="s">
        <v>1329</v>
      </c>
      <c r="B843" s="25" t="s">
        <v>25</v>
      </c>
      <c r="C843" s="27" t="s">
        <v>193</v>
      </c>
      <c r="D843" s="27" t="s">
        <v>1520</v>
      </c>
      <c r="E843" s="43">
        <v>45533.0</v>
      </c>
      <c r="F843" s="39">
        <v>45564.416666666664</v>
      </c>
      <c r="G843" s="30" t="str">
        <f>IF((E843="")+(F843=""), "", IF(DATEDIF(E843, F843, "d") &gt; 30, DATEDIF(E843, F843, "m") &amp; " М", DATEDIF(E843, F843, "d") &amp; " Д"))
</f>
        <v>1 М</v>
      </c>
      <c r="H843" s="31">
        <f t="shared" ref="H843:H864" si="55">IF(L843&lt;&gt;"", VALUE(L843)/30, IF(M843&lt;&gt;"", VALUE(M843)/1, ""))
</f>
        <v>223.3333333</v>
      </c>
      <c r="I843" s="74" t="str">
        <f t="shared" si="39"/>
        <v/>
      </c>
      <c r="J843" s="33" t="str">
        <f t="shared" si="25"/>
        <v/>
      </c>
      <c r="K843" s="36">
        <v>6700.0</v>
      </c>
      <c r="L843" s="36">
        <v>6700.0</v>
      </c>
      <c r="M843" s="33"/>
      <c r="N843" s="44">
        <v>14500.0</v>
      </c>
      <c r="O843" s="35" t="str">
        <f>IFERROR(__xludf.DUMMYFUNCTION("IFERROR(
  VLOOKUP(C843,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C843
    ), 
    7, FALSE
  ), 
  """"
)
"),"")</f>
        <v/>
      </c>
      <c r="P843" s="35">
        <f>IFERROR(__xludf.DUMMYFUNCTION("IF(AND(Q843="""", R843=""""),
  """",
  IF(OR(ISBLANK(Q843), ISBLANK(O843)),
    """",
    IF(VALUE(SUBSTITUTE(INDEX(SPLIT(IF(ISBLANK(R843), Q843, R843), "",""), 0, 1), "" Km"", """")) - O843 = 0,
      """",
      VALUE(SUBSTITUTE(INDEX(SPLIT(IF(ISBLANK("&amp;"R843), Q843, R843), "",""), 0, 1), "" Km"", """")) - O843
    )
  )
)"),14500.0)</f>
        <v>14500</v>
      </c>
      <c r="Q843" s="36" t="str">
        <f t="shared" si="4"/>
        <v>14 500 Km, 29.08.2024</v>
      </c>
      <c r="R843" s="33"/>
      <c r="S843" s="40" t="s">
        <v>1502</v>
      </c>
      <c r="T843" s="25">
        <v>1.0</v>
      </c>
      <c r="U843" s="25" t="s">
        <v>1521</v>
      </c>
      <c r="V843" s="37"/>
      <c r="W843" s="37" t="str">
        <f t="shared" si="46"/>
        <v>Завершена</v>
      </c>
      <c r="X843" s="25" t="str">
        <f>IFERROR(__xludf.DUMMYFUNCTION("IF(C843 = """", """", IF(REGEXMATCH(C843, ""PCX|NMAX|ADV 150|CLICK""), ""скутер"", ""мото""))"),"мото")</f>
        <v>мото</v>
      </c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</row>
    <row r="844" hidden="1">
      <c r="A844" s="13" t="s">
        <v>24</v>
      </c>
      <c r="B844" s="13" t="s">
        <v>25</v>
      </c>
      <c r="C844" s="14" t="s">
        <v>173</v>
      </c>
      <c r="D844" s="14" t="s">
        <v>1522</v>
      </c>
      <c r="E844" s="48">
        <v>45497.0</v>
      </c>
      <c r="F844" s="38">
        <v>45622.833333333336</v>
      </c>
      <c r="G844" s="17" t="str">
        <f>IF((E844="")+(F844=""), "",DATEDIF(E844, F844, "d") &amp; " Д")
</f>
        <v>125 Д</v>
      </c>
      <c r="H844" s="18">
        <f t="shared" si="55"/>
        <v>190</v>
      </c>
      <c r="I844" s="19" t="str">
        <f t="shared" si="39"/>
        <v/>
      </c>
      <c r="J844" s="20" t="str">
        <f t="shared" si="25"/>
        <v/>
      </c>
      <c r="K844" s="23">
        <f>1000+1000+2000+2000+9150+5000+1320</f>
        <v>21470</v>
      </c>
      <c r="L844" s="23">
        <v>5700.0</v>
      </c>
      <c r="M844" s="20"/>
      <c r="N844" s="49">
        <v>23485.0</v>
      </c>
      <c r="O844" s="22">
        <f>IFERROR(__xludf.DUMMYFUNCTION("IFERROR(
  VLOOKUP(C844,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C844
    ), 
    7, FALSE
  ), 
  """"
)
"),27000.0)</f>
        <v>27000</v>
      </c>
      <c r="P844" s="22">
        <f>IFERROR(__xludf.DUMMYFUNCTION("IF(AND(Q844="""", R844=""""),
  """",
  IF(OR(ISBLANK(Q844), ISBLANK(O844)),
    """",
    IF(VALUE(SUBSTITUTE(INDEX(SPLIT(IF(ISBLANK(R844), Q844, R844), "",""), 0, 1), "" Km"", """")) - O844 = 0,
      """",
      VALUE(SUBSTITUTE(INDEX(SPLIT(IF(ISBLANK("&amp;"R844), Q844, R844), "",""), 0, 1), "" Km"", """")) - O844
    )
  )
)"),200.0)</f>
        <v>200</v>
      </c>
      <c r="Q844" s="23" t="str">
        <f t="shared" si="4"/>
        <v>27200 Km, 22.10.2024</v>
      </c>
      <c r="R844" s="53" t="s">
        <v>1523</v>
      </c>
      <c r="S844" s="41">
        <v>5000.0</v>
      </c>
      <c r="T844" s="13">
        <v>1.0</v>
      </c>
      <c r="U844" s="66" t="s">
        <v>1380</v>
      </c>
      <c r="V844" s="13"/>
      <c r="W844" s="24" t="str">
        <f t="shared" si="46"/>
        <v>Завершена</v>
      </c>
      <c r="X844" s="13" t="str">
        <f>IFERROR(__xludf.DUMMYFUNCTION("IF(C844 = """", """", IF(REGEXMATCH(C844, ""PCX|NMAX|ADV|CLICK""), ""скутер"", ""мото""))"),"мото")</f>
        <v>мото</v>
      </c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</row>
    <row r="845" hidden="1">
      <c r="A845" s="25" t="s">
        <v>24</v>
      </c>
      <c r="B845" s="25" t="s">
        <v>25</v>
      </c>
      <c r="C845" s="27" t="s">
        <v>1028</v>
      </c>
      <c r="D845" s="27" t="s">
        <v>1524</v>
      </c>
      <c r="E845" s="43">
        <v>45540.0</v>
      </c>
      <c r="F845" s="39">
        <v>45558.375</v>
      </c>
      <c r="G845" s="30" t="str">
        <f t="shared" ref="G845:G855" si="56">IF((E845="")+(F845=""), "", IF(DATEDIF(E845, F845, "d") &gt; 30, DATEDIF(E845, F845, "m") &amp; " М", DATEDIF(E845, F845, "d") &amp; " Д"))
</f>
        <v>18 Д</v>
      </c>
      <c r="H845" s="31">
        <f t="shared" si="55"/>
        <v>554</v>
      </c>
      <c r="I845" s="74" t="str">
        <f t="shared" si="39"/>
        <v/>
      </c>
      <c r="J845" s="33" t="str">
        <f t="shared" si="25"/>
        <v/>
      </c>
      <c r="K845" s="36">
        <v>9972.0</v>
      </c>
      <c r="L845" s="33"/>
      <c r="M845" s="36">
        <v>554.0</v>
      </c>
      <c r="N845" s="44">
        <v>11261.0</v>
      </c>
      <c r="O845" s="35">
        <f>IFERROR(__xludf.DUMMYFUNCTION("IFERROR(
  VLOOKUP(C845,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C845
    ), 
    7, FALSE
  ), 
  """"
)
"),21600.0)</f>
        <v>21600</v>
      </c>
      <c r="P845" s="35">
        <f>IFERROR(__xludf.DUMMYFUNCTION("IF(AND(Q845="""", R845=""""),
  """",
  IF(OR(ISBLANK(Q845), ISBLANK(O845)),
    """",
    IF(VALUE(SUBSTITUTE(INDEX(SPLIT(IF(ISBLANK(R845), Q845, R845), "",""), 0, 1), "" Km"", """")) - O845 = 0,
      """",
      VALUE(SUBSTITUTE(INDEX(SPLIT(IF(ISBLANK("&amp;"R845), Q845, R845), "",""), 0, 1), "" Km"", """")) - O845
    )
  )
)"),-10339.0)</f>
        <v>-10339</v>
      </c>
      <c r="Q845" s="36" t="str">
        <f t="shared" si="4"/>
        <v>11 261 Km, 05.09.2024</v>
      </c>
      <c r="R845" s="33"/>
      <c r="S845" s="40">
        <v>7000.0</v>
      </c>
      <c r="T845" s="25">
        <v>2.0</v>
      </c>
      <c r="U845" s="25" t="s">
        <v>1525</v>
      </c>
      <c r="V845" s="37"/>
      <c r="W845" s="37" t="str">
        <f t="shared" si="46"/>
        <v>Завершена</v>
      </c>
      <c r="X845" s="25" t="str">
        <f>IFERROR(__xludf.DUMMYFUNCTION("IF(C845 = """", """", IF(REGEXMATCH(C845, ""PCX|NMAX|ADV 150|CLICK""), ""скутер"", ""мото""))"),"мото")</f>
        <v>мото</v>
      </c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</row>
    <row r="846" hidden="1">
      <c r="A846" s="13" t="s">
        <v>24</v>
      </c>
      <c r="B846" s="13" t="s">
        <v>25</v>
      </c>
      <c r="C846" s="14" t="s">
        <v>951</v>
      </c>
      <c r="D846" s="14" t="s">
        <v>1526</v>
      </c>
      <c r="E846" s="48">
        <v>45540.0</v>
      </c>
      <c r="F846" s="38">
        <v>45545.583333333336</v>
      </c>
      <c r="G846" s="17" t="str">
        <f t="shared" si="56"/>
        <v>5 Д</v>
      </c>
      <c r="H846" s="18">
        <f t="shared" si="55"/>
        <v>672</v>
      </c>
      <c r="I846" s="80" t="str">
        <f t="shared" si="39"/>
        <v/>
      </c>
      <c r="J846" s="20" t="str">
        <f t="shared" si="25"/>
        <v/>
      </c>
      <c r="K846" s="23">
        <v>3360.0</v>
      </c>
      <c r="L846" s="20"/>
      <c r="M846" s="23">
        <v>672.0</v>
      </c>
      <c r="N846" s="49">
        <v>12550.0</v>
      </c>
      <c r="O846" s="22">
        <f>IFERROR(__xludf.DUMMYFUNCTION("IFERROR(
  VLOOKUP(C846,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C846
    ), 
    7, FALSE
  ), 
  """"
)
"),21100.0)</f>
        <v>21100</v>
      </c>
      <c r="P846" s="22">
        <f>IFERROR(__xludf.DUMMYFUNCTION("IF(AND(Q846="""", R846=""""),
  """",
  IF(OR(ISBLANK(Q846), ISBLANK(O846)),
    """",
    IF(VALUE(SUBSTITUTE(INDEX(SPLIT(IF(ISBLANK(R846), Q846, R846), "",""), 0, 1), "" Km"", """")) - O846 = 0,
      """",
      VALUE(SUBSTITUTE(INDEX(SPLIT(IF(ISBLANK("&amp;"R846), Q846, R846), "",""), 0, 1), "" Km"", """")) - O846
    )
  )
)"),-8550.0)</f>
        <v>-8550</v>
      </c>
      <c r="Q846" s="23" t="str">
        <f t="shared" si="4"/>
        <v>12 550 Km, 05.09.2024</v>
      </c>
      <c r="R846" s="20"/>
      <c r="S846" s="41" t="s">
        <v>1527</v>
      </c>
      <c r="T846" s="13">
        <v>2.0</v>
      </c>
      <c r="U846" s="13" t="s">
        <v>1528</v>
      </c>
      <c r="V846" s="24"/>
      <c r="W846" s="24" t="str">
        <f t="shared" si="46"/>
        <v>Завершена</v>
      </c>
      <c r="X846" s="13" t="str">
        <f>IFERROR(__xludf.DUMMYFUNCTION("IF(C846 = """", """", IF(REGEXMATCH(C846, ""PCX|NMAX|ADV 150|CLICK""), ""скутер"", ""мото""))"),"мото")</f>
        <v>мото</v>
      </c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</row>
    <row r="847" hidden="1">
      <c r="A847" s="25" t="s">
        <v>24</v>
      </c>
      <c r="B847" s="25" t="s">
        <v>25</v>
      </c>
      <c r="C847" s="27" t="s">
        <v>92</v>
      </c>
      <c r="D847" s="27" t="s">
        <v>1529</v>
      </c>
      <c r="E847" s="43">
        <v>45543.0</v>
      </c>
      <c r="F847" s="39">
        <v>45555.666666666664</v>
      </c>
      <c r="G847" s="30" t="str">
        <f t="shared" si="56"/>
        <v>12 Д</v>
      </c>
      <c r="H847" s="31">
        <f t="shared" si="55"/>
        <v>500</v>
      </c>
      <c r="I847" s="74" t="str">
        <f t="shared" si="39"/>
        <v/>
      </c>
      <c r="J847" s="33" t="str">
        <f t="shared" si="25"/>
        <v/>
      </c>
      <c r="K847" s="36">
        <v>6000.0</v>
      </c>
      <c r="L847" s="33"/>
      <c r="M847" s="36">
        <v>500.0</v>
      </c>
      <c r="N847" s="44">
        <v>27589.0</v>
      </c>
      <c r="O847" s="35">
        <f>IFERROR(__xludf.DUMMYFUNCTION("IFERROR(
  VLOOKUP(C847,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C847
    ), 
    7, FALSE
  ), 
  """"
)
"),23500.0)</f>
        <v>23500</v>
      </c>
      <c r="P847" s="35">
        <f>IFERROR(__xludf.DUMMYFUNCTION("IF(AND(Q847="""", R847=""""),
  """",
  IF(OR(ISBLANK(Q847), ISBLANK(O847)),
    """",
    IF(VALUE(SUBSTITUTE(INDEX(SPLIT(IF(ISBLANK(R847), Q847, R847), "",""), 0, 1), "" Km"", """")) - O847 = 0,
      """",
      VALUE(SUBSTITUTE(INDEX(SPLIT(IF(ISBLANK("&amp;"R847), Q847, R847), "",""), 0, 1), "" Km"", """")) - O847
    )
  )
)"),4089.0)</f>
        <v>4089</v>
      </c>
      <c r="Q847" s="36" t="str">
        <f t="shared" si="4"/>
        <v>27 589 Km, 08.09.2024</v>
      </c>
      <c r="R847" s="33"/>
      <c r="S847" s="40">
        <v>0.0</v>
      </c>
      <c r="T847" s="25">
        <v>3.0</v>
      </c>
      <c r="U847" s="25" t="s">
        <v>516</v>
      </c>
      <c r="V847" s="37"/>
      <c r="W847" s="37" t="str">
        <f t="shared" si="46"/>
        <v>Завершена</v>
      </c>
      <c r="X847" s="25" t="str">
        <f>IFERROR(__xludf.DUMMYFUNCTION("IF(C847 = """", """", IF(REGEXMATCH(C847, ""PCX|NMAX|ADV 150|CLICK""), ""скутер"", ""мото""))"),"мото")</f>
        <v>мото</v>
      </c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</row>
    <row r="848" hidden="1">
      <c r="A848" s="13" t="s">
        <v>24</v>
      </c>
      <c r="B848" s="13" t="s">
        <v>25</v>
      </c>
      <c r="C848" s="14" t="s">
        <v>142</v>
      </c>
      <c r="D848" s="14" t="s">
        <v>1530</v>
      </c>
      <c r="E848" s="48">
        <v>45555.0</v>
      </c>
      <c r="F848" s="38">
        <v>45563.833333333336</v>
      </c>
      <c r="G848" s="17" t="str">
        <f t="shared" si="56"/>
        <v>8 Д</v>
      </c>
      <c r="H848" s="18">
        <f t="shared" si="55"/>
        <v>571</v>
      </c>
      <c r="I848" s="80" t="str">
        <f t="shared" si="39"/>
        <v/>
      </c>
      <c r="J848" s="20" t="str">
        <f t="shared" si="25"/>
        <v/>
      </c>
      <c r="K848" s="23">
        <v>4500.0</v>
      </c>
      <c r="L848" s="20"/>
      <c r="M848" s="23">
        <v>571.0</v>
      </c>
      <c r="N848" s="49">
        <v>34500.0</v>
      </c>
      <c r="O848" s="22" t="str">
        <f>IFERROR(__xludf.DUMMYFUNCTION("IFERROR(
  VLOOKUP(C848,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C848
    ), 
    7, FALSE
  ), 
  """"
)
"),"")</f>
        <v/>
      </c>
      <c r="P848" s="22">
        <f>IFERROR(__xludf.DUMMYFUNCTION("IF(AND(Q848="""", R848=""""),
  """",
  IF(OR(ISBLANK(Q848), ISBLANK(O848)),
    """",
    IF(VALUE(SUBSTITUTE(INDEX(SPLIT(IF(ISBLANK(R848), Q848, R848), "",""), 0, 1), "" Km"", """")) - O848 = 0,
      """",
      VALUE(SUBSTITUTE(INDEX(SPLIT(IF(ISBLANK("&amp;"R848), Q848, R848), "",""), 0, 1), "" Km"", """")) - O848
    )
  )
)"),34500.0)</f>
        <v>34500</v>
      </c>
      <c r="Q848" s="23" t="str">
        <f t="shared" si="4"/>
        <v>34 500 Km, 20.09.2024</v>
      </c>
      <c r="R848" s="20"/>
      <c r="S848" s="41" t="s">
        <v>515</v>
      </c>
      <c r="T848" s="13">
        <v>2.0</v>
      </c>
      <c r="U848" s="13" t="s">
        <v>516</v>
      </c>
      <c r="V848" s="24"/>
      <c r="W848" s="24" t="str">
        <f t="shared" si="46"/>
        <v>Завершена</v>
      </c>
      <c r="X848" s="13" t="str">
        <f>IFERROR(__xludf.DUMMYFUNCTION("IF(C848 = """", """", IF(REGEXMATCH(C848, ""PCX|NMAX|ADV 150|CLICK""), ""скутер"", ""мото""))"),"мото")</f>
        <v>мото</v>
      </c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</row>
    <row r="849" hidden="1">
      <c r="A849" s="25" t="s">
        <v>24</v>
      </c>
      <c r="B849" s="25" t="s">
        <v>25</v>
      </c>
      <c r="C849" s="27" t="s">
        <v>928</v>
      </c>
      <c r="D849" s="27" t="s">
        <v>1531</v>
      </c>
      <c r="E849" s="43">
        <v>45556.0</v>
      </c>
      <c r="F849" s="39">
        <v>45560.666666666664</v>
      </c>
      <c r="G849" s="30" t="str">
        <f t="shared" si="56"/>
        <v>4 Д</v>
      </c>
      <c r="H849" s="31">
        <f t="shared" si="55"/>
        <v>800</v>
      </c>
      <c r="I849" s="74" t="str">
        <f t="shared" si="39"/>
        <v/>
      </c>
      <c r="J849" s="33" t="str">
        <f t="shared" si="25"/>
        <v/>
      </c>
      <c r="K849" s="36">
        <v>3200.0</v>
      </c>
      <c r="L849" s="33"/>
      <c r="M849" s="36">
        <v>800.0</v>
      </c>
      <c r="N849" s="44">
        <v>1100.0</v>
      </c>
      <c r="O849" s="35">
        <f>IFERROR(__xludf.DUMMYFUNCTION("IFERROR(
  VLOOKUP(C849,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C849
    ), 
    7, FALSE
  ), 
  """"
)
"),11000.0)</f>
        <v>11000</v>
      </c>
      <c r="P849" s="35">
        <f>IFERROR(__xludf.DUMMYFUNCTION("IF(AND(Q849="""", R849=""""),
  """",
  IF(OR(ISBLANK(Q849), ISBLANK(O849)),
    """",
    IF(VALUE(SUBSTITUTE(INDEX(SPLIT(IF(ISBLANK(R849), Q849, R849), "",""), 0, 1), "" Km"", """")) - O849 = 0,
      """",
      VALUE(SUBSTITUTE(INDEX(SPLIT(IF(ISBLANK("&amp;"R849), Q849, R849), "",""), 0, 1), "" Km"", """")) - O849
    )
  )
)"),-9900.0)</f>
        <v>-9900</v>
      </c>
      <c r="Q849" s="36" t="str">
        <f t="shared" si="4"/>
        <v>1 100 Km, 21.09.2024</v>
      </c>
      <c r="R849" s="33"/>
      <c r="S849" s="40">
        <v>7000.0</v>
      </c>
      <c r="T849" s="37"/>
      <c r="U849" s="25" t="s">
        <v>556</v>
      </c>
      <c r="V849" s="37"/>
      <c r="W849" s="37" t="str">
        <f t="shared" si="46"/>
        <v>Завершена</v>
      </c>
      <c r="X849" s="25" t="str">
        <f>IFERROR(__xludf.DUMMYFUNCTION("IF(C849 = """", """", IF(REGEXMATCH(C849, ""PCX|NMAX|ADV 150|CLICK""), ""скутер"", ""мото""))"),"мото")</f>
        <v>мото</v>
      </c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</row>
    <row r="850" hidden="1">
      <c r="A850" s="13" t="s">
        <v>24</v>
      </c>
      <c r="B850" s="13" t="s">
        <v>25</v>
      </c>
      <c r="C850" s="14" t="s">
        <v>951</v>
      </c>
      <c r="D850" s="14" t="s">
        <v>1531</v>
      </c>
      <c r="E850" s="48">
        <v>45556.0</v>
      </c>
      <c r="F850" s="38">
        <v>45560.666666666664</v>
      </c>
      <c r="G850" s="17" t="str">
        <f t="shared" si="56"/>
        <v>4 Д</v>
      </c>
      <c r="H850" s="18">
        <f t="shared" si="55"/>
        <v>800</v>
      </c>
      <c r="I850" s="80" t="str">
        <f t="shared" si="39"/>
        <v/>
      </c>
      <c r="J850" s="20" t="str">
        <f t="shared" si="25"/>
        <v/>
      </c>
      <c r="K850" s="23">
        <v>3200.0</v>
      </c>
      <c r="L850" s="20"/>
      <c r="M850" s="23">
        <v>800.0</v>
      </c>
      <c r="N850" s="49">
        <v>12600.0</v>
      </c>
      <c r="O850" s="22">
        <f>IFERROR(__xludf.DUMMYFUNCTION("IFERROR(
  VLOOKUP(C850,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C850
    ), 
    7, FALSE
  ), 
  """"
)
"),21100.0)</f>
        <v>21100</v>
      </c>
      <c r="P850" s="22">
        <f>IFERROR(__xludf.DUMMYFUNCTION("IF(AND(Q850="""", R850=""""),
  """",
  IF(OR(ISBLANK(Q850), ISBLANK(O850)),
    """",
    IF(VALUE(SUBSTITUTE(INDEX(SPLIT(IF(ISBLANK(R850), Q850, R850), "",""), 0, 1), "" Km"", """")) - O850 = 0,
      """",
      VALUE(SUBSTITUTE(INDEX(SPLIT(IF(ISBLANK("&amp;"R850), Q850, R850), "",""), 0, 1), "" Km"", """")) - O850
    )
  )
)"),-8500.0)</f>
        <v>-8500</v>
      </c>
      <c r="Q850" s="23" t="str">
        <f t="shared" si="4"/>
        <v>12 600 Km, 21.09.2024</v>
      </c>
      <c r="R850" s="20"/>
      <c r="S850" s="41">
        <v>7000.0</v>
      </c>
      <c r="T850" s="24"/>
      <c r="U850" s="13" t="s">
        <v>556</v>
      </c>
      <c r="V850" s="24"/>
      <c r="W850" s="24" t="str">
        <f t="shared" si="46"/>
        <v>Завершена</v>
      </c>
      <c r="X850" s="13" t="str">
        <f>IFERROR(__xludf.DUMMYFUNCTION("IF(C850 = """", """", IF(REGEXMATCH(C850, ""PCX|NMAX|ADV 150|CLICK""), ""скутер"", ""мото""))"),"мото")</f>
        <v>мото</v>
      </c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</row>
    <row r="851" hidden="1">
      <c r="A851" s="25" t="s">
        <v>24</v>
      </c>
      <c r="B851" s="25" t="s">
        <v>25</v>
      </c>
      <c r="C851" s="27" t="s">
        <v>941</v>
      </c>
      <c r="D851" s="27" t="s">
        <v>1531</v>
      </c>
      <c r="E851" s="43">
        <v>45556.0</v>
      </c>
      <c r="F851" s="39">
        <v>45560.666666666664</v>
      </c>
      <c r="G851" s="30" t="str">
        <f t="shared" si="56"/>
        <v>4 Д</v>
      </c>
      <c r="H851" s="31">
        <f t="shared" si="55"/>
        <v>800</v>
      </c>
      <c r="I851" s="74" t="str">
        <f t="shared" si="39"/>
        <v/>
      </c>
      <c r="J851" s="33" t="str">
        <f t="shared" si="25"/>
        <v/>
      </c>
      <c r="K851" s="36">
        <v>2400</v>
      </c>
      <c r="L851" s="33"/>
      <c r="M851" s="36">
        <v>800.0</v>
      </c>
      <c r="N851" s="44">
        <v>3500.0</v>
      </c>
      <c r="O851" s="35">
        <f>IFERROR(__xludf.DUMMYFUNCTION("IFERROR(
  VLOOKUP(C851,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C851
    ), 
    7, FALSE
  ), 
  """"
)
"),18302.0)</f>
        <v>18302</v>
      </c>
      <c r="P851" s="35">
        <f>IFERROR(__xludf.DUMMYFUNCTION("IF(AND(Q851="""", R851=""""),
  """",
  IF(OR(ISBLANK(Q851), ISBLANK(O851)),
    """",
    IF(VALUE(SUBSTITUTE(INDEX(SPLIT(IF(ISBLANK(R851), Q851, R851), "",""), 0, 1), "" Km"", """")) - O851 = 0,
      """",
      VALUE(SUBSTITUTE(INDEX(SPLIT(IF(ISBLANK("&amp;"R851), Q851, R851), "",""), 0, 1), "" Km"", """")) - O851
    )
  )
)"),-14802.0)</f>
        <v>-14802</v>
      </c>
      <c r="Q851" s="36" t="str">
        <f t="shared" si="4"/>
        <v>3 500 Km, 21.09.2024</v>
      </c>
      <c r="R851" s="33"/>
      <c r="S851" s="40">
        <v>7000.0</v>
      </c>
      <c r="T851" s="37"/>
      <c r="U851" s="25" t="s">
        <v>556</v>
      </c>
      <c r="V851" s="37"/>
      <c r="W851" s="37" t="str">
        <f t="shared" si="46"/>
        <v>Завершена</v>
      </c>
      <c r="X851" s="25" t="str">
        <f>IFERROR(__xludf.DUMMYFUNCTION("IF(C851 = """", """", IF(REGEXMATCH(C851, ""PCX|NMAX|ADV 150|CLICK""), ""скутер"", ""мото""))"),"мото")</f>
        <v>мото</v>
      </c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</row>
    <row r="852" hidden="1">
      <c r="A852" s="13" t="s">
        <v>24</v>
      </c>
      <c r="B852" s="13" t="s">
        <v>25</v>
      </c>
      <c r="C852" s="14" t="s">
        <v>427</v>
      </c>
      <c r="D852" s="14" t="s">
        <v>1424</v>
      </c>
      <c r="E852" s="48">
        <v>45556.0</v>
      </c>
      <c r="F852" s="38">
        <v>45576.708333333336</v>
      </c>
      <c r="G852" s="17" t="str">
        <f t="shared" si="56"/>
        <v>20 Д</v>
      </c>
      <c r="H852" s="18">
        <f t="shared" si="55"/>
        <v>330</v>
      </c>
      <c r="I852" s="80" t="str">
        <f t="shared" si="39"/>
        <v/>
      </c>
      <c r="J852" s="20" t="str">
        <f t="shared" si="25"/>
        <v/>
      </c>
      <c r="K852" s="23">
        <v>6600.0</v>
      </c>
      <c r="L852" s="20"/>
      <c r="M852" s="23">
        <v>330.0</v>
      </c>
      <c r="N852" s="49">
        <v>19500.0</v>
      </c>
      <c r="O852" s="22" t="str">
        <f>IFERROR(__xludf.DUMMYFUNCTION("IFERROR(
  VLOOKUP(C852,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C852
    ), 
    7, FALSE
  ), 
  """"
)
"),"")</f>
        <v/>
      </c>
      <c r="P852" s="22">
        <f>IFERROR(__xludf.DUMMYFUNCTION("IF(AND(Q852="""", R852=""""),
  """",
  IF(OR(ISBLANK(Q852), ISBLANK(O852)),
    """",
    IF(VALUE(SUBSTITUTE(INDEX(SPLIT(IF(ISBLANK(R852), Q852, R852), "",""), 0, 1), "" Km"", """")) - O852 = 0,
      """",
      VALUE(SUBSTITUTE(INDEX(SPLIT(IF(ISBLANK("&amp;"R852), Q852, R852), "",""), 0, 1), "" Km"", """")) - O852
    )
  )
)"),19500.0)</f>
        <v>19500</v>
      </c>
      <c r="Q852" s="23" t="str">
        <f t="shared" si="4"/>
        <v>19 500 Km, 21.09.2024</v>
      </c>
      <c r="R852" s="20"/>
      <c r="S852" s="41">
        <v>8000.0</v>
      </c>
      <c r="T852" s="24"/>
      <c r="U852" s="13" t="s">
        <v>516</v>
      </c>
      <c r="V852" s="24"/>
      <c r="W852" s="24" t="str">
        <f t="shared" si="46"/>
        <v>Завершена</v>
      </c>
      <c r="X852" s="13" t="str">
        <f>IFERROR(__xludf.DUMMYFUNCTION("IF(C852 = """", """", IF(REGEXMATCH(C852, ""PCX|NMAX|ADV 150|CLICK""), ""скутер"", ""мото""))"),"мото")</f>
        <v>мото</v>
      </c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</row>
    <row r="853" hidden="1">
      <c r="A853" s="25" t="s">
        <v>24</v>
      </c>
      <c r="B853" s="27" t="s">
        <v>25</v>
      </c>
      <c r="C853" s="27" t="s">
        <v>427</v>
      </c>
      <c r="D853" s="27" t="s">
        <v>1424</v>
      </c>
      <c r="E853" s="43">
        <v>45556.0</v>
      </c>
      <c r="F853" s="39">
        <v>45576.666666666664</v>
      </c>
      <c r="G853" s="30" t="str">
        <f t="shared" si="56"/>
        <v>20 Д</v>
      </c>
      <c r="H853" s="31">
        <f t="shared" si="55"/>
        <v>330</v>
      </c>
      <c r="I853" s="74" t="str">
        <f t="shared" si="39"/>
        <v/>
      </c>
      <c r="J853" s="33" t="str">
        <f t="shared" si="25"/>
        <v/>
      </c>
      <c r="K853" s="33"/>
      <c r="L853" s="33"/>
      <c r="M853" s="108">
        <v>330.0</v>
      </c>
      <c r="N853" s="44">
        <v>19050.0</v>
      </c>
      <c r="O853" s="35" t="str">
        <f>IFERROR(__xludf.DUMMYFUNCTION("IFERROR(
  VLOOKUP(C853,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C853
    ), 
    7, FALSE
  ), 
  """"
)
"),"")</f>
        <v/>
      </c>
      <c r="P853" s="35">
        <f>IFERROR(__xludf.DUMMYFUNCTION("IF(AND(Q853="""", R853=""""),
  """",
  IF(OR(ISBLANK(Q853), ISBLANK(O853)),
    """",
    IF(VALUE(SUBSTITUTE(INDEX(SPLIT(IF(ISBLANK(R853), Q853, R853), "",""), 0, 1), "" Km"", """")) - O853 = 0,
      """",
      VALUE(SUBSTITUTE(INDEX(SPLIT(IF(ISBLANK("&amp;"R853), Q853, R853), "",""), 0, 1), "" Km"", """")) - O853
    )
  )
)"),19050.0)</f>
        <v>19050</v>
      </c>
      <c r="Q853" s="33" t="str">
        <f t="shared" si="4"/>
        <v>19 050 Km, 21.09.2024</v>
      </c>
      <c r="R853" s="77"/>
      <c r="S853" s="31">
        <v>8000.0</v>
      </c>
      <c r="T853" s="37">
        <v>2.0</v>
      </c>
      <c r="U853" s="37" t="s">
        <v>1425</v>
      </c>
      <c r="V853" s="78"/>
      <c r="W853" s="37" t="str">
        <f t="shared" si="46"/>
        <v>Завершена</v>
      </c>
      <c r="X853" s="46" t="str">
        <f>IFERROR(__xludf.DUMMYFUNCTION("IF(C853 = """", """", IF(REGEXMATCH(C853, ""PCX|NMAX|ADV 150|CLICK""), ""скутер"", ""мото""))"),"мото")</f>
        <v>мото</v>
      </c>
      <c r="Y853" s="25"/>
      <c r="Z853" s="25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</row>
    <row r="854" hidden="1">
      <c r="A854" s="13" t="s">
        <v>24</v>
      </c>
      <c r="B854" s="13" t="s">
        <v>25</v>
      </c>
      <c r="C854" s="14" t="s">
        <v>68</v>
      </c>
      <c r="D854" s="14" t="s">
        <v>1532</v>
      </c>
      <c r="E854" s="48">
        <v>45557.0</v>
      </c>
      <c r="F854" s="38">
        <v>45566.666666666664</v>
      </c>
      <c r="G854" s="17" t="str">
        <f t="shared" si="56"/>
        <v>9 Д</v>
      </c>
      <c r="H854" s="18">
        <f t="shared" si="55"/>
        <v>347</v>
      </c>
      <c r="I854" s="80" t="str">
        <f t="shared" si="39"/>
        <v/>
      </c>
      <c r="J854" s="20" t="str">
        <f t="shared" si="25"/>
        <v/>
      </c>
      <c r="K854" s="23">
        <v>3123.0</v>
      </c>
      <c r="L854" s="20"/>
      <c r="M854" s="23">
        <v>347.0</v>
      </c>
      <c r="N854" s="49">
        <v>26000.0</v>
      </c>
      <c r="O854" s="22">
        <f>IFERROR(__xludf.DUMMYFUNCTION("IFERROR(
  VLOOKUP(C854,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C854
    ), 
    7, FALSE
  ), 
  """"
)
"),24094.0)</f>
        <v>24094</v>
      </c>
      <c r="P854" s="22">
        <f>IFERROR(__xludf.DUMMYFUNCTION("IF(AND(Q854="""", R854=""""),
  """",
  IF(OR(ISBLANK(Q854), ISBLANK(O854)),
    """",
    IF(VALUE(SUBSTITUTE(INDEX(SPLIT(IF(ISBLANK(R854), Q854, R854), "",""), 0, 1), "" Km"", """")) - O854 = 0,
      """",
      VALUE(SUBSTITUTE(INDEX(SPLIT(IF(ISBLANK("&amp;"R854), Q854, R854), "",""), 0, 1), "" Km"", """")) - O854
    )
  )
)"),1906.0)</f>
        <v>1906</v>
      </c>
      <c r="Q854" s="23" t="str">
        <f t="shared" si="4"/>
        <v>26 000 Km, 22.09.2024</v>
      </c>
      <c r="R854" s="20"/>
      <c r="S854" s="41">
        <v>3000.0</v>
      </c>
      <c r="T854" s="13">
        <v>2.0</v>
      </c>
      <c r="U854" s="13" t="s">
        <v>1533</v>
      </c>
      <c r="V854" s="24"/>
      <c r="W854" s="24" t="str">
        <f t="shared" si="46"/>
        <v>Завершена</v>
      </c>
      <c r="X854" s="13" t="str">
        <f>IFERROR(__xludf.DUMMYFUNCTION("IF(C854 = """", """", IF(REGEXMATCH(C854, ""PCX|NMAX|ADV 150|CLICK""), ""скутер"", ""мото""))"),"скутер")</f>
        <v>скутер</v>
      </c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</row>
    <row r="855" hidden="1">
      <c r="A855" s="25" t="s">
        <v>24</v>
      </c>
      <c r="B855" s="25" t="s">
        <v>25</v>
      </c>
      <c r="C855" s="27" t="s">
        <v>1512</v>
      </c>
      <c r="D855" s="27" t="s">
        <v>480</v>
      </c>
      <c r="E855" s="43">
        <v>45568.0</v>
      </c>
      <c r="F855" s="39">
        <v>45573.583333333336</v>
      </c>
      <c r="G855" s="30" t="str">
        <f t="shared" si="56"/>
        <v>5 Д</v>
      </c>
      <c r="H855" s="31">
        <f t="shared" si="55"/>
        <v>1000</v>
      </c>
      <c r="I855" s="74" t="str">
        <f t="shared" si="39"/>
        <v/>
      </c>
      <c r="J855" s="33" t="str">
        <f t="shared" si="25"/>
        <v/>
      </c>
      <c r="K855" s="36">
        <v>4500.0</v>
      </c>
      <c r="L855" s="33"/>
      <c r="M855" s="36">
        <v>1000.0</v>
      </c>
      <c r="N855" s="44">
        <v>3000.0</v>
      </c>
      <c r="O855" s="35" t="str">
        <f>IFERROR(__xludf.DUMMYFUNCTION("IFERROR(
  VLOOKUP(C855,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C855
    ), 
    7, FALSE
  ), 
  """"
)
"),"")</f>
        <v/>
      </c>
      <c r="P855" s="35">
        <f>IFERROR(__xludf.DUMMYFUNCTION("IF(AND(Q855="""", R855=""""),
  """",
  IF(OR(ISBLANK(Q855), ISBLANK(O855)),
    """",
    IF(VALUE(SUBSTITUTE(INDEX(SPLIT(IF(ISBLANK(R855), Q855, R855), "",""), 0, 1), "" Km"", """")) - O855 = 0,
      """",
      VALUE(SUBSTITUTE(INDEX(SPLIT(IF(ISBLANK("&amp;"R855), Q855, R855), "",""), 0, 1), "" Km"", """")) - O855
    )
  )
)"),3000.0)</f>
        <v>3000</v>
      </c>
      <c r="Q855" s="36" t="str">
        <f t="shared" si="4"/>
        <v>3 000 Km, 03.10.2024</v>
      </c>
      <c r="R855" s="33"/>
      <c r="S855" s="40">
        <v>0.0</v>
      </c>
      <c r="T855" s="25">
        <v>1.0</v>
      </c>
      <c r="U855" s="25" t="s">
        <v>516</v>
      </c>
      <c r="V855" s="37"/>
      <c r="W855" s="37" t="str">
        <f t="shared" si="46"/>
        <v>Завершена</v>
      </c>
      <c r="X855" s="25" t="str">
        <f>IFERROR(__xludf.DUMMYFUNCTION("IF(C855 = """", """", IF(REGEXMATCH(C855, ""PCX|NMAX|ADV 150|CLICK""), ""скутер"", ""мото""))"),"мото")</f>
        <v>мото</v>
      </c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</row>
    <row r="856" hidden="1">
      <c r="A856" s="13" t="s">
        <v>24</v>
      </c>
      <c r="B856" s="13" t="s">
        <v>25</v>
      </c>
      <c r="C856" s="14" t="s">
        <v>928</v>
      </c>
      <c r="D856" s="14" t="s">
        <v>1534</v>
      </c>
      <c r="E856" s="48">
        <v>45570.0</v>
      </c>
      <c r="F856" s="38">
        <v>45645.458333333336</v>
      </c>
      <c r="G856" s="17" t="str">
        <f>IF((E856="")+(F856=""), "",DATEDIF(E856, F856, "d") &amp; " Д")
</f>
        <v>75 Д</v>
      </c>
      <c r="H856" s="18">
        <f t="shared" si="55"/>
        <v>507</v>
      </c>
      <c r="I856" s="19" t="str">
        <f t="shared" si="39"/>
        <v/>
      </c>
      <c r="J856" s="20" t="str">
        <f t="shared" si="25"/>
        <v/>
      </c>
      <c r="K856" s="23">
        <v>38500.0</v>
      </c>
      <c r="L856" s="20"/>
      <c r="M856" s="23">
        <v>507.0</v>
      </c>
      <c r="N856" s="49">
        <v>1200.0</v>
      </c>
      <c r="O856" s="22">
        <f>IFERROR(__xludf.DUMMYFUNCTION("IFERROR(
  VLOOKUP(C856,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C856
    ), 
    7, FALSE
  ), 
  """"
)
"),11000.0)</f>
        <v>11000</v>
      </c>
      <c r="P856" s="22">
        <f>IFERROR(__xludf.DUMMYFUNCTION("IF(AND(Q856="""", R856=""""),
  """",
  IF(OR(ISBLANK(Q856), ISBLANK(O856)),
    """",
    IF(VALUE(SUBSTITUTE(INDEX(SPLIT(IF(ISBLANK(R856), Q856, R856), "",""), 0, 1), "" Km"", """")) - O856 = 0,
      """",
      VALUE(SUBSTITUTE(INDEX(SPLIT(IF(ISBLANK("&amp;"R856), Q856, R856), "",""), 0, 1), "" Km"", """")) - O856
    )
  )
)"),-9800.0)</f>
        <v>-9800</v>
      </c>
      <c r="Q856" s="23" t="str">
        <f t="shared" si="4"/>
        <v>1 200 Km, 05.10.2024</v>
      </c>
      <c r="R856" s="20"/>
      <c r="S856" s="41">
        <v>5000.0</v>
      </c>
      <c r="T856" s="13">
        <v>2.0</v>
      </c>
      <c r="U856" s="66" t="s">
        <v>1535</v>
      </c>
      <c r="V856" s="24"/>
      <c r="W856" s="24" t="str">
        <f t="shared" si="46"/>
        <v>Завершена</v>
      </c>
      <c r="X856" s="13" t="str">
        <f>IFERROR(__xludf.DUMMYFUNCTION("IF(C856 = """", """", IF(REGEXMATCH(C856, ""PCX|NMAX|ADV 150|CLICK""), ""скутер"", ""мото""))"),"мото")</f>
        <v>мото</v>
      </c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</row>
    <row r="857" hidden="1">
      <c r="A857" s="25" t="s">
        <v>24</v>
      </c>
      <c r="B857" s="25" t="s">
        <v>25</v>
      </c>
      <c r="C857" s="27" t="s">
        <v>185</v>
      </c>
      <c r="D857" s="27" t="s">
        <v>564</v>
      </c>
      <c r="E857" s="43">
        <v>45573.0</v>
      </c>
      <c r="F857" s="39">
        <v>45626.541666666664</v>
      </c>
      <c r="G857" s="30" t="str">
        <f t="shared" ref="G857:G875" si="57">IF((E857="")+(F857=""), "", IF(DATEDIF(E857, F857, "d") &gt; 30, DATEDIF(E857, F857, "m") &amp; " М", DATEDIF(E857, F857, "d") &amp; " Д"))
</f>
        <v>1 М</v>
      </c>
      <c r="H857" s="31">
        <f t="shared" si="55"/>
        <v>216.3333333</v>
      </c>
      <c r="I857" s="32" t="str">
        <f t="shared" si="39"/>
        <v/>
      </c>
      <c r="J857" s="33" t="str">
        <f t="shared" si="25"/>
        <v/>
      </c>
      <c r="K857" s="36">
        <f>6490+15000/3.1</f>
        <v>11328.70968</v>
      </c>
      <c r="L857" s="36">
        <v>6490.0</v>
      </c>
      <c r="M857" s="33"/>
      <c r="N857" s="44">
        <v>30450.0</v>
      </c>
      <c r="O857" s="35" t="str">
        <f>IFERROR(__xludf.DUMMYFUNCTION("IFERROR(
  VLOOKUP(C857,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C857
    ), 
    7, FALSE
  ), 
  """"
)
"),"")</f>
        <v/>
      </c>
      <c r="P857" s="35">
        <f>IFERROR(__xludf.DUMMYFUNCTION("IF(AND(Q857="""", R857=""""),
  """",
  IF(OR(ISBLANK(Q857), ISBLANK(O857)),
    """",
    IF(VALUE(SUBSTITUTE(INDEX(SPLIT(IF(ISBLANK(R857), Q857, R857), "",""), 0, 1), "" Km"", """")) - O857 = 0,
      """",
      VALUE(SUBSTITUTE(INDEX(SPLIT(IF(ISBLANK("&amp;"R857), Q857, R857), "",""), 0, 1), "" Km"", """")) - O857
    )
  )
)"),30450.0)</f>
        <v>30450</v>
      </c>
      <c r="Q857" s="36" t="str">
        <f t="shared" si="4"/>
        <v>30 450 Km, 08.10.2024</v>
      </c>
      <c r="R857" s="33"/>
      <c r="S857" s="40">
        <v>3000.0</v>
      </c>
      <c r="T857" s="25">
        <v>2.0</v>
      </c>
      <c r="U857" s="25" t="s">
        <v>1536</v>
      </c>
      <c r="V857" s="37"/>
      <c r="W857" s="37" t="str">
        <f t="shared" si="46"/>
        <v>Завершена</v>
      </c>
      <c r="X857" s="25" t="str">
        <f>IFERROR(__xludf.DUMMYFUNCTION("IF(C857 = """", """", IF(REGEXMATCH(C857, ""PCX|NMAX|ADV 150|CLICK""), ""скутер"", ""мото""))"),"скутер")</f>
        <v>скутер</v>
      </c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</row>
    <row r="858" hidden="1">
      <c r="A858" s="13" t="s">
        <v>24</v>
      </c>
      <c r="B858" s="13" t="s">
        <v>25</v>
      </c>
      <c r="C858" s="14" t="s">
        <v>941</v>
      </c>
      <c r="D858" s="14" t="s">
        <v>1537</v>
      </c>
      <c r="E858" s="48">
        <v>45576.0</v>
      </c>
      <c r="F858" s="38">
        <v>45589.75</v>
      </c>
      <c r="G858" s="17" t="str">
        <f t="shared" si="57"/>
        <v>13 Д</v>
      </c>
      <c r="H858" s="18">
        <f t="shared" si="55"/>
        <v>733</v>
      </c>
      <c r="I858" s="19" t="str">
        <f t="shared" si="39"/>
        <v/>
      </c>
      <c r="J858" s="20" t="str">
        <f t="shared" si="25"/>
        <v/>
      </c>
      <c r="K858" s="23">
        <f>2000+7918</f>
        <v>9918</v>
      </c>
      <c r="L858" s="20"/>
      <c r="M858" s="23">
        <v>733.0</v>
      </c>
      <c r="N858" s="49">
        <v>4000.0</v>
      </c>
      <c r="O858" s="22">
        <f>IFERROR(__xludf.DUMMYFUNCTION("IFERROR(
  VLOOKUP(C858,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C858
    ), 
    7, FALSE
  ), 
  """"
)
"),18302.0)</f>
        <v>18302</v>
      </c>
      <c r="P858" s="22">
        <f>IFERROR(__xludf.DUMMYFUNCTION("IF(AND(Q858="""", R858=""""),
  """",
  IF(OR(ISBLANK(Q858), ISBLANK(O858)),
    """",
    IF(VALUE(SUBSTITUTE(INDEX(SPLIT(IF(ISBLANK(R858), Q858, R858), "",""), 0, 1), "" Km"", """")) - O858 = 0,
      """",
      VALUE(SUBSTITUTE(INDEX(SPLIT(IF(ISBLANK("&amp;"R858), Q858, R858), "",""), 0, 1), "" Km"", """")) - O858
    )
  )
)"),-14302.0)</f>
        <v>-14302</v>
      </c>
      <c r="Q858" s="23" t="str">
        <f t="shared" si="4"/>
        <v>4 000 Km, 11.10.2024</v>
      </c>
      <c r="R858" s="20"/>
      <c r="S858" s="41">
        <v>200.0</v>
      </c>
      <c r="T858" s="13">
        <v>2.0</v>
      </c>
      <c r="U858" s="66" t="s">
        <v>1538</v>
      </c>
      <c r="V858" s="24"/>
      <c r="W858" s="24" t="str">
        <f t="shared" si="46"/>
        <v>Завершена</v>
      </c>
      <c r="X858" s="42" t="str">
        <f>IFERROR(__xludf.DUMMYFUNCTION("IF(C858 = """", """", IF(REGEXMATCH(C858, ""PCX|NMAX|ADV 150|CLICK""), ""скутер"", ""мото""))"),"мото")</f>
        <v>мото</v>
      </c>
      <c r="Y858" s="13"/>
      <c r="Z858" s="13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</row>
    <row r="859" hidden="1">
      <c r="A859" s="25" t="s">
        <v>24</v>
      </c>
      <c r="B859" s="25" t="s">
        <v>25</v>
      </c>
      <c r="C859" s="27" t="s">
        <v>77</v>
      </c>
      <c r="D859" s="27" t="s">
        <v>1539</v>
      </c>
      <c r="E859" s="43">
        <v>45577.0</v>
      </c>
      <c r="F859" s="39">
        <v>45589.75</v>
      </c>
      <c r="G859" s="30" t="str">
        <f t="shared" si="57"/>
        <v>12 Д</v>
      </c>
      <c r="H859" s="31">
        <f t="shared" si="55"/>
        <v>361</v>
      </c>
      <c r="I859" s="32" t="str">
        <f t="shared" si="39"/>
        <v/>
      </c>
      <c r="J859" s="33" t="str">
        <f t="shared" si="25"/>
        <v/>
      </c>
      <c r="K859" s="36">
        <f>361*12-390+390</f>
        <v>4332</v>
      </c>
      <c r="L859" s="33"/>
      <c r="M859" s="36">
        <v>361.0</v>
      </c>
      <c r="N859" s="44">
        <v>27473.0</v>
      </c>
      <c r="O859" s="35">
        <f>IFERROR(__xludf.DUMMYFUNCTION("IFERROR(
  VLOOKUP(C859,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C859
    ), 
    7, FALSE
  ), 
  """"
)
"),37300.0)</f>
        <v>37300</v>
      </c>
      <c r="P859" s="35">
        <f>IFERROR(__xludf.DUMMYFUNCTION("IF(AND(Q859="""", R859=""""),
  """",
  IF(OR(ISBLANK(Q859), ISBLANK(O859)),
    """",
    IF(VALUE(SUBSTITUTE(INDEX(SPLIT(IF(ISBLANK(R859), Q859, R859), "",""), 0, 1), "" Km"", """")) - O859 = 0,
      """",
      VALUE(SUBSTITUTE(INDEX(SPLIT(IF(ISBLANK("&amp;"R859), Q859, R859), "",""), 0, 1), "" Km"", """")) - O859
    )
  )
)"),-9827.0)</f>
        <v>-9827</v>
      </c>
      <c r="Q859" s="36" t="str">
        <f t="shared" si="4"/>
        <v>27 473 Km, 12.10.2024</v>
      </c>
      <c r="R859" s="33"/>
      <c r="S859" s="40">
        <v>3000.0</v>
      </c>
      <c r="T859" s="25">
        <v>2.0</v>
      </c>
      <c r="U859" s="25" t="s">
        <v>516</v>
      </c>
      <c r="V859" s="37"/>
      <c r="W859" s="37" t="str">
        <f t="shared" si="46"/>
        <v>Завершена</v>
      </c>
      <c r="X859" s="25" t="str">
        <f>IFERROR(__xludf.DUMMYFUNCTION("IF(C859 = """", """", IF(REGEXMATCH(C859, ""PCX|NMAX|ADV 150|CLICK""), ""скутер"", ""мото""))"),"скутер")</f>
        <v>скутер</v>
      </c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</row>
    <row r="860" hidden="1">
      <c r="A860" s="13" t="s">
        <v>24</v>
      </c>
      <c r="B860" s="13" t="s">
        <v>25</v>
      </c>
      <c r="C860" s="14" t="s">
        <v>151</v>
      </c>
      <c r="D860" s="14" t="s">
        <v>1540</v>
      </c>
      <c r="E860" s="48">
        <v>45578.0</v>
      </c>
      <c r="F860" s="38">
        <v>45589.75</v>
      </c>
      <c r="G860" s="17" t="str">
        <f t="shared" si="57"/>
        <v>11 Д</v>
      </c>
      <c r="H860" s="18">
        <f t="shared" si="55"/>
        <v>355</v>
      </c>
      <c r="I860" s="19" t="str">
        <f t="shared" si="39"/>
        <v/>
      </c>
      <c r="J860" s="20" t="str">
        <f t="shared" si="25"/>
        <v/>
      </c>
      <c r="K860" s="23">
        <f>355*11</f>
        <v>3905</v>
      </c>
      <c r="L860" s="20"/>
      <c r="M860" s="23">
        <v>355.0</v>
      </c>
      <c r="N860" s="49">
        <v>27700.0</v>
      </c>
      <c r="O860" s="22">
        <f>IFERROR(__xludf.DUMMYFUNCTION("IFERROR(
  VLOOKUP(C860,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C860
    ), 
    7, FALSE
  ), 
  """"
)
"),35800.0)</f>
        <v>35800</v>
      </c>
      <c r="P860" s="22">
        <f>IFERROR(__xludf.DUMMYFUNCTION("IF(AND(Q860="""", R860=""""),
  """",
  IF(OR(ISBLANK(Q860), ISBLANK(O860)),
    """",
    IF(VALUE(SUBSTITUTE(INDEX(SPLIT(IF(ISBLANK(R860), Q860, R860), "",""), 0, 1), "" Km"", """")) - O860 = 0,
      """",
      VALUE(SUBSTITUTE(INDEX(SPLIT(IF(ISBLANK("&amp;"R860), Q860, R860), "",""), 0, 1), "" Km"", """")) - O860
    )
  )
)"),-8100.0)</f>
        <v>-8100</v>
      </c>
      <c r="Q860" s="23" t="str">
        <f t="shared" si="4"/>
        <v>27 700 Km, 13.10.2024</v>
      </c>
      <c r="R860" s="20"/>
      <c r="S860" s="41">
        <v>3000.0</v>
      </c>
      <c r="T860" s="13">
        <v>2.0</v>
      </c>
      <c r="U860" s="13" t="s">
        <v>516</v>
      </c>
      <c r="V860" s="24"/>
      <c r="W860" s="24" t="str">
        <f t="shared" si="46"/>
        <v>Завершена</v>
      </c>
      <c r="X860" s="13" t="str">
        <f>IFERROR(__xludf.DUMMYFUNCTION("IF(C860 = """", """", IF(REGEXMATCH(C860, ""PCX|NMAX|ADV 150|CLICK""), ""скутер"", ""мото""))"),"скутер")</f>
        <v>скутер</v>
      </c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</row>
    <row r="861" hidden="1">
      <c r="A861" s="111" t="s">
        <v>24</v>
      </c>
      <c r="B861" s="112" t="s">
        <v>25</v>
      </c>
      <c r="C861" s="112" t="s">
        <v>483</v>
      </c>
      <c r="D861" s="114" t="s">
        <v>480</v>
      </c>
      <c r="E861" s="43">
        <v>45580.0</v>
      </c>
      <c r="F861" s="39">
        <v>45587.583333333336</v>
      </c>
      <c r="G861" s="115" t="str">
        <f t="shared" si="57"/>
        <v>7 Д</v>
      </c>
      <c r="H861" s="116">
        <f t="shared" si="55"/>
        <v>1000</v>
      </c>
      <c r="I861" s="74" t="str">
        <f t="shared" si="39"/>
        <v/>
      </c>
      <c r="J861" s="33" t="str">
        <f t="shared" si="25"/>
        <v/>
      </c>
      <c r="K861" s="118">
        <f>4000+3000</f>
        <v>7000</v>
      </c>
      <c r="L861" s="117"/>
      <c r="M861" s="33">
        <v>1000.0</v>
      </c>
      <c r="N861" s="165">
        <v>32000.0</v>
      </c>
      <c r="O861" s="120">
        <f>IFERROR(__xludf.DUMMYFUNCTION("IFERROR(
  VLOOKUP(C861,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C861
    ), 
    7, FALSE
  ), 
  """"
)
"),41500.0)</f>
        <v>41500</v>
      </c>
      <c r="P861" s="120">
        <f>IFERROR(__xludf.DUMMYFUNCTION("IF(AND(Q861="""", R861=""""),
  """",
  IF(OR(ISBLANK(Q861), ISBLANK(O861)),
    """",
    IF(VALUE(SUBSTITUTE(INDEX(SPLIT(IF(ISBLANK(R861), Q861, R861), "",""), 0, 1), "" Km"", """")) - O861 = 0,
      """",
      VALUE(SUBSTITUTE(INDEX(SPLIT(IF(ISBLANK("&amp;"R861), Q861, R861), "",""), 0, 1), "" Km"", """")) - O861
    )
  )
)"),-9500.0)</f>
        <v>-9500</v>
      </c>
      <c r="Q861" s="121" t="str">
        <f t="shared" si="4"/>
        <v>32 000 Km, 15.10.2024</v>
      </c>
      <c r="R861" s="117"/>
      <c r="S861" s="116">
        <v>0.0</v>
      </c>
      <c r="T861" s="122">
        <v>1.0</v>
      </c>
      <c r="U861" s="122" t="s">
        <v>516</v>
      </c>
      <c r="V861" s="123"/>
      <c r="W861" s="122" t="str">
        <f t="shared" si="46"/>
        <v>Завершена</v>
      </c>
      <c r="X861" s="124" t="str">
        <f>IFERROR(__xludf.DUMMYFUNCTION("IF(C861 = """", """", IF(REGEXMATCH(C861, ""PCX|NMAX|ADV 150|CLICK""), ""скутер"", ""мото""))"),"мото")</f>
        <v>мото</v>
      </c>
      <c r="Y861" s="125"/>
      <c r="Z861" s="125"/>
      <c r="AA861" s="125"/>
      <c r="AB861" s="125"/>
      <c r="AC861" s="125"/>
      <c r="AD861" s="125"/>
      <c r="AE861" s="125"/>
      <c r="AF861" s="125"/>
      <c r="AG861" s="125"/>
      <c r="AH861" s="125"/>
      <c r="AI861" s="125"/>
      <c r="AJ861" s="125"/>
      <c r="AK861" s="125"/>
      <c r="AL861" s="125"/>
      <c r="AM861" s="125"/>
    </row>
    <row r="862" hidden="1">
      <c r="A862" s="13" t="s">
        <v>24</v>
      </c>
      <c r="B862" s="14" t="s">
        <v>25</v>
      </c>
      <c r="C862" s="14" t="s">
        <v>102</v>
      </c>
      <c r="D862" s="105" t="s">
        <v>712</v>
      </c>
      <c r="E862" s="48">
        <v>45581.0</v>
      </c>
      <c r="F862" s="38">
        <v>45584.875</v>
      </c>
      <c r="G862" s="17" t="str">
        <f t="shared" si="57"/>
        <v>3 Д</v>
      </c>
      <c r="H862" s="18">
        <f t="shared" si="55"/>
        <v>1000</v>
      </c>
      <c r="I862" s="80" t="str">
        <f t="shared" si="39"/>
        <v/>
      </c>
      <c r="J862" s="20" t="str">
        <f t="shared" si="25"/>
        <v/>
      </c>
      <c r="K862" s="23">
        <v>3000.0</v>
      </c>
      <c r="L862" s="64"/>
      <c r="M862" s="23">
        <v>1000.0</v>
      </c>
      <c r="N862" s="49">
        <v>42000.0</v>
      </c>
      <c r="O862" s="22">
        <f>IFERROR(__xludf.DUMMYFUNCTION("IFERROR(
  VLOOKUP(C862,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C862
    ), 
    7, FALSE
  ), 
  """"
)
"),63700.0)</f>
        <v>63700</v>
      </c>
      <c r="P862" s="22">
        <f>IFERROR(__xludf.DUMMYFUNCTION("IF(AND(Q862="""", R862=""""),
  """",
  IF(OR(ISBLANK(Q862), ISBLANK(O862)),
    """",
    IF(VALUE(SUBSTITUTE(INDEX(SPLIT(IF(ISBLANK(R862), Q862, R862), "",""), 0, 1), "" Km"", """")) - O862 = 0,
      """",
      VALUE(SUBSTITUTE(INDEX(SPLIT(IF(ISBLANK("&amp;"R862), Q862, R862), "",""), 0, 1), "" Km"", """")) - O862
    )
  )
)"),-21700.0)</f>
        <v>-21700</v>
      </c>
      <c r="Q862" s="20" t="str">
        <f t="shared" si="4"/>
        <v>42 000 Km, 16.10.2024</v>
      </c>
      <c r="R862" s="64"/>
      <c r="S862" s="18" t="s">
        <v>600</v>
      </c>
      <c r="T862" s="24">
        <v>1.0</v>
      </c>
      <c r="U862" s="24" t="s">
        <v>713</v>
      </c>
      <c r="V862" s="24" t="s">
        <v>714</v>
      </c>
      <c r="W862" s="24" t="str">
        <f t="shared" si="46"/>
        <v>Завершена</v>
      </c>
      <c r="X862" s="42" t="str">
        <f>IFERROR(__xludf.DUMMYFUNCTION("IF(C862 = """", """", IF(REGEXMATCH(C862, ""PCX|NMAX|ADV 150|CLICK""), ""скутер"", ""мото""))"),"мото")</f>
        <v>мото</v>
      </c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</row>
    <row r="863" hidden="1">
      <c r="A863" s="25" t="s">
        <v>24</v>
      </c>
      <c r="B863" s="25" t="s">
        <v>25</v>
      </c>
      <c r="C863" s="27" t="s">
        <v>26</v>
      </c>
      <c r="D863" s="27" t="s">
        <v>1541</v>
      </c>
      <c r="E863" s="43">
        <v>45581.0</v>
      </c>
      <c r="F863" s="39">
        <v>45584.5</v>
      </c>
      <c r="G863" s="30" t="str">
        <f t="shared" si="57"/>
        <v>3 Д</v>
      </c>
      <c r="H863" s="31">
        <f t="shared" si="55"/>
        <v>350</v>
      </c>
      <c r="I863" s="32" t="str">
        <f t="shared" si="39"/>
        <v/>
      </c>
      <c r="J863" s="33" t="str">
        <f t="shared" si="25"/>
        <v/>
      </c>
      <c r="K863" s="36">
        <v>1050.0</v>
      </c>
      <c r="L863" s="33"/>
      <c r="M863" s="36">
        <v>350.0</v>
      </c>
      <c r="N863" s="44">
        <v>24800.0</v>
      </c>
      <c r="O863" s="35" t="str">
        <f>IFERROR(__xludf.DUMMYFUNCTION("IFERROR(
  VLOOKUP(C863,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C863
    ), 
    7, FALSE
  ), 
  """"
)
"),"")</f>
        <v/>
      </c>
      <c r="P863" s="35">
        <f>IFERROR(__xludf.DUMMYFUNCTION("IF(AND(Q863="""", R863=""""),
  """",
  IF(OR(ISBLANK(Q863), ISBLANK(O863)),
    """",
    IF(VALUE(SUBSTITUTE(INDEX(SPLIT(IF(ISBLANK(R863), Q863, R863), "",""), 0, 1), "" Km"", """")) - O863 = 0,
      """",
      VALUE(SUBSTITUTE(INDEX(SPLIT(IF(ISBLANK("&amp;"R863), Q863, R863), "",""), 0, 1), "" Km"", """")) - O863
    )
  )
)"),24800.0)</f>
        <v>24800</v>
      </c>
      <c r="Q863" s="36" t="str">
        <f t="shared" si="4"/>
        <v>24 800 Km, 16.10.2024</v>
      </c>
      <c r="R863" s="33"/>
      <c r="S863" s="40">
        <v>1950.0</v>
      </c>
      <c r="T863" s="25">
        <v>2.0</v>
      </c>
      <c r="U863" s="25" t="s">
        <v>1542</v>
      </c>
      <c r="V863" s="37"/>
      <c r="W863" s="37" t="str">
        <f t="shared" si="46"/>
        <v>Завершена</v>
      </c>
      <c r="X863" s="25" t="str">
        <f>IFERROR(__xludf.DUMMYFUNCTION("IF(C863 = """", """", IF(REGEXMATCH(C863, ""PCX|NMAX|ADV 150|CLICK""), ""скутер"", ""мото""))"),"скутер")</f>
        <v>скутер</v>
      </c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</row>
    <row r="864" hidden="1">
      <c r="A864" s="13" t="s">
        <v>24</v>
      </c>
      <c r="B864" s="13" t="s">
        <v>25</v>
      </c>
      <c r="C864" s="14" t="s">
        <v>1028</v>
      </c>
      <c r="D864" s="14" t="s">
        <v>1543</v>
      </c>
      <c r="E864" s="48">
        <v>45584.0</v>
      </c>
      <c r="F864" s="38">
        <v>45590.583333333336</v>
      </c>
      <c r="G864" s="17" t="str">
        <f t="shared" si="57"/>
        <v>6 Д</v>
      </c>
      <c r="H864" s="18">
        <f t="shared" si="55"/>
        <v>803</v>
      </c>
      <c r="I864" s="19" t="str">
        <f t="shared" si="39"/>
        <v/>
      </c>
      <c r="J864" s="20" t="str">
        <f t="shared" si="25"/>
        <v/>
      </c>
      <c r="K864" s="23">
        <v>4818.0</v>
      </c>
      <c r="L864" s="20"/>
      <c r="M864" s="23">
        <v>803.0</v>
      </c>
      <c r="N864" s="49">
        <v>12240.0</v>
      </c>
      <c r="O864" s="22">
        <f>IFERROR(__xludf.DUMMYFUNCTION("IFERROR(
  VLOOKUP(C864,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C864
    ), 
    7, FALSE
  ), 
  """"
)
"),21600.0)</f>
        <v>21600</v>
      </c>
      <c r="P864" s="22">
        <f>IFERROR(__xludf.DUMMYFUNCTION("IF(AND(Q864="""", R864=""""),
  """",
  IF(OR(ISBLANK(Q864), ISBLANK(O864)),
    """",
    IF(VALUE(SUBSTITUTE(INDEX(SPLIT(IF(ISBLANK(R864), Q864, R864), "",""), 0, 1), "" Km"", """")) - O864 = 0,
      """",
      VALUE(SUBSTITUTE(INDEX(SPLIT(IF(ISBLANK("&amp;"R864), Q864, R864), "",""), 0, 1), "" Km"", """")) - O864
    )
  )
)"),-9360.0)</f>
        <v>-9360</v>
      </c>
      <c r="Q864" s="23" t="str">
        <f t="shared" si="4"/>
        <v>12 240 Km, 19.10.2024</v>
      </c>
      <c r="R864" s="20"/>
      <c r="S864" s="41">
        <v>7000.0</v>
      </c>
      <c r="T864" s="13">
        <v>3.0</v>
      </c>
      <c r="U864" s="13" t="s">
        <v>1544</v>
      </c>
      <c r="V864" s="24"/>
      <c r="W864" s="24" t="str">
        <f t="shared" si="46"/>
        <v>Завершена</v>
      </c>
      <c r="X864" s="13" t="str">
        <f>IFERROR(__xludf.DUMMYFUNCTION("IF(C864 = """", """", IF(REGEXMATCH(C864, ""PCX|NMAX|ADV 150|CLICK""), ""скутер"", ""мото""))"),"мото")</f>
        <v>мото</v>
      </c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</row>
    <row r="865" hidden="1">
      <c r="A865" s="25" t="s">
        <v>24</v>
      </c>
      <c r="B865" s="27" t="s">
        <v>25</v>
      </c>
      <c r="C865" s="27" t="s">
        <v>44</v>
      </c>
      <c r="D865" s="27" t="s">
        <v>1545</v>
      </c>
      <c r="E865" s="43">
        <v>45586.0</v>
      </c>
      <c r="F865" s="39">
        <v>45595.666666666664</v>
      </c>
      <c r="G865" s="30" t="str">
        <f t="shared" si="57"/>
        <v>9 Д</v>
      </c>
      <c r="H865" s="31">
        <f>IF(L865&lt;&gt;"", VALUE(L865)/31, IF(M865&lt;&gt;"", VALUE(M865)/1, ""))
</f>
        <v>200</v>
      </c>
      <c r="I865" s="32" t="str">
        <f t="shared" si="39"/>
        <v/>
      </c>
      <c r="J865" s="33" t="str">
        <f t="shared" si="25"/>
        <v/>
      </c>
      <c r="K865" s="36">
        <v>1200.0</v>
      </c>
      <c r="L865" s="108"/>
      <c r="M865" s="108">
        <v>200.0</v>
      </c>
      <c r="N865" s="44">
        <v>22000.0</v>
      </c>
      <c r="O865" s="35">
        <f>IFERROR(__xludf.DUMMYFUNCTION("IFERROR(
  VLOOKUP(C865,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C865
    ), 
    7, FALSE
  ), 
  """"
)
"),30800.0)</f>
        <v>30800</v>
      </c>
      <c r="P865" s="35">
        <f>IFERROR(__xludf.DUMMYFUNCTION("IF(AND(Q865="""", R865=""""),
  """",
  IF(OR(ISBLANK(Q865), ISBLANK(O865)),
    """",
    IF(VALUE(SUBSTITUTE(INDEX(SPLIT(IF(ISBLANK(R865), Q865, R865), "",""), 0, 1), "" Km"", """")) - O865 = 0,
      """",
      VALUE(SUBSTITUTE(INDEX(SPLIT(IF(ISBLANK("&amp;"R865), Q865, R865), "",""), 0, 1), "" Km"", """")) - O865
    )
  )
)"),-8800.0)</f>
        <v>-8800</v>
      </c>
      <c r="Q865" s="33" t="str">
        <f t="shared" si="4"/>
        <v>22 000 Km, 21.10.2024</v>
      </c>
      <c r="R865" s="36"/>
      <c r="S865" s="40">
        <v>0.0</v>
      </c>
      <c r="T865" s="32">
        <v>1.0</v>
      </c>
      <c r="U865" s="37"/>
      <c r="V865" s="37"/>
      <c r="W865" s="37" t="str">
        <f t="shared" si="46"/>
        <v>Завершена</v>
      </c>
      <c r="X865" s="25" t="str">
        <f>IFERROR(__xludf.DUMMYFUNCTION("IF(C865 = """", """", IF(REGEXMATCH(C865, ""PCX|NMAX|ADV 150|CLICK""), ""скутер"", ""мото""))"),"скутер")</f>
        <v>скутер</v>
      </c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</row>
    <row r="866" hidden="1">
      <c r="A866" s="13" t="s">
        <v>24</v>
      </c>
      <c r="B866" s="13" t="s">
        <v>25</v>
      </c>
      <c r="C866" s="14" t="s">
        <v>951</v>
      </c>
      <c r="D866" s="14" t="s">
        <v>1546</v>
      </c>
      <c r="E866" s="48">
        <v>45586.0</v>
      </c>
      <c r="F866" s="38">
        <v>45596.666666666664</v>
      </c>
      <c r="G866" s="17" t="str">
        <f t="shared" si="57"/>
        <v>10 Д</v>
      </c>
      <c r="H866" s="18">
        <f t="shared" ref="H866:H988" si="58">IF(L866&lt;&gt;"", VALUE(L866)/30, IF(M866&lt;&gt;"", VALUE(M866)/1, ""))
</f>
        <v>767</v>
      </c>
      <c r="I866" s="19" t="str">
        <f t="shared" si="39"/>
        <v/>
      </c>
      <c r="J866" s="20" t="str">
        <f t="shared" si="25"/>
        <v/>
      </c>
      <c r="K866" s="23">
        <v>7670.0</v>
      </c>
      <c r="L866" s="20"/>
      <c r="M866" s="23">
        <v>767.0</v>
      </c>
      <c r="N866" s="49">
        <v>13000.0</v>
      </c>
      <c r="O866" s="22">
        <f>IFERROR(__xludf.DUMMYFUNCTION("IFERROR(
  VLOOKUP(C866,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C866
    ), 
    7, FALSE
  ), 
  """"
)
"),21100.0)</f>
        <v>21100</v>
      </c>
      <c r="P866" s="22">
        <f>IFERROR(__xludf.DUMMYFUNCTION("IF(AND(Q866="""", R866=""""),
  """",
  IF(OR(ISBLANK(Q866), ISBLANK(O866)),
    """",
    IF(VALUE(SUBSTITUTE(INDEX(SPLIT(IF(ISBLANK(R866), Q866, R866), "",""), 0, 1), "" Km"", """")) - O866 = 0,
      """",
      VALUE(SUBSTITUTE(INDEX(SPLIT(IF(ISBLANK("&amp;"R866), Q866, R866), "",""), 0, 1), "" Km"", """")) - O866
    )
  )
)"),-8100.0)</f>
        <v>-8100</v>
      </c>
      <c r="Q866" s="23" t="str">
        <f t="shared" si="4"/>
        <v>13 000 Km, 21.10.2024</v>
      </c>
      <c r="R866" s="20"/>
      <c r="S866" s="41">
        <v>200.0</v>
      </c>
      <c r="T866" s="13">
        <v>2.0</v>
      </c>
      <c r="U866" s="13" t="s">
        <v>1547</v>
      </c>
      <c r="V866" s="24"/>
      <c r="W866" s="24" t="str">
        <f t="shared" si="46"/>
        <v>Завершена</v>
      </c>
      <c r="X866" s="13" t="str">
        <f>IFERROR(__xludf.DUMMYFUNCTION("IF(C866 = """", """", IF(REGEXMATCH(C866, ""PCX|NMAX|ADV 150|CLICK""), ""скутер"", ""мото""))"),"мото")</f>
        <v>мото</v>
      </c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</row>
    <row r="867" hidden="1">
      <c r="A867" s="25" t="s">
        <v>24</v>
      </c>
      <c r="B867" s="25" t="s">
        <v>25</v>
      </c>
      <c r="C867" s="27" t="s">
        <v>438</v>
      </c>
      <c r="D867" s="27" t="s">
        <v>1548</v>
      </c>
      <c r="E867" s="43">
        <v>45587.0</v>
      </c>
      <c r="F867" s="39">
        <v>45590.458333333336</v>
      </c>
      <c r="G867" s="30" t="str">
        <f t="shared" si="57"/>
        <v>3 Д</v>
      </c>
      <c r="H867" s="31">
        <f t="shared" si="58"/>
        <v>1290</v>
      </c>
      <c r="I867" s="32" t="str">
        <f t="shared" si="39"/>
        <v/>
      </c>
      <c r="J867" s="33" t="str">
        <f t="shared" si="25"/>
        <v/>
      </c>
      <c r="K867" s="36">
        <f>1290*3</f>
        <v>3870</v>
      </c>
      <c r="L867" s="33"/>
      <c r="M867" s="36">
        <v>1290.0</v>
      </c>
      <c r="N867" s="44">
        <v>22000.0</v>
      </c>
      <c r="O867" s="35">
        <f>IFERROR(__xludf.DUMMYFUNCTION("IFERROR(
  VLOOKUP(C867,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C867
    ), 
    7, FALSE
  ), 
  """"
)
"),37823.0)</f>
        <v>37823</v>
      </c>
      <c r="P867" s="35">
        <f>IFERROR(__xludf.DUMMYFUNCTION("IF(AND(Q867="""", R867=""""),
  """",
  IF(OR(ISBLANK(Q867), ISBLANK(O867)),
    """",
    IF(VALUE(SUBSTITUTE(INDEX(SPLIT(IF(ISBLANK(R867), Q867, R867), "",""), 0, 1), "" Km"", """")) - O867 = 0,
      """",
      VALUE(SUBSTITUTE(INDEX(SPLIT(IF(ISBLANK("&amp;"R867), Q867, R867), "",""), 0, 1), "" Km"", """")) - O867
    )
  )
)"),-15823.0)</f>
        <v>-15823</v>
      </c>
      <c r="Q867" s="36" t="str">
        <f t="shared" si="4"/>
        <v>22 000 Km, 22.10.2024</v>
      </c>
      <c r="R867" s="33"/>
      <c r="S867" s="40">
        <v>20000.0</v>
      </c>
      <c r="T867" s="25">
        <v>2.0</v>
      </c>
      <c r="U867" s="25" t="s">
        <v>516</v>
      </c>
      <c r="V867" s="25" t="s">
        <v>1549</v>
      </c>
      <c r="W867" s="37" t="str">
        <f t="shared" si="46"/>
        <v>Завершена</v>
      </c>
      <c r="X867" s="25" t="str">
        <f>IFERROR(__xludf.DUMMYFUNCTION("IF(C867 = """", """", IF(REGEXMATCH(C867, ""PCX|NMAX|ADV 150|CLICK""), ""скутер"", ""мото""))"),"мото")</f>
        <v>мото</v>
      </c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</row>
    <row r="868" hidden="1">
      <c r="A868" s="13" t="s">
        <v>24</v>
      </c>
      <c r="B868" s="13" t="s">
        <v>25</v>
      </c>
      <c r="C868" s="14" t="s">
        <v>1512</v>
      </c>
      <c r="D868" s="14" t="s">
        <v>991</v>
      </c>
      <c r="E868" s="48">
        <v>45590.0</v>
      </c>
      <c r="F868" s="38">
        <v>45609.541666666664</v>
      </c>
      <c r="G868" s="17" t="str">
        <f t="shared" si="57"/>
        <v>19 Д</v>
      </c>
      <c r="H868" s="18">
        <f t="shared" si="58"/>
        <v>1600</v>
      </c>
      <c r="I868" s="19" t="str">
        <f t="shared" si="39"/>
        <v/>
      </c>
      <c r="J868" s="20" t="str">
        <f t="shared" si="25"/>
        <v/>
      </c>
      <c r="K868" s="23">
        <f>19200+11200</f>
        <v>30400</v>
      </c>
      <c r="L868" s="20"/>
      <c r="M868" s="23">
        <v>1600.0</v>
      </c>
      <c r="N868" s="49">
        <v>5500.0</v>
      </c>
      <c r="O868" s="22" t="str">
        <f>IFERROR(__xludf.DUMMYFUNCTION("IFERROR(
  VLOOKUP(C868,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C868
    ), 
    7, FALSE
  ), 
  """"
)
"),"")</f>
        <v/>
      </c>
      <c r="P868" s="22">
        <f>IFERROR(__xludf.DUMMYFUNCTION("IF(AND(Q868="""", R868=""""),
  """",
  IF(OR(ISBLANK(Q868), ISBLANK(O868)),
    """",
    IF(VALUE(SUBSTITUTE(INDEX(SPLIT(IF(ISBLANK(R868), Q868, R868), "",""), 0, 1), "" Km"", """")) - O868 = 0,
      """",
      VALUE(SUBSTITUTE(INDEX(SPLIT(IF(ISBLANK("&amp;"R868), Q868, R868), "",""), 0, 1), "" Km"", """")) - O868
    )
  )
)"),5500.0)</f>
        <v>5500</v>
      </c>
      <c r="Q868" s="23" t="str">
        <f t="shared" si="4"/>
        <v>5 500 Km, 25.10.2024</v>
      </c>
      <c r="R868" s="20"/>
      <c r="S868" s="41">
        <v>0.0</v>
      </c>
      <c r="T868" s="13">
        <v>2.0</v>
      </c>
      <c r="U868" s="13" t="s">
        <v>516</v>
      </c>
      <c r="V868" s="13" t="s">
        <v>1550</v>
      </c>
      <c r="W868" s="24" t="str">
        <f t="shared" si="46"/>
        <v>Завершена</v>
      </c>
      <c r="X868" s="13" t="str">
        <f>IFERROR(__xludf.DUMMYFUNCTION("IF(C868 = """", """", IF(REGEXMATCH(C868, ""PCX|NMAX|ADV 150|CLICK""), ""скутер"", ""мото""))"),"мото")</f>
        <v>мото</v>
      </c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</row>
    <row r="869" hidden="1">
      <c r="A869" s="25" t="s">
        <v>24</v>
      </c>
      <c r="B869" s="25" t="s">
        <v>25</v>
      </c>
      <c r="C869" s="27" t="s">
        <v>102</v>
      </c>
      <c r="D869" s="27" t="s">
        <v>991</v>
      </c>
      <c r="E869" s="43">
        <v>45590.0</v>
      </c>
      <c r="F869" s="39">
        <v>45609.541666666664</v>
      </c>
      <c r="G869" s="30" t="str">
        <f t="shared" si="57"/>
        <v>19 Д</v>
      </c>
      <c r="H869" s="31">
        <f t="shared" si="58"/>
        <v>1300</v>
      </c>
      <c r="I869" s="32" t="str">
        <f t="shared" si="39"/>
        <v/>
      </c>
      <c r="J869" s="33" t="str">
        <f t="shared" si="25"/>
        <v/>
      </c>
      <c r="K869" s="36">
        <f>1300*12+9100</f>
        <v>24700</v>
      </c>
      <c r="L869" s="33"/>
      <c r="M869" s="36">
        <v>1300.0</v>
      </c>
      <c r="N869" s="44">
        <v>42000.0</v>
      </c>
      <c r="O869" s="35">
        <f>IFERROR(__xludf.DUMMYFUNCTION("IFERROR(
  VLOOKUP(C869,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C869
    ), 
    7, FALSE
  ), 
  """"
)
"),63700.0)</f>
        <v>63700</v>
      </c>
      <c r="P869" s="35">
        <f>IFERROR(__xludf.DUMMYFUNCTION("IF(AND(Q869="""", R869=""""),
  """",
  IF(OR(ISBLANK(Q869), ISBLANK(O869)),
    """",
    IF(VALUE(SUBSTITUTE(INDEX(SPLIT(IF(ISBLANK(R869), Q869, R869), "",""), 0, 1), "" Km"", """")) - O869 = 0,
      """",
      VALUE(SUBSTITUTE(INDEX(SPLIT(IF(ISBLANK("&amp;"R869), Q869, R869), "",""), 0, 1), "" Km"", """")) - O869
    )
  )
)"),-21700.0)</f>
        <v>-21700</v>
      </c>
      <c r="Q869" s="36" t="str">
        <f t="shared" si="4"/>
        <v>42 000 Km, 25.10.2024</v>
      </c>
      <c r="R869" s="33"/>
      <c r="S869" s="40">
        <v>0.0</v>
      </c>
      <c r="T869" s="25">
        <v>0.0</v>
      </c>
      <c r="U869" s="25" t="s">
        <v>516</v>
      </c>
      <c r="V869" s="37"/>
      <c r="W869" s="37" t="str">
        <f t="shared" si="46"/>
        <v>Завершена</v>
      </c>
      <c r="X869" s="25" t="str">
        <f>IFERROR(__xludf.DUMMYFUNCTION("IF(C869 = """", """", IF(REGEXMATCH(C869, ""PCX|NMAX|ADV 150|CLICK""), ""скутер"", ""мото""))"),"мото")</f>
        <v>мото</v>
      </c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</row>
    <row r="870" hidden="1">
      <c r="A870" s="13" t="s">
        <v>24</v>
      </c>
      <c r="B870" s="13" t="s">
        <v>25</v>
      </c>
      <c r="C870" s="14" t="s">
        <v>483</v>
      </c>
      <c r="D870" s="14" t="s">
        <v>991</v>
      </c>
      <c r="E870" s="48">
        <v>45591.0</v>
      </c>
      <c r="F870" s="38">
        <v>45609.625</v>
      </c>
      <c r="G870" s="17" t="str">
        <f t="shared" si="57"/>
        <v>18 Д</v>
      </c>
      <c r="H870" s="18">
        <f t="shared" si="58"/>
        <v>1600</v>
      </c>
      <c r="I870" s="19" t="str">
        <f t="shared" si="39"/>
        <v/>
      </c>
      <c r="J870" s="20" t="str">
        <f t="shared" si="25"/>
        <v/>
      </c>
      <c r="K870" s="23">
        <f>4000+24800</f>
        <v>28800</v>
      </c>
      <c r="L870" s="20"/>
      <c r="M870" s="23">
        <v>1600.0</v>
      </c>
      <c r="N870" s="49">
        <v>33000.0</v>
      </c>
      <c r="O870" s="22">
        <f>IFERROR(__xludf.DUMMYFUNCTION("IFERROR(
  VLOOKUP(C870,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C870
    ), 
    7, FALSE
  ), 
  """"
)
"),41500.0)</f>
        <v>41500</v>
      </c>
      <c r="P870" s="22">
        <f>IFERROR(__xludf.DUMMYFUNCTION("IF(AND(Q870="""", R870=""""),
  """",
  IF(OR(ISBLANK(Q870), ISBLANK(O870)),
    """",
    IF(VALUE(SUBSTITUTE(INDEX(SPLIT(IF(ISBLANK(R870), Q870, R870), "",""), 0, 1), "" Km"", """")) - O870 = 0,
      """",
      VALUE(SUBSTITUTE(INDEX(SPLIT(IF(ISBLANK("&amp;"R870), Q870, R870), "",""), 0, 1), "" Km"", """")) - O870
    )
  )
)"),-8500.0)</f>
        <v>-8500</v>
      </c>
      <c r="Q870" s="23" t="str">
        <f t="shared" si="4"/>
        <v>33 000 Km, 26.10.2024</v>
      </c>
      <c r="R870" s="20"/>
      <c r="S870" s="41">
        <v>0.0</v>
      </c>
      <c r="T870" s="13">
        <v>2.0</v>
      </c>
      <c r="U870" s="13" t="s">
        <v>516</v>
      </c>
      <c r="V870" s="13" t="s">
        <v>1550</v>
      </c>
      <c r="W870" s="24" t="str">
        <f t="shared" si="46"/>
        <v>Завершена</v>
      </c>
      <c r="X870" s="13" t="str">
        <f>IFERROR(__xludf.DUMMYFUNCTION("IF(C870 = """", """", IF(REGEXMATCH(C870, ""PCX|NMAX|ADV 150|CLICK""), ""скутер"", ""мото""))"),"мото")</f>
        <v>мото</v>
      </c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</row>
    <row r="871" hidden="1">
      <c r="A871" s="111" t="s">
        <v>24</v>
      </c>
      <c r="B871" s="112" t="s">
        <v>25</v>
      </c>
      <c r="C871" s="112" t="s">
        <v>1028</v>
      </c>
      <c r="D871" s="114" t="s">
        <v>1543</v>
      </c>
      <c r="E871" s="43">
        <v>45593.0</v>
      </c>
      <c r="F871" s="39">
        <v>45596.583333333336</v>
      </c>
      <c r="G871" s="115" t="str">
        <f t="shared" si="57"/>
        <v>3 Д</v>
      </c>
      <c r="H871" s="116">
        <f t="shared" si="58"/>
        <v>803</v>
      </c>
      <c r="I871" s="32" t="str">
        <f t="shared" si="39"/>
        <v/>
      </c>
      <c r="J871" s="33" t="str">
        <f t="shared" si="25"/>
        <v/>
      </c>
      <c r="K871" s="118">
        <v>2400.0</v>
      </c>
      <c r="L871" s="117"/>
      <c r="M871" s="33">
        <v>803.0</v>
      </c>
      <c r="N871" s="119">
        <v>12240.0</v>
      </c>
      <c r="O871" s="120">
        <f>IFERROR(__xludf.DUMMYFUNCTION("IFERROR(
  VLOOKUP(C871,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C871
    ), 
    7, FALSE
  ), 
  """"
)
"),21600.0)</f>
        <v>21600</v>
      </c>
      <c r="P871" s="120">
        <f>IFERROR(__xludf.DUMMYFUNCTION("IF(AND(Q871="""", R871=""""),
  """",
  IF(OR(ISBLANK(Q871), ISBLANK(O871)),
    """",
    IF(VALUE(SUBSTITUTE(INDEX(SPLIT(IF(ISBLANK(R871), Q871, R871), "",""), 0, 1), "" Km"", """")) - O871 = 0,
      """",
      VALUE(SUBSTITUTE(INDEX(SPLIT(IF(ISBLANK("&amp;"R871), Q871, R871), "",""), 0, 1), "" Km"", """")) - O871
    )
  )
)"),-9360.0)</f>
        <v>-9360</v>
      </c>
      <c r="Q871" s="121" t="str">
        <f t="shared" si="4"/>
        <v>12 240 Km, 28.10.2024</v>
      </c>
      <c r="R871" s="117"/>
      <c r="S871" s="116">
        <v>7000.0</v>
      </c>
      <c r="T871" s="122">
        <v>3.0</v>
      </c>
      <c r="U871" s="122" t="s">
        <v>1544</v>
      </c>
      <c r="V871" s="123"/>
      <c r="W871" s="122" t="str">
        <f t="shared" si="46"/>
        <v>Завершена</v>
      </c>
      <c r="X871" s="124" t="str">
        <f>IFERROR(__xludf.DUMMYFUNCTION("IF(C871 = """", """", IF(REGEXMATCH(C871, ""PCX|NMAX|ADV 150|CLICK""), ""скутер"", ""мото""))"),"мото")</f>
        <v>мото</v>
      </c>
      <c r="Y871" s="125"/>
      <c r="Z871" s="125"/>
      <c r="AA871" s="125"/>
      <c r="AB871" s="125"/>
      <c r="AC871" s="125"/>
      <c r="AD871" s="125"/>
      <c r="AE871" s="125"/>
      <c r="AF871" s="125"/>
      <c r="AG871" s="125"/>
      <c r="AH871" s="125"/>
      <c r="AI871" s="125"/>
      <c r="AJ871" s="125"/>
      <c r="AK871" s="125"/>
      <c r="AL871" s="125"/>
      <c r="AM871" s="125"/>
    </row>
    <row r="872" hidden="1">
      <c r="A872" s="13" t="s">
        <v>24</v>
      </c>
      <c r="B872" s="13" t="s">
        <v>25</v>
      </c>
      <c r="C872" s="14" t="s">
        <v>321</v>
      </c>
      <c r="D872" s="14" t="s">
        <v>1390</v>
      </c>
      <c r="E872" s="48">
        <v>45597.0</v>
      </c>
      <c r="F872" s="38">
        <v>45603.875</v>
      </c>
      <c r="G872" s="17" t="str">
        <f t="shared" si="57"/>
        <v>6 Д</v>
      </c>
      <c r="H872" s="18">
        <f t="shared" si="58"/>
        <v>1000</v>
      </c>
      <c r="I872" s="19" t="str">
        <f t="shared" si="39"/>
        <v/>
      </c>
      <c r="J872" s="20" t="str">
        <f t="shared" si="25"/>
        <v/>
      </c>
      <c r="K872" s="23">
        <v>6000.0</v>
      </c>
      <c r="L872" s="23"/>
      <c r="M872" s="23">
        <v>1000.0</v>
      </c>
      <c r="N872" s="49">
        <v>55500.0</v>
      </c>
      <c r="O872" s="22" t="str">
        <f>IFERROR(__xludf.DUMMYFUNCTION("IFERROR(
  VLOOKUP(C872,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C872
    ), 
    7, FALSE
  ), 
  """"
)
"),"")</f>
        <v/>
      </c>
      <c r="P872" s="22">
        <f>IFERROR(__xludf.DUMMYFUNCTION("IF(AND(Q872="""", R872=""""),
  """",
  IF(OR(ISBLANK(Q872), ISBLANK(O872)),
    """",
    IF(VALUE(SUBSTITUTE(INDEX(SPLIT(IF(ISBLANK(R872), Q872, R872), "",""), 0, 1), "" Km"", """")) - O872 = 0,
      """",
      VALUE(SUBSTITUTE(INDEX(SPLIT(IF(ISBLANK("&amp;"R872), Q872, R872), "",""), 0, 1), "" Km"", """")) - O872
    )
  )
)"),55500.0)</f>
        <v>55500</v>
      </c>
      <c r="Q872" s="23" t="str">
        <f t="shared" si="4"/>
        <v>55 500 Km, 01.11.2024</v>
      </c>
      <c r="R872" s="20"/>
      <c r="S872" s="41" t="s">
        <v>600</v>
      </c>
      <c r="T872" s="13">
        <v>1.0</v>
      </c>
      <c r="U872" s="13"/>
      <c r="V872" s="24"/>
      <c r="W872" s="24" t="str">
        <f t="shared" si="46"/>
        <v>Завершена</v>
      </c>
      <c r="X872" s="13" t="str">
        <f>IFERROR(__xludf.DUMMYFUNCTION("IF(C872 = """", """", IF(REGEXMATCH(C872, ""PCX|NMAX|ADV 150|CLICK""), ""скутер"", ""мото""))"),"мото")</f>
        <v>мото</v>
      </c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</row>
    <row r="873" hidden="1">
      <c r="A873" s="25" t="s">
        <v>24</v>
      </c>
      <c r="B873" s="25" t="s">
        <v>25</v>
      </c>
      <c r="C873" s="27" t="s">
        <v>26</v>
      </c>
      <c r="D873" s="27" t="s">
        <v>1551</v>
      </c>
      <c r="E873" s="43">
        <v>45601.0</v>
      </c>
      <c r="F873" s="39">
        <v>45606.833333333336</v>
      </c>
      <c r="G873" s="30" t="str">
        <f t="shared" si="57"/>
        <v>5 Д</v>
      </c>
      <c r="H873" s="31">
        <f t="shared" si="58"/>
        <v>314</v>
      </c>
      <c r="I873" s="32" t="str">
        <f t="shared" si="39"/>
        <v/>
      </c>
      <c r="J873" s="33" t="str">
        <f t="shared" si="25"/>
        <v/>
      </c>
      <c r="K873" s="36">
        <v>1570.0</v>
      </c>
      <c r="L873" s="33"/>
      <c r="M873" s="36">
        <v>314.0</v>
      </c>
      <c r="N873" s="44">
        <v>26000.0</v>
      </c>
      <c r="O873" s="35" t="str">
        <f>IFERROR(__xludf.DUMMYFUNCTION("IFERROR(
  VLOOKUP(C873,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C873
    ), 
    7, FALSE
  ), 
  """"
)
"),"")</f>
        <v/>
      </c>
      <c r="P873" s="35">
        <f>IFERROR(__xludf.DUMMYFUNCTION("IF(AND(Q873="""", R873=""""),
  """",
  IF(OR(ISBLANK(Q873), ISBLANK(O873)),
    """",
    IF(VALUE(SUBSTITUTE(INDEX(SPLIT(IF(ISBLANK(R873), Q873, R873), "",""), 0, 1), "" Km"", """")) - O873 = 0,
      """",
      VALUE(SUBSTITUTE(INDEX(SPLIT(IF(ISBLANK("&amp;"R873), Q873, R873), "",""), 0, 1), "" Km"", """")) - O873
    )
  )
)"),26000.0)</f>
        <v>26000</v>
      </c>
      <c r="Q873" s="36" t="str">
        <f t="shared" si="4"/>
        <v>26 000 Km, 05.11.2024</v>
      </c>
      <c r="R873" s="33"/>
      <c r="S873" s="40">
        <v>100.0</v>
      </c>
      <c r="T873" s="25">
        <v>1.0</v>
      </c>
      <c r="U873" s="25" t="s">
        <v>1552</v>
      </c>
      <c r="V873" s="37"/>
      <c r="W873" s="37" t="str">
        <f t="shared" si="46"/>
        <v>Завершена</v>
      </c>
      <c r="X873" s="25" t="str">
        <f>IFERROR(__xludf.DUMMYFUNCTION("IF(C873 = """", """", IF(REGEXMATCH(C873, ""PCX|NMAX|ADV 150|CLICK""), ""скутер"", ""мото""))"),"скутер")</f>
        <v>скутер</v>
      </c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</row>
    <row r="874" hidden="1">
      <c r="A874" s="13" t="s">
        <v>24</v>
      </c>
      <c r="B874" s="13" t="s">
        <v>25</v>
      </c>
      <c r="C874" s="14" t="s">
        <v>77</v>
      </c>
      <c r="D874" s="14" t="s">
        <v>1553</v>
      </c>
      <c r="E874" s="48">
        <v>45602.0</v>
      </c>
      <c r="F874" s="38">
        <v>45614.541666666664</v>
      </c>
      <c r="G874" s="17" t="str">
        <f t="shared" si="57"/>
        <v>12 Д</v>
      </c>
      <c r="H874" s="18">
        <f t="shared" si="58"/>
        <v>394</v>
      </c>
      <c r="I874" s="19" t="str">
        <f t="shared" si="39"/>
        <v/>
      </c>
      <c r="J874" s="20" t="str">
        <f t="shared" si="25"/>
        <v/>
      </c>
      <c r="K874" s="23">
        <f>394*11</f>
        <v>4334</v>
      </c>
      <c r="L874" s="20"/>
      <c r="M874" s="23">
        <v>394.0</v>
      </c>
      <c r="N874" s="49">
        <v>28093.0</v>
      </c>
      <c r="O874" s="22">
        <f>IFERROR(__xludf.DUMMYFUNCTION("IFERROR(
  VLOOKUP(C874,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C874
    ), 
    7, FALSE
  ), 
  """"
)
"),37300.0)</f>
        <v>37300</v>
      </c>
      <c r="P874" s="22">
        <f>IFERROR(__xludf.DUMMYFUNCTION("IF(AND(Q874="""", R874=""""),
  """",
  IF(OR(ISBLANK(Q874), ISBLANK(O874)),
    """",
    IF(VALUE(SUBSTITUTE(INDEX(SPLIT(IF(ISBLANK(R874), Q874, R874), "",""), 0, 1), "" Km"", """")) - O874 = 0,
      """",
      VALUE(SUBSTITUTE(INDEX(SPLIT(IF(ISBLANK("&amp;"R874), Q874, R874), "",""), 0, 1), "" Km"", """")) - O874
    )
  )
)"),-9207.0)</f>
        <v>-9207</v>
      </c>
      <c r="Q874" s="23" t="str">
        <f t="shared" si="4"/>
        <v>28 093 Km, 06.11.2024</v>
      </c>
      <c r="R874" s="20"/>
      <c r="S874" s="41">
        <v>3000.0</v>
      </c>
      <c r="T874" s="13">
        <v>2.0</v>
      </c>
      <c r="U874" s="13" t="s">
        <v>1554</v>
      </c>
      <c r="V874" s="13" t="s">
        <v>1555</v>
      </c>
      <c r="W874" s="24" t="str">
        <f t="shared" si="46"/>
        <v>Завершена</v>
      </c>
      <c r="X874" s="13" t="str">
        <f>IFERROR(__xludf.DUMMYFUNCTION("IF(C874 = """", """", IF(REGEXMATCH(C874, ""PCX|NMAX|ADV 150|CLICK""), ""скутер"", ""мото""))"),"скутер")</f>
        <v>скутер</v>
      </c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</row>
    <row r="875" hidden="1">
      <c r="A875" s="25" t="s">
        <v>24</v>
      </c>
      <c r="B875" s="25" t="s">
        <v>25</v>
      </c>
      <c r="C875" s="27" t="s">
        <v>151</v>
      </c>
      <c r="D875" s="27" t="s">
        <v>1556</v>
      </c>
      <c r="E875" s="43">
        <v>45603.0</v>
      </c>
      <c r="F875" s="39">
        <v>45633.75</v>
      </c>
      <c r="G875" s="30" t="str">
        <f t="shared" si="57"/>
        <v>30 Д</v>
      </c>
      <c r="H875" s="31">
        <f t="shared" si="58"/>
        <v>233.3333333</v>
      </c>
      <c r="I875" s="32" t="str">
        <f t="shared" si="39"/>
        <v/>
      </c>
      <c r="J875" s="33" t="str">
        <f t="shared" si="25"/>
        <v/>
      </c>
      <c r="K875" s="36">
        <v>7000.0</v>
      </c>
      <c r="L875" s="36">
        <v>7000.0</v>
      </c>
      <c r="M875" s="33"/>
      <c r="N875" s="44">
        <v>27849.0</v>
      </c>
      <c r="O875" s="35">
        <f>IFERROR(__xludf.DUMMYFUNCTION("IFERROR(
  VLOOKUP(C875,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C875
    ), 
    7, FALSE
  ), 
  """"
)
"),35800.0)</f>
        <v>35800</v>
      </c>
      <c r="P875" s="35">
        <f>IFERROR(__xludf.DUMMYFUNCTION("IF(AND(Q875="""", R875=""""),
  """",
  IF(OR(ISBLANK(Q875), ISBLANK(O875)),
    """",
    IF(VALUE(SUBSTITUTE(INDEX(SPLIT(IF(ISBLANK(R875), Q875, R875), "",""), 0, 1), "" Km"", """")) - O875 = 0,
      """",
      VALUE(SUBSTITUTE(INDEX(SPLIT(IF(ISBLANK("&amp;"R875), Q875, R875), "",""), 0, 1), "" Km"", """")) - O875
    )
  )
)"),-7951.0)</f>
        <v>-7951</v>
      </c>
      <c r="Q875" s="36" t="str">
        <f t="shared" si="4"/>
        <v>27 849 Km, 07.11.2024</v>
      </c>
      <c r="R875" s="33"/>
      <c r="S875" s="40">
        <v>3000.0</v>
      </c>
      <c r="T875" s="25">
        <v>2.0</v>
      </c>
      <c r="U875" s="25" t="s">
        <v>1557</v>
      </c>
      <c r="V875" s="37"/>
      <c r="W875" s="37" t="str">
        <f t="shared" si="46"/>
        <v>Завершена</v>
      </c>
      <c r="X875" s="25" t="str">
        <f>IFERROR(__xludf.DUMMYFUNCTION("IF(C875 = """", """", IF(REGEXMATCH(C875, ""PCX|NMAX|ADV 150|CLICK""), ""скутер"", ""мото""))"),"скутер")</f>
        <v>скутер</v>
      </c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</row>
    <row r="876" hidden="1">
      <c r="A876" s="13" t="s">
        <v>24</v>
      </c>
      <c r="B876" s="13" t="s">
        <v>25</v>
      </c>
      <c r="C876" s="14" t="s">
        <v>26</v>
      </c>
      <c r="D876" s="14" t="s">
        <v>1558</v>
      </c>
      <c r="E876" s="48">
        <v>45613.0</v>
      </c>
      <c r="F876" s="38">
        <v>45674.541666666664</v>
      </c>
      <c r="G876" s="17" t="str">
        <f>IF((E876="")+(F876=""), "",DATEDIF(E876, F876, "d") &amp; " Д")
</f>
        <v>61 Д</v>
      </c>
      <c r="H876" s="18">
        <f t="shared" si="58"/>
        <v>196.6666667</v>
      </c>
      <c r="I876" s="19" t="str">
        <f t="shared" si="39"/>
        <v/>
      </c>
      <c r="J876" s="20" t="str">
        <f t="shared" si="25"/>
        <v/>
      </c>
      <c r="K876" s="23">
        <f>5900+5900</f>
        <v>11800</v>
      </c>
      <c r="L876" s="23">
        <v>5900.0</v>
      </c>
      <c r="M876" s="20"/>
      <c r="N876" s="49">
        <v>25800.0</v>
      </c>
      <c r="O876" s="22" t="str">
        <f>IFERROR(__xludf.DUMMYFUNCTION("IFERROR(
  VLOOKUP(C876,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C876
    ), 
    7, FALSE
  ), 
  """"
)
"),"")</f>
        <v/>
      </c>
      <c r="P876" s="22">
        <f>IFERROR(__xludf.DUMMYFUNCTION("IF(AND(Q876="""", R876=""""),
  """",
  IF(OR(ISBLANK(Q876), ISBLANK(O876)),
    """",
    IF(VALUE(SUBSTITUTE(INDEX(SPLIT(IF(ISBLANK(R876), Q876, R876), "",""), 0, 1), "" Km"", """")) - O876 = 0,
      """",
      VALUE(SUBSTITUTE(INDEX(SPLIT(IF(ISBLANK("&amp;"R876), Q876, R876), "",""), 0, 1), "" Km"", """")) - O876
    )
  )
)"),25800.0)</f>
        <v>25800</v>
      </c>
      <c r="Q876" s="23" t="str">
        <f t="shared" si="4"/>
        <v>25 800 Km, 17.11.2024</v>
      </c>
      <c r="R876" s="20"/>
      <c r="S876" s="41">
        <v>3000.0</v>
      </c>
      <c r="T876" s="13">
        <v>0.0</v>
      </c>
      <c r="U876" s="13" t="s">
        <v>1559</v>
      </c>
      <c r="V876" s="24"/>
      <c r="W876" s="24" t="str">
        <f t="shared" si="46"/>
        <v>Завершена</v>
      </c>
      <c r="X876" s="13" t="str">
        <f>IFERROR(__xludf.DUMMYFUNCTION("IF(C876 = """", """", IF(REGEXMATCH(C876, ""PCX|NMAX|ADV 150|CLICK""), ""скутер"", ""мото""))"),"скутер")</f>
        <v>скутер</v>
      </c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</row>
    <row r="877" hidden="1">
      <c r="A877" s="25" t="s">
        <v>24</v>
      </c>
      <c r="B877" s="25" t="s">
        <v>25</v>
      </c>
      <c r="C877" s="27" t="s">
        <v>321</v>
      </c>
      <c r="D877" s="27" t="s">
        <v>1448</v>
      </c>
      <c r="E877" s="43">
        <v>45614.0</v>
      </c>
      <c r="F877" s="39">
        <v>45624.75</v>
      </c>
      <c r="G877" s="30" t="str">
        <f t="shared" ref="G877:G878" si="59">IF((E877="")+(F877=""), "", IF(DATEDIF(E877, F877, "d") &gt; 30, DATEDIF(E877, F877, "m") &amp; " М", DATEDIF(E877, F877, "d") &amp; " Д"))
</f>
        <v>10 Д</v>
      </c>
      <c r="H877" s="31">
        <f t="shared" si="58"/>
        <v>1600</v>
      </c>
      <c r="I877" s="32" t="str">
        <f t="shared" si="39"/>
        <v/>
      </c>
      <c r="J877" s="33" t="str">
        <f t="shared" si="25"/>
        <v/>
      </c>
      <c r="K877" s="36">
        <f>11200+1600*3</f>
        <v>16000</v>
      </c>
      <c r="L877" s="33"/>
      <c r="M877" s="36">
        <v>1600.0</v>
      </c>
      <c r="N877" s="44">
        <v>56000.0</v>
      </c>
      <c r="O877" s="35" t="str">
        <f>IFERROR(__xludf.DUMMYFUNCTION("IFERROR(
  VLOOKUP(C877,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C877
    ), 
    7, FALSE
  ), 
  """"
)
"),"")</f>
        <v/>
      </c>
      <c r="P877" s="35">
        <f>IFERROR(__xludf.DUMMYFUNCTION("IF(AND(Q877="""", R877=""""),
  """",
  IF(OR(ISBLANK(Q877), ISBLANK(O877)),
    """",
    IF(VALUE(SUBSTITUTE(INDEX(SPLIT(IF(ISBLANK(R877), Q877, R877), "",""), 0, 1), "" Km"", """")) - O877 = 0,
      """",
      VALUE(SUBSTITUTE(INDEX(SPLIT(IF(ISBLANK("&amp;"R877), Q877, R877), "",""), 0, 1), "" Km"", """")) - O877
    )
  )
)"),56000.0)</f>
        <v>56000</v>
      </c>
      <c r="Q877" s="36" t="str">
        <f t="shared" si="4"/>
        <v>56 000 Km, 18.11.2024</v>
      </c>
      <c r="R877" s="33"/>
      <c r="S877" s="40">
        <v>20000.0</v>
      </c>
      <c r="T877" s="25">
        <v>2.0</v>
      </c>
      <c r="U877" s="25" t="s">
        <v>1560</v>
      </c>
      <c r="V877" s="37"/>
      <c r="W877" s="37" t="str">
        <f t="shared" si="46"/>
        <v>Завершена</v>
      </c>
      <c r="X877" s="25" t="str">
        <f>IFERROR(__xludf.DUMMYFUNCTION("IF(C877 = """", """", IF(REGEXMATCH(C877, ""PCX|NMAX|ADV 150|CLICK""), ""скутер"", ""мото""))"),"мото")</f>
        <v>мото</v>
      </c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</row>
    <row r="878" hidden="1">
      <c r="A878" s="13" t="s">
        <v>24</v>
      </c>
      <c r="B878" s="13" t="s">
        <v>25</v>
      </c>
      <c r="C878" s="14" t="s">
        <v>1028</v>
      </c>
      <c r="D878" s="14" t="s">
        <v>1561</v>
      </c>
      <c r="E878" s="48">
        <v>45619.0</v>
      </c>
      <c r="F878" s="38">
        <v>45623.708333333336</v>
      </c>
      <c r="G878" s="17" t="str">
        <f t="shared" si="59"/>
        <v>4 Д</v>
      </c>
      <c r="H878" s="18">
        <f t="shared" si="58"/>
        <v>939</v>
      </c>
      <c r="I878" s="19" t="str">
        <f t="shared" si="39"/>
        <v/>
      </c>
      <c r="J878" s="20" t="str">
        <f t="shared" si="25"/>
        <v/>
      </c>
      <c r="K878" s="23">
        <v>3756.0</v>
      </c>
      <c r="L878" s="20"/>
      <c r="M878" s="23">
        <v>939.0</v>
      </c>
      <c r="N878" s="49">
        <v>13151.0</v>
      </c>
      <c r="O878" s="22">
        <f>IFERROR(__xludf.DUMMYFUNCTION("IFERROR(
  VLOOKUP(C878,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C878
    ), 
    7, FALSE
  ), 
  """"
)
"),21600.0)</f>
        <v>21600</v>
      </c>
      <c r="P878" s="22">
        <f>IFERROR(__xludf.DUMMYFUNCTION("IF(AND(Q878="""", R878=""""),
  """",
  IF(OR(ISBLANK(Q878), ISBLANK(O878)),
    """",
    IF(VALUE(SUBSTITUTE(INDEX(SPLIT(IF(ISBLANK(R878), Q878, R878), "",""), 0, 1), "" Km"", """")) - O878 = 0,
      """",
      VALUE(SUBSTITUTE(INDEX(SPLIT(IF(ISBLANK("&amp;"R878), Q878, R878), "",""), 0, 1), "" Km"", """")) - O878
    )
  )
)"),-8449.0)</f>
        <v>-8449</v>
      </c>
      <c r="Q878" s="23" t="str">
        <f t="shared" si="4"/>
        <v>13 151 Km, 23.11.2024</v>
      </c>
      <c r="R878" s="20"/>
      <c r="S878" s="41">
        <v>7000.0</v>
      </c>
      <c r="T878" s="13">
        <v>1.0</v>
      </c>
      <c r="U878" s="13" t="s">
        <v>1562</v>
      </c>
      <c r="V878" s="24"/>
      <c r="W878" s="24" t="str">
        <f t="shared" si="46"/>
        <v>Завершена</v>
      </c>
      <c r="X878" s="13" t="str">
        <f>IFERROR(__xludf.DUMMYFUNCTION("IF(C878 = """", """", IF(REGEXMATCH(C878, ""PCX|NMAX|ADV 150|CLICK""), ""скутер"", ""мото""))"),"мото")</f>
        <v>мото</v>
      </c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</row>
    <row r="879" hidden="1">
      <c r="A879" s="25" t="s">
        <v>24</v>
      </c>
      <c r="B879" s="25" t="s">
        <v>25</v>
      </c>
      <c r="C879" s="27" t="s">
        <v>951</v>
      </c>
      <c r="D879" s="27" t="s">
        <v>1156</v>
      </c>
      <c r="E879" s="43">
        <v>45622.0</v>
      </c>
      <c r="F879" s="39">
        <v>45655.458333333336</v>
      </c>
      <c r="G879" s="30" t="str">
        <f t="shared" ref="G879:G882" si="60">IF((E879="")+(F879=""), "",DATEDIF(E879, F879, "d") &amp; " Д")
</f>
        <v>33 Д</v>
      </c>
      <c r="H879" s="31">
        <f t="shared" si="58"/>
        <v>610</v>
      </c>
      <c r="I879" s="32" t="str">
        <f t="shared" si="39"/>
        <v/>
      </c>
      <c r="J879" s="33" t="str">
        <f t="shared" si="25"/>
        <v/>
      </c>
      <c r="K879" s="36">
        <v>20130.0</v>
      </c>
      <c r="L879" s="33"/>
      <c r="M879" s="36">
        <v>610.0</v>
      </c>
      <c r="N879" s="44">
        <v>13500.0</v>
      </c>
      <c r="O879" s="35">
        <f>IFERROR(__xludf.DUMMYFUNCTION("IFERROR(
  VLOOKUP(C879,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C879
    ), 
    7, FALSE
  ), 
  """"
)
"),21100.0)</f>
        <v>21100</v>
      </c>
      <c r="P879" s="35">
        <f>IFERROR(__xludf.DUMMYFUNCTION("IF(AND(Q879="""", R879=""""),
  """",
  IF(OR(ISBLANK(Q879), ISBLANK(O879)),
    """",
    IF(VALUE(SUBSTITUTE(INDEX(SPLIT(IF(ISBLANK(R879), Q879, R879), "",""), 0, 1), "" Km"", """")) - O879 = 0,
      """",
      VALUE(SUBSTITUTE(INDEX(SPLIT(IF(ISBLANK("&amp;"R879), Q879, R879), "",""), 0, 1), "" Km"", """")) - O879
    )
  )
)"),-7600.0)</f>
        <v>-7600</v>
      </c>
      <c r="Q879" s="36" t="str">
        <f t="shared" si="4"/>
        <v>13 500 Km, 26.11.2024</v>
      </c>
      <c r="R879" s="33"/>
      <c r="S879" s="40">
        <v>0.0</v>
      </c>
      <c r="T879" s="25">
        <v>0.0</v>
      </c>
      <c r="U879" s="25" t="s">
        <v>1563</v>
      </c>
      <c r="V879" s="37"/>
      <c r="W879" s="37" t="str">
        <f t="shared" si="46"/>
        <v>Завершена</v>
      </c>
      <c r="X879" s="25" t="str">
        <f>IFERROR(__xludf.DUMMYFUNCTION("IF(C879 = """", """", IF(REGEXMATCH(C879, ""PCX|NMAX|ADV 150|CLICK""), ""скутер"", ""мото""))"),"мото")</f>
        <v>мото</v>
      </c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</row>
    <row r="880" hidden="1">
      <c r="A880" s="13" t="s">
        <v>24</v>
      </c>
      <c r="B880" s="13" t="s">
        <v>25</v>
      </c>
      <c r="C880" s="14" t="s">
        <v>102</v>
      </c>
      <c r="D880" s="14" t="s">
        <v>1448</v>
      </c>
      <c r="E880" s="48">
        <v>45624.0</v>
      </c>
      <c r="F880" s="38">
        <v>45647.666666666664</v>
      </c>
      <c r="G880" s="17" t="str">
        <f t="shared" si="60"/>
        <v>23 Д</v>
      </c>
      <c r="H880" s="18">
        <f t="shared" si="58"/>
        <v>1044</v>
      </c>
      <c r="I880" s="19" t="str">
        <f t="shared" si="39"/>
        <v/>
      </c>
      <c r="J880" s="20" t="str">
        <f t="shared" si="25"/>
        <v/>
      </c>
      <c r="K880" s="23">
        <v>24012.0</v>
      </c>
      <c r="L880" s="20"/>
      <c r="M880" s="23">
        <v>1044.0</v>
      </c>
      <c r="N880" s="49">
        <v>43456.0</v>
      </c>
      <c r="O880" s="22">
        <f>IFERROR(__xludf.DUMMYFUNCTION("IFERROR(
  VLOOKUP(C880,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C880
    ), 
    7, FALSE
  ), 
  """"
)
"),63700.0)</f>
        <v>63700</v>
      </c>
      <c r="P880" s="22">
        <f>IFERROR(__xludf.DUMMYFUNCTION("IF(AND(Q880="""", R880=""""),
  """",
  IF(OR(ISBLANK(Q880), ISBLANK(O880)),
    """",
    IF(VALUE(SUBSTITUTE(INDEX(SPLIT(IF(ISBLANK(R880), Q880, R880), "",""), 0, 1), "" Km"", """")) - O880 = 0,
      """",
      VALUE(SUBSTITUTE(INDEX(SPLIT(IF(ISBLANK("&amp;"R880), Q880, R880), "",""), 0, 1), "" Km"", """")) - O880
    )
  )
)"),-20244.0)</f>
        <v>-20244</v>
      </c>
      <c r="Q880" s="23" t="str">
        <f t="shared" si="4"/>
        <v>43 456 Km, 28.11.2024</v>
      </c>
      <c r="R880" s="20"/>
      <c r="S880" s="41">
        <v>20000.0</v>
      </c>
      <c r="T880" s="13">
        <v>0.0</v>
      </c>
      <c r="U880" s="13" t="s">
        <v>1564</v>
      </c>
      <c r="V880" s="24"/>
      <c r="W880" s="24" t="str">
        <f t="shared" si="46"/>
        <v>Завершена</v>
      </c>
      <c r="X880" s="13" t="str">
        <f>IFERROR(__xludf.DUMMYFUNCTION("IF(C880 = """", """", IF(REGEXMATCH(C880, ""PCX|NMAX|ADV 150|CLICK""), ""скутер"", ""мото""))"),"мото")</f>
        <v>мото</v>
      </c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</row>
    <row r="881" hidden="1">
      <c r="A881" s="25" t="s">
        <v>24</v>
      </c>
      <c r="B881" s="25" t="s">
        <v>25</v>
      </c>
      <c r="C881" s="27" t="s">
        <v>73</v>
      </c>
      <c r="D881" s="27" t="s">
        <v>612</v>
      </c>
      <c r="E881" s="43">
        <v>45625.0</v>
      </c>
      <c r="F881" s="39">
        <v>45635.75</v>
      </c>
      <c r="G881" s="30" t="str">
        <f t="shared" si="60"/>
        <v>10 Д</v>
      </c>
      <c r="H881" s="31">
        <f t="shared" si="58"/>
        <v>407</v>
      </c>
      <c r="I881" s="32" t="str">
        <f t="shared" si="39"/>
        <v/>
      </c>
      <c r="J881" s="33" t="str">
        <f t="shared" si="25"/>
        <v/>
      </c>
      <c r="K881" s="36">
        <v>4070.0</v>
      </c>
      <c r="L881" s="33"/>
      <c r="M881" s="36">
        <v>407.0</v>
      </c>
      <c r="N881" s="44">
        <v>23263.0</v>
      </c>
      <c r="O881" s="35">
        <f>IFERROR(__xludf.DUMMYFUNCTION("IFERROR(
  VLOOKUP(C881,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C881
    ), 
    7, FALSE
  ), 
  """"
)
"),31000.0)</f>
        <v>31000</v>
      </c>
      <c r="P881" s="35">
        <f>IFERROR(__xludf.DUMMYFUNCTION("IF(AND(Q881="""", R881=""""),
  """",
  IF(OR(ISBLANK(Q881), ISBLANK(O881)),
    """",
    IF(VALUE(SUBSTITUTE(INDEX(SPLIT(IF(ISBLANK(R881), Q881, R881), "",""), 0, 1), "" Km"", """")) - O881 = 0,
      """",
      VALUE(SUBSTITUTE(INDEX(SPLIT(IF(ISBLANK("&amp;"R881), Q881, R881), "",""), 0, 1), "" Km"", """")) - O881
    )
  )
)"),-7737.0)</f>
        <v>-7737</v>
      </c>
      <c r="Q881" s="36" t="str">
        <f t="shared" si="4"/>
        <v>23 263 Km, 29.11.2024</v>
      </c>
      <c r="R881" s="33"/>
      <c r="S881" s="40">
        <v>3000.0</v>
      </c>
      <c r="T881" s="25">
        <v>2.0</v>
      </c>
      <c r="U881" s="25" t="s">
        <v>1565</v>
      </c>
      <c r="V881" s="37"/>
      <c r="W881" s="37" t="str">
        <f t="shared" si="46"/>
        <v>Завершена</v>
      </c>
      <c r="X881" s="25" t="str">
        <f>IFERROR(__xludf.DUMMYFUNCTION("IF(C881 = """", """", IF(REGEXMATCH(C881, ""PCX|NMAX|ADV 150|CLICK""), ""скутер"", ""мото""))"),"скутер")</f>
        <v>скутер</v>
      </c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</row>
    <row r="882" hidden="1">
      <c r="A882" s="13" t="s">
        <v>24</v>
      </c>
      <c r="B882" s="13" t="s">
        <v>25</v>
      </c>
      <c r="C882" s="14" t="s">
        <v>98</v>
      </c>
      <c r="D882" s="14" t="s">
        <v>1566</v>
      </c>
      <c r="E882" s="48">
        <v>45626.0</v>
      </c>
      <c r="F882" s="38">
        <v>45635.708333333336</v>
      </c>
      <c r="G882" s="17" t="str">
        <f t="shared" si="60"/>
        <v>9 Д</v>
      </c>
      <c r="H882" s="18">
        <f t="shared" si="58"/>
        <v>427</v>
      </c>
      <c r="I882" s="19" t="str">
        <f t="shared" si="39"/>
        <v/>
      </c>
      <c r="J882" s="20" t="str">
        <f t="shared" si="25"/>
        <v/>
      </c>
      <c r="K882" s="23">
        <f>2989+854</f>
        <v>3843</v>
      </c>
      <c r="L882" s="20"/>
      <c r="M882" s="23">
        <v>427.0</v>
      </c>
      <c r="N882" s="49">
        <v>25121.0</v>
      </c>
      <c r="O882" s="22">
        <f>IFERROR(__xludf.DUMMYFUNCTION("IFERROR(
  VLOOKUP(C882,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C882
    ), 
    7, FALSE
  ), 
  """"
)
"),32200.0)</f>
        <v>32200</v>
      </c>
      <c r="P882" s="22">
        <f>IFERROR(__xludf.DUMMYFUNCTION("IF(AND(Q882="""", R882=""""),
  """",
  IF(OR(ISBLANK(Q882), ISBLANK(O882)),
    """",
    IF(VALUE(SUBSTITUTE(INDEX(SPLIT(IF(ISBLANK(R882), Q882, R882), "",""), 0, 1), "" Km"", """")) - O882 = 0,
      """",
      VALUE(SUBSTITUTE(INDEX(SPLIT(IF(ISBLANK("&amp;"R882), Q882, R882), "",""), 0, 1), "" Km"", """")) - O882
    )
  )
)"),-7079.0)</f>
        <v>-7079</v>
      </c>
      <c r="Q882" s="23" t="str">
        <f t="shared" si="4"/>
        <v>25 121 Km, 30.11.2024</v>
      </c>
      <c r="R882" s="20"/>
      <c r="S882" s="41">
        <f>3000-854</f>
        <v>2146</v>
      </c>
      <c r="T882" s="13">
        <v>2.0</v>
      </c>
      <c r="U882" s="13" t="s">
        <v>1567</v>
      </c>
      <c r="V882" s="24"/>
      <c r="W882" s="24" t="str">
        <f t="shared" si="46"/>
        <v>Завершена</v>
      </c>
      <c r="X882" s="13" t="str">
        <f>IFERROR(__xludf.DUMMYFUNCTION("IF(C882 = """", """", IF(REGEXMATCH(C882, ""PCX|NMAX|ADV 150|CLICK""), ""скутер"", ""мото""))"),"скутер")</f>
        <v>скутер</v>
      </c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</row>
    <row r="883" hidden="1">
      <c r="A883" s="25" t="s">
        <v>24</v>
      </c>
      <c r="B883" s="25" t="s">
        <v>25</v>
      </c>
      <c r="C883" s="27" t="s">
        <v>48</v>
      </c>
      <c r="D883" s="27" t="s">
        <v>1568</v>
      </c>
      <c r="E883" s="43">
        <v>45627.0</v>
      </c>
      <c r="F883" s="39">
        <v>45634.416666666664</v>
      </c>
      <c r="G883" s="30" t="str">
        <f>IF((E883="")+(F883=""), "", IF(DATEDIF(E883, F883, "d") &gt; 30, DATEDIF(E883, F883, "m") &amp; " М", DATEDIF(E883, F883, "d") &amp; " Д"))
</f>
        <v>7 Д</v>
      </c>
      <c r="H883" s="31">
        <f t="shared" si="58"/>
        <v>332</v>
      </c>
      <c r="I883" s="32" t="str">
        <f t="shared" si="39"/>
        <v/>
      </c>
      <c r="J883" s="33" t="str">
        <f t="shared" si="25"/>
        <v/>
      </c>
      <c r="K883" s="36">
        <v>2324.0</v>
      </c>
      <c r="L883" s="33"/>
      <c r="M883" s="36">
        <v>332.0</v>
      </c>
      <c r="N883" s="44">
        <v>26539.0</v>
      </c>
      <c r="O883" s="35">
        <f>IFERROR(__xludf.DUMMYFUNCTION("IFERROR(
  VLOOKUP(C883,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C883
    ), 
    7, FALSE
  ), 
  """"
)
"),35800.0)</f>
        <v>35800</v>
      </c>
      <c r="P883" s="35">
        <f>IFERROR(__xludf.DUMMYFUNCTION("IF(AND(Q883="""", R883=""""),
  """",
  IF(OR(ISBLANK(Q883), ISBLANK(O883)),
    """",
    IF(VALUE(SUBSTITUTE(INDEX(SPLIT(IF(ISBLANK(R883), Q883, R883), "",""), 0, 1), "" Km"", """")) - O883 = 0,
      """",
      VALUE(SUBSTITUTE(INDEX(SPLIT(IF(ISBLANK("&amp;"R883), Q883, R883), "",""), 0, 1), "" Km"", """")) - O883
    )
  )
)"),-9261.0)</f>
        <v>-9261</v>
      </c>
      <c r="Q883" s="36" t="str">
        <f t="shared" si="4"/>
        <v>26 539 Km, 01.12.2024</v>
      </c>
      <c r="R883" s="33"/>
      <c r="S883" s="40">
        <v>3000.0</v>
      </c>
      <c r="T883" s="25">
        <v>3.0</v>
      </c>
      <c r="U883" s="25" t="s">
        <v>1569</v>
      </c>
      <c r="V883" s="37"/>
      <c r="W883" s="37" t="str">
        <f t="shared" si="46"/>
        <v>Завершена</v>
      </c>
      <c r="X883" s="25" t="str">
        <f>IFERROR(__xludf.DUMMYFUNCTION("IF(C883 = """", """", IF(REGEXMATCH(C883, ""PCX|NMAX|ADV 150|CLICK""), ""скутер"", ""мото""))"),"скутер")</f>
        <v>скутер</v>
      </c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</row>
    <row r="884" hidden="1">
      <c r="A884" s="13" t="s">
        <v>24</v>
      </c>
      <c r="B884" s="13" t="s">
        <v>25</v>
      </c>
      <c r="C884" s="14" t="s">
        <v>92</v>
      </c>
      <c r="D884" s="14" t="s">
        <v>1570</v>
      </c>
      <c r="E884" s="48">
        <v>45627.0</v>
      </c>
      <c r="F884" s="38">
        <v>45638.666666666664</v>
      </c>
      <c r="G884" s="17" t="str">
        <f t="shared" ref="G884:G2093" si="61">IF((E884="")+(F884=""), "",DATEDIF(E884, F884, "d") &amp; " Д")
</f>
        <v>11 Д</v>
      </c>
      <c r="H884" s="18">
        <f t="shared" si="58"/>
        <v>606</v>
      </c>
      <c r="I884" s="19" t="str">
        <f t="shared" si="39"/>
        <v/>
      </c>
      <c r="J884" s="20" t="str">
        <f t="shared" si="25"/>
        <v/>
      </c>
      <c r="K884" s="23">
        <f>7272-606</f>
        <v>6666</v>
      </c>
      <c r="L884" s="20"/>
      <c r="M884" s="23">
        <v>606.0</v>
      </c>
      <c r="N884" s="49">
        <v>28000.0</v>
      </c>
      <c r="O884" s="22">
        <f>IFERROR(__xludf.DUMMYFUNCTION("IFERROR(
  VLOOKUP(C884,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C884
    ), 
    7, FALSE
  ), 
  """"
)
"),23500.0)</f>
        <v>23500</v>
      </c>
      <c r="P884" s="22">
        <f>IFERROR(__xludf.DUMMYFUNCTION("IF(AND(Q884="""", R884=""""),
  """",
  IF(OR(ISBLANK(Q884), ISBLANK(O884)),
    """",
    IF(VALUE(SUBSTITUTE(INDEX(SPLIT(IF(ISBLANK(R884), Q884, R884), "",""), 0, 1), "" Km"", """")) - O884 = 0,
      """",
      VALUE(SUBSTITUTE(INDEX(SPLIT(IF(ISBLANK("&amp;"R884), Q884, R884), "",""), 0, 1), "" Km"", """")) - O884
    )
  )
)"),4500.0)</f>
        <v>4500</v>
      </c>
      <c r="Q884" s="23" t="str">
        <f t="shared" si="4"/>
        <v>28 000 Km, 01.12.2024</v>
      </c>
      <c r="R884" s="20"/>
      <c r="S884" s="41">
        <v>5000.0</v>
      </c>
      <c r="T884" s="13">
        <v>1.0</v>
      </c>
      <c r="U884" s="13" t="s">
        <v>1571</v>
      </c>
      <c r="V884" s="24"/>
      <c r="W884" s="24" t="str">
        <f t="shared" si="46"/>
        <v>Завершена</v>
      </c>
      <c r="X884" s="13" t="str">
        <f>IFERROR(__xludf.DUMMYFUNCTION("IF(C884 = """", """", IF(REGEXMATCH(C884, ""PCX|NMAX|ADV 150|CLICK""), ""скутер"", ""мото""))"),"мото")</f>
        <v>мото</v>
      </c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</row>
    <row r="885" hidden="1">
      <c r="A885" s="25" t="s">
        <v>24</v>
      </c>
      <c r="B885" s="25" t="s">
        <v>25</v>
      </c>
      <c r="C885" s="27" t="s">
        <v>941</v>
      </c>
      <c r="D885" s="27" t="s">
        <v>1572</v>
      </c>
      <c r="E885" s="43">
        <v>45629.0</v>
      </c>
      <c r="F885" s="39">
        <v>45634.458333333336</v>
      </c>
      <c r="G885" s="30" t="str">
        <f t="shared" si="61"/>
        <v>5 Д</v>
      </c>
      <c r="H885" s="31">
        <f t="shared" si="58"/>
        <v>998</v>
      </c>
      <c r="I885" s="32" t="str">
        <f t="shared" si="39"/>
        <v/>
      </c>
      <c r="J885" s="33" t="str">
        <f t="shared" si="25"/>
        <v/>
      </c>
      <c r="K885" s="36">
        <v>3992.0</v>
      </c>
      <c r="L885" s="33"/>
      <c r="M885" s="36">
        <v>998.0</v>
      </c>
      <c r="N885" s="34"/>
      <c r="O885" s="35">
        <f>IFERROR(__xludf.DUMMYFUNCTION("IFERROR(
  VLOOKUP(C885,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C885
    ), 
    7, FALSE
  ), 
  """"
)
"),18302.0)</f>
        <v>18302</v>
      </c>
      <c r="P885" s="35">
        <f>IFERROR(__xludf.DUMMYFUNCTION("IF(AND(Q885="""", R885=""""),
  """",
  IF(OR(ISBLANK(Q885), ISBLANK(O885)),
    """",
    IF(VALUE(SUBSTITUTE(INDEX(SPLIT(IF(ISBLANK(R885), Q885, R885), "",""), 0, 1), "" Km"", """")) - O885 = 0,
      """",
      VALUE(SUBSTITUTE(INDEX(SPLIT(IF(ISBLANK("&amp;"R885), Q885, R885), "",""), 0, 1), "" Km"", """")) - O885
    )
  )
)"),-18302.0)</f>
        <v>-18302</v>
      </c>
      <c r="Q885" s="36" t="str">
        <f t="shared" si="4"/>
        <v>0 Km, 03.12.2024</v>
      </c>
      <c r="R885" s="33"/>
      <c r="S885" s="40">
        <v>7000.0</v>
      </c>
      <c r="T885" s="25">
        <v>2.0</v>
      </c>
      <c r="U885" s="25" t="s">
        <v>1573</v>
      </c>
      <c r="V885" s="37"/>
      <c r="W885" s="37" t="str">
        <f t="shared" si="46"/>
        <v>Завершена</v>
      </c>
      <c r="X885" s="25" t="str">
        <f>IFERROR(__xludf.DUMMYFUNCTION("IF(C885 = """", """", IF(REGEXMATCH(C885, ""PCX|NMAX|ADV 150|CLICK""), ""скутер"", ""мото""))"),"мото")</f>
        <v>мото</v>
      </c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</row>
    <row r="886" hidden="1">
      <c r="A886" s="13" t="s">
        <v>24</v>
      </c>
      <c r="B886" s="13" t="s">
        <v>25</v>
      </c>
      <c r="C886" s="14" t="s">
        <v>1028</v>
      </c>
      <c r="D886" s="14" t="s">
        <v>953</v>
      </c>
      <c r="E886" s="48">
        <v>45629.0</v>
      </c>
      <c r="F886" s="38">
        <v>45648.541666666664</v>
      </c>
      <c r="G886" s="17" t="str">
        <f t="shared" si="61"/>
        <v>19 Д</v>
      </c>
      <c r="H886" s="18">
        <f t="shared" si="58"/>
        <v>763</v>
      </c>
      <c r="I886" s="19" t="str">
        <f t="shared" si="39"/>
        <v/>
      </c>
      <c r="J886" s="20" t="str">
        <f t="shared" si="25"/>
        <v/>
      </c>
      <c r="K886" s="23">
        <f>12971+1526</f>
        <v>14497</v>
      </c>
      <c r="L886" s="20"/>
      <c r="M886" s="23">
        <v>763.0</v>
      </c>
      <c r="N886" s="49">
        <v>13441.0</v>
      </c>
      <c r="O886" s="22">
        <f>IFERROR(__xludf.DUMMYFUNCTION("IFERROR(
  VLOOKUP(C886,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C886
    ), 
    7, FALSE
  ), 
  """"
)
"),21600.0)</f>
        <v>21600</v>
      </c>
      <c r="P886" s="22">
        <f>IFERROR(__xludf.DUMMYFUNCTION("IF(AND(Q886="""", R886=""""),
  """",
  IF(OR(ISBLANK(Q886), ISBLANK(O886)),
    """",
    IF(VALUE(SUBSTITUTE(INDEX(SPLIT(IF(ISBLANK(R886), Q886, R886), "",""), 0, 1), "" Km"", """")) - O886 = 0,
      """",
      VALUE(SUBSTITUTE(INDEX(SPLIT(IF(ISBLANK("&amp;"R886), Q886, R886), "",""), 0, 1), "" Km"", """")) - O886
    )
  )
)"),-8159.0)</f>
        <v>-8159</v>
      </c>
      <c r="Q886" s="23" t="str">
        <f t="shared" si="4"/>
        <v>13 441 Km, 03.12.2024</v>
      </c>
      <c r="R886" s="20"/>
      <c r="S886" s="41">
        <v>7000.0</v>
      </c>
      <c r="T886" s="13">
        <v>0.0</v>
      </c>
      <c r="U886" s="66" t="s">
        <v>1353</v>
      </c>
      <c r="V886" s="24"/>
      <c r="W886" s="24" t="str">
        <f t="shared" si="46"/>
        <v>Завершена</v>
      </c>
      <c r="X886" s="13" t="str">
        <f>IFERROR(__xludf.DUMMYFUNCTION("IF(C886 = """", """", IF(REGEXMATCH(C886, ""PCX|NMAX|ADV 150|CLICK""), ""скутер"", ""мото""))"),"мото")</f>
        <v>мото</v>
      </c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</row>
    <row r="887" hidden="1">
      <c r="A887" s="25" t="s">
        <v>24</v>
      </c>
      <c r="B887" s="25" t="s">
        <v>25</v>
      </c>
      <c r="C887" s="27" t="s">
        <v>483</v>
      </c>
      <c r="D887" s="27" t="s">
        <v>683</v>
      </c>
      <c r="E887" s="43">
        <v>45630.0</v>
      </c>
      <c r="F887" s="39">
        <v>45640.791666666664</v>
      </c>
      <c r="G887" s="30" t="str">
        <f t="shared" si="61"/>
        <v>10 Д</v>
      </c>
      <c r="H887" s="31">
        <f t="shared" si="58"/>
        <v>1618</v>
      </c>
      <c r="I887" s="32" t="str">
        <f t="shared" si="39"/>
        <v/>
      </c>
      <c r="J887" s="33" t="str">
        <f t="shared" si="25"/>
        <v/>
      </c>
      <c r="K887" s="36">
        <f>4854+1618*3+6472</f>
        <v>16180</v>
      </c>
      <c r="L887" s="33"/>
      <c r="M887" s="36">
        <v>1618.0</v>
      </c>
      <c r="N887" s="44">
        <v>33000.0</v>
      </c>
      <c r="O887" s="35">
        <f>IFERROR(__xludf.DUMMYFUNCTION("IFERROR(
  VLOOKUP(C887,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C887
    ), 
    7, FALSE
  ), 
  """"
)
"),41500.0)</f>
        <v>41500</v>
      </c>
      <c r="P887" s="35">
        <f>IFERROR(__xludf.DUMMYFUNCTION("IF(AND(Q887="""", R887=""""),
  """",
  IF(OR(ISBLANK(Q887), ISBLANK(O887)),
    """",
    IF(VALUE(SUBSTITUTE(INDEX(SPLIT(IF(ISBLANK(R887), Q887, R887), "",""), 0, 1), "" Km"", """")) - O887 = 0,
      """",
      VALUE(SUBSTITUTE(INDEX(SPLIT(IF(ISBLANK("&amp;"R887), Q887, R887), "",""), 0, 1), "" Km"", """")) - O887
    )
  )
)"),-8500.0)</f>
        <v>-8500</v>
      </c>
      <c r="Q887" s="36" t="str">
        <f t="shared" si="4"/>
        <v>33 000 Km, 04.12.2024</v>
      </c>
      <c r="R887" s="33"/>
      <c r="S887" s="40" t="s">
        <v>515</v>
      </c>
      <c r="T887" s="25">
        <v>1.0</v>
      </c>
      <c r="U887" s="71" t="s">
        <v>1574</v>
      </c>
      <c r="V887" s="37"/>
      <c r="W887" s="37" t="str">
        <f t="shared" si="46"/>
        <v>Завершена</v>
      </c>
      <c r="X887" s="25" t="str">
        <f>IFERROR(__xludf.DUMMYFUNCTION("IF(C887 = """", """", IF(REGEXMATCH(C887, ""PCX|NMAX|ADV 150|CLICK""), ""скутер"", ""мото""))"),"мото")</f>
        <v>мото</v>
      </c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</row>
    <row r="888" hidden="1">
      <c r="A888" s="13" t="s">
        <v>24</v>
      </c>
      <c r="B888" s="13" t="s">
        <v>25</v>
      </c>
      <c r="C888" s="14" t="s">
        <v>132</v>
      </c>
      <c r="D888" s="14" t="s">
        <v>851</v>
      </c>
      <c r="E888" s="48">
        <v>45630.0</v>
      </c>
      <c r="F888" s="38">
        <v>45751.791666666664</v>
      </c>
      <c r="G888" s="17" t="str">
        <f t="shared" si="61"/>
        <v>121 Д</v>
      </c>
      <c r="H888" s="18">
        <f t="shared" si="58"/>
        <v>183.3333333</v>
      </c>
      <c r="I888" s="19" t="str">
        <f t="shared" si="39"/>
        <v/>
      </c>
      <c r="J888" s="20" t="str">
        <f t="shared" si="25"/>
        <v/>
      </c>
      <c r="K888" s="23">
        <f>16500+5500</f>
        <v>22000</v>
      </c>
      <c r="L888" s="23">
        <v>5500.0</v>
      </c>
      <c r="M888" s="23"/>
      <c r="N888" s="49">
        <v>36532.0</v>
      </c>
      <c r="O888" s="22" t="str">
        <f>IFERROR(__xludf.DUMMYFUNCTION("IFERROR(
  VLOOKUP(C888,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C888
    ), 
    7, FALSE
  ), 
  """"
)
"),"")</f>
        <v/>
      </c>
      <c r="P888" s="22">
        <f>IFERROR(__xludf.DUMMYFUNCTION("IF(AND(Q888="""", R888=""""),
  """",
  IF(OR(ISBLANK(Q888), ISBLANK(O888)),
    """",
    IF(VALUE(SUBSTITUTE(INDEX(SPLIT(IF(ISBLANK(R888), Q888, R888), "",""), 0, 1), "" Km"", """")) - O888 = 0,
      """",
      VALUE(SUBSTITUTE(INDEX(SPLIT(IF(ISBLANK("&amp;"R888), Q888, R888), "",""), 0, 1), "" Km"", """")) - O888
    )
  )
)"),36532.0)</f>
        <v>36532</v>
      </c>
      <c r="Q888" s="23" t="str">
        <f t="shared" si="4"/>
        <v>36 532 Km, 04.12.2024</v>
      </c>
      <c r="R888" s="20"/>
      <c r="S888" s="41">
        <v>100.0</v>
      </c>
      <c r="T888" s="13">
        <v>3.0</v>
      </c>
      <c r="U888" s="13" t="s">
        <v>1575</v>
      </c>
      <c r="V888" s="24"/>
      <c r="W888" s="24" t="str">
        <f t="shared" si="46"/>
        <v>Завершена</v>
      </c>
      <c r="X888" s="13" t="str">
        <f>IFERROR(__xludf.DUMMYFUNCTION("IF(C888 = """", """", IF(REGEXMATCH(C888, ""PCX|NMAX|ADV 150|CLICK""), ""скутер"", ""мото""))"),"скутер")</f>
        <v>скутер</v>
      </c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</row>
    <row r="889" hidden="1">
      <c r="A889" s="25" t="s">
        <v>24</v>
      </c>
      <c r="B889" s="25" t="s">
        <v>25</v>
      </c>
      <c r="C889" s="27" t="s">
        <v>64</v>
      </c>
      <c r="D889" s="27" t="s">
        <v>1576</v>
      </c>
      <c r="E889" s="43">
        <v>45632.0</v>
      </c>
      <c r="F889" s="39">
        <v>45636.541666666664</v>
      </c>
      <c r="G889" s="30" t="str">
        <f t="shared" si="61"/>
        <v>4 Д</v>
      </c>
      <c r="H889" s="31">
        <f t="shared" si="58"/>
        <v>790</v>
      </c>
      <c r="I889" s="32" t="str">
        <f t="shared" si="39"/>
        <v/>
      </c>
      <c r="J889" s="33" t="str">
        <f t="shared" si="25"/>
        <v/>
      </c>
      <c r="K889" s="36">
        <v>3160.0</v>
      </c>
      <c r="L889" s="36"/>
      <c r="M889" s="36">
        <v>790.0</v>
      </c>
      <c r="N889" s="34"/>
      <c r="O889" s="35">
        <f>IFERROR(__xludf.DUMMYFUNCTION("IFERROR(
  VLOOKUP(C889,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C889
    ), 
    7, FALSE
  ), 
  """"
)
"),32600.0)</f>
        <v>32600</v>
      </c>
      <c r="P889" s="35">
        <f>IFERROR(__xludf.DUMMYFUNCTION("IF(AND(Q889="""", R889=""""),
  """",
  IF(OR(ISBLANK(Q889), ISBLANK(O889)),
    """",
    IF(VALUE(SUBSTITUTE(INDEX(SPLIT(IF(ISBLANK(R889), Q889, R889), "",""), 0, 1), "" Km"", """")) - O889 = 0,
      """",
      VALUE(SUBSTITUTE(INDEX(SPLIT(IF(ISBLANK("&amp;"R889), Q889, R889), "",""), 0, 1), "" Km"", """")) - O889
    )
  )
)"),-32600.0)</f>
        <v>-32600</v>
      </c>
      <c r="Q889" s="36" t="str">
        <f t="shared" si="4"/>
        <v>0 Km, 06.12.2024</v>
      </c>
      <c r="R889" s="33"/>
      <c r="S889" s="40">
        <v>5000.0</v>
      </c>
      <c r="T889" s="25">
        <v>2.0</v>
      </c>
      <c r="U889" s="25" t="s">
        <v>1577</v>
      </c>
      <c r="V889" s="37"/>
      <c r="W889" s="37" t="str">
        <f t="shared" si="46"/>
        <v>Завершена</v>
      </c>
      <c r="X889" s="25" t="str">
        <f>IFERROR(__xludf.DUMMYFUNCTION("IF(C889 = """", """", IF(REGEXMATCH(C889, ""PCX|NMAX|ADV 150|CLICK""), ""скутер"", ""мото""))"),"мото")</f>
        <v>мото</v>
      </c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</row>
    <row r="890" hidden="1">
      <c r="A890" s="13" t="s">
        <v>24</v>
      </c>
      <c r="B890" s="13" t="s">
        <v>25</v>
      </c>
      <c r="C890" s="14" t="s">
        <v>923</v>
      </c>
      <c r="D890" s="14" t="s">
        <v>729</v>
      </c>
      <c r="E890" s="48">
        <v>45634.0</v>
      </c>
      <c r="F890" s="38">
        <v>45654.625</v>
      </c>
      <c r="G890" s="17" t="str">
        <f t="shared" si="61"/>
        <v>20 Д</v>
      </c>
      <c r="H890" s="18">
        <f t="shared" si="58"/>
        <v>666</v>
      </c>
      <c r="I890" s="19" t="str">
        <f t="shared" si="39"/>
        <v/>
      </c>
      <c r="J890" s="20" t="str">
        <f t="shared" si="25"/>
        <v/>
      </c>
      <c r="K890" s="23">
        <f>12*877+2800</f>
        <v>13324</v>
      </c>
      <c r="L890" s="20"/>
      <c r="M890" s="23">
        <v>666.0</v>
      </c>
      <c r="N890" s="49">
        <v>11000.0</v>
      </c>
      <c r="O890" s="22">
        <f>IFERROR(__xludf.DUMMYFUNCTION("IFERROR(
  VLOOKUP(C890,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C890
    ), 
    7, FALSE
  ), 
  """"
)
"),25378.0)</f>
        <v>25378</v>
      </c>
      <c r="P890" s="22">
        <f>IFERROR(__xludf.DUMMYFUNCTION("IF(AND(Q890="""", R890=""""),
  """",
  IF(OR(ISBLANK(Q890), ISBLANK(O890)),
    """",
    IF(VALUE(SUBSTITUTE(INDEX(SPLIT(IF(ISBLANK(R890), Q890, R890), "",""), 0, 1), "" Km"", """")) - O890 = 0,
      """",
      VALUE(SUBSTITUTE(INDEX(SPLIT(IF(ISBLANK("&amp;"R890), Q890, R890), "",""), 0, 1), "" Km"", """")) - O890
    )
  )
)"),-14378.0)</f>
        <v>-14378</v>
      </c>
      <c r="Q890" s="23" t="str">
        <f t="shared" si="4"/>
        <v>11 000 Km, 08.12.2024</v>
      </c>
      <c r="R890" s="20"/>
      <c r="S890" s="41" t="s">
        <v>1578</v>
      </c>
      <c r="T890" s="13">
        <v>3.0</v>
      </c>
      <c r="U890" s="13" t="s">
        <v>1579</v>
      </c>
      <c r="V890" s="24"/>
      <c r="W890" s="24" t="str">
        <f t="shared" si="46"/>
        <v>Завершена</v>
      </c>
      <c r="X890" s="13" t="str">
        <f>IFERROR(__xludf.DUMMYFUNCTION("IF(C890 = """", """", IF(REGEXMATCH(C890, ""PCX|NMAX|ADV 150|CLICK""), ""скутер"", ""мото""))"),"мото")</f>
        <v>мото</v>
      </c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</row>
    <row r="891" ht="30.0" hidden="1" customHeight="1">
      <c r="A891" s="25" t="s">
        <v>24</v>
      </c>
      <c r="B891" s="25" t="s">
        <v>25</v>
      </c>
      <c r="C891" s="27" t="s">
        <v>68</v>
      </c>
      <c r="D891" s="27" t="s">
        <v>1580</v>
      </c>
      <c r="E891" s="43">
        <v>45637.0</v>
      </c>
      <c r="F891" s="39">
        <v>45668.541666666664</v>
      </c>
      <c r="G891" s="30" t="str">
        <f t="shared" si="61"/>
        <v>31 Д</v>
      </c>
      <c r="H891" s="31">
        <f t="shared" si="58"/>
        <v>233.3333333</v>
      </c>
      <c r="I891" s="32" t="str">
        <f t="shared" si="39"/>
        <v/>
      </c>
      <c r="J891" s="33" t="str">
        <f t="shared" si="25"/>
        <v/>
      </c>
      <c r="K891" s="36">
        <v>7000.0</v>
      </c>
      <c r="L891" s="36">
        <v>7000.0</v>
      </c>
      <c r="M891" s="33"/>
      <c r="N891" s="44">
        <v>28200.0</v>
      </c>
      <c r="O891" s="35">
        <f>IFERROR(__xludf.DUMMYFUNCTION("IFERROR(
  VLOOKUP(C891,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C891
    ), 
    7, FALSE
  ), 
  """"
)
"),24094.0)</f>
        <v>24094</v>
      </c>
      <c r="P891" s="35">
        <f>IFERROR(__xludf.DUMMYFUNCTION("IF(AND(Q891="""", R891=""""),
  """",
  IF(OR(ISBLANK(Q891), ISBLANK(O891)),
    """",
    IF(VALUE(SUBSTITUTE(INDEX(SPLIT(IF(ISBLANK(R891), Q891, R891), "",""), 0, 1), "" Km"", """")) - O891 = 0,
      """",
      VALUE(SUBSTITUTE(INDEX(SPLIT(IF(ISBLANK("&amp;"R891), Q891, R891), "",""), 0, 1), "" Km"", """")) - O891
    )
  )
)"),4106.0)</f>
        <v>4106</v>
      </c>
      <c r="Q891" s="36" t="str">
        <f t="shared" si="4"/>
        <v>28 200 Km, 11.12.2024</v>
      </c>
      <c r="R891" s="33"/>
      <c r="S891" s="40">
        <v>3000.0</v>
      </c>
      <c r="T891" s="25">
        <v>2.0</v>
      </c>
      <c r="U891" s="25" t="s">
        <v>1581</v>
      </c>
      <c r="V891" s="37"/>
      <c r="W891" s="37" t="str">
        <f t="shared" si="46"/>
        <v>Завершена</v>
      </c>
      <c r="X891" s="25" t="str">
        <f>IFERROR(__xludf.DUMMYFUNCTION("IF(C891 = """", """", IF(REGEXMATCH(C891, ""PCX|NMAX|ADV 150|CLICK""), ""скутер"", ""мото""))"),"скутер")</f>
        <v>скутер</v>
      </c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</row>
    <row r="892" ht="30.0" hidden="1" customHeight="1">
      <c r="A892" s="13" t="s">
        <v>24</v>
      </c>
      <c r="B892" s="13" t="s">
        <v>25</v>
      </c>
      <c r="C892" s="14" t="s">
        <v>1065</v>
      </c>
      <c r="D892" s="14" t="s">
        <v>1582</v>
      </c>
      <c r="E892" s="48">
        <v>45637.0</v>
      </c>
      <c r="F892" s="38">
        <v>45649.708333333336</v>
      </c>
      <c r="G892" s="17" t="str">
        <f t="shared" si="61"/>
        <v>12 Д</v>
      </c>
      <c r="H892" s="18">
        <f t="shared" si="58"/>
        <v>829</v>
      </c>
      <c r="I892" s="19" t="str">
        <f t="shared" si="39"/>
        <v/>
      </c>
      <c r="J892" s="20" t="str">
        <f t="shared" si="25"/>
        <v/>
      </c>
      <c r="K892" s="23">
        <v>10000.0</v>
      </c>
      <c r="L892" s="20"/>
      <c r="M892" s="23">
        <f>921-92</f>
        <v>829</v>
      </c>
      <c r="N892" s="49">
        <v>7700.0</v>
      </c>
      <c r="O892" s="22">
        <f>IFERROR(__xludf.DUMMYFUNCTION("IFERROR(
  VLOOKUP(C892,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C892
    ), 
    7, FALSE
  ), 
  """"
)
"),19130.0)</f>
        <v>19130</v>
      </c>
      <c r="P892" s="22">
        <f>IFERROR(__xludf.DUMMYFUNCTION("IF(AND(Q892="""", R892=""""),
  """",
  IF(OR(ISBLANK(Q892), ISBLANK(O892)),
    """",
    IF(VALUE(SUBSTITUTE(INDEX(SPLIT(IF(ISBLANK(R892), Q892, R892), "",""), 0, 1), "" Km"", """")) - O892 = 0,
      """",
      VALUE(SUBSTITUTE(INDEX(SPLIT(IF(ISBLANK("&amp;"R892), Q892, R892), "",""), 0, 1), "" Km"", """")) - O892
    )
  )
)"),-11430.0)</f>
        <v>-11430</v>
      </c>
      <c r="Q892" s="23" t="str">
        <f t="shared" si="4"/>
        <v>7 700 Km, 11.12.2024</v>
      </c>
      <c r="R892" s="20"/>
      <c r="S892" s="41" t="s">
        <v>1583</v>
      </c>
      <c r="T892" s="13">
        <v>2.0</v>
      </c>
      <c r="U892" s="13" t="s">
        <v>1584</v>
      </c>
      <c r="V892" s="24"/>
      <c r="W892" s="24" t="str">
        <f t="shared" si="46"/>
        <v>Завершена</v>
      </c>
      <c r="X892" s="13" t="str">
        <f>IFERROR(__xludf.DUMMYFUNCTION("IF(C892 = """", """", IF(REGEXMATCH(C892, ""PCX|NMAX|ADV 150|CLICK""), ""скутер"", ""мото""))"),"мото")</f>
        <v>мото</v>
      </c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</row>
    <row r="893" hidden="1">
      <c r="A893" s="25" t="s">
        <v>24</v>
      </c>
      <c r="B893" s="25" t="s">
        <v>25</v>
      </c>
      <c r="C893" s="27" t="s">
        <v>98</v>
      </c>
      <c r="D893" s="27" t="s">
        <v>1585</v>
      </c>
      <c r="E893" s="43">
        <v>45637.0</v>
      </c>
      <c r="F893" s="39">
        <v>45655.875</v>
      </c>
      <c r="G893" s="30" t="str">
        <f t="shared" si="61"/>
        <v>18 Д</v>
      </c>
      <c r="H893" s="31">
        <f t="shared" si="58"/>
        <v>333</v>
      </c>
      <c r="I893" s="32" t="str">
        <f t="shared" si="39"/>
        <v/>
      </c>
      <c r="J893" s="33" t="str">
        <f t="shared" si="25"/>
        <v/>
      </c>
      <c r="K893" s="36">
        <v>6000.0</v>
      </c>
      <c r="L893" s="33"/>
      <c r="M893" s="36">
        <v>333.0</v>
      </c>
      <c r="N893" s="44">
        <v>26000.0</v>
      </c>
      <c r="O893" s="35">
        <f>IFERROR(__xludf.DUMMYFUNCTION("IFERROR(
  VLOOKUP(C893,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C893
    ), 
    7, FALSE
  ), 
  """"
)
"),32200.0)</f>
        <v>32200</v>
      </c>
      <c r="P893" s="35">
        <f>IFERROR(__xludf.DUMMYFUNCTION("IF(AND(Q893="""", R893=""""),
  """",
  IF(OR(ISBLANK(Q893), ISBLANK(O893)),
    """",
    IF(VALUE(SUBSTITUTE(INDEX(SPLIT(IF(ISBLANK(R893), Q893, R893), "",""), 0, 1), "" Km"", """")) - O893 = 0,
      """",
      VALUE(SUBSTITUTE(INDEX(SPLIT(IF(ISBLANK("&amp;"R893), Q893, R893), "",""), 0, 1), "" Km"", """")) - O893
    )
  )
)"),-6200.0)</f>
        <v>-6200</v>
      </c>
      <c r="Q893" s="36" t="str">
        <f t="shared" si="4"/>
        <v>26 000 Km, 11.12.2024</v>
      </c>
      <c r="R893" s="33"/>
      <c r="S893" s="40">
        <v>3500.0</v>
      </c>
      <c r="T893" s="25">
        <v>1.0</v>
      </c>
      <c r="U893" s="25" t="s">
        <v>1586</v>
      </c>
      <c r="V893" s="37"/>
      <c r="W893" s="37" t="str">
        <f t="shared" si="46"/>
        <v>Завершена</v>
      </c>
      <c r="X893" s="25" t="str">
        <f>IFERROR(__xludf.DUMMYFUNCTION("IF(C893 = """", """", IF(REGEXMATCH(C893, ""PCX|NMAX|ADV 150|CLICK""), ""скутер"", ""мото""))"),"скутер")</f>
        <v>скутер</v>
      </c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</row>
    <row r="894" hidden="1">
      <c r="A894" s="13" t="s">
        <v>24</v>
      </c>
      <c r="B894" s="13" t="s">
        <v>25</v>
      </c>
      <c r="C894" s="14" t="s">
        <v>946</v>
      </c>
      <c r="D894" s="14" t="s">
        <v>1585</v>
      </c>
      <c r="E894" s="48">
        <v>45637.0</v>
      </c>
      <c r="F894" s="38">
        <v>45655.875</v>
      </c>
      <c r="G894" s="17" t="str">
        <f t="shared" si="61"/>
        <v>18 Д</v>
      </c>
      <c r="H894" s="18">
        <f t="shared" si="58"/>
        <v>751</v>
      </c>
      <c r="I894" s="19" t="str">
        <f t="shared" si="39"/>
        <v/>
      </c>
      <c r="J894" s="20" t="str">
        <f t="shared" si="25"/>
        <v/>
      </c>
      <c r="K894" s="23">
        <v>13518.0</v>
      </c>
      <c r="L894" s="20"/>
      <c r="M894" s="23">
        <v>751.0</v>
      </c>
      <c r="N894" s="49">
        <v>12200.0</v>
      </c>
      <c r="O894" s="22">
        <f>IFERROR(__xludf.DUMMYFUNCTION("IFERROR(
  VLOOKUP(C894,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C894
    ), 
    7, FALSE
  ), 
  """"
)
"),20400.0)</f>
        <v>20400</v>
      </c>
      <c r="P894" s="22">
        <f>IFERROR(__xludf.DUMMYFUNCTION("IF(AND(Q894="""", R894=""""),
  """",
  IF(OR(ISBLANK(Q894), ISBLANK(O894)),
    """",
    IF(VALUE(SUBSTITUTE(INDEX(SPLIT(IF(ISBLANK(R894), Q894, R894), "",""), 0, 1), "" Km"", """")) - O894 = 0,
      """",
      VALUE(SUBSTITUTE(INDEX(SPLIT(IF(ISBLANK("&amp;"R894), Q894, R894), "",""), 0, 1), "" Km"", """")) - O894
    )
  )
)"),-8200.0)</f>
        <v>-8200</v>
      </c>
      <c r="Q894" s="23" t="str">
        <f t="shared" si="4"/>
        <v>12 200 Km, 11.12.2024</v>
      </c>
      <c r="R894" s="20"/>
      <c r="S894" s="41">
        <v>3500.0</v>
      </c>
      <c r="T894" s="13">
        <v>2.0</v>
      </c>
      <c r="U894" s="13" t="s">
        <v>516</v>
      </c>
      <c r="V894" s="24"/>
      <c r="W894" s="24" t="str">
        <f t="shared" si="46"/>
        <v>Завершена</v>
      </c>
      <c r="X894" s="13" t="str">
        <f>IFERROR(__xludf.DUMMYFUNCTION("IF(C894 = """", """", IF(REGEXMATCH(C894, ""PCX|NMAX|ADV 150|CLICK""), ""скутер"", ""мото""))"),"мото")</f>
        <v>мото</v>
      </c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</row>
    <row r="895" hidden="1">
      <c r="A895" s="25" t="s">
        <v>24</v>
      </c>
      <c r="B895" s="25" t="s">
        <v>25</v>
      </c>
      <c r="C895" s="27" t="s">
        <v>102</v>
      </c>
      <c r="D895" s="27" t="s">
        <v>1587</v>
      </c>
      <c r="E895" s="43">
        <v>45638.0</v>
      </c>
      <c r="F895" s="39">
        <v>45644.666666666664</v>
      </c>
      <c r="G895" s="30" t="str">
        <f t="shared" si="61"/>
        <v>6 Д</v>
      </c>
      <c r="H895" s="31">
        <f t="shared" si="58"/>
        <v>1333</v>
      </c>
      <c r="I895" s="32" t="str">
        <f t="shared" si="39"/>
        <v/>
      </c>
      <c r="J895" s="33" t="str">
        <f t="shared" si="25"/>
        <v/>
      </c>
      <c r="K895" s="36">
        <v>8000.0</v>
      </c>
      <c r="L895" s="33"/>
      <c r="M895" s="36">
        <v>1333.0</v>
      </c>
      <c r="N895" s="34"/>
      <c r="O895" s="35">
        <f>IFERROR(__xludf.DUMMYFUNCTION("IFERROR(
  VLOOKUP(C895,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C895
    ), 
    7, FALSE
  ), 
  """"
)
"),63700.0)</f>
        <v>63700</v>
      </c>
      <c r="P895" s="35">
        <f>IFERROR(__xludf.DUMMYFUNCTION("IF(AND(Q895="""", R895=""""),
  """",
  IF(OR(ISBLANK(Q895), ISBLANK(O895)),
    """",
    IF(VALUE(SUBSTITUTE(INDEX(SPLIT(IF(ISBLANK(R895), Q895, R895), "",""), 0, 1), "" Km"", """")) - O895 = 0,
      """",
      VALUE(SUBSTITUTE(INDEX(SPLIT(IF(ISBLANK("&amp;"R895), Q895, R895), "",""), 0, 1), "" Km"", """")) - O895
    )
  )
)"),-63700.0)</f>
        <v>-63700</v>
      </c>
      <c r="Q895" s="36" t="str">
        <f t="shared" si="4"/>
        <v>0 Km, 12.12.2024</v>
      </c>
      <c r="R895" s="33"/>
      <c r="S895" s="40">
        <v>20000.0</v>
      </c>
      <c r="T895" s="25">
        <v>2.0</v>
      </c>
      <c r="U895" s="25" t="s">
        <v>1588</v>
      </c>
      <c r="V895" s="37"/>
      <c r="W895" s="37" t="str">
        <f t="shared" si="46"/>
        <v>Завершена</v>
      </c>
      <c r="X895" s="25" t="str">
        <f>IFERROR(__xludf.DUMMYFUNCTION("IF(C895 = """", """", IF(REGEXMATCH(C895, ""PCX|NMAX|ADV 150|CLICK""), ""скутер"", ""мото""))"),"мото")</f>
        <v>мото</v>
      </c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</row>
    <row r="896" hidden="1">
      <c r="A896" s="13" t="s">
        <v>24</v>
      </c>
      <c r="B896" s="13" t="s">
        <v>25</v>
      </c>
      <c r="C896" s="14" t="s">
        <v>461</v>
      </c>
      <c r="D896" s="14" t="s">
        <v>1589</v>
      </c>
      <c r="E896" s="48">
        <v>45639.0</v>
      </c>
      <c r="F896" s="38">
        <v>45642.708333333336</v>
      </c>
      <c r="G896" s="17" t="str">
        <f t="shared" si="61"/>
        <v>3 Д</v>
      </c>
      <c r="H896" s="18">
        <f t="shared" si="58"/>
        <v>890</v>
      </c>
      <c r="I896" s="19" t="str">
        <f t="shared" si="39"/>
        <v/>
      </c>
      <c r="J896" s="20" t="str">
        <f t="shared" si="25"/>
        <v/>
      </c>
      <c r="K896" s="23">
        <f>1780+450</f>
        <v>2230</v>
      </c>
      <c r="L896" s="20"/>
      <c r="M896" s="23">
        <v>890.0</v>
      </c>
      <c r="N896" s="21"/>
      <c r="O896" s="22">
        <f>IFERROR(__xludf.DUMMYFUNCTION("IFERROR(
  VLOOKUP(C896,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C896
    ), 
    7, FALSE
  ), 
  """"
)
"),30500.0)</f>
        <v>30500</v>
      </c>
      <c r="P896" s="22">
        <f>IFERROR(__xludf.DUMMYFUNCTION("IF(AND(Q896="""", R896=""""),
  """",
  IF(OR(ISBLANK(Q896), ISBLANK(O896)),
    """",
    IF(VALUE(SUBSTITUTE(INDEX(SPLIT(IF(ISBLANK(R896), Q896, R896), "",""), 0, 1), "" Km"", """")) - O896 = 0,
      """",
      VALUE(SUBSTITUTE(INDEX(SPLIT(IF(ISBLANK("&amp;"R896), Q896, R896), "",""), 0, 1), "" Km"", """")) - O896
    )
  )
)"),-30500.0)</f>
        <v>-30500</v>
      </c>
      <c r="Q896" s="23" t="str">
        <f t="shared" si="4"/>
        <v>0 Km, 13.12.2024</v>
      </c>
      <c r="R896" s="20"/>
      <c r="S896" s="41" t="s">
        <v>515</v>
      </c>
      <c r="T896" s="13">
        <v>1.0</v>
      </c>
      <c r="U896" s="13" t="s">
        <v>1590</v>
      </c>
      <c r="V896" s="24"/>
      <c r="W896" s="24" t="str">
        <f t="shared" si="46"/>
        <v>Завершена</v>
      </c>
      <c r="X896" s="13" t="str">
        <f>IFERROR(__xludf.DUMMYFUNCTION("IF(C896 = """", """", IF(REGEXMATCH(C896, ""PCX|NMAX|ADV 150|CLICK""), ""скутер"", ""мото""))"),"мото")</f>
        <v>мото</v>
      </c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</row>
    <row r="897" hidden="1">
      <c r="A897" s="25" t="s">
        <v>24</v>
      </c>
      <c r="B897" s="25" t="s">
        <v>25</v>
      </c>
      <c r="C897" s="27" t="s">
        <v>73</v>
      </c>
      <c r="D897" s="27" t="s">
        <v>1230</v>
      </c>
      <c r="E897" s="43">
        <v>45639.0</v>
      </c>
      <c r="F897" s="39">
        <v>45670.458333333336</v>
      </c>
      <c r="G897" s="30" t="str">
        <f t="shared" si="61"/>
        <v>31 Д</v>
      </c>
      <c r="H897" s="31">
        <f t="shared" si="58"/>
        <v>292</v>
      </c>
      <c r="I897" s="32" t="str">
        <f t="shared" si="39"/>
        <v/>
      </c>
      <c r="J897" s="33" t="str">
        <f t="shared" si="25"/>
        <v/>
      </c>
      <c r="K897" s="36">
        <v>9052.0</v>
      </c>
      <c r="L897" s="33"/>
      <c r="M897" s="36">
        <v>292.0</v>
      </c>
      <c r="N897" s="44">
        <v>23500.0</v>
      </c>
      <c r="O897" s="35">
        <f>IFERROR(__xludf.DUMMYFUNCTION("IFERROR(
  VLOOKUP(C897,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C897
    ), 
    7, FALSE
  ), 
  """"
)
"),31000.0)</f>
        <v>31000</v>
      </c>
      <c r="P897" s="35">
        <f>IFERROR(__xludf.DUMMYFUNCTION("IF(AND(Q897="""", R897=""""),
  """",
  IF(OR(ISBLANK(Q897), ISBLANK(O897)),
    """",
    IF(VALUE(SUBSTITUTE(INDEX(SPLIT(IF(ISBLANK(R897), Q897, R897), "",""), 0, 1), "" Km"", """")) - O897 = 0,
      """",
      VALUE(SUBSTITUTE(INDEX(SPLIT(IF(ISBLANK("&amp;"R897), Q897, R897), "",""), 0, 1), "" Km"", """")) - O897
    )
  )
)"),-7500.0)</f>
        <v>-7500</v>
      </c>
      <c r="Q897" s="36" t="str">
        <f t="shared" si="4"/>
        <v>23 500 Km, 13.12.2024</v>
      </c>
      <c r="R897" s="33"/>
      <c r="S897" s="40">
        <v>3000.0</v>
      </c>
      <c r="T897" s="25">
        <v>2.0</v>
      </c>
      <c r="U897" s="25" t="s">
        <v>1591</v>
      </c>
      <c r="V897" s="25"/>
      <c r="W897" s="37" t="str">
        <f t="shared" si="46"/>
        <v>Завершена</v>
      </c>
      <c r="X897" s="25" t="str">
        <f>IFERROR(__xludf.DUMMYFUNCTION("IF(C897 = """", """", IF(REGEXMATCH(C897, ""PCX|NMAX|ADV 150|CLICK""), ""скутер"", ""мото""))"),"скутер")</f>
        <v>скутер</v>
      </c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</row>
    <row r="898" hidden="1">
      <c r="A898" s="13" t="s">
        <v>24</v>
      </c>
      <c r="B898" s="13" t="s">
        <v>25</v>
      </c>
      <c r="C898" s="166" t="s">
        <v>974</v>
      </c>
      <c r="D898" s="14" t="s">
        <v>740</v>
      </c>
      <c r="E898" s="48">
        <v>45639.0</v>
      </c>
      <c r="F898" s="38">
        <v>45672.645833333336</v>
      </c>
      <c r="G898" s="17" t="str">
        <f t="shared" si="61"/>
        <v>33 Д</v>
      </c>
      <c r="H898" s="18">
        <f t="shared" si="58"/>
        <v>540</v>
      </c>
      <c r="I898" s="19" t="str">
        <f t="shared" si="39"/>
        <v/>
      </c>
      <c r="J898" s="20" t="str">
        <f t="shared" si="25"/>
        <v/>
      </c>
      <c r="K898" s="23">
        <v>18000.0</v>
      </c>
      <c r="L898" s="20"/>
      <c r="M898" s="23">
        <v>540.0</v>
      </c>
      <c r="N898" s="49">
        <v>3000.0</v>
      </c>
      <c r="O898" s="22">
        <f>IFERROR(__xludf.DUMMYFUNCTION("IFERROR(
  VLOOKUP(C898,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C898
    ), 
    7, FALSE
  ), 
  """"
)
"),11800.0)</f>
        <v>11800</v>
      </c>
      <c r="P898" s="22">
        <f>IFERROR(__xludf.DUMMYFUNCTION("IF(AND(Q898="""", R898=""""),
  """",
  IF(OR(ISBLANK(Q898), ISBLANK(O898)),
    """",
    IF(VALUE(SUBSTITUTE(INDEX(SPLIT(IF(ISBLANK(R898), Q898, R898), "",""), 0, 1), "" Km"", """")) - O898 = 0,
      """",
      VALUE(SUBSTITUTE(INDEX(SPLIT(IF(ISBLANK("&amp;"R898), Q898, R898), "",""), 0, 1), "" Km"", """")) - O898
    )
  )
)"),-8800.0)</f>
        <v>-8800</v>
      </c>
      <c r="Q898" s="23" t="str">
        <f t="shared" si="4"/>
        <v>3 000 Km, 13.12.2024</v>
      </c>
      <c r="R898" s="20"/>
      <c r="S898" s="41">
        <v>0.0</v>
      </c>
      <c r="T898" s="13">
        <v>2.0</v>
      </c>
      <c r="U898" s="13" t="s">
        <v>1592</v>
      </c>
      <c r="V898" s="13"/>
      <c r="W898" s="24" t="str">
        <f t="shared" si="46"/>
        <v>Завершена</v>
      </c>
      <c r="X898" s="13" t="str">
        <f>IFERROR(__xludf.DUMMYFUNCTION("IF(C898 = """", """", IF(REGEXMATCH(C898, ""PCX|NMAX|ADV 150|CLICK""), ""скутер"", ""мото""))"),"мото")</f>
        <v>мото</v>
      </c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</row>
    <row r="899" hidden="1">
      <c r="A899" s="25" t="s">
        <v>24</v>
      </c>
      <c r="B899" s="25" t="s">
        <v>25</v>
      </c>
      <c r="C899" s="167" t="s">
        <v>967</v>
      </c>
      <c r="D899" s="27" t="s">
        <v>740</v>
      </c>
      <c r="E899" s="43">
        <v>45640.0</v>
      </c>
      <c r="F899" s="39">
        <v>45641.708333333336</v>
      </c>
      <c r="G899" s="30" t="str">
        <f t="shared" si="61"/>
        <v>1 Д</v>
      </c>
      <c r="H899" s="31">
        <f t="shared" si="58"/>
        <v>2000</v>
      </c>
      <c r="I899" s="32" t="str">
        <f t="shared" si="39"/>
        <v/>
      </c>
      <c r="J899" s="33" t="str">
        <f t="shared" si="25"/>
        <v/>
      </c>
      <c r="K899" s="36">
        <v>2000.0</v>
      </c>
      <c r="L899" s="33"/>
      <c r="M899" s="36">
        <v>2000.0</v>
      </c>
      <c r="N899" s="44">
        <v>3000.0</v>
      </c>
      <c r="O899" s="35">
        <f>IFERROR(__xludf.DUMMYFUNCTION("IFERROR(
  VLOOKUP(C899,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C899
    ), 
    7, FALSE
  ), 
  """"
)
"),24800.0)</f>
        <v>24800</v>
      </c>
      <c r="P899" s="35">
        <f>IFERROR(__xludf.DUMMYFUNCTION("IF(AND(Q899="""", R899=""""),
  """",
  IF(OR(ISBLANK(Q899), ISBLANK(O899)),
    """",
    IF(VALUE(SUBSTITUTE(INDEX(SPLIT(IF(ISBLANK(R899), Q899, R899), "",""), 0, 1), "" Km"", """")) - O899 = 0,
      """",
      VALUE(SUBSTITUTE(INDEX(SPLIT(IF(ISBLANK("&amp;"R899), Q899, R899), "",""), 0, 1), "" Km"", """")) - O899
    )
  )
)"),-21800.0)</f>
        <v>-21800</v>
      </c>
      <c r="Q899" s="36" t="str">
        <f t="shared" si="4"/>
        <v>3 000 Km, 14.12.2024</v>
      </c>
      <c r="R899" s="33"/>
      <c r="S899" s="40">
        <v>0.0</v>
      </c>
      <c r="T899" s="25">
        <v>2.0</v>
      </c>
      <c r="U899" s="25" t="s">
        <v>1592</v>
      </c>
      <c r="V899" s="25"/>
      <c r="W899" s="37" t="str">
        <f t="shared" si="46"/>
        <v>Завершена</v>
      </c>
      <c r="X899" s="25" t="str">
        <f>IFERROR(__xludf.DUMMYFUNCTION("IF(C899 = """", """", IF(REGEXMATCH(C899, ""PCX|NMAX|ADV 150|CLICK""), ""скутер"", ""мото""))"),"мото")</f>
        <v>мото</v>
      </c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</row>
    <row r="900" hidden="1">
      <c r="A900" s="13" t="s">
        <v>24</v>
      </c>
      <c r="B900" s="13" t="s">
        <v>25</v>
      </c>
      <c r="C900" s="14" t="s">
        <v>967</v>
      </c>
      <c r="D900" s="14" t="s">
        <v>1593</v>
      </c>
      <c r="E900" s="48">
        <v>45642.0</v>
      </c>
      <c r="F900" s="38">
        <v>45673.583333333336</v>
      </c>
      <c r="G900" s="17" t="str">
        <f t="shared" si="61"/>
        <v>31 Д</v>
      </c>
      <c r="H900" s="18">
        <f t="shared" si="58"/>
        <v>1646.666667</v>
      </c>
      <c r="I900" s="19" t="str">
        <f t="shared" si="39"/>
        <v/>
      </c>
      <c r="J900" s="20" t="str">
        <f t="shared" si="25"/>
        <v/>
      </c>
      <c r="K900" s="23">
        <v>49400.0</v>
      </c>
      <c r="L900" s="23">
        <v>49400.0</v>
      </c>
      <c r="M900" s="20"/>
      <c r="N900" s="49">
        <v>10000.0</v>
      </c>
      <c r="O900" s="22">
        <f>IFERROR(__xludf.DUMMYFUNCTION("IFERROR(
  VLOOKUP(C900,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C900
    ), 
    7, FALSE
  ), 
  """"
)
"),24800.0)</f>
        <v>24800</v>
      </c>
      <c r="P900" s="22">
        <f>IFERROR(__xludf.DUMMYFUNCTION("IF(AND(Q900="""", R900=""""),
  """",
  IF(OR(ISBLANK(Q900), ISBLANK(O900)),
    """",
    IF(VALUE(SUBSTITUTE(INDEX(SPLIT(IF(ISBLANK(R900), Q900, R900), "",""), 0, 1), "" Km"", """")) - O900 = 0,
      """",
      VALUE(SUBSTITUTE(INDEX(SPLIT(IF(ISBLANK("&amp;"R900), Q900, R900), "",""), 0, 1), "" Km"", """")) - O900
    )
  )
)"),-14800.0)</f>
        <v>-14800</v>
      </c>
      <c r="Q900" s="23" t="str">
        <f t="shared" si="4"/>
        <v>10 000 Km, 16.12.2024</v>
      </c>
      <c r="R900" s="20"/>
      <c r="S900" s="41">
        <v>35000.0</v>
      </c>
      <c r="T900" s="13">
        <v>1.0</v>
      </c>
      <c r="U900" s="13" t="s">
        <v>1594</v>
      </c>
      <c r="V900" s="24"/>
      <c r="W900" s="24" t="str">
        <f t="shared" si="46"/>
        <v>Завершена</v>
      </c>
      <c r="X900" s="13" t="str">
        <f>IFERROR(__xludf.DUMMYFUNCTION("IF(C900 = """", """", IF(REGEXMATCH(C900, ""PCX|NMAX|ADV 150|CLICK""), ""скутер"", ""мото""))"),"мото")</f>
        <v>мото</v>
      </c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</row>
    <row r="901" hidden="1">
      <c r="A901" s="25" t="s">
        <v>24</v>
      </c>
      <c r="B901" s="25" t="s">
        <v>25</v>
      </c>
      <c r="C901" s="27" t="s">
        <v>941</v>
      </c>
      <c r="D901" s="27" t="s">
        <v>1079</v>
      </c>
      <c r="E901" s="43">
        <v>45642.0</v>
      </c>
      <c r="F901" s="39">
        <v>45681.583333333336</v>
      </c>
      <c r="G901" s="30" t="str">
        <f t="shared" si="61"/>
        <v>39 Д</v>
      </c>
      <c r="H901" s="31">
        <f t="shared" si="58"/>
        <v>660</v>
      </c>
      <c r="I901" s="32" t="str">
        <f t="shared" si="39"/>
        <v/>
      </c>
      <c r="J901" s="33" t="str">
        <f t="shared" si="25"/>
        <v/>
      </c>
      <c r="K901" s="36">
        <f>20460+5280</f>
        <v>25740</v>
      </c>
      <c r="L901" s="33"/>
      <c r="M901" s="36">
        <v>660.0</v>
      </c>
      <c r="N901" s="44">
        <v>5500.0</v>
      </c>
      <c r="O901" s="35">
        <f>IFERROR(__xludf.DUMMYFUNCTION("IFERROR(
  VLOOKUP(C901,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C901
    ), 
    7, FALSE
  ), 
  """"
)
"),18302.0)</f>
        <v>18302</v>
      </c>
      <c r="P901" s="35">
        <f>IFERROR(__xludf.DUMMYFUNCTION("IF(AND(Q901="""", R901=""""),
  """",
  IF(OR(ISBLANK(Q901), ISBLANK(O901)),
    """",
    IF(VALUE(SUBSTITUTE(INDEX(SPLIT(IF(ISBLANK(R901), Q901, R901), "",""), 0, 1), "" Km"", """")) - O901 = 0,
      """",
      VALUE(SUBSTITUTE(INDEX(SPLIT(IF(ISBLANK("&amp;"R901), Q901, R901), "",""), 0, 1), "" Km"", """")) - O901
    )
  )
)"),-12802.0)</f>
        <v>-12802</v>
      </c>
      <c r="Q901" s="36" t="str">
        <f t="shared" si="4"/>
        <v>5 500 Km, 16.12.2024</v>
      </c>
      <c r="R901" s="33"/>
      <c r="S901" s="40">
        <v>200.0</v>
      </c>
      <c r="T901" s="25">
        <v>3.0</v>
      </c>
      <c r="U901" s="71" t="s">
        <v>1595</v>
      </c>
      <c r="V901" s="25"/>
      <c r="W901" s="37" t="str">
        <f t="shared" si="46"/>
        <v>Завершена</v>
      </c>
      <c r="X901" s="25" t="str">
        <f>IFERROR(__xludf.DUMMYFUNCTION("IF(C901 = """", """", IF(REGEXMATCH(C901, ""PCX|NMAX|ADV 150|CLICK""), ""скутер"", ""мото""))"),"мото")</f>
        <v>мото</v>
      </c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</row>
    <row r="902" hidden="1">
      <c r="A902" s="13" t="s">
        <v>24</v>
      </c>
      <c r="B902" s="13" t="s">
        <v>25</v>
      </c>
      <c r="C902" s="14" t="s">
        <v>56</v>
      </c>
      <c r="D902" s="14" t="s">
        <v>760</v>
      </c>
      <c r="E902" s="48">
        <v>45644.0</v>
      </c>
      <c r="F902" s="38">
        <v>45649.458333333336</v>
      </c>
      <c r="G902" s="17" t="str">
        <f t="shared" si="61"/>
        <v>5 Д</v>
      </c>
      <c r="H902" s="18">
        <f t="shared" si="58"/>
        <v>404</v>
      </c>
      <c r="I902" s="19" t="str">
        <f t="shared" si="39"/>
        <v/>
      </c>
      <c r="J902" s="20" t="str">
        <f t="shared" si="25"/>
        <v/>
      </c>
      <c r="K902" s="23">
        <v>2020.0</v>
      </c>
      <c r="L902" s="20"/>
      <c r="M902" s="23">
        <v>404.0</v>
      </c>
      <c r="N902" s="21"/>
      <c r="O902" s="22">
        <f>IFERROR(__xludf.DUMMYFUNCTION("IFERROR(
  VLOOKUP(C902,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C902
    ), 
    7, FALSE
  ), 
  """"
)
"),36400.0)</f>
        <v>36400</v>
      </c>
      <c r="P902" s="22">
        <f>IFERROR(__xludf.DUMMYFUNCTION("IF(AND(Q902="""", R902=""""),
  """",
  IF(OR(ISBLANK(Q902), ISBLANK(O902)),
    """",
    IF(VALUE(SUBSTITUTE(INDEX(SPLIT(IF(ISBLANK(R902), Q902, R902), "",""), 0, 1), "" Km"", """")) - O902 = 0,
      """",
      VALUE(SUBSTITUTE(INDEX(SPLIT(IF(ISBLANK("&amp;"R902), Q902, R902), "",""), 0, 1), "" Km"", """")) - O902
    )
  )
)"),-36400.0)</f>
        <v>-36400</v>
      </c>
      <c r="Q902" s="23" t="str">
        <f t="shared" si="4"/>
        <v>0 Km, 18.12.2024</v>
      </c>
      <c r="R902" s="20"/>
      <c r="S902" s="41">
        <v>3000.0</v>
      </c>
      <c r="T902" s="13">
        <v>2.0</v>
      </c>
      <c r="U902" s="13" t="s">
        <v>1051</v>
      </c>
      <c r="V902" s="24"/>
      <c r="W902" s="24" t="str">
        <f t="shared" si="46"/>
        <v>Завершена</v>
      </c>
      <c r="X902" s="13" t="str">
        <f>IFERROR(__xludf.DUMMYFUNCTION("IF(C902 = """", """", IF(REGEXMATCH(C902, ""PCX|NMAX|ADV 150|CLICK""), ""скутер"", ""мото""))"),"скутер")</f>
        <v>скутер</v>
      </c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</row>
    <row r="903" hidden="1">
      <c r="A903" s="25" t="s">
        <v>24</v>
      </c>
      <c r="B903" s="25" t="s">
        <v>25</v>
      </c>
      <c r="C903" s="27" t="s">
        <v>114</v>
      </c>
      <c r="D903" s="27" t="s">
        <v>1596</v>
      </c>
      <c r="E903" s="43">
        <v>45645.0</v>
      </c>
      <c r="F903" s="39">
        <v>45694.708333333336</v>
      </c>
      <c r="G903" s="30" t="str">
        <f t="shared" si="61"/>
        <v>49 Д</v>
      </c>
      <c r="H903" s="31">
        <f t="shared" si="58"/>
        <v>263.3333333</v>
      </c>
      <c r="I903" s="32" t="str">
        <f t="shared" si="39"/>
        <v/>
      </c>
      <c r="J903" s="33" t="str">
        <f t="shared" si="25"/>
        <v/>
      </c>
      <c r="K903" s="36">
        <f>7900+263*12+1686</f>
        <v>12742</v>
      </c>
      <c r="L903" s="36">
        <v>7900.0</v>
      </c>
      <c r="M903" s="33"/>
      <c r="N903" s="44">
        <v>23376.0</v>
      </c>
      <c r="O903" s="35">
        <f>IFERROR(__xludf.DUMMYFUNCTION("IFERROR(
  VLOOKUP(C903,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C903
    ), 
    7, FALSE
  ), 
  """"
)
"),31800.0)</f>
        <v>31800</v>
      </c>
      <c r="P903" s="35">
        <f>IFERROR(__xludf.DUMMYFUNCTION("IF(AND(Q903="""", R903=""""),
  """",
  IF(OR(ISBLANK(Q903), ISBLANK(O903)),
    """",
    IF(VALUE(SUBSTITUTE(INDEX(SPLIT(IF(ISBLANK(R903), Q903, R903), "",""), 0, 1), "" Km"", """")) - O903 = 0,
      """",
      VALUE(SUBSTITUTE(INDEX(SPLIT(IF(ISBLANK("&amp;"R903), Q903, R903), "",""), 0, 1), "" Km"", """")) - O903
    )
  )
)"),-8424.0)</f>
        <v>-8424</v>
      </c>
      <c r="Q903" s="36" t="str">
        <f t="shared" si="4"/>
        <v>23 376 Km, 19.12.2024</v>
      </c>
      <c r="R903" s="33"/>
      <c r="S903" s="40">
        <v>3000.0</v>
      </c>
      <c r="T903" s="25">
        <v>2.0</v>
      </c>
      <c r="U903" s="25" t="s">
        <v>1597</v>
      </c>
      <c r="V903" s="37"/>
      <c r="W903" s="37" t="str">
        <f t="shared" si="46"/>
        <v>Завершена</v>
      </c>
      <c r="X903" s="25" t="str">
        <f>IFERROR(__xludf.DUMMYFUNCTION("IF(C903 = """", """", IF(REGEXMATCH(C903, ""PCX|NMAX|ADV 150|CLICK""), ""скутер"", ""мото""))"),"скутер")</f>
        <v>скутер</v>
      </c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</row>
    <row r="904" hidden="1">
      <c r="A904" s="13" t="s">
        <v>24</v>
      </c>
      <c r="B904" s="13" t="s">
        <v>25</v>
      </c>
      <c r="C904" s="14" t="s">
        <v>155</v>
      </c>
      <c r="D904" s="14" t="s">
        <v>633</v>
      </c>
      <c r="E904" s="48">
        <v>45646.0</v>
      </c>
      <c r="F904" s="38">
        <v>45652.708333333336</v>
      </c>
      <c r="G904" s="17" t="str">
        <f t="shared" si="61"/>
        <v>6 Д</v>
      </c>
      <c r="H904" s="18">
        <f t="shared" si="58"/>
        <v>751</v>
      </c>
      <c r="I904" s="19" t="str">
        <f t="shared" si="39"/>
        <v/>
      </c>
      <c r="J904" s="20" t="str">
        <f t="shared" si="25"/>
        <v/>
      </c>
      <c r="K904" s="23">
        <v>4506.0</v>
      </c>
      <c r="L904" s="20"/>
      <c r="M904" s="23">
        <v>751.0</v>
      </c>
      <c r="N904" s="49">
        <v>17100.0</v>
      </c>
      <c r="O904" s="22" t="str">
        <f>IFERROR(__xludf.DUMMYFUNCTION("IFERROR(
  VLOOKUP(C904,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C904
    ), 
    7, FALSE
  ), 
  """"
)
"),"")</f>
        <v/>
      </c>
      <c r="P904" s="22">
        <f>IFERROR(__xludf.DUMMYFUNCTION("IF(AND(Q904="""", R904=""""),
  """",
  IF(OR(ISBLANK(Q904), ISBLANK(O904)),
    """",
    IF(VALUE(SUBSTITUTE(INDEX(SPLIT(IF(ISBLANK(R904), Q904, R904), "",""), 0, 1), "" Km"", """")) - O904 = 0,
      """",
      VALUE(SUBSTITUTE(INDEX(SPLIT(IF(ISBLANK("&amp;"R904), Q904, R904), "",""), 0, 1), "" Km"", """")) - O904
    )
  )
)"),17100.0)</f>
        <v>17100</v>
      </c>
      <c r="Q904" s="23" t="str">
        <f t="shared" si="4"/>
        <v>17 100 Km, 20.12.2024</v>
      </c>
      <c r="R904" s="20"/>
      <c r="S904" s="41">
        <v>5000.0</v>
      </c>
      <c r="T904" s="13">
        <v>0.0</v>
      </c>
      <c r="U904" s="13" t="s">
        <v>1598</v>
      </c>
      <c r="V904" s="24"/>
      <c r="W904" s="24" t="str">
        <f t="shared" si="46"/>
        <v>Завершена</v>
      </c>
      <c r="X904" s="13" t="str">
        <f>IFERROR(__xludf.DUMMYFUNCTION("IF(C904 = """", """", IF(REGEXMATCH(C904, ""PCX|NMAX|ADV 150|CLICK""), ""скутер"", ""мото""))"),"мото")</f>
        <v>мото</v>
      </c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</row>
    <row r="905" hidden="1">
      <c r="A905" s="25" t="s">
        <v>24</v>
      </c>
      <c r="B905" s="25" t="s">
        <v>25</v>
      </c>
      <c r="C905" s="27" t="s">
        <v>960</v>
      </c>
      <c r="D905" s="27" t="s">
        <v>747</v>
      </c>
      <c r="E905" s="43">
        <v>45646.0</v>
      </c>
      <c r="F905" s="39">
        <v>45672.625</v>
      </c>
      <c r="G905" s="30" t="str">
        <f t="shared" si="61"/>
        <v>26 Д</v>
      </c>
      <c r="H905" s="31">
        <f t="shared" si="58"/>
        <v>576.9230769</v>
      </c>
      <c r="I905" s="32" t="str">
        <f t="shared" si="39"/>
        <v/>
      </c>
      <c r="J905" s="33" t="str">
        <f t="shared" si="25"/>
        <v/>
      </c>
      <c r="K905" s="36">
        <v>15500.0</v>
      </c>
      <c r="L905" s="33"/>
      <c r="M905" s="36">
        <f>15000/26</f>
        <v>576.9230769</v>
      </c>
      <c r="N905" s="44">
        <v>3300.0</v>
      </c>
      <c r="O905" s="35">
        <f>IFERROR(__xludf.DUMMYFUNCTION("IFERROR(
  VLOOKUP(C905,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C905
    ), 
    7, FALSE
  ), 
  """"
)
"),20316.0)</f>
        <v>20316</v>
      </c>
      <c r="P905" s="35">
        <f>IFERROR(__xludf.DUMMYFUNCTION("IF(AND(Q905="""", R905=""""),
  """",
  IF(OR(ISBLANK(Q905), ISBLANK(O905)),
    """",
    IF(VALUE(SUBSTITUTE(INDEX(SPLIT(IF(ISBLANK(R905), Q905, R905), "",""), 0, 1), "" Km"", """")) - O905 = 0,
      """",
      VALUE(SUBSTITUTE(INDEX(SPLIT(IF(ISBLANK("&amp;"R905), Q905, R905), "",""), 0, 1), "" Km"", """")) - O905
    )
  )
)"),-17016.0)</f>
        <v>-17016</v>
      </c>
      <c r="Q905" s="36" t="str">
        <f t="shared" si="4"/>
        <v>3 300 Km, 20.12.2024</v>
      </c>
      <c r="R905" s="33"/>
      <c r="S905" s="40">
        <v>0.0</v>
      </c>
      <c r="T905" s="25">
        <v>0.0</v>
      </c>
      <c r="U905" s="25" t="s">
        <v>516</v>
      </c>
      <c r="V905" s="37"/>
      <c r="W905" s="37" t="str">
        <f t="shared" si="46"/>
        <v>Завершена</v>
      </c>
      <c r="X905" s="25" t="str">
        <f>IFERROR(__xludf.DUMMYFUNCTION("IF(C905 = """", """", IF(REGEXMATCH(C905, ""PCX|NMAX|ADV 150|CLICK""), ""скутер"", ""мото""))"),"мото")</f>
        <v>мото</v>
      </c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</row>
    <row r="906" hidden="1">
      <c r="A906" s="13" t="s">
        <v>24</v>
      </c>
      <c r="B906" s="13" t="s">
        <v>25</v>
      </c>
      <c r="C906" s="14" t="s">
        <v>48</v>
      </c>
      <c r="D906" s="14" t="s">
        <v>1599</v>
      </c>
      <c r="E906" s="48">
        <v>45647.0</v>
      </c>
      <c r="F906" s="38">
        <v>45658.458333333336</v>
      </c>
      <c r="G906" s="17" t="str">
        <f t="shared" si="61"/>
        <v>11 Д</v>
      </c>
      <c r="H906" s="18">
        <f t="shared" si="58"/>
        <v>401</v>
      </c>
      <c r="I906" s="19" t="str">
        <f t="shared" si="39"/>
        <v/>
      </c>
      <c r="J906" s="20" t="str">
        <f t="shared" si="25"/>
        <v/>
      </c>
      <c r="K906" s="23">
        <v>4410.0</v>
      </c>
      <c r="L906" s="20"/>
      <c r="M906" s="23">
        <v>401.0</v>
      </c>
      <c r="N906" s="49">
        <v>27400.0</v>
      </c>
      <c r="O906" s="22">
        <f>IFERROR(__xludf.DUMMYFUNCTION("IFERROR(
  VLOOKUP(C906,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C906
    ), 
    7, FALSE
  ), 
  """"
)
"),35800.0)</f>
        <v>35800</v>
      </c>
      <c r="P906" s="22">
        <f>IFERROR(__xludf.DUMMYFUNCTION("IF(AND(Q906="""", R906=""""),
  """",
  IF(OR(ISBLANK(Q906), ISBLANK(O906)),
    """",
    IF(VALUE(SUBSTITUTE(INDEX(SPLIT(IF(ISBLANK(R906), Q906, R906), "",""), 0, 1), "" Km"", """")) - O906 = 0,
      """",
      VALUE(SUBSTITUTE(INDEX(SPLIT(IF(ISBLANK("&amp;"R906), Q906, R906), "",""), 0, 1), "" Km"", """")) - O906
    )
  )
)"),-8400.0)</f>
        <v>-8400</v>
      </c>
      <c r="Q906" s="23" t="str">
        <f t="shared" si="4"/>
        <v>27 400 Km, 21.12.2024</v>
      </c>
      <c r="R906" s="20"/>
      <c r="S906" s="41">
        <v>3000.0</v>
      </c>
      <c r="T906" s="13">
        <v>2.0</v>
      </c>
      <c r="U906" s="13" t="s">
        <v>1600</v>
      </c>
      <c r="V906" s="24"/>
      <c r="W906" s="24" t="str">
        <f t="shared" si="46"/>
        <v>Завершена</v>
      </c>
      <c r="X906" s="13" t="str">
        <f>IFERROR(__xludf.DUMMYFUNCTION("IF(C906 = """", """", IF(REGEXMATCH(C906, ""PCX|NMAX|ADV 150|CLICK""), ""скутер"", ""мото""))"),"скутер")</f>
        <v>скутер</v>
      </c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</row>
    <row r="907" hidden="1">
      <c r="A907" s="25" t="s">
        <v>24</v>
      </c>
      <c r="B907" s="25" t="s">
        <v>25</v>
      </c>
      <c r="C907" s="27" t="s">
        <v>971</v>
      </c>
      <c r="D907" s="27" t="s">
        <v>1601</v>
      </c>
      <c r="E907" s="43">
        <v>45647.0</v>
      </c>
      <c r="F907" s="39">
        <v>45661.458333333336</v>
      </c>
      <c r="G907" s="30" t="str">
        <f t="shared" si="61"/>
        <v>14 Д</v>
      </c>
      <c r="H907" s="31">
        <f t="shared" si="58"/>
        <v>798</v>
      </c>
      <c r="I907" s="32" t="str">
        <f t="shared" si="39"/>
        <v/>
      </c>
      <c r="J907" s="33" t="str">
        <f t="shared" si="25"/>
        <v/>
      </c>
      <c r="K907" s="36">
        <v>11172.0</v>
      </c>
      <c r="L907" s="33"/>
      <c r="M907" s="36">
        <v>798.0</v>
      </c>
      <c r="N907" s="44">
        <v>10000.0</v>
      </c>
      <c r="O907" s="35">
        <f>IFERROR(__xludf.DUMMYFUNCTION("IFERROR(
  VLOOKUP(C907,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C907
    ), 
    7, FALSE
  ), 
  """"
)
"),18300.0)</f>
        <v>18300</v>
      </c>
      <c r="P907" s="35">
        <f>IFERROR(__xludf.DUMMYFUNCTION("IF(AND(Q907="""", R907=""""),
  """",
  IF(OR(ISBLANK(Q907), ISBLANK(O907)),
    """",
    IF(VALUE(SUBSTITUTE(INDEX(SPLIT(IF(ISBLANK(R907), Q907, R907), "",""), 0, 1), "" Km"", """")) - O907 = 0,
      """",
      VALUE(SUBSTITUTE(INDEX(SPLIT(IF(ISBLANK("&amp;"R907), Q907, R907), "",""), 0, 1), "" Km"", """")) - O907
    )
  )
)"),-8300.0)</f>
        <v>-8300</v>
      </c>
      <c r="Q907" s="36" t="str">
        <f t="shared" si="4"/>
        <v>10 000 Km, 21.12.2024</v>
      </c>
      <c r="R907" s="33"/>
      <c r="S907" s="40">
        <v>7000.0</v>
      </c>
      <c r="T907" s="25">
        <v>2.0</v>
      </c>
      <c r="U907" s="25" t="s">
        <v>1602</v>
      </c>
      <c r="V907" s="37"/>
      <c r="W907" s="37" t="str">
        <f t="shared" si="46"/>
        <v>Завершена</v>
      </c>
      <c r="X907" s="25" t="str">
        <f>IFERROR(__xludf.DUMMYFUNCTION("IF(C907 = """", """", IF(REGEXMATCH(C907, ""PCX|NMAX|ADV 150|CLICK""), ""скутер"", ""мото""))"),"мото")</f>
        <v>мото</v>
      </c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</row>
    <row r="908" hidden="1">
      <c r="A908" s="13" t="s">
        <v>24</v>
      </c>
      <c r="B908" s="13" t="s">
        <v>25</v>
      </c>
      <c r="C908" s="14" t="s">
        <v>928</v>
      </c>
      <c r="D908" s="14" t="s">
        <v>1603</v>
      </c>
      <c r="E908" s="48">
        <v>45647.0</v>
      </c>
      <c r="F908" s="38">
        <v>45661.458333333336</v>
      </c>
      <c r="G908" s="17" t="str">
        <f t="shared" si="61"/>
        <v>14 Д</v>
      </c>
      <c r="H908" s="18">
        <f t="shared" si="58"/>
        <v>798</v>
      </c>
      <c r="I908" s="19" t="str">
        <f t="shared" si="39"/>
        <v/>
      </c>
      <c r="J908" s="20" t="str">
        <f t="shared" si="25"/>
        <v/>
      </c>
      <c r="K908" s="23">
        <v>11174.0</v>
      </c>
      <c r="L908" s="20"/>
      <c r="M908" s="23">
        <v>798.0</v>
      </c>
      <c r="N908" s="49">
        <v>3300.0</v>
      </c>
      <c r="O908" s="22">
        <f>IFERROR(__xludf.DUMMYFUNCTION("IFERROR(
  VLOOKUP(C908,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C908
    ), 
    7, FALSE
  ), 
  """"
)
"),11000.0)</f>
        <v>11000</v>
      </c>
      <c r="P908" s="22">
        <f>IFERROR(__xludf.DUMMYFUNCTION("IF(AND(Q908="""", R908=""""),
  """",
  IF(OR(ISBLANK(Q908), ISBLANK(O908)),
    """",
    IF(VALUE(SUBSTITUTE(INDEX(SPLIT(IF(ISBLANK(R908), Q908, R908), "",""), 0, 1), "" Km"", """")) - O908 = 0,
      """",
      VALUE(SUBSTITUTE(INDEX(SPLIT(IF(ISBLANK("&amp;"R908), Q908, R908), "",""), 0, 1), "" Km"", """")) - O908
    )
  )
)"),-7700.0)</f>
        <v>-7700</v>
      </c>
      <c r="Q908" s="23" t="str">
        <f t="shared" si="4"/>
        <v>3 300 Km, 21.12.2024</v>
      </c>
      <c r="R908" s="20"/>
      <c r="S908" s="41">
        <v>7000.0</v>
      </c>
      <c r="T908" s="13">
        <v>2.0</v>
      </c>
      <c r="U908" s="13" t="s">
        <v>1604</v>
      </c>
      <c r="V908" s="24"/>
      <c r="W908" s="24" t="str">
        <f t="shared" si="46"/>
        <v>Завершена</v>
      </c>
      <c r="X908" s="13" t="str">
        <f>IFERROR(__xludf.DUMMYFUNCTION("IF(C908 = """", """", IF(REGEXMATCH(C908, ""PCX|NMAX|ADV 150|CLICK""), ""скутер"", ""мото""))"),"мото")</f>
        <v>мото</v>
      </c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</row>
    <row r="909" hidden="1">
      <c r="A909" s="25" t="s">
        <v>24</v>
      </c>
      <c r="B909" s="25" t="s">
        <v>25</v>
      </c>
      <c r="C909" s="27" t="s">
        <v>151</v>
      </c>
      <c r="D909" s="27" t="s">
        <v>1603</v>
      </c>
      <c r="E909" s="43">
        <v>45647.0</v>
      </c>
      <c r="F909" s="39">
        <v>45673.458333333336</v>
      </c>
      <c r="G909" s="30" t="str">
        <f t="shared" si="61"/>
        <v>26 Д</v>
      </c>
      <c r="H909" s="31">
        <f t="shared" si="58"/>
        <v>382</v>
      </c>
      <c r="I909" s="32" t="str">
        <f t="shared" si="39"/>
        <v/>
      </c>
      <c r="J909" s="33" t="str">
        <f t="shared" si="25"/>
        <v/>
      </c>
      <c r="K909" s="36">
        <f>5348+382*12</f>
        <v>9932</v>
      </c>
      <c r="L909" s="33"/>
      <c r="M909" s="36">
        <v>382.0</v>
      </c>
      <c r="N909" s="44">
        <v>27700.0</v>
      </c>
      <c r="O909" s="35">
        <f>IFERROR(__xludf.DUMMYFUNCTION("IFERROR(
  VLOOKUP(C909,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C909
    ), 
    7, FALSE
  ), 
  """"
)
"),35800.0)</f>
        <v>35800</v>
      </c>
      <c r="P909" s="35">
        <f>IFERROR(__xludf.DUMMYFUNCTION("IF(AND(Q909="""", R909=""""),
  """",
  IF(OR(ISBLANK(Q909), ISBLANK(O909)),
    """",
    IF(VALUE(SUBSTITUTE(INDEX(SPLIT(IF(ISBLANK(R909), Q909, R909), "",""), 0, 1), "" Km"", """")) - O909 = 0,
      """",
      VALUE(SUBSTITUTE(INDEX(SPLIT(IF(ISBLANK("&amp;"R909), Q909, R909), "",""), 0, 1), "" Km"", """")) - O909
    )
  )
)"),-8100.0)</f>
        <v>-8100</v>
      </c>
      <c r="Q909" s="36" t="str">
        <f t="shared" si="4"/>
        <v>27 700 Km, 21.12.2024</v>
      </c>
      <c r="R909" s="33"/>
      <c r="S909" s="40">
        <v>3000.0</v>
      </c>
      <c r="T909" s="25">
        <v>0.0</v>
      </c>
      <c r="U909" s="25" t="s">
        <v>1604</v>
      </c>
      <c r="V909" s="37"/>
      <c r="W909" s="37" t="str">
        <f t="shared" si="46"/>
        <v>Завершена</v>
      </c>
      <c r="X909" s="25" t="str">
        <f>IFERROR(__xludf.DUMMYFUNCTION("IF(C909 = """", """", IF(REGEXMATCH(C909, ""PCX|NMAX|ADV 150|CLICK""), ""скутер"", ""мото""))"),"скутер")</f>
        <v>скутер</v>
      </c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</row>
    <row r="910" hidden="1">
      <c r="A910" s="13" t="s">
        <v>24</v>
      </c>
      <c r="B910" s="13" t="s">
        <v>25</v>
      </c>
      <c r="C910" s="14" t="s">
        <v>77</v>
      </c>
      <c r="D910" s="14" t="s">
        <v>1605</v>
      </c>
      <c r="E910" s="48">
        <v>45647.0</v>
      </c>
      <c r="F910" s="38">
        <v>45671.541666666664</v>
      </c>
      <c r="G910" s="17" t="str">
        <f t="shared" si="61"/>
        <v>24 Д</v>
      </c>
      <c r="H910" s="18">
        <f t="shared" si="58"/>
        <v>358</v>
      </c>
      <c r="I910" s="19" t="str">
        <f t="shared" si="39"/>
        <v/>
      </c>
      <c r="J910" s="20" t="str">
        <f t="shared" si="25"/>
        <v/>
      </c>
      <c r="K910" s="23">
        <v>8592.0</v>
      </c>
      <c r="L910" s="20"/>
      <c r="M910" s="23">
        <v>358.0</v>
      </c>
      <c r="N910" s="49">
        <v>28500.0</v>
      </c>
      <c r="O910" s="22">
        <f>IFERROR(__xludf.DUMMYFUNCTION("IFERROR(
  VLOOKUP(C910,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C910
    ), 
    7, FALSE
  ), 
  """"
)
"),37300.0)</f>
        <v>37300</v>
      </c>
      <c r="P910" s="22">
        <f>IFERROR(__xludf.DUMMYFUNCTION("IF(AND(Q910="""", R910=""""),
  """",
  IF(OR(ISBLANK(Q910), ISBLANK(O910)),
    """",
    IF(VALUE(SUBSTITUTE(INDEX(SPLIT(IF(ISBLANK(R910), Q910, R910), "",""), 0, 1), "" Km"", """")) - O910 = 0,
      """",
      VALUE(SUBSTITUTE(INDEX(SPLIT(IF(ISBLANK("&amp;"R910), Q910, R910), "",""), 0, 1), "" Km"", """")) - O910
    )
  )
)"),-8800.0)</f>
        <v>-8800</v>
      </c>
      <c r="Q910" s="23" t="str">
        <f t="shared" si="4"/>
        <v>28 500 Km, 21.12.2024</v>
      </c>
      <c r="R910" s="20"/>
      <c r="S910" s="18"/>
      <c r="T910" s="13">
        <v>2.0</v>
      </c>
      <c r="U910" s="13" t="s">
        <v>516</v>
      </c>
      <c r="V910" s="24"/>
      <c r="W910" s="24" t="str">
        <f t="shared" si="46"/>
        <v>Завершена</v>
      </c>
      <c r="X910" s="13" t="str">
        <f>IFERROR(__xludf.DUMMYFUNCTION("IF(C910 = """", """", IF(REGEXMATCH(C910, ""PCX|NMAX|ADV 150|CLICK""), ""скутер"", ""мото""))"),"скутер")</f>
        <v>скутер</v>
      </c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</row>
    <row r="911" hidden="1">
      <c r="A911" s="25" t="s">
        <v>24</v>
      </c>
      <c r="B911" s="25" t="s">
        <v>25</v>
      </c>
      <c r="C911" s="27" t="s">
        <v>113</v>
      </c>
      <c r="D911" s="27" t="s">
        <v>1606</v>
      </c>
      <c r="E911" s="43">
        <v>45647.0</v>
      </c>
      <c r="F911" s="39">
        <v>45682.791666666664</v>
      </c>
      <c r="G911" s="30" t="str">
        <f t="shared" si="61"/>
        <v>35 Д</v>
      </c>
      <c r="H911" s="31">
        <f t="shared" si="58"/>
        <v>477.5666667</v>
      </c>
      <c r="I911" s="32" t="str">
        <f t="shared" si="39"/>
        <v/>
      </c>
      <c r="J911" s="33" t="str">
        <f t="shared" si="25"/>
        <v/>
      </c>
      <c r="K911" s="36">
        <f>14327+1400</f>
        <v>15727</v>
      </c>
      <c r="L911" s="36">
        <v>14327.0</v>
      </c>
      <c r="M911" s="33"/>
      <c r="N911" s="44">
        <v>36600.0</v>
      </c>
      <c r="O911" s="35" t="str">
        <f>IFERROR(__xludf.DUMMYFUNCTION("IFERROR(
  VLOOKUP(C911,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C911
    ), 
    7, FALSE
  ), 
  """"
)
"),"")</f>
        <v/>
      </c>
      <c r="P911" s="35">
        <f>IFERROR(__xludf.DUMMYFUNCTION("IF(AND(Q911="""", R911=""""),
  """",
  IF(OR(ISBLANK(Q911), ISBLANK(O911)),
    """",
    IF(VALUE(SUBSTITUTE(INDEX(SPLIT(IF(ISBLANK(R911), Q911, R911), "",""), 0, 1), "" Km"", """")) - O911 = 0,
      """",
      VALUE(SUBSTITUTE(INDEX(SPLIT(IF(ISBLANK("&amp;"R911), Q911, R911), "",""), 0, 1), "" Km"", """")) - O911
    )
  )
)"),36600.0)</f>
        <v>36600</v>
      </c>
      <c r="Q911" s="36" t="str">
        <f t="shared" si="4"/>
        <v>36 600 Km, 21.12.2024</v>
      </c>
      <c r="R911" s="33"/>
      <c r="S911" s="40">
        <v>5000.0</v>
      </c>
      <c r="T911" s="25">
        <v>2.0</v>
      </c>
      <c r="U911" s="71" t="s">
        <v>1607</v>
      </c>
      <c r="V911" s="37"/>
      <c r="W911" s="37" t="str">
        <f t="shared" si="46"/>
        <v>Завершена</v>
      </c>
      <c r="X911" s="25" t="str">
        <f>IFERROR(__xludf.DUMMYFUNCTION("IF(C911 = """", """", IF(REGEXMATCH(C911, ""PCX|NMAX|ADV 150|CLICK""), ""скутер"", ""мото""))"),"мото")</f>
        <v>мото</v>
      </c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</row>
    <row r="912" hidden="1">
      <c r="A912" s="13" t="s">
        <v>24</v>
      </c>
      <c r="B912" s="13" t="s">
        <v>25</v>
      </c>
      <c r="C912" s="14" t="s">
        <v>64</v>
      </c>
      <c r="D912" s="14" t="s">
        <v>1608</v>
      </c>
      <c r="E912" s="48">
        <v>45648.0</v>
      </c>
      <c r="F912" s="38">
        <v>45663.458333333336</v>
      </c>
      <c r="G912" s="17" t="str">
        <f t="shared" si="61"/>
        <v>15 Д</v>
      </c>
      <c r="H912" s="18">
        <f t="shared" si="58"/>
        <v>662</v>
      </c>
      <c r="I912" s="19" t="str">
        <f t="shared" si="39"/>
        <v/>
      </c>
      <c r="J912" s="20" t="str">
        <f t="shared" si="25"/>
        <v/>
      </c>
      <c r="K912" s="23">
        <v>9930.0</v>
      </c>
      <c r="L912" s="20"/>
      <c r="M912" s="23">
        <v>662.0</v>
      </c>
      <c r="N912" s="49">
        <v>26800.0</v>
      </c>
      <c r="O912" s="22">
        <f>IFERROR(__xludf.DUMMYFUNCTION("IFERROR(
  VLOOKUP(C912,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C912
    ), 
    7, FALSE
  ), 
  """"
)
"),32600.0)</f>
        <v>32600</v>
      </c>
      <c r="P912" s="22">
        <f>IFERROR(__xludf.DUMMYFUNCTION("IF(AND(Q912="""", R912=""""),
  """",
  IF(OR(ISBLANK(Q912), ISBLANK(O912)),
    """",
    IF(VALUE(SUBSTITUTE(INDEX(SPLIT(IF(ISBLANK(R912), Q912, R912), "",""), 0, 1), "" Km"", """")) - O912 = 0,
      """",
      VALUE(SUBSTITUTE(INDEX(SPLIT(IF(ISBLANK("&amp;"R912), Q912, R912), "",""), 0, 1), "" Km"", """")) - O912
    )
  )
)"),-5800.0)</f>
        <v>-5800</v>
      </c>
      <c r="Q912" s="23" t="str">
        <f t="shared" si="4"/>
        <v>26 800 Km, 22.12.2024</v>
      </c>
      <c r="R912" s="20"/>
      <c r="S912" s="41">
        <v>5000.0</v>
      </c>
      <c r="T912" s="13">
        <v>2.0</v>
      </c>
      <c r="U912" s="13" t="s">
        <v>1609</v>
      </c>
      <c r="V912" s="13"/>
      <c r="W912" s="24" t="str">
        <f t="shared" si="46"/>
        <v>Завершена</v>
      </c>
      <c r="X912" s="13" t="str">
        <f>IFERROR(__xludf.DUMMYFUNCTION("IF(C912 = """", """", IF(REGEXMATCH(C912, ""PCX|NMAX|ADV 150|CLICK""), ""скутер"", ""мото""))"),"мото")</f>
        <v>мото</v>
      </c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</row>
    <row r="913" hidden="1">
      <c r="A913" s="25" t="s">
        <v>24</v>
      </c>
      <c r="B913" s="25" t="s">
        <v>25</v>
      </c>
      <c r="C913" s="27" t="s">
        <v>44</v>
      </c>
      <c r="D913" s="27" t="s">
        <v>1608</v>
      </c>
      <c r="E913" s="43">
        <v>45648.0</v>
      </c>
      <c r="F913" s="39">
        <v>45663.458333333336</v>
      </c>
      <c r="G913" s="30" t="str">
        <f t="shared" si="61"/>
        <v>15 Д</v>
      </c>
      <c r="H913" s="31">
        <f t="shared" si="58"/>
        <v>376</v>
      </c>
      <c r="I913" s="32" t="str">
        <f t="shared" si="39"/>
        <v/>
      </c>
      <c r="J913" s="33" t="str">
        <f t="shared" si="25"/>
        <v/>
      </c>
      <c r="K913" s="36">
        <v>5640.0</v>
      </c>
      <c r="L913" s="33"/>
      <c r="M913" s="36">
        <v>376.0</v>
      </c>
      <c r="N913" s="34"/>
      <c r="O913" s="35">
        <f>IFERROR(__xludf.DUMMYFUNCTION("IFERROR(
  VLOOKUP(C913,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C913
    ), 
    7, FALSE
  ), 
  """"
)
"),30800.0)</f>
        <v>30800</v>
      </c>
      <c r="P913" s="35">
        <f>IFERROR(__xludf.DUMMYFUNCTION("IF(AND(Q913="""", R913=""""),
  """",
  IF(OR(ISBLANK(Q913), ISBLANK(O913)),
    """",
    IF(VALUE(SUBSTITUTE(INDEX(SPLIT(IF(ISBLANK(R913), Q913, R913), "",""), 0, 1), "" Km"", """")) - O913 = 0,
      """",
      VALUE(SUBSTITUTE(INDEX(SPLIT(IF(ISBLANK("&amp;"R913), Q913, R913), "",""), 0, 1), "" Km"", """")) - O913
    )
  )
)"),-30800.0)</f>
        <v>-30800</v>
      </c>
      <c r="Q913" s="36" t="str">
        <f t="shared" si="4"/>
        <v>0 Km, 22.12.2024</v>
      </c>
      <c r="R913" s="33"/>
      <c r="S913" s="40">
        <v>3000.0</v>
      </c>
      <c r="T913" s="25">
        <v>2.0</v>
      </c>
      <c r="U913" s="25" t="s">
        <v>1609</v>
      </c>
      <c r="V913" s="25"/>
      <c r="W913" s="37" t="str">
        <f t="shared" si="46"/>
        <v>Завершена</v>
      </c>
      <c r="X913" s="25" t="str">
        <f>IFERROR(__xludf.DUMMYFUNCTION("IF(C913 = """", """", IF(REGEXMATCH(C913, ""PCX|NMAX|ADV 150|CLICK""), ""скутер"", ""мото""))"),"скутер")</f>
        <v>скутер</v>
      </c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</row>
    <row r="914" hidden="1">
      <c r="A914" s="13" t="s">
        <v>24</v>
      </c>
      <c r="B914" s="13" t="s">
        <v>25</v>
      </c>
      <c r="C914" s="14" t="s">
        <v>202</v>
      </c>
      <c r="D914" s="14" t="s">
        <v>1610</v>
      </c>
      <c r="E914" s="48">
        <v>45649.0</v>
      </c>
      <c r="F914" s="38">
        <v>45653.791666666664</v>
      </c>
      <c r="G914" s="17" t="str">
        <f t="shared" si="61"/>
        <v>4 Д</v>
      </c>
      <c r="H914" s="18">
        <f t="shared" si="58"/>
        <v>715</v>
      </c>
      <c r="I914" s="19" t="str">
        <f t="shared" si="39"/>
        <v/>
      </c>
      <c r="J914" s="20" t="str">
        <f t="shared" si="25"/>
        <v/>
      </c>
      <c r="K914" s="23">
        <f>710*4</f>
        <v>2840</v>
      </c>
      <c r="L914" s="20"/>
      <c r="M914" s="23">
        <v>715.0</v>
      </c>
      <c r="N914" s="49">
        <v>22000.0</v>
      </c>
      <c r="O914" s="22">
        <f>IFERROR(__xludf.DUMMYFUNCTION("IFERROR(
  VLOOKUP(C914,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C914
    ), 
    7, FALSE
  ), 
  """"
)
"),30225.0)</f>
        <v>30225</v>
      </c>
      <c r="P914" s="22">
        <f>IFERROR(__xludf.DUMMYFUNCTION("IF(AND(Q914="""", R914=""""),
  """",
  IF(OR(ISBLANK(Q914), ISBLANK(O914)),
    """",
    IF(VALUE(SUBSTITUTE(INDEX(SPLIT(IF(ISBLANK(R914), Q914, R914), "",""), 0, 1), "" Km"", """")) - O914 = 0,
      """",
      VALUE(SUBSTITUTE(INDEX(SPLIT(IF(ISBLANK("&amp;"R914), Q914, R914), "",""), 0, 1), "" Km"", """")) - O914
    )
  )
)"),-8225.0)</f>
        <v>-8225</v>
      </c>
      <c r="Q914" s="23" t="str">
        <f t="shared" si="4"/>
        <v>22 000 Km, 23.12.2024</v>
      </c>
      <c r="R914" s="20"/>
      <c r="S914" s="18"/>
      <c r="T914" s="13">
        <v>2.0</v>
      </c>
      <c r="U914" s="13" t="s">
        <v>1611</v>
      </c>
      <c r="V914" s="24"/>
      <c r="W914" s="24" t="str">
        <f t="shared" si="46"/>
        <v>Завершена</v>
      </c>
      <c r="X914" s="13" t="str">
        <f>IFERROR(__xludf.DUMMYFUNCTION("IF(C914 = """", """", IF(REGEXMATCH(C914, ""PCX|NMAX|ADV 150|CLICK""), ""скутер"", ""мото""))"),"мото")</f>
        <v>мото</v>
      </c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</row>
    <row r="915" hidden="1">
      <c r="A915" s="25" t="s">
        <v>24</v>
      </c>
      <c r="B915" s="25" t="s">
        <v>25</v>
      </c>
      <c r="C915" s="27" t="s">
        <v>1028</v>
      </c>
      <c r="D915" s="27" t="s">
        <v>1612</v>
      </c>
      <c r="E915" s="43">
        <v>45650.0</v>
      </c>
      <c r="F915" s="39">
        <v>45656.5</v>
      </c>
      <c r="G915" s="30" t="str">
        <f t="shared" si="61"/>
        <v>6 Д</v>
      </c>
      <c r="H915" s="31">
        <f t="shared" si="58"/>
        <v>610</v>
      </c>
      <c r="I915" s="32" t="str">
        <f t="shared" si="39"/>
        <v/>
      </c>
      <c r="J915" s="33" t="str">
        <f t="shared" si="25"/>
        <v/>
      </c>
      <c r="K915" s="36">
        <v>3660.0</v>
      </c>
      <c r="L915" s="33"/>
      <c r="M915" s="36">
        <v>610.0</v>
      </c>
      <c r="N915" s="44">
        <v>13600.0</v>
      </c>
      <c r="O915" s="35">
        <f>IFERROR(__xludf.DUMMYFUNCTION("IFERROR(
  VLOOKUP(C915,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C915
    ), 
    7, FALSE
  ), 
  """"
)
"),21600.0)</f>
        <v>21600</v>
      </c>
      <c r="P915" s="35">
        <f>IFERROR(__xludf.DUMMYFUNCTION("IF(AND(Q915="""", R915=""""),
  """",
  IF(OR(ISBLANK(Q915), ISBLANK(O915)),
    """",
    IF(VALUE(SUBSTITUTE(INDEX(SPLIT(IF(ISBLANK(R915), Q915, R915), "",""), 0, 1), "" Km"", """")) - O915 = 0,
      """",
      VALUE(SUBSTITUTE(INDEX(SPLIT(IF(ISBLANK("&amp;"R915), Q915, R915), "",""), 0, 1), "" Km"", """")) - O915
    )
  )
)"),-8000.0)</f>
        <v>-8000</v>
      </c>
      <c r="Q915" s="36" t="str">
        <f t="shared" si="4"/>
        <v>13 600 Km, 24.12.2024</v>
      </c>
      <c r="R915" s="33"/>
      <c r="S915" s="40">
        <v>7000.0</v>
      </c>
      <c r="T915" s="25">
        <v>3.0</v>
      </c>
      <c r="U915" s="25" t="s">
        <v>1613</v>
      </c>
      <c r="V915" s="37"/>
      <c r="W915" s="37" t="str">
        <f t="shared" si="46"/>
        <v>Завершена</v>
      </c>
      <c r="X915" s="25" t="str">
        <f>IFERROR(__xludf.DUMMYFUNCTION("IF(C915 = """", """", IF(REGEXMATCH(C915, ""PCX|NMAX|ADV 150|CLICK""), ""скутер"", ""мото""))"),"мото")</f>
        <v>мото</v>
      </c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</row>
    <row r="916" hidden="1">
      <c r="A916" s="13" t="s">
        <v>24</v>
      </c>
      <c r="B916" s="13" t="s">
        <v>25</v>
      </c>
      <c r="C916" s="14" t="s">
        <v>56</v>
      </c>
      <c r="D916" s="14" t="s">
        <v>1614</v>
      </c>
      <c r="E916" s="48">
        <v>45651.0</v>
      </c>
      <c r="F916" s="38">
        <v>45658.625</v>
      </c>
      <c r="G916" s="17" t="str">
        <f t="shared" si="61"/>
        <v>7 Д</v>
      </c>
      <c r="H916" s="18">
        <f t="shared" si="58"/>
        <v>384</v>
      </c>
      <c r="I916" s="19" t="str">
        <f t="shared" si="39"/>
        <v/>
      </c>
      <c r="J916" s="20" t="str">
        <f t="shared" si="25"/>
        <v/>
      </c>
      <c r="K916" s="23">
        <f>384*7</f>
        <v>2688</v>
      </c>
      <c r="L916" s="20"/>
      <c r="M916" s="23">
        <v>384.0</v>
      </c>
      <c r="N916" s="21"/>
      <c r="O916" s="22">
        <f>IFERROR(__xludf.DUMMYFUNCTION("IFERROR(
  VLOOKUP(C916,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C916
    ), 
    7, FALSE
  ), 
  """"
)
"),36400.0)</f>
        <v>36400</v>
      </c>
      <c r="P916" s="22">
        <f>IFERROR(__xludf.DUMMYFUNCTION("IF(AND(Q916="""", R916=""""),
  """",
  IF(OR(ISBLANK(Q916), ISBLANK(O916)),
    """",
    IF(VALUE(SUBSTITUTE(INDEX(SPLIT(IF(ISBLANK(R916), Q916, R916), "",""), 0, 1), "" Km"", """")) - O916 = 0,
      """",
      VALUE(SUBSTITUTE(INDEX(SPLIT(IF(ISBLANK("&amp;"R916), Q916, R916), "",""), 0, 1), "" Km"", """")) - O916
    )
  )
)"),-36400.0)</f>
        <v>-36400</v>
      </c>
      <c r="Q916" s="23" t="str">
        <f t="shared" si="4"/>
        <v>0 Km, 25.12.2024</v>
      </c>
      <c r="R916" s="20"/>
      <c r="S916" s="41">
        <v>0.0</v>
      </c>
      <c r="T916" s="13">
        <v>2.0</v>
      </c>
      <c r="U916" s="13" t="s">
        <v>1615</v>
      </c>
      <c r="V916" s="24"/>
      <c r="W916" s="24" t="str">
        <f t="shared" si="46"/>
        <v>Завершена</v>
      </c>
      <c r="X916" s="13" t="str">
        <f>IFERROR(__xludf.DUMMYFUNCTION("IF(C916 = """", """", IF(REGEXMATCH(C916, ""PCX|NMAX|ADV 150|CLICK""), ""скутер"", ""мото""))"),"скутер")</f>
        <v>скутер</v>
      </c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</row>
    <row r="917" hidden="1">
      <c r="A917" s="25" t="s">
        <v>24</v>
      </c>
      <c r="B917" s="25" t="s">
        <v>25</v>
      </c>
      <c r="C917" s="27" t="s">
        <v>92</v>
      </c>
      <c r="D917" s="27" t="s">
        <v>1616</v>
      </c>
      <c r="E917" s="43">
        <v>45651.0</v>
      </c>
      <c r="F917" s="39">
        <v>45674.666666666664</v>
      </c>
      <c r="G917" s="30" t="str">
        <f t="shared" si="61"/>
        <v>23 Д</v>
      </c>
      <c r="H917" s="31">
        <f t="shared" si="58"/>
        <v>593</v>
      </c>
      <c r="I917" s="32" t="str">
        <f t="shared" si="39"/>
        <v/>
      </c>
      <c r="J917" s="33" t="str">
        <f t="shared" si="25"/>
        <v/>
      </c>
      <c r="K917" s="36">
        <v>10081.0</v>
      </c>
      <c r="L917" s="33"/>
      <c r="M917" s="36">
        <v>593.0</v>
      </c>
      <c r="N917" s="44">
        <v>29000.0</v>
      </c>
      <c r="O917" s="35">
        <f>IFERROR(__xludf.DUMMYFUNCTION("IFERROR(
  VLOOKUP(C917,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C917
    ), 
    7, FALSE
  ), 
  """"
)
"),23500.0)</f>
        <v>23500</v>
      </c>
      <c r="P917" s="35">
        <f>IFERROR(__xludf.DUMMYFUNCTION("IF(AND(Q917="""", R917=""""),
  """",
  IF(OR(ISBLANK(Q917), ISBLANK(O917)),
    """",
    IF(VALUE(SUBSTITUTE(INDEX(SPLIT(IF(ISBLANK(R917), Q917, R917), "",""), 0, 1), "" Km"", """")) - O917 = 0,
      """",
      VALUE(SUBSTITUTE(INDEX(SPLIT(IF(ISBLANK("&amp;"R917), Q917, R917), "",""), 0, 1), "" Km"", """")) - O917
    )
  )
)"),5500.0)</f>
        <v>5500</v>
      </c>
      <c r="Q917" s="36" t="str">
        <f t="shared" si="4"/>
        <v>29 000 Km, 25.12.2024</v>
      </c>
      <c r="R917" s="33"/>
      <c r="S917" s="40" t="s">
        <v>1617</v>
      </c>
      <c r="T917" s="25">
        <v>2.0</v>
      </c>
      <c r="U917" s="25" t="s">
        <v>1618</v>
      </c>
      <c r="V917" s="37"/>
      <c r="W917" s="37" t="str">
        <f t="shared" si="46"/>
        <v>Завершена</v>
      </c>
      <c r="X917" s="25" t="str">
        <f>IFERROR(__xludf.DUMMYFUNCTION("IF(C917 = """", """", IF(REGEXMATCH(C917, ""PCX|NMAX|ADV 150|CLICK""), ""скутер"", ""мото""))"),"мото")</f>
        <v>мото</v>
      </c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</row>
    <row r="918" hidden="1">
      <c r="A918" s="13" t="s">
        <v>24</v>
      </c>
      <c r="B918" s="13" t="s">
        <v>25</v>
      </c>
      <c r="C918" s="14" t="s">
        <v>106</v>
      </c>
      <c r="D918" s="14" t="s">
        <v>1619</v>
      </c>
      <c r="E918" s="48">
        <v>45652.0</v>
      </c>
      <c r="F918" s="38">
        <v>45660.75</v>
      </c>
      <c r="G918" s="17" t="str">
        <f t="shared" si="61"/>
        <v>8 Д</v>
      </c>
      <c r="H918" s="18">
        <f t="shared" si="58"/>
        <v>415</v>
      </c>
      <c r="I918" s="19" t="str">
        <f t="shared" si="39"/>
        <v/>
      </c>
      <c r="J918" s="20" t="str">
        <f t="shared" si="25"/>
        <v/>
      </c>
      <c r="K918" s="23">
        <v>3300.0</v>
      </c>
      <c r="L918" s="20"/>
      <c r="M918" s="23">
        <v>415.0</v>
      </c>
      <c r="N918" s="21"/>
      <c r="O918" s="22">
        <f>IFERROR(__xludf.DUMMYFUNCTION("IFERROR(
  VLOOKUP(C918,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C918
    ), 
    7, FALSE
  ), 
  """"
)
"),26000.0)</f>
        <v>26000</v>
      </c>
      <c r="P918" s="22">
        <f>IFERROR(__xludf.DUMMYFUNCTION("IF(AND(Q918="""", R918=""""),
  """",
  IF(OR(ISBLANK(Q918), ISBLANK(O918)),
    """",
    IF(VALUE(SUBSTITUTE(INDEX(SPLIT(IF(ISBLANK(R918), Q918, R918), "",""), 0, 1), "" Km"", """")) - O918 = 0,
      """",
      VALUE(SUBSTITUTE(INDEX(SPLIT(IF(ISBLANK("&amp;"R918), Q918, R918), "",""), 0, 1), "" Km"", """")) - O918
    )
  )
)"),-26000.0)</f>
        <v>-26000</v>
      </c>
      <c r="Q918" s="23" t="str">
        <f t="shared" si="4"/>
        <v>0 Km, 26.12.2024</v>
      </c>
      <c r="R918" s="20"/>
      <c r="S918" s="41">
        <v>3000.0</v>
      </c>
      <c r="T918" s="13">
        <v>2.0</v>
      </c>
      <c r="U918" s="13" t="s">
        <v>1620</v>
      </c>
      <c r="V918" s="24"/>
      <c r="W918" s="24" t="str">
        <f t="shared" si="46"/>
        <v>Завершена</v>
      </c>
      <c r="X918" s="13" t="str">
        <f>IFERROR(__xludf.DUMMYFUNCTION("IF(C918 = """", """", IF(REGEXMATCH(C918, ""PCX|NMAX|ADV 150|CLICK""), ""скутер"", ""мото""))"),"скутер")</f>
        <v>скутер</v>
      </c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</row>
    <row r="919" hidden="1">
      <c r="A919" s="25" t="s">
        <v>24</v>
      </c>
      <c r="B919" s="25" t="s">
        <v>25</v>
      </c>
      <c r="C919" s="27" t="s">
        <v>951</v>
      </c>
      <c r="D919" s="27" t="s">
        <v>1621</v>
      </c>
      <c r="E919" s="43">
        <v>45653.0</v>
      </c>
      <c r="F919" s="39">
        <v>45660.666666666664</v>
      </c>
      <c r="G919" s="30" t="str">
        <f t="shared" si="61"/>
        <v>7 Д</v>
      </c>
      <c r="H919" s="31">
        <f t="shared" si="58"/>
        <v>981</v>
      </c>
      <c r="I919" s="32" t="str">
        <f t="shared" si="39"/>
        <v/>
      </c>
      <c r="J919" s="33" t="str">
        <f t="shared" si="25"/>
        <v/>
      </c>
      <c r="K919" s="36">
        <v>6200.0</v>
      </c>
      <c r="L919" s="33"/>
      <c r="M919" s="36">
        <v>981.0</v>
      </c>
      <c r="N919" s="34"/>
      <c r="O919" s="35">
        <f>IFERROR(__xludf.DUMMYFUNCTION("IFERROR(
  VLOOKUP(C919,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C919
    ), 
    7, FALSE
  ), 
  """"
)
"),21100.0)</f>
        <v>21100</v>
      </c>
      <c r="P919" s="35">
        <f>IFERROR(__xludf.DUMMYFUNCTION("IF(AND(Q919="""", R919=""""),
  """",
  IF(OR(ISBLANK(Q919), ISBLANK(O919)),
    """",
    IF(VALUE(SUBSTITUTE(INDEX(SPLIT(IF(ISBLANK(R919), Q919, R919), "",""), 0, 1), "" Km"", """")) - O919 = 0,
      """",
      VALUE(SUBSTITUTE(INDEX(SPLIT(IF(ISBLANK("&amp;"R919), Q919, R919), "",""), 0, 1), "" Km"", """")) - O919
    )
  )
)"),-21100.0)</f>
        <v>-21100</v>
      </c>
      <c r="Q919" s="36" t="str">
        <f t="shared" si="4"/>
        <v>0 Km, 27.12.2024</v>
      </c>
      <c r="R919" s="33"/>
      <c r="S919" s="40">
        <v>7000.0</v>
      </c>
      <c r="T919" s="25">
        <v>1.0</v>
      </c>
      <c r="U919" s="25" t="s">
        <v>1622</v>
      </c>
      <c r="V919" s="37"/>
      <c r="W919" s="37" t="str">
        <f t="shared" si="46"/>
        <v>Завершена</v>
      </c>
      <c r="X919" s="25" t="str">
        <f>IFERROR(__xludf.DUMMYFUNCTION("IF(C919 = """", """", IF(REGEXMATCH(C919, ""PCX|NMAX|ADV 150|CLICK""), ""скутер"", ""мото""))"),"мото")</f>
        <v>мото</v>
      </c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</row>
    <row r="920" hidden="1">
      <c r="A920" s="13" t="s">
        <v>24</v>
      </c>
      <c r="B920" s="13" t="s">
        <v>25</v>
      </c>
      <c r="C920" s="14" t="s">
        <v>102</v>
      </c>
      <c r="D920" s="14" t="s">
        <v>1623</v>
      </c>
      <c r="E920" s="48">
        <v>45653.0</v>
      </c>
      <c r="F920" s="38">
        <v>45656.75</v>
      </c>
      <c r="G920" s="17" t="str">
        <f t="shared" si="61"/>
        <v>3 Д</v>
      </c>
      <c r="H920" s="18">
        <f t="shared" si="58"/>
        <v>1708</v>
      </c>
      <c r="I920" s="19" t="str">
        <f t="shared" si="39"/>
        <v/>
      </c>
      <c r="J920" s="20" t="str">
        <f t="shared" si="25"/>
        <v/>
      </c>
      <c r="K920" s="23">
        <v>5124.0</v>
      </c>
      <c r="L920" s="20"/>
      <c r="M920" s="23">
        <v>1708.0</v>
      </c>
      <c r="N920" s="49">
        <v>44401.0</v>
      </c>
      <c r="O920" s="22">
        <f>IFERROR(__xludf.DUMMYFUNCTION("IFERROR(
  VLOOKUP(C920,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C920
    ), 
    7, FALSE
  ), 
  """"
)
"),63700.0)</f>
        <v>63700</v>
      </c>
      <c r="P920" s="22">
        <f>IFERROR(__xludf.DUMMYFUNCTION("IF(AND(Q920="""", R920=""""),
  """",
  IF(OR(ISBLANK(Q920), ISBLANK(O920)),
    """",
    IF(VALUE(SUBSTITUTE(INDEX(SPLIT(IF(ISBLANK(R920), Q920, R920), "",""), 0, 1), "" Km"", """")) - O920 = 0,
      """",
      VALUE(SUBSTITUTE(INDEX(SPLIT(IF(ISBLANK("&amp;"R920), Q920, R920), "",""), 0, 1), "" Km"", """")) - O920
    )
  )
)"),-19299.0)</f>
        <v>-19299</v>
      </c>
      <c r="Q920" s="23" t="str">
        <f t="shared" si="4"/>
        <v>44 401 Km, 27.12.2024</v>
      </c>
      <c r="R920" s="20"/>
      <c r="S920" s="41" t="s">
        <v>430</v>
      </c>
      <c r="T920" s="13">
        <v>1.0</v>
      </c>
      <c r="U920" s="13" t="s">
        <v>1624</v>
      </c>
      <c r="V920" s="24"/>
      <c r="W920" s="24" t="str">
        <f t="shared" si="46"/>
        <v>Завершена</v>
      </c>
      <c r="X920" s="13" t="str">
        <f>IFERROR(__xludf.DUMMYFUNCTION("IF(C920 = """", """", IF(REGEXMATCH(C920, ""PCX|NMAX|ADV 150|CLICK""), ""скутер"", ""мото""))"),"мото")</f>
        <v>мото</v>
      </c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</row>
    <row r="921" hidden="1">
      <c r="A921" s="25" t="s">
        <v>24</v>
      </c>
      <c r="B921" s="25" t="s">
        <v>25</v>
      </c>
      <c r="C921" s="27" t="s">
        <v>1065</v>
      </c>
      <c r="D921" s="27" t="s">
        <v>1625</v>
      </c>
      <c r="E921" s="43">
        <v>45655.0</v>
      </c>
      <c r="F921" s="39">
        <v>45679.458333333336</v>
      </c>
      <c r="G921" s="30" t="str">
        <f t="shared" si="61"/>
        <v>24 Д</v>
      </c>
      <c r="H921" s="31">
        <f t="shared" si="58"/>
        <v>796</v>
      </c>
      <c r="I921" s="32" t="str">
        <f t="shared" si="39"/>
        <v/>
      </c>
      <c r="J921" s="33" t="str">
        <f t="shared" si="25"/>
        <v/>
      </c>
      <c r="K921" s="36">
        <v>18768.0</v>
      </c>
      <c r="L921" s="33"/>
      <c r="M921" s="36">
        <v>796.0</v>
      </c>
      <c r="N921" s="34"/>
      <c r="O921" s="35">
        <f>IFERROR(__xludf.DUMMYFUNCTION("IFERROR(
  VLOOKUP(C921,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C921
    ), 
    7, FALSE
  ), 
  """"
)
"),19130.0)</f>
        <v>19130</v>
      </c>
      <c r="P921" s="35">
        <f>IFERROR(__xludf.DUMMYFUNCTION("IF(AND(Q921="""", R921=""""),
  """",
  IF(OR(ISBLANK(Q921), ISBLANK(O921)),
    """",
    IF(VALUE(SUBSTITUTE(INDEX(SPLIT(IF(ISBLANK(R921), Q921, R921), "",""), 0, 1), "" Km"", """")) - O921 = 0,
      """",
      VALUE(SUBSTITUTE(INDEX(SPLIT(IF(ISBLANK("&amp;"R921), Q921, R921), "",""), 0, 1), "" Km"", """")) - O921
    )
  )
)"),-19130.0)</f>
        <v>-19130</v>
      </c>
      <c r="Q921" s="36" t="str">
        <f t="shared" si="4"/>
        <v>0 Km, 29.12.2024</v>
      </c>
      <c r="R921" s="33"/>
      <c r="S921" s="40">
        <v>7000.0</v>
      </c>
      <c r="T921" s="25">
        <v>1.0</v>
      </c>
      <c r="U921" s="25" t="s">
        <v>1626</v>
      </c>
      <c r="V921" s="37"/>
      <c r="W921" s="37" t="str">
        <f t="shared" si="46"/>
        <v>Завершена</v>
      </c>
      <c r="X921" s="25" t="str">
        <f>IFERROR(__xludf.DUMMYFUNCTION("IF(C921 = """", """", IF(REGEXMATCH(C921, ""PCX|NMAX|ADV 150|CLICK""), ""скутер"", ""мото""))"),"мото")</f>
        <v>мото</v>
      </c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</row>
    <row r="922" hidden="1">
      <c r="A922" s="13" t="s">
        <v>24</v>
      </c>
      <c r="B922" s="13" t="s">
        <v>25</v>
      </c>
      <c r="C922" s="14" t="s">
        <v>173</v>
      </c>
      <c r="D922" s="14" t="s">
        <v>1627</v>
      </c>
      <c r="E922" s="48">
        <v>45656.0</v>
      </c>
      <c r="F922" s="38">
        <v>45666.541666666664</v>
      </c>
      <c r="G922" s="17" t="str">
        <f t="shared" si="61"/>
        <v>10 Д</v>
      </c>
      <c r="H922" s="18">
        <f t="shared" si="58"/>
        <v>450</v>
      </c>
      <c r="I922" s="19" t="str">
        <f t="shared" si="39"/>
        <v/>
      </c>
      <c r="J922" s="20" t="str">
        <f t="shared" si="25"/>
        <v/>
      </c>
      <c r="K922" s="23">
        <v>4500.0</v>
      </c>
      <c r="L922" s="20"/>
      <c r="M922" s="23">
        <v>450.0</v>
      </c>
      <c r="N922" s="21"/>
      <c r="O922" s="22">
        <f>IFERROR(__xludf.DUMMYFUNCTION("IFERROR(
  VLOOKUP(C922,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C922
    ), 
    7, FALSE
  ), 
  """"
)
"),27000.0)</f>
        <v>27000</v>
      </c>
      <c r="P922" s="22">
        <f>IFERROR(__xludf.DUMMYFUNCTION("IF(AND(Q922="""", R922=""""),
  """",
  IF(OR(ISBLANK(Q922), ISBLANK(O922)),
    """",
    IF(VALUE(SUBSTITUTE(INDEX(SPLIT(IF(ISBLANK(R922), Q922, R922), "",""), 0, 1), "" Km"", """")) - O922 = 0,
      """",
      VALUE(SUBSTITUTE(INDEX(SPLIT(IF(ISBLANK("&amp;"R922), Q922, R922), "",""), 0, 1), "" Km"", """")) - O922
    )
  )
)"),-27000.0)</f>
        <v>-27000</v>
      </c>
      <c r="Q922" s="23" t="str">
        <f t="shared" si="4"/>
        <v>0 Km, 30.12.2024</v>
      </c>
      <c r="R922" s="20"/>
      <c r="S922" s="41">
        <v>7000.0</v>
      </c>
      <c r="T922" s="13">
        <v>2.0</v>
      </c>
      <c r="U922" s="13" t="s">
        <v>1628</v>
      </c>
      <c r="V922" s="24"/>
      <c r="W922" s="24" t="str">
        <f t="shared" si="46"/>
        <v>Завершена</v>
      </c>
      <c r="X922" s="13" t="str">
        <f>IFERROR(__xludf.DUMMYFUNCTION("IF(C922 = """", """", IF(REGEXMATCH(C922, ""PCX|NMAX|ADV 150|CLICK""), ""скутер"", ""мото""))"),"мото")</f>
        <v>мото</v>
      </c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</row>
    <row r="923" hidden="1">
      <c r="A923" s="25" t="s">
        <v>24</v>
      </c>
      <c r="B923" s="25" t="s">
        <v>25</v>
      </c>
      <c r="C923" s="27" t="s">
        <v>98</v>
      </c>
      <c r="D923" s="27" t="s">
        <v>945</v>
      </c>
      <c r="E923" s="43">
        <v>45656.0</v>
      </c>
      <c r="F923" s="39">
        <v>45668.5</v>
      </c>
      <c r="G923" s="30" t="str">
        <f t="shared" si="61"/>
        <v>12 Д</v>
      </c>
      <c r="H923" s="31">
        <f t="shared" si="58"/>
        <v>434</v>
      </c>
      <c r="I923" s="32" t="str">
        <f t="shared" si="39"/>
        <v/>
      </c>
      <c r="J923" s="33" t="str">
        <f t="shared" si="25"/>
        <v/>
      </c>
      <c r="K923" s="36">
        <v>5208.0</v>
      </c>
      <c r="L923" s="33"/>
      <c r="M923" s="36">
        <v>434.0</v>
      </c>
      <c r="N923" s="34"/>
      <c r="O923" s="35">
        <f>IFERROR(__xludf.DUMMYFUNCTION("IFERROR(
  VLOOKUP(C923,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C923
    ), 
    7, FALSE
  ), 
  """"
)
"),32200.0)</f>
        <v>32200</v>
      </c>
      <c r="P923" s="35">
        <f>IFERROR(__xludf.DUMMYFUNCTION("IF(AND(Q923="""", R923=""""),
  """",
  IF(OR(ISBLANK(Q923), ISBLANK(O923)),
    """",
    IF(VALUE(SUBSTITUTE(INDEX(SPLIT(IF(ISBLANK(R923), Q923, R923), "",""), 0, 1), "" Km"", """")) - O923 = 0,
      """",
      VALUE(SUBSTITUTE(INDEX(SPLIT(IF(ISBLANK("&amp;"R923), Q923, R923), "",""), 0, 1), "" Km"", """")) - O923
    )
  )
)"),-32200.0)</f>
        <v>-32200</v>
      </c>
      <c r="Q923" s="36" t="str">
        <f t="shared" si="4"/>
        <v>0 Km, 30.12.2024</v>
      </c>
      <c r="R923" s="33"/>
      <c r="S923" s="40">
        <v>3000.0</v>
      </c>
      <c r="T923" s="25">
        <v>3.0</v>
      </c>
      <c r="U923" s="25" t="s">
        <v>944</v>
      </c>
      <c r="V923" s="37"/>
      <c r="W923" s="37" t="str">
        <f t="shared" si="46"/>
        <v>Завершена</v>
      </c>
      <c r="X923" s="25" t="str">
        <f>IFERROR(__xludf.DUMMYFUNCTION("IF(C923 = """", """", IF(REGEXMATCH(C923, ""PCX|NMAX|ADV 150|CLICK""), ""скутер"", ""мото""))"),"скутер")</f>
        <v>скутер</v>
      </c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</row>
    <row r="924" hidden="1">
      <c r="A924" s="13" t="s">
        <v>24</v>
      </c>
      <c r="B924" s="13" t="s">
        <v>25</v>
      </c>
      <c r="C924" s="14" t="s">
        <v>185</v>
      </c>
      <c r="D924" s="14" t="s">
        <v>1629</v>
      </c>
      <c r="E924" s="48">
        <v>45656.0</v>
      </c>
      <c r="F924" s="38">
        <v>45668.541666666664</v>
      </c>
      <c r="G924" s="17" t="str">
        <f t="shared" si="61"/>
        <v>12 Д</v>
      </c>
      <c r="H924" s="18">
        <f t="shared" si="58"/>
        <v>434</v>
      </c>
      <c r="I924" s="19" t="str">
        <f t="shared" si="39"/>
        <v/>
      </c>
      <c r="J924" s="20" t="str">
        <f t="shared" si="25"/>
        <v/>
      </c>
      <c r="K924" s="23">
        <v>5208.0</v>
      </c>
      <c r="L924" s="20"/>
      <c r="M924" s="23">
        <v>434.0</v>
      </c>
      <c r="N924" s="21"/>
      <c r="O924" s="22" t="str">
        <f>IFERROR(__xludf.DUMMYFUNCTION("IFERROR(
  VLOOKUP(C924,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C924
    ), 
    7, FALSE
  ), 
  """"
)
"),"")</f>
        <v/>
      </c>
      <c r="P924" s="22" t="str">
        <f>IFERROR(__xludf.DUMMYFUNCTION("IF(AND(Q924="""", R924=""""),
  """",
  IF(OR(ISBLANK(Q924), ISBLANK(O924)),
    """",
    IF(VALUE(SUBSTITUTE(INDEX(SPLIT(IF(ISBLANK(R924), Q924, R924), "",""), 0, 1), "" Km"", """")) - O924 = 0,
      """",
      VALUE(SUBSTITUTE(INDEX(SPLIT(IF(ISBLANK("&amp;"R924), Q924, R924), "",""), 0, 1), "" Km"", """")) - O924
    )
  )
)"),"")</f>
        <v/>
      </c>
      <c r="Q924" s="23" t="str">
        <f t="shared" si="4"/>
        <v>0 Km, 30.12.2024</v>
      </c>
      <c r="R924" s="20"/>
      <c r="S924" s="41">
        <v>3000.0</v>
      </c>
      <c r="T924" s="13">
        <v>3.0</v>
      </c>
      <c r="U924" s="13" t="s">
        <v>1630</v>
      </c>
      <c r="V924" s="24"/>
      <c r="W924" s="24" t="str">
        <f t="shared" si="46"/>
        <v>Завершена</v>
      </c>
      <c r="X924" s="13" t="str">
        <f>IFERROR(__xludf.DUMMYFUNCTION("IF(C924 = """", """", IF(REGEXMATCH(C924, ""PCX|NMAX|ADV 150|CLICK""), ""скутер"", ""мото""))"),"скутер")</f>
        <v>скутер</v>
      </c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</row>
    <row r="925" hidden="1">
      <c r="A925" s="25" t="s">
        <v>24</v>
      </c>
      <c r="B925" s="25" t="s">
        <v>25</v>
      </c>
      <c r="C925" s="27" t="s">
        <v>946</v>
      </c>
      <c r="D925" s="27" t="s">
        <v>1612</v>
      </c>
      <c r="E925" s="43">
        <v>45656.0</v>
      </c>
      <c r="F925" s="39">
        <v>45725.5</v>
      </c>
      <c r="G925" s="30" t="str">
        <f t="shared" si="61"/>
        <v>69 Д</v>
      </c>
      <c r="H925" s="31">
        <f t="shared" si="58"/>
        <v>610</v>
      </c>
      <c r="I925" s="32" t="str">
        <f t="shared" si="39"/>
        <v/>
      </c>
      <c r="J925" s="33" t="str">
        <f t="shared" si="25"/>
        <v/>
      </c>
      <c r="K925" s="36">
        <f>15250+60000/3.18+610*12+610</f>
        <v>42047.92453</v>
      </c>
      <c r="L925" s="33"/>
      <c r="M925" s="36">
        <v>610.0</v>
      </c>
      <c r="N925" s="34"/>
      <c r="O925" s="35">
        <f>IFERROR(__xludf.DUMMYFUNCTION("IFERROR(
  VLOOKUP(C925,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C925
    ), 
    7, FALSE
  ), 
  """"
)
"),20400.0)</f>
        <v>20400</v>
      </c>
      <c r="P925" s="35">
        <f>IFERROR(__xludf.DUMMYFUNCTION("IF(AND(Q925="""", R925=""""),
  """",
  IF(OR(ISBLANK(Q925), ISBLANK(O925)),
    """",
    IF(VALUE(SUBSTITUTE(INDEX(SPLIT(IF(ISBLANK(R925), Q925, R925), "",""), 0, 1), "" Km"", """")) - O925 = 0,
      """",
      VALUE(SUBSTITUTE(INDEX(SPLIT(IF(ISBLANK("&amp;"R925), Q925, R925), "",""), 0, 1), "" Km"", """")) - O925
    )
  )
)"),-20400.0)</f>
        <v>-20400</v>
      </c>
      <c r="Q925" s="36" t="str">
        <f t="shared" si="4"/>
        <v>0 Km, 30.12.2024</v>
      </c>
      <c r="R925" s="33"/>
      <c r="S925" s="40">
        <v>7000.0</v>
      </c>
      <c r="T925" s="25">
        <v>3.0</v>
      </c>
      <c r="U925" s="25" t="s">
        <v>1613</v>
      </c>
      <c r="V925" s="37"/>
      <c r="W925" s="37" t="str">
        <f t="shared" si="46"/>
        <v>Завершена</v>
      </c>
      <c r="X925" s="25" t="str">
        <f>IFERROR(__xludf.DUMMYFUNCTION("IF(C925 = """", """", IF(REGEXMATCH(C925, ""PCX|NMAX|ADV 150|CLICK""), ""скутер"", ""мото""))"),"мото")</f>
        <v>мото</v>
      </c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</row>
    <row r="926" hidden="1">
      <c r="A926" s="13" t="s">
        <v>24</v>
      </c>
      <c r="B926" s="13" t="s">
        <v>25</v>
      </c>
      <c r="C926" s="14" t="s">
        <v>914</v>
      </c>
      <c r="D926" s="14" t="s">
        <v>1631</v>
      </c>
      <c r="E926" s="48">
        <v>45657.0</v>
      </c>
      <c r="F926" s="38">
        <v>45663.708333333336</v>
      </c>
      <c r="G926" s="17" t="str">
        <f t="shared" si="61"/>
        <v>6 Д</v>
      </c>
      <c r="H926" s="18">
        <f t="shared" si="58"/>
        <v>2790</v>
      </c>
      <c r="I926" s="19" t="str">
        <f t="shared" si="39"/>
        <v/>
      </c>
      <c r="J926" s="20" t="str">
        <f t="shared" si="25"/>
        <v/>
      </c>
      <c r="K926" s="23">
        <v>16740.0</v>
      </c>
      <c r="L926" s="20"/>
      <c r="M926" s="23">
        <v>2790.0</v>
      </c>
      <c r="N926" s="49">
        <v>7500.0</v>
      </c>
      <c r="O926" s="22">
        <f>IFERROR(__xludf.DUMMYFUNCTION("IFERROR(
  VLOOKUP(C926,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C926
    ), 
    7, FALSE
  ), 
  """"
)
"),17900.0)</f>
        <v>17900</v>
      </c>
      <c r="P926" s="22">
        <f>IFERROR(__xludf.DUMMYFUNCTION("IF(AND(Q926="""", R926=""""),
  """",
  IF(OR(ISBLANK(Q926), ISBLANK(O926)),
    """",
    IF(VALUE(SUBSTITUTE(INDEX(SPLIT(IF(ISBLANK(R926), Q926, R926), "",""), 0, 1), "" Km"", """")) - O926 = 0,
      """",
      VALUE(SUBSTITUTE(INDEX(SPLIT(IF(ISBLANK("&amp;"R926), Q926, R926), "",""), 0, 1), "" Km"", """")) - O926
    )
  )
)"),-10400.0)</f>
        <v>-10400</v>
      </c>
      <c r="Q926" s="23" t="str">
        <f t="shared" si="4"/>
        <v>7 500 Km, 31.12.2024</v>
      </c>
      <c r="R926" s="20"/>
      <c r="S926" s="41" t="s">
        <v>1632</v>
      </c>
      <c r="T926" s="13">
        <v>2.0</v>
      </c>
      <c r="U926" s="13" t="s">
        <v>1633</v>
      </c>
      <c r="V926" s="24"/>
      <c r="W926" s="24" t="str">
        <f t="shared" si="46"/>
        <v>Завершена</v>
      </c>
      <c r="X926" s="13" t="str">
        <f>IFERROR(__xludf.DUMMYFUNCTION("IF(C926 = """", """", IF(REGEXMATCH(C926, ""PCX|NMAX|ADV 150|CLICK""), ""скутер"", ""мото""))"),"мото")</f>
        <v>мото</v>
      </c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</row>
    <row r="927" hidden="1">
      <c r="A927" s="25" t="s">
        <v>24</v>
      </c>
      <c r="B927" s="25" t="s">
        <v>25</v>
      </c>
      <c r="C927" s="27" t="s">
        <v>102</v>
      </c>
      <c r="D927" s="27" t="s">
        <v>1488</v>
      </c>
      <c r="E927" s="43">
        <v>45657.0</v>
      </c>
      <c r="F927" s="39">
        <v>45667.375</v>
      </c>
      <c r="G927" s="30" t="str">
        <f t="shared" si="61"/>
        <v>10 Д</v>
      </c>
      <c r="H927" s="31">
        <f t="shared" si="58"/>
        <v>1474</v>
      </c>
      <c r="I927" s="32" t="str">
        <f t="shared" si="39"/>
        <v/>
      </c>
      <c r="J927" s="33" t="str">
        <f t="shared" si="25"/>
        <v/>
      </c>
      <c r="K927" s="36">
        <v>14740.0</v>
      </c>
      <c r="L927" s="33"/>
      <c r="M927" s="36">
        <v>1474.0</v>
      </c>
      <c r="N927" s="34"/>
      <c r="O927" s="35">
        <f>IFERROR(__xludf.DUMMYFUNCTION("IFERROR(
  VLOOKUP(C927,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C927
    ), 
    7, FALSE
  ), 
  """"
)
"),63700.0)</f>
        <v>63700</v>
      </c>
      <c r="P927" s="35">
        <f>IFERROR(__xludf.DUMMYFUNCTION("IF(AND(Q927="""", R927=""""),
  """",
  IF(OR(ISBLANK(Q927), ISBLANK(O927)),
    """",
    IF(VALUE(SUBSTITUTE(INDEX(SPLIT(IF(ISBLANK(R927), Q927, R927), "",""), 0, 1), "" Km"", """")) - O927 = 0,
      """",
      VALUE(SUBSTITUTE(INDEX(SPLIT(IF(ISBLANK("&amp;"R927), Q927, R927), "",""), 0, 1), "" Km"", """")) - O927
    )
  )
)"),-63700.0)</f>
        <v>-63700</v>
      </c>
      <c r="Q927" s="36" t="str">
        <f t="shared" si="4"/>
        <v>0 Km, 31.12.2024</v>
      </c>
      <c r="R927" s="33"/>
      <c r="S927" s="40" t="s">
        <v>1634</v>
      </c>
      <c r="T927" s="25">
        <v>2.0</v>
      </c>
      <c r="U927" s="25" t="s">
        <v>1635</v>
      </c>
      <c r="V927" s="37"/>
      <c r="W927" s="37" t="str">
        <f t="shared" si="46"/>
        <v>Завершена</v>
      </c>
      <c r="X927" s="25" t="str">
        <f>IFERROR(__xludf.DUMMYFUNCTION("IF(C927 = """", """", IF(REGEXMATCH(C927, ""PCX|NMAX|ADV 150|CLICK""), ""скутер"", ""мото""))"),"мото")</f>
        <v>мото</v>
      </c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</row>
    <row r="928" hidden="1">
      <c r="A928" s="13" t="s">
        <v>24</v>
      </c>
      <c r="B928" s="13" t="s">
        <v>25</v>
      </c>
      <c r="C928" s="14" t="s">
        <v>483</v>
      </c>
      <c r="D928" s="14" t="s">
        <v>833</v>
      </c>
      <c r="E928" s="48">
        <v>45659.0</v>
      </c>
      <c r="F928" s="38">
        <v>45662.708333333336</v>
      </c>
      <c r="G928" s="17" t="str">
        <f t="shared" si="61"/>
        <v>3 Д</v>
      </c>
      <c r="H928" s="18">
        <f t="shared" si="58"/>
        <v>1500</v>
      </c>
      <c r="I928" s="19" t="str">
        <f t="shared" si="39"/>
        <v/>
      </c>
      <c r="J928" s="20" t="str">
        <f t="shared" si="25"/>
        <v/>
      </c>
      <c r="K928" s="23">
        <v>4500.0</v>
      </c>
      <c r="L928" s="20"/>
      <c r="M928" s="23">
        <v>1500.0</v>
      </c>
      <c r="N928" s="49">
        <v>34000.0</v>
      </c>
      <c r="O928" s="22">
        <f>IFERROR(__xludf.DUMMYFUNCTION("IFERROR(
  VLOOKUP(C928,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C928
    ), 
    7, FALSE
  ), 
  """"
)
"),41500.0)</f>
        <v>41500</v>
      </c>
      <c r="P928" s="22">
        <f>IFERROR(__xludf.DUMMYFUNCTION("IF(AND(Q928="""", R928=""""),
  """",
  IF(OR(ISBLANK(Q928), ISBLANK(O928)),
    """",
    IF(VALUE(SUBSTITUTE(INDEX(SPLIT(IF(ISBLANK(R928), Q928, R928), "",""), 0, 1), "" Km"", """")) - O928 = 0,
      """",
      VALUE(SUBSTITUTE(INDEX(SPLIT(IF(ISBLANK("&amp;"R928), Q928, R928), "",""), 0, 1), "" Km"", """")) - O928
    )
  )
)"),-7500.0)</f>
        <v>-7500</v>
      </c>
      <c r="Q928" s="23" t="str">
        <f t="shared" si="4"/>
        <v>34 000 Km, 02.01.2025</v>
      </c>
      <c r="R928" s="20"/>
      <c r="S928" s="41">
        <v>500.0</v>
      </c>
      <c r="T928" s="13">
        <v>4.0</v>
      </c>
      <c r="U928" s="66" t="s">
        <v>1636</v>
      </c>
      <c r="V928" s="24"/>
      <c r="W928" s="24" t="str">
        <f t="shared" si="46"/>
        <v>Завершена</v>
      </c>
      <c r="X928" s="13" t="str">
        <f>IFERROR(__xludf.DUMMYFUNCTION("IF(C928 = """", """", IF(REGEXMATCH(C928, ""PCX|NMAX|ADV 150|CLICK""), ""скутер"", ""мото""))"),"мото")</f>
        <v>мото</v>
      </c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</row>
    <row r="929" hidden="1">
      <c r="A929" s="25" t="s">
        <v>24</v>
      </c>
      <c r="B929" s="25" t="s">
        <v>25</v>
      </c>
      <c r="C929" s="27" t="s">
        <v>923</v>
      </c>
      <c r="D929" s="27" t="s">
        <v>1637</v>
      </c>
      <c r="E929" s="43">
        <v>45659.0</v>
      </c>
      <c r="F929" s="39">
        <v>45666.416666666664</v>
      </c>
      <c r="G929" s="30" t="str">
        <f t="shared" si="61"/>
        <v>7 Д</v>
      </c>
      <c r="H929" s="31">
        <f t="shared" si="58"/>
        <v>1000</v>
      </c>
      <c r="I929" s="32" t="str">
        <f t="shared" si="39"/>
        <v/>
      </c>
      <c r="J929" s="33" t="str">
        <f t="shared" si="25"/>
        <v/>
      </c>
      <c r="K929" s="36">
        <v>7000.0</v>
      </c>
      <c r="L929" s="33"/>
      <c r="M929" s="36">
        <v>1000.0</v>
      </c>
      <c r="N929" s="34"/>
      <c r="O929" s="35">
        <f>IFERROR(__xludf.DUMMYFUNCTION("IFERROR(
  VLOOKUP(C929,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C929
    ), 
    7, FALSE
  ), 
  """"
)
"),25378.0)</f>
        <v>25378</v>
      </c>
      <c r="P929" s="35">
        <f>IFERROR(__xludf.DUMMYFUNCTION("IF(AND(Q929="""", R929=""""),
  """",
  IF(OR(ISBLANK(Q929), ISBLANK(O929)),
    """",
    IF(VALUE(SUBSTITUTE(INDEX(SPLIT(IF(ISBLANK(R929), Q929, R929), "",""), 0, 1), "" Km"", """")) - O929 = 0,
      """",
      VALUE(SUBSTITUTE(INDEX(SPLIT(IF(ISBLANK("&amp;"R929), Q929, R929), "",""), 0, 1), "" Km"", """")) - O929
    )
  )
)"),-25378.0)</f>
        <v>-25378</v>
      </c>
      <c r="Q929" s="36" t="str">
        <f t="shared" si="4"/>
        <v>0 Km, 02.01.2025</v>
      </c>
      <c r="R929" s="33"/>
      <c r="S929" s="40">
        <v>5000.0</v>
      </c>
      <c r="T929" s="25">
        <v>2.0</v>
      </c>
      <c r="U929" s="25" t="s">
        <v>1638</v>
      </c>
      <c r="V929" s="37"/>
      <c r="W929" s="37" t="str">
        <f t="shared" si="46"/>
        <v>Завершена</v>
      </c>
      <c r="X929" s="25" t="str">
        <f>IFERROR(__xludf.DUMMYFUNCTION("IF(C929 = """", """", IF(REGEXMATCH(C929, ""PCX|NMAX|ADV 150|CLICK""), ""скутер"", ""мото""))"),"мото")</f>
        <v>мото</v>
      </c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</row>
    <row r="930" hidden="1">
      <c r="A930" s="13" t="s">
        <v>24</v>
      </c>
      <c r="B930" s="13" t="s">
        <v>25</v>
      </c>
      <c r="C930" s="14" t="s">
        <v>321</v>
      </c>
      <c r="D930" s="14" t="s">
        <v>1639</v>
      </c>
      <c r="E930" s="48">
        <v>45659.0</v>
      </c>
      <c r="F930" s="38">
        <v>45671.708333333336</v>
      </c>
      <c r="G930" s="17" t="str">
        <f t="shared" si="61"/>
        <v>12 Д</v>
      </c>
      <c r="H930" s="18">
        <f t="shared" si="58"/>
        <v>1360</v>
      </c>
      <c r="I930" s="19" t="str">
        <f t="shared" si="39"/>
        <v/>
      </c>
      <c r="J930" s="20" t="str">
        <f t="shared" si="25"/>
        <v/>
      </c>
      <c r="K930" s="23">
        <f>18120-1812</f>
        <v>16308</v>
      </c>
      <c r="L930" s="20"/>
      <c r="M930" s="23">
        <f>1360</f>
        <v>1360</v>
      </c>
      <c r="N930" s="49">
        <v>57000.0</v>
      </c>
      <c r="O930" s="22" t="str">
        <f>IFERROR(__xludf.DUMMYFUNCTION("IFERROR(
  VLOOKUP(C930,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C930
    ), 
    7, FALSE
  ), 
  """"
)
"),"")</f>
        <v/>
      </c>
      <c r="P930" s="22">
        <f>IFERROR(__xludf.DUMMYFUNCTION("IF(AND(Q930="""", R930=""""),
  """",
  IF(OR(ISBLANK(Q930), ISBLANK(O930)),
    """",
    IF(VALUE(SUBSTITUTE(INDEX(SPLIT(IF(ISBLANK(R930), Q930, R930), "",""), 0, 1), "" Km"", """")) - O930 = 0,
      """",
      VALUE(SUBSTITUTE(INDEX(SPLIT(IF(ISBLANK("&amp;"R930), Q930, R930), "",""), 0, 1), "" Km"", """")) - O930
    )
  )
)"),57000.0)</f>
        <v>57000</v>
      </c>
      <c r="Q930" s="23" t="str">
        <f t="shared" si="4"/>
        <v>57 000 Km, 02.01.2025</v>
      </c>
      <c r="R930" s="20"/>
      <c r="S930" s="41">
        <v>20000.0</v>
      </c>
      <c r="T930" s="13">
        <v>2.0</v>
      </c>
      <c r="U930" s="13" t="s">
        <v>1640</v>
      </c>
      <c r="V930" s="24"/>
      <c r="W930" s="24" t="str">
        <f t="shared" si="46"/>
        <v>Завершена</v>
      </c>
      <c r="X930" s="13" t="str">
        <f>IFERROR(__xludf.DUMMYFUNCTION("IF(C930 = """", """", IF(REGEXMATCH(C930, ""PCX|NMAX|ADV 150|CLICK""), ""скутер"", ""мото""))"),"мото")</f>
        <v>мото</v>
      </c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</row>
    <row r="931" hidden="1">
      <c r="A931" s="25" t="s">
        <v>24</v>
      </c>
      <c r="B931" s="25" t="s">
        <v>25</v>
      </c>
      <c r="C931" s="27" t="s">
        <v>1028</v>
      </c>
      <c r="D931" s="27" t="s">
        <v>772</v>
      </c>
      <c r="E931" s="43">
        <v>45659.0</v>
      </c>
      <c r="F931" s="39">
        <v>45672.625</v>
      </c>
      <c r="G931" s="30" t="str">
        <f t="shared" si="61"/>
        <v>13 Д</v>
      </c>
      <c r="H931" s="31">
        <f t="shared" si="58"/>
        <v>844</v>
      </c>
      <c r="I931" s="32" t="str">
        <f t="shared" si="39"/>
        <v/>
      </c>
      <c r="J931" s="33" t="str">
        <f t="shared" si="25"/>
        <v/>
      </c>
      <c r="K931" s="36">
        <v>10972.0</v>
      </c>
      <c r="L931" s="33"/>
      <c r="M931" s="36">
        <v>844.0</v>
      </c>
      <c r="N931" s="44">
        <v>13500.0</v>
      </c>
      <c r="O931" s="35">
        <f>IFERROR(__xludf.DUMMYFUNCTION("IFERROR(
  VLOOKUP(C931,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C931
    ), 
    7, FALSE
  ), 
  """"
)
"),21600.0)</f>
        <v>21600</v>
      </c>
      <c r="P931" s="35">
        <f>IFERROR(__xludf.DUMMYFUNCTION("IF(AND(Q931="""", R931=""""),
  """",
  IF(OR(ISBLANK(Q931), ISBLANK(O931)),
    """",
    IF(VALUE(SUBSTITUTE(INDEX(SPLIT(IF(ISBLANK(R931), Q931, R931), "",""), 0, 1), "" Km"", """")) - O931 = 0,
      """",
      VALUE(SUBSTITUTE(INDEX(SPLIT(IF(ISBLANK("&amp;"R931), Q931, R931), "",""), 0, 1), "" Km"", """")) - O931
    )
  )
)"),-8100.0)</f>
        <v>-8100</v>
      </c>
      <c r="Q931" s="36" t="str">
        <f t="shared" si="4"/>
        <v>13 500 Km, 02.01.2025</v>
      </c>
      <c r="R931" s="33"/>
      <c r="S931" s="40" t="s">
        <v>1641</v>
      </c>
      <c r="T931" s="25">
        <v>0.0</v>
      </c>
      <c r="U931" s="25" t="s">
        <v>1642</v>
      </c>
      <c r="V931" s="37"/>
      <c r="W931" s="37" t="str">
        <f t="shared" si="46"/>
        <v>Завершена</v>
      </c>
      <c r="X931" s="25" t="str">
        <f>IFERROR(__xludf.DUMMYFUNCTION("IF(C931 = """", """", IF(REGEXMATCH(C931, ""PCX|NMAX|ADV 150|CLICK""), ""скутер"", ""мото""))"),"мото")</f>
        <v>мото</v>
      </c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</row>
    <row r="932" hidden="1">
      <c r="A932" s="13" t="s">
        <v>24</v>
      </c>
      <c r="B932" s="13" t="s">
        <v>25</v>
      </c>
      <c r="C932" s="14" t="s">
        <v>48</v>
      </c>
      <c r="D932" s="14" t="s">
        <v>1643</v>
      </c>
      <c r="E932" s="48">
        <v>45660.0</v>
      </c>
      <c r="F932" s="38">
        <v>45660.875</v>
      </c>
      <c r="G932" s="17" t="str">
        <f t="shared" si="61"/>
        <v>0 Д</v>
      </c>
      <c r="H932" s="18">
        <f t="shared" si="58"/>
        <v>0</v>
      </c>
      <c r="I932" s="19" t="str">
        <f t="shared" si="39"/>
        <v/>
      </c>
      <c r="J932" s="20" t="str">
        <f t="shared" si="25"/>
        <v/>
      </c>
      <c r="K932" s="23"/>
      <c r="L932" s="20"/>
      <c r="M932" s="23">
        <v>0.0</v>
      </c>
      <c r="N932" s="21"/>
      <c r="O932" s="22">
        <f>IFERROR(__xludf.DUMMYFUNCTION("IFERROR(
  VLOOKUP(C932,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C932
    ), 
    7, FALSE
  ), 
  """"
)
"),35800.0)</f>
        <v>35800</v>
      </c>
      <c r="P932" s="22">
        <f>IFERROR(__xludf.DUMMYFUNCTION("IF(AND(Q932="""", R932=""""),
  """",
  IF(OR(ISBLANK(Q932), ISBLANK(O932)),
    """",
    IF(VALUE(SUBSTITUTE(INDEX(SPLIT(IF(ISBLANK(R932), Q932, R932), "",""), 0, 1), "" Km"", """")) - O932 = 0,
      """",
      VALUE(SUBSTITUTE(INDEX(SPLIT(IF(ISBLANK("&amp;"R932), Q932, R932), "",""), 0, 1), "" Km"", """")) - O932
    )
  )
)"),-35800.0)</f>
        <v>-35800</v>
      </c>
      <c r="Q932" s="23" t="str">
        <f t="shared" si="4"/>
        <v>0 Km, 03.01.2025</v>
      </c>
      <c r="R932" s="20"/>
      <c r="S932" s="41">
        <v>7000.0</v>
      </c>
      <c r="T932" s="13">
        <v>1.0</v>
      </c>
      <c r="U932" s="13" t="s">
        <v>1644</v>
      </c>
      <c r="V932" s="24"/>
      <c r="W932" s="24" t="str">
        <f t="shared" si="46"/>
        <v>Завершена</v>
      </c>
      <c r="X932" s="13" t="str">
        <f>IFERROR(__xludf.DUMMYFUNCTION("IF(C932 = """", """", IF(REGEXMATCH(C932, ""PCX|NMAX|ADV 150|CLICK""), ""скутер"", ""мото""))"),"скутер")</f>
        <v>скутер</v>
      </c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</row>
    <row r="933" hidden="1">
      <c r="A933" s="25" t="s">
        <v>24</v>
      </c>
      <c r="B933" s="25" t="s">
        <v>25</v>
      </c>
      <c r="C933" s="27" t="s">
        <v>438</v>
      </c>
      <c r="D933" s="27" t="s">
        <v>1645</v>
      </c>
      <c r="E933" s="43">
        <v>45660.0</v>
      </c>
      <c r="F933" s="39">
        <v>45679.75</v>
      </c>
      <c r="G933" s="30" t="str">
        <f t="shared" si="61"/>
        <v>19 Д</v>
      </c>
      <c r="H933" s="31">
        <f t="shared" si="58"/>
        <v>948</v>
      </c>
      <c r="I933" s="32" t="str">
        <f t="shared" si="39"/>
        <v/>
      </c>
      <c r="J933" s="33" t="str">
        <f t="shared" si="25"/>
        <v/>
      </c>
      <c r="K933" s="36">
        <f>9486+4740+3931+1751</f>
        <v>19908</v>
      </c>
      <c r="L933" s="33"/>
      <c r="M933" s="36">
        <v>948.0</v>
      </c>
      <c r="N933" s="34"/>
      <c r="O933" s="35">
        <f>IFERROR(__xludf.DUMMYFUNCTION("IFERROR(
  VLOOKUP(C933,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C933
    ), 
    7, FALSE
  ), 
  """"
)
"),37823.0)</f>
        <v>37823</v>
      </c>
      <c r="P933" s="35">
        <f>IFERROR(__xludf.DUMMYFUNCTION("IF(AND(Q933="""", R933=""""),
  """",
  IF(OR(ISBLANK(Q933), ISBLANK(O933)),
    """",
    IF(VALUE(SUBSTITUTE(INDEX(SPLIT(IF(ISBLANK(R933), Q933, R933), "",""), 0, 1), "" Km"", """")) - O933 = 0,
      """",
      VALUE(SUBSTITUTE(INDEX(SPLIT(IF(ISBLANK("&amp;"R933), Q933, R933), "",""), 0, 1), "" Km"", """")) - O933
    )
  )
)"),-37823.0)</f>
        <v>-37823</v>
      </c>
      <c r="Q933" s="36" t="str">
        <f t="shared" si="4"/>
        <v>0 Km, 03.01.2025</v>
      </c>
      <c r="R933" s="33"/>
      <c r="S933" s="40">
        <v>20000.0</v>
      </c>
      <c r="T933" s="25">
        <v>1.0</v>
      </c>
      <c r="U933" s="25" t="s">
        <v>1646</v>
      </c>
      <c r="V933" s="37"/>
      <c r="W933" s="37" t="str">
        <f t="shared" si="46"/>
        <v>Завершена</v>
      </c>
      <c r="X933" s="25" t="str">
        <f>IFERROR(__xludf.DUMMYFUNCTION("IF(C933 = """", """", IF(REGEXMATCH(C933, ""PCX|NMAX|ADV 150|CLICK""), ""скутер"", ""мото""))"),"мото")</f>
        <v>мото</v>
      </c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</row>
    <row r="934" hidden="1">
      <c r="A934" s="13" t="s">
        <v>24</v>
      </c>
      <c r="B934" s="13" t="s">
        <v>25</v>
      </c>
      <c r="C934" s="14" t="s">
        <v>423</v>
      </c>
      <c r="D934" s="14" t="s">
        <v>1647</v>
      </c>
      <c r="E934" s="48">
        <v>45661.0</v>
      </c>
      <c r="F934" s="38">
        <v>45665.708333333336</v>
      </c>
      <c r="G934" s="17" t="str">
        <f t="shared" si="61"/>
        <v>4 Д</v>
      </c>
      <c r="H934" s="18">
        <f t="shared" si="58"/>
        <v>981</v>
      </c>
      <c r="I934" s="19" t="str">
        <f t="shared" si="39"/>
        <v/>
      </c>
      <c r="J934" s="20" t="str">
        <f t="shared" si="25"/>
        <v/>
      </c>
      <c r="K934" s="23">
        <v>3924.0</v>
      </c>
      <c r="L934" s="20"/>
      <c r="M934" s="23">
        <v>981.0</v>
      </c>
      <c r="N934" s="49">
        <v>22083.0</v>
      </c>
      <c r="O934" s="22" t="str">
        <f>IFERROR(__xludf.DUMMYFUNCTION("IFERROR(
  VLOOKUP(C934,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C934
    ), 
    7, FALSE
  ), 
  """"
)
"),"")</f>
        <v/>
      </c>
      <c r="P934" s="22">
        <f>IFERROR(__xludf.DUMMYFUNCTION("IF(AND(Q934="""", R934=""""),
  """",
  IF(OR(ISBLANK(Q934), ISBLANK(O934)),
    """",
    IF(VALUE(SUBSTITUTE(INDEX(SPLIT(IF(ISBLANK(R934), Q934, R934), "",""), 0, 1), "" Km"", """")) - O934 = 0,
      """",
      VALUE(SUBSTITUTE(INDEX(SPLIT(IF(ISBLANK("&amp;"R934), Q934, R934), "",""), 0, 1), "" Km"", """")) - O934
    )
  )
)"),22083.0)</f>
        <v>22083</v>
      </c>
      <c r="Q934" s="23" t="str">
        <f t="shared" si="4"/>
        <v>22 083 Km, 04.01.2025</v>
      </c>
      <c r="R934" s="20"/>
      <c r="S934" s="41">
        <v>15000.0</v>
      </c>
      <c r="T934" s="13">
        <v>2.0</v>
      </c>
      <c r="U934" s="13" t="s">
        <v>1648</v>
      </c>
      <c r="V934" s="24"/>
      <c r="W934" s="24" t="str">
        <f t="shared" si="46"/>
        <v>Завершена</v>
      </c>
      <c r="X934" s="13" t="str">
        <f>IFERROR(__xludf.DUMMYFUNCTION("IF(C934 = """", """", IF(REGEXMATCH(C934, ""PCX|NMAX|ADV 150|CLICK""), ""скутер"", ""мото""))"),"мото")</f>
        <v>мото</v>
      </c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</row>
    <row r="935" hidden="1">
      <c r="A935" s="25" t="s">
        <v>24</v>
      </c>
      <c r="B935" s="25" t="s">
        <v>25</v>
      </c>
      <c r="C935" s="27" t="s">
        <v>971</v>
      </c>
      <c r="D935" s="27" t="s">
        <v>1643</v>
      </c>
      <c r="E935" s="43">
        <v>45661.0</v>
      </c>
      <c r="F935" s="39">
        <v>45672.541666666664</v>
      </c>
      <c r="G935" s="30" t="str">
        <f t="shared" si="61"/>
        <v>11 Д</v>
      </c>
      <c r="H935" s="31">
        <f t="shared" si="58"/>
        <v>825</v>
      </c>
      <c r="I935" s="32" t="str">
        <f t="shared" si="39"/>
        <v/>
      </c>
      <c r="J935" s="33" t="str">
        <f t="shared" si="25"/>
        <v/>
      </c>
      <c r="K935" s="36">
        <f>9222-825</f>
        <v>8397</v>
      </c>
      <c r="L935" s="33"/>
      <c r="M935" s="36">
        <v>825.0</v>
      </c>
      <c r="N935" s="34"/>
      <c r="O935" s="35">
        <f>IFERROR(__xludf.DUMMYFUNCTION("IFERROR(
  VLOOKUP(C935,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C935
    ), 
    7, FALSE
  ), 
  """"
)
"),18300.0)</f>
        <v>18300</v>
      </c>
      <c r="P935" s="35">
        <f>IFERROR(__xludf.DUMMYFUNCTION("IF(AND(Q935="""", R935=""""),
  """",
  IF(OR(ISBLANK(Q935), ISBLANK(O935)),
    """",
    IF(VALUE(SUBSTITUTE(INDEX(SPLIT(IF(ISBLANK(R935), Q935, R935), "",""), 0, 1), "" Km"", """")) - O935 = 0,
      """",
      VALUE(SUBSTITUTE(INDEX(SPLIT(IF(ISBLANK("&amp;"R935), Q935, R935), "",""), 0, 1), "" Km"", """")) - O935
    )
  )
)"),-18300.0)</f>
        <v>-18300</v>
      </c>
      <c r="Q935" s="36" t="str">
        <f t="shared" si="4"/>
        <v>0 Km, 04.01.2025</v>
      </c>
      <c r="R935" s="33"/>
      <c r="S935" s="40">
        <v>7000.0</v>
      </c>
      <c r="T935" s="25">
        <v>1.0</v>
      </c>
      <c r="U935" s="25" t="s">
        <v>1644</v>
      </c>
      <c r="V935" s="37"/>
      <c r="W935" s="37" t="str">
        <f t="shared" si="46"/>
        <v>Завершена</v>
      </c>
      <c r="X935" s="25" t="str">
        <f>IFERROR(__xludf.DUMMYFUNCTION("IF(C935 = """", """", IF(REGEXMATCH(C935, ""PCX|NMAX|ADV 150|CLICK""), ""скутер"", ""мото""))"),"мото")</f>
        <v>мото</v>
      </c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</row>
    <row r="936" hidden="1">
      <c r="A936" s="13" t="s">
        <v>24</v>
      </c>
      <c r="B936" s="13" t="s">
        <v>25</v>
      </c>
      <c r="C936" s="14" t="s">
        <v>951</v>
      </c>
      <c r="D936" s="14" t="s">
        <v>1649</v>
      </c>
      <c r="E936" s="48">
        <v>45661.0</v>
      </c>
      <c r="F936" s="38">
        <v>45675.5</v>
      </c>
      <c r="G936" s="17" t="str">
        <f t="shared" si="61"/>
        <v>14 Д</v>
      </c>
      <c r="H936" s="18">
        <f t="shared" si="58"/>
        <v>798</v>
      </c>
      <c r="I936" s="19" t="str">
        <f t="shared" si="39"/>
        <v/>
      </c>
      <c r="J936" s="20" t="str">
        <f t="shared" si="25"/>
        <v/>
      </c>
      <c r="K936" s="23">
        <v>11172.0</v>
      </c>
      <c r="L936" s="20"/>
      <c r="M936" s="23">
        <v>798.0</v>
      </c>
      <c r="N936" s="49">
        <v>14500.0</v>
      </c>
      <c r="O936" s="22">
        <f>IFERROR(__xludf.DUMMYFUNCTION("IFERROR(
  VLOOKUP(C936,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C936
    ), 
    7, FALSE
  ), 
  """"
)
"),21100.0)</f>
        <v>21100</v>
      </c>
      <c r="P936" s="22">
        <f>IFERROR(__xludf.DUMMYFUNCTION("IF(AND(Q936="""", R936=""""),
  """",
  IF(OR(ISBLANK(Q936), ISBLANK(O936)),
    """",
    IF(VALUE(SUBSTITUTE(INDEX(SPLIT(IF(ISBLANK(R936), Q936, R936), "",""), 0, 1), "" Km"", """")) - O936 = 0,
      """",
      VALUE(SUBSTITUTE(INDEX(SPLIT(IF(ISBLANK("&amp;"R936), Q936, R936), "",""), 0, 1), "" Km"", """")) - O936
    )
  )
)"),-6600.0)</f>
        <v>-6600</v>
      </c>
      <c r="Q936" s="23" t="str">
        <f t="shared" si="4"/>
        <v>14 500 Km, 04.01.2025</v>
      </c>
      <c r="R936" s="20"/>
      <c r="S936" s="41">
        <v>7000.0</v>
      </c>
      <c r="T936" s="13">
        <v>3.0</v>
      </c>
      <c r="U936" s="13" t="s">
        <v>1650</v>
      </c>
      <c r="V936" s="24"/>
      <c r="W936" s="24" t="str">
        <f t="shared" si="46"/>
        <v>Завершена</v>
      </c>
      <c r="X936" s="13" t="str">
        <f>IFERROR(__xludf.DUMMYFUNCTION("IF(C936 = """", """", IF(REGEXMATCH(C936, ""PCX|NMAX|ADV 150|CLICK""), ""скутер"", ""мото""))"),"мото")</f>
        <v>мото</v>
      </c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</row>
    <row r="937" hidden="1">
      <c r="A937" s="25" t="s">
        <v>24</v>
      </c>
      <c r="B937" s="25" t="s">
        <v>25</v>
      </c>
      <c r="C937" s="27" t="s">
        <v>68</v>
      </c>
      <c r="D937" s="27" t="s">
        <v>1651</v>
      </c>
      <c r="E937" s="43">
        <v>45662.0</v>
      </c>
      <c r="F937" s="39">
        <v>45681.541666666664</v>
      </c>
      <c r="G937" s="30" t="str">
        <f t="shared" si="61"/>
        <v>19 Д</v>
      </c>
      <c r="H937" s="31">
        <f t="shared" si="58"/>
        <v>389</v>
      </c>
      <c r="I937" s="32" t="str">
        <f t="shared" si="39"/>
        <v/>
      </c>
      <c r="J937" s="33" t="str">
        <f t="shared" si="25"/>
        <v/>
      </c>
      <c r="K937" s="36">
        <v>7391.0</v>
      </c>
      <c r="L937" s="33"/>
      <c r="M937" s="36">
        <v>389.0</v>
      </c>
      <c r="N937" s="44">
        <v>29301.0</v>
      </c>
      <c r="O937" s="35">
        <f>IFERROR(__xludf.DUMMYFUNCTION("IFERROR(
  VLOOKUP(C937,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C937
    ), 
    7, FALSE
  ), 
  """"
)
"),24094.0)</f>
        <v>24094</v>
      </c>
      <c r="P937" s="35">
        <f>IFERROR(__xludf.DUMMYFUNCTION("IF(AND(Q937="""", R937=""""),
  """",
  IF(OR(ISBLANK(Q937), ISBLANK(O937)),
    """",
    IF(VALUE(SUBSTITUTE(INDEX(SPLIT(IF(ISBLANK(R937), Q937, R937), "",""), 0, 1), "" Km"", """")) - O937 = 0,
      """",
      VALUE(SUBSTITUTE(INDEX(SPLIT(IF(ISBLANK("&amp;"R937), Q937, R937), "",""), 0, 1), "" Km"", """")) - O937
    )
  )
)"),5207.0)</f>
        <v>5207</v>
      </c>
      <c r="Q937" s="36" t="str">
        <f t="shared" si="4"/>
        <v>29 301 Km, 05.01.2025</v>
      </c>
      <c r="R937" s="33"/>
      <c r="S937" s="40">
        <v>3000.0</v>
      </c>
      <c r="T937" s="25">
        <v>2.0</v>
      </c>
      <c r="U937" s="25" t="s">
        <v>1652</v>
      </c>
      <c r="V937" s="37"/>
      <c r="W937" s="37" t="str">
        <f t="shared" si="46"/>
        <v>Завершена</v>
      </c>
      <c r="X937" s="25" t="str">
        <f>IFERROR(__xludf.DUMMYFUNCTION("IF(C937 = """", """", IF(REGEXMATCH(C937, ""PCX|NMAX|ADV 150|CLICK""), ""скутер"", ""мото""))"),"скутер")</f>
        <v>скутер</v>
      </c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</row>
    <row r="938" hidden="1">
      <c r="A938" s="13" t="s">
        <v>24</v>
      </c>
      <c r="B938" s="13" t="s">
        <v>25</v>
      </c>
      <c r="C938" s="14" t="s">
        <v>48</v>
      </c>
      <c r="D938" s="14" t="s">
        <v>868</v>
      </c>
      <c r="E938" s="48">
        <v>45662.0</v>
      </c>
      <c r="F938" s="38">
        <v>45691.583333333336</v>
      </c>
      <c r="G938" s="17" t="str">
        <f t="shared" si="61"/>
        <v>29 Д</v>
      </c>
      <c r="H938" s="18">
        <f t="shared" si="58"/>
        <v>273</v>
      </c>
      <c r="I938" s="19" t="str">
        <f t="shared" si="39"/>
        <v/>
      </c>
      <c r="J938" s="20" t="str">
        <f t="shared" si="25"/>
        <v/>
      </c>
      <c r="K938" s="23">
        <v>7917.0</v>
      </c>
      <c r="L938" s="20"/>
      <c r="M938" s="23">
        <v>273.0</v>
      </c>
      <c r="N938" s="49">
        <v>27735.0</v>
      </c>
      <c r="O938" s="22">
        <f>IFERROR(__xludf.DUMMYFUNCTION("IFERROR(
  VLOOKUP(C938,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C938
    ), 
    7, FALSE
  ), 
  """"
)
"),35800.0)</f>
        <v>35800</v>
      </c>
      <c r="P938" s="22">
        <f>IFERROR(__xludf.DUMMYFUNCTION("IF(AND(Q938="""", R938=""""),
  """",
  IF(OR(ISBLANK(Q938), ISBLANK(O938)),
    """",
    IF(VALUE(SUBSTITUTE(INDEX(SPLIT(IF(ISBLANK(R938), Q938, R938), "",""), 0, 1), "" Km"", """")) - O938 = 0,
      """",
      VALUE(SUBSTITUTE(INDEX(SPLIT(IF(ISBLANK("&amp;"R938), Q938, R938), "",""), 0, 1), "" Km"", """")) - O938
    )
  )
)"),-8065.0)</f>
        <v>-8065</v>
      </c>
      <c r="Q938" s="23" t="str">
        <f t="shared" si="4"/>
        <v>27 735 Km, 05.01.2025</v>
      </c>
      <c r="R938" s="20"/>
      <c r="S938" s="41">
        <v>3000.0</v>
      </c>
      <c r="T938" s="13">
        <v>2.0</v>
      </c>
      <c r="U938" s="13" t="s">
        <v>1653</v>
      </c>
      <c r="V938" s="24"/>
      <c r="W938" s="24" t="str">
        <f t="shared" si="46"/>
        <v>Завершена</v>
      </c>
      <c r="X938" s="13" t="str">
        <f>IFERROR(__xludf.DUMMYFUNCTION("IF(C938 = """", """", IF(REGEXMATCH(C938, ""PCX|NMAX|ADV 150|CLICK""), ""скутер"", ""мото""))"),"скутер")</f>
        <v>скутер</v>
      </c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</row>
    <row r="939" hidden="1">
      <c r="A939" s="25" t="s">
        <v>24</v>
      </c>
      <c r="B939" s="25" t="s">
        <v>25</v>
      </c>
      <c r="C939" s="27" t="s">
        <v>928</v>
      </c>
      <c r="D939" s="27" t="s">
        <v>1654</v>
      </c>
      <c r="E939" s="43">
        <v>45663.0</v>
      </c>
      <c r="F939" s="39">
        <v>45673.625</v>
      </c>
      <c r="G939" s="30" t="str">
        <f t="shared" si="61"/>
        <v>10 Д</v>
      </c>
      <c r="H939" s="31">
        <f t="shared" si="58"/>
        <v>937</v>
      </c>
      <c r="I939" s="32" t="str">
        <f t="shared" si="39"/>
        <v/>
      </c>
      <c r="J939" s="33" t="str">
        <f t="shared" si="25"/>
        <v/>
      </c>
      <c r="K939" s="36">
        <v>9370.0</v>
      </c>
      <c r="L939" s="33"/>
      <c r="M939" s="36">
        <v>937.0</v>
      </c>
      <c r="N939" s="34"/>
      <c r="O939" s="35">
        <f>IFERROR(__xludf.DUMMYFUNCTION("IFERROR(
  VLOOKUP(C939,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C939
    ), 
    7, FALSE
  ), 
  """"
)
"),11000.0)</f>
        <v>11000</v>
      </c>
      <c r="P939" s="35">
        <f>IFERROR(__xludf.DUMMYFUNCTION("IF(AND(Q939="""", R939=""""),
  """",
  IF(OR(ISBLANK(Q939), ISBLANK(O939)),
    """",
    IF(VALUE(SUBSTITUTE(INDEX(SPLIT(IF(ISBLANK(R939), Q939, R939), "",""), 0, 1), "" Km"", """")) - O939 = 0,
      """",
      VALUE(SUBSTITUTE(INDEX(SPLIT(IF(ISBLANK("&amp;"R939), Q939, R939), "",""), 0, 1), "" Km"", """")) - O939
    )
  )
)"),-11000.0)</f>
        <v>-11000</v>
      </c>
      <c r="Q939" s="36" t="str">
        <f t="shared" si="4"/>
        <v>0 Km, 06.01.2025</v>
      </c>
      <c r="R939" s="33"/>
      <c r="S939" s="40">
        <v>200.0</v>
      </c>
      <c r="T939" s="25">
        <v>2.0</v>
      </c>
      <c r="U939" s="25" t="s">
        <v>1655</v>
      </c>
      <c r="V939" s="37"/>
      <c r="W939" s="37" t="str">
        <f t="shared" si="46"/>
        <v>Завершена</v>
      </c>
      <c r="X939" s="25" t="str">
        <f>IFERROR(__xludf.DUMMYFUNCTION("IF(C939 = """", """", IF(REGEXMATCH(C939, ""PCX|NMAX|ADV 150|CLICK""), ""скутер"", ""мото""))"),"мото")</f>
        <v>мото</v>
      </c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</row>
    <row r="940" hidden="1">
      <c r="A940" s="13" t="s">
        <v>24</v>
      </c>
      <c r="B940" s="13" t="s">
        <v>25</v>
      </c>
      <c r="C940" s="14" t="s">
        <v>461</v>
      </c>
      <c r="D940" s="14" t="s">
        <v>1656</v>
      </c>
      <c r="E940" s="48">
        <v>45664.0</v>
      </c>
      <c r="F940" s="38">
        <v>45674.583333333336</v>
      </c>
      <c r="G940" s="17" t="str">
        <f t="shared" si="61"/>
        <v>10 Д</v>
      </c>
      <c r="H940" s="18">
        <f t="shared" si="58"/>
        <v>726</v>
      </c>
      <c r="I940" s="19" t="str">
        <f t="shared" si="39"/>
        <v/>
      </c>
      <c r="J940" s="20" t="str">
        <f t="shared" si="25"/>
        <v/>
      </c>
      <c r="K940" s="23">
        <v>7260.0</v>
      </c>
      <c r="L940" s="20"/>
      <c r="M940" s="23">
        <v>726.0</v>
      </c>
      <c r="N940" s="21"/>
      <c r="O940" s="22">
        <f>IFERROR(__xludf.DUMMYFUNCTION("IFERROR(
  VLOOKUP(C940,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C940
    ), 
    7, FALSE
  ), 
  """"
)
"),30500.0)</f>
        <v>30500</v>
      </c>
      <c r="P940" s="22">
        <f>IFERROR(__xludf.DUMMYFUNCTION("IF(AND(Q940="""", R940=""""),
  """",
  IF(OR(ISBLANK(Q940), ISBLANK(O940)),
    """",
    IF(VALUE(SUBSTITUTE(INDEX(SPLIT(IF(ISBLANK(R940), Q940, R940), "",""), 0, 1), "" Km"", """")) - O940 = 0,
      """",
      VALUE(SUBSTITUTE(INDEX(SPLIT(IF(ISBLANK("&amp;"R940), Q940, R940), "",""), 0, 1), "" Km"", """")) - O940
    )
  )
)"),-30500.0)</f>
        <v>-30500</v>
      </c>
      <c r="Q940" s="23" t="str">
        <f t="shared" si="4"/>
        <v>0 Km, 07.01.2025</v>
      </c>
      <c r="R940" s="20"/>
      <c r="S940" s="41">
        <v>15000.0</v>
      </c>
      <c r="T940" s="13">
        <v>2.0</v>
      </c>
      <c r="U940" s="13" t="s">
        <v>1657</v>
      </c>
      <c r="V940" s="24"/>
      <c r="W940" s="24" t="str">
        <f t="shared" si="46"/>
        <v>Завершена</v>
      </c>
      <c r="X940" s="13" t="str">
        <f>IFERROR(__xludf.DUMMYFUNCTION("IF(C940 = """", """", IF(REGEXMATCH(C940, ""PCX|NMAX|ADV 150|CLICK""), ""скутер"", ""мото""))"),"мото")</f>
        <v>мото</v>
      </c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</row>
    <row r="941" hidden="1">
      <c r="A941" s="25" t="s">
        <v>24</v>
      </c>
      <c r="B941" s="25" t="s">
        <v>25</v>
      </c>
      <c r="C941" s="27" t="s">
        <v>914</v>
      </c>
      <c r="D941" s="27" t="s">
        <v>1300</v>
      </c>
      <c r="E941" s="43">
        <v>45664.0</v>
      </c>
      <c r="F941" s="39">
        <v>45676.416666666664</v>
      </c>
      <c r="G941" s="30" t="str">
        <f t="shared" si="61"/>
        <v>12 Д</v>
      </c>
      <c r="H941" s="31">
        <f t="shared" si="58"/>
        <v>2449</v>
      </c>
      <c r="I941" s="32" t="str">
        <f t="shared" si="39"/>
        <v/>
      </c>
      <c r="J941" s="33" t="str">
        <f t="shared" si="25"/>
        <v/>
      </c>
      <c r="K941" s="36">
        <v>27388.0</v>
      </c>
      <c r="L941" s="33"/>
      <c r="M941" s="36">
        <v>2449.0</v>
      </c>
      <c r="N941" s="44">
        <v>8500.0</v>
      </c>
      <c r="O941" s="35">
        <f>IFERROR(__xludf.DUMMYFUNCTION("IFERROR(
  VLOOKUP(C941,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C941
    ), 
    7, FALSE
  ), 
  """"
)
"),17900.0)</f>
        <v>17900</v>
      </c>
      <c r="P941" s="35">
        <f>IFERROR(__xludf.DUMMYFUNCTION("IF(AND(Q941="""", R941=""""),
  """",
  IF(OR(ISBLANK(Q941), ISBLANK(O941)),
    """",
    IF(VALUE(SUBSTITUTE(INDEX(SPLIT(IF(ISBLANK(R941), Q941, R941), "",""), 0, 1), "" Km"", """")) - O941 = 0,
      """",
      VALUE(SUBSTITUTE(INDEX(SPLIT(IF(ISBLANK("&amp;"R941), Q941, R941), "",""), 0, 1), "" Km"", """")) - O941
    )
  )
)"),-9400.0)</f>
        <v>-9400</v>
      </c>
      <c r="Q941" s="36" t="str">
        <f t="shared" si="4"/>
        <v>8 500 Km, 07.01.2025</v>
      </c>
      <c r="R941" s="33"/>
      <c r="S941" s="40">
        <v>35000.0</v>
      </c>
      <c r="T941" s="25">
        <v>0.0</v>
      </c>
      <c r="U941" s="25" t="s">
        <v>1658</v>
      </c>
      <c r="V941" s="37"/>
      <c r="W941" s="37" t="str">
        <f t="shared" si="46"/>
        <v>Завершена</v>
      </c>
      <c r="X941" s="25" t="str">
        <f>IFERROR(__xludf.DUMMYFUNCTION("IF(C941 = """", """", IF(REGEXMATCH(C941, ""PCX|NMAX|ADV 150|CLICK""), ""скутер"", ""мото""))"),"мото")</f>
        <v>мото</v>
      </c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</row>
    <row r="942" hidden="1">
      <c r="A942" s="13" t="s">
        <v>24</v>
      </c>
      <c r="B942" s="13" t="s">
        <v>25</v>
      </c>
      <c r="C942" s="14" t="s">
        <v>56</v>
      </c>
      <c r="D942" s="14" t="s">
        <v>1659</v>
      </c>
      <c r="E942" s="48">
        <v>45665.0</v>
      </c>
      <c r="F942" s="38">
        <v>45672.583333333336</v>
      </c>
      <c r="G942" s="17" t="str">
        <f t="shared" si="61"/>
        <v>7 Д</v>
      </c>
      <c r="H942" s="18">
        <f t="shared" si="58"/>
        <v>469</v>
      </c>
      <c r="I942" s="19" t="str">
        <f t="shared" si="39"/>
        <v/>
      </c>
      <c r="J942" s="20" t="str">
        <f t="shared" si="25"/>
        <v/>
      </c>
      <c r="K942" s="23">
        <v>3283.0</v>
      </c>
      <c r="L942" s="20"/>
      <c r="M942" s="23">
        <v>469.0</v>
      </c>
      <c r="N942" s="21"/>
      <c r="O942" s="22">
        <f>IFERROR(__xludf.DUMMYFUNCTION("IFERROR(
  VLOOKUP(C942,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C942
    ), 
    7, FALSE
  ), 
  """"
)
"),36400.0)</f>
        <v>36400</v>
      </c>
      <c r="P942" s="22">
        <f>IFERROR(__xludf.DUMMYFUNCTION("IF(AND(Q942="""", R942=""""),
  """",
  IF(OR(ISBLANK(Q942), ISBLANK(O942)),
    """",
    IF(VALUE(SUBSTITUTE(INDEX(SPLIT(IF(ISBLANK(R942), Q942, R942), "",""), 0, 1), "" Km"", """")) - O942 = 0,
      """",
      VALUE(SUBSTITUTE(INDEX(SPLIT(IF(ISBLANK("&amp;"R942), Q942, R942), "",""), 0, 1), "" Km"", """")) - O942
    )
  )
)"),-36400.0)</f>
        <v>-36400</v>
      </c>
      <c r="Q942" s="23" t="str">
        <f t="shared" si="4"/>
        <v>0 Km, 08.01.2025</v>
      </c>
      <c r="R942" s="20"/>
      <c r="S942" s="41">
        <v>3000.0</v>
      </c>
      <c r="T942" s="13">
        <v>1.0</v>
      </c>
      <c r="U942" s="13" t="s">
        <v>1660</v>
      </c>
      <c r="V942" s="24"/>
      <c r="W942" s="24" t="str">
        <f t="shared" si="46"/>
        <v>Завершена</v>
      </c>
      <c r="X942" s="13" t="str">
        <f>IFERROR(__xludf.DUMMYFUNCTION("IF(C942 = """", """", IF(REGEXMATCH(C942, ""PCX|NMAX|ADV 150|CLICK""), ""скутер"", ""мото""))"),"скутер")</f>
        <v>скутер</v>
      </c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</row>
    <row r="943" hidden="1">
      <c r="A943" s="25" t="s">
        <v>24</v>
      </c>
      <c r="B943" s="25" t="s">
        <v>25</v>
      </c>
      <c r="C943" s="27" t="s">
        <v>202</v>
      </c>
      <c r="D943" s="27" t="s">
        <v>1661</v>
      </c>
      <c r="E943" s="43">
        <v>45665.0</v>
      </c>
      <c r="F943" s="39">
        <v>45675.375</v>
      </c>
      <c r="G943" s="30" t="str">
        <f t="shared" si="61"/>
        <v>10 Д</v>
      </c>
      <c r="H943" s="31">
        <f t="shared" si="58"/>
        <v>641.3333333</v>
      </c>
      <c r="I943" s="32" t="str">
        <f t="shared" si="39"/>
        <v/>
      </c>
      <c r="J943" s="33" t="str">
        <f t="shared" si="25"/>
        <v/>
      </c>
      <c r="K943" s="36">
        <v>6400.0</v>
      </c>
      <c r="L943" s="33"/>
      <c r="M943" s="36">
        <f>5772/9</f>
        <v>641.3333333</v>
      </c>
      <c r="N943" s="44">
        <v>23000.0</v>
      </c>
      <c r="O943" s="35">
        <f>IFERROR(__xludf.DUMMYFUNCTION("IFERROR(
  VLOOKUP(C943,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C943
    ), 
    7, FALSE
  ), 
  """"
)
"),30225.0)</f>
        <v>30225</v>
      </c>
      <c r="P943" s="35">
        <f>IFERROR(__xludf.DUMMYFUNCTION("IF(AND(Q943="""", R943=""""),
  """",
  IF(OR(ISBLANK(Q943), ISBLANK(O943)),
    """",
    IF(VALUE(SUBSTITUTE(INDEX(SPLIT(IF(ISBLANK(R943), Q943, R943), "",""), 0, 1), "" Km"", """")) - O943 = 0,
      """",
      VALUE(SUBSTITUTE(INDEX(SPLIT(IF(ISBLANK("&amp;"R943), Q943, R943), "",""), 0, 1), "" Km"", """")) - O943
    )
  )
)"),-7225.0)</f>
        <v>-7225</v>
      </c>
      <c r="Q943" s="36" t="str">
        <f t="shared" si="4"/>
        <v>23 000 Km, 08.01.2025</v>
      </c>
      <c r="R943" s="33"/>
      <c r="S943" s="40">
        <v>5000.0</v>
      </c>
      <c r="T943" s="25">
        <v>3.0</v>
      </c>
      <c r="U943" s="25" t="s">
        <v>1662</v>
      </c>
      <c r="V943" s="37"/>
      <c r="W943" s="37" t="str">
        <f t="shared" si="46"/>
        <v>Завершена</v>
      </c>
      <c r="X943" s="25" t="str">
        <f>IFERROR(__xludf.DUMMYFUNCTION("IF(C943 = """", """", IF(REGEXMATCH(C943, ""PCX|NMAX|ADV 150|CLICK""), ""скутер"", ""мото""))"),"мото")</f>
        <v>мото</v>
      </c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</row>
    <row r="944" hidden="1">
      <c r="A944" s="13" t="s">
        <v>24</v>
      </c>
      <c r="B944" s="13" t="s">
        <v>25</v>
      </c>
      <c r="C944" s="14" t="s">
        <v>916</v>
      </c>
      <c r="D944" s="14" t="s">
        <v>1663</v>
      </c>
      <c r="E944" s="48">
        <v>45666.0</v>
      </c>
      <c r="F944" s="38">
        <v>45672.583333333336</v>
      </c>
      <c r="G944" s="17" t="str">
        <f t="shared" si="61"/>
        <v>6 Д</v>
      </c>
      <c r="H944" s="18">
        <f t="shared" si="58"/>
        <v>1350</v>
      </c>
      <c r="I944" s="19" t="str">
        <f t="shared" si="39"/>
        <v/>
      </c>
      <c r="J944" s="20" t="str">
        <f t="shared" si="25"/>
        <v/>
      </c>
      <c r="K944" s="23">
        <f>8100-2700</f>
        <v>5400</v>
      </c>
      <c r="L944" s="20"/>
      <c r="M944" s="23">
        <v>1350.0</v>
      </c>
      <c r="N944" s="21"/>
      <c r="O944" s="22">
        <f>IFERROR(__xludf.DUMMYFUNCTION("IFERROR(
  VLOOKUP(C944,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C944
    ), 
    7, FALSE
  ), 
  """"
)
"),29300.0)</f>
        <v>29300</v>
      </c>
      <c r="P944" s="22">
        <f>IFERROR(__xludf.DUMMYFUNCTION("IF(AND(Q944="""", R944=""""),
  """",
  IF(OR(ISBLANK(Q944), ISBLANK(O944)),
    """",
    IF(VALUE(SUBSTITUTE(INDEX(SPLIT(IF(ISBLANK(R944), Q944, R944), "",""), 0, 1), "" Km"", """")) - O944 = 0,
      """",
      VALUE(SUBSTITUTE(INDEX(SPLIT(IF(ISBLANK("&amp;"R944), Q944, R944), "",""), 0, 1), "" Km"", """")) - O944
    )
  )
)"),-29300.0)</f>
        <v>-29300</v>
      </c>
      <c r="Q944" s="23" t="str">
        <f t="shared" si="4"/>
        <v>0 Km, 09.01.2025</v>
      </c>
      <c r="R944" s="20"/>
      <c r="S944" s="41">
        <v>20000.0</v>
      </c>
      <c r="T944" s="13">
        <v>2.0</v>
      </c>
      <c r="U944" s="13" t="s">
        <v>1664</v>
      </c>
      <c r="V944" s="24"/>
      <c r="W944" s="24" t="str">
        <f t="shared" si="46"/>
        <v>Завершена</v>
      </c>
      <c r="X944" s="13" t="str">
        <f>IFERROR(__xludf.DUMMYFUNCTION("IF(C944 = """", """", IF(REGEXMATCH(C944, ""PCX|NMAX|ADV 150|CLICK""), ""скутер"", ""мото""))"),"мото")</f>
        <v>мото</v>
      </c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</row>
    <row r="945" hidden="1">
      <c r="A945" s="25" t="s">
        <v>24</v>
      </c>
      <c r="B945" s="25" t="s">
        <v>25</v>
      </c>
      <c r="C945" s="27" t="s">
        <v>923</v>
      </c>
      <c r="D945" s="27" t="s">
        <v>1665</v>
      </c>
      <c r="E945" s="43">
        <v>45666.0</v>
      </c>
      <c r="F945" s="39">
        <v>45679.5</v>
      </c>
      <c r="G945" s="30" t="str">
        <f t="shared" si="61"/>
        <v>13 Д</v>
      </c>
      <c r="H945" s="31">
        <f t="shared" si="58"/>
        <v>863</v>
      </c>
      <c r="I945" s="32" t="str">
        <f t="shared" si="39"/>
        <v/>
      </c>
      <c r="J945" s="33" t="str">
        <f t="shared" si="25"/>
        <v/>
      </c>
      <c r="K945" s="36">
        <v>11219.0</v>
      </c>
      <c r="L945" s="33"/>
      <c r="M945" s="36">
        <v>863.0</v>
      </c>
      <c r="N945" s="34"/>
      <c r="O945" s="35">
        <f>IFERROR(__xludf.DUMMYFUNCTION("IFERROR(
  VLOOKUP(C945,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C945
    ), 
    7, FALSE
  ), 
  """"
)
"),25378.0)</f>
        <v>25378</v>
      </c>
      <c r="P945" s="35">
        <f>IFERROR(__xludf.DUMMYFUNCTION("IF(AND(Q945="""", R945=""""),
  """",
  IF(OR(ISBLANK(Q945), ISBLANK(O945)),
    """",
    IF(VALUE(SUBSTITUTE(INDEX(SPLIT(IF(ISBLANK(R945), Q945, R945), "",""), 0, 1), "" Km"", """")) - O945 = 0,
      """",
      VALUE(SUBSTITUTE(INDEX(SPLIT(IF(ISBLANK("&amp;"R945), Q945, R945), "",""), 0, 1), "" Km"", """")) - O945
    )
  )
)"),-25378.0)</f>
        <v>-25378</v>
      </c>
      <c r="Q945" s="36" t="str">
        <f t="shared" si="4"/>
        <v>0 Km, 09.01.2025</v>
      </c>
      <c r="R945" s="33"/>
      <c r="S945" s="40">
        <v>7000.0</v>
      </c>
      <c r="T945" s="25">
        <v>2.0</v>
      </c>
      <c r="U945" s="25" t="s">
        <v>1666</v>
      </c>
      <c r="V945" s="37"/>
      <c r="W945" s="37" t="str">
        <f t="shared" si="46"/>
        <v>Завершена</v>
      </c>
      <c r="X945" s="25" t="str">
        <f>IFERROR(__xludf.DUMMYFUNCTION("IF(C945 = """", """", IF(REGEXMATCH(C945, ""PCX|NMAX|ADV 150|CLICK""), ""скутер"", ""мото""))"),"мото")</f>
        <v>мото</v>
      </c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</row>
    <row r="946" hidden="1">
      <c r="A946" s="13" t="s">
        <v>24</v>
      </c>
      <c r="B946" s="13" t="s">
        <v>25</v>
      </c>
      <c r="C946" s="14" t="s">
        <v>155</v>
      </c>
      <c r="D946" s="14" t="s">
        <v>1667</v>
      </c>
      <c r="E946" s="48">
        <v>45666.0</v>
      </c>
      <c r="F946" s="38">
        <v>45687.541666666664</v>
      </c>
      <c r="G946" s="17" t="str">
        <f t="shared" si="61"/>
        <v>21 Д</v>
      </c>
      <c r="H946" s="18">
        <f t="shared" si="58"/>
        <v>710</v>
      </c>
      <c r="I946" s="19" t="str">
        <f t="shared" si="39"/>
        <v/>
      </c>
      <c r="J946" s="20" t="str">
        <f t="shared" si="25"/>
        <v/>
      </c>
      <c r="K946" s="23">
        <f>16548-1700-4198</f>
        <v>10650</v>
      </c>
      <c r="L946" s="20"/>
      <c r="M946" s="23">
        <v>710.0</v>
      </c>
      <c r="N946" s="49">
        <v>18000.0</v>
      </c>
      <c r="O946" s="22" t="str">
        <f>IFERROR(__xludf.DUMMYFUNCTION("IFERROR(
  VLOOKUP(C946,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C946
    ), 
    7, FALSE
  ), 
  """"
)
"),"")</f>
        <v/>
      </c>
      <c r="P946" s="22">
        <f>IFERROR(__xludf.DUMMYFUNCTION("IF(AND(Q946="""", R946=""""),
  """",
  IF(OR(ISBLANK(Q946), ISBLANK(O946)),
    """",
    IF(VALUE(SUBSTITUTE(INDEX(SPLIT(IF(ISBLANK(R946), Q946, R946), "",""), 0, 1), "" Km"", """")) - O946 = 0,
      """",
      VALUE(SUBSTITUTE(INDEX(SPLIT(IF(ISBLANK("&amp;"R946), Q946, R946), "",""), 0, 1), "" Km"", """")) - O946
    )
  )
)"),18000.0)</f>
        <v>18000</v>
      </c>
      <c r="Q946" s="23" t="str">
        <f t="shared" si="4"/>
        <v>18 000 Km, 09.01.2025</v>
      </c>
      <c r="R946" s="20"/>
      <c r="S946" s="41">
        <v>7000.0</v>
      </c>
      <c r="T946" s="13">
        <v>2.0</v>
      </c>
      <c r="U946" s="13" t="s">
        <v>1628</v>
      </c>
      <c r="V946" s="24"/>
      <c r="W946" s="24" t="str">
        <f t="shared" si="46"/>
        <v>Завершена</v>
      </c>
      <c r="X946" s="13" t="str">
        <f>IFERROR(__xludf.DUMMYFUNCTION("IF(C946 = """", """", IF(REGEXMATCH(C946, ""PCX|NMAX|ADV 150|CLICK""), ""скутер"", ""мото""))"),"мото")</f>
        <v>мото</v>
      </c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</row>
    <row r="947" hidden="1">
      <c r="A947" s="25" t="s">
        <v>24</v>
      </c>
      <c r="B947" s="25" t="s">
        <v>25</v>
      </c>
      <c r="C947" s="27" t="s">
        <v>44</v>
      </c>
      <c r="D947" s="27" t="s">
        <v>1668</v>
      </c>
      <c r="E947" s="43">
        <v>45667.0</v>
      </c>
      <c r="F947" s="39">
        <v>45690.666666666664</v>
      </c>
      <c r="G947" s="30" t="str">
        <f t="shared" si="61"/>
        <v>23 Д</v>
      </c>
      <c r="H947" s="31">
        <f t="shared" si="58"/>
        <v>490</v>
      </c>
      <c r="I947" s="32" t="str">
        <f t="shared" si="39"/>
        <v/>
      </c>
      <c r="J947" s="33" t="str">
        <f t="shared" si="25"/>
        <v/>
      </c>
      <c r="K947" s="36">
        <f>1960+3285+3285+2450</f>
        <v>10980</v>
      </c>
      <c r="L947" s="33"/>
      <c r="M947" s="36">
        <v>490.0</v>
      </c>
      <c r="N947" s="34"/>
      <c r="O947" s="35">
        <f>IFERROR(__xludf.DUMMYFUNCTION("IFERROR(
  VLOOKUP(C947,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C947
    ), 
    7, FALSE
  ), 
  """"
)
"),30800.0)</f>
        <v>30800</v>
      </c>
      <c r="P947" s="35">
        <f>IFERROR(__xludf.DUMMYFUNCTION("IF(AND(Q947="""", R947=""""),
  """",
  IF(OR(ISBLANK(Q947), ISBLANK(O947)),
    """",
    IF(VALUE(SUBSTITUTE(INDEX(SPLIT(IF(ISBLANK(R947), Q947, R947), "",""), 0, 1), "" Km"", """")) - O947 = 0,
      """",
      VALUE(SUBSTITUTE(INDEX(SPLIT(IF(ISBLANK("&amp;"R947), Q947, R947), "",""), 0, 1), "" Km"", """")) - O947
    )
  )
)"),-30800.0)</f>
        <v>-30800</v>
      </c>
      <c r="Q947" s="36" t="str">
        <f t="shared" si="4"/>
        <v>0 Km, 10.01.2025</v>
      </c>
      <c r="R947" s="33"/>
      <c r="S947" s="40">
        <v>3000.0</v>
      </c>
      <c r="T947" s="25">
        <v>1.0</v>
      </c>
      <c r="U947" s="25" t="s">
        <v>1669</v>
      </c>
      <c r="V947" s="37"/>
      <c r="W947" s="37" t="str">
        <f t="shared" si="46"/>
        <v>Завершена</v>
      </c>
      <c r="X947" s="25" t="str">
        <f>IFERROR(__xludf.DUMMYFUNCTION("IF(C947 = """", """", IF(REGEXMATCH(C947, ""PCX|NMAX|ADV 150|CLICK""), ""скутер"", ""мото""))"),"скутер")</f>
        <v>скутер</v>
      </c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</row>
    <row r="948" hidden="1">
      <c r="A948" s="13" t="s">
        <v>24</v>
      </c>
      <c r="B948" s="14" t="s">
        <v>25</v>
      </c>
      <c r="C948" s="105" t="s">
        <v>960</v>
      </c>
      <c r="D948" s="105" t="s">
        <v>1616</v>
      </c>
      <c r="E948" s="48">
        <v>45668.0</v>
      </c>
      <c r="F948" s="16">
        <v>45674.666666666664</v>
      </c>
      <c r="G948" s="17" t="str">
        <f t="shared" si="61"/>
        <v>6 Д</v>
      </c>
      <c r="H948" s="18">
        <f t="shared" si="58"/>
        <v>659</v>
      </c>
      <c r="I948" s="19" t="str">
        <f t="shared" si="39"/>
        <v/>
      </c>
      <c r="J948" s="20" t="str">
        <f t="shared" si="25"/>
        <v/>
      </c>
      <c r="K948" s="20">
        <f>6*659</f>
        <v>3954</v>
      </c>
      <c r="L948" s="92"/>
      <c r="M948" s="23">
        <v>659.0</v>
      </c>
      <c r="N948" s="21"/>
      <c r="O948" s="22">
        <f>IFERROR(__xludf.DUMMYFUNCTION("IFERROR(
  VLOOKUP(C948,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C948
    ), 
    7, FALSE
  ), 
  """"
)
"),20316.0)</f>
        <v>20316</v>
      </c>
      <c r="P948" s="22">
        <f>IFERROR(__xludf.DUMMYFUNCTION("IF(AND(Q948="""", R948=""""),
  """",
  IF(OR(ISBLANK(Q948), ISBLANK(O948)),
    """",
    IF(VALUE(SUBSTITUTE(INDEX(SPLIT(IF(ISBLANK(R948), Q948, R948), "",""), 0, 1), "" Km"", """")) - O948 = 0,
      """",
      VALUE(SUBSTITUTE(INDEX(SPLIT(IF(ISBLANK("&amp;"R948), Q948, R948), "",""), 0, 1), "" Km"", """")) - O948
    )
  )
)"),-20316.0)</f>
        <v>-20316</v>
      </c>
      <c r="Q948" s="20" t="str">
        <f t="shared" si="4"/>
        <v>0 Km, 11.01.2025</v>
      </c>
      <c r="R948" s="92"/>
      <c r="S948" s="18" t="s">
        <v>1617</v>
      </c>
      <c r="T948" s="24">
        <v>2.0</v>
      </c>
      <c r="U948" s="24" t="s">
        <v>1618</v>
      </c>
      <c r="V948" s="168"/>
      <c r="W948" s="24" t="str">
        <f t="shared" si="46"/>
        <v>Завершена</v>
      </c>
      <c r="X948" s="42" t="str">
        <f>IFERROR(__xludf.DUMMYFUNCTION("IF(C948 = """", """", IF(REGEXMATCH(C948, ""PCX|NMAX|ADV 150|CLICK""), ""скутер"", ""мото""))"),"мото")</f>
        <v>мото</v>
      </c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</row>
    <row r="949" hidden="1">
      <c r="A949" s="25" t="s">
        <v>24</v>
      </c>
      <c r="B949" s="25" t="s">
        <v>25</v>
      </c>
      <c r="C949" s="27" t="s">
        <v>102</v>
      </c>
      <c r="D949" s="27" t="s">
        <v>1670</v>
      </c>
      <c r="E949" s="43">
        <v>45668.0</v>
      </c>
      <c r="F949" s="39">
        <v>45676.708333333336</v>
      </c>
      <c r="G949" s="30" t="str">
        <f t="shared" si="61"/>
        <v>8 Д</v>
      </c>
      <c r="H949" s="31">
        <f t="shared" si="58"/>
        <v>1500</v>
      </c>
      <c r="I949" s="32" t="str">
        <f t="shared" si="39"/>
        <v/>
      </c>
      <c r="J949" s="33" t="str">
        <f t="shared" si="25"/>
        <v/>
      </c>
      <c r="K949" s="36">
        <v>12000.0</v>
      </c>
      <c r="L949" s="33"/>
      <c r="M949" s="36">
        <v>1500.0</v>
      </c>
      <c r="N949" s="44">
        <v>45000.0</v>
      </c>
      <c r="O949" s="35">
        <f>IFERROR(__xludf.DUMMYFUNCTION("IFERROR(
  VLOOKUP(C949,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C949
    ), 
    7, FALSE
  ), 
  """"
)
"),63700.0)</f>
        <v>63700</v>
      </c>
      <c r="P949" s="35">
        <f>IFERROR(__xludf.DUMMYFUNCTION("IF(AND(Q949="""", R949=""""),
  """",
  IF(OR(ISBLANK(Q949), ISBLANK(O949)),
    """",
    IF(VALUE(SUBSTITUTE(INDEX(SPLIT(IF(ISBLANK(R949), Q949, R949), "",""), 0, 1), "" Km"", """")) - O949 = 0,
      """",
      VALUE(SUBSTITUTE(INDEX(SPLIT(IF(ISBLANK("&amp;"R949), Q949, R949), "",""), 0, 1), "" Km"", """")) - O949
    )
  )
)"),-18700.0)</f>
        <v>-18700</v>
      </c>
      <c r="Q949" s="36" t="str">
        <f t="shared" si="4"/>
        <v>45 000 Km, 11.01.2025</v>
      </c>
      <c r="R949" s="33"/>
      <c r="S949" s="40">
        <v>600.0</v>
      </c>
      <c r="T949" s="25">
        <v>2.0</v>
      </c>
      <c r="U949" s="71" t="s">
        <v>1671</v>
      </c>
      <c r="V949" s="37"/>
      <c r="W949" s="37" t="str">
        <f t="shared" si="46"/>
        <v>Завершена</v>
      </c>
      <c r="X949" s="25" t="str">
        <f>IFERROR(__xludf.DUMMYFUNCTION("IF(C949 = """", """", IF(REGEXMATCH(C949, ""PCX|NMAX|ADV 150|CLICK""), ""скутер"", ""мото""))"),"мото")</f>
        <v>мото</v>
      </c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</row>
    <row r="950" hidden="1">
      <c r="A950" s="13" t="s">
        <v>24</v>
      </c>
      <c r="B950" s="13" t="s">
        <v>25</v>
      </c>
      <c r="C950" s="14" t="s">
        <v>64</v>
      </c>
      <c r="D950" s="14" t="s">
        <v>1672</v>
      </c>
      <c r="E950" s="48">
        <v>45669.0</v>
      </c>
      <c r="F950" s="38">
        <v>45679.583333333336</v>
      </c>
      <c r="G950" s="17" t="str">
        <f t="shared" si="61"/>
        <v>10 Д</v>
      </c>
      <c r="H950" s="18">
        <f t="shared" si="58"/>
        <v>788</v>
      </c>
      <c r="I950" s="19" t="str">
        <f t="shared" si="39"/>
        <v/>
      </c>
      <c r="J950" s="20" t="str">
        <f t="shared" si="25"/>
        <v/>
      </c>
      <c r="K950" s="23">
        <v>7880.0</v>
      </c>
      <c r="L950" s="20"/>
      <c r="M950" s="23">
        <v>788.0</v>
      </c>
      <c r="N950" s="49">
        <v>26800.0</v>
      </c>
      <c r="O950" s="22">
        <f>IFERROR(__xludf.DUMMYFUNCTION("IFERROR(
  VLOOKUP(C950,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C950
    ), 
    7, FALSE
  ), 
  """"
)
"),32600.0)</f>
        <v>32600</v>
      </c>
      <c r="P950" s="22">
        <f>IFERROR(__xludf.DUMMYFUNCTION("IF(AND(Q950="""", R950=""""),
  """",
  IF(OR(ISBLANK(Q950), ISBLANK(O950)),
    """",
    IF(VALUE(SUBSTITUTE(INDEX(SPLIT(IF(ISBLANK(R950), Q950, R950), "",""), 0, 1), "" Km"", """")) - O950 = 0,
      """",
      VALUE(SUBSTITUTE(INDEX(SPLIT(IF(ISBLANK("&amp;"R950), Q950, R950), "",""), 0, 1), "" Km"", """")) - O950
    )
  )
)"),-5800.0)</f>
        <v>-5800</v>
      </c>
      <c r="Q950" s="23" t="str">
        <f t="shared" si="4"/>
        <v>26 800 Km, 12.01.2025</v>
      </c>
      <c r="R950" s="20"/>
      <c r="S950" s="41">
        <v>5000.0</v>
      </c>
      <c r="T950" s="13">
        <v>3.0</v>
      </c>
      <c r="U950" s="13" t="s">
        <v>1673</v>
      </c>
      <c r="V950" s="24"/>
      <c r="W950" s="24" t="str">
        <f t="shared" si="46"/>
        <v>Завершена</v>
      </c>
      <c r="X950" s="13" t="str">
        <f>IFERROR(__xludf.DUMMYFUNCTION("IF(C950 = """", """", IF(REGEXMATCH(C950, ""PCX|NMAX|ADV 150|CLICK""), ""скутер"", ""мото""))"),"мото")</f>
        <v>мото</v>
      </c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</row>
    <row r="951" ht="24.75" hidden="1" customHeight="1">
      <c r="A951" s="25" t="s">
        <v>24</v>
      </c>
      <c r="B951" s="25" t="s">
        <v>25</v>
      </c>
      <c r="C951" s="27" t="s">
        <v>92</v>
      </c>
      <c r="D951" s="27" t="s">
        <v>1672</v>
      </c>
      <c r="E951" s="43">
        <v>45669.0</v>
      </c>
      <c r="F951" s="39">
        <v>45679.583333333336</v>
      </c>
      <c r="G951" s="30" t="str">
        <f t="shared" si="61"/>
        <v>10 Д</v>
      </c>
      <c r="H951" s="31">
        <f t="shared" si="58"/>
        <v>788</v>
      </c>
      <c r="I951" s="32" t="str">
        <f t="shared" si="39"/>
        <v/>
      </c>
      <c r="J951" s="33" t="str">
        <f t="shared" si="25"/>
        <v/>
      </c>
      <c r="K951" s="36">
        <v>7880.0</v>
      </c>
      <c r="L951" s="33"/>
      <c r="M951" s="36">
        <v>788.0</v>
      </c>
      <c r="N951" s="34"/>
      <c r="O951" s="35">
        <f>IFERROR(__xludf.DUMMYFUNCTION("IFERROR(
  VLOOKUP(C951,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C951
    ), 
    7, FALSE
  ), 
  """"
)
"),23500.0)</f>
        <v>23500</v>
      </c>
      <c r="P951" s="35">
        <f>IFERROR(__xludf.DUMMYFUNCTION("IF(AND(Q951="""", R951=""""),
  """",
  IF(OR(ISBLANK(Q951), ISBLANK(O951)),
    """",
    IF(VALUE(SUBSTITUTE(INDEX(SPLIT(IF(ISBLANK(R951), Q951, R951), "",""), 0, 1), "" Km"", """")) - O951 = 0,
      """",
      VALUE(SUBSTITUTE(INDEX(SPLIT(IF(ISBLANK("&amp;"R951), Q951, R951), "",""), 0, 1), "" Km"", """")) - O951
    )
  )
)"),-23500.0)</f>
        <v>-23500</v>
      </c>
      <c r="Q951" s="36" t="str">
        <f t="shared" si="4"/>
        <v>0 Km, 12.01.2025</v>
      </c>
      <c r="R951" s="33"/>
      <c r="S951" s="40">
        <v>5000.0</v>
      </c>
      <c r="T951" s="25">
        <v>3.0</v>
      </c>
      <c r="U951" s="25" t="s">
        <v>1673</v>
      </c>
      <c r="V951" s="37"/>
      <c r="W951" s="37" t="str">
        <f t="shared" si="46"/>
        <v>Завершена</v>
      </c>
      <c r="X951" s="25" t="str">
        <f>IFERROR(__xludf.DUMMYFUNCTION("IF(C951 = """", """", IF(REGEXMATCH(C951, ""PCX|NMAX|ADV 150|CLICK""), ""скутер"", ""мото""))"),"мото")</f>
        <v>мото</v>
      </c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</row>
    <row r="952" hidden="1">
      <c r="A952" s="13" t="s">
        <v>24</v>
      </c>
      <c r="B952" s="13" t="s">
        <v>25</v>
      </c>
      <c r="C952" s="14" t="s">
        <v>77</v>
      </c>
      <c r="D952" s="14" t="s">
        <v>807</v>
      </c>
      <c r="E952" s="48">
        <v>45669.0</v>
      </c>
      <c r="F952" s="38">
        <v>45683.708333333336</v>
      </c>
      <c r="G952" s="17" t="str">
        <f t="shared" si="61"/>
        <v>14 Д</v>
      </c>
      <c r="H952" s="18">
        <f t="shared" si="58"/>
        <v>400</v>
      </c>
      <c r="I952" s="19" t="str">
        <f t="shared" si="39"/>
        <v/>
      </c>
      <c r="J952" s="20" t="str">
        <f t="shared" si="25"/>
        <v/>
      </c>
      <c r="K952" s="23">
        <f>400*14</f>
        <v>5600</v>
      </c>
      <c r="L952" s="20"/>
      <c r="M952" s="23">
        <v>400.0</v>
      </c>
      <c r="N952" s="49">
        <v>28000.0</v>
      </c>
      <c r="O952" s="22">
        <f>IFERROR(__xludf.DUMMYFUNCTION("IFERROR(
  VLOOKUP(C952,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C952
    ), 
    7, FALSE
  ), 
  """"
)
"),37300.0)</f>
        <v>37300</v>
      </c>
      <c r="P952" s="22">
        <f>IFERROR(__xludf.DUMMYFUNCTION("IF(AND(Q952="""", R952=""""),
  """",
  IF(OR(ISBLANK(Q952), ISBLANK(O952)),
    """",
    IF(VALUE(SUBSTITUTE(INDEX(SPLIT(IF(ISBLANK(R952), Q952, R952), "",""), 0, 1), "" Km"", """")) - O952 = 0,
      """",
      VALUE(SUBSTITUTE(INDEX(SPLIT(IF(ISBLANK("&amp;"R952), Q952, R952), "",""), 0, 1), "" Km"", """")) - O952
    )
  )
)"),-9300.0)</f>
        <v>-9300</v>
      </c>
      <c r="Q952" s="23" t="str">
        <f t="shared" si="4"/>
        <v>28 000 Km, 12.01.2025</v>
      </c>
      <c r="R952" s="20"/>
      <c r="S952" s="41">
        <v>3000.0</v>
      </c>
      <c r="T952" s="13">
        <v>2.0</v>
      </c>
      <c r="U952" s="13" t="s">
        <v>1674</v>
      </c>
      <c r="V952" s="24"/>
      <c r="W952" s="24" t="str">
        <f t="shared" si="46"/>
        <v>Завершена</v>
      </c>
      <c r="X952" s="13" t="str">
        <f>IFERROR(__xludf.DUMMYFUNCTION("IF(C952 = """", """", IF(REGEXMATCH(C952, ""PCX|NMAX|ADV 150|CLICK""), ""скутер"", ""мото""))"),"скутер")</f>
        <v>скутер</v>
      </c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</row>
    <row r="953" hidden="1">
      <c r="A953" s="111" t="s">
        <v>24</v>
      </c>
      <c r="B953" s="112" t="s">
        <v>25</v>
      </c>
      <c r="C953" s="112" t="s">
        <v>483</v>
      </c>
      <c r="D953" s="114" t="s">
        <v>1663</v>
      </c>
      <c r="E953" s="43">
        <v>45670.0</v>
      </c>
      <c r="F953" s="29">
        <v>45672.583333333336</v>
      </c>
      <c r="G953" s="115" t="str">
        <f t="shared" si="61"/>
        <v>2 Д</v>
      </c>
      <c r="H953" s="116">
        <f t="shared" si="58"/>
        <v>1350</v>
      </c>
      <c r="I953" s="32" t="str">
        <f t="shared" si="39"/>
        <v/>
      </c>
      <c r="J953" s="33" t="str">
        <f t="shared" si="25"/>
        <v/>
      </c>
      <c r="K953" s="118">
        <v>2700.0</v>
      </c>
      <c r="L953" s="117"/>
      <c r="M953" s="33">
        <v>1350.0</v>
      </c>
      <c r="N953" s="150"/>
      <c r="O953" s="120">
        <f>IFERROR(__xludf.DUMMYFUNCTION("IFERROR(
  VLOOKUP(C953,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C953
    ), 
    7, FALSE
  ), 
  """"
)
"),41500.0)</f>
        <v>41500</v>
      </c>
      <c r="P953" s="120">
        <f>IFERROR(__xludf.DUMMYFUNCTION("IF(AND(Q953="""", R953=""""),
  """",
  IF(OR(ISBLANK(Q953), ISBLANK(O953)),
    """",
    IF(VALUE(SUBSTITUTE(INDEX(SPLIT(IF(ISBLANK(R953), Q953, R953), "",""), 0, 1), "" Km"", """")) - O953 = 0,
      """",
      VALUE(SUBSTITUTE(INDEX(SPLIT(IF(ISBLANK("&amp;"R953), Q953, R953), "",""), 0, 1), "" Km"", """")) - O953
    )
  )
)"),-41500.0)</f>
        <v>-41500</v>
      </c>
      <c r="Q953" s="121" t="str">
        <f t="shared" si="4"/>
        <v>0 Km, 13.01.2025</v>
      </c>
      <c r="R953" s="117"/>
      <c r="S953" s="116">
        <v>20000.0</v>
      </c>
      <c r="T953" s="122">
        <v>2.0</v>
      </c>
      <c r="U953" s="122" t="s">
        <v>1664</v>
      </c>
      <c r="V953" s="123"/>
      <c r="W953" s="122" t="str">
        <f t="shared" si="46"/>
        <v>Завершена</v>
      </c>
      <c r="X953" s="124" t="str">
        <f>IFERROR(__xludf.DUMMYFUNCTION("IF(C953 = """", """", IF(REGEXMATCH(C953, ""PCX|NMAX|ADV 150|CLICK""), ""скутер"", ""мото""))"),"мото")</f>
        <v>мото</v>
      </c>
      <c r="Y953" s="125"/>
      <c r="Z953" s="125"/>
      <c r="AA953" s="125"/>
      <c r="AB953" s="125"/>
      <c r="AC953" s="125"/>
      <c r="AD953" s="125"/>
      <c r="AE953" s="125"/>
      <c r="AF953" s="125"/>
      <c r="AG953" s="125"/>
      <c r="AH953" s="125"/>
      <c r="AI953" s="125"/>
      <c r="AJ953" s="125"/>
      <c r="AK953" s="125"/>
      <c r="AL953" s="125"/>
      <c r="AM953" s="125"/>
    </row>
    <row r="954" hidden="1">
      <c r="A954" s="13" t="s">
        <v>24</v>
      </c>
      <c r="B954" s="13" t="s">
        <v>25</v>
      </c>
      <c r="C954" s="14" t="s">
        <v>173</v>
      </c>
      <c r="D954" s="14" t="s">
        <v>1675</v>
      </c>
      <c r="E954" s="48">
        <v>45670.0</v>
      </c>
      <c r="F954" s="38">
        <v>45675.666666666664</v>
      </c>
      <c r="G954" s="17" t="str">
        <f t="shared" si="61"/>
        <v>5 Д</v>
      </c>
      <c r="H954" s="18">
        <f t="shared" si="58"/>
        <v>584</v>
      </c>
      <c r="I954" s="19" t="str">
        <f t="shared" si="39"/>
        <v/>
      </c>
      <c r="J954" s="20" t="str">
        <f t="shared" si="25"/>
        <v/>
      </c>
      <c r="K954" s="23">
        <v>2920.0</v>
      </c>
      <c r="L954" s="20"/>
      <c r="M954" s="23">
        <v>584.0</v>
      </c>
      <c r="N954" s="49">
        <v>29000.0</v>
      </c>
      <c r="O954" s="22">
        <f>IFERROR(__xludf.DUMMYFUNCTION("IFERROR(
  VLOOKUP(C954,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C954
    ), 
    7, FALSE
  ), 
  """"
)
"),27000.0)</f>
        <v>27000</v>
      </c>
      <c r="P954" s="22">
        <f>IFERROR(__xludf.DUMMYFUNCTION("IF(AND(Q954="""", R954=""""),
  """",
  IF(OR(ISBLANK(Q954), ISBLANK(O954)),
    """",
    IF(VALUE(SUBSTITUTE(INDEX(SPLIT(IF(ISBLANK(R954), Q954, R954), "",""), 0, 1), "" Km"", """")) - O954 = 0,
      """",
      VALUE(SUBSTITUTE(INDEX(SPLIT(IF(ISBLANK("&amp;"R954), Q954, R954), "",""), 0, 1), "" Km"", """")) - O954
    )
  )
)"),2000.0)</f>
        <v>2000</v>
      </c>
      <c r="Q954" s="23" t="str">
        <f t="shared" si="4"/>
        <v>29 000 Km, 13.01.2025</v>
      </c>
      <c r="R954" s="20"/>
      <c r="S954" s="41">
        <v>8000.0</v>
      </c>
      <c r="T954" s="13">
        <v>1.0</v>
      </c>
      <c r="U954" s="13" t="s">
        <v>1676</v>
      </c>
      <c r="V954" s="24"/>
      <c r="W954" s="24" t="str">
        <f t="shared" si="46"/>
        <v>Завершена</v>
      </c>
      <c r="X954" s="13" t="str">
        <f>IFERROR(__xludf.DUMMYFUNCTION("IF(C954 = """", """", IF(REGEXMATCH(C954, ""PCX|NMAX|ADV 150|CLICK""), ""скутер"", ""мото""))"),"мото")</f>
        <v>мото</v>
      </c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</row>
    <row r="955" hidden="1">
      <c r="A955" s="25" t="s">
        <v>24</v>
      </c>
      <c r="B955" s="25" t="s">
        <v>25</v>
      </c>
      <c r="C955" s="27" t="s">
        <v>185</v>
      </c>
      <c r="D955" s="27" t="s">
        <v>1046</v>
      </c>
      <c r="E955" s="43">
        <v>45670.0</v>
      </c>
      <c r="F955" s="39">
        <v>45681.541666666664</v>
      </c>
      <c r="G955" s="30" t="str">
        <f t="shared" si="61"/>
        <v>11 Д</v>
      </c>
      <c r="H955" s="31">
        <f t="shared" si="58"/>
        <v>434</v>
      </c>
      <c r="I955" s="32" t="str">
        <f t="shared" si="39"/>
        <v/>
      </c>
      <c r="J955" s="33" t="str">
        <f t="shared" si="25"/>
        <v/>
      </c>
      <c r="K955" s="36">
        <f>4774-3472</f>
        <v>1302</v>
      </c>
      <c r="L955" s="33"/>
      <c r="M955" s="36">
        <v>434.0</v>
      </c>
      <c r="N955" s="34"/>
      <c r="O955" s="35" t="str">
        <f>IFERROR(__xludf.DUMMYFUNCTION("IFERROR(
  VLOOKUP(C955,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C955
    ), 
    7, FALSE
  ), 
  """"
)
"),"")</f>
        <v/>
      </c>
      <c r="P955" s="35" t="str">
        <f>IFERROR(__xludf.DUMMYFUNCTION("IF(AND(Q955="""", R955=""""),
  """",
  IF(OR(ISBLANK(Q955), ISBLANK(O955)),
    """",
    IF(VALUE(SUBSTITUTE(INDEX(SPLIT(IF(ISBLANK(R955), Q955, R955), "",""), 0, 1), "" Km"", """")) - O955 = 0,
      """",
      VALUE(SUBSTITUTE(INDEX(SPLIT(IF(ISBLANK("&amp;"R955), Q955, R955), "",""), 0, 1), "" Km"", """")) - O955
    )
  )
)"),"")</f>
        <v/>
      </c>
      <c r="Q955" s="36" t="str">
        <f t="shared" si="4"/>
        <v>0 Km, 13.01.2025</v>
      </c>
      <c r="R955" s="33"/>
      <c r="S955" s="40">
        <v>3000.0</v>
      </c>
      <c r="T955" s="25">
        <v>2.0</v>
      </c>
      <c r="U955" s="25" t="s">
        <v>1677</v>
      </c>
      <c r="V955" s="37"/>
      <c r="W955" s="37" t="str">
        <f t="shared" si="46"/>
        <v>Завершена</v>
      </c>
      <c r="X955" s="25" t="str">
        <f>IFERROR(__xludf.DUMMYFUNCTION("IF(C955 = """", """", IF(REGEXMATCH(C955, ""PCX|NMAX|ADV 150|CLICK""), ""скутер"", ""мото""))"),"скутер")</f>
        <v>скутер</v>
      </c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</row>
    <row r="956" hidden="1">
      <c r="A956" s="13" t="s">
        <v>24</v>
      </c>
      <c r="B956" s="14" t="s">
        <v>25</v>
      </c>
      <c r="C956" s="14" t="s">
        <v>321</v>
      </c>
      <c r="D956" s="105" t="s">
        <v>1643</v>
      </c>
      <c r="E956" s="48">
        <v>45671.0</v>
      </c>
      <c r="F956" s="16">
        <v>45672.541666666664</v>
      </c>
      <c r="G956" s="17" t="str">
        <f t="shared" si="61"/>
        <v>1 Д</v>
      </c>
      <c r="H956" s="18">
        <f t="shared" si="58"/>
        <v>825</v>
      </c>
      <c r="I956" s="80" t="str">
        <f t="shared" si="39"/>
        <v/>
      </c>
      <c r="J956" s="20" t="str">
        <f t="shared" si="25"/>
        <v/>
      </c>
      <c r="K956" s="20">
        <f>955+825</f>
        <v>1780</v>
      </c>
      <c r="L956" s="64"/>
      <c r="M956" s="23">
        <v>825.0</v>
      </c>
      <c r="N956" s="109"/>
      <c r="O956" s="169" t="str">
        <f>IFERROR(__xludf.DUMMYFUNCTION("IFERROR(
  VLOOKUP(C956,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C956
    ), 
    7, FALSE
  ), 
  """"
)
"),"")</f>
        <v/>
      </c>
      <c r="P956" s="169" t="str">
        <f>IFERROR(__xludf.DUMMYFUNCTION("IF(AND(Q956="""", R956=""""),
  """",
  IF(OR(ISBLANK(Q956), ISBLANK(O956)),
    """",
    IF(VALUE(SUBSTITUTE(INDEX(SPLIT(IF(ISBLANK(R956), Q956, R956), "",""), 0, 1), "" Km"", """")) - O956 = 0,
      """",
      VALUE(SUBSTITUTE(INDEX(SPLIT(IF(ISBLANK("&amp;"R956), Q956, R956), "",""), 0, 1), "" Km"", """")) - O956
    )
  )
)"),"")</f>
        <v/>
      </c>
      <c r="Q956" s="20" t="str">
        <f t="shared" si="4"/>
        <v>0 Km, 14.01.2025</v>
      </c>
      <c r="R956" s="64"/>
      <c r="S956" s="41" t="s">
        <v>1678</v>
      </c>
      <c r="T956" s="24">
        <v>1.0</v>
      </c>
      <c r="U956" s="24" t="s">
        <v>1644</v>
      </c>
      <c r="V956" s="73"/>
      <c r="W956" s="24" t="str">
        <f t="shared" si="46"/>
        <v>Завершена</v>
      </c>
      <c r="X956" s="42" t="str">
        <f>IFERROR(__xludf.DUMMYFUNCTION("IF(C956 = """", """", IF(REGEXMATCH(C956, ""PCX|NMAX|ADV 150|CLICK""), ""скутер"", ""мото""))"),"мото")</f>
        <v>мото</v>
      </c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  <c r="AL956" s="65"/>
      <c r="AM956" s="65"/>
    </row>
    <row r="957" hidden="1">
      <c r="A957" s="25" t="s">
        <v>24</v>
      </c>
      <c r="B957" s="25" t="s">
        <v>25</v>
      </c>
      <c r="C957" s="27" t="s">
        <v>1512</v>
      </c>
      <c r="D957" s="27" t="s">
        <v>1672</v>
      </c>
      <c r="E957" s="43">
        <v>45671.0</v>
      </c>
      <c r="F957" s="39">
        <v>45674.583333333336</v>
      </c>
      <c r="G957" s="30" t="str">
        <f t="shared" si="61"/>
        <v>3 Д</v>
      </c>
      <c r="H957" s="31">
        <f t="shared" si="58"/>
        <v>2298</v>
      </c>
      <c r="I957" s="32" t="str">
        <f t="shared" si="39"/>
        <v/>
      </c>
      <c r="J957" s="33" t="str">
        <f t="shared" si="25"/>
        <v/>
      </c>
      <c r="K957" s="36">
        <f>2298*3</f>
        <v>6894</v>
      </c>
      <c r="L957" s="33"/>
      <c r="M957" s="36">
        <v>2298.0</v>
      </c>
      <c r="N957" s="34"/>
      <c r="O957" s="35" t="str">
        <f>IFERROR(__xludf.DUMMYFUNCTION("IFERROR(
  VLOOKUP(C957,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C957
    ), 
    7, FALSE
  ), 
  """"
)
"),"")</f>
        <v/>
      </c>
      <c r="P957" s="35" t="str">
        <f>IFERROR(__xludf.DUMMYFUNCTION("IF(AND(Q957="""", R957=""""),
  """",
  IF(OR(ISBLANK(Q957), ISBLANK(O957)),
    """",
    IF(VALUE(SUBSTITUTE(INDEX(SPLIT(IF(ISBLANK(R957), Q957, R957), "",""), 0, 1), "" Km"", """")) - O957 = 0,
      """",
      VALUE(SUBSTITUTE(INDEX(SPLIT(IF(ISBLANK("&amp;"R957), Q957, R957), "",""), 0, 1), "" Km"", """")) - O957
    )
  )
)"),"")</f>
        <v/>
      </c>
      <c r="Q957" s="36" t="str">
        <f t="shared" si="4"/>
        <v>0 Km, 14.01.2025</v>
      </c>
      <c r="R957" s="33"/>
      <c r="S957" s="40">
        <v>25000.0</v>
      </c>
      <c r="T957" s="25">
        <v>3.0</v>
      </c>
      <c r="U957" s="25" t="s">
        <v>1673</v>
      </c>
      <c r="V957" s="37"/>
      <c r="W957" s="37" t="str">
        <f t="shared" si="46"/>
        <v>Завершена</v>
      </c>
      <c r="X957" s="25" t="str">
        <f>IFERROR(__xludf.DUMMYFUNCTION("IF(C957 = """", """", IF(REGEXMATCH(C957, ""PCX|NMAX|ADV 150|CLICK""), ""скутер"", ""мото""))"),"мото")</f>
        <v>мото</v>
      </c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</row>
    <row r="958" hidden="1">
      <c r="A958" s="13" t="s">
        <v>24</v>
      </c>
      <c r="B958" s="13" t="s">
        <v>25</v>
      </c>
      <c r="C958" s="14" t="s">
        <v>916</v>
      </c>
      <c r="D958" s="14" t="s">
        <v>1672</v>
      </c>
      <c r="E958" s="48">
        <v>45671.0</v>
      </c>
      <c r="F958" s="38">
        <v>45678.583333333336</v>
      </c>
      <c r="G958" s="17" t="str">
        <f t="shared" si="61"/>
        <v>7 Д</v>
      </c>
      <c r="H958" s="18">
        <f t="shared" si="58"/>
        <v>1798</v>
      </c>
      <c r="I958" s="19" t="str">
        <f t="shared" si="39"/>
        <v/>
      </c>
      <c r="J958" s="20" t="str">
        <f t="shared" si="25"/>
        <v/>
      </c>
      <c r="K958" s="23">
        <f>1798*3+1780*4</f>
        <v>12514</v>
      </c>
      <c r="L958" s="20"/>
      <c r="M958" s="23">
        <v>1798.0</v>
      </c>
      <c r="N958" s="21"/>
      <c r="O958" s="22">
        <f>IFERROR(__xludf.DUMMYFUNCTION("IFERROR(
  VLOOKUP(C958,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C958
    ), 
    7, FALSE
  ), 
  """"
)
"),29300.0)</f>
        <v>29300</v>
      </c>
      <c r="P958" s="22">
        <f>IFERROR(__xludf.DUMMYFUNCTION("IF(AND(Q958="""", R958=""""),
  """",
  IF(OR(ISBLANK(Q958), ISBLANK(O958)),
    """",
    IF(VALUE(SUBSTITUTE(INDEX(SPLIT(IF(ISBLANK(R958), Q958, R958), "",""), 0, 1), "" Km"", """")) - O958 = 0,
      """",
      VALUE(SUBSTITUTE(INDEX(SPLIT(IF(ISBLANK("&amp;"R958), Q958, R958), "",""), 0, 1), "" Km"", """")) - O958
    )
  )
)"),-29300.0)</f>
        <v>-29300</v>
      </c>
      <c r="Q958" s="23" t="str">
        <f t="shared" si="4"/>
        <v>0 Km, 14.01.2025</v>
      </c>
      <c r="R958" s="20"/>
      <c r="S958" s="41">
        <v>20000.0</v>
      </c>
      <c r="T958" s="13">
        <v>3.0</v>
      </c>
      <c r="U958" s="13" t="s">
        <v>1673</v>
      </c>
      <c r="V958" s="24"/>
      <c r="W958" s="24" t="str">
        <f t="shared" si="46"/>
        <v>Завершена</v>
      </c>
      <c r="X958" s="13" t="str">
        <f>IFERROR(__xludf.DUMMYFUNCTION("IF(C958 = """", """", IF(REGEXMATCH(C958, ""PCX|NMAX|ADV 150|CLICK""), ""скутер"", ""мото""))"),"мото")</f>
        <v>мото</v>
      </c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</row>
    <row r="959" hidden="1">
      <c r="A959" s="25" t="s">
        <v>24</v>
      </c>
      <c r="B959" s="25" t="s">
        <v>25</v>
      </c>
      <c r="C959" s="27" t="s">
        <v>971</v>
      </c>
      <c r="D959" s="27" t="s">
        <v>1679</v>
      </c>
      <c r="E959" s="43">
        <v>45671.0</v>
      </c>
      <c r="F959" s="39">
        <v>45688.583333333336</v>
      </c>
      <c r="G959" s="30" t="str">
        <f t="shared" si="61"/>
        <v>17 Д</v>
      </c>
      <c r="H959" s="31">
        <f t="shared" si="58"/>
        <v>852</v>
      </c>
      <c r="I959" s="32" t="str">
        <f t="shared" si="39"/>
        <v/>
      </c>
      <c r="J959" s="33" t="str">
        <f t="shared" si="25"/>
        <v/>
      </c>
      <c r="K959" s="36">
        <v>14484.0</v>
      </c>
      <c r="L959" s="33"/>
      <c r="M959" s="36">
        <v>852.0</v>
      </c>
      <c r="N959" s="44">
        <v>10000.0</v>
      </c>
      <c r="O959" s="35">
        <f>IFERROR(__xludf.DUMMYFUNCTION("IFERROR(
  VLOOKUP(C959,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C959
    ), 
    7, FALSE
  ), 
  """"
)
"),18300.0)</f>
        <v>18300</v>
      </c>
      <c r="P959" s="35">
        <f>IFERROR(__xludf.DUMMYFUNCTION("IF(AND(Q959="""", R959=""""),
  """",
  IF(OR(ISBLANK(Q959), ISBLANK(O959)),
    """",
    IF(VALUE(SUBSTITUTE(INDEX(SPLIT(IF(ISBLANK(R959), Q959, R959), "",""), 0, 1), "" Km"", """")) - O959 = 0,
      """",
      VALUE(SUBSTITUTE(INDEX(SPLIT(IF(ISBLANK("&amp;"R959), Q959, R959), "",""), 0, 1), "" Km"", """")) - O959
    )
  )
)"),-8300.0)</f>
        <v>-8300</v>
      </c>
      <c r="Q959" s="36" t="str">
        <f t="shared" si="4"/>
        <v>10 000 Km, 14.01.2025</v>
      </c>
      <c r="R959" s="33"/>
      <c r="S959" s="40">
        <v>7000.0</v>
      </c>
      <c r="T959" s="25">
        <v>0.0</v>
      </c>
      <c r="U959" s="25" t="s">
        <v>1680</v>
      </c>
      <c r="V959" s="37"/>
      <c r="W959" s="37" t="str">
        <f t="shared" si="46"/>
        <v>Завершена</v>
      </c>
      <c r="X959" s="25" t="str">
        <f>IFERROR(__xludf.DUMMYFUNCTION("IF(C959 = """", """", IF(REGEXMATCH(C959, ""PCX|NMAX|ADV 150|CLICK""), ""скутер"", ""мото""))"),"мото")</f>
        <v>мото</v>
      </c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</row>
    <row r="960" hidden="1">
      <c r="A960" s="13" t="s">
        <v>24</v>
      </c>
      <c r="B960" s="13" t="s">
        <v>25</v>
      </c>
      <c r="C960" s="14" t="s">
        <v>73</v>
      </c>
      <c r="D960" s="14" t="s">
        <v>1681</v>
      </c>
      <c r="E960" s="48">
        <v>45672.0</v>
      </c>
      <c r="F960" s="38">
        <v>45678.458333333336</v>
      </c>
      <c r="G960" s="17" t="str">
        <f t="shared" si="61"/>
        <v>6 Д</v>
      </c>
      <c r="H960" s="18">
        <f t="shared" si="58"/>
        <v>469</v>
      </c>
      <c r="I960" s="19" t="str">
        <f t="shared" si="39"/>
        <v/>
      </c>
      <c r="J960" s="20" t="str">
        <f t="shared" si="25"/>
        <v/>
      </c>
      <c r="K960" s="23">
        <v>2814.0</v>
      </c>
      <c r="L960" s="20"/>
      <c r="M960" s="23">
        <v>469.0</v>
      </c>
      <c r="N960" s="21"/>
      <c r="O960" s="22">
        <f>IFERROR(__xludf.DUMMYFUNCTION("IFERROR(
  VLOOKUP(C960,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C960
    ), 
    7, FALSE
  ), 
  """"
)
"),31000.0)</f>
        <v>31000</v>
      </c>
      <c r="P960" s="22">
        <f>IFERROR(__xludf.DUMMYFUNCTION("IF(AND(Q960="""", R960=""""),
  """",
  IF(OR(ISBLANK(Q960), ISBLANK(O960)),
    """",
    IF(VALUE(SUBSTITUTE(INDEX(SPLIT(IF(ISBLANK(R960), Q960, R960), "",""), 0, 1), "" Km"", """")) - O960 = 0,
      """",
      VALUE(SUBSTITUTE(INDEX(SPLIT(IF(ISBLANK("&amp;"R960), Q960, R960), "",""), 0, 1), "" Km"", """")) - O960
    )
  )
)"),-31000.0)</f>
        <v>-31000</v>
      </c>
      <c r="Q960" s="23" t="str">
        <f t="shared" si="4"/>
        <v>0 Km, 15.01.2025</v>
      </c>
      <c r="R960" s="20"/>
      <c r="S960" s="41">
        <v>3000.0</v>
      </c>
      <c r="T960" s="13">
        <v>2.0</v>
      </c>
      <c r="U960" s="13" t="s">
        <v>1682</v>
      </c>
      <c r="V960" s="24"/>
      <c r="W960" s="24" t="str">
        <f t="shared" si="46"/>
        <v>Завершена</v>
      </c>
      <c r="X960" s="13" t="str">
        <f>IFERROR(__xludf.DUMMYFUNCTION("IF(C960 = """", """", IF(REGEXMATCH(C960, ""PCX|NMAX|ADV 150|CLICK""), ""скутер"", ""мото""))"),"скутер")</f>
        <v>скутер</v>
      </c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</row>
    <row r="961" hidden="1">
      <c r="A961" s="25" t="s">
        <v>24</v>
      </c>
      <c r="B961" s="25" t="s">
        <v>25</v>
      </c>
      <c r="C961" s="27" t="s">
        <v>483</v>
      </c>
      <c r="D961" s="27" t="s">
        <v>1683</v>
      </c>
      <c r="E961" s="43">
        <v>45673.0</v>
      </c>
      <c r="F961" s="39">
        <v>45676.75</v>
      </c>
      <c r="G961" s="30" t="str">
        <f t="shared" si="61"/>
        <v>3 Д</v>
      </c>
      <c r="H961" s="31">
        <f t="shared" si="58"/>
        <v>1780</v>
      </c>
      <c r="I961" s="32" t="str">
        <f t="shared" si="39"/>
        <v/>
      </c>
      <c r="J961" s="33" t="str">
        <f t="shared" si="25"/>
        <v/>
      </c>
      <c r="K961" s="36">
        <v>5340.0</v>
      </c>
      <c r="L961" s="33"/>
      <c r="M961" s="36">
        <v>1780.0</v>
      </c>
      <c r="N961" s="34"/>
      <c r="O961" s="35">
        <f>IFERROR(__xludf.DUMMYFUNCTION("IFERROR(
  VLOOKUP(C961,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C961
    ), 
    7, FALSE
  ), 
  """"
)
"),41500.0)</f>
        <v>41500</v>
      </c>
      <c r="P961" s="35">
        <f>IFERROR(__xludf.DUMMYFUNCTION("IF(AND(Q961="""", R961=""""),
  """",
  IF(OR(ISBLANK(Q961), ISBLANK(O961)),
    """",
    IF(VALUE(SUBSTITUTE(INDEX(SPLIT(IF(ISBLANK(R961), Q961, R961), "",""), 0, 1), "" Km"", """")) - O961 = 0,
      """",
      VALUE(SUBSTITUTE(INDEX(SPLIT(IF(ISBLANK("&amp;"R961), Q961, R961), "",""), 0, 1), "" Km"", """")) - O961
    )
  )
)"),-41500.0)</f>
        <v>-41500</v>
      </c>
      <c r="Q961" s="36" t="str">
        <f t="shared" si="4"/>
        <v>0 Km, 16.01.2025</v>
      </c>
      <c r="R961" s="33"/>
      <c r="S961" s="40" t="s">
        <v>1684</v>
      </c>
      <c r="T961" s="25">
        <v>2.0</v>
      </c>
      <c r="U961" s="25" t="s">
        <v>1685</v>
      </c>
      <c r="V961" s="37"/>
      <c r="W961" s="37" t="str">
        <f t="shared" si="46"/>
        <v>Завершена</v>
      </c>
      <c r="X961" s="25" t="str">
        <f>IFERROR(__xludf.DUMMYFUNCTION("IF(C961 = """", """", IF(REGEXMATCH(C961, ""PCX|NMAX|ADV 150|CLICK""), ""скутер"", ""мото""))"),"мото")</f>
        <v>мото</v>
      </c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</row>
    <row r="962" hidden="1">
      <c r="A962" s="13" t="s">
        <v>24</v>
      </c>
      <c r="B962" s="13" t="s">
        <v>25</v>
      </c>
      <c r="C962" s="14" t="s">
        <v>974</v>
      </c>
      <c r="D962" s="14" t="s">
        <v>1046</v>
      </c>
      <c r="E962" s="48">
        <v>45673.0</v>
      </c>
      <c r="F962" s="38">
        <v>45681.416666666664</v>
      </c>
      <c r="G962" s="17" t="str">
        <f t="shared" si="61"/>
        <v>8 Д</v>
      </c>
      <c r="H962" s="18">
        <f t="shared" si="58"/>
        <v>967</v>
      </c>
      <c r="I962" s="19" t="str">
        <f t="shared" si="39"/>
        <v/>
      </c>
      <c r="J962" s="20" t="str">
        <f t="shared" si="25"/>
        <v/>
      </c>
      <c r="K962" s="23">
        <v>7736.0</v>
      </c>
      <c r="L962" s="20"/>
      <c r="M962" s="23">
        <v>967.0</v>
      </c>
      <c r="N962" s="21"/>
      <c r="O962" s="22">
        <f>IFERROR(__xludf.DUMMYFUNCTION("IFERROR(
  VLOOKUP(C962,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C962
    ), 
    7, FALSE
  ), 
  """"
)
"),11800.0)</f>
        <v>11800</v>
      </c>
      <c r="P962" s="22">
        <f>IFERROR(__xludf.DUMMYFUNCTION("IF(AND(Q962="""", R962=""""),
  """",
  IF(OR(ISBLANK(Q962), ISBLANK(O962)),
    """",
    IF(VALUE(SUBSTITUTE(INDEX(SPLIT(IF(ISBLANK(R962), Q962, R962), "",""), 0, 1), "" Km"", """")) - O962 = 0,
      """",
      VALUE(SUBSTITUTE(INDEX(SPLIT(IF(ISBLANK("&amp;"R962), Q962, R962), "",""), 0, 1), "" Km"", """")) - O962
    )
  )
)"),-11800.0)</f>
        <v>-11800</v>
      </c>
      <c r="Q962" s="23" t="str">
        <f t="shared" si="4"/>
        <v>0 Km, 16.01.2025</v>
      </c>
      <c r="R962" s="20"/>
      <c r="S962" s="41">
        <v>7000.0</v>
      </c>
      <c r="T962" s="13">
        <v>0.0</v>
      </c>
      <c r="U962" s="13" t="s">
        <v>1686</v>
      </c>
      <c r="V962" s="24"/>
      <c r="W962" s="24" t="str">
        <f t="shared" si="46"/>
        <v>Завершена</v>
      </c>
      <c r="X962" s="13" t="str">
        <f>IFERROR(__xludf.DUMMYFUNCTION("IF(C962 = """", """", IF(REGEXMATCH(C962, ""PCX|NMAX|ADV 150|CLICK""), ""скутер"", ""мото""))"),"мото")</f>
        <v>мото</v>
      </c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</row>
    <row r="963" hidden="1">
      <c r="A963" s="25" t="s">
        <v>24</v>
      </c>
      <c r="B963" s="25" t="s">
        <v>25</v>
      </c>
      <c r="C963" s="27" t="s">
        <v>56</v>
      </c>
      <c r="D963" s="27" t="s">
        <v>758</v>
      </c>
      <c r="E963" s="43">
        <v>45673.0</v>
      </c>
      <c r="F963" s="39">
        <v>45681.5</v>
      </c>
      <c r="G963" s="30" t="str">
        <f t="shared" si="61"/>
        <v>8 Д</v>
      </c>
      <c r="H963" s="31">
        <f t="shared" si="58"/>
        <v>462</v>
      </c>
      <c r="I963" s="32" t="str">
        <f t="shared" si="39"/>
        <v/>
      </c>
      <c r="J963" s="33" t="str">
        <f t="shared" si="25"/>
        <v/>
      </c>
      <c r="K963" s="36">
        <v>3696.0</v>
      </c>
      <c r="L963" s="33"/>
      <c r="M963" s="36">
        <v>462.0</v>
      </c>
      <c r="N963" s="34"/>
      <c r="O963" s="35">
        <f>IFERROR(__xludf.DUMMYFUNCTION("IFERROR(
  VLOOKUP(C963,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C963
    ), 
    7, FALSE
  ), 
  """"
)
"),36400.0)</f>
        <v>36400</v>
      </c>
      <c r="P963" s="35">
        <f>IFERROR(__xludf.DUMMYFUNCTION("IF(AND(Q963="""", R963=""""),
  """",
  IF(OR(ISBLANK(Q963), ISBLANK(O963)),
    """",
    IF(VALUE(SUBSTITUTE(INDEX(SPLIT(IF(ISBLANK(R963), Q963, R963), "",""), 0, 1), "" Km"", """")) - O963 = 0,
      """",
      VALUE(SUBSTITUTE(INDEX(SPLIT(IF(ISBLANK("&amp;"R963), Q963, R963), "",""), 0, 1), "" Km"", """")) - O963
    )
  )
)"),-36400.0)</f>
        <v>-36400</v>
      </c>
      <c r="Q963" s="36" t="str">
        <f t="shared" si="4"/>
        <v>0 Km, 16.01.2025</v>
      </c>
      <c r="R963" s="33"/>
      <c r="S963" s="40">
        <v>3000.0</v>
      </c>
      <c r="T963" s="25">
        <v>3.0</v>
      </c>
      <c r="U963" s="25" t="s">
        <v>1687</v>
      </c>
      <c r="V963" s="37"/>
      <c r="W963" s="37" t="str">
        <f t="shared" si="46"/>
        <v>Завершена</v>
      </c>
      <c r="X963" s="25" t="str">
        <f>IFERROR(__xludf.DUMMYFUNCTION("IF(C963 = """", """", IF(REGEXMATCH(C963, ""PCX|NMAX|ADV 150|CLICK""), ""скутер"", ""мото""))"),"скутер")</f>
        <v>скутер</v>
      </c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</row>
    <row r="964" hidden="1">
      <c r="A964" s="13" t="s">
        <v>24</v>
      </c>
      <c r="B964" s="13" t="s">
        <v>25</v>
      </c>
      <c r="C964" s="14" t="s">
        <v>928</v>
      </c>
      <c r="D964" s="14" t="s">
        <v>1688</v>
      </c>
      <c r="E964" s="48">
        <v>45674.0</v>
      </c>
      <c r="F964" s="38">
        <v>45682.458333333336</v>
      </c>
      <c r="G964" s="17" t="str">
        <f t="shared" si="61"/>
        <v>8 Д</v>
      </c>
      <c r="H964" s="18">
        <f t="shared" si="58"/>
        <v>967</v>
      </c>
      <c r="I964" s="19" t="str">
        <f t="shared" si="39"/>
        <v/>
      </c>
      <c r="J964" s="20" t="str">
        <f t="shared" si="25"/>
        <v/>
      </c>
      <c r="K964" s="23">
        <v>7736.0</v>
      </c>
      <c r="L964" s="20"/>
      <c r="M964" s="23">
        <v>967.0</v>
      </c>
      <c r="N964" s="21"/>
      <c r="O964" s="22">
        <f>IFERROR(__xludf.DUMMYFUNCTION("IFERROR(
  VLOOKUP(C964,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C964
    ), 
    7, FALSE
  ), 
  """"
)
"),11000.0)</f>
        <v>11000</v>
      </c>
      <c r="P964" s="22">
        <f>IFERROR(__xludf.DUMMYFUNCTION("IF(AND(Q964="""", R964=""""),
  """",
  IF(OR(ISBLANK(Q964), ISBLANK(O964)),
    """",
    IF(VALUE(SUBSTITUTE(INDEX(SPLIT(IF(ISBLANK(R964), Q964, R964), "",""), 0, 1), "" Km"", """")) - O964 = 0,
      """",
      VALUE(SUBSTITUTE(INDEX(SPLIT(IF(ISBLANK("&amp;"R964), Q964, R964), "",""), 0, 1), "" Km"", """")) - O964
    )
  )
)"),-11000.0)</f>
        <v>-11000</v>
      </c>
      <c r="Q964" s="23" t="str">
        <f t="shared" si="4"/>
        <v>0 Km, 17.01.2025</v>
      </c>
      <c r="R964" s="20"/>
      <c r="S964" s="41">
        <v>7000.0</v>
      </c>
      <c r="T964" s="13">
        <v>4.0</v>
      </c>
      <c r="U964" s="13" t="s">
        <v>1689</v>
      </c>
      <c r="V964" s="24"/>
      <c r="W964" s="24" t="str">
        <f t="shared" si="46"/>
        <v>Завершена</v>
      </c>
      <c r="X964" s="13" t="str">
        <f>IFERROR(__xludf.DUMMYFUNCTION("IF(C964 = """", """", IF(REGEXMATCH(C964, ""PCX|NMAX|ADV 150|CLICK""), ""скутер"", ""мото""))"),"мото")</f>
        <v>мото</v>
      </c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</row>
    <row r="965" hidden="1">
      <c r="A965" s="25" t="s">
        <v>24</v>
      </c>
      <c r="B965" s="25" t="s">
        <v>25</v>
      </c>
      <c r="C965" s="27" t="s">
        <v>151</v>
      </c>
      <c r="D965" s="27" t="s">
        <v>1690</v>
      </c>
      <c r="E965" s="43">
        <v>45675.0</v>
      </c>
      <c r="F965" s="39">
        <v>45687.625</v>
      </c>
      <c r="G965" s="30" t="str">
        <f t="shared" si="61"/>
        <v>12 Д</v>
      </c>
      <c r="H965" s="31">
        <f t="shared" si="58"/>
        <v>434</v>
      </c>
      <c r="I965" s="32" t="str">
        <f t="shared" si="39"/>
        <v/>
      </c>
      <c r="J965" s="33" t="str">
        <f t="shared" si="25"/>
        <v/>
      </c>
      <c r="K965" s="36">
        <v>5208.0</v>
      </c>
      <c r="L965" s="33"/>
      <c r="M965" s="36">
        <v>434.0</v>
      </c>
      <c r="N965" s="34"/>
      <c r="O965" s="35">
        <f>IFERROR(__xludf.DUMMYFUNCTION("IFERROR(
  VLOOKUP(C965,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C965
    ), 
    7, FALSE
  ), 
  """"
)
"),35800.0)</f>
        <v>35800</v>
      </c>
      <c r="P965" s="35">
        <f>IFERROR(__xludf.DUMMYFUNCTION("IF(AND(Q965="""", R965=""""),
  """",
  IF(OR(ISBLANK(Q965), ISBLANK(O965)),
    """",
    IF(VALUE(SUBSTITUTE(INDEX(SPLIT(IF(ISBLANK(R965), Q965, R965), "",""), 0, 1), "" Km"", """")) - O965 = 0,
      """",
      VALUE(SUBSTITUTE(INDEX(SPLIT(IF(ISBLANK("&amp;"R965), Q965, R965), "",""), 0, 1), "" Km"", """")) - O965
    )
  )
)"),-35800.0)</f>
        <v>-35800</v>
      </c>
      <c r="Q965" s="36" t="str">
        <f t="shared" si="4"/>
        <v>0 Km, 18.01.2025</v>
      </c>
      <c r="R965" s="33"/>
      <c r="S965" s="40">
        <v>3000.0</v>
      </c>
      <c r="T965" s="25">
        <v>1.0</v>
      </c>
      <c r="U965" s="25" t="s">
        <v>1691</v>
      </c>
      <c r="V965" s="37"/>
      <c r="W965" s="37" t="str">
        <f t="shared" si="46"/>
        <v>Завершена</v>
      </c>
      <c r="X965" s="25" t="str">
        <f>IFERROR(__xludf.DUMMYFUNCTION("IF(C965 = """", """", IF(REGEXMATCH(C965, ""PCX|NMAX|ADV 150|CLICK""), ""скутер"", ""мото""))"),"скутер")</f>
        <v>скутер</v>
      </c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</row>
    <row r="966" hidden="1">
      <c r="A966" s="13" t="s">
        <v>24</v>
      </c>
      <c r="B966" s="13" t="s">
        <v>25</v>
      </c>
      <c r="C966" s="14" t="s">
        <v>960</v>
      </c>
      <c r="D966" s="14" t="s">
        <v>1692</v>
      </c>
      <c r="E966" s="48">
        <v>45676.0</v>
      </c>
      <c r="F966" s="38">
        <v>45709.708333333336</v>
      </c>
      <c r="G966" s="17" t="str">
        <f t="shared" si="61"/>
        <v>33 Д</v>
      </c>
      <c r="H966" s="18">
        <f t="shared" si="58"/>
        <v>695</v>
      </c>
      <c r="I966" s="19" t="str">
        <f t="shared" si="39"/>
        <v/>
      </c>
      <c r="J966" s="20" t="str">
        <f t="shared" si="25"/>
        <v/>
      </c>
      <c r="K966" s="23">
        <f>981*5+16660+1400</f>
        <v>22965</v>
      </c>
      <c r="L966" s="20"/>
      <c r="M966" s="23">
        <v>695.0</v>
      </c>
      <c r="N966" s="49">
        <v>10800.0</v>
      </c>
      <c r="O966" s="22">
        <f>IFERROR(__xludf.DUMMYFUNCTION("IFERROR(
  VLOOKUP(C966,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C966
    ), 
    7, FALSE
  ), 
  """"
)
"),20316.0)</f>
        <v>20316</v>
      </c>
      <c r="P966" s="22">
        <f>IFERROR(__xludf.DUMMYFUNCTION("IF(AND(Q966="""", R966=""""),
  """",
  IF(OR(ISBLANK(Q966), ISBLANK(O966)),
    """",
    IF(VALUE(SUBSTITUTE(INDEX(SPLIT(IF(ISBLANK(R966), Q966, R966), "",""), 0, 1), "" Km"", """")) - O966 = 0,
      """",
      VALUE(SUBSTITUTE(INDEX(SPLIT(IF(ISBLANK("&amp;"R966), Q966, R966), "",""), 0, 1), "" Km"", """")) - O966
    )
  )
)"),-9516.0)</f>
        <v>-9516</v>
      </c>
      <c r="Q966" s="23" t="str">
        <f t="shared" si="4"/>
        <v>10 800 Km, 19.01.2025</v>
      </c>
      <c r="R966" s="20"/>
      <c r="S966" s="41">
        <v>7000.0</v>
      </c>
      <c r="T966" s="13">
        <v>2.0</v>
      </c>
      <c r="U966" s="13" t="s">
        <v>1693</v>
      </c>
      <c r="V966" s="24"/>
      <c r="W966" s="24" t="str">
        <f t="shared" si="46"/>
        <v>Завершена</v>
      </c>
      <c r="X966" s="13" t="str">
        <f>IFERROR(__xludf.DUMMYFUNCTION("IF(C966 = """", """", IF(REGEXMATCH(C966, ""PCX|NMAX|ADV 150|CLICK""), ""скутер"", ""мото""))"),"мото")</f>
        <v>мото</v>
      </c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</row>
    <row r="967" ht="28.5" hidden="1" customHeight="1">
      <c r="A967" s="25" t="s">
        <v>24</v>
      </c>
      <c r="B967" s="25" t="s">
        <v>25</v>
      </c>
      <c r="C967" s="27" t="s">
        <v>914</v>
      </c>
      <c r="D967" s="27" t="s">
        <v>1694</v>
      </c>
      <c r="E967" s="43">
        <v>45677.0</v>
      </c>
      <c r="F967" s="39">
        <v>45686.541666666664</v>
      </c>
      <c r="G967" s="30" t="str">
        <f t="shared" si="61"/>
        <v>9 Д</v>
      </c>
      <c r="H967" s="31">
        <f t="shared" si="58"/>
        <v>2000</v>
      </c>
      <c r="I967" s="32" t="str">
        <f t="shared" si="39"/>
        <v/>
      </c>
      <c r="J967" s="33" t="str">
        <f t="shared" si="25"/>
        <v/>
      </c>
      <c r="K967" s="36">
        <v>18000.0</v>
      </c>
      <c r="L967" s="33"/>
      <c r="M967" s="36">
        <v>2000.0</v>
      </c>
      <c r="N967" s="34"/>
      <c r="O967" s="35">
        <f>IFERROR(__xludf.DUMMYFUNCTION("IFERROR(
  VLOOKUP(C967,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C967
    ), 
    7, FALSE
  ), 
  """"
)
"),17900.0)</f>
        <v>17900</v>
      </c>
      <c r="P967" s="35">
        <f>IFERROR(__xludf.DUMMYFUNCTION("IF(AND(Q967="""", R967=""""),
  """",
  IF(OR(ISBLANK(Q967), ISBLANK(O967)),
    """",
    IF(VALUE(SUBSTITUTE(INDEX(SPLIT(IF(ISBLANK(R967), Q967, R967), "",""), 0, 1), "" Km"", """")) - O967 = 0,
      """",
      VALUE(SUBSTITUTE(INDEX(SPLIT(IF(ISBLANK("&amp;"R967), Q967, R967), "",""), 0, 1), "" Km"", """")) - O967
    )
  )
)"),-17900.0)</f>
        <v>-17900</v>
      </c>
      <c r="Q967" s="36" t="str">
        <f t="shared" si="4"/>
        <v>0 Km, 20.01.2025</v>
      </c>
      <c r="R967" s="33"/>
      <c r="S967" s="40" t="s">
        <v>600</v>
      </c>
      <c r="T967" s="25">
        <v>2.0</v>
      </c>
      <c r="U967" s="25" t="s">
        <v>516</v>
      </c>
      <c r="V967" s="37"/>
      <c r="W967" s="37" t="str">
        <f t="shared" si="46"/>
        <v>Завершена</v>
      </c>
      <c r="X967" s="25" t="str">
        <f>IFERROR(__xludf.DUMMYFUNCTION("IF(C967 = """", """", IF(REGEXMATCH(C967, ""PCX|NMAX|ADV 150|CLICK""), ""скутер"", ""мото""))"),"мото")</f>
        <v>мото</v>
      </c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</row>
    <row r="968" hidden="1">
      <c r="A968" s="13" t="s">
        <v>24</v>
      </c>
      <c r="B968" s="13" t="s">
        <v>25</v>
      </c>
      <c r="C968" s="14" t="s">
        <v>102</v>
      </c>
      <c r="D968" s="14" t="s">
        <v>1695</v>
      </c>
      <c r="E968" s="48">
        <v>45677.0</v>
      </c>
      <c r="F968" s="38">
        <v>45715.75</v>
      </c>
      <c r="G968" s="17" t="str">
        <f t="shared" si="61"/>
        <v>38 Д</v>
      </c>
      <c r="H968" s="18">
        <f t="shared" si="58"/>
        <v>919.7666667</v>
      </c>
      <c r="I968" s="19" t="str">
        <f t="shared" si="39"/>
        <v/>
      </c>
      <c r="J968" s="20" t="str">
        <f t="shared" si="25"/>
        <v/>
      </c>
      <c r="K968" s="23">
        <f>27593+6200</f>
        <v>33793</v>
      </c>
      <c r="L968" s="23">
        <v>27593.0</v>
      </c>
      <c r="M968" s="20"/>
      <c r="N968" s="49">
        <v>45600.0</v>
      </c>
      <c r="O968" s="22">
        <f>IFERROR(__xludf.DUMMYFUNCTION("IFERROR(
  VLOOKUP(C968,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C968
    ), 
    7, FALSE
  ), 
  """"
)
"),63700.0)</f>
        <v>63700</v>
      </c>
      <c r="P968" s="22">
        <f>IFERROR(__xludf.DUMMYFUNCTION("IF(AND(Q968="""", R968=""""),
  """",
  IF(OR(ISBLANK(Q968), ISBLANK(O968)),
    """",
    IF(VALUE(SUBSTITUTE(INDEX(SPLIT(IF(ISBLANK(R968), Q968, R968), "",""), 0, 1), "" Km"", """")) - O968 = 0,
      """",
      VALUE(SUBSTITUTE(INDEX(SPLIT(IF(ISBLANK("&amp;"R968), Q968, R968), "",""), 0, 1), "" Km"", """")) - O968
    )
  )
)"),-18100.0)</f>
        <v>-18100</v>
      </c>
      <c r="Q968" s="23" t="str">
        <f t="shared" si="4"/>
        <v>45 600 Km, 20.01.2025</v>
      </c>
      <c r="R968" s="20"/>
      <c r="S968" s="41">
        <v>20000.0</v>
      </c>
      <c r="T968" s="13">
        <v>1.0</v>
      </c>
      <c r="U968" s="13" t="s">
        <v>1696</v>
      </c>
      <c r="V968" s="24"/>
      <c r="W968" s="24" t="str">
        <f t="shared" si="46"/>
        <v>Завершена</v>
      </c>
      <c r="X968" s="13" t="str">
        <f>IFERROR(__xludf.DUMMYFUNCTION("IF(C968 = """", """", IF(REGEXMATCH(C968, ""PCX|NMAX|ADV 150|CLICK""), ""скутер"", ""мото""))"),"мото")</f>
        <v>мото</v>
      </c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</row>
    <row r="969" hidden="1">
      <c r="A969" s="25" t="s">
        <v>24</v>
      </c>
      <c r="B969" s="25" t="s">
        <v>25</v>
      </c>
      <c r="C969" s="27" t="s">
        <v>185</v>
      </c>
      <c r="D969" s="27" t="s">
        <v>1697</v>
      </c>
      <c r="E969" s="43">
        <v>45678.0</v>
      </c>
      <c r="F969" s="39">
        <v>45690.666666666664</v>
      </c>
      <c r="G969" s="30" t="str">
        <f t="shared" si="61"/>
        <v>12 Д</v>
      </c>
      <c r="H969" s="31">
        <f t="shared" si="58"/>
        <v>394</v>
      </c>
      <c r="I969" s="32" t="str">
        <f t="shared" si="39"/>
        <v/>
      </c>
      <c r="J969" s="33" t="str">
        <f t="shared" si="25"/>
        <v/>
      </c>
      <c r="K969" s="36">
        <v>4728.0</v>
      </c>
      <c r="L969" s="33"/>
      <c r="M969" s="36">
        <v>394.0</v>
      </c>
      <c r="N969" s="34"/>
      <c r="O969" s="35" t="str">
        <f>IFERROR(__xludf.DUMMYFUNCTION("IFERROR(
  VLOOKUP(C969,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C969
    ), 
    7, FALSE
  ), 
  """"
)
"),"")</f>
        <v/>
      </c>
      <c r="P969" s="35" t="str">
        <f>IFERROR(__xludf.DUMMYFUNCTION("IF(AND(Q969="""", R969=""""),
  """",
  IF(OR(ISBLANK(Q969), ISBLANK(O969)),
    """",
    IF(VALUE(SUBSTITUTE(INDEX(SPLIT(IF(ISBLANK(R969), Q969, R969), "",""), 0, 1), "" Km"", """")) - O969 = 0,
      """",
      VALUE(SUBSTITUTE(INDEX(SPLIT(IF(ISBLANK("&amp;"R969), Q969, R969), "",""), 0, 1), "" Km"", """")) - O969
    )
  )
)"),"")</f>
        <v/>
      </c>
      <c r="Q969" s="36" t="str">
        <f t="shared" si="4"/>
        <v>0 Km, 21.01.2025</v>
      </c>
      <c r="R969" s="33"/>
      <c r="S969" s="40">
        <v>3000.0</v>
      </c>
      <c r="T969" s="25">
        <v>0.0</v>
      </c>
      <c r="U969" s="25" t="s">
        <v>1698</v>
      </c>
      <c r="V969" s="37"/>
      <c r="W969" s="37" t="str">
        <f t="shared" si="46"/>
        <v>Завершена</v>
      </c>
      <c r="X969" s="25" t="str">
        <f>IFERROR(__xludf.DUMMYFUNCTION("IF(C969 = """", """", IF(REGEXMATCH(C969, ""PCX|NMAX|ADV 150|CLICK""), ""скутер"", ""мото""))"),"скутер")</f>
        <v>скутер</v>
      </c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</row>
    <row r="970" hidden="1">
      <c r="A970" s="13" t="s">
        <v>24</v>
      </c>
      <c r="B970" s="13" t="s">
        <v>25</v>
      </c>
      <c r="C970" s="14" t="s">
        <v>951</v>
      </c>
      <c r="D970" s="14" t="s">
        <v>1024</v>
      </c>
      <c r="E970" s="48">
        <v>45678.0</v>
      </c>
      <c r="F970" s="38">
        <v>45694.583333333336</v>
      </c>
      <c r="G970" s="17" t="str">
        <f t="shared" si="61"/>
        <v>16 Д</v>
      </c>
      <c r="H970" s="18">
        <f t="shared" si="58"/>
        <v>750</v>
      </c>
      <c r="I970" s="19" t="str">
        <f t="shared" si="39"/>
        <v/>
      </c>
      <c r="J970" s="20" t="str">
        <f t="shared" si="25"/>
        <v/>
      </c>
      <c r="K970" s="23">
        <f>5600+5000+1500</f>
        <v>12100</v>
      </c>
      <c r="L970" s="20"/>
      <c r="M970" s="23">
        <v>750.0</v>
      </c>
      <c r="N970" s="49">
        <v>15000.0</v>
      </c>
      <c r="O970" s="22">
        <f>IFERROR(__xludf.DUMMYFUNCTION("IFERROR(
  VLOOKUP(C970,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C970
    ), 
    7, FALSE
  ), 
  """"
)
"),21100.0)</f>
        <v>21100</v>
      </c>
      <c r="P970" s="22">
        <f>IFERROR(__xludf.DUMMYFUNCTION("IF(AND(Q970="""", R970=""""),
  """",
  IF(OR(ISBLANK(Q970), ISBLANK(O970)),
    """",
    IF(VALUE(SUBSTITUTE(INDEX(SPLIT(IF(ISBLANK(R970), Q970, R970), "",""), 0, 1), "" Km"", """")) - O970 = 0,
      """",
      VALUE(SUBSTITUTE(INDEX(SPLIT(IF(ISBLANK("&amp;"R970), Q970, R970), "",""), 0, 1), "" Km"", """")) - O970
    )
  )
)"),-6100.0)</f>
        <v>-6100</v>
      </c>
      <c r="Q970" s="23" t="str">
        <f t="shared" si="4"/>
        <v>15 000 Km, 21.01.2025</v>
      </c>
      <c r="R970" s="20"/>
      <c r="S970" s="41">
        <v>3000.0</v>
      </c>
      <c r="T970" s="13">
        <v>2.0</v>
      </c>
      <c r="U970" s="13" t="s">
        <v>1699</v>
      </c>
      <c r="V970" s="24"/>
      <c r="W970" s="24" t="str">
        <f t="shared" si="46"/>
        <v>Завершена</v>
      </c>
      <c r="X970" s="13" t="str">
        <f>IFERROR(__xludf.DUMMYFUNCTION("IF(C970 = """", """", IF(REGEXMATCH(C970, ""PCX|NMAX|ADV 150|CLICK""), ""скутер"", ""мото""))"),"мото")</f>
        <v>мото</v>
      </c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</row>
    <row r="971" ht="21.0" hidden="1" customHeight="1">
      <c r="A971" s="25" t="s">
        <v>24</v>
      </c>
      <c r="B971" s="25" t="s">
        <v>25</v>
      </c>
      <c r="C971" s="27" t="s">
        <v>73</v>
      </c>
      <c r="D971" s="27" t="s">
        <v>1681</v>
      </c>
      <c r="E971" s="43">
        <v>45678.0</v>
      </c>
      <c r="F971" s="39">
        <v>45768.458333333336</v>
      </c>
      <c r="G971" s="30" t="str">
        <f t="shared" si="61"/>
        <v>90 Д</v>
      </c>
      <c r="H971" s="31">
        <f t="shared" si="58"/>
        <v>260</v>
      </c>
      <c r="I971" s="32" t="str">
        <f t="shared" si="39"/>
        <v/>
      </c>
      <c r="J971" s="33" t="str">
        <f t="shared" si="25"/>
        <v/>
      </c>
      <c r="K971" s="36">
        <f>7900*2+7490</f>
        <v>23290</v>
      </c>
      <c r="L971" s="36">
        <v>7800.0</v>
      </c>
      <c r="M971" s="36"/>
      <c r="N971" s="44">
        <v>25500.0</v>
      </c>
      <c r="O971" s="35">
        <f>IFERROR(__xludf.DUMMYFUNCTION("IFERROR(
  VLOOKUP(C971,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C971
    ), 
    7, FALSE
  ), 
  """"
)
"),31000.0)</f>
        <v>31000</v>
      </c>
      <c r="P971" s="35">
        <f>IFERROR(__xludf.DUMMYFUNCTION("IF(AND(Q971="""", R971=""""),
  """",
  IF(OR(ISBLANK(Q971), ISBLANK(O971)),
    """",
    IF(VALUE(SUBSTITUTE(INDEX(SPLIT(IF(ISBLANK(R971), Q971, R971), "",""), 0, 1), "" Km"", """")) - O971 = 0,
      """",
      VALUE(SUBSTITUTE(INDEX(SPLIT(IF(ISBLANK("&amp;"R971), Q971, R971), "",""), 0, 1), "" Km"", """")) - O971
    )
  )
)"),-5500.0)</f>
        <v>-5500</v>
      </c>
      <c r="Q971" s="36" t="str">
        <f t="shared" si="4"/>
        <v>25 500 Km, 21.01.2025</v>
      </c>
      <c r="R971" s="33"/>
      <c r="S971" s="40">
        <v>3000.0</v>
      </c>
      <c r="T971" s="25">
        <v>2.0</v>
      </c>
      <c r="U971" s="25" t="s">
        <v>1682</v>
      </c>
      <c r="V971" s="37"/>
      <c r="W971" s="37" t="str">
        <f t="shared" si="46"/>
        <v>Завершена</v>
      </c>
      <c r="X971" s="25" t="str">
        <f>IFERROR(__xludf.DUMMYFUNCTION("IF(C971 = """", """", IF(REGEXMATCH(C971, ""PCX|NMAX|ADV 150|CLICK""), ""скутер"", ""мото""))"),"скутер")</f>
        <v>скутер</v>
      </c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</row>
    <row r="972" hidden="1">
      <c r="A972" s="13" t="s">
        <v>24</v>
      </c>
      <c r="B972" s="13" t="s">
        <v>25</v>
      </c>
      <c r="C972" s="14" t="s">
        <v>483</v>
      </c>
      <c r="D972" s="14" t="s">
        <v>1667</v>
      </c>
      <c r="E972" s="48">
        <v>45679.0</v>
      </c>
      <c r="F972" s="38">
        <v>45680.791666666664</v>
      </c>
      <c r="G972" s="17" t="str">
        <f t="shared" si="61"/>
        <v>1 Д</v>
      </c>
      <c r="H972" s="18">
        <f t="shared" si="58"/>
        <v>1980</v>
      </c>
      <c r="I972" s="19" t="str">
        <f t="shared" si="39"/>
        <v/>
      </c>
      <c r="J972" s="20" t="str">
        <f t="shared" si="25"/>
        <v/>
      </c>
      <c r="K972" s="23">
        <v>1980.0</v>
      </c>
      <c r="L972" s="20"/>
      <c r="M972" s="23">
        <v>1980.0</v>
      </c>
      <c r="N972" s="21"/>
      <c r="O972" s="22">
        <f>IFERROR(__xludf.DUMMYFUNCTION("IFERROR(
  VLOOKUP(C972,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C972
    ), 
    7, FALSE
  ), 
  """"
)
"),41500.0)</f>
        <v>41500</v>
      </c>
      <c r="P972" s="22">
        <f>IFERROR(__xludf.DUMMYFUNCTION("IF(AND(Q972="""", R972=""""),
  """",
  IF(OR(ISBLANK(Q972), ISBLANK(O972)),
    """",
    IF(VALUE(SUBSTITUTE(INDEX(SPLIT(IF(ISBLANK(R972), Q972, R972), "",""), 0, 1), "" Km"", """")) - O972 = 0,
      """",
      VALUE(SUBSTITUTE(INDEX(SPLIT(IF(ISBLANK("&amp;"R972), Q972, R972), "",""), 0, 1), "" Km"", """")) - O972
    )
  )
)"),-41500.0)</f>
        <v>-41500</v>
      </c>
      <c r="Q972" s="23" t="str">
        <f t="shared" si="4"/>
        <v>0 Km, 22.01.2025</v>
      </c>
      <c r="R972" s="20"/>
      <c r="S972" s="41">
        <v>15000.0</v>
      </c>
      <c r="T972" s="13">
        <v>0.0</v>
      </c>
      <c r="U972" s="13" t="s">
        <v>1628</v>
      </c>
      <c r="V972" s="24"/>
      <c r="W972" s="24" t="str">
        <f t="shared" si="46"/>
        <v>Завершена</v>
      </c>
      <c r="X972" s="13" t="str">
        <f>IFERROR(__xludf.DUMMYFUNCTION("IF(C972 = """", """", IF(REGEXMATCH(C972, ""PCX|NMAX|ADV 150|CLICK""), ""скутер"", ""мото""))"),"мото")</f>
        <v>мото</v>
      </c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</row>
    <row r="973" ht="29.25" hidden="1" customHeight="1">
      <c r="A973" s="25" t="s">
        <v>24</v>
      </c>
      <c r="B973" s="25" t="s">
        <v>25</v>
      </c>
      <c r="C973" s="27" t="s">
        <v>286</v>
      </c>
      <c r="D973" s="27" t="s">
        <v>1700</v>
      </c>
      <c r="E973" s="43">
        <v>45679.0</v>
      </c>
      <c r="F973" s="39">
        <v>45684.583333333336</v>
      </c>
      <c r="G973" s="30" t="str">
        <f t="shared" si="61"/>
        <v>5 Д</v>
      </c>
      <c r="H973" s="31">
        <f t="shared" si="58"/>
        <v>600</v>
      </c>
      <c r="I973" s="32" t="str">
        <f t="shared" si="39"/>
        <v/>
      </c>
      <c r="J973" s="33" t="str">
        <f t="shared" si="25"/>
        <v/>
      </c>
      <c r="K973" s="36">
        <v>3000.0</v>
      </c>
      <c r="L973" s="33"/>
      <c r="M973" s="36">
        <v>600.0</v>
      </c>
      <c r="N973" s="44">
        <v>16327.0</v>
      </c>
      <c r="O973" s="35" t="str">
        <f>IFERROR(__xludf.DUMMYFUNCTION("IFERROR(
  VLOOKUP(C973,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C973
    ), 
    7, FALSE
  ), 
  """"
)
"),"")</f>
        <v/>
      </c>
      <c r="P973" s="35">
        <f>IFERROR(__xludf.DUMMYFUNCTION("IF(AND(Q973="""", R973=""""),
  """",
  IF(OR(ISBLANK(Q973), ISBLANK(O973)),
    """",
    IF(VALUE(SUBSTITUTE(INDEX(SPLIT(IF(ISBLANK(R973), Q973, R973), "",""), 0, 1), "" Km"", """")) - O973 = 0,
      """",
      VALUE(SUBSTITUTE(INDEX(SPLIT(IF(ISBLANK("&amp;"R973), Q973, R973), "",""), 0, 1), "" Km"", """")) - O973
    )
  )
)"),16327.0)</f>
        <v>16327</v>
      </c>
      <c r="Q973" s="36" t="str">
        <f t="shared" si="4"/>
        <v>16 327 Km, 22.01.2025</v>
      </c>
      <c r="R973" s="33"/>
      <c r="S973" s="40">
        <v>8000.0</v>
      </c>
      <c r="T973" s="25">
        <v>1.0</v>
      </c>
      <c r="U973" s="25" t="s">
        <v>1701</v>
      </c>
      <c r="V973" s="37"/>
      <c r="W973" s="37" t="str">
        <f t="shared" si="46"/>
        <v>Завершена</v>
      </c>
      <c r="X973" s="25" t="str">
        <f>IFERROR(__xludf.DUMMYFUNCTION("IF(C973 = """", """", IF(REGEXMATCH(C973, ""PCX|NMAX|ADV 150|CLICK""), ""скутер"", ""мото""))"),"мото")</f>
        <v>мото</v>
      </c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</row>
    <row r="974" hidden="1">
      <c r="A974" s="13" t="s">
        <v>24</v>
      </c>
      <c r="B974" s="13" t="s">
        <v>25</v>
      </c>
      <c r="C974" s="14" t="s">
        <v>106</v>
      </c>
      <c r="D974" s="14" t="s">
        <v>1702</v>
      </c>
      <c r="E974" s="48">
        <v>45679.0</v>
      </c>
      <c r="F974" s="38">
        <v>45685.541666666664</v>
      </c>
      <c r="G974" s="17" t="str">
        <f t="shared" si="61"/>
        <v>6 Д</v>
      </c>
      <c r="H974" s="18">
        <f t="shared" si="58"/>
        <v>427</v>
      </c>
      <c r="I974" s="19" t="str">
        <f t="shared" si="39"/>
        <v/>
      </c>
      <c r="J974" s="20" t="str">
        <f t="shared" si="25"/>
        <v/>
      </c>
      <c r="K974" s="23">
        <v>2562.0</v>
      </c>
      <c r="L974" s="20"/>
      <c r="M974" s="23">
        <v>427.0</v>
      </c>
      <c r="N974" s="49">
        <v>22492.0</v>
      </c>
      <c r="O974" s="22">
        <f>IFERROR(__xludf.DUMMYFUNCTION("IFERROR(
  VLOOKUP(C974,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C974
    ), 
    7, FALSE
  ), 
  """"
)
"),26000.0)</f>
        <v>26000</v>
      </c>
      <c r="P974" s="22">
        <f>IFERROR(__xludf.DUMMYFUNCTION("IF(AND(Q974="""", R974=""""),
  """",
  IF(OR(ISBLANK(Q974), ISBLANK(O974)),
    """",
    IF(VALUE(SUBSTITUTE(INDEX(SPLIT(IF(ISBLANK(R974), Q974, R974), "",""), 0, 1), "" Km"", """")) - O974 = 0,
      """",
      VALUE(SUBSTITUTE(INDEX(SPLIT(IF(ISBLANK("&amp;"R974), Q974, R974), "",""), 0, 1), "" Km"", """")) - O974
    )
  )
)"),-3508.0)</f>
        <v>-3508</v>
      </c>
      <c r="Q974" s="23" t="str">
        <f t="shared" si="4"/>
        <v>22 492 Km, 22.01.2025</v>
      </c>
      <c r="R974" s="20"/>
      <c r="S974" s="41">
        <v>3000.0</v>
      </c>
      <c r="T974" s="13">
        <v>1.0</v>
      </c>
      <c r="U974" s="13" t="s">
        <v>1703</v>
      </c>
      <c r="V974" s="24"/>
      <c r="W974" s="24" t="str">
        <f t="shared" si="46"/>
        <v>Завершена</v>
      </c>
      <c r="X974" s="13" t="str">
        <f>IFERROR(__xludf.DUMMYFUNCTION("IF(C974 = """", """", IF(REGEXMATCH(C974, ""PCX|NMAX|ADV 150|CLICK""), ""скутер"", ""мото""))"),"скутер")</f>
        <v>скутер</v>
      </c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</row>
    <row r="975" hidden="1">
      <c r="A975" s="25" t="s">
        <v>24</v>
      </c>
      <c r="B975" s="25" t="s">
        <v>25</v>
      </c>
      <c r="C975" s="27" t="s">
        <v>279</v>
      </c>
      <c r="D975" s="27" t="s">
        <v>1704</v>
      </c>
      <c r="E975" s="43">
        <v>45680.0</v>
      </c>
      <c r="F975" s="39">
        <v>45683.708333333336</v>
      </c>
      <c r="G975" s="30" t="str">
        <f t="shared" si="61"/>
        <v>3 Д</v>
      </c>
      <c r="H975" s="31">
        <f t="shared" si="58"/>
        <v>620</v>
      </c>
      <c r="I975" s="32" t="str">
        <f t="shared" si="39"/>
        <v/>
      </c>
      <c r="J975" s="33" t="str">
        <f t="shared" si="25"/>
        <v/>
      </c>
      <c r="K975" s="36">
        <v>1860.0</v>
      </c>
      <c r="L975" s="33"/>
      <c r="M975" s="36">
        <v>620.0</v>
      </c>
      <c r="N975" s="34"/>
      <c r="O975" s="35">
        <f>IFERROR(__xludf.DUMMYFUNCTION("IFERROR(
  VLOOKUP(C975,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C975
    ), 
    7, FALSE
  ), 
  """"
)
"),9000.0)</f>
        <v>9000</v>
      </c>
      <c r="P975" s="35">
        <f>IFERROR(__xludf.DUMMYFUNCTION("IF(AND(Q975="""", R975=""""),
  """",
  IF(OR(ISBLANK(Q975), ISBLANK(O975)),
    """",
    IF(VALUE(SUBSTITUTE(INDEX(SPLIT(IF(ISBLANK(R975), Q975, R975), "",""), 0, 1), "" Km"", """")) - O975 = 0,
      """",
      VALUE(SUBSTITUTE(INDEX(SPLIT(IF(ISBLANK("&amp;"R975), Q975, R975), "",""), 0, 1), "" Km"", """")) - O975
    )
  )
)"),-9000.0)</f>
        <v>-9000</v>
      </c>
      <c r="Q975" s="36" t="str">
        <f t="shared" si="4"/>
        <v>0 Km, 23.01.2025</v>
      </c>
      <c r="R975" s="33"/>
      <c r="S975" s="40" t="s">
        <v>515</v>
      </c>
      <c r="T975" s="25">
        <v>2.0</v>
      </c>
      <c r="U975" s="25" t="s">
        <v>1705</v>
      </c>
      <c r="V975" s="37"/>
      <c r="W975" s="37" t="str">
        <f t="shared" si="46"/>
        <v>Завершена</v>
      </c>
      <c r="X975" s="25" t="str">
        <f>IFERROR(__xludf.DUMMYFUNCTION("IF(C975 = """", """", IF(REGEXMATCH(C975, ""PCX|NMAX|ADV 150|CLICK""), ""скутер"", ""мото""))"),"мото")</f>
        <v>мото</v>
      </c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</row>
    <row r="976" hidden="1">
      <c r="A976" s="13" t="s">
        <v>24</v>
      </c>
      <c r="B976" s="13" t="s">
        <v>25</v>
      </c>
      <c r="C976" s="14" t="s">
        <v>923</v>
      </c>
      <c r="D976" s="14" t="s">
        <v>1706</v>
      </c>
      <c r="E976" s="48">
        <v>45680.0</v>
      </c>
      <c r="F976" s="38">
        <v>45685.583333333336</v>
      </c>
      <c r="G976" s="17" t="str">
        <f t="shared" si="61"/>
        <v>5 Д</v>
      </c>
      <c r="H976" s="18">
        <f t="shared" si="58"/>
        <v>998</v>
      </c>
      <c r="I976" s="19" t="str">
        <f t="shared" si="39"/>
        <v/>
      </c>
      <c r="J976" s="20" t="str">
        <f t="shared" si="25"/>
        <v/>
      </c>
      <c r="K976" s="23">
        <v>4990.0</v>
      </c>
      <c r="L976" s="20"/>
      <c r="M976" s="23">
        <v>998.0</v>
      </c>
      <c r="N976" s="21"/>
      <c r="O976" s="22">
        <f>IFERROR(__xludf.DUMMYFUNCTION("IFERROR(
  VLOOKUP(C976,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C976
    ), 
    7, FALSE
  ), 
  """"
)
"),25378.0)</f>
        <v>25378</v>
      </c>
      <c r="P976" s="22">
        <f>IFERROR(__xludf.DUMMYFUNCTION("IF(AND(Q976="""", R976=""""),
  """",
  IF(OR(ISBLANK(Q976), ISBLANK(O976)),
    """",
    IF(VALUE(SUBSTITUTE(INDEX(SPLIT(IF(ISBLANK(R976), Q976, R976), "",""), 0, 1), "" Km"", """")) - O976 = 0,
      """",
      VALUE(SUBSTITUTE(INDEX(SPLIT(IF(ISBLANK("&amp;"R976), Q976, R976), "",""), 0, 1), "" Km"", """")) - O976
    )
  )
)"),-25378.0)</f>
        <v>-25378</v>
      </c>
      <c r="Q976" s="23" t="str">
        <f t="shared" si="4"/>
        <v>0 Km, 23.01.2025</v>
      </c>
      <c r="R976" s="20"/>
      <c r="S976" s="41">
        <v>7000.0</v>
      </c>
      <c r="T976" s="13">
        <v>2.0</v>
      </c>
      <c r="U976" s="13" t="s">
        <v>1707</v>
      </c>
      <c r="V976" s="24"/>
      <c r="W976" s="24" t="str">
        <f t="shared" si="46"/>
        <v>Завершена</v>
      </c>
      <c r="X976" s="13" t="str">
        <f>IFERROR(__xludf.DUMMYFUNCTION("IF(C976 = """", """", IF(REGEXMATCH(C976, ""PCX|NMAX|ADV 150|CLICK""), ""скутер"", ""мото""))"),"мото")</f>
        <v>мото</v>
      </c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</row>
    <row r="977" hidden="1">
      <c r="A977" s="25" t="s">
        <v>24</v>
      </c>
      <c r="B977" s="25" t="s">
        <v>25</v>
      </c>
      <c r="C977" s="27" t="s">
        <v>1065</v>
      </c>
      <c r="D977" s="27" t="s">
        <v>1706</v>
      </c>
      <c r="E977" s="43">
        <v>45680.0</v>
      </c>
      <c r="F977" s="39">
        <v>45685.583333333336</v>
      </c>
      <c r="G977" s="30" t="str">
        <f t="shared" si="61"/>
        <v>5 Д</v>
      </c>
      <c r="H977" s="31">
        <f t="shared" si="58"/>
        <v>998</v>
      </c>
      <c r="I977" s="32" t="str">
        <f t="shared" si="39"/>
        <v/>
      </c>
      <c r="J977" s="33" t="str">
        <f t="shared" si="25"/>
        <v/>
      </c>
      <c r="K977" s="36">
        <v>4990.0</v>
      </c>
      <c r="L977" s="33"/>
      <c r="M977" s="36">
        <v>998.0</v>
      </c>
      <c r="N977" s="34"/>
      <c r="O977" s="35">
        <f>IFERROR(__xludf.DUMMYFUNCTION("IFERROR(
  VLOOKUP(C977,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C977
    ), 
    7, FALSE
  ), 
  """"
)
"),19130.0)</f>
        <v>19130</v>
      </c>
      <c r="P977" s="35">
        <f>IFERROR(__xludf.DUMMYFUNCTION("IF(AND(Q977="""", R977=""""),
  """",
  IF(OR(ISBLANK(Q977), ISBLANK(O977)),
    """",
    IF(VALUE(SUBSTITUTE(INDEX(SPLIT(IF(ISBLANK(R977), Q977, R977), "",""), 0, 1), "" Km"", """")) - O977 = 0,
      """",
      VALUE(SUBSTITUTE(INDEX(SPLIT(IF(ISBLANK("&amp;"R977), Q977, R977), "",""), 0, 1), "" Km"", """")) - O977
    )
  )
)"),-19130.0)</f>
        <v>-19130</v>
      </c>
      <c r="Q977" s="36" t="str">
        <f t="shared" si="4"/>
        <v>0 Km, 23.01.2025</v>
      </c>
      <c r="R977" s="33"/>
      <c r="S977" s="40">
        <v>7000.0</v>
      </c>
      <c r="T977" s="25">
        <v>3.0</v>
      </c>
      <c r="U977" s="25" t="s">
        <v>1707</v>
      </c>
      <c r="V977" s="37"/>
      <c r="W977" s="37" t="str">
        <f t="shared" si="46"/>
        <v>Завершена</v>
      </c>
      <c r="X977" s="25" t="str">
        <f>IFERROR(__xludf.DUMMYFUNCTION("IF(C977 = """", """", IF(REGEXMATCH(C977, ""PCX|NMAX|ADV 150|CLICK""), ""скутер"", ""мото""))"),"мото")</f>
        <v>мото</v>
      </c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</row>
    <row r="978" hidden="1">
      <c r="A978" s="13" t="s">
        <v>24</v>
      </c>
      <c r="B978" s="13" t="s">
        <v>25</v>
      </c>
      <c r="C978" s="14" t="s">
        <v>98</v>
      </c>
      <c r="D978" s="14" t="s">
        <v>1708</v>
      </c>
      <c r="E978" s="48">
        <v>45680.0</v>
      </c>
      <c r="F978" s="38">
        <v>45688.708333333336</v>
      </c>
      <c r="G978" s="17" t="str">
        <f t="shared" si="61"/>
        <v>8 Д</v>
      </c>
      <c r="H978" s="18">
        <f t="shared" si="58"/>
        <v>420</v>
      </c>
      <c r="I978" s="19" t="str">
        <f t="shared" si="39"/>
        <v/>
      </c>
      <c r="J978" s="20" t="str">
        <f t="shared" si="25"/>
        <v/>
      </c>
      <c r="K978" s="23">
        <v>3360.0</v>
      </c>
      <c r="L978" s="20"/>
      <c r="M978" s="23">
        <v>420.0</v>
      </c>
      <c r="N978" s="21"/>
      <c r="O978" s="22">
        <f>IFERROR(__xludf.DUMMYFUNCTION("IFERROR(
  VLOOKUP(C978,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C978
    ), 
    7, FALSE
  ), 
  """"
)
"),32200.0)</f>
        <v>32200</v>
      </c>
      <c r="P978" s="22">
        <f>IFERROR(__xludf.DUMMYFUNCTION("IF(AND(Q978="""", R978=""""),
  """",
  IF(OR(ISBLANK(Q978), ISBLANK(O978)),
    """",
    IF(VALUE(SUBSTITUTE(INDEX(SPLIT(IF(ISBLANK(R978), Q978, R978), "",""), 0, 1), "" Km"", """")) - O978 = 0,
      """",
      VALUE(SUBSTITUTE(INDEX(SPLIT(IF(ISBLANK("&amp;"R978), Q978, R978), "",""), 0, 1), "" Km"", """")) - O978
    )
  )
)"),-32200.0)</f>
        <v>-32200</v>
      </c>
      <c r="Q978" s="23" t="str">
        <f t="shared" si="4"/>
        <v>0 Km, 23.01.2025</v>
      </c>
      <c r="R978" s="20"/>
      <c r="S978" s="41">
        <v>3000.0</v>
      </c>
      <c r="T978" s="13">
        <v>3.0</v>
      </c>
      <c r="U978" s="13" t="s">
        <v>1709</v>
      </c>
      <c r="V978" s="24"/>
      <c r="W978" s="24" t="str">
        <f t="shared" si="46"/>
        <v>Завершена</v>
      </c>
      <c r="X978" s="13" t="str">
        <f>IFERROR(__xludf.DUMMYFUNCTION("IF(C978 = """", """", IF(REGEXMATCH(C978, ""PCX|NMAX|ADV 150|CLICK""), ""скутер"", ""мото""))"),"скутер")</f>
        <v>скутер</v>
      </c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</row>
    <row r="979" hidden="1">
      <c r="A979" s="25" t="s">
        <v>24</v>
      </c>
      <c r="B979" s="25" t="s">
        <v>25</v>
      </c>
      <c r="C979" s="27" t="s">
        <v>1028</v>
      </c>
      <c r="D979" s="27" t="s">
        <v>866</v>
      </c>
      <c r="E979" s="43">
        <v>45680.0</v>
      </c>
      <c r="F979" s="39">
        <v>45689.5</v>
      </c>
      <c r="G979" s="30" t="str">
        <f t="shared" si="61"/>
        <v>9 Д</v>
      </c>
      <c r="H979" s="31">
        <f t="shared" si="58"/>
        <v>952</v>
      </c>
      <c r="I979" s="32" t="str">
        <f t="shared" si="39"/>
        <v/>
      </c>
      <c r="J979" s="33" t="str">
        <f t="shared" si="25"/>
        <v/>
      </c>
      <c r="K979" s="36">
        <v>8568.0</v>
      </c>
      <c r="L979" s="33"/>
      <c r="M979" s="36">
        <v>952.0</v>
      </c>
      <c r="N979" s="44">
        <v>14370.0</v>
      </c>
      <c r="O979" s="35">
        <f>IFERROR(__xludf.DUMMYFUNCTION("IFERROR(
  VLOOKUP(C979,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C979
    ), 
    7, FALSE
  ), 
  """"
)
"),21600.0)</f>
        <v>21600</v>
      </c>
      <c r="P979" s="35">
        <f>IFERROR(__xludf.DUMMYFUNCTION("IF(AND(Q979="""", R979=""""),
  """",
  IF(OR(ISBLANK(Q979), ISBLANK(O979)),
    """",
    IF(VALUE(SUBSTITUTE(INDEX(SPLIT(IF(ISBLANK(R979), Q979, R979), "",""), 0, 1), "" Km"", """")) - O979 = 0,
      """",
      VALUE(SUBSTITUTE(INDEX(SPLIT(IF(ISBLANK("&amp;"R979), Q979, R979), "",""), 0, 1), "" Km"", """")) - O979
    )
  )
)"),-7230.0)</f>
        <v>-7230</v>
      </c>
      <c r="Q979" s="36" t="str">
        <f t="shared" si="4"/>
        <v>14 370 Km, 23.01.2025</v>
      </c>
      <c r="R979" s="33"/>
      <c r="S979" s="40">
        <v>7000.0</v>
      </c>
      <c r="T979" s="25">
        <v>2.0</v>
      </c>
      <c r="U979" s="25" t="s">
        <v>1710</v>
      </c>
      <c r="V979" s="37"/>
      <c r="W979" s="37" t="str">
        <f t="shared" si="46"/>
        <v>Завершена</v>
      </c>
      <c r="X979" s="25" t="str">
        <f>IFERROR(__xludf.DUMMYFUNCTION("IF(C979 = """", """", IF(REGEXMATCH(C979, ""PCX|NMAX|ADV 150|CLICK""), ""скутер"", ""мото""))"),"мото")</f>
        <v>мото</v>
      </c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</row>
    <row r="980" hidden="1">
      <c r="A980" s="13" t="s">
        <v>24</v>
      </c>
      <c r="B980" s="13" t="s">
        <v>25</v>
      </c>
      <c r="C980" s="14" t="s">
        <v>483</v>
      </c>
      <c r="D980" s="14" t="s">
        <v>659</v>
      </c>
      <c r="E980" s="48">
        <v>45680.0</v>
      </c>
      <c r="F980" s="38">
        <v>45705.5</v>
      </c>
      <c r="G980" s="17" t="str">
        <f t="shared" si="61"/>
        <v>25 Д</v>
      </c>
      <c r="H980" s="18">
        <f t="shared" si="58"/>
        <v>1000</v>
      </c>
      <c r="I980" s="19" t="str">
        <f t="shared" si="39"/>
        <v/>
      </c>
      <c r="J980" s="20" t="str">
        <f t="shared" si="25"/>
        <v/>
      </c>
      <c r="K980" s="23">
        <v>25000.0</v>
      </c>
      <c r="L980" s="20"/>
      <c r="M980" s="23">
        <v>1000.0</v>
      </c>
      <c r="N980" s="21"/>
      <c r="O980" s="22">
        <f>IFERROR(__xludf.DUMMYFUNCTION("IFERROR(
  VLOOKUP(C980,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C980
    ), 
    7, FALSE
  ), 
  """"
)
"),41500.0)</f>
        <v>41500</v>
      </c>
      <c r="P980" s="22">
        <f>IFERROR(__xludf.DUMMYFUNCTION("IF(AND(Q980="""", R980=""""),
  """",
  IF(OR(ISBLANK(Q980), ISBLANK(O980)),
    """",
    IF(VALUE(SUBSTITUTE(INDEX(SPLIT(IF(ISBLANK(R980), Q980, R980), "",""), 0, 1), "" Km"", """")) - O980 = 0,
      """",
      VALUE(SUBSTITUTE(INDEX(SPLIT(IF(ISBLANK("&amp;"R980), Q980, R980), "",""), 0, 1), "" Km"", """")) - O980
    )
  )
)"),-41500.0)</f>
        <v>-41500</v>
      </c>
      <c r="Q980" s="23" t="str">
        <f t="shared" si="4"/>
        <v>0 Km, 23.01.2025</v>
      </c>
      <c r="R980" s="20"/>
      <c r="S980" s="41" t="s">
        <v>1711</v>
      </c>
      <c r="T980" s="13">
        <v>2.0</v>
      </c>
      <c r="U980" s="13" t="s">
        <v>1712</v>
      </c>
      <c r="V980" s="24"/>
      <c r="W980" s="24" t="str">
        <f t="shared" si="46"/>
        <v>Завершена</v>
      </c>
      <c r="X980" s="13" t="str">
        <f>IFERROR(__xludf.DUMMYFUNCTION("IF(C980 = """", """", IF(REGEXMATCH(C980, ""PCX|NMAX|ADV 150|CLICK""), ""скутер"", ""мото""))"),"мото")</f>
        <v>мото</v>
      </c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</row>
    <row r="981" hidden="1">
      <c r="A981" s="25" t="s">
        <v>24</v>
      </c>
      <c r="B981" s="25" t="s">
        <v>25</v>
      </c>
      <c r="C981" s="27" t="s">
        <v>1512</v>
      </c>
      <c r="D981" s="27" t="s">
        <v>1713</v>
      </c>
      <c r="E981" s="43">
        <v>45681.0</v>
      </c>
      <c r="F981" s="39">
        <v>45686.458333333336</v>
      </c>
      <c r="G981" s="30" t="str">
        <f t="shared" si="61"/>
        <v>5 Д</v>
      </c>
      <c r="H981" s="31">
        <f t="shared" si="58"/>
        <v>2068</v>
      </c>
      <c r="I981" s="32" t="str">
        <f t="shared" si="39"/>
        <v/>
      </c>
      <c r="J981" s="33" t="str">
        <f t="shared" si="25"/>
        <v/>
      </c>
      <c r="K981" s="36">
        <f>8272+2068</f>
        <v>10340</v>
      </c>
      <c r="L981" s="33"/>
      <c r="M981" s="36">
        <v>2068.0</v>
      </c>
      <c r="N981" s="34"/>
      <c r="O981" s="35" t="str">
        <f>IFERROR(__xludf.DUMMYFUNCTION("IFERROR(
  VLOOKUP(C981,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C981
    ), 
    7, FALSE
  ), 
  """"
)
"),"")</f>
        <v/>
      </c>
      <c r="P981" s="35" t="str">
        <f>IFERROR(__xludf.DUMMYFUNCTION("IF(AND(Q981="""", R981=""""),
  """",
  IF(OR(ISBLANK(Q981), ISBLANK(O981)),
    """",
    IF(VALUE(SUBSTITUTE(INDEX(SPLIT(IF(ISBLANK(R981), Q981, R981), "",""), 0, 1), "" Km"", """")) - O981 = 0,
      """",
      VALUE(SUBSTITUTE(INDEX(SPLIT(IF(ISBLANK("&amp;"R981), Q981, R981), "",""), 0, 1), "" Km"", """")) - O981
    )
  )
)"),"")</f>
        <v/>
      </c>
      <c r="Q981" s="36" t="str">
        <f t="shared" si="4"/>
        <v>0 Km, 24.01.2025</v>
      </c>
      <c r="R981" s="33"/>
      <c r="S981" s="40" t="s">
        <v>515</v>
      </c>
      <c r="T981" s="25">
        <v>1.0</v>
      </c>
      <c r="U981" s="25" t="s">
        <v>1714</v>
      </c>
      <c r="V981" s="37"/>
      <c r="W981" s="37" t="str">
        <f t="shared" si="46"/>
        <v>Завершена</v>
      </c>
      <c r="X981" s="25" t="str">
        <f>IFERROR(__xludf.DUMMYFUNCTION("IF(C981 = """", """", IF(REGEXMATCH(C981, ""PCX|NMAX|ADV 150|CLICK""), ""скутер"", ""мото""))"),"мото")</f>
        <v>мото</v>
      </c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</row>
    <row r="982" hidden="1">
      <c r="A982" s="13" t="s">
        <v>24</v>
      </c>
      <c r="B982" s="13" t="s">
        <v>25</v>
      </c>
      <c r="C982" s="14" t="s">
        <v>974</v>
      </c>
      <c r="D982" s="14" t="s">
        <v>1667</v>
      </c>
      <c r="E982" s="48">
        <v>45681.0</v>
      </c>
      <c r="F982" s="38">
        <v>45688.541666666664</v>
      </c>
      <c r="G982" s="17" t="str">
        <f t="shared" si="61"/>
        <v>7 Д</v>
      </c>
      <c r="H982" s="18">
        <f t="shared" si="58"/>
        <v>910</v>
      </c>
      <c r="I982" s="19" t="str">
        <f t="shared" si="39"/>
        <v/>
      </c>
      <c r="J982" s="20" t="str">
        <f t="shared" si="25"/>
        <v/>
      </c>
      <c r="K982" s="23">
        <f>5600</f>
        <v>5600</v>
      </c>
      <c r="L982" s="20"/>
      <c r="M982" s="23">
        <v>910.0</v>
      </c>
      <c r="N982" s="49">
        <v>5000.0</v>
      </c>
      <c r="O982" s="22">
        <f>IFERROR(__xludf.DUMMYFUNCTION("IFERROR(
  VLOOKUP(C982,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C982
    ), 
    7, FALSE
  ), 
  """"
)
"),11800.0)</f>
        <v>11800</v>
      </c>
      <c r="P982" s="22">
        <f>IFERROR(__xludf.DUMMYFUNCTION("IF(AND(Q982="""", R982=""""),
  """",
  IF(OR(ISBLANK(Q982), ISBLANK(O982)),
    """",
    IF(VALUE(SUBSTITUTE(INDEX(SPLIT(IF(ISBLANK(R982), Q982, R982), "",""), 0, 1), "" Km"", """")) - O982 = 0,
      """",
      VALUE(SUBSTITUTE(INDEX(SPLIT(IF(ISBLANK("&amp;"R982), Q982, R982), "",""), 0, 1), "" Km"", """")) - O982
    )
  )
)"),-6800.0)</f>
        <v>-6800</v>
      </c>
      <c r="Q982" s="23" t="str">
        <f t="shared" si="4"/>
        <v>5 000 Km, 24.01.2025</v>
      </c>
      <c r="R982" s="20"/>
      <c r="S982" s="41">
        <v>7000.0</v>
      </c>
      <c r="T982" s="13">
        <v>2.0</v>
      </c>
      <c r="U982" s="13" t="s">
        <v>1628</v>
      </c>
      <c r="V982" s="24"/>
      <c r="W982" s="24" t="str">
        <f t="shared" si="46"/>
        <v>Завершена</v>
      </c>
      <c r="X982" s="13" t="str">
        <f>IFERROR(__xludf.DUMMYFUNCTION("IF(C982 = """", """", IF(REGEXMATCH(C982, ""PCX|NMAX|ADV 150|CLICK""), ""скутер"", ""мото""))"),"мото")</f>
        <v>мото</v>
      </c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</row>
    <row r="983" hidden="1">
      <c r="A983" s="25" t="s">
        <v>24</v>
      </c>
      <c r="B983" s="25" t="s">
        <v>25</v>
      </c>
      <c r="C983" s="27" t="s">
        <v>941</v>
      </c>
      <c r="D983" s="27" t="s">
        <v>1715</v>
      </c>
      <c r="E983" s="43">
        <v>45681.0</v>
      </c>
      <c r="F983" s="39">
        <v>45722.708333333336</v>
      </c>
      <c r="G983" s="30" t="str">
        <f t="shared" si="61"/>
        <v>41 Д</v>
      </c>
      <c r="H983" s="31">
        <f t="shared" si="58"/>
        <v>800</v>
      </c>
      <c r="I983" s="32" t="str">
        <f t="shared" si="39"/>
        <v/>
      </c>
      <c r="J983" s="33" t="str">
        <f t="shared" si="25"/>
        <v/>
      </c>
      <c r="K983" s="36">
        <f>13062+13000+7000</f>
        <v>33062</v>
      </c>
      <c r="L983" s="33"/>
      <c r="M983" s="36">
        <v>800.0</v>
      </c>
      <c r="N983" s="34"/>
      <c r="O983" s="35">
        <f>IFERROR(__xludf.DUMMYFUNCTION("IFERROR(
  VLOOKUP(C983,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C983
    ), 
    7, FALSE
  ), 
  """"
)
"),18302.0)</f>
        <v>18302</v>
      </c>
      <c r="P983" s="35">
        <f>IFERROR(__xludf.DUMMYFUNCTION("IF(AND(Q983="""", R983=""""),
  """",
  IF(OR(ISBLANK(Q983), ISBLANK(O983)),
    """",
    IF(VALUE(SUBSTITUTE(INDEX(SPLIT(IF(ISBLANK(R983), Q983, R983), "",""), 0, 1), "" Km"", """")) - O983 = 0,
      """",
      VALUE(SUBSTITUTE(INDEX(SPLIT(IF(ISBLANK("&amp;"R983), Q983, R983), "",""), 0, 1), "" Km"", """")) - O983
    )
  )
)"),-18302.0)</f>
        <v>-18302</v>
      </c>
      <c r="Q983" s="36" t="str">
        <f t="shared" si="4"/>
        <v>0 Km, 24.01.2025</v>
      </c>
      <c r="R983" s="33"/>
      <c r="S983" s="40">
        <v>7000.0</v>
      </c>
      <c r="T983" s="25">
        <v>2.0</v>
      </c>
      <c r="U983" s="25" t="s">
        <v>1716</v>
      </c>
      <c r="V983" s="37"/>
      <c r="W983" s="37" t="str">
        <f t="shared" si="46"/>
        <v>Завершена</v>
      </c>
      <c r="X983" s="25" t="str">
        <f>IFERROR(__xludf.DUMMYFUNCTION("IF(C983 = """", """", IF(REGEXMATCH(C983, ""PCX|NMAX|ADV 150|CLICK""), ""скутер"", ""мото""))"),"мото")</f>
        <v>мото</v>
      </c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</row>
    <row r="984" hidden="1">
      <c r="A984" s="13" t="s">
        <v>24</v>
      </c>
      <c r="B984" s="13" t="s">
        <v>25</v>
      </c>
      <c r="C984" s="14" t="s">
        <v>155</v>
      </c>
      <c r="D984" s="14" t="s">
        <v>1717</v>
      </c>
      <c r="E984" s="48">
        <v>45682.0</v>
      </c>
      <c r="F984" s="38">
        <v>45689.458333333336</v>
      </c>
      <c r="G984" s="17" t="str">
        <f t="shared" si="61"/>
        <v>7 Д</v>
      </c>
      <c r="H984" s="18">
        <f t="shared" si="58"/>
        <v>826</v>
      </c>
      <c r="I984" s="19" t="str">
        <f t="shared" si="39"/>
        <v/>
      </c>
      <c r="J984" s="20" t="str">
        <f t="shared" si="25"/>
        <v/>
      </c>
      <c r="K984" s="23">
        <v>5782.0</v>
      </c>
      <c r="L984" s="20"/>
      <c r="M984" s="23">
        <v>826.0</v>
      </c>
      <c r="N984" s="21"/>
      <c r="O984" s="22" t="str">
        <f>IFERROR(__xludf.DUMMYFUNCTION("IFERROR(
  VLOOKUP(C984,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C984
    ), 
    7, FALSE
  ), 
  """"
)
"),"")</f>
        <v/>
      </c>
      <c r="P984" s="22" t="str">
        <f>IFERROR(__xludf.DUMMYFUNCTION("IF(AND(Q984="""", R984=""""),
  """",
  IF(OR(ISBLANK(Q984), ISBLANK(O984)),
    """",
    IF(VALUE(SUBSTITUTE(INDEX(SPLIT(IF(ISBLANK(R984), Q984, R984), "",""), 0, 1), "" Km"", """")) - O984 = 0,
      """",
      VALUE(SUBSTITUTE(INDEX(SPLIT(IF(ISBLANK("&amp;"R984), Q984, R984), "",""), 0, 1), "" Km"", """")) - O984
    )
  )
)"),"")</f>
        <v/>
      </c>
      <c r="Q984" s="23" t="str">
        <f t="shared" si="4"/>
        <v>0 Km, 25.01.2025</v>
      </c>
      <c r="R984" s="20"/>
      <c r="S984" s="41">
        <v>5000.0</v>
      </c>
      <c r="T984" s="13">
        <v>1.0</v>
      </c>
      <c r="U984" s="13" t="s">
        <v>1718</v>
      </c>
      <c r="V984" s="24"/>
      <c r="W984" s="24" t="str">
        <f t="shared" si="46"/>
        <v>Завершена</v>
      </c>
      <c r="X984" s="13" t="str">
        <f>IFERROR(__xludf.DUMMYFUNCTION("IF(C984 = """", """", IF(REGEXMATCH(C984, ""PCX|NMAX|ADV 150|CLICK""), ""скутер"", ""мото""))"),"мото")</f>
        <v>мото</v>
      </c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</row>
    <row r="985" hidden="1">
      <c r="A985" s="25" t="s">
        <v>24</v>
      </c>
      <c r="B985" s="25" t="s">
        <v>25</v>
      </c>
      <c r="C985" s="27" t="s">
        <v>202</v>
      </c>
      <c r="D985" s="27" t="s">
        <v>1719</v>
      </c>
      <c r="E985" s="43">
        <v>45682.0</v>
      </c>
      <c r="F985" s="39">
        <v>45691.541666666664</v>
      </c>
      <c r="G985" s="30" t="str">
        <f t="shared" si="61"/>
        <v>9 Д</v>
      </c>
      <c r="H985" s="31">
        <f t="shared" si="58"/>
        <v>759</v>
      </c>
      <c r="I985" s="32" t="str">
        <f t="shared" si="39"/>
        <v/>
      </c>
      <c r="J985" s="33" t="str">
        <f t="shared" si="25"/>
        <v/>
      </c>
      <c r="K985" s="36">
        <f>759*5+759*2+759*2</f>
        <v>6831</v>
      </c>
      <c r="L985" s="33"/>
      <c r="M985" s="36">
        <v>759.0</v>
      </c>
      <c r="N985" s="34"/>
      <c r="O985" s="35">
        <f>IFERROR(__xludf.DUMMYFUNCTION("IFERROR(
  VLOOKUP(C985,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C985
    ), 
    7, FALSE
  ), 
  """"
)
"),30225.0)</f>
        <v>30225</v>
      </c>
      <c r="P985" s="35">
        <f>IFERROR(__xludf.DUMMYFUNCTION("IF(AND(Q985="""", R985=""""),
  """",
  IF(OR(ISBLANK(Q985), ISBLANK(O985)),
    """",
    IF(VALUE(SUBSTITUTE(INDEX(SPLIT(IF(ISBLANK(R985), Q985, R985), "",""), 0, 1), "" Km"", """")) - O985 = 0,
      """",
      VALUE(SUBSTITUTE(INDEX(SPLIT(IF(ISBLANK("&amp;"R985), Q985, R985), "",""), 0, 1), "" Km"", """")) - O985
    )
  )
)"),-30225.0)</f>
        <v>-30225</v>
      </c>
      <c r="Q985" s="36" t="str">
        <f t="shared" si="4"/>
        <v>0 Km, 25.01.2025</v>
      </c>
      <c r="R985" s="33"/>
      <c r="S985" s="40">
        <v>5000.0</v>
      </c>
      <c r="T985" s="25">
        <v>3.0</v>
      </c>
      <c r="U985" s="25" t="s">
        <v>1720</v>
      </c>
      <c r="V985" s="37"/>
      <c r="W985" s="37" t="str">
        <f t="shared" si="46"/>
        <v>Завершена</v>
      </c>
      <c r="X985" s="25" t="str">
        <f>IFERROR(__xludf.DUMMYFUNCTION("IF(C985 = """", """", IF(REGEXMATCH(C985, ""PCX|NMAX|ADV 150|CLICK""), ""скутер"", ""мото""))"),"мото")</f>
        <v>мото</v>
      </c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</row>
    <row r="986" hidden="1">
      <c r="A986" s="13" t="s">
        <v>24</v>
      </c>
      <c r="B986" s="13" t="s">
        <v>25</v>
      </c>
      <c r="C986" s="14" t="s">
        <v>26</v>
      </c>
      <c r="D986" s="14" t="s">
        <v>1721</v>
      </c>
      <c r="E986" s="48">
        <v>45683.0</v>
      </c>
      <c r="F986" s="38">
        <v>45693.458333333336</v>
      </c>
      <c r="G986" s="17" t="str">
        <f t="shared" si="61"/>
        <v>10 Д</v>
      </c>
      <c r="H986" s="18">
        <f t="shared" si="58"/>
        <v>348</v>
      </c>
      <c r="I986" s="19" t="str">
        <f t="shared" si="39"/>
        <v/>
      </c>
      <c r="J986" s="20" t="str">
        <f t="shared" si="25"/>
        <v/>
      </c>
      <c r="K986" s="23">
        <v>3480.0</v>
      </c>
      <c r="L986" s="20"/>
      <c r="M986" s="23">
        <v>348.0</v>
      </c>
      <c r="N986" s="21"/>
      <c r="O986" s="22" t="str">
        <f>IFERROR(__xludf.DUMMYFUNCTION("IFERROR(
  VLOOKUP(C986,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C986
    ), 
    7, FALSE
  ), 
  """"
)
"),"")</f>
        <v/>
      </c>
      <c r="P986" s="22" t="str">
        <f>IFERROR(__xludf.DUMMYFUNCTION("IF(AND(Q986="""", R986=""""),
  """",
  IF(OR(ISBLANK(Q986), ISBLANK(O986)),
    """",
    IF(VALUE(SUBSTITUTE(INDEX(SPLIT(IF(ISBLANK(R986), Q986, R986), "",""), 0, 1), "" Km"", """")) - O986 = 0,
      """",
      VALUE(SUBSTITUTE(INDEX(SPLIT(IF(ISBLANK("&amp;"R986), Q986, R986), "",""), 0, 1), "" Km"", """")) - O986
    )
  )
)"),"")</f>
        <v/>
      </c>
      <c r="Q986" s="23" t="str">
        <f t="shared" si="4"/>
        <v>0 Km, 26.01.2025</v>
      </c>
      <c r="R986" s="20"/>
      <c r="S986" s="41">
        <v>3000.0</v>
      </c>
      <c r="T986" s="13">
        <v>2.0</v>
      </c>
      <c r="U986" s="13" t="s">
        <v>1722</v>
      </c>
      <c r="V986" s="24"/>
      <c r="W986" s="24" t="str">
        <f t="shared" si="46"/>
        <v>Завершена</v>
      </c>
      <c r="X986" s="13" t="str">
        <f>IFERROR(__xludf.DUMMYFUNCTION("IF(C986 = """", """", IF(REGEXMATCH(C986, ""PCX|NMAX|ADV 150|CLICK""), ""скутер"", ""мото""))"),"скутер")</f>
        <v>скутер</v>
      </c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</row>
    <row r="987" hidden="1">
      <c r="A987" s="25" t="s">
        <v>24</v>
      </c>
      <c r="B987" s="25" t="s">
        <v>25</v>
      </c>
      <c r="C987" s="27" t="s">
        <v>56</v>
      </c>
      <c r="D987" s="27" t="s">
        <v>1723</v>
      </c>
      <c r="E987" s="43">
        <v>45683.0</v>
      </c>
      <c r="F987" s="39">
        <v>45697.583333333336</v>
      </c>
      <c r="G987" s="30" t="str">
        <f t="shared" si="61"/>
        <v>14 Д</v>
      </c>
      <c r="H987" s="31">
        <f t="shared" si="58"/>
        <v>427</v>
      </c>
      <c r="I987" s="32" t="str">
        <f t="shared" si="39"/>
        <v/>
      </c>
      <c r="J987" s="33" t="str">
        <f t="shared" si="25"/>
        <v/>
      </c>
      <c r="K987" s="36">
        <f>5551+427</f>
        <v>5978</v>
      </c>
      <c r="L987" s="33"/>
      <c r="M987" s="36">
        <v>427.0</v>
      </c>
      <c r="N987" s="44">
        <v>31400.0</v>
      </c>
      <c r="O987" s="35">
        <f>IFERROR(__xludf.DUMMYFUNCTION("IFERROR(
  VLOOKUP(C987,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C987
    ), 
    7, FALSE
  ), 
  """"
)
"),36400.0)</f>
        <v>36400</v>
      </c>
      <c r="P987" s="35">
        <f>IFERROR(__xludf.DUMMYFUNCTION("IF(AND(Q987="""", R987=""""),
  """",
  IF(OR(ISBLANK(Q987), ISBLANK(O987)),
    """",
    IF(VALUE(SUBSTITUTE(INDEX(SPLIT(IF(ISBLANK(R987), Q987, R987), "",""), 0, 1), "" Km"", """")) - O987 = 0,
      """",
      VALUE(SUBSTITUTE(INDEX(SPLIT(IF(ISBLANK("&amp;"R987), Q987, R987), "",""), 0, 1), "" Km"", """")) - O987
    )
  )
)"),-5000.0)</f>
        <v>-5000</v>
      </c>
      <c r="Q987" s="36" t="str">
        <f t="shared" si="4"/>
        <v>31 400 Km, 26.01.2025</v>
      </c>
      <c r="R987" s="33"/>
      <c r="S987" s="40">
        <v>3000.0</v>
      </c>
      <c r="T987" s="25">
        <v>2.0</v>
      </c>
      <c r="U987" s="25" t="s">
        <v>1724</v>
      </c>
      <c r="V987" s="37"/>
      <c r="W987" s="37" t="str">
        <f t="shared" si="46"/>
        <v>Завершена</v>
      </c>
      <c r="X987" s="25" t="str">
        <f>IFERROR(__xludf.DUMMYFUNCTION("IF(C987 = """", """", IF(REGEXMATCH(C987, ""PCX|NMAX|ADV 150|CLICK""), ""скутер"", ""мото""))"),"скутер")</f>
        <v>скутер</v>
      </c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</row>
    <row r="988" hidden="1">
      <c r="A988" s="13" t="s">
        <v>24</v>
      </c>
      <c r="B988" s="13" t="s">
        <v>25</v>
      </c>
      <c r="C988" s="14" t="s">
        <v>173</v>
      </c>
      <c r="D988" s="14" t="s">
        <v>1725</v>
      </c>
      <c r="E988" s="48">
        <v>45683.0</v>
      </c>
      <c r="F988" s="38">
        <v>45714.708333333336</v>
      </c>
      <c r="G988" s="17" t="str">
        <f t="shared" si="61"/>
        <v>31 Д</v>
      </c>
      <c r="H988" s="18">
        <f t="shared" si="58"/>
        <v>263.3333333</v>
      </c>
      <c r="I988" s="19" t="str">
        <f t="shared" si="39"/>
        <v/>
      </c>
      <c r="J988" s="20" t="str">
        <f t="shared" si="25"/>
        <v/>
      </c>
      <c r="K988" s="23">
        <v>3200.0</v>
      </c>
      <c r="L988" s="23">
        <v>7900.0</v>
      </c>
      <c r="M988" s="20"/>
      <c r="N988" s="21"/>
      <c r="O988" s="22">
        <f>IFERROR(__xludf.DUMMYFUNCTION("IFERROR(
  VLOOKUP(C988,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C988
    ), 
    7, FALSE
  ), 
  """"
)
"),27000.0)</f>
        <v>27000</v>
      </c>
      <c r="P988" s="22">
        <f>IFERROR(__xludf.DUMMYFUNCTION("IF(AND(Q988="""", R988=""""),
  """",
  IF(OR(ISBLANK(Q988), ISBLANK(O988)),
    """",
    IF(VALUE(SUBSTITUTE(INDEX(SPLIT(IF(ISBLANK(R988), Q988, R988), "",""), 0, 1), "" Km"", """")) - O988 = 0,
      """",
      VALUE(SUBSTITUTE(INDEX(SPLIT(IF(ISBLANK("&amp;"R988), Q988, R988), "",""), 0, 1), "" Km"", """")) - O988
    )
  )
)"),-27000.0)</f>
        <v>-27000</v>
      </c>
      <c r="Q988" s="23" t="str">
        <f t="shared" si="4"/>
        <v>0 Km, 26.01.2025</v>
      </c>
      <c r="R988" s="20"/>
      <c r="S988" s="41">
        <v>8000.0</v>
      </c>
      <c r="T988" s="13">
        <v>0.0</v>
      </c>
      <c r="U988" s="13" t="s">
        <v>1726</v>
      </c>
      <c r="V988" s="24"/>
      <c r="W988" s="24" t="str">
        <f t="shared" si="46"/>
        <v>Завершена</v>
      </c>
      <c r="X988" s="13" t="str">
        <f>IFERROR(__xludf.DUMMYFUNCTION("IF(C988 = """", """", IF(REGEXMATCH(C988, ""PCX|NMAX|ADV 150|CLICK""), ""скутер"", ""мото""))"),"мото")</f>
        <v>мото</v>
      </c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</row>
    <row r="989" hidden="1">
      <c r="A989" s="25" t="s">
        <v>24</v>
      </c>
      <c r="B989" s="25" t="s">
        <v>25</v>
      </c>
      <c r="C989" s="27" t="s">
        <v>967</v>
      </c>
      <c r="D989" s="27" t="s">
        <v>1727</v>
      </c>
      <c r="E989" s="43">
        <v>45683.0</v>
      </c>
      <c r="F989" s="39">
        <v>45714.75</v>
      </c>
      <c r="G989" s="30" t="str">
        <f t="shared" si="61"/>
        <v>31 Д</v>
      </c>
      <c r="H989" s="40">
        <v>1580.0</v>
      </c>
      <c r="I989" s="32" t="str">
        <f t="shared" si="39"/>
        <v/>
      </c>
      <c r="J989" s="33" t="str">
        <f t="shared" si="25"/>
        <v/>
      </c>
      <c r="K989" s="36">
        <v>49000.0</v>
      </c>
      <c r="L989" s="36">
        <v>49000.0</v>
      </c>
      <c r="M989" s="33"/>
      <c r="N989" s="44">
        <v>12000.0</v>
      </c>
      <c r="O989" s="35">
        <f>IFERROR(__xludf.DUMMYFUNCTION("IFERROR(
  VLOOKUP(C989,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C989
    ), 
    7, FALSE
  ), 
  """"
)
"),24800.0)</f>
        <v>24800</v>
      </c>
      <c r="P989" s="35">
        <f>IFERROR(__xludf.DUMMYFUNCTION("IF(AND(Q989="""", R989=""""),
  """",
  IF(OR(ISBLANK(Q989), ISBLANK(O989)),
    """",
    IF(VALUE(SUBSTITUTE(INDEX(SPLIT(IF(ISBLANK(R989), Q989, R989), "",""), 0, 1), "" Km"", """")) - O989 = 0,
      """",
      VALUE(SUBSTITUTE(INDEX(SPLIT(IF(ISBLANK("&amp;"R989), Q989, R989), "",""), 0, 1), "" Km"", """")) - O989
    )
  )
)"),-12800.0)</f>
        <v>-12800</v>
      </c>
      <c r="Q989" s="36" t="str">
        <f t="shared" si="4"/>
        <v>12 000 Km, 26.01.2025</v>
      </c>
      <c r="R989" s="33"/>
      <c r="S989" s="40" t="s">
        <v>600</v>
      </c>
      <c r="T989" s="25">
        <v>2.0</v>
      </c>
      <c r="U989" s="25" t="s">
        <v>1728</v>
      </c>
      <c r="V989" s="37"/>
      <c r="W989" s="37" t="str">
        <f t="shared" si="46"/>
        <v>Завершена</v>
      </c>
      <c r="X989" s="25" t="str">
        <f>IFERROR(__xludf.DUMMYFUNCTION("IF(C989 = """", """", IF(REGEXMATCH(C989, ""PCX|NMAX|ADV 150|CLICK""), ""скутер"", ""мото""))"),"мото")</f>
        <v>мото</v>
      </c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</row>
    <row r="990" hidden="1">
      <c r="A990" s="13" t="s">
        <v>24</v>
      </c>
      <c r="B990" s="13" t="s">
        <v>25</v>
      </c>
      <c r="C990" s="14" t="s">
        <v>923</v>
      </c>
      <c r="D990" s="14" t="s">
        <v>1729</v>
      </c>
      <c r="E990" s="48">
        <v>45685.0</v>
      </c>
      <c r="F990" s="38">
        <v>45715.541666666664</v>
      </c>
      <c r="G990" s="17" t="str">
        <f t="shared" si="61"/>
        <v>30 Д</v>
      </c>
      <c r="H990" s="18">
        <f t="shared" ref="H990:H1105" si="62">IF(L990&lt;&gt;"", VALUE(L990)/30, IF(M990&lt;&gt;"", VALUE(M990)/1, ""))
</f>
        <v>594</v>
      </c>
      <c r="I990" s="19" t="str">
        <f t="shared" si="39"/>
        <v/>
      </c>
      <c r="J990" s="20" t="str">
        <f t="shared" si="25"/>
        <v/>
      </c>
      <c r="K990" s="23">
        <v>21384.0</v>
      </c>
      <c r="L990" s="23">
        <v>17820.0</v>
      </c>
      <c r="M990" s="20"/>
      <c r="N990" s="49">
        <v>12000.0</v>
      </c>
      <c r="O990" s="22">
        <f>IFERROR(__xludf.DUMMYFUNCTION("IFERROR(
  VLOOKUP(C990,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C990
    ), 
    7, FALSE
  ), 
  """"
)
"),25378.0)</f>
        <v>25378</v>
      </c>
      <c r="P990" s="22">
        <f>IFERROR(__xludf.DUMMYFUNCTION("IF(AND(Q990="""", R990=""""),
  """",
  IF(OR(ISBLANK(Q990), ISBLANK(O990)),
    """",
    IF(VALUE(SUBSTITUTE(INDEX(SPLIT(IF(ISBLANK(R990), Q990, R990), "",""), 0, 1), "" Km"", """")) - O990 = 0,
      """",
      VALUE(SUBSTITUTE(INDEX(SPLIT(IF(ISBLANK("&amp;"R990), Q990, R990), "",""), 0, 1), "" Km"", """")) - O990
    )
  )
)"),-13378.0)</f>
        <v>-13378</v>
      </c>
      <c r="Q990" s="23" t="str">
        <f t="shared" si="4"/>
        <v>12 000 Km, 28.01.2025</v>
      </c>
      <c r="R990" s="20"/>
      <c r="S990" s="41">
        <v>7000.0</v>
      </c>
      <c r="T990" s="13">
        <v>2.0</v>
      </c>
      <c r="U990" s="13" t="s">
        <v>1730</v>
      </c>
      <c r="V990" s="24"/>
      <c r="W990" s="24" t="str">
        <f t="shared" si="46"/>
        <v>Завершена</v>
      </c>
      <c r="X990" s="13" t="str">
        <f>IFERROR(__xludf.DUMMYFUNCTION("IF(C990 = """", """", IF(REGEXMATCH(C990, ""PCX|NMAX|ADV 150|CLICK""), ""скутер"", ""мото""))"),"мото")</f>
        <v>мото</v>
      </c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</row>
    <row r="991" ht="24.0" hidden="1" customHeight="1">
      <c r="A991" s="25" t="s">
        <v>24</v>
      </c>
      <c r="B991" s="25" t="s">
        <v>25</v>
      </c>
      <c r="C991" s="27" t="s">
        <v>1065</v>
      </c>
      <c r="D991" s="27" t="s">
        <v>1731</v>
      </c>
      <c r="E991" s="43">
        <v>45685.0</v>
      </c>
      <c r="F991" s="39">
        <v>45715.541666666664</v>
      </c>
      <c r="G991" s="30" t="str">
        <f t="shared" si="61"/>
        <v>30 Д</v>
      </c>
      <c r="H991" s="31">
        <f t="shared" si="62"/>
        <v>594</v>
      </c>
      <c r="I991" s="32" t="str">
        <f t="shared" si="39"/>
        <v/>
      </c>
      <c r="J991" s="33" t="str">
        <f t="shared" si="25"/>
        <v/>
      </c>
      <c r="K991" s="36">
        <f>21300</f>
        <v>21300</v>
      </c>
      <c r="L991" s="36">
        <v>17820.0</v>
      </c>
      <c r="M991" s="33"/>
      <c r="N991" s="44">
        <v>9709.0</v>
      </c>
      <c r="O991" s="35">
        <f>IFERROR(__xludf.DUMMYFUNCTION("IFERROR(
  VLOOKUP(C991,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C991
    ), 
    7, FALSE
  ), 
  """"
)
"),19130.0)</f>
        <v>19130</v>
      </c>
      <c r="P991" s="35">
        <f>IFERROR(__xludf.DUMMYFUNCTION("IF(AND(Q991="""", R991=""""),
  """",
  IF(OR(ISBLANK(Q991), ISBLANK(O991)),
    """",
    IF(VALUE(SUBSTITUTE(INDEX(SPLIT(IF(ISBLANK(R991), Q991, R991), "",""), 0, 1), "" Km"", """")) - O991 = 0,
      """",
      VALUE(SUBSTITUTE(INDEX(SPLIT(IF(ISBLANK("&amp;"R991), Q991, R991), "",""), 0, 1), "" Km"", """")) - O991
    )
  )
)"),-9421.0)</f>
        <v>-9421</v>
      </c>
      <c r="Q991" s="36" t="str">
        <f t="shared" si="4"/>
        <v>9 709 Km, 28.01.2025</v>
      </c>
      <c r="R991" s="33"/>
      <c r="S991" s="40">
        <v>7000.0</v>
      </c>
      <c r="T991" s="25">
        <v>2.0</v>
      </c>
      <c r="U991" s="25" t="s">
        <v>1730</v>
      </c>
      <c r="V991" s="37"/>
      <c r="W991" s="37" t="str">
        <f t="shared" si="46"/>
        <v>Завершена</v>
      </c>
      <c r="X991" s="25" t="str">
        <f>IFERROR(__xludf.DUMMYFUNCTION("IF(C991 = """", """", IF(REGEXMATCH(C991, ""PCX|NMAX|ADV 150|CLICK""), ""скутер"", ""мото""))"),"мото")</f>
        <v>мото</v>
      </c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</row>
    <row r="992" hidden="1">
      <c r="A992" s="13" t="s">
        <v>24</v>
      </c>
      <c r="B992" s="13" t="s">
        <v>25</v>
      </c>
      <c r="C992" s="14" t="s">
        <v>914</v>
      </c>
      <c r="D992" s="14" t="s">
        <v>1732</v>
      </c>
      <c r="E992" s="48">
        <v>45686.0</v>
      </c>
      <c r="F992" s="38">
        <v>45716.75</v>
      </c>
      <c r="G992" s="17" t="str">
        <f t="shared" si="61"/>
        <v>30 Д</v>
      </c>
      <c r="H992" s="18">
        <f t="shared" si="62"/>
        <v>1600</v>
      </c>
      <c r="I992" s="19" t="str">
        <f t="shared" si="39"/>
        <v/>
      </c>
      <c r="J992" s="20" t="str">
        <f t="shared" si="25"/>
        <v/>
      </c>
      <c r="K992" s="23">
        <v>52000.0</v>
      </c>
      <c r="L992" s="23">
        <v>48000.0</v>
      </c>
      <c r="M992" s="20"/>
      <c r="N992" s="49">
        <v>9000.0</v>
      </c>
      <c r="O992" s="22">
        <f>IFERROR(__xludf.DUMMYFUNCTION("IFERROR(
  VLOOKUP(C992,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C992
    ), 
    7, FALSE
  ), 
  """"
)
"),17900.0)</f>
        <v>17900</v>
      </c>
      <c r="P992" s="22">
        <f>IFERROR(__xludf.DUMMYFUNCTION("IF(AND(Q992="""", R992=""""),
  """",
  IF(OR(ISBLANK(Q992), ISBLANK(O992)),
    """",
    IF(VALUE(SUBSTITUTE(INDEX(SPLIT(IF(ISBLANK(R992), Q992, R992), "",""), 0, 1), "" Km"", """")) - O992 = 0,
      """",
      VALUE(SUBSTITUTE(INDEX(SPLIT(IF(ISBLANK("&amp;"R992), Q992, R992), "",""), 0, 1), "" Km"", """")) - O992
    )
  )
)"),-8900.0)</f>
        <v>-8900</v>
      </c>
      <c r="Q992" s="23" t="str">
        <f t="shared" si="4"/>
        <v>9 000 Km, 29.01.2025</v>
      </c>
      <c r="R992" s="20"/>
      <c r="S992" s="41" t="s">
        <v>600</v>
      </c>
      <c r="T992" s="13">
        <v>2.0</v>
      </c>
      <c r="U992" s="13" t="s">
        <v>516</v>
      </c>
      <c r="V992" s="24"/>
      <c r="W992" s="24" t="str">
        <f t="shared" si="46"/>
        <v>Завершена</v>
      </c>
      <c r="X992" s="13" t="str">
        <f>IFERROR(__xludf.DUMMYFUNCTION("IF(C992 = """", """", IF(REGEXMATCH(C992, ""PCX|NMAX|ADV 150|CLICK""), ""скутер"", ""мото""))"),"мото")</f>
        <v>мото</v>
      </c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</row>
    <row r="993" hidden="1">
      <c r="A993" s="25" t="s">
        <v>24</v>
      </c>
      <c r="B993" s="25" t="s">
        <v>25</v>
      </c>
      <c r="C993" s="27" t="s">
        <v>928</v>
      </c>
      <c r="D993" s="27" t="s">
        <v>1733</v>
      </c>
      <c r="E993" s="43">
        <v>45686.0</v>
      </c>
      <c r="F993" s="39">
        <v>45696.541666666664</v>
      </c>
      <c r="G993" s="30" t="str">
        <f t="shared" si="61"/>
        <v>10 Д</v>
      </c>
      <c r="H993" s="31">
        <f t="shared" si="62"/>
        <v>1033</v>
      </c>
      <c r="I993" s="32" t="str">
        <f t="shared" si="39"/>
        <v/>
      </c>
      <c r="J993" s="33" t="str">
        <f t="shared" si="25"/>
        <v/>
      </c>
      <c r="K993" s="36">
        <f>5240</f>
        <v>5240</v>
      </c>
      <c r="L993" s="33"/>
      <c r="M993" s="36">
        <v>1033.0</v>
      </c>
      <c r="N993" s="44">
        <v>4700.0</v>
      </c>
      <c r="O993" s="35">
        <f>IFERROR(__xludf.DUMMYFUNCTION("IFERROR(
  VLOOKUP(C993,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C993
    ), 
    7, FALSE
  ), 
  """"
)
"),11000.0)</f>
        <v>11000</v>
      </c>
      <c r="P993" s="35">
        <f>IFERROR(__xludf.DUMMYFUNCTION("IF(AND(Q993="""", R993=""""),
  """",
  IF(OR(ISBLANK(Q993), ISBLANK(O993)),
    """",
    IF(VALUE(SUBSTITUTE(INDEX(SPLIT(IF(ISBLANK(R993), Q993, R993), "",""), 0, 1), "" Km"", """")) - O993 = 0,
      """",
      VALUE(SUBSTITUTE(INDEX(SPLIT(IF(ISBLANK("&amp;"R993), Q993, R993), "",""), 0, 1), "" Km"", """")) - O993
    )
  )
)"),-6300.0)</f>
        <v>-6300</v>
      </c>
      <c r="Q993" s="36" t="str">
        <f t="shared" si="4"/>
        <v>4 700 Km, 29.01.2025</v>
      </c>
      <c r="R993" s="33"/>
      <c r="S993" s="40">
        <v>7000.0</v>
      </c>
      <c r="T993" s="25">
        <v>2.0</v>
      </c>
      <c r="U993" s="71" t="s">
        <v>1734</v>
      </c>
      <c r="V993" s="37"/>
      <c r="W993" s="37" t="str">
        <f t="shared" si="46"/>
        <v>Завершена</v>
      </c>
      <c r="X993" s="25" t="str">
        <f>IFERROR(__xludf.DUMMYFUNCTION("IF(C993 = """", """", IF(REGEXMATCH(C993, ""PCX|NMAX|ADV 150|CLICK""), ""скутер"", ""мото""))"),"мото")</f>
        <v>мото</v>
      </c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</row>
    <row r="994" ht="30.0" hidden="1" customHeight="1">
      <c r="A994" s="13" t="s">
        <v>24</v>
      </c>
      <c r="B994" s="13" t="s">
        <v>25</v>
      </c>
      <c r="C994" s="14" t="s">
        <v>64</v>
      </c>
      <c r="D994" s="14" t="s">
        <v>1735</v>
      </c>
      <c r="E994" s="48">
        <v>45687.0</v>
      </c>
      <c r="F994" s="38">
        <v>45695.583333333336</v>
      </c>
      <c r="G994" s="17" t="str">
        <f t="shared" si="61"/>
        <v>8 Д</v>
      </c>
      <c r="H994" s="18">
        <f t="shared" si="62"/>
        <v>739</v>
      </c>
      <c r="I994" s="19" t="str">
        <f t="shared" si="39"/>
        <v/>
      </c>
      <c r="J994" s="20" t="str">
        <f t="shared" si="25"/>
        <v/>
      </c>
      <c r="K994" s="23">
        <v>5912.0</v>
      </c>
      <c r="L994" s="20"/>
      <c r="M994" s="23">
        <v>739.0</v>
      </c>
      <c r="N994" s="49">
        <v>27000.0</v>
      </c>
      <c r="O994" s="22">
        <f>IFERROR(__xludf.DUMMYFUNCTION("IFERROR(
  VLOOKUP(C994,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C994
    ), 
    7, FALSE
  ), 
  """"
)
"),32600.0)</f>
        <v>32600</v>
      </c>
      <c r="P994" s="22">
        <f>IFERROR(__xludf.DUMMYFUNCTION("IF(AND(Q994="""", R994=""""),
  """",
  IF(OR(ISBLANK(Q994), ISBLANK(O994)),
    """",
    IF(VALUE(SUBSTITUTE(INDEX(SPLIT(IF(ISBLANK(R994), Q994, R994), "",""), 0, 1), "" Km"", """")) - O994 = 0,
      """",
      VALUE(SUBSTITUTE(INDEX(SPLIT(IF(ISBLANK("&amp;"R994), Q994, R994), "",""), 0, 1), "" Km"", """")) - O994
    )
  )
)"),-5600.0)</f>
        <v>-5600</v>
      </c>
      <c r="Q994" s="23" t="str">
        <f t="shared" si="4"/>
        <v>27 000 Km, 30.01.2025</v>
      </c>
      <c r="R994" s="20"/>
      <c r="S994" s="41">
        <v>5000.0</v>
      </c>
      <c r="T994" s="13">
        <v>2.0</v>
      </c>
      <c r="U994" s="66" t="s">
        <v>1736</v>
      </c>
      <c r="V994" s="24"/>
      <c r="W994" s="24" t="str">
        <f t="shared" si="46"/>
        <v>Завершена</v>
      </c>
      <c r="X994" s="13" t="str">
        <f>IFERROR(__xludf.DUMMYFUNCTION("IF(C994 = """", """", IF(REGEXMATCH(C994, ""PCX|NMAX|ADV 150|CLICK""), ""скутер"", ""мото""))"),"мото")</f>
        <v>мото</v>
      </c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</row>
    <row r="995" hidden="1">
      <c r="A995" s="25" t="s">
        <v>24</v>
      </c>
      <c r="B995" s="25" t="s">
        <v>25</v>
      </c>
      <c r="C995" s="27" t="s">
        <v>77</v>
      </c>
      <c r="D995" s="27" t="s">
        <v>1737</v>
      </c>
      <c r="E995" s="43">
        <v>45687.0</v>
      </c>
      <c r="F995" s="39">
        <v>45696.666666666664</v>
      </c>
      <c r="G995" s="30" t="str">
        <f t="shared" si="61"/>
        <v>9 Д</v>
      </c>
      <c r="H995" s="31">
        <f t="shared" si="62"/>
        <v>469</v>
      </c>
      <c r="I995" s="32" t="str">
        <f t="shared" si="39"/>
        <v/>
      </c>
      <c r="J995" s="33" t="str">
        <f t="shared" si="25"/>
        <v/>
      </c>
      <c r="K995" s="36">
        <f>2345+469*2+469*2</f>
        <v>4221</v>
      </c>
      <c r="L995" s="33"/>
      <c r="M995" s="36">
        <v>469.0</v>
      </c>
      <c r="N995" s="44">
        <v>30581.0</v>
      </c>
      <c r="O995" s="35">
        <f>IFERROR(__xludf.DUMMYFUNCTION("IFERROR(
  VLOOKUP(C995,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C995
    ), 
    7, FALSE
  ), 
  """"
)
"),37300.0)</f>
        <v>37300</v>
      </c>
      <c r="P995" s="35">
        <f>IFERROR(__xludf.DUMMYFUNCTION("IF(AND(Q995="""", R995=""""),
  """",
  IF(OR(ISBLANK(Q995), ISBLANK(O995)),
    """",
    IF(VALUE(SUBSTITUTE(INDEX(SPLIT(IF(ISBLANK(R995), Q995, R995), "",""), 0, 1), "" Km"", """")) - O995 = 0,
      """",
      VALUE(SUBSTITUTE(INDEX(SPLIT(IF(ISBLANK("&amp;"R995), Q995, R995), "",""), 0, 1), "" Km"", """")) - O995
    )
  )
)"),-6719.0)</f>
        <v>-6719</v>
      </c>
      <c r="Q995" s="36" t="str">
        <f t="shared" si="4"/>
        <v>30 581 Km, 30.01.2025</v>
      </c>
      <c r="R995" s="33"/>
      <c r="S995" s="40">
        <v>3000.0</v>
      </c>
      <c r="T995" s="25">
        <v>2.0</v>
      </c>
      <c r="U995" s="25" t="s">
        <v>1738</v>
      </c>
      <c r="V995" s="37"/>
      <c r="W995" s="37" t="str">
        <f t="shared" si="46"/>
        <v>Завершена</v>
      </c>
      <c r="X995" s="25" t="str">
        <f>IFERROR(__xludf.DUMMYFUNCTION("IF(C995 = """", """", IF(REGEXMATCH(C995, ""PCX|NMAX|ADV 150|CLICK""), ""скутер"", ""мото""))"),"скутер")</f>
        <v>скутер</v>
      </c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</row>
    <row r="996" hidden="1">
      <c r="A996" s="13" t="s">
        <v>24</v>
      </c>
      <c r="B996" s="13" t="s">
        <v>25</v>
      </c>
      <c r="C996" s="14" t="s">
        <v>286</v>
      </c>
      <c r="D996" s="14" t="s">
        <v>1739</v>
      </c>
      <c r="E996" s="48">
        <v>45687.0</v>
      </c>
      <c r="F996" s="38">
        <v>45732.666666666664</v>
      </c>
      <c r="G996" s="17" t="str">
        <f t="shared" si="61"/>
        <v>45 Д</v>
      </c>
      <c r="H996" s="18">
        <f t="shared" si="62"/>
        <v>263.3333333</v>
      </c>
      <c r="I996" s="19" t="str">
        <f t="shared" si="39"/>
        <v/>
      </c>
      <c r="J996" s="20" t="str">
        <f t="shared" si="25"/>
        <v/>
      </c>
      <c r="K996" s="23">
        <f>7900+3700</f>
        <v>11600</v>
      </c>
      <c r="L996" s="23">
        <v>7900.0</v>
      </c>
      <c r="M996" s="20"/>
      <c r="N996" s="49">
        <v>16200.0</v>
      </c>
      <c r="O996" s="22" t="str">
        <f>IFERROR(__xludf.DUMMYFUNCTION("IFERROR(
  VLOOKUP(C996,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C996
    ), 
    7, FALSE
  ), 
  """"
)
"),"")</f>
        <v/>
      </c>
      <c r="P996" s="22">
        <f>IFERROR(__xludf.DUMMYFUNCTION("IF(AND(Q996="""", R996=""""),
  """",
  IF(OR(ISBLANK(Q996), ISBLANK(O996)),
    """",
    IF(VALUE(SUBSTITUTE(INDEX(SPLIT(IF(ISBLANK(R996), Q996, R996), "",""), 0, 1), "" Km"", """")) - O996 = 0,
      """",
      VALUE(SUBSTITUTE(INDEX(SPLIT(IF(ISBLANK("&amp;"R996), Q996, R996), "",""), 0, 1), "" Km"", """")) - O996
    )
  )
)"),16200.0)</f>
        <v>16200</v>
      </c>
      <c r="Q996" s="23" t="str">
        <f t="shared" si="4"/>
        <v>16 200 Km, 30.01.2025</v>
      </c>
      <c r="R996" s="20"/>
      <c r="S996" s="41">
        <v>200.0</v>
      </c>
      <c r="T996" s="13">
        <v>1.0</v>
      </c>
      <c r="U996" s="13" t="s">
        <v>1740</v>
      </c>
      <c r="V996" s="24"/>
      <c r="W996" s="24" t="str">
        <f t="shared" si="46"/>
        <v>Завершена</v>
      </c>
      <c r="X996" s="13" t="str">
        <f>IFERROR(__xludf.DUMMYFUNCTION("IF(C996 = """", """", IF(REGEXMATCH(C996, ""PCX|NMAX|ADV 150|CLICK""), ""скутер"", ""мото""))"),"мото")</f>
        <v>мото</v>
      </c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</row>
    <row r="997" hidden="1">
      <c r="A997" s="25" t="s">
        <v>24</v>
      </c>
      <c r="B997" s="25" t="s">
        <v>25</v>
      </c>
      <c r="C997" s="27" t="s">
        <v>68</v>
      </c>
      <c r="D997" s="27" t="s">
        <v>1741</v>
      </c>
      <c r="E997" s="43">
        <v>45687.0</v>
      </c>
      <c r="F997" s="39">
        <v>45748.458333333336</v>
      </c>
      <c r="G997" s="30" t="str">
        <f t="shared" si="61"/>
        <v>61 Д</v>
      </c>
      <c r="H997" s="31">
        <f t="shared" si="62"/>
        <v>263.3333333</v>
      </c>
      <c r="I997" s="32" t="str">
        <f t="shared" si="39"/>
        <v/>
      </c>
      <c r="J997" s="33" t="str">
        <f t="shared" si="25"/>
        <v/>
      </c>
      <c r="K997" s="36">
        <v>16000.0</v>
      </c>
      <c r="L997" s="36">
        <v>7900.0</v>
      </c>
      <c r="M997" s="33"/>
      <c r="N997" s="44">
        <v>30000.0</v>
      </c>
      <c r="O997" s="35">
        <f>IFERROR(__xludf.DUMMYFUNCTION("IFERROR(
  VLOOKUP(C997,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C997
    ), 
    7, FALSE
  ), 
  """"
)
"),24094.0)</f>
        <v>24094</v>
      </c>
      <c r="P997" s="35">
        <f>IFERROR(__xludf.DUMMYFUNCTION("IF(AND(Q997="""", R997=""""),
  """",
  IF(OR(ISBLANK(Q997), ISBLANK(O997)),
    """",
    IF(VALUE(SUBSTITUTE(INDEX(SPLIT(IF(ISBLANK(R997), Q997, R997), "",""), 0, 1), "" Km"", """")) - O997 = 0,
      """",
      VALUE(SUBSTITUTE(INDEX(SPLIT(IF(ISBLANK("&amp;"R997), Q997, R997), "",""), 0, 1), "" Km"", """")) - O997
    )
  )
)"),5906.0)</f>
        <v>5906</v>
      </c>
      <c r="Q997" s="36" t="str">
        <f t="shared" si="4"/>
        <v>30 000 Km, 30.01.2025</v>
      </c>
      <c r="R997" s="33"/>
      <c r="S997" s="40">
        <v>100.0</v>
      </c>
      <c r="T997" s="25">
        <v>2.0</v>
      </c>
      <c r="U997" s="25" t="s">
        <v>1742</v>
      </c>
      <c r="V997" s="37"/>
      <c r="W997" s="37" t="str">
        <f t="shared" si="46"/>
        <v>Завершена</v>
      </c>
      <c r="X997" s="25" t="str">
        <f>IFERROR(__xludf.DUMMYFUNCTION("IF(C997 = """", """", IF(REGEXMATCH(C997, ""PCX|NMAX|ADV 150|CLICK""), ""скутер"", ""мото""))"),"скутер")</f>
        <v>скутер</v>
      </c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</row>
    <row r="998" hidden="1">
      <c r="A998" s="13" t="s">
        <v>24</v>
      </c>
      <c r="B998" s="14" t="s">
        <v>25</v>
      </c>
      <c r="C998" s="14" t="s">
        <v>151</v>
      </c>
      <c r="D998" s="105" t="s">
        <v>1668</v>
      </c>
      <c r="E998" s="48">
        <v>45690.0</v>
      </c>
      <c r="F998" s="38">
        <v>45697.666666666664</v>
      </c>
      <c r="G998" s="17" t="str">
        <f t="shared" si="61"/>
        <v>7 Д</v>
      </c>
      <c r="H998" s="18">
        <f t="shared" si="62"/>
        <v>490</v>
      </c>
      <c r="I998" s="19" t="str">
        <f t="shared" si="39"/>
        <v/>
      </c>
      <c r="J998" s="20" t="str">
        <f t="shared" si="25"/>
        <v/>
      </c>
      <c r="K998" s="20">
        <f>7*490</f>
        <v>3430</v>
      </c>
      <c r="L998" s="152"/>
      <c r="M998" s="20">
        <v>490.0</v>
      </c>
      <c r="N998" s="170">
        <v>28800.0</v>
      </c>
      <c r="O998" s="22">
        <f>IFERROR(__xludf.DUMMYFUNCTION("IFERROR(
  VLOOKUP(C998,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C998
    ), 
    7, FALSE
  ), 
  """"
)
"),35800.0)</f>
        <v>35800</v>
      </c>
      <c r="P998" s="22">
        <f>IFERROR(__xludf.DUMMYFUNCTION("IF(AND(Q998="""", R998=""""),
  """",
  IF(OR(ISBLANK(Q998), ISBLANK(O998)),
    """",
    IF(VALUE(SUBSTITUTE(INDEX(SPLIT(IF(ISBLANK(R998), Q998, R998), "",""), 0, 1), "" Km"", """")) - O998 = 0,
      """",
      VALUE(SUBSTITUTE(INDEX(SPLIT(IF(ISBLANK("&amp;"R998), Q998, R998), "",""), 0, 1), "" Km"", """")) - O998
    )
  )
)"),-7000.0)</f>
        <v>-7000</v>
      </c>
      <c r="Q998" s="20" t="str">
        <f t="shared" si="4"/>
        <v>28 800 Km, 02.02.2025</v>
      </c>
      <c r="R998" s="152"/>
      <c r="S998" s="18">
        <v>3000.0</v>
      </c>
      <c r="T998" s="24">
        <v>1.0</v>
      </c>
      <c r="U998" s="24" t="s">
        <v>1669</v>
      </c>
      <c r="V998" s="154"/>
      <c r="W998" s="24" t="str">
        <f t="shared" si="46"/>
        <v>Завершена</v>
      </c>
      <c r="X998" s="42" t="str">
        <f>IFERROR(__xludf.DUMMYFUNCTION("IF(C998 = """", """", IF(REGEXMATCH(C998, ""PCX|NMAX|ADV 150|CLICK""), ""скутер"", ""мото""))"),"скутер")</f>
        <v>скутер</v>
      </c>
      <c r="Y998" s="153"/>
      <c r="Z998" s="153"/>
      <c r="AA998" s="153"/>
      <c r="AB998" s="153"/>
      <c r="AC998" s="153"/>
      <c r="AD998" s="153"/>
      <c r="AE998" s="153"/>
      <c r="AF998" s="153"/>
      <c r="AG998" s="153"/>
      <c r="AH998" s="153"/>
      <c r="AI998" s="153"/>
      <c r="AJ998" s="153"/>
      <c r="AK998" s="153"/>
      <c r="AL998" s="153"/>
      <c r="AM998" s="153"/>
    </row>
    <row r="999" ht="30.75" hidden="1" customHeight="1">
      <c r="A999" s="25" t="s">
        <v>24</v>
      </c>
      <c r="B999" s="25" t="s">
        <v>25</v>
      </c>
      <c r="C999" s="27" t="s">
        <v>48</v>
      </c>
      <c r="D999" s="27" t="s">
        <v>1743</v>
      </c>
      <c r="E999" s="43">
        <v>45690.0</v>
      </c>
      <c r="F999" s="39">
        <v>45704.458333333336</v>
      </c>
      <c r="G999" s="30" t="str">
        <f t="shared" si="61"/>
        <v>14 Д</v>
      </c>
      <c r="H999" s="31">
        <f t="shared" si="62"/>
        <v>420</v>
      </c>
      <c r="I999" s="32" t="str">
        <f t="shared" si="39"/>
        <v/>
      </c>
      <c r="J999" s="33" t="str">
        <f t="shared" si="25"/>
        <v/>
      </c>
      <c r="K999" s="36">
        <f>5460+420</f>
        <v>5880</v>
      </c>
      <c r="L999" s="33"/>
      <c r="M999" s="36">
        <v>420.0</v>
      </c>
      <c r="N999" s="44">
        <v>28400.0</v>
      </c>
      <c r="O999" s="35">
        <f>IFERROR(__xludf.DUMMYFUNCTION("IFERROR(
  VLOOKUP(C999,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C999
    ), 
    7, FALSE
  ), 
  """"
)
"),35800.0)</f>
        <v>35800</v>
      </c>
      <c r="P999" s="35">
        <f>IFERROR(__xludf.DUMMYFUNCTION("IF(AND(Q999="""", R999=""""),
  """",
  IF(OR(ISBLANK(Q999), ISBLANK(O999)),
    """",
    IF(VALUE(SUBSTITUTE(INDEX(SPLIT(IF(ISBLANK(R999), Q999, R999), "",""), 0, 1), "" Km"", """")) - O999 = 0,
      """",
      VALUE(SUBSTITUTE(INDEX(SPLIT(IF(ISBLANK("&amp;"R999), Q999, R999), "",""), 0, 1), "" Km"", """")) - O999
    )
  )
)"),-7400.0)</f>
        <v>-7400</v>
      </c>
      <c r="Q999" s="36" t="str">
        <f t="shared" si="4"/>
        <v>28 400 Km, 02.02.2025</v>
      </c>
      <c r="R999" s="33"/>
      <c r="S999" s="40">
        <v>3000.0</v>
      </c>
      <c r="T999" s="25">
        <v>1.0</v>
      </c>
      <c r="U999" s="25" t="s">
        <v>1744</v>
      </c>
      <c r="V999" s="37"/>
      <c r="W999" s="37" t="str">
        <f t="shared" si="46"/>
        <v>Завершена</v>
      </c>
      <c r="X999" s="25" t="str">
        <f>IFERROR(__xludf.DUMMYFUNCTION("IF(C999 = """", """", IF(REGEXMATCH(C999, ""PCX|NMAX|ADV 150|CLICK""), ""скутер"", ""мото""))"),"скутер")</f>
        <v>скутер</v>
      </c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</row>
    <row r="1000" hidden="1">
      <c r="A1000" s="13" t="s">
        <v>24</v>
      </c>
      <c r="B1000" s="13" t="s">
        <v>25</v>
      </c>
      <c r="C1000" s="14" t="s">
        <v>106</v>
      </c>
      <c r="D1000" s="14" t="s">
        <v>1745</v>
      </c>
      <c r="E1000" s="48">
        <v>45691.0</v>
      </c>
      <c r="F1000" s="38">
        <v>45698.666666666664</v>
      </c>
      <c r="G1000" s="17" t="str">
        <f t="shared" si="61"/>
        <v>7 Д</v>
      </c>
      <c r="H1000" s="18">
        <f t="shared" si="62"/>
        <v>469</v>
      </c>
      <c r="I1000" s="19" t="str">
        <f t="shared" si="39"/>
        <v/>
      </c>
      <c r="J1000" s="20" t="str">
        <f t="shared" si="25"/>
        <v/>
      </c>
      <c r="K1000" s="23">
        <v>3283.0</v>
      </c>
      <c r="L1000" s="20"/>
      <c r="M1000" s="23">
        <v>469.0</v>
      </c>
      <c r="N1000" s="49">
        <v>23000.0</v>
      </c>
      <c r="O1000" s="22">
        <f>IFERROR(__xludf.DUMMYFUNCTION("IFERROR(
  VLOOKUP(C1000,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C1000
    ), 
    7, FALSE
  ), 
  """"
)
"),26000.0)</f>
        <v>26000</v>
      </c>
      <c r="P1000" s="22">
        <f>IFERROR(__xludf.DUMMYFUNCTION("IF(AND(Q1000="""", R1000=""""),
  """",
  IF(OR(ISBLANK(Q1000), ISBLANK(O1000)),
    """",
    IF(VALUE(SUBSTITUTE(INDEX(SPLIT(IF(ISBLANK(R1000), Q1000, R1000), "",""), 0, 1), "" Km"", """")) - O1000 = 0,
      """",
      VALUE(SUBSTITUTE(INDEX(SPLIT(IF("&amp;"ISBLANK(R1000), Q1000, R1000), "",""), 0, 1), "" Km"", """")) - O1000
    )
  )
)"),-3000.0)</f>
        <v>-3000</v>
      </c>
      <c r="Q1000" s="23" t="str">
        <f t="shared" si="4"/>
        <v>23 000 Km, 03.02.2025</v>
      </c>
      <c r="R1000" s="20"/>
      <c r="S1000" s="41">
        <v>3000.0</v>
      </c>
      <c r="T1000" s="13">
        <v>2.0</v>
      </c>
      <c r="U1000" s="13" t="s">
        <v>1746</v>
      </c>
      <c r="V1000" s="24"/>
      <c r="W1000" s="24" t="str">
        <f t="shared" si="46"/>
        <v>Завершена</v>
      </c>
      <c r="X1000" s="13" t="str">
        <f>IFERROR(__xludf.DUMMYFUNCTION("IF(C1000 = """", """", IF(REGEXMATCH(C1000, ""PCX|NMAX|ADV 150|CLICK""), ""скутер"", ""мото""))"),"скутер")</f>
        <v>скутер</v>
      </c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</row>
    <row r="1001" hidden="1">
      <c r="A1001" s="25" t="s">
        <v>24</v>
      </c>
      <c r="B1001" s="25" t="s">
        <v>25</v>
      </c>
      <c r="C1001" s="27" t="s">
        <v>185</v>
      </c>
      <c r="D1001" s="27" t="s">
        <v>1745</v>
      </c>
      <c r="E1001" s="43">
        <v>45691.0</v>
      </c>
      <c r="F1001" s="39">
        <v>45698.666666666664</v>
      </c>
      <c r="G1001" s="30" t="str">
        <f t="shared" si="61"/>
        <v>7 Д</v>
      </c>
      <c r="H1001" s="31">
        <f t="shared" si="62"/>
        <v>469</v>
      </c>
      <c r="I1001" s="32" t="str">
        <f t="shared" si="39"/>
        <v/>
      </c>
      <c r="J1001" s="33" t="str">
        <f t="shared" si="25"/>
        <v/>
      </c>
      <c r="K1001" s="36">
        <v>3283.0</v>
      </c>
      <c r="L1001" s="33"/>
      <c r="M1001" s="36">
        <v>469.0</v>
      </c>
      <c r="N1001" s="44">
        <v>33800.0</v>
      </c>
      <c r="O1001" s="35" t="str">
        <f>IFERROR(__xludf.DUMMYFUNCTION("IFERROR(
  VLOOKUP(C1001,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C1001
    ), 
    7, FALSE
  ), 
  """"
)
"),"")</f>
        <v/>
      </c>
      <c r="P1001" s="35">
        <f>IFERROR(__xludf.DUMMYFUNCTION("IF(AND(Q1001="""", R1001=""""),
  """",
  IF(OR(ISBLANK(Q1001), ISBLANK(O1001)),
    """",
    IF(VALUE(SUBSTITUTE(INDEX(SPLIT(IF(ISBLANK(R1001), Q1001, R1001), "",""), 0, 1), "" Km"", """")) - O1001 = 0,
      """",
      VALUE(SUBSTITUTE(INDEX(SPLIT(IF("&amp;"ISBLANK(R1001), Q1001, R1001), "",""), 0, 1), "" Km"", """")) - O1001
    )
  )
)"),33800.0)</f>
        <v>33800</v>
      </c>
      <c r="Q1001" s="36" t="str">
        <f t="shared" si="4"/>
        <v>33 800 Km, 03.02.2025</v>
      </c>
      <c r="R1001" s="33"/>
      <c r="S1001" s="40">
        <v>3000.0</v>
      </c>
      <c r="T1001" s="25">
        <v>2.0</v>
      </c>
      <c r="U1001" s="25" t="s">
        <v>1746</v>
      </c>
      <c r="V1001" s="37"/>
      <c r="W1001" s="37" t="str">
        <f t="shared" si="46"/>
        <v>Завершена</v>
      </c>
      <c r="X1001" s="25" t="str">
        <f>IFERROR(__xludf.DUMMYFUNCTION("IF(C1001 = """", """", IF(REGEXMATCH(C1001, ""PCX|NMAX|ADV 150|CLICK""), ""скутер"", ""мото""))"),"скутер")</f>
        <v>скутер</v>
      </c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</row>
    <row r="1002" hidden="1">
      <c r="A1002" s="13" t="s">
        <v>24</v>
      </c>
      <c r="B1002" s="14" t="s">
        <v>25</v>
      </c>
      <c r="C1002" s="105" t="s">
        <v>928</v>
      </c>
      <c r="D1002" s="105" t="s">
        <v>1733</v>
      </c>
      <c r="E1002" s="48">
        <v>45691.0</v>
      </c>
      <c r="F1002" s="38">
        <v>45702.541666666664</v>
      </c>
      <c r="G1002" s="17" t="str">
        <f t="shared" si="61"/>
        <v>11 Д</v>
      </c>
      <c r="H1002" s="18">
        <f t="shared" si="62"/>
        <v>800</v>
      </c>
      <c r="I1002" s="19" t="str">
        <f t="shared" si="39"/>
        <v/>
      </c>
      <c r="J1002" s="20" t="str">
        <f t="shared" si="25"/>
        <v/>
      </c>
      <c r="K1002" s="23">
        <f>4000+5000+800</f>
        <v>9800</v>
      </c>
      <c r="L1002" s="92"/>
      <c r="M1002" s="23">
        <v>800.0</v>
      </c>
      <c r="N1002" s="21">
        <v>4700.0</v>
      </c>
      <c r="O1002" s="22">
        <f>IFERROR(__xludf.DUMMYFUNCTION("IFERROR(
  VLOOKUP(C1002,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C1002
    ), 
    7, FALSE
  ), 
  """"
)
"),11000.0)</f>
        <v>11000</v>
      </c>
      <c r="P1002" s="22">
        <f>IFERROR(__xludf.DUMMYFUNCTION("IF(AND(Q1002="""", R1002=""""),
  """",
  IF(OR(ISBLANK(Q1002), ISBLANK(O1002)),
    """",
    IF(VALUE(SUBSTITUTE(INDEX(SPLIT(IF(ISBLANK(R1002), Q1002, R1002), "",""), 0, 1), "" Km"", """")) - O1002 = 0,
      """",
      VALUE(SUBSTITUTE(INDEX(SPLIT(IF("&amp;"ISBLANK(R1002), Q1002, R1002), "",""), 0, 1), "" Km"", """")) - O1002
    )
  )
)"),-6300.0)</f>
        <v>-6300</v>
      </c>
      <c r="Q1002" s="20" t="str">
        <f t="shared" si="4"/>
        <v>4 700 Km, 03.02.2025</v>
      </c>
      <c r="R1002" s="92"/>
      <c r="S1002" s="18">
        <v>7000.0</v>
      </c>
      <c r="T1002" s="42">
        <v>2.0</v>
      </c>
      <c r="U1002" s="159" t="s">
        <v>1734</v>
      </c>
      <c r="V1002" s="168"/>
      <c r="W1002" s="24" t="str">
        <f t="shared" si="46"/>
        <v>Завершена</v>
      </c>
      <c r="X1002" s="42" t="str">
        <f>IFERROR(__xludf.DUMMYFUNCTION("IF(C1002 = """", """", IF(REGEXMATCH(C1002, ""PCX|NMAX|ADV 150|CLICK""), ""скутер"", ""мото""))"),"мото")</f>
        <v>мото</v>
      </c>
      <c r="Y1002" s="107"/>
      <c r="Z1002" s="107"/>
      <c r="AA1002" s="107"/>
      <c r="AB1002" s="107"/>
      <c r="AC1002" s="107"/>
      <c r="AD1002" s="107"/>
      <c r="AE1002" s="107"/>
      <c r="AF1002" s="107"/>
      <c r="AG1002" s="107"/>
      <c r="AH1002" s="107"/>
      <c r="AI1002" s="107"/>
      <c r="AJ1002" s="107"/>
      <c r="AK1002" s="107"/>
      <c r="AL1002" s="107"/>
      <c r="AM1002" s="107"/>
    </row>
    <row r="1003" hidden="1">
      <c r="A1003" s="25" t="s">
        <v>24</v>
      </c>
      <c r="B1003" s="25" t="s">
        <v>25</v>
      </c>
      <c r="C1003" s="27" t="s">
        <v>951</v>
      </c>
      <c r="D1003" s="27" t="s">
        <v>1217</v>
      </c>
      <c r="E1003" s="43">
        <v>45692.0</v>
      </c>
      <c r="F1003" s="39">
        <v>45711.541666666664</v>
      </c>
      <c r="G1003" s="30" t="str">
        <f t="shared" si="61"/>
        <v>19 Д</v>
      </c>
      <c r="H1003" s="31">
        <f t="shared" si="62"/>
        <v>675</v>
      </c>
      <c r="I1003" s="32" t="str">
        <f t="shared" si="39"/>
        <v/>
      </c>
      <c r="J1003" s="33" t="str">
        <f t="shared" si="25"/>
        <v/>
      </c>
      <c r="K1003" s="36">
        <f>750*19</f>
        <v>14250</v>
      </c>
      <c r="L1003" s="33"/>
      <c r="M1003" s="36">
        <v>675.0</v>
      </c>
      <c r="N1003" s="44">
        <v>15500.0</v>
      </c>
      <c r="O1003" s="35">
        <f>IFERROR(__xludf.DUMMYFUNCTION("IFERROR(
  VLOOKUP(C1003,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C1003
    ), 
    7, FALSE
  ), 
  """"
)
"),21100.0)</f>
        <v>21100</v>
      </c>
      <c r="P1003" s="35">
        <f>IFERROR(__xludf.DUMMYFUNCTION("IF(AND(Q1003="""", R1003=""""),
  """",
  IF(OR(ISBLANK(Q1003), ISBLANK(O1003)),
    """",
    IF(VALUE(SUBSTITUTE(INDEX(SPLIT(IF(ISBLANK(R1003), Q1003, R1003), "",""), 0, 1), "" Km"", """")) - O1003 = 0,
      """",
      VALUE(SUBSTITUTE(INDEX(SPLIT(IF("&amp;"ISBLANK(R1003), Q1003, R1003), "",""), 0, 1), "" Km"", """")) - O1003
    )
  )
)"),-5600.0)</f>
        <v>-5600</v>
      </c>
      <c r="Q1003" s="36" t="str">
        <f t="shared" si="4"/>
        <v>15 500 Km, 04.02.2025</v>
      </c>
      <c r="R1003" s="33"/>
      <c r="S1003" s="40">
        <v>6000.0</v>
      </c>
      <c r="T1003" s="25">
        <v>3.0</v>
      </c>
      <c r="U1003" s="25" t="s">
        <v>1747</v>
      </c>
      <c r="V1003" s="37"/>
      <c r="W1003" s="37" t="str">
        <f t="shared" si="46"/>
        <v>Завершена</v>
      </c>
      <c r="X1003" s="25" t="str">
        <f>IFERROR(__xludf.DUMMYFUNCTION("IF(C1003 = """", """", IF(REGEXMATCH(C1003, ""PCX|NMAX|ADV 150|CLICK""), ""скутер"", ""мото""))"),"мото")</f>
        <v>мото</v>
      </c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</row>
    <row r="1004" hidden="1">
      <c r="A1004" s="13" t="s">
        <v>24</v>
      </c>
      <c r="B1004" s="13" t="s">
        <v>25</v>
      </c>
      <c r="C1004" s="14" t="s">
        <v>1028</v>
      </c>
      <c r="D1004" s="14" t="s">
        <v>1217</v>
      </c>
      <c r="E1004" s="48">
        <v>45692.0</v>
      </c>
      <c r="F1004" s="38">
        <v>45715.541666666664</v>
      </c>
      <c r="G1004" s="17" t="str">
        <f t="shared" si="61"/>
        <v>23 Д</v>
      </c>
      <c r="H1004" s="18">
        <f t="shared" si="62"/>
        <v>675</v>
      </c>
      <c r="I1004" s="19" t="str">
        <f t="shared" si="39"/>
        <v/>
      </c>
      <c r="J1004" s="20" t="str">
        <f t="shared" si="25"/>
        <v/>
      </c>
      <c r="K1004" s="23">
        <f>(750*23)-1725</f>
        <v>15525</v>
      </c>
      <c r="L1004" s="20"/>
      <c r="M1004" s="23">
        <v>675.0</v>
      </c>
      <c r="N1004" s="49">
        <v>15273.0</v>
      </c>
      <c r="O1004" s="22">
        <f>IFERROR(__xludf.DUMMYFUNCTION("IFERROR(
  VLOOKUP(C1004,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C1004
    ), 
    7, FALSE
  ), 
  """"
)
"),21600.0)</f>
        <v>21600</v>
      </c>
      <c r="P1004" s="22">
        <f>IFERROR(__xludf.DUMMYFUNCTION("IF(AND(Q1004="""", R1004=""""),
  """",
  IF(OR(ISBLANK(Q1004), ISBLANK(O1004)),
    """",
    IF(VALUE(SUBSTITUTE(INDEX(SPLIT(IF(ISBLANK(R1004), Q1004, R1004), "",""), 0, 1), "" Km"", """")) - O1004 = 0,
      """",
      VALUE(SUBSTITUTE(INDEX(SPLIT(IF("&amp;"ISBLANK(R1004), Q1004, R1004), "",""), 0, 1), "" Km"", """")) - O1004
    )
  )
)"),-6327.0)</f>
        <v>-6327</v>
      </c>
      <c r="Q1004" s="23" t="str">
        <f t="shared" si="4"/>
        <v>15 273 Km, 04.02.2025</v>
      </c>
      <c r="R1004" s="20"/>
      <c r="S1004" s="41">
        <v>7000.0</v>
      </c>
      <c r="T1004" s="13">
        <v>3.0</v>
      </c>
      <c r="U1004" s="13" t="s">
        <v>1747</v>
      </c>
      <c r="V1004" s="24"/>
      <c r="W1004" s="24" t="str">
        <f t="shared" si="46"/>
        <v>Завершена</v>
      </c>
      <c r="X1004" s="13" t="str">
        <f>IFERROR(__xludf.DUMMYFUNCTION("IF(C1004 = """", """", IF(REGEXMATCH(C1004, ""PCX|NMAX|ADV 150|CLICK""), ""скутер"", ""мото""))"),"мото")</f>
        <v>мото</v>
      </c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</row>
    <row r="1005" hidden="1">
      <c r="A1005" s="25" t="s">
        <v>24</v>
      </c>
      <c r="B1005" s="25" t="s">
        <v>25</v>
      </c>
      <c r="C1005" s="27" t="s">
        <v>44</v>
      </c>
      <c r="D1005" s="27" t="s">
        <v>1748</v>
      </c>
      <c r="E1005" s="43">
        <v>45693.0</v>
      </c>
      <c r="F1005" s="39">
        <v>45700.708333333336</v>
      </c>
      <c r="G1005" s="30" t="str">
        <f t="shared" si="61"/>
        <v>7 Д</v>
      </c>
      <c r="H1005" s="31">
        <f t="shared" si="62"/>
        <v>469</v>
      </c>
      <c r="I1005" s="32" t="str">
        <f t="shared" si="39"/>
        <v/>
      </c>
      <c r="J1005" s="33" t="str">
        <f t="shared" si="25"/>
        <v/>
      </c>
      <c r="K1005" s="36">
        <v>3283.0</v>
      </c>
      <c r="L1005" s="33"/>
      <c r="M1005" s="36">
        <v>469.0</v>
      </c>
      <c r="N1005" s="34"/>
      <c r="O1005" s="35">
        <f>IFERROR(__xludf.DUMMYFUNCTION("IFERROR(
  VLOOKUP(C1005,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C1005
    ), 
    7, FALSE
  ), 
  """"
)
"),30800.0)</f>
        <v>30800</v>
      </c>
      <c r="P1005" s="35">
        <f>IFERROR(__xludf.DUMMYFUNCTION("IF(AND(Q1005="""", R1005=""""),
  """",
  IF(OR(ISBLANK(Q1005), ISBLANK(O1005)),
    """",
    IF(VALUE(SUBSTITUTE(INDEX(SPLIT(IF(ISBLANK(R1005), Q1005, R1005), "",""), 0, 1), "" Km"", """")) - O1005 = 0,
      """",
      VALUE(SUBSTITUTE(INDEX(SPLIT(IF("&amp;"ISBLANK(R1005), Q1005, R1005), "",""), 0, 1), "" Km"", """")) - O1005
    )
  )
)"),-30800.0)</f>
        <v>-30800</v>
      </c>
      <c r="Q1005" s="36" t="str">
        <f t="shared" si="4"/>
        <v>0 Km, 05.02.2025</v>
      </c>
      <c r="R1005" s="33"/>
      <c r="S1005" s="40">
        <v>3000.0</v>
      </c>
      <c r="T1005" s="25">
        <v>2.0</v>
      </c>
      <c r="U1005" s="25" t="s">
        <v>1749</v>
      </c>
      <c r="V1005" s="37"/>
      <c r="W1005" s="37" t="str">
        <f t="shared" si="46"/>
        <v>Завершена</v>
      </c>
      <c r="X1005" s="25" t="str">
        <f>IFERROR(__xludf.DUMMYFUNCTION("IF(C1005 = """", """", IF(REGEXMATCH(C1005, ""PCX|NMAX|ADV 150|CLICK""), ""скутер"", ""мото""))"),"скутер")</f>
        <v>скутер</v>
      </c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</row>
    <row r="1006" hidden="1">
      <c r="A1006" s="13" t="s">
        <v>24</v>
      </c>
      <c r="B1006" s="13" t="s">
        <v>25</v>
      </c>
      <c r="C1006" s="14" t="s">
        <v>26</v>
      </c>
      <c r="D1006" s="14" t="s">
        <v>1750</v>
      </c>
      <c r="E1006" s="48">
        <v>45694.0</v>
      </c>
      <c r="F1006" s="38">
        <v>45698.583333333336</v>
      </c>
      <c r="G1006" s="17" t="str">
        <f t="shared" si="61"/>
        <v>4 Д</v>
      </c>
      <c r="H1006" s="18">
        <f t="shared" si="62"/>
        <v>384</v>
      </c>
      <c r="I1006" s="19" t="str">
        <f t="shared" si="39"/>
        <v/>
      </c>
      <c r="J1006" s="20" t="str">
        <f t="shared" si="25"/>
        <v/>
      </c>
      <c r="K1006" s="23">
        <v>1536.0</v>
      </c>
      <c r="L1006" s="20"/>
      <c r="M1006" s="23">
        <v>384.0</v>
      </c>
      <c r="N1006" s="21"/>
      <c r="O1006" s="22" t="str">
        <f>IFERROR(__xludf.DUMMYFUNCTION("IFERROR(
  VLOOKUP(C1006,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C1006
    ), 
    7, FALSE
  ), 
  """"
)
"),"")</f>
        <v/>
      </c>
      <c r="P1006" s="22" t="str">
        <f>IFERROR(__xludf.DUMMYFUNCTION("IF(AND(Q1006="""", R1006=""""),
  """",
  IF(OR(ISBLANK(Q1006), ISBLANK(O1006)),
    """",
    IF(VALUE(SUBSTITUTE(INDEX(SPLIT(IF(ISBLANK(R1006), Q1006, R1006), "",""), 0, 1), "" Km"", """")) - O1006 = 0,
      """",
      VALUE(SUBSTITUTE(INDEX(SPLIT(IF("&amp;"ISBLANK(R1006), Q1006, R1006), "",""), 0, 1), "" Km"", """")) - O1006
    )
  )
)"),"")</f>
        <v/>
      </c>
      <c r="Q1006" s="23" t="str">
        <f t="shared" si="4"/>
        <v>0 Km, 06.02.2025</v>
      </c>
      <c r="R1006" s="20"/>
      <c r="S1006" s="41">
        <v>100.0</v>
      </c>
      <c r="T1006" s="13">
        <v>2.0</v>
      </c>
      <c r="U1006" s="13" t="s">
        <v>1751</v>
      </c>
      <c r="V1006" s="24"/>
      <c r="W1006" s="24" t="str">
        <f t="shared" si="46"/>
        <v>Завершена</v>
      </c>
      <c r="X1006" s="13" t="str">
        <f>IFERROR(__xludf.DUMMYFUNCTION("IF(C1006 = """", """", IF(REGEXMATCH(C1006, ""PCX|NMAX|ADV 150|CLICK""), ""скутер"", ""мото""))"),"скутер")</f>
        <v>скутер</v>
      </c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</row>
    <row r="1007" hidden="1">
      <c r="A1007" s="25" t="s">
        <v>24</v>
      </c>
      <c r="B1007" s="25" t="s">
        <v>25</v>
      </c>
      <c r="C1007" s="27" t="s">
        <v>438</v>
      </c>
      <c r="D1007" s="27" t="s">
        <v>1752</v>
      </c>
      <c r="E1007" s="43">
        <v>45694.0</v>
      </c>
      <c r="F1007" s="39">
        <v>45698.625</v>
      </c>
      <c r="G1007" s="30" t="str">
        <f t="shared" si="61"/>
        <v>4 Д</v>
      </c>
      <c r="H1007" s="31">
        <f t="shared" si="62"/>
        <v>1000</v>
      </c>
      <c r="I1007" s="32" t="str">
        <f t="shared" si="39"/>
        <v/>
      </c>
      <c r="J1007" s="33" t="str">
        <f t="shared" si="25"/>
        <v/>
      </c>
      <c r="K1007" s="36">
        <v>4000.0</v>
      </c>
      <c r="L1007" s="33"/>
      <c r="M1007" s="36">
        <v>1000.0</v>
      </c>
      <c r="N1007" s="44">
        <v>24500.0</v>
      </c>
      <c r="O1007" s="35">
        <f>IFERROR(__xludf.DUMMYFUNCTION("IFERROR(
  VLOOKUP(C1007,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C1007
    ), 
    7, FALSE
  ), 
  """"
)
"),37823.0)</f>
        <v>37823</v>
      </c>
      <c r="P1007" s="35">
        <f>IFERROR(__xludf.DUMMYFUNCTION("IF(AND(Q1007="""", R1007=""""),
  """",
  IF(OR(ISBLANK(Q1007), ISBLANK(O1007)),
    """",
    IF(VALUE(SUBSTITUTE(INDEX(SPLIT(IF(ISBLANK(R1007), Q1007, R1007), "",""), 0, 1), "" Km"", """")) - O1007 = 0,
      """",
      VALUE(SUBSTITUTE(INDEX(SPLIT(IF("&amp;"ISBLANK(R1007), Q1007, R1007), "",""), 0, 1), "" Km"", """")) - O1007
    )
  )
)"),-13323.0)</f>
        <v>-13323</v>
      </c>
      <c r="Q1007" s="36" t="str">
        <f t="shared" si="4"/>
        <v>24 500 Km, 06.02.2025</v>
      </c>
      <c r="R1007" s="33"/>
      <c r="S1007" s="40" t="s">
        <v>1753</v>
      </c>
      <c r="T1007" s="25">
        <v>1.0</v>
      </c>
      <c r="U1007" s="71" t="s">
        <v>1754</v>
      </c>
      <c r="V1007" s="37"/>
      <c r="W1007" s="37" t="str">
        <f t="shared" si="46"/>
        <v>Завершена</v>
      </c>
      <c r="X1007" s="25" t="str">
        <f>IFERROR(__xludf.DUMMYFUNCTION("IF(C1007 = """", """", IF(REGEXMATCH(C1007, ""PCX|NMAX|ADV 150|CLICK""), ""скутер"", ""мото""))"),"мото")</f>
        <v>мото</v>
      </c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</row>
    <row r="1008" hidden="1">
      <c r="A1008" s="13" t="s">
        <v>24</v>
      </c>
      <c r="B1008" s="13" t="s">
        <v>25</v>
      </c>
      <c r="C1008" s="14" t="s">
        <v>974</v>
      </c>
      <c r="D1008" s="14" t="s">
        <v>961</v>
      </c>
      <c r="E1008" s="48">
        <v>45694.0</v>
      </c>
      <c r="F1008" s="38">
        <v>45703.583333333336</v>
      </c>
      <c r="G1008" s="17" t="str">
        <f t="shared" si="61"/>
        <v>9 Д</v>
      </c>
      <c r="H1008" s="18">
        <f t="shared" si="62"/>
        <v>952</v>
      </c>
      <c r="I1008" s="19" t="str">
        <f t="shared" si="39"/>
        <v/>
      </c>
      <c r="J1008" s="20" t="str">
        <f t="shared" si="25"/>
        <v/>
      </c>
      <c r="K1008" s="23">
        <v>8568.0</v>
      </c>
      <c r="L1008" s="20"/>
      <c r="M1008" s="23">
        <v>952.0</v>
      </c>
      <c r="N1008" s="49">
        <v>4000.0</v>
      </c>
      <c r="O1008" s="22">
        <f>IFERROR(__xludf.DUMMYFUNCTION("IFERROR(
  VLOOKUP(C1008,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C1008
    ), 
    7, FALSE
  ), 
  """"
)
"),11800.0)</f>
        <v>11800</v>
      </c>
      <c r="P1008" s="22">
        <f>IFERROR(__xludf.DUMMYFUNCTION("IF(AND(Q1008="""", R1008=""""),
  """",
  IF(OR(ISBLANK(Q1008), ISBLANK(O1008)),
    """",
    IF(VALUE(SUBSTITUTE(INDEX(SPLIT(IF(ISBLANK(R1008), Q1008, R1008), "",""), 0, 1), "" Km"", """")) - O1008 = 0,
      """",
      VALUE(SUBSTITUTE(INDEX(SPLIT(IF("&amp;"ISBLANK(R1008), Q1008, R1008), "",""), 0, 1), "" Km"", """")) - O1008
    )
  )
)"),-7800.0)</f>
        <v>-7800</v>
      </c>
      <c r="Q1008" s="23" t="str">
        <f t="shared" si="4"/>
        <v>4 000 Km, 06.02.2025</v>
      </c>
      <c r="R1008" s="20"/>
      <c r="S1008" s="41">
        <v>200.0</v>
      </c>
      <c r="T1008" s="13">
        <v>0.0</v>
      </c>
      <c r="U1008" s="66" t="s">
        <v>1755</v>
      </c>
      <c r="V1008" s="24"/>
      <c r="W1008" s="24" t="str">
        <f t="shared" si="46"/>
        <v>Завершена</v>
      </c>
      <c r="X1008" s="13" t="str">
        <f>IFERROR(__xludf.DUMMYFUNCTION("IF(C1008 = """", """", IF(REGEXMATCH(C1008, ""PCX|NMAX|ADV 150|CLICK""), ""скутер"", ""мото""))"),"мото")</f>
        <v>мото</v>
      </c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</row>
    <row r="1009" hidden="1">
      <c r="A1009" s="25" t="s">
        <v>24</v>
      </c>
      <c r="B1009" s="25" t="s">
        <v>25</v>
      </c>
      <c r="C1009" s="27" t="s">
        <v>98</v>
      </c>
      <c r="D1009" s="27" t="s">
        <v>1237</v>
      </c>
      <c r="E1009" s="43">
        <v>45695.0</v>
      </c>
      <c r="F1009" s="39">
        <v>45707.5</v>
      </c>
      <c r="G1009" s="30" t="str">
        <f t="shared" si="61"/>
        <v>12 Д</v>
      </c>
      <c r="H1009" s="31">
        <f t="shared" si="62"/>
        <v>414</v>
      </c>
      <c r="I1009" s="32" t="str">
        <f t="shared" si="39"/>
        <v/>
      </c>
      <c r="J1009" s="33" t="str">
        <f t="shared" si="25"/>
        <v/>
      </c>
      <c r="K1009" s="36">
        <v>4968.0</v>
      </c>
      <c r="L1009" s="33"/>
      <c r="M1009" s="36">
        <v>414.0</v>
      </c>
      <c r="N1009" s="44">
        <v>28102.0</v>
      </c>
      <c r="O1009" s="35">
        <f>IFERROR(__xludf.DUMMYFUNCTION("IFERROR(
  VLOOKUP(C1009,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C1009
    ), 
    7, FALSE
  ), 
  """"
)
"),32200.0)</f>
        <v>32200</v>
      </c>
      <c r="P1009" s="35">
        <f>IFERROR(__xludf.DUMMYFUNCTION("IF(AND(Q1009="""", R1009=""""),
  """",
  IF(OR(ISBLANK(Q1009), ISBLANK(O1009)),
    """",
    IF(VALUE(SUBSTITUTE(INDEX(SPLIT(IF(ISBLANK(R1009), Q1009, R1009), "",""), 0, 1), "" Km"", """")) - O1009 = 0,
      """",
      VALUE(SUBSTITUTE(INDEX(SPLIT(IF("&amp;"ISBLANK(R1009), Q1009, R1009), "",""), 0, 1), "" Km"", """")) - O1009
    )
  )
)"),-4098.0)</f>
        <v>-4098</v>
      </c>
      <c r="Q1009" s="36" t="str">
        <f t="shared" si="4"/>
        <v>28 102 Km, 07.02.2025</v>
      </c>
      <c r="R1009" s="33"/>
      <c r="S1009" s="40">
        <v>3000.0</v>
      </c>
      <c r="T1009" s="25">
        <v>2.0</v>
      </c>
      <c r="U1009" s="25" t="s">
        <v>1756</v>
      </c>
      <c r="V1009" s="37"/>
      <c r="W1009" s="37" t="str">
        <f t="shared" si="46"/>
        <v>Завершена</v>
      </c>
      <c r="X1009" s="25" t="str">
        <f>IFERROR(__xludf.DUMMYFUNCTION("IF(C1009 = """", """", IF(REGEXMATCH(C1009, ""PCX|NMAX|ADV 150|CLICK""), ""скутер"", ""мото""))"),"скутер")</f>
        <v>скутер</v>
      </c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</row>
    <row r="1010" hidden="1">
      <c r="A1010" s="13" t="s">
        <v>24</v>
      </c>
      <c r="B1010" s="13" t="s">
        <v>25</v>
      </c>
      <c r="C1010" s="14" t="s">
        <v>64</v>
      </c>
      <c r="D1010" s="14" t="s">
        <v>1757</v>
      </c>
      <c r="E1010" s="48">
        <v>45697.0</v>
      </c>
      <c r="F1010" s="38">
        <v>45704.666666666664</v>
      </c>
      <c r="G1010" s="17" t="str">
        <f t="shared" si="61"/>
        <v>7 Д</v>
      </c>
      <c r="H1010" s="18">
        <f t="shared" si="62"/>
        <v>826</v>
      </c>
      <c r="I1010" s="19" t="str">
        <f t="shared" si="39"/>
        <v/>
      </c>
      <c r="J1010" s="20" t="str">
        <f t="shared" si="25"/>
        <v/>
      </c>
      <c r="K1010" s="23">
        <v>5782.0</v>
      </c>
      <c r="L1010" s="20"/>
      <c r="M1010" s="23">
        <v>826.0</v>
      </c>
      <c r="N1010" s="49">
        <v>27000.0</v>
      </c>
      <c r="O1010" s="22">
        <f>IFERROR(__xludf.DUMMYFUNCTION("IFERROR(
  VLOOKUP(C1010,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C1010
    ), 
    7, FALSE
  ), 
  """"
)
"),32600.0)</f>
        <v>32600</v>
      </c>
      <c r="P1010" s="22">
        <f>IFERROR(__xludf.DUMMYFUNCTION("IF(AND(Q1010="""", R1010=""""),
  """",
  IF(OR(ISBLANK(Q1010), ISBLANK(O1010)),
    """",
    IF(VALUE(SUBSTITUTE(INDEX(SPLIT(IF(ISBLANK(R1010), Q1010, R1010), "",""), 0, 1), "" Km"", """")) - O1010 = 0,
      """",
      VALUE(SUBSTITUTE(INDEX(SPLIT(IF("&amp;"ISBLANK(R1010), Q1010, R1010), "",""), 0, 1), "" Km"", """")) - O1010
    )
  )
)"),-5600.0)</f>
        <v>-5600</v>
      </c>
      <c r="Q1010" s="23" t="str">
        <f t="shared" si="4"/>
        <v>27 000 Km, 09.02.2025</v>
      </c>
      <c r="R1010" s="20"/>
      <c r="S1010" s="41">
        <v>5000.0</v>
      </c>
      <c r="T1010" s="13">
        <v>2.0</v>
      </c>
      <c r="U1010" s="13" t="s">
        <v>1758</v>
      </c>
      <c r="V1010" s="24"/>
      <c r="W1010" s="24" t="str">
        <f t="shared" si="46"/>
        <v>Завершена</v>
      </c>
      <c r="X1010" s="13" t="str">
        <f>IFERROR(__xludf.DUMMYFUNCTION("IF(C1010 = """", """", IF(REGEXMATCH(C1010, ""PCX|NMAX|ADV 150|CLICK""), ""скутер"", ""мото""))"),"мото")</f>
        <v>мото</v>
      </c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</row>
    <row r="1011" hidden="1">
      <c r="A1011" s="25" t="s">
        <v>24</v>
      </c>
      <c r="B1011" s="25" t="s">
        <v>25</v>
      </c>
      <c r="C1011" s="27" t="s">
        <v>960</v>
      </c>
      <c r="D1011" s="27" t="s">
        <v>1372</v>
      </c>
      <c r="E1011" s="43">
        <v>45697.0</v>
      </c>
      <c r="F1011" s="39">
        <v>45707.666666666664</v>
      </c>
      <c r="G1011" s="30" t="str">
        <f t="shared" si="61"/>
        <v>10 Д</v>
      </c>
      <c r="H1011" s="31">
        <f t="shared" si="62"/>
        <v>1033</v>
      </c>
      <c r="I1011" s="32" t="str">
        <f t="shared" si="39"/>
        <v/>
      </c>
      <c r="J1011" s="33" t="str">
        <f t="shared" si="25"/>
        <v/>
      </c>
      <c r="K1011" s="36">
        <v>10300.0</v>
      </c>
      <c r="L1011" s="33"/>
      <c r="M1011" s="36">
        <v>1033.0</v>
      </c>
      <c r="N1011" s="44">
        <v>11500.0</v>
      </c>
      <c r="O1011" s="35">
        <f>IFERROR(__xludf.DUMMYFUNCTION("IFERROR(
  VLOOKUP(C1011,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C1011
    ), 
    7, FALSE
  ), 
  """"
)
"),20316.0)</f>
        <v>20316</v>
      </c>
      <c r="P1011" s="35">
        <f>IFERROR(__xludf.DUMMYFUNCTION("IF(AND(Q1011="""", R1011=""""),
  """",
  IF(OR(ISBLANK(Q1011), ISBLANK(O1011)),
    """",
    IF(VALUE(SUBSTITUTE(INDEX(SPLIT(IF(ISBLANK(R1011), Q1011, R1011), "",""), 0, 1), "" Km"", """")) - O1011 = 0,
      """",
      VALUE(SUBSTITUTE(INDEX(SPLIT(IF("&amp;"ISBLANK(R1011), Q1011, R1011), "",""), 0, 1), "" Km"", """")) - O1011
    )
  )
)"),-8816.0)</f>
        <v>-8816</v>
      </c>
      <c r="Q1011" s="36" t="str">
        <f t="shared" si="4"/>
        <v>11 500 Km, 09.02.2025</v>
      </c>
      <c r="R1011" s="33"/>
      <c r="S1011" s="40">
        <v>5000.0</v>
      </c>
      <c r="T1011" s="25">
        <v>2.0</v>
      </c>
      <c r="U1011" s="25" t="s">
        <v>1759</v>
      </c>
      <c r="V1011" s="37"/>
      <c r="W1011" s="37" t="str">
        <f t="shared" si="46"/>
        <v>Завершена</v>
      </c>
      <c r="X1011" s="25" t="str">
        <f>IFERROR(__xludf.DUMMYFUNCTION("IF(C1011 = """", """", IF(REGEXMATCH(C1011, ""PCX|NMAX|ADV 150|CLICK""), ""скутер"", ""мото""))"),"мото")</f>
        <v>мото</v>
      </c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</row>
    <row r="1012" hidden="1">
      <c r="A1012" s="13" t="s">
        <v>24</v>
      </c>
      <c r="B1012" s="13" t="s">
        <v>25</v>
      </c>
      <c r="C1012" s="14" t="s">
        <v>1512</v>
      </c>
      <c r="D1012" s="14" t="s">
        <v>1760</v>
      </c>
      <c r="E1012" s="48">
        <v>45698.0</v>
      </c>
      <c r="F1012" s="38">
        <v>45700.583333333336</v>
      </c>
      <c r="G1012" s="17" t="str">
        <f t="shared" si="61"/>
        <v>2 Д</v>
      </c>
      <c r="H1012" s="18">
        <f t="shared" si="62"/>
        <v>2528</v>
      </c>
      <c r="I1012" s="19" t="str">
        <f t="shared" si="39"/>
        <v/>
      </c>
      <c r="J1012" s="20" t="str">
        <f t="shared" si="25"/>
        <v/>
      </c>
      <c r="K1012" s="23">
        <v>6056.0</v>
      </c>
      <c r="L1012" s="20"/>
      <c r="M1012" s="23">
        <v>2528.0</v>
      </c>
      <c r="N1012" s="21"/>
      <c r="O1012" s="22" t="str">
        <f>IFERROR(__xludf.DUMMYFUNCTION("IFERROR(
  VLOOKUP(C1012,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C1012
    ), 
    7, FALSE
  ), 
  """"
)
"),"")</f>
        <v/>
      </c>
      <c r="P1012" s="22" t="str">
        <f>IFERROR(__xludf.DUMMYFUNCTION("IF(AND(Q1012="""", R1012=""""),
  """",
  IF(OR(ISBLANK(Q1012), ISBLANK(O1012)),
    """",
    IF(VALUE(SUBSTITUTE(INDEX(SPLIT(IF(ISBLANK(R1012), Q1012, R1012), "",""), 0, 1), "" Km"", """")) - O1012 = 0,
      """",
      VALUE(SUBSTITUTE(INDEX(SPLIT(IF("&amp;"ISBLANK(R1012), Q1012, R1012), "",""), 0, 1), "" Km"", """")) - O1012
    )
  )
)"),"")</f>
        <v/>
      </c>
      <c r="Q1012" s="23" t="str">
        <f t="shared" si="4"/>
        <v>0 Km, 10.02.2025</v>
      </c>
      <c r="R1012" s="20"/>
      <c r="S1012" s="41">
        <v>25000.0</v>
      </c>
      <c r="T1012" s="13">
        <v>1.0</v>
      </c>
      <c r="U1012" s="13" t="s">
        <v>1761</v>
      </c>
      <c r="V1012" s="24"/>
      <c r="W1012" s="24" t="str">
        <f t="shared" si="46"/>
        <v>Завершена</v>
      </c>
      <c r="X1012" s="13" t="str">
        <f>IFERROR(__xludf.DUMMYFUNCTION("IF(C1012 = """", """", IF(REGEXMATCH(C1012, ""PCX|NMAX|ADV 150|CLICK""), ""скутер"", ""мото""))"),"мото")</f>
        <v>мото</v>
      </c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</row>
    <row r="1013" hidden="1">
      <c r="A1013" s="25" t="s">
        <v>24</v>
      </c>
      <c r="B1013" s="25" t="s">
        <v>25</v>
      </c>
      <c r="C1013" s="27" t="s">
        <v>151</v>
      </c>
      <c r="D1013" s="27" t="s">
        <v>1762</v>
      </c>
      <c r="E1013" s="43">
        <v>45698.0</v>
      </c>
      <c r="F1013" s="39">
        <v>45704.541666666664</v>
      </c>
      <c r="G1013" s="30" t="str">
        <f t="shared" si="61"/>
        <v>6 Д</v>
      </c>
      <c r="H1013" s="31">
        <f t="shared" si="62"/>
        <v>469</v>
      </c>
      <c r="I1013" s="32" t="str">
        <f t="shared" si="39"/>
        <v/>
      </c>
      <c r="J1013" s="33" t="str">
        <f t="shared" si="25"/>
        <v/>
      </c>
      <c r="K1013" s="36">
        <v>2814.0</v>
      </c>
      <c r="L1013" s="33"/>
      <c r="M1013" s="36">
        <v>469.0</v>
      </c>
      <c r="N1013" s="34"/>
      <c r="O1013" s="35">
        <f>IFERROR(__xludf.DUMMYFUNCTION("IFERROR(
  VLOOKUP(C1013,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C1013
    ), 
    7, FALSE
  ), 
  """"
)
"),35800.0)</f>
        <v>35800</v>
      </c>
      <c r="P1013" s="35">
        <f>IFERROR(__xludf.DUMMYFUNCTION("IF(AND(Q1013="""", R1013=""""),
  """",
  IF(OR(ISBLANK(Q1013), ISBLANK(O1013)),
    """",
    IF(VALUE(SUBSTITUTE(INDEX(SPLIT(IF(ISBLANK(R1013), Q1013, R1013), "",""), 0, 1), "" Km"", """")) - O1013 = 0,
      """",
      VALUE(SUBSTITUTE(INDEX(SPLIT(IF("&amp;"ISBLANK(R1013), Q1013, R1013), "",""), 0, 1), "" Km"", """")) - O1013
    )
  )
)"),-35800.0)</f>
        <v>-35800</v>
      </c>
      <c r="Q1013" s="36" t="str">
        <f t="shared" si="4"/>
        <v>0 Km, 10.02.2025</v>
      </c>
      <c r="R1013" s="33"/>
      <c r="S1013" s="40">
        <v>3000.0</v>
      </c>
      <c r="T1013" s="25">
        <v>1.0</v>
      </c>
      <c r="U1013" s="25" t="s">
        <v>1763</v>
      </c>
      <c r="V1013" s="37"/>
      <c r="W1013" s="37" t="str">
        <f t="shared" si="46"/>
        <v>Завершена</v>
      </c>
      <c r="X1013" s="25" t="str">
        <f>IFERROR(__xludf.DUMMYFUNCTION("IF(C1013 = """", """", IF(REGEXMATCH(C1013, ""PCX|NMAX|ADV 150|CLICK""), ""скутер"", ""мото""))"),"скутер")</f>
        <v>скутер</v>
      </c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</row>
    <row r="1014" hidden="1">
      <c r="A1014" s="13" t="s">
        <v>24</v>
      </c>
      <c r="B1014" s="13" t="s">
        <v>25</v>
      </c>
      <c r="C1014" s="14" t="s">
        <v>92</v>
      </c>
      <c r="D1014" s="14" t="s">
        <v>1750</v>
      </c>
      <c r="E1014" s="48">
        <v>45698.0</v>
      </c>
      <c r="F1014" s="38">
        <v>45707.708333333336</v>
      </c>
      <c r="G1014" s="17" t="str">
        <f t="shared" si="61"/>
        <v>9 Д</v>
      </c>
      <c r="H1014" s="18">
        <f t="shared" si="62"/>
        <v>869</v>
      </c>
      <c r="I1014" s="19" t="str">
        <f t="shared" si="39"/>
        <v/>
      </c>
      <c r="J1014" s="20" t="str">
        <f t="shared" si="25"/>
        <v/>
      </c>
      <c r="K1014" s="23">
        <v>4345.0</v>
      </c>
      <c r="L1014" s="20"/>
      <c r="M1014" s="23">
        <v>869.0</v>
      </c>
      <c r="N1014" s="49">
        <v>30600.0</v>
      </c>
      <c r="O1014" s="22">
        <f>IFERROR(__xludf.DUMMYFUNCTION("IFERROR(
  VLOOKUP(C1014,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C1014
    ), 
    7, FALSE
  ), 
  """"
)
"),23500.0)</f>
        <v>23500</v>
      </c>
      <c r="P1014" s="22">
        <f>IFERROR(__xludf.DUMMYFUNCTION("IF(AND(Q1014="""", R1014=""""),
  """",
  IF(OR(ISBLANK(Q1014), ISBLANK(O1014)),
    """",
    IF(VALUE(SUBSTITUTE(INDEX(SPLIT(IF(ISBLANK(R1014), Q1014, R1014), "",""), 0, 1), "" Km"", """")) - O1014 = 0,
      """",
      VALUE(SUBSTITUTE(INDEX(SPLIT(IF("&amp;"ISBLANK(R1014), Q1014, R1014), "",""), 0, 1), "" Km"", """")) - O1014
    )
  )
)"),7100.0)</f>
        <v>7100</v>
      </c>
      <c r="Q1014" s="23" t="str">
        <f t="shared" si="4"/>
        <v>30 600 Km, 10.02.2025</v>
      </c>
      <c r="R1014" s="20"/>
      <c r="S1014" s="41">
        <v>5000.0</v>
      </c>
      <c r="T1014" s="13">
        <v>2.0</v>
      </c>
      <c r="U1014" s="13" t="s">
        <v>1751</v>
      </c>
      <c r="V1014" s="24"/>
      <c r="W1014" s="24" t="str">
        <f t="shared" si="46"/>
        <v>Завершена</v>
      </c>
      <c r="X1014" s="13" t="str">
        <f>IFERROR(__xludf.DUMMYFUNCTION("IF(C1014 = """", """", IF(REGEXMATCH(C1014, ""PCX|NMAX|ADV 150|CLICK""), ""скутер"", ""мото""))"),"мото")</f>
        <v>мото</v>
      </c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</row>
    <row r="1015" hidden="1">
      <c r="A1015" s="25" t="s">
        <v>24</v>
      </c>
      <c r="B1015" s="25" t="s">
        <v>25</v>
      </c>
      <c r="C1015" s="27" t="s">
        <v>438</v>
      </c>
      <c r="D1015" s="27" t="s">
        <v>1764</v>
      </c>
      <c r="E1015" s="43">
        <v>45699.0</v>
      </c>
      <c r="F1015" s="39">
        <v>45701.458333333336</v>
      </c>
      <c r="G1015" s="30" t="str">
        <f t="shared" si="61"/>
        <v>2 Д</v>
      </c>
      <c r="H1015" s="31">
        <f t="shared" si="62"/>
        <v>1290</v>
      </c>
      <c r="I1015" s="32" t="str">
        <f t="shared" si="39"/>
        <v/>
      </c>
      <c r="J1015" s="33" t="str">
        <f t="shared" si="25"/>
        <v/>
      </c>
      <c r="K1015" s="36">
        <v>2580.0</v>
      </c>
      <c r="L1015" s="33"/>
      <c r="M1015" s="36">
        <v>1290.0</v>
      </c>
      <c r="N1015" s="44">
        <v>25000.0</v>
      </c>
      <c r="O1015" s="35">
        <f>IFERROR(__xludf.DUMMYFUNCTION("IFERROR(
  VLOOKUP(C1015,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C1015
    ), 
    7, FALSE
  ), 
  """"
)
"),37823.0)</f>
        <v>37823</v>
      </c>
      <c r="P1015" s="35">
        <f>IFERROR(__xludf.DUMMYFUNCTION("IF(AND(Q1015="""", R1015=""""),
  """",
  IF(OR(ISBLANK(Q1015), ISBLANK(O1015)),
    """",
    IF(VALUE(SUBSTITUTE(INDEX(SPLIT(IF(ISBLANK(R1015), Q1015, R1015), "",""), 0, 1), "" Km"", """")) - O1015 = 0,
      """",
      VALUE(SUBSTITUTE(INDEX(SPLIT(IF("&amp;"ISBLANK(R1015), Q1015, R1015), "",""), 0, 1), "" Km"", """")) - O1015
    )
  )
)"),-12823.0)</f>
        <v>-12823</v>
      </c>
      <c r="Q1015" s="36" t="str">
        <f t="shared" si="4"/>
        <v>25 000 Km, 11.02.2025</v>
      </c>
      <c r="R1015" s="33"/>
      <c r="S1015" s="40">
        <v>20000.0</v>
      </c>
      <c r="T1015" s="25">
        <v>2.0</v>
      </c>
      <c r="U1015" s="25" t="s">
        <v>1761</v>
      </c>
      <c r="V1015" s="37"/>
      <c r="W1015" s="37" t="str">
        <f t="shared" si="46"/>
        <v>Завершена</v>
      </c>
      <c r="X1015" s="25" t="str">
        <f>IFERROR(__xludf.DUMMYFUNCTION("IF(C1015 = """", """", IF(REGEXMATCH(C1015, ""PCX|NMAX|ADV 150|CLICK""), ""скутер"", ""мото""))"),"мото")</f>
        <v>мото</v>
      </c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</row>
    <row r="1016" hidden="1">
      <c r="A1016" s="13" t="s">
        <v>24</v>
      </c>
      <c r="B1016" s="13" t="s">
        <v>25</v>
      </c>
      <c r="C1016" s="14" t="s">
        <v>113</v>
      </c>
      <c r="D1016" s="14" t="s">
        <v>1745</v>
      </c>
      <c r="E1016" s="48">
        <v>45699.0</v>
      </c>
      <c r="F1016" s="38">
        <v>45703.5</v>
      </c>
      <c r="G1016" s="17" t="str">
        <f t="shared" si="61"/>
        <v>4 Д</v>
      </c>
      <c r="H1016" s="18">
        <f t="shared" si="62"/>
        <v>869</v>
      </c>
      <c r="I1016" s="19" t="str">
        <f t="shared" si="39"/>
        <v/>
      </c>
      <c r="J1016" s="20" t="str">
        <f t="shared" si="25"/>
        <v/>
      </c>
      <c r="K1016" s="23">
        <v>3476.0</v>
      </c>
      <c r="L1016" s="20"/>
      <c r="M1016" s="23">
        <v>869.0</v>
      </c>
      <c r="N1016" s="49">
        <v>39000.0</v>
      </c>
      <c r="O1016" s="22" t="str">
        <f>IFERROR(__xludf.DUMMYFUNCTION("IFERROR(
  VLOOKUP(C1016,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C1016
    ), 
    7, FALSE
  ), 
  """"
)
"),"")</f>
        <v/>
      </c>
      <c r="P1016" s="22">
        <f>IFERROR(__xludf.DUMMYFUNCTION("IF(AND(Q1016="""", R1016=""""),
  """",
  IF(OR(ISBLANK(Q1016), ISBLANK(O1016)),
    """",
    IF(VALUE(SUBSTITUTE(INDEX(SPLIT(IF(ISBLANK(R1016), Q1016, R1016), "",""), 0, 1), "" Km"", """")) - O1016 = 0,
      """",
      VALUE(SUBSTITUTE(INDEX(SPLIT(IF("&amp;"ISBLANK(R1016), Q1016, R1016), "",""), 0, 1), "" Km"", """")) - O1016
    )
  )
)"),39000.0)</f>
        <v>39000</v>
      </c>
      <c r="Q1016" s="23" t="str">
        <f t="shared" si="4"/>
        <v>39 000 Km, 11.02.2025</v>
      </c>
      <c r="R1016" s="20"/>
      <c r="S1016" s="41">
        <v>5000.0</v>
      </c>
      <c r="T1016" s="13">
        <v>2.0</v>
      </c>
      <c r="U1016" s="13" t="s">
        <v>1746</v>
      </c>
      <c r="V1016" s="24"/>
      <c r="W1016" s="24" t="str">
        <f t="shared" si="46"/>
        <v>Завершена</v>
      </c>
      <c r="X1016" s="13" t="str">
        <f>IFERROR(__xludf.DUMMYFUNCTION("IF(C1016 = """", """", IF(REGEXMATCH(C1016, ""PCX|NMAX|ADV 150|CLICK""), ""скутер"", ""мото""))"),"мото")</f>
        <v>мото</v>
      </c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</row>
    <row r="1017" hidden="1">
      <c r="A1017" s="25" t="s">
        <v>24</v>
      </c>
      <c r="B1017" s="25" t="s">
        <v>25</v>
      </c>
      <c r="C1017" s="27" t="s">
        <v>185</v>
      </c>
      <c r="D1017" s="27" t="s">
        <v>1745</v>
      </c>
      <c r="E1017" s="43">
        <v>45699.0</v>
      </c>
      <c r="F1017" s="39">
        <v>45703.5</v>
      </c>
      <c r="G1017" s="30" t="str">
        <f t="shared" si="61"/>
        <v>4 Д</v>
      </c>
      <c r="H1017" s="31">
        <f t="shared" si="62"/>
        <v>494</v>
      </c>
      <c r="I1017" s="32" t="str">
        <f t="shared" si="39"/>
        <v/>
      </c>
      <c r="J1017" s="33" t="str">
        <f t="shared" si="25"/>
        <v/>
      </c>
      <c r="K1017" s="36">
        <v>1976.0</v>
      </c>
      <c r="L1017" s="33"/>
      <c r="M1017" s="36">
        <v>494.0</v>
      </c>
      <c r="N1017" s="44">
        <v>34500.0</v>
      </c>
      <c r="O1017" s="35" t="str">
        <f>IFERROR(__xludf.DUMMYFUNCTION("IFERROR(
  VLOOKUP(C1017,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C1017
    ), 
    7, FALSE
  ), 
  """"
)
"),"")</f>
        <v/>
      </c>
      <c r="P1017" s="35">
        <f>IFERROR(__xludf.DUMMYFUNCTION("IF(AND(Q1017="""", R1017=""""),
  """",
  IF(OR(ISBLANK(Q1017), ISBLANK(O1017)),
    """",
    IF(VALUE(SUBSTITUTE(INDEX(SPLIT(IF(ISBLANK(R1017), Q1017, R1017), "",""), 0, 1), "" Km"", """")) - O1017 = 0,
      """",
      VALUE(SUBSTITUTE(INDEX(SPLIT(IF("&amp;"ISBLANK(R1017), Q1017, R1017), "",""), 0, 1), "" Km"", """")) - O1017
    )
  )
)"),34500.0)</f>
        <v>34500</v>
      </c>
      <c r="Q1017" s="36" t="str">
        <f t="shared" si="4"/>
        <v>34 500 Km, 11.02.2025</v>
      </c>
      <c r="R1017" s="33"/>
      <c r="S1017" s="40">
        <v>3000.0</v>
      </c>
      <c r="T1017" s="25">
        <v>2.0</v>
      </c>
      <c r="U1017" s="25" t="s">
        <v>1746</v>
      </c>
      <c r="V1017" s="37"/>
      <c r="W1017" s="37" t="str">
        <f t="shared" si="46"/>
        <v>Завершена</v>
      </c>
      <c r="X1017" s="25" t="str">
        <f>IFERROR(__xludf.DUMMYFUNCTION("IF(C1017 = """", """", IF(REGEXMATCH(C1017, ""PCX|NMAX|ADV 150|CLICK""), ""скутер"", ""мото""))"),"скутер")</f>
        <v>скутер</v>
      </c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</row>
    <row r="1018" hidden="1">
      <c r="A1018" s="13" t="s">
        <v>24</v>
      </c>
      <c r="B1018" s="13" t="s">
        <v>25</v>
      </c>
      <c r="C1018" s="14" t="s">
        <v>279</v>
      </c>
      <c r="D1018" s="14" t="s">
        <v>1765</v>
      </c>
      <c r="E1018" s="48">
        <v>45699.0</v>
      </c>
      <c r="F1018" s="38">
        <v>45704.541666666664</v>
      </c>
      <c r="G1018" s="17" t="str">
        <f t="shared" si="61"/>
        <v>5 Д</v>
      </c>
      <c r="H1018" s="18">
        <f t="shared" si="62"/>
        <v>531</v>
      </c>
      <c r="I1018" s="19" t="str">
        <f t="shared" si="39"/>
        <v/>
      </c>
      <c r="J1018" s="20" t="str">
        <f t="shared" si="25"/>
        <v/>
      </c>
      <c r="K1018" s="23">
        <v>2655.0</v>
      </c>
      <c r="L1018" s="20"/>
      <c r="M1018" s="23">
        <v>531.0</v>
      </c>
      <c r="N1018" s="49">
        <v>9500.0</v>
      </c>
      <c r="O1018" s="22">
        <f>IFERROR(__xludf.DUMMYFUNCTION("IFERROR(
  VLOOKUP(C1018,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C1018
    ), 
    7, FALSE
  ), 
  """"
)
"),9000.0)</f>
        <v>9000</v>
      </c>
      <c r="P1018" s="22">
        <f>IFERROR(__xludf.DUMMYFUNCTION("IF(AND(Q1018="""", R1018=""""),
  """",
  IF(OR(ISBLANK(Q1018), ISBLANK(O1018)),
    """",
    IF(VALUE(SUBSTITUTE(INDEX(SPLIT(IF(ISBLANK(R1018), Q1018, R1018), "",""), 0, 1), "" Km"", """")) - O1018 = 0,
      """",
      VALUE(SUBSTITUTE(INDEX(SPLIT(IF("&amp;"ISBLANK(R1018), Q1018, R1018), "",""), 0, 1), "" Km"", """")) - O1018
    )
  )
)"),500.0)</f>
        <v>500</v>
      </c>
      <c r="Q1018" s="23" t="str">
        <f t="shared" si="4"/>
        <v>9 500 Km, 11.02.2025</v>
      </c>
      <c r="R1018" s="20"/>
      <c r="S1018" s="41">
        <v>200.0</v>
      </c>
      <c r="T1018" s="13">
        <v>2.0</v>
      </c>
      <c r="U1018" s="13" t="s">
        <v>1766</v>
      </c>
      <c r="V1018" s="24"/>
      <c r="W1018" s="24" t="str">
        <f t="shared" si="46"/>
        <v>Завершена</v>
      </c>
      <c r="X1018" s="13" t="str">
        <f>IFERROR(__xludf.DUMMYFUNCTION("IF(C1018 = """", """", IF(REGEXMATCH(C1018, ""PCX|NMAX|ADV 150|CLICK""), ""скутер"", ""мото""))"),"мото")</f>
        <v>мото</v>
      </c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</row>
    <row r="1019" hidden="1">
      <c r="A1019" s="25" t="s">
        <v>24</v>
      </c>
      <c r="B1019" s="25" t="s">
        <v>25</v>
      </c>
      <c r="C1019" s="27" t="s">
        <v>173</v>
      </c>
      <c r="D1019" s="27" t="s">
        <v>1122</v>
      </c>
      <c r="E1019" s="43">
        <v>45699.0</v>
      </c>
      <c r="F1019" s="39">
        <v>45709.75</v>
      </c>
      <c r="G1019" s="30" t="str">
        <f t="shared" si="61"/>
        <v>10 Д</v>
      </c>
      <c r="H1019" s="31">
        <f t="shared" si="62"/>
        <v>558</v>
      </c>
      <c r="I1019" s="32" t="str">
        <f t="shared" si="39"/>
        <v/>
      </c>
      <c r="J1019" s="33" t="str">
        <f t="shared" si="25"/>
        <v/>
      </c>
      <c r="K1019" s="36">
        <f>558*10</f>
        <v>5580</v>
      </c>
      <c r="L1019" s="33"/>
      <c r="M1019" s="36">
        <v>558.0</v>
      </c>
      <c r="N1019" s="44">
        <v>29000.0</v>
      </c>
      <c r="O1019" s="35">
        <f>IFERROR(__xludf.DUMMYFUNCTION("IFERROR(
  VLOOKUP(C1019,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C1019
    ), 
    7, FALSE
  ), 
  """"
)
"),27000.0)</f>
        <v>27000</v>
      </c>
      <c r="P1019" s="35">
        <f>IFERROR(__xludf.DUMMYFUNCTION("IF(AND(Q1019="""", R1019=""""),
  """",
  IF(OR(ISBLANK(Q1019), ISBLANK(O1019)),
    """",
    IF(VALUE(SUBSTITUTE(INDEX(SPLIT(IF(ISBLANK(R1019), Q1019, R1019), "",""), 0, 1), "" Km"", """")) - O1019 = 0,
      """",
      VALUE(SUBSTITUTE(INDEX(SPLIT(IF("&amp;"ISBLANK(R1019), Q1019, R1019), "",""), 0, 1), "" Km"", """")) - O1019
    )
  )
)"),2000.0)</f>
        <v>2000</v>
      </c>
      <c r="Q1019" s="36" t="str">
        <f t="shared" si="4"/>
        <v>29 000 Km, 11.02.2025</v>
      </c>
      <c r="R1019" s="33"/>
      <c r="S1019" s="40">
        <v>8000.0</v>
      </c>
      <c r="T1019" s="25">
        <v>2.0</v>
      </c>
      <c r="U1019" s="25" t="s">
        <v>1767</v>
      </c>
      <c r="V1019" s="37"/>
      <c r="W1019" s="37" t="str">
        <f t="shared" si="46"/>
        <v>Завершена</v>
      </c>
      <c r="X1019" s="25" t="str">
        <f>IFERROR(__xludf.DUMMYFUNCTION("IF(C1019 = """", """", IF(REGEXMATCH(C1019, ""PCX|NMAX|ADV 150|CLICK""), ""скутер"", ""мото""))"),"мото")</f>
        <v>мото</v>
      </c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</row>
    <row r="1020" hidden="1">
      <c r="A1020" s="13" t="s">
        <v>24</v>
      </c>
      <c r="B1020" s="13" t="s">
        <v>25</v>
      </c>
      <c r="C1020" s="14" t="s">
        <v>916</v>
      </c>
      <c r="D1020" s="14" t="s">
        <v>803</v>
      </c>
      <c r="E1020" s="48">
        <v>45699.0</v>
      </c>
      <c r="F1020" s="38">
        <v>45709.75</v>
      </c>
      <c r="G1020" s="17" t="str">
        <f t="shared" si="61"/>
        <v>10 Д</v>
      </c>
      <c r="H1020" s="18">
        <f t="shared" si="62"/>
        <v>1643</v>
      </c>
      <c r="I1020" s="19" t="str">
        <f t="shared" si="39"/>
        <v/>
      </c>
      <c r="J1020" s="20" t="str">
        <f t="shared" si="25"/>
        <v/>
      </c>
      <c r="K1020" s="23">
        <f>1643*10</f>
        <v>16430</v>
      </c>
      <c r="L1020" s="20"/>
      <c r="M1020" s="23">
        <v>1643.0</v>
      </c>
      <c r="N1020" s="49">
        <v>22000.0</v>
      </c>
      <c r="O1020" s="22">
        <f>IFERROR(__xludf.DUMMYFUNCTION("IFERROR(
  VLOOKUP(C1020,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C1020
    ), 
    7, FALSE
  ), 
  """"
)
"),29300.0)</f>
        <v>29300</v>
      </c>
      <c r="P1020" s="22">
        <f>IFERROR(__xludf.DUMMYFUNCTION("IF(AND(Q1020="""", R1020=""""),
  """",
  IF(OR(ISBLANK(Q1020), ISBLANK(O1020)),
    """",
    IF(VALUE(SUBSTITUTE(INDEX(SPLIT(IF(ISBLANK(R1020), Q1020, R1020), "",""), 0, 1), "" Km"", """")) - O1020 = 0,
      """",
      VALUE(SUBSTITUTE(INDEX(SPLIT(IF("&amp;"ISBLANK(R1020), Q1020, R1020), "",""), 0, 1), "" Km"", """")) - O1020
    )
  )
)"),-7300.0)</f>
        <v>-7300</v>
      </c>
      <c r="Q1020" s="23" t="str">
        <f t="shared" si="4"/>
        <v>22 000 Km, 11.02.2025</v>
      </c>
      <c r="R1020" s="20"/>
      <c r="S1020" s="41" t="s">
        <v>430</v>
      </c>
      <c r="T1020" s="13">
        <v>2.0</v>
      </c>
      <c r="U1020" s="13" t="s">
        <v>1767</v>
      </c>
      <c r="V1020" s="24"/>
      <c r="W1020" s="24" t="str">
        <f t="shared" si="46"/>
        <v>Завершена</v>
      </c>
      <c r="X1020" s="13" t="str">
        <f>IFERROR(__xludf.DUMMYFUNCTION("IF(C1020 = """", """", IF(REGEXMATCH(C1020, ""PCX|NMAX|ADV 150|CLICK""), ""скутер"", ""мото""))"),"мото")</f>
        <v>мото</v>
      </c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</row>
    <row r="1021" hidden="1">
      <c r="A1021" s="25" t="s">
        <v>24</v>
      </c>
      <c r="B1021" s="25" t="s">
        <v>25</v>
      </c>
      <c r="C1021" s="27" t="s">
        <v>193</v>
      </c>
      <c r="D1021" s="27" t="s">
        <v>1520</v>
      </c>
      <c r="E1021" s="43">
        <v>45699.0</v>
      </c>
      <c r="F1021" s="39">
        <v>45727.458333333336</v>
      </c>
      <c r="G1021" s="30" t="str">
        <f t="shared" si="61"/>
        <v>28 Д</v>
      </c>
      <c r="H1021" s="31">
        <f t="shared" si="62"/>
        <v>263.3333333</v>
      </c>
      <c r="I1021" s="32" t="str">
        <f t="shared" si="39"/>
        <v/>
      </c>
      <c r="J1021" s="33" t="str">
        <f t="shared" si="25"/>
        <v/>
      </c>
      <c r="K1021" s="36">
        <v>7900.0</v>
      </c>
      <c r="L1021" s="36">
        <v>7900.0</v>
      </c>
      <c r="M1021" s="33"/>
      <c r="N1021" s="34"/>
      <c r="O1021" s="35" t="str">
        <f>IFERROR(__xludf.DUMMYFUNCTION("IFERROR(
  VLOOKUP(C1021,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C1021
    ), 
    7, FALSE
  ), 
  """"
)
"),"")</f>
        <v/>
      </c>
      <c r="P1021" s="35" t="str">
        <f>IFERROR(__xludf.DUMMYFUNCTION("IF(AND(Q1021="""", R1021=""""),
  """",
  IF(OR(ISBLANK(Q1021), ISBLANK(O1021)),
    """",
    IF(VALUE(SUBSTITUTE(INDEX(SPLIT(IF(ISBLANK(R1021), Q1021, R1021), "",""), 0, 1), "" Km"", """")) - O1021 = 0,
      """",
      VALUE(SUBSTITUTE(INDEX(SPLIT(IF("&amp;"ISBLANK(R1021), Q1021, R1021), "",""), 0, 1), "" Km"", """")) - O1021
    )
  )
)"),"")</f>
        <v/>
      </c>
      <c r="Q1021" s="36" t="str">
        <f t="shared" si="4"/>
        <v>0 Km, 11.02.2025</v>
      </c>
      <c r="R1021" s="33"/>
      <c r="S1021" s="40" t="s">
        <v>515</v>
      </c>
      <c r="T1021" s="25">
        <v>2.0</v>
      </c>
      <c r="U1021" s="25" t="s">
        <v>1768</v>
      </c>
      <c r="V1021" s="37"/>
      <c r="W1021" s="37" t="str">
        <f t="shared" si="46"/>
        <v>Завершена</v>
      </c>
      <c r="X1021" s="25" t="str">
        <f>IFERROR(__xludf.DUMMYFUNCTION("IF(C1021 = """", """", IF(REGEXMATCH(C1021, ""PCX|NMAX|ADV 150|CLICK""), ""скутер"", ""мото""))"),"мото")</f>
        <v>мото</v>
      </c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</row>
    <row r="1022" hidden="1">
      <c r="A1022" s="13" t="s">
        <v>24</v>
      </c>
      <c r="B1022" s="13" t="s">
        <v>25</v>
      </c>
      <c r="C1022" s="14" t="s">
        <v>106</v>
      </c>
      <c r="D1022" s="14" t="s">
        <v>1769</v>
      </c>
      <c r="E1022" s="48">
        <v>45700.0</v>
      </c>
      <c r="F1022" s="38">
        <v>45708.5</v>
      </c>
      <c r="G1022" s="17" t="str">
        <f t="shared" si="61"/>
        <v>8 Д</v>
      </c>
      <c r="H1022" s="18">
        <f t="shared" si="62"/>
        <v>462</v>
      </c>
      <c r="I1022" s="19" t="str">
        <f t="shared" si="39"/>
        <v/>
      </c>
      <c r="J1022" s="20" t="str">
        <f t="shared" si="25"/>
        <v/>
      </c>
      <c r="K1022" s="23">
        <v>3696.0</v>
      </c>
      <c r="L1022" s="20"/>
      <c r="M1022" s="23">
        <v>462.0</v>
      </c>
      <c r="N1022" s="21"/>
      <c r="O1022" s="22">
        <f>IFERROR(__xludf.DUMMYFUNCTION("IFERROR(
  VLOOKUP(C1022,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C1022
    ), 
    7, FALSE
  ), 
  """"
)
"),26000.0)</f>
        <v>26000</v>
      </c>
      <c r="P1022" s="22">
        <f>IFERROR(__xludf.DUMMYFUNCTION("IF(AND(Q1022="""", R1022=""""),
  """",
  IF(OR(ISBLANK(Q1022), ISBLANK(O1022)),
    """",
    IF(VALUE(SUBSTITUTE(INDEX(SPLIT(IF(ISBLANK(R1022), Q1022, R1022), "",""), 0, 1), "" Km"", """")) - O1022 = 0,
      """",
      VALUE(SUBSTITUTE(INDEX(SPLIT(IF("&amp;"ISBLANK(R1022), Q1022, R1022), "",""), 0, 1), "" Km"", """")) - O1022
    )
  )
)"),-26000.0)</f>
        <v>-26000</v>
      </c>
      <c r="Q1022" s="23" t="str">
        <f t="shared" si="4"/>
        <v>0 Km, 12.02.2025</v>
      </c>
      <c r="R1022" s="20"/>
      <c r="S1022" s="41">
        <v>3000.0</v>
      </c>
      <c r="T1022" s="13">
        <v>2.0</v>
      </c>
      <c r="U1022" s="13" t="s">
        <v>1770</v>
      </c>
      <c r="V1022" s="24"/>
      <c r="W1022" s="24" t="str">
        <f t="shared" si="46"/>
        <v>Завершена</v>
      </c>
      <c r="X1022" s="13" t="str">
        <f>IFERROR(__xludf.DUMMYFUNCTION("IF(C1022 = """", """", IF(REGEXMATCH(C1022, ""PCX|NMAX|ADV 150|CLICK""), ""скутер"", ""мото""))"),"скутер")</f>
        <v>скутер</v>
      </c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</row>
    <row r="1023" hidden="1">
      <c r="A1023" s="25" t="s">
        <v>1771</v>
      </c>
      <c r="B1023" s="25" t="s">
        <v>25</v>
      </c>
      <c r="C1023" s="27" t="s">
        <v>461</v>
      </c>
      <c r="D1023" s="27" t="s">
        <v>1772</v>
      </c>
      <c r="E1023" s="43">
        <v>45700.0</v>
      </c>
      <c r="F1023" s="39">
        <v>45710.416666666664</v>
      </c>
      <c r="G1023" s="30" t="str">
        <f t="shared" si="61"/>
        <v>10 Д</v>
      </c>
      <c r="H1023" s="31">
        <f t="shared" si="62"/>
        <v>922</v>
      </c>
      <c r="I1023" s="32" t="str">
        <f t="shared" si="39"/>
        <v/>
      </c>
      <c r="J1023" s="33" t="str">
        <f t="shared" si="25"/>
        <v/>
      </c>
      <c r="K1023" s="36">
        <f>5532+922*4</f>
        <v>9220</v>
      </c>
      <c r="L1023" s="33"/>
      <c r="M1023" s="36">
        <v>922.0</v>
      </c>
      <c r="N1023" s="44">
        <v>31200.0</v>
      </c>
      <c r="O1023" s="35">
        <f>IFERROR(__xludf.DUMMYFUNCTION("IFERROR(
  VLOOKUP(C1023,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C1023
    ), 
    7, FALSE
  ), 
  """"
)
"),30500.0)</f>
        <v>30500</v>
      </c>
      <c r="P1023" s="35">
        <f>IFERROR(__xludf.DUMMYFUNCTION("IF(AND(Q1023="""", R1023=""""),
  """",
  IF(OR(ISBLANK(Q1023), ISBLANK(O1023)),
    """",
    IF(VALUE(SUBSTITUTE(INDEX(SPLIT(IF(ISBLANK(R1023), Q1023, R1023), "",""), 0, 1), "" Km"", """")) - O1023 = 0,
      """",
      VALUE(SUBSTITUTE(INDEX(SPLIT(IF("&amp;"ISBLANK(R1023), Q1023, R1023), "",""), 0, 1), "" Km"", """")) - O1023
    )
  )
)"),700.0)</f>
        <v>700</v>
      </c>
      <c r="Q1023" s="36" t="str">
        <f t="shared" si="4"/>
        <v>31 200 Km, 12.02.2025</v>
      </c>
      <c r="R1023" s="33"/>
      <c r="S1023" s="40" t="s">
        <v>515</v>
      </c>
      <c r="T1023" s="25">
        <v>1.0</v>
      </c>
      <c r="U1023" s="71" t="s">
        <v>1773</v>
      </c>
      <c r="V1023" s="37"/>
      <c r="W1023" s="37" t="str">
        <f t="shared" si="46"/>
        <v>Завершена</v>
      </c>
      <c r="X1023" s="25" t="str">
        <f>IFERROR(__xludf.DUMMYFUNCTION("IF(C1023 = """", """", IF(REGEXMATCH(C1023, ""PCX|NMAX|ADV 150|CLICK""), ""скутер"", ""мото""))"),"мото")</f>
        <v>мото</v>
      </c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</row>
    <row r="1024" hidden="1">
      <c r="A1024" s="13" t="s">
        <v>24</v>
      </c>
      <c r="B1024" s="13" t="s">
        <v>25</v>
      </c>
      <c r="C1024" s="62"/>
      <c r="D1024" s="14" t="s">
        <v>770</v>
      </c>
      <c r="E1024" s="48">
        <v>45701.0</v>
      </c>
      <c r="F1024" s="38">
        <v>45704.5</v>
      </c>
      <c r="G1024" s="17" t="str">
        <f t="shared" si="61"/>
        <v>3 Д</v>
      </c>
      <c r="H1024" s="18">
        <f t="shared" si="62"/>
        <v>1000</v>
      </c>
      <c r="I1024" s="19" t="str">
        <f t="shared" si="39"/>
        <v/>
      </c>
      <c r="J1024" s="20" t="str">
        <f t="shared" si="25"/>
        <v/>
      </c>
      <c r="K1024" s="23" t="s">
        <v>1774</v>
      </c>
      <c r="L1024" s="20"/>
      <c r="M1024" s="23">
        <v>1000.0</v>
      </c>
      <c r="N1024" s="49">
        <v>16000.0</v>
      </c>
      <c r="O1024" s="96" t="str">
        <f>IFERROR(__xludf.DUMMYFUNCTION("IFERROR(
  VLOOKUP(C1024,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C1024
    ), 
    7, FALSE
  ), 
  """"
)
"),"")</f>
        <v/>
      </c>
      <c r="P1024" s="22">
        <f>IFERROR(__xludf.DUMMYFUNCTION("IF(AND(Q1024="""", R1024=""""),
  """",
  IF(OR(ISBLANK(Q1024), ISBLANK(O1024)),
    """",
    IF(VALUE(SUBSTITUTE(INDEX(SPLIT(IF(ISBLANK(R1024), Q1024, R1024), "",""), 0, 1), "" Km"", """")) - O1024 = 0,
      """",
      VALUE(SUBSTITUTE(INDEX(SPLIT(IF("&amp;"ISBLANK(R1024), Q1024, R1024), "",""), 0, 1), "" Km"", """")) - O1024
    )
  )
)"),16000.0)</f>
        <v>16000</v>
      </c>
      <c r="Q1024" s="23" t="str">
        <f t="shared" si="4"/>
        <v>16 000 Km, 13.02.2025</v>
      </c>
      <c r="R1024" s="20"/>
      <c r="S1024" s="41" t="s">
        <v>1775</v>
      </c>
      <c r="T1024" s="13">
        <v>2.0</v>
      </c>
      <c r="U1024" s="13" t="s">
        <v>1776</v>
      </c>
      <c r="V1024" s="24"/>
      <c r="W1024" s="24" t="str">
        <f t="shared" si="46"/>
        <v>Завершена</v>
      </c>
      <c r="X1024" s="13" t="str">
        <f>IFERROR(__xludf.DUMMYFUNCTION("IF(C1024 = """", """", IF(REGEXMATCH(C1024, ""PCX|NMAX|ADV 150|CLICK""), ""скутер"", ""мото""))"),"")</f>
        <v/>
      </c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</row>
    <row r="1025" hidden="1">
      <c r="A1025" s="25" t="s">
        <v>24</v>
      </c>
      <c r="B1025" s="25" t="s">
        <v>25</v>
      </c>
      <c r="C1025" s="27" t="s">
        <v>77</v>
      </c>
      <c r="D1025" s="27" t="s">
        <v>1777</v>
      </c>
      <c r="E1025" s="43">
        <v>45702.0</v>
      </c>
      <c r="F1025" s="39">
        <v>45708.458333333336</v>
      </c>
      <c r="G1025" s="30" t="str">
        <f t="shared" si="61"/>
        <v>6 Д</v>
      </c>
      <c r="H1025" s="31">
        <f t="shared" si="62"/>
        <v>469</v>
      </c>
      <c r="I1025" s="32" t="str">
        <f t="shared" si="39"/>
        <v/>
      </c>
      <c r="J1025" s="33" t="str">
        <f t="shared" si="25"/>
        <v/>
      </c>
      <c r="K1025" s="36">
        <v>2814.0</v>
      </c>
      <c r="L1025" s="33"/>
      <c r="M1025" s="36">
        <v>469.0</v>
      </c>
      <c r="N1025" s="34"/>
      <c r="O1025" s="35">
        <f>IFERROR(__xludf.DUMMYFUNCTION("IFERROR(
  VLOOKUP(C1025,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C1025
    ), 
    7, FALSE
  ), 
  """"
)
"),37300.0)</f>
        <v>37300</v>
      </c>
      <c r="P1025" s="35">
        <f>IFERROR(__xludf.DUMMYFUNCTION("IF(AND(Q1025="""", R1025=""""),
  """",
  IF(OR(ISBLANK(Q1025), ISBLANK(O1025)),
    """",
    IF(VALUE(SUBSTITUTE(INDEX(SPLIT(IF(ISBLANK(R1025), Q1025, R1025), "",""), 0, 1), "" Km"", """")) - O1025 = 0,
      """",
      VALUE(SUBSTITUTE(INDEX(SPLIT(IF("&amp;"ISBLANK(R1025), Q1025, R1025), "",""), 0, 1), "" Km"", """")) - O1025
    )
  )
)"),-37300.0)</f>
        <v>-37300</v>
      </c>
      <c r="Q1025" s="36" t="str">
        <f t="shared" si="4"/>
        <v>0 Km, 14.02.2025</v>
      </c>
      <c r="R1025" s="33"/>
      <c r="S1025" s="40">
        <v>3000.0</v>
      </c>
      <c r="T1025" s="25">
        <v>2.0</v>
      </c>
      <c r="U1025" s="25" t="s">
        <v>1778</v>
      </c>
      <c r="V1025" s="37"/>
      <c r="W1025" s="37" t="str">
        <f t="shared" si="46"/>
        <v>Завершена</v>
      </c>
      <c r="X1025" s="25" t="str">
        <f>IFERROR(__xludf.DUMMYFUNCTION("IF(C1025 = """", """", IF(REGEXMATCH(C1025, ""PCX|NMAX|ADV 150|CLICK""), ""скутер"", ""мото""))"),"скутер")</f>
        <v>скутер</v>
      </c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</row>
    <row r="1026" hidden="1">
      <c r="A1026" s="13" t="s">
        <v>24</v>
      </c>
      <c r="B1026" s="13" t="s">
        <v>25</v>
      </c>
      <c r="C1026" s="14" t="s">
        <v>438</v>
      </c>
      <c r="D1026" s="14" t="s">
        <v>1779</v>
      </c>
      <c r="E1026" s="48">
        <v>45703.0</v>
      </c>
      <c r="F1026" s="38">
        <v>45705.583333333336</v>
      </c>
      <c r="G1026" s="17" t="str">
        <f t="shared" si="61"/>
        <v>2 Д</v>
      </c>
      <c r="H1026" s="18">
        <f t="shared" si="62"/>
        <v>1285</v>
      </c>
      <c r="I1026" s="19" t="str">
        <f t="shared" si="39"/>
        <v/>
      </c>
      <c r="J1026" s="20" t="str">
        <f t="shared" si="25"/>
        <v/>
      </c>
      <c r="K1026" s="23">
        <v>2570.0</v>
      </c>
      <c r="L1026" s="20"/>
      <c r="M1026" s="23">
        <v>1285.0</v>
      </c>
      <c r="N1026" s="21"/>
      <c r="O1026" s="22">
        <f>IFERROR(__xludf.DUMMYFUNCTION("IFERROR(
  VLOOKUP(C1026,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C1026
    ), 
    7, FALSE
  ), 
  """"
)
"),37823.0)</f>
        <v>37823</v>
      </c>
      <c r="P1026" s="22">
        <f>IFERROR(__xludf.DUMMYFUNCTION("IF(AND(Q1026="""", R1026=""""),
  """",
  IF(OR(ISBLANK(Q1026), ISBLANK(O1026)),
    """",
    IF(VALUE(SUBSTITUTE(INDEX(SPLIT(IF(ISBLANK(R1026), Q1026, R1026), "",""), 0, 1), "" Km"", """")) - O1026 = 0,
      """",
      VALUE(SUBSTITUTE(INDEX(SPLIT(IF("&amp;"ISBLANK(R1026), Q1026, R1026), "",""), 0, 1), "" Km"", """")) - O1026
    )
  )
)"),-37823.0)</f>
        <v>-37823</v>
      </c>
      <c r="Q1026" s="23" t="str">
        <f t="shared" si="4"/>
        <v>0 Km, 15.02.2025</v>
      </c>
      <c r="R1026" s="20"/>
      <c r="S1026" s="41">
        <v>20000.0</v>
      </c>
      <c r="T1026" s="13">
        <v>1.0</v>
      </c>
      <c r="U1026" s="13" t="s">
        <v>1780</v>
      </c>
      <c r="V1026" s="24"/>
      <c r="W1026" s="24" t="str">
        <f t="shared" si="46"/>
        <v>Завершена</v>
      </c>
      <c r="X1026" s="13" t="str">
        <f>IFERROR(__xludf.DUMMYFUNCTION("IF(C1026 = """", """", IF(REGEXMATCH(C1026, ""PCX|NMAX|ADV 150|CLICK""), ""скутер"", ""мото""))"),"мото")</f>
        <v>мото</v>
      </c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</row>
    <row r="1027" hidden="1">
      <c r="A1027" s="25" t="s">
        <v>24</v>
      </c>
      <c r="B1027" s="25" t="s">
        <v>25</v>
      </c>
      <c r="C1027" s="27" t="s">
        <v>48</v>
      </c>
      <c r="D1027" s="27" t="s">
        <v>1781</v>
      </c>
      <c r="E1027" s="43">
        <v>45705.0</v>
      </c>
      <c r="F1027" s="39">
        <v>45712.541666666664</v>
      </c>
      <c r="G1027" s="30" t="str">
        <f t="shared" si="61"/>
        <v>7 Д</v>
      </c>
      <c r="H1027" s="31">
        <f t="shared" si="62"/>
        <v>469</v>
      </c>
      <c r="I1027" s="32" t="str">
        <f t="shared" si="39"/>
        <v/>
      </c>
      <c r="J1027" s="33" t="str">
        <f t="shared" si="25"/>
        <v/>
      </c>
      <c r="K1027" s="36">
        <f>2814+469</f>
        <v>3283</v>
      </c>
      <c r="L1027" s="33"/>
      <c r="M1027" s="36">
        <v>469.0</v>
      </c>
      <c r="N1027" s="34"/>
      <c r="O1027" s="35">
        <f>IFERROR(__xludf.DUMMYFUNCTION("IFERROR(
  VLOOKUP(C1027,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C1027
    ), 
    7, FALSE
  ), 
  """"
)
"),35800.0)</f>
        <v>35800</v>
      </c>
      <c r="P1027" s="35">
        <f>IFERROR(__xludf.DUMMYFUNCTION("IF(AND(Q1027="""", R1027=""""),
  """",
  IF(OR(ISBLANK(Q1027), ISBLANK(O1027)),
    """",
    IF(VALUE(SUBSTITUTE(INDEX(SPLIT(IF(ISBLANK(R1027), Q1027, R1027), "",""), 0, 1), "" Km"", """")) - O1027 = 0,
      """",
      VALUE(SUBSTITUTE(INDEX(SPLIT(IF("&amp;"ISBLANK(R1027), Q1027, R1027), "",""), 0, 1), "" Km"", """")) - O1027
    )
  )
)"),-35800.0)</f>
        <v>-35800</v>
      </c>
      <c r="Q1027" s="36" t="str">
        <f t="shared" si="4"/>
        <v>0 Km, 17.02.2025</v>
      </c>
      <c r="R1027" s="33"/>
      <c r="S1027" s="40">
        <v>3000.0</v>
      </c>
      <c r="T1027" s="25">
        <v>2.0</v>
      </c>
      <c r="U1027" s="25" t="s">
        <v>1782</v>
      </c>
      <c r="V1027" s="37"/>
      <c r="W1027" s="37" t="str">
        <f t="shared" si="46"/>
        <v>Завершена</v>
      </c>
      <c r="X1027" s="25" t="str">
        <f>IFERROR(__xludf.DUMMYFUNCTION("IF(C1027 = """", """", IF(REGEXMATCH(C1027, ""PCX|NMAX|ADV 150|CLICK""), ""скутер"", ""мото""))"),"скутер")</f>
        <v>скутер</v>
      </c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</row>
    <row r="1028" hidden="1">
      <c r="A1028" s="13" t="s">
        <v>24</v>
      </c>
      <c r="B1028" s="13" t="s">
        <v>25</v>
      </c>
      <c r="C1028" s="14" t="s">
        <v>56</v>
      </c>
      <c r="D1028" s="14" t="s">
        <v>1783</v>
      </c>
      <c r="E1028" s="48">
        <v>45705.0</v>
      </c>
      <c r="F1028" s="38">
        <v>45752.708333333336</v>
      </c>
      <c r="G1028" s="17" t="str">
        <f t="shared" si="61"/>
        <v>47 Д</v>
      </c>
      <c r="H1028" s="18">
        <f t="shared" si="62"/>
        <v>249.6666667</v>
      </c>
      <c r="I1028" s="19" t="str">
        <f t="shared" si="39"/>
        <v/>
      </c>
      <c r="J1028" s="20" t="str">
        <f t="shared" si="25"/>
        <v/>
      </c>
      <c r="K1028" s="23">
        <f>7490+3500+750</f>
        <v>11740</v>
      </c>
      <c r="L1028" s="23">
        <v>7490.0</v>
      </c>
      <c r="M1028" s="20"/>
      <c r="N1028" s="21"/>
      <c r="O1028" s="22">
        <f>IFERROR(__xludf.DUMMYFUNCTION("IFERROR(
  VLOOKUP(C1028,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C1028
    ), 
    7, FALSE
  ), 
  """"
)
"),36400.0)</f>
        <v>36400</v>
      </c>
      <c r="P1028" s="22">
        <f>IFERROR(__xludf.DUMMYFUNCTION("IF(AND(Q1028="""", R1028=""""),
  """",
  IF(OR(ISBLANK(Q1028), ISBLANK(O1028)),
    """",
    IF(VALUE(SUBSTITUTE(INDEX(SPLIT(IF(ISBLANK(R1028), Q1028, R1028), "",""), 0, 1), "" Km"", """")) - O1028 = 0,
      """",
      VALUE(SUBSTITUTE(INDEX(SPLIT(IF("&amp;"ISBLANK(R1028), Q1028, R1028), "",""), 0, 1), "" Km"", """")) - O1028
    )
  )
)"),-36400.0)</f>
        <v>-36400</v>
      </c>
      <c r="Q1028" s="23" t="str">
        <f t="shared" si="4"/>
        <v>0 Km, 17.02.2025</v>
      </c>
      <c r="R1028" s="20"/>
      <c r="S1028" s="41">
        <v>3000.0</v>
      </c>
      <c r="T1028" s="13">
        <v>2.0</v>
      </c>
      <c r="U1028" s="13" t="s">
        <v>1784</v>
      </c>
      <c r="V1028" s="24"/>
      <c r="W1028" s="24" t="str">
        <f t="shared" si="46"/>
        <v>Завершена</v>
      </c>
      <c r="X1028" s="13" t="str">
        <f>IFERROR(__xludf.DUMMYFUNCTION("IF(C1028 = """", """", IF(REGEXMATCH(C1028, ""PCX|NMAX|ADV 150|CLICK""), ""скутер"", ""мото""))"),"скутер")</f>
        <v>скутер</v>
      </c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</row>
    <row r="1029" hidden="1">
      <c r="A1029" s="25" t="s">
        <v>24</v>
      </c>
      <c r="B1029" s="25" t="s">
        <v>25</v>
      </c>
      <c r="C1029" s="27" t="s">
        <v>26</v>
      </c>
      <c r="D1029" s="27" t="s">
        <v>1785</v>
      </c>
      <c r="E1029" s="43">
        <v>45707.0</v>
      </c>
      <c r="F1029" s="39">
        <v>45714.458333333336</v>
      </c>
      <c r="G1029" s="30" t="str">
        <f t="shared" si="61"/>
        <v>7 Д</v>
      </c>
      <c r="H1029" s="31">
        <f t="shared" si="62"/>
        <v>349</v>
      </c>
      <c r="I1029" s="32" t="str">
        <f t="shared" si="39"/>
        <v/>
      </c>
      <c r="J1029" s="33" t="str">
        <f t="shared" si="25"/>
        <v/>
      </c>
      <c r="K1029" s="36">
        <f>1396+349*3</f>
        <v>2443</v>
      </c>
      <c r="L1029" s="33"/>
      <c r="M1029" s="36">
        <v>349.0</v>
      </c>
      <c r="N1029" s="34"/>
      <c r="O1029" s="35" t="str">
        <f>IFERROR(__xludf.DUMMYFUNCTION("IFERROR(
  VLOOKUP(C1029,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C1029
    ), 
    7, FALSE
  ), 
  """"
)
"),"")</f>
        <v/>
      </c>
      <c r="P1029" s="35" t="str">
        <f>IFERROR(__xludf.DUMMYFUNCTION("IF(AND(Q1029="""", R1029=""""),
  """",
  IF(OR(ISBLANK(Q1029), ISBLANK(O1029)),
    """",
    IF(VALUE(SUBSTITUTE(INDEX(SPLIT(IF(ISBLANK(R1029), Q1029, R1029), "",""), 0, 1), "" Km"", """")) - O1029 = 0,
      """",
      VALUE(SUBSTITUTE(INDEX(SPLIT(IF("&amp;"ISBLANK(R1029), Q1029, R1029), "",""), 0, 1), "" Km"", """")) - O1029
    )
  )
)"),"")</f>
        <v/>
      </c>
      <c r="Q1029" s="36" t="str">
        <f t="shared" si="4"/>
        <v>0 Km, 19.02.2025</v>
      </c>
      <c r="R1029" s="33"/>
      <c r="S1029" s="40">
        <v>3000.0</v>
      </c>
      <c r="T1029" s="25">
        <v>2.0</v>
      </c>
      <c r="U1029" s="25" t="s">
        <v>1786</v>
      </c>
      <c r="V1029" s="37"/>
      <c r="W1029" s="37" t="str">
        <f t="shared" si="46"/>
        <v>Завершена</v>
      </c>
      <c r="X1029" s="25" t="str">
        <f>IFERROR(__xludf.DUMMYFUNCTION("IF(C1029 = """", """", IF(REGEXMATCH(C1029, ""PCX|NMAX|ADV 150|CLICK""), ""скутер"", ""мото""))"),"скутер")</f>
        <v>скутер</v>
      </c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</row>
    <row r="1030" hidden="1">
      <c r="A1030" s="13" t="s">
        <v>24</v>
      </c>
      <c r="B1030" s="13" t="s">
        <v>25</v>
      </c>
      <c r="C1030" s="14" t="s">
        <v>468</v>
      </c>
      <c r="D1030" s="14" t="s">
        <v>469</v>
      </c>
      <c r="E1030" s="48">
        <v>45707.0</v>
      </c>
      <c r="F1030" s="38">
        <v>45718.708333333336</v>
      </c>
      <c r="G1030" s="17" t="str">
        <f t="shared" si="61"/>
        <v>11 Д</v>
      </c>
      <c r="H1030" s="18">
        <f t="shared" si="62"/>
        <v>883</v>
      </c>
      <c r="I1030" s="19" t="str">
        <f t="shared" si="39"/>
        <v/>
      </c>
      <c r="J1030" s="20" t="str">
        <f t="shared" si="25"/>
        <v/>
      </c>
      <c r="K1030" s="23">
        <v>9712.0</v>
      </c>
      <c r="L1030" s="20"/>
      <c r="M1030" s="23">
        <v>883.0</v>
      </c>
      <c r="N1030" s="21"/>
      <c r="O1030" s="22">
        <f>IFERROR(__xludf.DUMMYFUNCTION("IFERROR(
  VLOOKUP(C1030,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C1030
    ), 
    7, FALSE
  ), 
  """"
)
"),22200.0)</f>
        <v>22200</v>
      </c>
      <c r="P1030" s="22">
        <f>IFERROR(__xludf.DUMMYFUNCTION("IF(AND(Q1030="""", R1030=""""),
  """",
  IF(OR(ISBLANK(Q1030), ISBLANK(O1030)),
    """",
    IF(VALUE(SUBSTITUTE(INDEX(SPLIT(IF(ISBLANK(R1030), Q1030, R1030), "",""), 0, 1), "" Km"", """")) - O1030 = 0,
      """",
      VALUE(SUBSTITUTE(INDEX(SPLIT(IF("&amp;"ISBLANK(R1030), Q1030, R1030), "",""), 0, 1), "" Km"", """")) - O1030
    )
  )
)"),-22200.0)</f>
        <v>-22200</v>
      </c>
      <c r="Q1030" s="23" t="str">
        <f t="shared" si="4"/>
        <v>0 Km, 19.02.2025</v>
      </c>
      <c r="R1030" s="20"/>
      <c r="S1030" s="41">
        <v>15000.0</v>
      </c>
      <c r="T1030" s="13">
        <v>2.0</v>
      </c>
      <c r="U1030" s="13" t="s">
        <v>1787</v>
      </c>
      <c r="V1030" s="24"/>
      <c r="W1030" s="24" t="str">
        <f t="shared" si="46"/>
        <v>Завершена</v>
      </c>
      <c r="X1030" s="13" t="str">
        <f>IFERROR(__xludf.DUMMYFUNCTION("IF(C1030 = """", """", IF(REGEXMATCH(C1030, ""PCX|NMAX|ADV 150|CLICK""), ""скутер"", ""мото""))"),"мото")</f>
        <v>мото</v>
      </c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</row>
    <row r="1031" hidden="1">
      <c r="A1031" s="25" t="s">
        <v>24</v>
      </c>
      <c r="B1031" s="25" t="s">
        <v>25</v>
      </c>
      <c r="C1031" s="27" t="s">
        <v>113</v>
      </c>
      <c r="D1031" s="27" t="s">
        <v>1788</v>
      </c>
      <c r="E1031" s="43">
        <v>45707.0</v>
      </c>
      <c r="F1031" s="39">
        <v>45719.541666666664</v>
      </c>
      <c r="G1031" s="30" t="str">
        <f t="shared" si="61"/>
        <v>12 Д</v>
      </c>
      <c r="H1031" s="31">
        <f t="shared" si="62"/>
        <v>763</v>
      </c>
      <c r="I1031" s="32" t="str">
        <f t="shared" si="39"/>
        <v/>
      </c>
      <c r="J1031" s="33" t="str">
        <f t="shared" si="25"/>
        <v/>
      </c>
      <c r="K1031" s="36">
        <f>763*12</f>
        <v>9156</v>
      </c>
      <c r="L1031" s="33"/>
      <c r="M1031" s="36">
        <v>763.0</v>
      </c>
      <c r="N1031" s="44">
        <v>39000.0</v>
      </c>
      <c r="O1031" s="35" t="str">
        <f>IFERROR(__xludf.DUMMYFUNCTION("IFERROR(
  VLOOKUP(C1031,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C1031
    ), 
    7, FALSE
  ), 
  """"
)
"),"")</f>
        <v/>
      </c>
      <c r="P1031" s="35">
        <f>IFERROR(__xludf.DUMMYFUNCTION("IF(AND(Q1031="""", R1031=""""),
  """",
  IF(OR(ISBLANK(Q1031), ISBLANK(O1031)),
    """",
    IF(VALUE(SUBSTITUTE(INDEX(SPLIT(IF(ISBLANK(R1031), Q1031, R1031), "",""), 0, 1), "" Km"", """")) - O1031 = 0,
      """",
      VALUE(SUBSTITUTE(INDEX(SPLIT(IF("&amp;"ISBLANK(R1031), Q1031, R1031), "",""), 0, 1), "" Km"", """")) - O1031
    )
  )
)"),39000.0)</f>
        <v>39000</v>
      </c>
      <c r="Q1031" s="36" t="str">
        <f t="shared" si="4"/>
        <v>39 000 Km, 19.02.2025</v>
      </c>
      <c r="R1031" s="33"/>
      <c r="S1031" s="40" t="s">
        <v>1789</v>
      </c>
      <c r="T1031" s="25">
        <v>2.0</v>
      </c>
      <c r="U1031" s="25" t="s">
        <v>1790</v>
      </c>
      <c r="V1031" s="37"/>
      <c r="W1031" s="37" t="str">
        <f t="shared" si="46"/>
        <v>Завершена</v>
      </c>
      <c r="X1031" s="25" t="str">
        <f>IFERROR(__xludf.DUMMYFUNCTION("IF(C1031 = """", """", IF(REGEXMATCH(C1031, ""PCX|NMAX|ADV 150|CLICK""), ""скутер"", ""мото""))"),"мото")</f>
        <v>мото</v>
      </c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</row>
    <row r="1032" hidden="1">
      <c r="A1032" s="13" t="s">
        <v>24</v>
      </c>
      <c r="B1032" s="13" t="s">
        <v>25</v>
      </c>
      <c r="C1032" s="14" t="s">
        <v>423</v>
      </c>
      <c r="D1032" s="14" t="s">
        <v>1791</v>
      </c>
      <c r="E1032" s="48">
        <v>45709.0</v>
      </c>
      <c r="F1032" s="38">
        <v>45721.708333333336</v>
      </c>
      <c r="G1032" s="17" t="str">
        <f t="shared" si="61"/>
        <v>12 Д</v>
      </c>
      <c r="H1032" s="18">
        <f t="shared" si="62"/>
        <v>872</v>
      </c>
      <c r="I1032" s="19" t="str">
        <f t="shared" si="39"/>
        <v/>
      </c>
      <c r="J1032" s="20" t="str">
        <f t="shared" si="25"/>
        <v/>
      </c>
      <c r="K1032" s="23">
        <v>10464.0</v>
      </c>
      <c r="L1032" s="20"/>
      <c r="M1032" s="23">
        <v>872.0</v>
      </c>
      <c r="N1032" s="21"/>
      <c r="O1032" s="22" t="str">
        <f>IFERROR(__xludf.DUMMYFUNCTION("IFERROR(
  VLOOKUP(C1032,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C1032
    ), 
    7, FALSE
  ), 
  """"
)
"),"")</f>
        <v/>
      </c>
      <c r="P1032" s="22" t="str">
        <f>IFERROR(__xludf.DUMMYFUNCTION("IF(AND(Q1032="""", R1032=""""),
  """",
  IF(OR(ISBLANK(Q1032), ISBLANK(O1032)),
    """",
    IF(VALUE(SUBSTITUTE(INDEX(SPLIT(IF(ISBLANK(R1032), Q1032, R1032), "",""), 0, 1), "" Km"", """")) - O1032 = 0,
      """",
      VALUE(SUBSTITUTE(INDEX(SPLIT(IF("&amp;"ISBLANK(R1032), Q1032, R1032), "",""), 0, 1), "" Km"", """")) - O1032
    )
  )
)"),"")</f>
        <v/>
      </c>
      <c r="Q1032" s="23" t="str">
        <f t="shared" si="4"/>
        <v>0 Km, 21.02.2025</v>
      </c>
      <c r="R1032" s="20"/>
      <c r="S1032" s="41">
        <v>15000.0</v>
      </c>
      <c r="T1032" s="13">
        <v>2.0</v>
      </c>
      <c r="U1032" s="13" t="s">
        <v>1792</v>
      </c>
      <c r="V1032" s="24"/>
      <c r="W1032" s="24" t="str">
        <f t="shared" si="46"/>
        <v>Завершена</v>
      </c>
      <c r="X1032" s="13" t="str">
        <f>IFERROR(__xludf.DUMMYFUNCTION("IF(C1032 = """", """", IF(REGEXMATCH(C1032, ""PCX|NMAX|ADV 150|CLICK""), ""скутер"", ""мото""))"),"мото")</f>
        <v>мото</v>
      </c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</row>
    <row r="1033" hidden="1">
      <c r="A1033" s="25" t="s">
        <v>24</v>
      </c>
      <c r="B1033" s="25" t="s">
        <v>25</v>
      </c>
      <c r="C1033" s="27" t="s">
        <v>185</v>
      </c>
      <c r="D1033" s="27" t="s">
        <v>1793</v>
      </c>
      <c r="E1033" s="43">
        <v>45709.0</v>
      </c>
      <c r="F1033" s="39">
        <v>45718.708333333336</v>
      </c>
      <c r="G1033" s="30" t="str">
        <f t="shared" si="61"/>
        <v>9 Д</v>
      </c>
      <c r="H1033" s="31">
        <f t="shared" si="62"/>
        <v>389</v>
      </c>
      <c r="I1033" s="32" t="str">
        <f t="shared" si="39"/>
        <v/>
      </c>
      <c r="J1033" s="33" t="str">
        <f t="shared" si="25"/>
        <v/>
      </c>
      <c r="K1033" s="36">
        <v>3501.0</v>
      </c>
      <c r="L1033" s="33"/>
      <c r="M1033" s="36">
        <v>389.0</v>
      </c>
      <c r="N1033" s="44">
        <v>35000.0</v>
      </c>
      <c r="O1033" s="35" t="str">
        <f>IFERROR(__xludf.DUMMYFUNCTION("IFERROR(
  VLOOKUP(C1033,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C1033
    ), 
    7, FALSE
  ), 
  """"
)
"),"")</f>
        <v/>
      </c>
      <c r="P1033" s="35">
        <f>IFERROR(__xludf.DUMMYFUNCTION("IF(AND(Q1033="""", R1033=""""),
  """",
  IF(OR(ISBLANK(Q1033), ISBLANK(O1033)),
    """",
    IF(VALUE(SUBSTITUTE(INDEX(SPLIT(IF(ISBLANK(R1033), Q1033, R1033), "",""), 0, 1), "" Km"", """")) - O1033 = 0,
      """",
      VALUE(SUBSTITUTE(INDEX(SPLIT(IF("&amp;"ISBLANK(R1033), Q1033, R1033), "",""), 0, 1), "" Km"", """")) - O1033
    )
  )
)"),35000.0)</f>
        <v>35000</v>
      </c>
      <c r="Q1033" s="36" t="str">
        <f t="shared" si="4"/>
        <v>35 000 Km, 21.02.2025</v>
      </c>
      <c r="R1033" s="33"/>
      <c r="S1033" s="40">
        <v>2000.0</v>
      </c>
      <c r="T1033" s="25">
        <v>2.0</v>
      </c>
      <c r="U1033" s="71" t="s">
        <v>1794</v>
      </c>
      <c r="V1033" s="37"/>
      <c r="W1033" s="37" t="str">
        <f t="shared" si="46"/>
        <v>Завершена</v>
      </c>
      <c r="X1033" s="25" t="str">
        <f>IFERROR(__xludf.DUMMYFUNCTION("IF(C1033 = """", """", IF(REGEXMATCH(C1033, ""PCX|NMAX|ADV 150|CLICK""), ""скутер"", ""мото""))"),"скутер")</f>
        <v>скутер</v>
      </c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</row>
    <row r="1034" hidden="1">
      <c r="A1034" s="13" t="s">
        <v>24</v>
      </c>
      <c r="B1034" s="13" t="s">
        <v>25</v>
      </c>
      <c r="C1034" s="14" t="s">
        <v>202</v>
      </c>
      <c r="D1034" s="14" t="s">
        <v>1795</v>
      </c>
      <c r="E1034" s="48">
        <v>45710.0</v>
      </c>
      <c r="F1034" s="38">
        <v>45719.625</v>
      </c>
      <c r="G1034" s="17" t="str">
        <f t="shared" si="61"/>
        <v>9 Д</v>
      </c>
      <c r="H1034" s="18">
        <f t="shared" si="62"/>
        <v>699</v>
      </c>
      <c r="I1034" s="19" t="str">
        <f t="shared" si="39"/>
        <v/>
      </c>
      <c r="J1034" s="20" t="str">
        <f t="shared" si="25"/>
        <v/>
      </c>
      <c r="K1034" s="23">
        <v>6291.0</v>
      </c>
      <c r="L1034" s="20"/>
      <c r="M1034" s="23">
        <v>699.0</v>
      </c>
      <c r="N1034" s="49">
        <v>24000.0</v>
      </c>
      <c r="O1034" s="22">
        <f>IFERROR(__xludf.DUMMYFUNCTION("IFERROR(
  VLOOKUP(C1034,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C1034
    ), 
    7, FALSE
  ), 
  """"
)
"),30225.0)</f>
        <v>30225</v>
      </c>
      <c r="P1034" s="22">
        <f>IFERROR(__xludf.DUMMYFUNCTION("IF(AND(Q1034="""", R1034=""""),
  """",
  IF(OR(ISBLANK(Q1034), ISBLANK(O1034)),
    """",
    IF(VALUE(SUBSTITUTE(INDEX(SPLIT(IF(ISBLANK(R1034), Q1034, R1034), "",""), 0, 1), "" Km"", """")) - O1034 = 0,
      """",
      VALUE(SUBSTITUTE(INDEX(SPLIT(IF("&amp;"ISBLANK(R1034), Q1034, R1034), "",""), 0, 1), "" Km"", """")) - O1034
    )
  )
)"),-6225.0)</f>
        <v>-6225</v>
      </c>
      <c r="Q1034" s="23" t="str">
        <f t="shared" si="4"/>
        <v>24 000 Km, 22.02.2025</v>
      </c>
      <c r="R1034" s="20"/>
      <c r="S1034" s="41">
        <v>150.0</v>
      </c>
      <c r="T1034" s="13">
        <v>2.0</v>
      </c>
      <c r="U1034" s="66" t="s">
        <v>1796</v>
      </c>
      <c r="V1034" s="24"/>
      <c r="W1034" s="24" t="str">
        <f t="shared" si="46"/>
        <v>Завершена</v>
      </c>
      <c r="X1034" s="13" t="str">
        <f>IFERROR(__xludf.DUMMYFUNCTION("IF(C1034 = """", """", IF(REGEXMATCH(C1034, ""PCX|NMAX|ADV 150|CLICK""), ""скутер"", ""мото""))"),"мото")</f>
        <v>мото</v>
      </c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</row>
    <row r="1035" hidden="1">
      <c r="A1035" s="25" t="s">
        <v>24</v>
      </c>
      <c r="B1035" s="25" t="s">
        <v>25</v>
      </c>
      <c r="C1035" s="27" t="s">
        <v>151</v>
      </c>
      <c r="D1035" s="27" t="s">
        <v>1797</v>
      </c>
      <c r="E1035" s="43">
        <v>45711.0</v>
      </c>
      <c r="F1035" s="39">
        <v>45722.708333333336</v>
      </c>
      <c r="G1035" s="30" t="str">
        <f t="shared" si="61"/>
        <v>11 Д</v>
      </c>
      <c r="H1035" s="31">
        <f t="shared" si="62"/>
        <v>407</v>
      </c>
      <c r="I1035" s="32" t="str">
        <f t="shared" si="39"/>
        <v/>
      </c>
      <c r="J1035" s="33" t="str">
        <f t="shared" si="25"/>
        <v/>
      </c>
      <c r="K1035" s="36">
        <v>4470.0</v>
      </c>
      <c r="L1035" s="33"/>
      <c r="M1035" s="36">
        <v>407.0</v>
      </c>
      <c r="N1035" s="44">
        <v>29500.0</v>
      </c>
      <c r="O1035" s="35">
        <f>IFERROR(__xludf.DUMMYFUNCTION("IFERROR(
  VLOOKUP(C1035,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C1035
    ), 
    7, FALSE
  ), 
  """"
)
"),35800.0)</f>
        <v>35800</v>
      </c>
      <c r="P1035" s="35">
        <f>IFERROR(__xludf.DUMMYFUNCTION("IF(AND(Q1035="""", R1035=""""),
  """",
  IF(OR(ISBLANK(Q1035), ISBLANK(O1035)),
    """",
    IF(VALUE(SUBSTITUTE(INDEX(SPLIT(IF(ISBLANK(R1035), Q1035, R1035), "",""), 0, 1), "" Km"", """")) - O1035 = 0,
      """",
      VALUE(SUBSTITUTE(INDEX(SPLIT(IF("&amp;"ISBLANK(R1035), Q1035, R1035), "",""), 0, 1), "" Km"", """")) - O1035
    )
  )
)"),-6300.0)</f>
        <v>-6300</v>
      </c>
      <c r="Q1035" s="36" t="str">
        <f t="shared" si="4"/>
        <v>29 500 Km, 23.02.2025</v>
      </c>
      <c r="R1035" s="33"/>
      <c r="S1035" s="40">
        <v>3000.0</v>
      </c>
      <c r="T1035" s="25">
        <v>2.0</v>
      </c>
      <c r="U1035" s="25" t="s">
        <v>1798</v>
      </c>
      <c r="V1035" s="37"/>
      <c r="W1035" s="37" t="str">
        <f t="shared" si="46"/>
        <v>Завершена</v>
      </c>
      <c r="X1035" s="25" t="str">
        <f>IFERROR(__xludf.DUMMYFUNCTION("IF(C1035 = """", """", IF(REGEXMATCH(C1035, ""PCX|NMAX|ADV 150|CLICK""), ""скутер"", ""мото""))"),"скутер")</f>
        <v>скутер</v>
      </c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</row>
    <row r="1036" hidden="1">
      <c r="A1036" s="13" t="s">
        <v>24</v>
      </c>
      <c r="B1036" s="13" t="s">
        <v>25</v>
      </c>
      <c r="C1036" s="14" t="s">
        <v>483</v>
      </c>
      <c r="D1036" s="14" t="s">
        <v>1799</v>
      </c>
      <c r="E1036" s="48">
        <v>45711.0</v>
      </c>
      <c r="F1036" s="38">
        <v>45714.5</v>
      </c>
      <c r="G1036" s="17" t="str">
        <f t="shared" si="61"/>
        <v>3 Д</v>
      </c>
      <c r="H1036" s="18">
        <f t="shared" si="62"/>
        <v>1798</v>
      </c>
      <c r="I1036" s="19" t="str">
        <f t="shared" si="39"/>
        <v/>
      </c>
      <c r="J1036" s="20" t="str">
        <f t="shared" si="25"/>
        <v/>
      </c>
      <c r="K1036" s="23">
        <v>5394.0</v>
      </c>
      <c r="L1036" s="20"/>
      <c r="M1036" s="23">
        <v>1798.0</v>
      </c>
      <c r="N1036" s="21"/>
      <c r="O1036" s="22">
        <f>IFERROR(__xludf.DUMMYFUNCTION("IFERROR(
  VLOOKUP(C1036,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C1036
    ), 
    7, FALSE
  ), 
  """"
)
"),41500.0)</f>
        <v>41500</v>
      </c>
      <c r="P1036" s="22">
        <f>IFERROR(__xludf.DUMMYFUNCTION("IF(AND(Q1036="""", R1036=""""),
  """",
  IF(OR(ISBLANK(Q1036), ISBLANK(O1036)),
    """",
    IF(VALUE(SUBSTITUTE(INDEX(SPLIT(IF(ISBLANK(R1036), Q1036, R1036), "",""), 0, 1), "" Km"", """")) - O1036 = 0,
      """",
      VALUE(SUBSTITUTE(INDEX(SPLIT(IF("&amp;"ISBLANK(R1036), Q1036, R1036), "",""), 0, 1), "" Km"", """")) - O1036
    )
  )
)"),-41500.0)</f>
        <v>-41500</v>
      </c>
      <c r="Q1036" s="23" t="str">
        <f t="shared" si="4"/>
        <v>0 Km, 23.02.2025</v>
      </c>
      <c r="R1036" s="20"/>
      <c r="S1036" s="41">
        <v>20000.0</v>
      </c>
      <c r="T1036" s="13">
        <v>1.0</v>
      </c>
      <c r="U1036" s="13" t="s">
        <v>1800</v>
      </c>
      <c r="V1036" s="24"/>
      <c r="W1036" s="24" t="str">
        <f t="shared" si="46"/>
        <v>Завершена</v>
      </c>
      <c r="X1036" s="13" t="str">
        <f>IFERROR(__xludf.DUMMYFUNCTION("IF(C1036 = """", """", IF(REGEXMATCH(C1036, ""PCX|NMAX|ADV 150|CLICK""), ""скутер"", ""мото""))"),"мото")</f>
        <v>мото</v>
      </c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</row>
    <row r="1037" hidden="1">
      <c r="A1037" s="25" t="s">
        <v>24</v>
      </c>
      <c r="B1037" s="25" t="s">
        <v>25</v>
      </c>
      <c r="C1037" s="27" t="s">
        <v>106</v>
      </c>
      <c r="D1037" s="27" t="s">
        <v>1801</v>
      </c>
      <c r="E1037" s="43">
        <v>45712.0</v>
      </c>
      <c r="F1037" s="39">
        <v>45723.875</v>
      </c>
      <c r="G1037" s="30" t="str">
        <f t="shared" si="61"/>
        <v>11 Д</v>
      </c>
      <c r="H1037" s="31">
        <f t="shared" si="62"/>
        <v>363</v>
      </c>
      <c r="I1037" s="32" t="str">
        <f t="shared" si="39"/>
        <v/>
      </c>
      <c r="J1037" s="33" t="str">
        <f t="shared" si="25"/>
        <v/>
      </c>
      <c r="K1037" s="36">
        <v>3993.0</v>
      </c>
      <c r="L1037" s="33"/>
      <c r="M1037" s="36">
        <v>363.0</v>
      </c>
      <c r="N1037" s="34"/>
      <c r="O1037" s="35">
        <f>IFERROR(__xludf.DUMMYFUNCTION("IFERROR(
  VLOOKUP(C1037,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C1037
    ), 
    7, FALSE
  ), 
  """"
)
"),26000.0)</f>
        <v>26000</v>
      </c>
      <c r="P1037" s="35">
        <f>IFERROR(__xludf.DUMMYFUNCTION("IF(AND(Q1037="""", R1037=""""),
  """",
  IF(OR(ISBLANK(Q1037), ISBLANK(O1037)),
    """",
    IF(VALUE(SUBSTITUTE(INDEX(SPLIT(IF(ISBLANK(R1037), Q1037, R1037), "",""), 0, 1), "" Km"", """")) - O1037 = 0,
      """",
      VALUE(SUBSTITUTE(INDEX(SPLIT(IF("&amp;"ISBLANK(R1037), Q1037, R1037), "",""), 0, 1), "" Km"", """")) - O1037
    )
  )
)"),-26000.0)</f>
        <v>-26000</v>
      </c>
      <c r="Q1037" s="36" t="str">
        <f t="shared" si="4"/>
        <v>0 Km, 24.02.2025</v>
      </c>
      <c r="R1037" s="33"/>
      <c r="S1037" s="40">
        <v>100.0</v>
      </c>
      <c r="T1037" s="25">
        <v>2.0</v>
      </c>
      <c r="U1037" s="25" t="s">
        <v>1802</v>
      </c>
      <c r="V1037" s="37"/>
      <c r="W1037" s="37" t="str">
        <f t="shared" si="46"/>
        <v>Завершена</v>
      </c>
      <c r="X1037" s="25" t="str">
        <f>IFERROR(__xludf.DUMMYFUNCTION("IF(C1037 = """", """", IF(REGEXMATCH(C1037, ""PCX|NMAX|ADV 150|CLICK""), ""скутер"", ""мото""))"),"скутер")</f>
        <v>скутер</v>
      </c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</row>
    <row r="1038" hidden="1">
      <c r="A1038" s="13" t="s">
        <v>24</v>
      </c>
      <c r="B1038" s="13" t="s">
        <v>25</v>
      </c>
      <c r="C1038" s="14" t="s">
        <v>98</v>
      </c>
      <c r="D1038" s="14" t="s">
        <v>1803</v>
      </c>
      <c r="E1038" s="48">
        <v>45712.0</v>
      </c>
      <c r="F1038" s="38">
        <v>45716.75</v>
      </c>
      <c r="G1038" s="17" t="str">
        <f t="shared" si="61"/>
        <v>4 Д</v>
      </c>
      <c r="H1038" s="18">
        <f t="shared" si="62"/>
        <v>470</v>
      </c>
      <c r="I1038" s="19" t="str">
        <f t="shared" si="39"/>
        <v/>
      </c>
      <c r="J1038" s="20" t="str">
        <f t="shared" si="25"/>
        <v/>
      </c>
      <c r="K1038" s="23">
        <v>1880.0</v>
      </c>
      <c r="L1038" s="20"/>
      <c r="M1038" s="23">
        <v>470.0</v>
      </c>
      <c r="N1038" s="49">
        <v>25000.0</v>
      </c>
      <c r="O1038" s="22">
        <f>IFERROR(__xludf.DUMMYFUNCTION("IFERROR(
  VLOOKUP(C1038,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C1038
    ), 
    7, FALSE
  ), 
  """"
)
"),32200.0)</f>
        <v>32200</v>
      </c>
      <c r="P1038" s="22">
        <f>IFERROR(__xludf.DUMMYFUNCTION("IF(AND(Q1038="""", R1038=""""),
  """",
  IF(OR(ISBLANK(Q1038), ISBLANK(O1038)),
    """",
    IF(VALUE(SUBSTITUTE(INDEX(SPLIT(IF(ISBLANK(R1038), Q1038, R1038), "",""), 0, 1), "" Km"", """")) - O1038 = 0,
      """",
      VALUE(SUBSTITUTE(INDEX(SPLIT(IF("&amp;"ISBLANK(R1038), Q1038, R1038), "",""), 0, 1), "" Km"", """")) - O1038
    )
  )
)"),-7200.0)</f>
        <v>-7200</v>
      </c>
      <c r="Q1038" s="23" t="str">
        <f t="shared" si="4"/>
        <v>25 000 Km, 24.02.2025</v>
      </c>
      <c r="R1038" s="20"/>
      <c r="S1038" s="41">
        <v>3000.0</v>
      </c>
      <c r="T1038" s="13">
        <v>2.0</v>
      </c>
      <c r="U1038" s="66" t="s">
        <v>1804</v>
      </c>
      <c r="V1038" s="24"/>
      <c r="W1038" s="24" t="str">
        <f t="shared" si="46"/>
        <v>Завершена</v>
      </c>
      <c r="X1038" s="13" t="str">
        <f>IFERROR(__xludf.DUMMYFUNCTION("IF(C1038 = """", """", IF(REGEXMATCH(C1038, ""PCX|NMAX|ADV 150|CLICK""), ""скутер"", ""мото""))"),"скутер")</f>
        <v>скутер</v>
      </c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</row>
    <row r="1039" hidden="1">
      <c r="A1039" s="25" t="s">
        <v>24</v>
      </c>
      <c r="B1039" s="25" t="s">
        <v>25</v>
      </c>
      <c r="C1039" s="27" t="s">
        <v>951</v>
      </c>
      <c r="D1039" s="27" t="s">
        <v>1649</v>
      </c>
      <c r="E1039" s="43">
        <v>45713.0</v>
      </c>
      <c r="F1039" s="39">
        <v>45717.458333333336</v>
      </c>
      <c r="G1039" s="30" t="str">
        <f t="shared" si="61"/>
        <v>4 Д</v>
      </c>
      <c r="H1039" s="31">
        <f t="shared" si="62"/>
        <v>1033</v>
      </c>
      <c r="I1039" s="32" t="str">
        <f t="shared" si="39"/>
        <v/>
      </c>
      <c r="J1039" s="33" t="str">
        <f t="shared" si="25"/>
        <v/>
      </c>
      <c r="K1039" s="36">
        <v>5165.0</v>
      </c>
      <c r="L1039" s="33"/>
      <c r="M1039" s="36">
        <v>1033.0</v>
      </c>
      <c r="N1039" s="34"/>
      <c r="O1039" s="35">
        <f>IFERROR(__xludf.DUMMYFUNCTION("IFERROR(
  VLOOKUP(C1039,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C1039
    ), 
    7, FALSE
  ), 
  """"
)
"),21100.0)</f>
        <v>21100</v>
      </c>
      <c r="P1039" s="35">
        <f>IFERROR(__xludf.DUMMYFUNCTION("IF(AND(Q1039="""", R1039=""""),
  """",
  IF(OR(ISBLANK(Q1039), ISBLANK(O1039)),
    """",
    IF(VALUE(SUBSTITUTE(INDEX(SPLIT(IF(ISBLANK(R1039), Q1039, R1039), "",""), 0, 1), "" Km"", """")) - O1039 = 0,
      """",
      VALUE(SUBSTITUTE(INDEX(SPLIT(IF("&amp;"ISBLANK(R1039), Q1039, R1039), "",""), 0, 1), "" Km"", """")) - O1039
    )
  )
)"),-21100.0)</f>
        <v>-21100</v>
      </c>
      <c r="Q1039" s="36" t="str">
        <f t="shared" si="4"/>
        <v>0 Km, 25.02.2025</v>
      </c>
      <c r="R1039" s="33"/>
      <c r="S1039" s="40">
        <v>7000.0</v>
      </c>
      <c r="T1039" s="25">
        <v>2.0</v>
      </c>
      <c r="U1039" s="25" t="s">
        <v>1805</v>
      </c>
      <c r="V1039" s="37"/>
      <c r="W1039" s="37" t="str">
        <f t="shared" si="46"/>
        <v>Завершена</v>
      </c>
      <c r="X1039" s="25" t="str">
        <f>IFERROR(__xludf.DUMMYFUNCTION("IF(C1039 = """", """", IF(REGEXMATCH(C1039, ""PCX|NMAX|ADV 150|CLICK""), ""скутер"", ""мото""))"),"мото")</f>
        <v>мото</v>
      </c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</row>
    <row r="1040" hidden="1">
      <c r="A1040" s="13" t="s">
        <v>24</v>
      </c>
      <c r="B1040" s="13" t="s">
        <v>25</v>
      </c>
      <c r="C1040" s="14" t="s">
        <v>98</v>
      </c>
      <c r="D1040" s="14" t="s">
        <v>1806</v>
      </c>
      <c r="E1040" s="48">
        <v>45714.0</v>
      </c>
      <c r="F1040" s="38">
        <v>45720.5</v>
      </c>
      <c r="G1040" s="17" t="str">
        <f t="shared" si="61"/>
        <v>6 Д</v>
      </c>
      <c r="H1040" s="18">
        <f t="shared" si="62"/>
        <v>427</v>
      </c>
      <c r="I1040" s="19" t="str">
        <f t="shared" si="39"/>
        <v/>
      </c>
      <c r="J1040" s="20" t="str">
        <f t="shared" si="25"/>
        <v/>
      </c>
      <c r="K1040" s="23">
        <v>2562.0</v>
      </c>
      <c r="L1040" s="20"/>
      <c r="M1040" s="23">
        <v>427.0</v>
      </c>
      <c r="N1040" s="49">
        <v>28500.0</v>
      </c>
      <c r="O1040" s="22">
        <f>IFERROR(__xludf.DUMMYFUNCTION("IFERROR(
  VLOOKUP(C1040,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C1040
    ), 
    7, FALSE
  ), 
  """"
)
"),32200.0)</f>
        <v>32200</v>
      </c>
      <c r="P1040" s="22">
        <f>IFERROR(__xludf.DUMMYFUNCTION("IF(AND(Q1040="""", R1040=""""),
  """",
  IF(OR(ISBLANK(Q1040), ISBLANK(O1040)),
    """",
    IF(VALUE(SUBSTITUTE(INDEX(SPLIT(IF(ISBLANK(R1040), Q1040, R1040), "",""), 0, 1), "" Km"", """")) - O1040 = 0,
      """",
      VALUE(SUBSTITUTE(INDEX(SPLIT(IF("&amp;"ISBLANK(R1040), Q1040, R1040), "",""), 0, 1), "" Km"", """")) - O1040
    )
  )
)"),-3700.0)</f>
        <v>-3700</v>
      </c>
      <c r="Q1040" s="23" t="str">
        <f t="shared" si="4"/>
        <v>28 500 Km, 26.02.2025</v>
      </c>
      <c r="R1040" s="20"/>
      <c r="S1040" s="41">
        <v>3000.0</v>
      </c>
      <c r="T1040" s="13">
        <v>2.0</v>
      </c>
      <c r="U1040" s="13" t="s">
        <v>1807</v>
      </c>
      <c r="V1040" s="24"/>
      <c r="W1040" s="24" t="str">
        <f t="shared" si="46"/>
        <v>Завершена</v>
      </c>
      <c r="X1040" s="13" t="str">
        <f>IFERROR(__xludf.DUMMYFUNCTION("IF(C1040 = """", """", IF(REGEXMATCH(C1040, ""PCX|NMAX|ADV 150|CLICK""), ""скутер"", ""мото""))"),"скутер")</f>
        <v>скутер</v>
      </c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</row>
    <row r="1041" hidden="1">
      <c r="A1041" s="25" t="s">
        <v>24</v>
      </c>
      <c r="B1041" s="25" t="s">
        <v>25</v>
      </c>
      <c r="C1041" s="27" t="s">
        <v>48</v>
      </c>
      <c r="D1041" s="27" t="s">
        <v>1806</v>
      </c>
      <c r="E1041" s="43">
        <v>45714.0</v>
      </c>
      <c r="F1041" s="39">
        <v>45720.5</v>
      </c>
      <c r="G1041" s="30" t="str">
        <f t="shared" si="61"/>
        <v>6 Д</v>
      </c>
      <c r="H1041" s="31">
        <f t="shared" si="62"/>
        <v>427</v>
      </c>
      <c r="I1041" s="32" t="str">
        <f t="shared" si="39"/>
        <v/>
      </c>
      <c r="J1041" s="33" t="str">
        <f t="shared" si="25"/>
        <v/>
      </c>
      <c r="K1041" s="36">
        <v>2562.0</v>
      </c>
      <c r="L1041" s="33"/>
      <c r="M1041" s="36">
        <v>427.0</v>
      </c>
      <c r="N1041" s="44">
        <v>28500.0</v>
      </c>
      <c r="O1041" s="35">
        <f>IFERROR(__xludf.DUMMYFUNCTION("IFERROR(
  VLOOKUP(C1041,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C1041
    ), 
    7, FALSE
  ), 
  """"
)
"),35800.0)</f>
        <v>35800</v>
      </c>
      <c r="P1041" s="35">
        <f>IFERROR(__xludf.DUMMYFUNCTION("IF(AND(Q1041="""", R1041=""""),
  """",
  IF(OR(ISBLANK(Q1041), ISBLANK(O1041)),
    """",
    IF(VALUE(SUBSTITUTE(INDEX(SPLIT(IF(ISBLANK(R1041), Q1041, R1041), "",""), 0, 1), "" Km"", """")) - O1041 = 0,
      """",
      VALUE(SUBSTITUTE(INDEX(SPLIT(IF("&amp;"ISBLANK(R1041), Q1041, R1041), "",""), 0, 1), "" Km"", """")) - O1041
    )
  )
)"),-7300.0)</f>
        <v>-7300</v>
      </c>
      <c r="Q1041" s="36" t="str">
        <f t="shared" si="4"/>
        <v>28 500 Km, 26.02.2025</v>
      </c>
      <c r="R1041" s="33"/>
      <c r="S1041" s="40">
        <v>3000.0</v>
      </c>
      <c r="T1041" s="25">
        <v>2.0</v>
      </c>
      <c r="U1041" s="25" t="s">
        <v>1807</v>
      </c>
      <c r="V1041" s="37"/>
      <c r="W1041" s="37" t="str">
        <f t="shared" si="46"/>
        <v>Завершена</v>
      </c>
      <c r="X1041" s="25" t="str">
        <f>IFERROR(__xludf.DUMMYFUNCTION("IF(C1041 = """", """", IF(REGEXMATCH(C1041, ""PCX|NMAX|ADV 150|CLICK""), ""скутер"", ""мото""))"),"скутер")</f>
        <v>скутер</v>
      </c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</row>
    <row r="1042" hidden="1">
      <c r="A1042" s="13" t="s">
        <v>24</v>
      </c>
      <c r="B1042" s="13" t="s">
        <v>25</v>
      </c>
      <c r="C1042" s="14" t="s">
        <v>974</v>
      </c>
      <c r="D1042" s="14" t="s">
        <v>1808</v>
      </c>
      <c r="E1042" s="48">
        <v>45714.0</v>
      </c>
      <c r="F1042" s="38">
        <v>45724.291666666664</v>
      </c>
      <c r="G1042" s="17" t="str">
        <f t="shared" si="61"/>
        <v>10 Д</v>
      </c>
      <c r="H1042" s="18">
        <f t="shared" si="62"/>
        <v>847</v>
      </c>
      <c r="I1042" s="19" t="str">
        <f t="shared" si="39"/>
        <v/>
      </c>
      <c r="J1042" s="20" t="str">
        <f t="shared" si="25"/>
        <v/>
      </c>
      <c r="K1042" s="23">
        <f>5929+847*3</f>
        <v>8470</v>
      </c>
      <c r="L1042" s="20"/>
      <c r="M1042" s="23">
        <v>847.0</v>
      </c>
      <c r="N1042" s="21"/>
      <c r="O1042" s="22">
        <f>IFERROR(__xludf.DUMMYFUNCTION("IFERROR(
  VLOOKUP(C1042,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C1042
    ), 
    7, FALSE
  ), 
  """"
)
"),11800.0)</f>
        <v>11800</v>
      </c>
      <c r="P1042" s="22">
        <f>IFERROR(__xludf.DUMMYFUNCTION("IF(AND(Q1042="""", R1042=""""),
  """",
  IF(OR(ISBLANK(Q1042), ISBLANK(O1042)),
    """",
    IF(VALUE(SUBSTITUTE(INDEX(SPLIT(IF(ISBLANK(R1042), Q1042, R1042), "",""), 0, 1), "" Km"", """")) - O1042 = 0,
      """",
      VALUE(SUBSTITUTE(INDEX(SPLIT(IF("&amp;"ISBLANK(R1042), Q1042, R1042), "",""), 0, 1), "" Km"", """")) - O1042
    )
  )
)"),-11800.0)</f>
        <v>-11800</v>
      </c>
      <c r="Q1042" s="23" t="str">
        <f t="shared" si="4"/>
        <v>0 Km, 26.02.2025</v>
      </c>
      <c r="R1042" s="20"/>
      <c r="S1042" s="41" t="s">
        <v>430</v>
      </c>
      <c r="T1042" s="13">
        <v>1.0</v>
      </c>
      <c r="U1042" s="13" t="s">
        <v>1809</v>
      </c>
      <c r="V1042" s="24"/>
      <c r="W1042" s="24" t="str">
        <f t="shared" si="46"/>
        <v>Завершена</v>
      </c>
      <c r="X1042" s="13" t="str">
        <f>IFERROR(__xludf.DUMMYFUNCTION("IF(C1042 = """", """", IF(REGEXMATCH(C1042, ""PCX|NMAX|ADV 150|CLICK""), ""скутер"", ""мото""))"),"мото")</f>
        <v>мото</v>
      </c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</row>
    <row r="1043" hidden="1">
      <c r="A1043" s="25" t="s">
        <v>24</v>
      </c>
      <c r="B1043" s="25" t="s">
        <v>25</v>
      </c>
      <c r="C1043" s="27" t="s">
        <v>44</v>
      </c>
      <c r="D1043" s="27" t="s">
        <v>1810</v>
      </c>
      <c r="E1043" s="43">
        <v>45715.0</v>
      </c>
      <c r="F1043" s="39">
        <v>45719.583333333336</v>
      </c>
      <c r="G1043" s="30" t="str">
        <f t="shared" si="61"/>
        <v>4 Д</v>
      </c>
      <c r="H1043" s="31">
        <f t="shared" si="62"/>
        <v>400</v>
      </c>
      <c r="I1043" s="32" t="str">
        <f t="shared" si="39"/>
        <v/>
      </c>
      <c r="J1043" s="33" t="str">
        <f t="shared" si="25"/>
        <v/>
      </c>
      <c r="K1043" s="36">
        <v>1600.0</v>
      </c>
      <c r="L1043" s="33"/>
      <c r="M1043" s="36">
        <v>400.0</v>
      </c>
      <c r="N1043" s="34"/>
      <c r="O1043" s="35">
        <f>IFERROR(__xludf.DUMMYFUNCTION("IFERROR(
  VLOOKUP(C1043,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C1043
    ), 
    7, FALSE
  ), 
  """"
)
"),30800.0)</f>
        <v>30800</v>
      </c>
      <c r="P1043" s="35">
        <f>IFERROR(__xludf.DUMMYFUNCTION("IF(AND(Q1043="""", R1043=""""),
  """",
  IF(OR(ISBLANK(Q1043), ISBLANK(O1043)),
    """",
    IF(VALUE(SUBSTITUTE(INDEX(SPLIT(IF(ISBLANK(R1043), Q1043, R1043), "",""), 0, 1), "" Km"", """")) - O1043 = 0,
      """",
      VALUE(SUBSTITUTE(INDEX(SPLIT(IF("&amp;"ISBLANK(R1043), Q1043, R1043), "",""), 0, 1), "" Km"", """")) - O1043
    )
  )
)"),-30800.0)</f>
        <v>-30800</v>
      </c>
      <c r="Q1043" s="36" t="str">
        <f t="shared" si="4"/>
        <v>0 Km, 27.02.2025</v>
      </c>
      <c r="R1043" s="33"/>
      <c r="S1043" s="31"/>
      <c r="T1043" s="25">
        <v>2.0</v>
      </c>
      <c r="U1043" s="25" t="s">
        <v>516</v>
      </c>
      <c r="V1043" s="37"/>
      <c r="W1043" s="37" t="str">
        <f t="shared" si="46"/>
        <v>Завершена</v>
      </c>
      <c r="X1043" s="25" t="str">
        <f>IFERROR(__xludf.DUMMYFUNCTION("IF(C1043 = """", """", IF(REGEXMATCH(C1043, ""PCX|NMAX|ADV 150|CLICK""), ""скутер"", ""мото""))"),"скутер")</f>
        <v>скутер</v>
      </c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</row>
    <row r="1044" hidden="1">
      <c r="A1044" s="13" t="s">
        <v>24</v>
      </c>
      <c r="B1044" s="13" t="s">
        <v>25</v>
      </c>
      <c r="C1044" s="14" t="s">
        <v>77</v>
      </c>
      <c r="D1044" s="14" t="s">
        <v>987</v>
      </c>
      <c r="E1044" s="48">
        <v>45715.0</v>
      </c>
      <c r="F1044" s="38">
        <v>45724.75</v>
      </c>
      <c r="G1044" s="17" t="str">
        <f t="shared" si="61"/>
        <v>9 Д</v>
      </c>
      <c r="H1044" s="18">
        <f t="shared" si="62"/>
        <v>427</v>
      </c>
      <c r="I1044" s="19" t="str">
        <f t="shared" si="39"/>
        <v/>
      </c>
      <c r="J1044" s="20" t="str">
        <f t="shared" si="25"/>
        <v/>
      </c>
      <c r="K1044" s="23">
        <f>2989+427*2</f>
        <v>3843</v>
      </c>
      <c r="L1044" s="20"/>
      <c r="M1044" s="23">
        <v>427.0</v>
      </c>
      <c r="N1044" s="49">
        <v>31000.0</v>
      </c>
      <c r="O1044" s="22">
        <f>IFERROR(__xludf.DUMMYFUNCTION("IFERROR(
  VLOOKUP(C1044,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C1044
    ), 
    7, FALSE
  ), 
  """"
)
"),37300.0)</f>
        <v>37300</v>
      </c>
      <c r="P1044" s="22">
        <f>IFERROR(__xludf.DUMMYFUNCTION("IF(AND(Q1044="""", R1044=""""),
  """",
  IF(OR(ISBLANK(Q1044), ISBLANK(O1044)),
    """",
    IF(VALUE(SUBSTITUTE(INDEX(SPLIT(IF(ISBLANK(R1044), Q1044, R1044), "",""), 0, 1), "" Km"", """")) - O1044 = 0,
      """",
      VALUE(SUBSTITUTE(INDEX(SPLIT(IF("&amp;"ISBLANK(R1044), Q1044, R1044), "",""), 0, 1), "" Km"", """")) - O1044
    )
  )
)"),-6300.0)</f>
        <v>-6300</v>
      </c>
      <c r="Q1044" s="23" t="str">
        <f t="shared" si="4"/>
        <v>31 000 Km, 27.02.2025</v>
      </c>
      <c r="R1044" s="20"/>
      <c r="S1044" s="41">
        <v>3000.0</v>
      </c>
      <c r="T1044" s="13">
        <v>2.0</v>
      </c>
      <c r="U1044" s="13" t="s">
        <v>1811</v>
      </c>
      <c r="V1044" s="24"/>
      <c r="W1044" s="24" t="str">
        <f t="shared" si="46"/>
        <v>Завершена</v>
      </c>
      <c r="X1044" s="13" t="str">
        <f>IFERROR(__xludf.DUMMYFUNCTION("IF(C1044 = """", """", IF(REGEXMATCH(C1044, ""PCX|NMAX|ADV 150|CLICK""), ""скутер"", ""мото""))"),"скутер")</f>
        <v>скутер</v>
      </c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</row>
    <row r="1045" hidden="1">
      <c r="A1045" s="25" t="s">
        <v>24</v>
      </c>
      <c r="B1045" s="25" t="s">
        <v>25</v>
      </c>
      <c r="C1045" s="27" t="s">
        <v>114</v>
      </c>
      <c r="D1045" s="27" t="s">
        <v>872</v>
      </c>
      <c r="E1045" s="43">
        <v>45715.0</v>
      </c>
      <c r="F1045" s="39">
        <v>45743.5</v>
      </c>
      <c r="G1045" s="30" t="str">
        <f t="shared" si="61"/>
        <v>28 Д</v>
      </c>
      <c r="H1045" s="31">
        <f t="shared" si="62"/>
        <v>249.6666667</v>
      </c>
      <c r="I1045" s="32" t="str">
        <f t="shared" si="39"/>
        <v/>
      </c>
      <c r="J1045" s="33" t="str">
        <f t="shared" si="25"/>
        <v/>
      </c>
      <c r="K1045" s="36">
        <v>7490.0</v>
      </c>
      <c r="L1045" s="36">
        <v>7490.0</v>
      </c>
      <c r="M1045" s="36"/>
      <c r="N1045" s="44">
        <v>24300.0</v>
      </c>
      <c r="O1045" s="35">
        <f>IFERROR(__xludf.DUMMYFUNCTION("IFERROR(
  VLOOKUP(C1045,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C1045
    ), 
    7, FALSE
  ), 
  """"
)
"),31800.0)</f>
        <v>31800</v>
      </c>
      <c r="P1045" s="35">
        <f>IFERROR(__xludf.DUMMYFUNCTION("IF(AND(Q1045="""", R1045=""""),
  """",
  IF(OR(ISBLANK(Q1045), ISBLANK(O1045)),
    """",
    IF(VALUE(SUBSTITUTE(INDEX(SPLIT(IF(ISBLANK(R1045), Q1045, R1045), "",""), 0, 1), "" Km"", """")) - O1045 = 0,
      """",
      VALUE(SUBSTITUTE(INDEX(SPLIT(IF("&amp;"ISBLANK(R1045), Q1045, R1045), "",""), 0, 1), "" Km"", """")) - O1045
    )
  )
)"),-7500.0)</f>
        <v>-7500</v>
      </c>
      <c r="Q1045" s="36" t="str">
        <f t="shared" si="4"/>
        <v>24 300 Km, 27.02.2025</v>
      </c>
      <c r="R1045" s="33"/>
      <c r="S1045" s="40">
        <v>3000.0</v>
      </c>
      <c r="T1045" s="25">
        <v>1.0</v>
      </c>
      <c r="U1045" s="25" t="s">
        <v>1812</v>
      </c>
      <c r="V1045" s="37"/>
      <c r="W1045" s="37" t="str">
        <f t="shared" si="46"/>
        <v>Завершена</v>
      </c>
      <c r="X1045" s="25" t="str">
        <f>IFERROR(__xludf.DUMMYFUNCTION("IF(C1045 = """", """", IF(REGEXMATCH(C1045, ""PCX|NMAX|ADV 150|CLICK""), ""скутер"", ""мото""))"),"скутер")</f>
        <v>скутер</v>
      </c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</row>
    <row r="1046" hidden="1">
      <c r="A1046" s="13" t="s">
        <v>24</v>
      </c>
      <c r="B1046" s="13" t="s">
        <v>25</v>
      </c>
      <c r="C1046" s="14" t="s">
        <v>64</v>
      </c>
      <c r="D1046" s="14" t="s">
        <v>870</v>
      </c>
      <c r="E1046" s="48">
        <v>45715.0</v>
      </c>
      <c r="F1046" s="38">
        <v>45745.5</v>
      </c>
      <c r="G1046" s="17" t="str">
        <f t="shared" si="61"/>
        <v>30 Д</v>
      </c>
      <c r="H1046" s="18">
        <f t="shared" si="62"/>
        <v>433.3333333</v>
      </c>
      <c r="I1046" s="19" t="str">
        <f t="shared" si="39"/>
        <v/>
      </c>
      <c r="J1046" s="20" t="str">
        <f t="shared" si="25"/>
        <v/>
      </c>
      <c r="K1046" s="23">
        <v>13000.0</v>
      </c>
      <c r="L1046" s="23">
        <v>13000.0</v>
      </c>
      <c r="M1046" s="23"/>
      <c r="N1046" s="49">
        <v>28327.0</v>
      </c>
      <c r="O1046" s="22">
        <f>IFERROR(__xludf.DUMMYFUNCTION("IFERROR(
  VLOOKUP(C1046,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C1046
    ), 
    7, FALSE
  ), 
  """"
)
"),32600.0)</f>
        <v>32600</v>
      </c>
      <c r="P1046" s="22">
        <f>IFERROR(__xludf.DUMMYFUNCTION("IF(AND(Q1046="""", R1046=""""),
  """",
  IF(OR(ISBLANK(Q1046), ISBLANK(O1046)),
    """",
    IF(VALUE(SUBSTITUTE(INDEX(SPLIT(IF(ISBLANK(R1046), Q1046, R1046), "",""), 0, 1), "" Km"", """")) - O1046 = 0,
      """",
      VALUE(SUBSTITUTE(INDEX(SPLIT(IF("&amp;"ISBLANK(R1046), Q1046, R1046), "",""), 0, 1), "" Km"", """")) - O1046
    )
  )
)"),-4273.0)</f>
        <v>-4273</v>
      </c>
      <c r="Q1046" s="23" t="str">
        <f t="shared" si="4"/>
        <v>28 327 Km, 27.02.2025</v>
      </c>
      <c r="R1046" s="20"/>
      <c r="S1046" s="41">
        <v>5000.0</v>
      </c>
      <c r="T1046" s="13">
        <v>1.0</v>
      </c>
      <c r="U1046" s="13" t="s">
        <v>1812</v>
      </c>
      <c r="V1046" s="24"/>
      <c r="W1046" s="24" t="str">
        <f t="shared" si="46"/>
        <v>Завершена</v>
      </c>
      <c r="X1046" s="13" t="str">
        <f>IFERROR(__xludf.DUMMYFUNCTION("IF(C1046 = """", """", IF(REGEXMATCH(C1046, ""PCX|NMAX|ADV 150|CLICK""), ""скутер"", ""мото""))"),"мото")</f>
        <v>мото</v>
      </c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</row>
    <row r="1047" hidden="1">
      <c r="A1047" s="25" t="s">
        <v>24</v>
      </c>
      <c r="B1047" s="25" t="s">
        <v>25</v>
      </c>
      <c r="C1047" s="27" t="s">
        <v>26</v>
      </c>
      <c r="D1047" s="27" t="s">
        <v>1211</v>
      </c>
      <c r="E1047" s="43">
        <v>45716.0</v>
      </c>
      <c r="F1047" s="39">
        <v>45725.541666666664</v>
      </c>
      <c r="G1047" s="30" t="str">
        <f t="shared" si="61"/>
        <v>9 Д</v>
      </c>
      <c r="H1047" s="31">
        <f t="shared" si="62"/>
        <v>322</v>
      </c>
      <c r="I1047" s="32" t="str">
        <f t="shared" si="39"/>
        <v/>
      </c>
      <c r="J1047" s="33" t="str">
        <f t="shared" si="25"/>
        <v/>
      </c>
      <c r="K1047" s="36">
        <v>2898.0</v>
      </c>
      <c r="L1047" s="33"/>
      <c r="M1047" s="36">
        <v>322.0</v>
      </c>
      <c r="N1047" s="44">
        <v>26490.0</v>
      </c>
      <c r="O1047" s="35" t="str">
        <f>IFERROR(__xludf.DUMMYFUNCTION("IFERROR(
  VLOOKUP(C1047,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C1047
    ), 
    7, FALSE
  ), 
  """"
)
"),"")</f>
        <v/>
      </c>
      <c r="P1047" s="35">
        <f>IFERROR(__xludf.DUMMYFUNCTION("IF(AND(Q1047="""", R1047=""""),
  """",
  IF(OR(ISBLANK(Q1047), ISBLANK(O1047)),
    """",
    IF(VALUE(SUBSTITUTE(INDEX(SPLIT(IF(ISBLANK(R1047), Q1047, R1047), "",""), 0, 1), "" Km"", """")) - O1047 = 0,
      """",
      VALUE(SUBSTITUTE(INDEX(SPLIT(IF("&amp;"ISBLANK(R1047), Q1047, R1047), "",""), 0, 1), "" Km"", """")) - O1047
    )
  )
)"),26490.0)</f>
        <v>26490</v>
      </c>
      <c r="Q1047" s="36" t="str">
        <f t="shared" si="4"/>
        <v>26 490 Km, 28.02.2025</v>
      </c>
      <c r="R1047" s="33"/>
      <c r="S1047" s="40">
        <v>3000.0</v>
      </c>
      <c r="T1047" s="25">
        <v>2.0</v>
      </c>
      <c r="U1047" s="25" t="s">
        <v>1813</v>
      </c>
      <c r="V1047" s="37"/>
      <c r="W1047" s="37" t="str">
        <f t="shared" si="46"/>
        <v>Завершена</v>
      </c>
      <c r="X1047" s="25" t="str">
        <f>IFERROR(__xludf.DUMMYFUNCTION("IF(C1047 = """", """", IF(REGEXMATCH(C1047, ""PCX|NMAX|ADV 150|CLICK""), ""скутер"", ""мото""))"),"скутер")</f>
        <v>скутер</v>
      </c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</row>
    <row r="1048" hidden="1">
      <c r="A1048" s="13" t="s">
        <v>24</v>
      </c>
      <c r="B1048" s="13" t="s">
        <v>25</v>
      </c>
      <c r="C1048" s="14" t="s">
        <v>102</v>
      </c>
      <c r="D1048" s="14" t="s">
        <v>1623</v>
      </c>
      <c r="E1048" s="48">
        <v>45716.0</v>
      </c>
      <c r="F1048" s="38">
        <v>45719.5</v>
      </c>
      <c r="G1048" s="17" t="str">
        <f t="shared" si="61"/>
        <v>3 Д</v>
      </c>
      <c r="H1048" s="18">
        <f t="shared" si="62"/>
        <v>1798</v>
      </c>
      <c r="I1048" s="19" t="str">
        <f t="shared" si="39"/>
        <v/>
      </c>
      <c r="J1048" s="20" t="str">
        <f t="shared" si="25"/>
        <v/>
      </c>
      <c r="K1048" s="23">
        <v>5394.0</v>
      </c>
      <c r="L1048" s="20"/>
      <c r="M1048" s="23">
        <v>1798.0</v>
      </c>
      <c r="N1048" s="21"/>
      <c r="O1048" s="22">
        <f>IFERROR(__xludf.DUMMYFUNCTION("IFERROR(
  VLOOKUP(C1048,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C1048
    ), 
    7, FALSE
  ), 
  """"
)
"),63700.0)</f>
        <v>63700</v>
      </c>
      <c r="P1048" s="22">
        <f>IFERROR(__xludf.DUMMYFUNCTION("IF(AND(Q1048="""", R1048=""""),
  """",
  IF(OR(ISBLANK(Q1048), ISBLANK(O1048)),
    """",
    IF(VALUE(SUBSTITUTE(INDEX(SPLIT(IF(ISBLANK(R1048), Q1048, R1048), "",""), 0, 1), "" Km"", """")) - O1048 = 0,
      """",
      VALUE(SUBSTITUTE(INDEX(SPLIT(IF("&amp;"ISBLANK(R1048), Q1048, R1048), "",""), 0, 1), "" Km"", """")) - O1048
    )
  )
)"),-63700.0)</f>
        <v>-63700</v>
      </c>
      <c r="Q1048" s="23" t="str">
        <f t="shared" si="4"/>
        <v>0 Km, 28.02.2025</v>
      </c>
      <c r="R1048" s="20"/>
      <c r="S1048" s="41" t="s">
        <v>600</v>
      </c>
      <c r="T1048" s="13">
        <v>3.0</v>
      </c>
      <c r="U1048" s="13" t="s">
        <v>1814</v>
      </c>
      <c r="V1048" s="24"/>
      <c r="W1048" s="24" t="str">
        <f t="shared" si="46"/>
        <v>Завершена</v>
      </c>
      <c r="X1048" s="13" t="str">
        <f>IFERROR(__xludf.DUMMYFUNCTION("IF(C1048 = """", """", IF(REGEXMATCH(C1048, ""PCX|NMAX|ADV 150|CLICK""), ""скутер"", ""мото""))"),"мото")</f>
        <v>мото</v>
      </c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</row>
    <row r="1049" hidden="1">
      <c r="A1049" s="25" t="s">
        <v>24</v>
      </c>
      <c r="B1049" s="25" t="s">
        <v>25</v>
      </c>
      <c r="C1049" s="27" t="s">
        <v>1512</v>
      </c>
      <c r="D1049" s="27" t="s">
        <v>1815</v>
      </c>
      <c r="E1049" s="43">
        <v>45716.0</v>
      </c>
      <c r="F1049" s="39">
        <v>45719.5</v>
      </c>
      <c r="G1049" s="30" t="str">
        <f t="shared" si="61"/>
        <v>3 Д</v>
      </c>
      <c r="H1049" s="31">
        <f t="shared" si="62"/>
        <v>2298</v>
      </c>
      <c r="I1049" s="32" t="str">
        <f t="shared" si="39"/>
        <v/>
      </c>
      <c r="J1049" s="33" t="str">
        <f t="shared" si="25"/>
        <v/>
      </c>
      <c r="K1049" s="36">
        <v>6894.0</v>
      </c>
      <c r="L1049" s="33"/>
      <c r="M1049" s="36">
        <v>2298.0</v>
      </c>
      <c r="N1049" s="44">
        <v>8500.0</v>
      </c>
      <c r="O1049" s="35" t="str">
        <f>IFERROR(__xludf.DUMMYFUNCTION("IFERROR(
  VLOOKUP(C1049,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C1049
    ), 
    7, FALSE
  ), 
  """"
)
"),"")</f>
        <v/>
      </c>
      <c r="P1049" s="35">
        <f>IFERROR(__xludf.DUMMYFUNCTION("IF(AND(Q1049="""", R1049=""""),
  """",
  IF(OR(ISBLANK(Q1049), ISBLANK(O1049)),
    """",
    IF(VALUE(SUBSTITUTE(INDEX(SPLIT(IF(ISBLANK(R1049), Q1049, R1049), "",""), 0, 1), "" Km"", """")) - O1049 = 0,
      """",
      VALUE(SUBSTITUTE(INDEX(SPLIT(IF("&amp;"ISBLANK(R1049), Q1049, R1049), "",""), 0, 1), "" Km"", """")) - O1049
    )
  )
)"),8500.0)</f>
        <v>8500</v>
      </c>
      <c r="Q1049" s="36" t="str">
        <f t="shared" si="4"/>
        <v>8 500 Km, 28.02.2025</v>
      </c>
      <c r="R1049" s="33"/>
      <c r="S1049" s="40" t="s">
        <v>600</v>
      </c>
      <c r="T1049" s="25">
        <v>0.0</v>
      </c>
      <c r="U1049" s="25" t="s">
        <v>1814</v>
      </c>
      <c r="V1049" s="37"/>
      <c r="W1049" s="37" t="str">
        <f t="shared" si="46"/>
        <v>Завершена</v>
      </c>
      <c r="X1049" s="25" t="str">
        <f>IFERROR(__xludf.DUMMYFUNCTION("IF(C1049 = """", """", IF(REGEXMATCH(C1049, ""PCX|NMAX|ADV 150|CLICK""), ""скутер"", ""мото""))"),"мото")</f>
        <v>мото</v>
      </c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</row>
    <row r="1050" hidden="1">
      <c r="A1050" s="13" t="s">
        <v>24</v>
      </c>
      <c r="B1050" s="13" t="s">
        <v>25</v>
      </c>
      <c r="C1050" s="14" t="s">
        <v>967</v>
      </c>
      <c r="D1050" s="14" t="s">
        <v>1816</v>
      </c>
      <c r="E1050" s="48">
        <v>45718.0</v>
      </c>
      <c r="F1050" s="38">
        <v>45726.583333333336</v>
      </c>
      <c r="G1050" s="17" t="str">
        <f t="shared" si="61"/>
        <v>8 Д</v>
      </c>
      <c r="H1050" s="18">
        <f t="shared" si="62"/>
        <v>2479</v>
      </c>
      <c r="I1050" s="19" t="str">
        <f t="shared" si="39"/>
        <v/>
      </c>
      <c r="J1050" s="20" t="str">
        <f t="shared" si="25"/>
        <v/>
      </c>
      <c r="K1050" s="23">
        <v>19832.0</v>
      </c>
      <c r="L1050" s="20"/>
      <c r="M1050" s="23">
        <v>2479.0</v>
      </c>
      <c r="N1050" s="49">
        <v>14000.0</v>
      </c>
      <c r="O1050" s="22">
        <f>IFERROR(__xludf.DUMMYFUNCTION("IFERROR(
  VLOOKUP(C1050,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C1050
    ), 
    7, FALSE
  ), 
  """"
)
"),24800.0)</f>
        <v>24800</v>
      </c>
      <c r="P1050" s="22">
        <f>IFERROR(__xludf.DUMMYFUNCTION("IF(AND(Q1050="""", R1050=""""),
  """",
  IF(OR(ISBLANK(Q1050), ISBLANK(O1050)),
    """",
    IF(VALUE(SUBSTITUTE(INDEX(SPLIT(IF(ISBLANK(R1050), Q1050, R1050), "",""), 0, 1), "" Km"", """")) - O1050 = 0,
      """",
      VALUE(SUBSTITUTE(INDEX(SPLIT(IF("&amp;"ISBLANK(R1050), Q1050, R1050), "",""), 0, 1), "" Km"", """")) - O1050
    )
  )
)"),-10800.0)</f>
        <v>-10800</v>
      </c>
      <c r="Q1050" s="23" t="str">
        <f t="shared" si="4"/>
        <v>14 000 Km, 02.03.2025</v>
      </c>
      <c r="R1050" s="20"/>
      <c r="S1050" s="41">
        <v>1000.0</v>
      </c>
      <c r="T1050" s="13">
        <v>2.0</v>
      </c>
      <c r="U1050" s="66" t="s">
        <v>1817</v>
      </c>
      <c r="V1050" s="24"/>
      <c r="W1050" s="24" t="str">
        <f t="shared" si="46"/>
        <v>Завершена</v>
      </c>
      <c r="X1050" s="13" t="str">
        <f>IFERROR(__xludf.DUMMYFUNCTION("IF(C1050 = """", """", IF(REGEXMATCH(C1050, ""PCX|NMAX|ADV 150|CLICK""), ""скутер"", ""мото""))"),"мото")</f>
        <v>мото</v>
      </c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</row>
    <row r="1051" hidden="1">
      <c r="A1051" s="25" t="s">
        <v>24</v>
      </c>
      <c r="B1051" s="25" t="s">
        <v>25</v>
      </c>
      <c r="C1051" s="27" t="s">
        <v>928</v>
      </c>
      <c r="D1051" s="27" t="s">
        <v>1818</v>
      </c>
      <c r="E1051" s="43">
        <v>45719.0</v>
      </c>
      <c r="F1051" s="39">
        <v>45731.541666666664</v>
      </c>
      <c r="G1051" s="30" t="str">
        <f t="shared" si="61"/>
        <v>12 Д</v>
      </c>
      <c r="H1051" s="31">
        <f t="shared" si="62"/>
        <v>825</v>
      </c>
      <c r="I1051" s="32" t="str">
        <f t="shared" si="39"/>
        <v/>
      </c>
      <c r="J1051" s="33" t="str">
        <f t="shared" si="25"/>
        <v/>
      </c>
      <c r="K1051" s="36">
        <v>9900.0</v>
      </c>
      <c r="L1051" s="33"/>
      <c r="M1051" s="36">
        <v>825.0</v>
      </c>
      <c r="N1051" s="44">
        <v>5500.0</v>
      </c>
      <c r="O1051" s="35">
        <f>IFERROR(__xludf.DUMMYFUNCTION("IFERROR(
  VLOOKUP(C1051,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C1051
    ), 
    7, FALSE
  ), 
  """"
)
"),11000.0)</f>
        <v>11000</v>
      </c>
      <c r="P1051" s="35">
        <f>IFERROR(__xludf.DUMMYFUNCTION("IF(AND(Q1051="""", R1051=""""),
  """",
  IF(OR(ISBLANK(Q1051), ISBLANK(O1051)),
    """",
    IF(VALUE(SUBSTITUTE(INDEX(SPLIT(IF(ISBLANK(R1051), Q1051, R1051), "",""), 0, 1), "" Km"", """")) - O1051 = 0,
      """",
      VALUE(SUBSTITUTE(INDEX(SPLIT(IF("&amp;"ISBLANK(R1051), Q1051, R1051), "",""), 0, 1), "" Km"", """")) - O1051
    )
  )
)"),-5500.0)</f>
        <v>-5500</v>
      </c>
      <c r="Q1051" s="36" t="str">
        <f t="shared" si="4"/>
        <v>5 500 Km, 03.03.2025</v>
      </c>
      <c r="R1051" s="33"/>
      <c r="S1051" s="40" t="s">
        <v>430</v>
      </c>
      <c r="T1051" s="25">
        <v>2.0</v>
      </c>
      <c r="U1051" s="25" t="s">
        <v>1819</v>
      </c>
      <c r="V1051" s="37"/>
      <c r="W1051" s="37" t="str">
        <f t="shared" si="46"/>
        <v>Завершена</v>
      </c>
      <c r="X1051" s="25" t="str">
        <f>IFERROR(__xludf.DUMMYFUNCTION("IF(C1051 = """", """", IF(REGEXMATCH(C1051, ""PCX|NMAX|ADV 150|CLICK""), ""скутер"", ""мото""))"),"мото")</f>
        <v>мото</v>
      </c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</row>
    <row r="1052" hidden="1">
      <c r="A1052" s="13" t="s">
        <v>1771</v>
      </c>
      <c r="B1052" s="13" t="s">
        <v>25</v>
      </c>
      <c r="C1052" s="14" t="s">
        <v>971</v>
      </c>
      <c r="D1052" s="14" t="s">
        <v>1820</v>
      </c>
      <c r="E1052" s="48">
        <v>45719.0</v>
      </c>
      <c r="F1052" s="38">
        <v>45731.541666666664</v>
      </c>
      <c r="G1052" s="17" t="str">
        <f t="shared" si="61"/>
        <v>12 Д</v>
      </c>
      <c r="H1052" s="18">
        <f t="shared" si="62"/>
        <v>825</v>
      </c>
      <c r="I1052" s="19" t="str">
        <f t="shared" si="39"/>
        <v/>
      </c>
      <c r="J1052" s="20" t="str">
        <f t="shared" si="25"/>
        <v/>
      </c>
      <c r="K1052" s="23">
        <v>9900.0</v>
      </c>
      <c r="L1052" s="20"/>
      <c r="M1052" s="23">
        <v>825.0</v>
      </c>
      <c r="N1052" s="49">
        <v>11800.0</v>
      </c>
      <c r="O1052" s="22">
        <f>IFERROR(__xludf.DUMMYFUNCTION("IFERROR(
  VLOOKUP(C1052,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C1052
    ), 
    7, FALSE
  ), 
  """"
)
"),18300.0)</f>
        <v>18300</v>
      </c>
      <c r="P1052" s="22">
        <f>IFERROR(__xludf.DUMMYFUNCTION("IF(AND(Q1052="""", R1052=""""),
  """",
  IF(OR(ISBLANK(Q1052), ISBLANK(O1052)),
    """",
    IF(VALUE(SUBSTITUTE(INDEX(SPLIT(IF(ISBLANK(R1052), Q1052, R1052), "",""), 0, 1), "" Km"", """")) - O1052 = 0,
      """",
      VALUE(SUBSTITUTE(INDEX(SPLIT(IF("&amp;"ISBLANK(R1052), Q1052, R1052), "",""), 0, 1), "" Km"", """")) - O1052
    )
  )
)"),-6500.0)</f>
        <v>-6500</v>
      </c>
      <c r="Q1052" s="23" t="str">
        <f t="shared" si="4"/>
        <v>11 800 Km, 03.03.2025</v>
      </c>
      <c r="R1052" s="20"/>
      <c r="S1052" s="41" t="s">
        <v>430</v>
      </c>
      <c r="T1052" s="13">
        <v>1.0</v>
      </c>
      <c r="U1052" s="13" t="s">
        <v>1821</v>
      </c>
      <c r="V1052" s="24"/>
      <c r="W1052" s="24" t="str">
        <f t="shared" si="46"/>
        <v>Завершена</v>
      </c>
      <c r="X1052" s="13" t="str">
        <f>IFERROR(__xludf.DUMMYFUNCTION("IF(C1052 = """", """", IF(REGEXMATCH(C1052, ""PCX|NMAX|ADV 150|CLICK""), ""скутер"", ""мото""))"),"мото")</f>
        <v>мото</v>
      </c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</row>
    <row r="1053" hidden="1">
      <c r="A1053" s="25" t="s">
        <v>24</v>
      </c>
      <c r="B1053" s="25" t="s">
        <v>25</v>
      </c>
      <c r="C1053" s="60"/>
      <c r="D1053" s="27" t="s">
        <v>1822</v>
      </c>
      <c r="E1053" s="43">
        <v>45719.0</v>
      </c>
      <c r="F1053" s="39">
        <v>45749.75</v>
      </c>
      <c r="G1053" s="30" t="str">
        <f t="shared" si="61"/>
        <v>30 Д</v>
      </c>
      <c r="H1053" s="31">
        <f t="shared" si="62"/>
        <v>530</v>
      </c>
      <c r="I1053" s="32" t="str">
        <f t="shared" si="39"/>
        <v/>
      </c>
      <c r="J1053" s="33" t="str">
        <f t="shared" si="25"/>
        <v/>
      </c>
      <c r="K1053" s="36" t="s">
        <v>1823</v>
      </c>
      <c r="L1053" s="36">
        <v>15900.0</v>
      </c>
      <c r="M1053" s="33"/>
      <c r="N1053" s="44">
        <v>16745.0</v>
      </c>
      <c r="O1053" s="120" t="str">
        <f>IFERROR(__xludf.DUMMYFUNCTION("IFERROR(
  VLOOKUP(C1053,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C1053
    ), 
    7, FALSE
  ), 
  """"
)
"),"")</f>
        <v/>
      </c>
      <c r="P1053" s="35">
        <f>IFERROR(__xludf.DUMMYFUNCTION("IF(AND(Q1053="""", R1053=""""),
  """",
  IF(OR(ISBLANK(Q1053), ISBLANK(O1053)),
    """",
    IF(VALUE(SUBSTITUTE(INDEX(SPLIT(IF(ISBLANK(R1053), Q1053, R1053), "",""), 0, 1), "" Km"", """")) - O1053 = 0,
      """",
      VALUE(SUBSTITUTE(INDEX(SPLIT(IF("&amp;"ISBLANK(R1053), Q1053, R1053), "",""), 0, 1), "" Km"", """")) - O1053
    )
  )
)"),16745.0)</f>
        <v>16745</v>
      </c>
      <c r="Q1053" s="36" t="str">
        <f t="shared" si="4"/>
        <v>16 745 Km, 03.03.2025</v>
      </c>
      <c r="R1053" s="33"/>
      <c r="S1053" s="40">
        <v>15000.0</v>
      </c>
      <c r="T1053" s="25">
        <v>0.0</v>
      </c>
      <c r="U1053" s="25" t="s">
        <v>1824</v>
      </c>
      <c r="V1053" s="37"/>
      <c r="W1053" s="37" t="str">
        <f t="shared" si="46"/>
        <v>Завершена</v>
      </c>
      <c r="X1053" s="25" t="str">
        <f>IFERROR(__xludf.DUMMYFUNCTION("IF(C1053 = """", """", IF(REGEXMATCH(C1053, ""PCX|NMAX|ADV 150|CLICK""), ""скутер"", ""мото""))"),"")</f>
        <v/>
      </c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</row>
    <row r="1054" hidden="1">
      <c r="A1054" s="13" t="s">
        <v>24</v>
      </c>
      <c r="B1054" s="13" t="s">
        <v>25</v>
      </c>
      <c r="C1054" s="14" t="s">
        <v>960</v>
      </c>
      <c r="D1054" s="14" t="s">
        <v>1825</v>
      </c>
      <c r="E1054" s="48">
        <v>45720.0</v>
      </c>
      <c r="F1054" s="38">
        <v>45732.625</v>
      </c>
      <c r="G1054" s="17" t="str">
        <f t="shared" si="61"/>
        <v>12 Д</v>
      </c>
      <c r="H1054" s="18">
        <f t="shared" si="62"/>
        <v>825</v>
      </c>
      <c r="I1054" s="19" t="str">
        <f t="shared" si="39"/>
        <v/>
      </c>
      <c r="J1054" s="20" t="str">
        <f t="shared" si="25"/>
        <v/>
      </c>
      <c r="K1054" s="23">
        <v>10400.0</v>
      </c>
      <c r="L1054" s="20"/>
      <c r="M1054" s="23">
        <v>825.0</v>
      </c>
      <c r="N1054" s="49">
        <v>12500.0</v>
      </c>
      <c r="O1054" s="22">
        <f>IFERROR(__xludf.DUMMYFUNCTION("IFERROR(
  VLOOKUP(C1054,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C1054
    ), 
    7, FALSE
  ), 
  """"
)
"),20316.0)</f>
        <v>20316</v>
      </c>
      <c r="P1054" s="22">
        <f>IFERROR(__xludf.DUMMYFUNCTION("IF(AND(Q1054="""", R1054=""""),
  """",
  IF(OR(ISBLANK(Q1054), ISBLANK(O1054)),
    """",
    IF(VALUE(SUBSTITUTE(INDEX(SPLIT(IF(ISBLANK(R1054), Q1054, R1054), "",""), 0, 1), "" Km"", """")) - O1054 = 0,
      """",
      VALUE(SUBSTITUTE(INDEX(SPLIT(IF("&amp;"ISBLANK(R1054), Q1054, R1054), "",""), 0, 1), "" Km"", """")) - O1054
    )
  )
)"),-7816.0)</f>
        <v>-7816</v>
      </c>
      <c r="Q1054" s="23" t="str">
        <f t="shared" si="4"/>
        <v>12 500 Km, 04.03.2025</v>
      </c>
      <c r="R1054" s="20"/>
      <c r="S1054" s="41">
        <v>7000.0</v>
      </c>
      <c r="T1054" s="13">
        <v>2.0</v>
      </c>
      <c r="U1054" s="13" t="s">
        <v>1826</v>
      </c>
      <c r="V1054" s="24"/>
      <c r="W1054" s="24" t="str">
        <f t="shared" si="46"/>
        <v>Завершена</v>
      </c>
      <c r="X1054" s="13" t="str">
        <f>IFERROR(__xludf.DUMMYFUNCTION("IF(C1054 = """", """", IF(REGEXMATCH(C1054, ""PCX|NMAX|ADV 150|CLICK""), ""скутер"", ""мото""))"),"мото")</f>
        <v>мото</v>
      </c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</row>
    <row r="1055" hidden="1">
      <c r="A1055" s="25" t="s">
        <v>24</v>
      </c>
      <c r="B1055" s="25" t="s">
        <v>25</v>
      </c>
      <c r="C1055" s="27" t="s">
        <v>185</v>
      </c>
      <c r="D1055" s="27" t="s">
        <v>1827</v>
      </c>
      <c r="E1055" s="43">
        <v>45721.0</v>
      </c>
      <c r="F1055" s="39">
        <v>45763.625</v>
      </c>
      <c r="G1055" s="30" t="str">
        <f t="shared" si="61"/>
        <v>42 Д</v>
      </c>
      <c r="H1055" s="31">
        <f t="shared" si="62"/>
        <v>380</v>
      </c>
      <c r="I1055" s="32" t="str">
        <f t="shared" si="39"/>
        <v/>
      </c>
      <c r="J1055" s="33" t="str">
        <f t="shared" si="25"/>
        <v/>
      </c>
      <c r="K1055" s="36">
        <f>5300+5300+5000</f>
        <v>15600</v>
      </c>
      <c r="L1055" s="33"/>
      <c r="M1055" s="36">
        <v>380.0</v>
      </c>
      <c r="N1055" s="44">
        <v>34500.0</v>
      </c>
      <c r="O1055" s="35" t="str">
        <f>IFERROR(__xludf.DUMMYFUNCTION("IFERROR(
  VLOOKUP(C1055,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C1055
    ), 
    7, FALSE
  ), 
  """"
)
"),"")</f>
        <v/>
      </c>
      <c r="P1055" s="35">
        <f>IFERROR(__xludf.DUMMYFUNCTION("IF(AND(Q1055="""", R1055=""""),
  """",
  IF(OR(ISBLANK(Q1055), ISBLANK(O1055)),
    """",
    IF(VALUE(SUBSTITUTE(INDEX(SPLIT(IF(ISBLANK(R1055), Q1055, R1055), "",""), 0, 1), "" Km"", """")) - O1055 = 0,
      """",
      VALUE(SUBSTITUTE(INDEX(SPLIT(IF("&amp;"ISBLANK(R1055), Q1055, R1055), "",""), 0, 1), "" Km"", """")) - O1055
    )
  )
)"),34500.0)</f>
        <v>34500</v>
      </c>
      <c r="Q1055" s="36" t="str">
        <f t="shared" si="4"/>
        <v>34 500 Km, 05.03.2025</v>
      </c>
      <c r="R1055" s="33"/>
      <c r="S1055" s="40">
        <v>3000.0</v>
      </c>
      <c r="T1055" s="25">
        <v>1.0</v>
      </c>
      <c r="U1055" s="25" t="s">
        <v>1828</v>
      </c>
      <c r="V1055" s="37"/>
      <c r="W1055" s="37" t="str">
        <f t="shared" si="46"/>
        <v>Завершена</v>
      </c>
      <c r="X1055" s="25" t="str">
        <f>IFERROR(__xludf.DUMMYFUNCTION("IF(C1055 = """", """", IF(REGEXMATCH(C1055, ""PCX|NMAX|ADV 150|CLICK""), ""скутер"", ""мото""))"),"скутер")</f>
        <v>скутер</v>
      </c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</row>
    <row r="1056" hidden="1">
      <c r="A1056" s="13" t="s">
        <v>24</v>
      </c>
      <c r="B1056" s="13" t="s">
        <v>25</v>
      </c>
      <c r="C1056" s="14" t="s">
        <v>98</v>
      </c>
      <c r="D1056" s="14" t="s">
        <v>1829</v>
      </c>
      <c r="E1056" s="48">
        <v>45722.0</v>
      </c>
      <c r="F1056" s="38">
        <v>45731.791666666664</v>
      </c>
      <c r="G1056" s="17" t="str">
        <f t="shared" si="61"/>
        <v>9 Д</v>
      </c>
      <c r="H1056" s="18">
        <f t="shared" si="62"/>
        <v>393</v>
      </c>
      <c r="I1056" s="19" t="str">
        <f t="shared" si="39"/>
        <v/>
      </c>
      <c r="J1056" s="20" t="str">
        <f t="shared" si="25"/>
        <v/>
      </c>
      <c r="K1056" s="23">
        <v>3537.0</v>
      </c>
      <c r="L1056" s="20"/>
      <c r="M1056" s="23">
        <v>393.0</v>
      </c>
      <c r="N1056" s="49">
        <v>29000.0</v>
      </c>
      <c r="O1056" s="22">
        <f>IFERROR(__xludf.DUMMYFUNCTION("IFERROR(
  VLOOKUP(C1056,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C1056
    ), 
    7, FALSE
  ), 
  """"
)
"),32200.0)</f>
        <v>32200</v>
      </c>
      <c r="P1056" s="22">
        <f>IFERROR(__xludf.DUMMYFUNCTION("IF(AND(Q1056="""", R1056=""""),
  """",
  IF(OR(ISBLANK(Q1056), ISBLANK(O1056)),
    """",
    IF(VALUE(SUBSTITUTE(INDEX(SPLIT(IF(ISBLANK(R1056), Q1056, R1056), "",""), 0, 1), "" Km"", """")) - O1056 = 0,
      """",
      VALUE(SUBSTITUTE(INDEX(SPLIT(IF("&amp;"ISBLANK(R1056), Q1056, R1056), "",""), 0, 1), "" Km"", """")) - O1056
    )
  )
)"),-3200.0)</f>
        <v>-3200</v>
      </c>
      <c r="Q1056" s="23" t="str">
        <f t="shared" si="4"/>
        <v>29 000 Km, 06.03.2025</v>
      </c>
      <c r="R1056" s="20"/>
      <c r="S1056" s="41">
        <v>3000.0</v>
      </c>
      <c r="T1056" s="13">
        <v>2.0</v>
      </c>
      <c r="U1056" s="13" t="s">
        <v>1830</v>
      </c>
      <c r="V1056" s="24"/>
      <c r="W1056" s="24" t="str">
        <f t="shared" si="46"/>
        <v>Завершена</v>
      </c>
      <c r="X1056" s="13" t="str">
        <f>IFERROR(__xludf.DUMMYFUNCTION("IF(C1056 = """", """", IF(REGEXMATCH(C1056, ""PCX|NMAX|ADV 150|CLICK""), ""скутер"", ""мото""))"),"скутер")</f>
        <v>скутер</v>
      </c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</row>
    <row r="1057" hidden="1">
      <c r="A1057" s="25" t="s">
        <v>24</v>
      </c>
      <c r="B1057" s="25" t="s">
        <v>25</v>
      </c>
      <c r="C1057" s="27" t="s">
        <v>102</v>
      </c>
      <c r="D1057" s="27" t="s">
        <v>1831</v>
      </c>
      <c r="E1057" s="43">
        <v>45723.0</v>
      </c>
      <c r="F1057" s="39">
        <v>45724.708333333336</v>
      </c>
      <c r="G1057" s="30" t="str">
        <f t="shared" si="61"/>
        <v>1 Д</v>
      </c>
      <c r="H1057" s="31">
        <f t="shared" si="62"/>
        <v>1618</v>
      </c>
      <c r="I1057" s="32" t="str">
        <f t="shared" si="39"/>
        <v/>
      </c>
      <c r="J1057" s="33" t="str">
        <f t="shared" si="25"/>
        <v/>
      </c>
      <c r="K1057" s="36">
        <v>1618.0</v>
      </c>
      <c r="L1057" s="33"/>
      <c r="M1057" s="36">
        <v>1618.0</v>
      </c>
      <c r="N1057" s="44">
        <v>49000.0</v>
      </c>
      <c r="O1057" s="35">
        <f>IFERROR(__xludf.DUMMYFUNCTION("IFERROR(
  VLOOKUP(C1057,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C1057
    ), 
    7, FALSE
  ), 
  """"
)
"),63700.0)</f>
        <v>63700</v>
      </c>
      <c r="P1057" s="35">
        <f>IFERROR(__xludf.DUMMYFUNCTION("IF(AND(Q1057="""", R1057=""""),
  """",
  IF(OR(ISBLANK(Q1057), ISBLANK(O1057)),
    """",
    IF(VALUE(SUBSTITUTE(INDEX(SPLIT(IF(ISBLANK(R1057), Q1057, R1057), "",""), 0, 1), "" Km"", """")) - O1057 = 0,
      """",
      VALUE(SUBSTITUTE(INDEX(SPLIT(IF("&amp;"ISBLANK(R1057), Q1057, R1057), "",""), 0, 1), "" Km"", """")) - O1057
    )
  )
)"),-14700.0)</f>
        <v>-14700</v>
      </c>
      <c r="Q1057" s="36" t="str">
        <f t="shared" si="4"/>
        <v>49 000 Km, 07.03.2025</v>
      </c>
      <c r="R1057" s="33"/>
      <c r="S1057" s="40" t="s">
        <v>515</v>
      </c>
      <c r="T1057" s="25">
        <v>2.0</v>
      </c>
      <c r="U1057" s="25" t="s">
        <v>1832</v>
      </c>
      <c r="V1057" s="37"/>
      <c r="W1057" s="37" t="str">
        <f t="shared" si="46"/>
        <v>Завершена</v>
      </c>
      <c r="X1057" s="25" t="str">
        <f>IFERROR(__xludf.DUMMYFUNCTION("IF(C1057 = """", """", IF(REGEXMATCH(C1057, ""PCX|NMAX|ADV 150|CLICK""), ""скутер"", ""мото""))"),"мото")</f>
        <v>мото</v>
      </c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</row>
    <row r="1058" hidden="1">
      <c r="A1058" s="13" t="s">
        <v>24</v>
      </c>
      <c r="B1058" s="13" t="s">
        <v>25</v>
      </c>
      <c r="C1058" s="14" t="s">
        <v>202</v>
      </c>
      <c r="D1058" s="14" t="s">
        <v>1833</v>
      </c>
      <c r="E1058" s="48">
        <v>45723.0</v>
      </c>
      <c r="F1058" s="38">
        <v>45730.583333333336</v>
      </c>
      <c r="G1058" s="17" t="str">
        <f t="shared" si="61"/>
        <v>7 Д</v>
      </c>
      <c r="H1058" s="18">
        <f t="shared" si="62"/>
        <v>623</v>
      </c>
      <c r="I1058" s="19" t="str">
        <f t="shared" si="39"/>
        <v/>
      </c>
      <c r="J1058" s="20" t="str">
        <f t="shared" si="25"/>
        <v/>
      </c>
      <c r="K1058" s="23">
        <v>4361.0</v>
      </c>
      <c r="L1058" s="20"/>
      <c r="M1058" s="23">
        <v>623.0</v>
      </c>
      <c r="N1058" s="49">
        <v>24073.0</v>
      </c>
      <c r="O1058" s="22">
        <f>IFERROR(__xludf.DUMMYFUNCTION("IFERROR(
  VLOOKUP(C1058,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C1058
    ), 
    7, FALSE
  ), 
  """"
)
"),30225.0)</f>
        <v>30225</v>
      </c>
      <c r="P1058" s="22">
        <f>IFERROR(__xludf.DUMMYFUNCTION("IF(AND(Q1058="""", R1058=""""),
  """",
  IF(OR(ISBLANK(Q1058), ISBLANK(O1058)),
    """",
    IF(VALUE(SUBSTITUTE(INDEX(SPLIT(IF(ISBLANK(R1058), Q1058, R1058), "",""), 0, 1), "" Km"", """")) - O1058 = 0,
      """",
      VALUE(SUBSTITUTE(INDEX(SPLIT(IF("&amp;"ISBLANK(R1058), Q1058, R1058), "",""), 0, 1), "" Km"", """")) - O1058
    )
  )
)"),-6152.0)</f>
        <v>-6152</v>
      </c>
      <c r="Q1058" s="23" t="str">
        <f t="shared" si="4"/>
        <v>24 073 Km, 07.03.2025</v>
      </c>
      <c r="R1058" s="20"/>
      <c r="S1058" s="41">
        <v>5000.0</v>
      </c>
      <c r="T1058" s="13">
        <v>2.0</v>
      </c>
      <c r="U1058" s="13" t="s">
        <v>1834</v>
      </c>
      <c r="V1058" s="24"/>
      <c r="W1058" s="24" t="str">
        <f t="shared" si="46"/>
        <v>Завершена</v>
      </c>
      <c r="X1058" s="13" t="str">
        <f>IFERROR(__xludf.DUMMYFUNCTION("IF(C1058 = """", """", IF(REGEXMATCH(C1058, ""PCX|NMAX|ADV 150|CLICK""), ""скутер"", ""мото""))"),"мото")</f>
        <v>мото</v>
      </c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</row>
    <row r="1059" hidden="1">
      <c r="A1059" s="25" t="s">
        <v>24</v>
      </c>
      <c r="B1059" s="25" t="s">
        <v>25</v>
      </c>
      <c r="C1059" s="27" t="s">
        <v>1065</v>
      </c>
      <c r="D1059" s="27" t="s">
        <v>1835</v>
      </c>
      <c r="E1059" s="43">
        <v>45723.0</v>
      </c>
      <c r="F1059" s="39">
        <v>45730.708333333336</v>
      </c>
      <c r="G1059" s="30" t="str">
        <f t="shared" si="61"/>
        <v>7 Д</v>
      </c>
      <c r="H1059" s="31">
        <f t="shared" si="62"/>
        <v>714</v>
      </c>
      <c r="I1059" s="32" t="str">
        <f t="shared" si="39"/>
        <v/>
      </c>
      <c r="J1059" s="33" t="str">
        <f t="shared" si="25"/>
        <v/>
      </c>
      <c r="K1059" s="36">
        <v>4998.0</v>
      </c>
      <c r="L1059" s="33"/>
      <c r="M1059" s="36">
        <v>714.0</v>
      </c>
      <c r="N1059" s="44">
        <v>11400.0</v>
      </c>
      <c r="O1059" s="35">
        <f>IFERROR(__xludf.DUMMYFUNCTION("IFERROR(
  VLOOKUP(C1059,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C1059
    ), 
    7, FALSE
  ), 
  """"
)
"),19130.0)</f>
        <v>19130</v>
      </c>
      <c r="P1059" s="35">
        <f>IFERROR(__xludf.DUMMYFUNCTION("IF(AND(Q1059="""", R1059=""""),
  """",
  IF(OR(ISBLANK(Q1059), ISBLANK(O1059)),
    """",
    IF(VALUE(SUBSTITUTE(INDEX(SPLIT(IF(ISBLANK(R1059), Q1059, R1059), "",""), 0, 1), "" Km"", """")) - O1059 = 0,
      """",
      VALUE(SUBSTITUTE(INDEX(SPLIT(IF("&amp;"ISBLANK(R1059), Q1059, R1059), "",""), 0, 1), "" Km"", """")) - O1059
    )
  )
)"),-7730.0)</f>
        <v>-7730</v>
      </c>
      <c r="Q1059" s="36" t="str">
        <f t="shared" si="4"/>
        <v>11 400 Km, 07.03.2025</v>
      </c>
      <c r="R1059" s="33"/>
      <c r="S1059" s="40">
        <v>200.0</v>
      </c>
      <c r="T1059" s="25">
        <v>2.0</v>
      </c>
      <c r="U1059" s="25" t="s">
        <v>1836</v>
      </c>
      <c r="V1059" s="37"/>
      <c r="W1059" s="37" t="str">
        <f t="shared" si="46"/>
        <v>Завершена</v>
      </c>
      <c r="X1059" s="25" t="str">
        <f>IFERROR(__xludf.DUMMYFUNCTION("IF(C1059 = """", """", IF(REGEXMATCH(C1059, ""PCX|NMAX|ADV 150|CLICK""), ""скутер"", ""мото""))"),"мото")</f>
        <v>мото</v>
      </c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</row>
    <row r="1060" hidden="1">
      <c r="A1060" s="13" t="s">
        <v>24</v>
      </c>
      <c r="B1060" s="14" t="s">
        <v>25</v>
      </c>
      <c r="C1060" s="14" t="s">
        <v>923</v>
      </c>
      <c r="D1060" s="105" t="s">
        <v>1831</v>
      </c>
      <c r="E1060" s="48">
        <v>45724.0</v>
      </c>
      <c r="F1060" s="38">
        <v>45729.708333333336</v>
      </c>
      <c r="G1060" s="17" t="str">
        <f t="shared" si="61"/>
        <v>5 Д</v>
      </c>
      <c r="H1060" s="18">
        <f t="shared" si="62"/>
        <v>843</v>
      </c>
      <c r="I1060" s="19" t="str">
        <f t="shared" si="39"/>
        <v/>
      </c>
      <c r="J1060" s="20" t="str">
        <f t="shared" si="25"/>
        <v/>
      </c>
      <c r="K1060" s="23">
        <v>4218.0</v>
      </c>
      <c r="L1060" s="63"/>
      <c r="M1060" s="23">
        <v>843.0</v>
      </c>
      <c r="N1060" s="49">
        <v>15500.0</v>
      </c>
      <c r="O1060" s="22">
        <f>IFERROR(__xludf.DUMMYFUNCTION("IFERROR(
  VLOOKUP(C1060,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C1060
    ), 
    7, FALSE
  ), 
  """"
)
"),25378.0)</f>
        <v>25378</v>
      </c>
      <c r="P1060" s="22">
        <f>IFERROR(__xludf.DUMMYFUNCTION("IF(AND(Q1060="""", R1060=""""),
  """",
  IF(OR(ISBLANK(Q1060), ISBLANK(O1060)),
    """",
    IF(VALUE(SUBSTITUTE(INDEX(SPLIT(IF(ISBLANK(R1060), Q1060, R1060), "",""), 0, 1), "" Km"", """")) - O1060 = 0,
      """",
      VALUE(SUBSTITUTE(INDEX(SPLIT(IF("&amp;"ISBLANK(R1060), Q1060, R1060), "",""), 0, 1), "" Km"", """")) - O1060
    )
  )
)"),-9878.0)</f>
        <v>-9878</v>
      </c>
      <c r="Q1060" s="20" t="str">
        <f t="shared" si="4"/>
        <v>15 500 Km, 08.03.2025</v>
      </c>
      <c r="R1060" s="64"/>
      <c r="S1060" s="18" t="s">
        <v>515</v>
      </c>
      <c r="T1060" s="24">
        <v>2.0</v>
      </c>
      <c r="U1060" s="24" t="s">
        <v>1832</v>
      </c>
      <c r="V1060" s="73"/>
      <c r="W1060" s="24" t="str">
        <f t="shared" si="46"/>
        <v>Завершена</v>
      </c>
      <c r="X1060" s="42" t="str">
        <f>IFERROR(__xludf.DUMMYFUNCTION("IF(C1060 = """", """", IF(REGEXMATCH(C1060, ""PCX|NMAX|ADV 150|CLICK""), ""скутер"", ""мото""))"),"мото")</f>
        <v>мото</v>
      </c>
      <c r="Y1060" s="65"/>
      <c r="Z1060" s="65"/>
      <c r="AA1060" s="65"/>
      <c r="AB1060" s="65"/>
      <c r="AC1060" s="65"/>
      <c r="AD1060" s="65"/>
      <c r="AE1060" s="65"/>
      <c r="AF1060" s="65"/>
      <c r="AG1060" s="65"/>
      <c r="AH1060" s="65"/>
      <c r="AI1060" s="65"/>
      <c r="AJ1060" s="65"/>
      <c r="AK1060" s="65"/>
      <c r="AL1060" s="65"/>
      <c r="AM1060" s="65"/>
    </row>
    <row r="1061" hidden="1">
      <c r="A1061" s="25" t="s">
        <v>24</v>
      </c>
      <c r="B1061" s="25" t="s">
        <v>25</v>
      </c>
      <c r="C1061" s="27" t="s">
        <v>102</v>
      </c>
      <c r="D1061" s="27" t="s">
        <v>1837</v>
      </c>
      <c r="E1061" s="43">
        <v>45724.0</v>
      </c>
      <c r="F1061" s="39">
        <v>45726.5</v>
      </c>
      <c r="G1061" s="30" t="str">
        <f t="shared" si="61"/>
        <v>2 Д</v>
      </c>
      <c r="H1061" s="31">
        <f t="shared" si="62"/>
        <v>1500</v>
      </c>
      <c r="I1061" s="32" t="str">
        <f t="shared" si="39"/>
        <v/>
      </c>
      <c r="J1061" s="33" t="str">
        <f t="shared" si="25"/>
        <v/>
      </c>
      <c r="K1061" s="36">
        <v>3000.0</v>
      </c>
      <c r="L1061" s="33"/>
      <c r="M1061" s="36">
        <v>1500.0</v>
      </c>
      <c r="N1061" s="44">
        <v>49148.0</v>
      </c>
      <c r="O1061" s="35">
        <f>IFERROR(__xludf.DUMMYFUNCTION("IFERROR(
  VLOOKUP(C1061,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C1061
    ), 
    7, FALSE
  ), 
  """"
)
"),63700.0)</f>
        <v>63700</v>
      </c>
      <c r="P1061" s="35">
        <f>IFERROR(__xludf.DUMMYFUNCTION("IF(AND(Q1061="""", R1061=""""),
  """",
  IF(OR(ISBLANK(Q1061), ISBLANK(O1061)),
    """",
    IF(VALUE(SUBSTITUTE(INDEX(SPLIT(IF(ISBLANK(R1061), Q1061, R1061), "",""), 0, 1), "" Km"", """")) - O1061 = 0,
      """",
      VALUE(SUBSTITUTE(INDEX(SPLIT(IF("&amp;"ISBLANK(R1061), Q1061, R1061), "",""), 0, 1), "" Km"", """")) - O1061
    )
  )
)"),-14552.0)</f>
        <v>-14552</v>
      </c>
      <c r="Q1061" s="36" t="str">
        <f t="shared" si="4"/>
        <v>49 148 Km, 08.03.2025</v>
      </c>
      <c r="R1061" s="33"/>
      <c r="S1061" s="40" t="s">
        <v>1502</v>
      </c>
      <c r="T1061" s="25">
        <v>2.0</v>
      </c>
      <c r="U1061" s="25" t="s">
        <v>1838</v>
      </c>
      <c r="V1061" s="37"/>
      <c r="W1061" s="37" t="str">
        <f t="shared" si="46"/>
        <v>Завершена</v>
      </c>
      <c r="X1061" s="25" t="str">
        <f>IFERROR(__xludf.DUMMYFUNCTION("IF(C1061 = """", """", IF(REGEXMATCH(C1061, ""PCX|NMAX|ADV 150|CLICK""), ""скутер"", ""мото""))"),"мото")</f>
        <v>мото</v>
      </c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</row>
    <row r="1062" hidden="1">
      <c r="A1062" s="13" t="s">
        <v>24</v>
      </c>
      <c r="B1062" s="13" t="s">
        <v>25</v>
      </c>
      <c r="C1062" s="14" t="s">
        <v>916</v>
      </c>
      <c r="D1062" s="14" t="s">
        <v>1839</v>
      </c>
      <c r="E1062" s="48">
        <v>45727.0</v>
      </c>
      <c r="F1062" s="38">
        <v>45729.75</v>
      </c>
      <c r="G1062" s="17" t="str">
        <f t="shared" si="61"/>
        <v>2 Д</v>
      </c>
      <c r="H1062" s="18">
        <f t="shared" si="62"/>
        <v>1600</v>
      </c>
      <c r="I1062" s="19" t="str">
        <f t="shared" si="39"/>
        <v/>
      </c>
      <c r="J1062" s="20" t="str">
        <f t="shared" si="25"/>
        <v/>
      </c>
      <c r="K1062" s="23"/>
      <c r="L1062" s="20"/>
      <c r="M1062" s="23">
        <v>1600.0</v>
      </c>
      <c r="N1062" s="21"/>
      <c r="O1062" s="22">
        <f>IFERROR(__xludf.DUMMYFUNCTION("IFERROR(
  VLOOKUP(C1062,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C1062
    ), 
    7, FALSE
  ), 
  """"
)
"),29300.0)</f>
        <v>29300</v>
      </c>
      <c r="P1062" s="22">
        <f>IFERROR(__xludf.DUMMYFUNCTION("IF(AND(Q1062="""", R1062=""""),
  """",
  IF(OR(ISBLANK(Q1062), ISBLANK(O1062)),
    """",
    IF(VALUE(SUBSTITUTE(INDEX(SPLIT(IF(ISBLANK(R1062), Q1062, R1062), "",""), 0, 1), "" Km"", """")) - O1062 = 0,
      """",
      VALUE(SUBSTITUTE(INDEX(SPLIT(IF("&amp;"ISBLANK(R1062), Q1062, R1062), "",""), 0, 1), "" Km"", """")) - O1062
    )
  )
)"),-29300.0)</f>
        <v>-29300</v>
      </c>
      <c r="Q1062" s="23" t="str">
        <f t="shared" si="4"/>
        <v>0 Km, 11.03.2025</v>
      </c>
      <c r="R1062" s="20"/>
      <c r="S1062" s="41" t="s">
        <v>600</v>
      </c>
      <c r="T1062" s="13">
        <v>2.0</v>
      </c>
      <c r="U1062" s="13" t="s">
        <v>1840</v>
      </c>
      <c r="V1062" s="24"/>
      <c r="W1062" s="24" t="str">
        <f t="shared" si="46"/>
        <v>Завершена</v>
      </c>
      <c r="X1062" s="13" t="str">
        <f>IFERROR(__xludf.DUMMYFUNCTION("IF(C1062 = """", """", IF(REGEXMATCH(C1062, ""PCX|NMAX|ADV 150|CLICK""), ""скутер"", ""мото""))"),"мото")</f>
        <v>мото</v>
      </c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</row>
    <row r="1063" hidden="1">
      <c r="A1063" s="25" t="s">
        <v>24</v>
      </c>
      <c r="B1063" s="25" t="s">
        <v>25</v>
      </c>
      <c r="C1063" s="27" t="s">
        <v>941</v>
      </c>
      <c r="D1063" s="27" t="s">
        <v>1007</v>
      </c>
      <c r="E1063" s="43">
        <v>45727.0</v>
      </c>
      <c r="F1063" s="39">
        <v>45735.75</v>
      </c>
      <c r="G1063" s="30" t="str">
        <f t="shared" si="61"/>
        <v>8 Д</v>
      </c>
      <c r="H1063" s="31">
        <f t="shared" si="62"/>
        <v>798</v>
      </c>
      <c r="I1063" s="32" t="str">
        <f t="shared" si="39"/>
        <v/>
      </c>
      <c r="J1063" s="33" t="str">
        <f t="shared" si="25"/>
        <v/>
      </c>
      <c r="K1063" s="36">
        <f>3990+798*3</f>
        <v>6384</v>
      </c>
      <c r="L1063" s="33"/>
      <c r="M1063" s="36">
        <v>798.0</v>
      </c>
      <c r="N1063" s="44">
        <v>7000.0</v>
      </c>
      <c r="O1063" s="35">
        <f>IFERROR(__xludf.DUMMYFUNCTION("IFERROR(
  VLOOKUP(C1063,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C1063
    ), 
    7, FALSE
  ), 
  """"
)
"),18302.0)</f>
        <v>18302</v>
      </c>
      <c r="P1063" s="35">
        <f>IFERROR(__xludf.DUMMYFUNCTION("IF(AND(Q1063="""", R1063=""""),
  """",
  IF(OR(ISBLANK(Q1063), ISBLANK(O1063)),
    """",
    IF(VALUE(SUBSTITUTE(INDEX(SPLIT(IF(ISBLANK(R1063), Q1063, R1063), "",""), 0, 1), "" Km"", """")) - O1063 = 0,
      """",
      VALUE(SUBSTITUTE(INDEX(SPLIT(IF("&amp;"ISBLANK(R1063), Q1063, R1063), "",""), 0, 1), "" Km"", """")) - O1063
    )
  )
)"),-11302.0)</f>
        <v>-11302</v>
      </c>
      <c r="Q1063" s="36" t="str">
        <f t="shared" si="4"/>
        <v>7 000 Km, 11.03.2025</v>
      </c>
      <c r="R1063" s="33"/>
      <c r="S1063" s="40">
        <v>7000.0</v>
      </c>
      <c r="T1063" s="25">
        <v>2.0</v>
      </c>
      <c r="U1063" s="25" t="s">
        <v>1267</v>
      </c>
      <c r="V1063" s="37"/>
      <c r="W1063" s="37" t="str">
        <f t="shared" si="46"/>
        <v>Завершена</v>
      </c>
      <c r="X1063" s="25" t="str">
        <f>IFERROR(__xludf.DUMMYFUNCTION("IF(C1063 = """", """", IF(REGEXMATCH(C1063, ""PCX|NMAX|ADV 150|CLICK""), ""скутер"", ""мото""))"),"мото")</f>
        <v>мото</v>
      </c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</row>
    <row r="1064" hidden="1">
      <c r="A1064" s="13" t="s">
        <v>24</v>
      </c>
      <c r="B1064" s="13" t="s">
        <v>25</v>
      </c>
      <c r="C1064" s="14" t="s">
        <v>279</v>
      </c>
      <c r="D1064" s="14" t="s">
        <v>1841</v>
      </c>
      <c r="E1064" s="48">
        <v>45728.0</v>
      </c>
      <c r="F1064" s="38">
        <v>45739.5</v>
      </c>
      <c r="G1064" s="17" t="str">
        <f t="shared" si="61"/>
        <v>11 Д</v>
      </c>
      <c r="H1064" s="18">
        <f t="shared" si="62"/>
        <v>451</v>
      </c>
      <c r="I1064" s="19" t="str">
        <f t="shared" si="39"/>
        <v/>
      </c>
      <c r="J1064" s="20" t="str">
        <f t="shared" si="25"/>
        <v/>
      </c>
      <c r="K1064" s="20">
        <v>2706.0</v>
      </c>
      <c r="L1064" s="20"/>
      <c r="M1064" s="23">
        <v>451.0</v>
      </c>
      <c r="N1064" s="49">
        <v>10000.0</v>
      </c>
      <c r="O1064" s="22">
        <f>IFERROR(__xludf.DUMMYFUNCTION("IFERROR(
  VLOOKUP(C1064,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C1064
    ), 
    7, FALSE
  ), 
  """"
)
"),9000.0)</f>
        <v>9000</v>
      </c>
      <c r="P1064" s="22">
        <f>IFERROR(__xludf.DUMMYFUNCTION("IF(AND(Q1064="""", R1064=""""),
  """",
  IF(OR(ISBLANK(Q1064), ISBLANK(O1064)),
    """",
    IF(VALUE(SUBSTITUTE(INDEX(SPLIT(IF(ISBLANK(R1064), Q1064, R1064), "",""), 0, 1), "" Km"", """")) - O1064 = 0,
      """",
      VALUE(SUBSTITUTE(INDEX(SPLIT(IF("&amp;"ISBLANK(R1064), Q1064, R1064), "",""), 0, 1), "" Km"", """")) - O1064
    )
  )
)"),1000.0)</f>
        <v>1000</v>
      </c>
      <c r="Q1064" s="23" t="str">
        <f t="shared" si="4"/>
        <v>10 000 Km, 12.03.2025</v>
      </c>
      <c r="R1064" s="20"/>
      <c r="S1064" s="41">
        <v>8000.0</v>
      </c>
      <c r="T1064" s="13">
        <v>2.0</v>
      </c>
      <c r="U1064" s="13" t="s">
        <v>1842</v>
      </c>
      <c r="V1064" s="24"/>
      <c r="W1064" s="24" t="str">
        <f t="shared" si="46"/>
        <v>Завершена</v>
      </c>
      <c r="X1064" s="13" t="str">
        <f>IFERROR(__xludf.DUMMYFUNCTION("IF(C1064 = """", """", IF(REGEXMATCH(C1064, ""PCX|NMAX|ADV 150|CLICK""), ""скутер"", ""мото""))"),"мото")</f>
        <v>мото</v>
      </c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</row>
    <row r="1065" hidden="1">
      <c r="A1065" s="25" t="s">
        <v>24</v>
      </c>
      <c r="B1065" s="25" t="s">
        <v>25</v>
      </c>
      <c r="C1065" s="27" t="s">
        <v>974</v>
      </c>
      <c r="D1065" s="27" t="s">
        <v>1843</v>
      </c>
      <c r="E1065" s="43">
        <v>45729.0</v>
      </c>
      <c r="F1065" s="39">
        <v>45734.583333333336</v>
      </c>
      <c r="G1065" s="30" t="str">
        <f t="shared" si="61"/>
        <v>5 Д</v>
      </c>
      <c r="H1065" s="31">
        <f t="shared" si="62"/>
        <v>704</v>
      </c>
      <c r="I1065" s="32" t="str">
        <f t="shared" si="39"/>
        <v/>
      </c>
      <c r="J1065" s="33" t="str">
        <f t="shared" si="25"/>
        <v/>
      </c>
      <c r="K1065" s="36">
        <v>3520.0</v>
      </c>
      <c r="L1065" s="33"/>
      <c r="M1065" s="36">
        <v>704.0</v>
      </c>
      <c r="N1065" s="44">
        <v>5500.0</v>
      </c>
      <c r="O1065" s="35">
        <f>IFERROR(__xludf.DUMMYFUNCTION("IFERROR(
  VLOOKUP(C1065,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C1065
    ), 
    7, FALSE
  ), 
  """"
)
"),11800.0)</f>
        <v>11800</v>
      </c>
      <c r="P1065" s="35">
        <f>IFERROR(__xludf.DUMMYFUNCTION("IF(AND(Q1065="""", R1065=""""),
  """",
  IF(OR(ISBLANK(Q1065), ISBLANK(O1065)),
    """",
    IF(VALUE(SUBSTITUTE(INDEX(SPLIT(IF(ISBLANK(R1065), Q1065, R1065), "",""), 0, 1), "" Km"", """")) - O1065 = 0,
      """",
      VALUE(SUBSTITUTE(INDEX(SPLIT(IF("&amp;"ISBLANK(R1065), Q1065, R1065), "",""), 0, 1), "" Km"", """")) - O1065
    )
  )
)"),-6300.0)</f>
        <v>-6300</v>
      </c>
      <c r="Q1065" s="36" t="str">
        <f t="shared" si="4"/>
        <v>5 500 Km, 13.03.2025</v>
      </c>
      <c r="R1065" s="33"/>
      <c r="S1065" s="40">
        <v>200.0</v>
      </c>
      <c r="T1065" s="25">
        <v>2.0</v>
      </c>
      <c r="U1065" s="25" t="s">
        <v>1844</v>
      </c>
      <c r="V1065" s="37"/>
      <c r="W1065" s="37" t="str">
        <f t="shared" si="46"/>
        <v>Завершена</v>
      </c>
      <c r="X1065" s="25" t="str">
        <f>IFERROR(__xludf.DUMMYFUNCTION("IF(C1065 = """", """", IF(REGEXMATCH(C1065, ""PCX|NMAX|ADV 150|CLICK""), ""скутер"", ""мото""))"),"мото")</f>
        <v>мото</v>
      </c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</row>
    <row r="1066" hidden="1">
      <c r="A1066" s="13" t="s">
        <v>24</v>
      </c>
      <c r="B1066" s="13" t="s">
        <v>25</v>
      </c>
      <c r="C1066" s="14" t="s">
        <v>44</v>
      </c>
      <c r="D1066" s="14" t="s">
        <v>1845</v>
      </c>
      <c r="E1066" s="48">
        <v>45729.0</v>
      </c>
      <c r="F1066" s="38">
        <v>45735.5</v>
      </c>
      <c r="G1066" s="17" t="str">
        <f t="shared" si="61"/>
        <v>6 Д</v>
      </c>
      <c r="H1066" s="18">
        <f t="shared" si="62"/>
        <v>350</v>
      </c>
      <c r="I1066" s="19" t="str">
        <f t="shared" si="39"/>
        <v/>
      </c>
      <c r="J1066" s="20" t="str">
        <f t="shared" si="25"/>
        <v/>
      </c>
      <c r="K1066" s="23">
        <v>1750.0</v>
      </c>
      <c r="L1066" s="20"/>
      <c r="M1066" s="23">
        <v>350.0</v>
      </c>
      <c r="N1066" s="49">
        <v>23041.0</v>
      </c>
      <c r="O1066" s="22">
        <f>IFERROR(__xludf.DUMMYFUNCTION("IFERROR(
  VLOOKUP(C1066,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C1066
    ), 
    7, FALSE
  ), 
  """"
)
"),30800.0)</f>
        <v>30800</v>
      </c>
      <c r="P1066" s="22">
        <f>IFERROR(__xludf.DUMMYFUNCTION("IF(AND(Q1066="""", R1066=""""),
  """",
  IF(OR(ISBLANK(Q1066), ISBLANK(O1066)),
    """",
    IF(VALUE(SUBSTITUTE(INDEX(SPLIT(IF(ISBLANK(R1066), Q1066, R1066), "",""), 0, 1), "" Km"", """")) - O1066 = 0,
      """",
      VALUE(SUBSTITUTE(INDEX(SPLIT(IF("&amp;"ISBLANK(R1066), Q1066, R1066), "",""), 0, 1), "" Km"", """")) - O1066
    )
  )
)"),-7759.0)</f>
        <v>-7759</v>
      </c>
      <c r="Q1066" s="23" t="str">
        <f t="shared" si="4"/>
        <v>23 041 Km, 13.03.2025</v>
      </c>
      <c r="R1066" s="20"/>
      <c r="S1066" s="41">
        <v>3000.0</v>
      </c>
      <c r="T1066" s="13">
        <v>2.0</v>
      </c>
      <c r="U1066" s="13" t="s">
        <v>1846</v>
      </c>
      <c r="V1066" s="24"/>
      <c r="W1066" s="24" t="str">
        <f t="shared" si="46"/>
        <v>Завершена</v>
      </c>
      <c r="X1066" s="13" t="str">
        <f>IFERROR(__xludf.DUMMYFUNCTION("IF(C1066 = """", """", IF(REGEXMATCH(C1066, ""PCX|NMAX|ADV 150|CLICK""), ""скутер"", ""мото""))"),"скутер")</f>
        <v>скутер</v>
      </c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</row>
    <row r="1067" hidden="1">
      <c r="A1067" s="25" t="s">
        <v>24</v>
      </c>
      <c r="B1067" s="25" t="s">
        <v>25</v>
      </c>
      <c r="C1067" s="27" t="s">
        <v>923</v>
      </c>
      <c r="D1067" s="27" t="s">
        <v>953</v>
      </c>
      <c r="E1067" s="43">
        <v>45730.0</v>
      </c>
      <c r="F1067" s="39">
        <v>45750.541666666664</v>
      </c>
      <c r="G1067" s="30" t="str">
        <f t="shared" si="61"/>
        <v>20 Д</v>
      </c>
      <c r="H1067" s="31">
        <f t="shared" si="62"/>
        <v>761</v>
      </c>
      <c r="I1067" s="32" t="str">
        <f t="shared" si="39"/>
        <v/>
      </c>
      <c r="J1067" s="33" t="str">
        <f t="shared" si="25"/>
        <v/>
      </c>
      <c r="K1067" s="36">
        <f>761*20</f>
        <v>15220</v>
      </c>
      <c r="L1067" s="33"/>
      <c r="M1067" s="36">
        <v>761.0</v>
      </c>
      <c r="N1067" s="44">
        <v>15600.0</v>
      </c>
      <c r="O1067" s="35">
        <f>IFERROR(__xludf.DUMMYFUNCTION("IFERROR(
  VLOOKUP(C1067,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C1067
    ), 
    7, FALSE
  ), 
  """"
)
"),25378.0)</f>
        <v>25378</v>
      </c>
      <c r="P1067" s="35">
        <f>IFERROR(__xludf.DUMMYFUNCTION("IF(AND(Q1067="""", R1067=""""),
  """",
  IF(OR(ISBLANK(Q1067), ISBLANK(O1067)),
    """",
    IF(VALUE(SUBSTITUTE(INDEX(SPLIT(IF(ISBLANK(R1067), Q1067, R1067), "",""), 0, 1), "" Km"", """")) - O1067 = 0,
      """",
      VALUE(SUBSTITUTE(INDEX(SPLIT(IF("&amp;"ISBLANK(R1067), Q1067, R1067), "",""), 0, 1), "" Km"", """")) - O1067
    )
  )
)"),-9778.0)</f>
        <v>-9778</v>
      </c>
      <c r="Q1067" s="36" t="str">
        <f t="shared" si="4"/>
        <v>15 600 Km, 14.03.2025</v>
      </c>
      <c r="R1067" s="33"/>
      <c r="S1067" s="40">
        <v>7000.0</v>
      </c>
      <c r="T1067" s="25">
        <v>0.0</v>
      </c>
      <c r="U1067" s="25" t="s">
        <v>954</v>
      </c>
      <c r="V1067" s="37"/>
      <c r="W1067" s="37" t="str">
        <f t="shared" si="46"/>
        <v>Завершена</v>
      </c>
      <c r="X1067" s="25" t="str">
        <f>IFERROR(__xludf.DUMMYFUNCTION("IF(C1067 = """", """", IF(REGEXMATCH(C1067, ""PCX|NMAX|ADV 150|CLICK""), ""скутер"", ""мото""))"),"мото")</f>
        <v>мото</v>
      </c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</row>
    <row r="1068" hidden="1">
      <c r="A1068" s="13" t="s">
        <v>24</v>
      </c>
      <c r="B1068" s="13" t="s">
        <v>25</v>
      </c>
      <c r="C1068" s="14" t="s">
        <v>48</v>
      </c>
      <c r="D1068" s="14" t="s">
        <v>1847</v>
      </c>
      <c r="E1068" s="48">
        <v>45732.0</v>
      </c>
      <c r="F1068" s="38">
        <v>45740.791666666664</v>
      </c>
      <c r="G1068" s="17" t="str">
        <f t="shared" si="61"/>
        <v>8 Д</v>
      </c>
      <c r="H1068" s="18">
        <f t="shared" si="62"/>
        <v>336</v>
      </c>
      <c r="I1068" s="19" t="str">
        <f t="shared" si="39"/>
        <v/>
      </c>
      <c r="J1068" s="20" t="str">
        <f t="shared" si="25"/>
        <v/>
      </c>
      <c r="K1068" s="23">
        <v>2688.0</v>
      </c>
      <c r="L1068" s="20"/>
      <c r="M1068" s="23">
        <v>336.0</v>
      </c>
      <c r="N1068" s="49">
        <v>29200.0</v>
      </c>
      <c r="O1068" s="22">
        <f>IFERROR(__xludf.DUMMYFUNCTION("IFERROR(
  VLOOKUP(C1068,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C1068
    ), 
    7, FALSE
  ), 
  """"
)
"),35800.0)</f>
        <v>35800</v>
      </c>
      <c r="P1068" s="22">
        <f>IFERROR(__xludf.DUMMYFUNCTION("IF(AND(Q1068="""", R1068=""""),
  """",
  IF(OR(ISBLANK(Q1068), ISBLANK(O1068)),
    """",
    IF(VALUE(SUBSTITUTE(INDEX(SPLIT(IF(ISBLANK(R1068), Q1068, R1068), "",""), 0, 1), "" Km"", """")) - O1068 = 0,
      """",
      VALUE(SUBSTITUTE(INDEX(SPLIT(IF("&amp;"ISBLANK(R1068), Q1068, R1068), "",""), 0, 1), "" Km"", """")) - O1068
    )
  )
)"),-6600.0)</f>
        <v>-6600</v>
      </c>
      <c r="Q1068" s="23" t="str">
        <f t="shared" si="4"/>
        <v>29 200 Km, 16.03.2025</v>
      </c>
      <c r="R1068" s="20"/>
      <c r="S1068" s="41">
        <v>100.0</v>
      </c>
      <c r="T1068" s="13">
        <v>2.0</v>
      </c>
      <c r="U1068" s="66" t="s">
        <v>1848</v>
      </c>
      <c r="V1068" s="24"/>
      <c r="W1068" s="24" t="str">
        <f t="shared" si="46"/>
        <v>Завершена</v>
      </c>
      <c r="X1068" s="13" t="str">
        <f>IFERROR(__xludf.DUMMYFUNCTION("IF(C1068 = """", """", IF(REGEXMATCH(C1068, ""PCX|NMAX|ADV 150|CLICK""), ""скутер"", ""мото""))"),"скутер")</f>
        <v>скутер</v>
      </c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</row>
    <row r="1069" hidden="1">
      <c r="A1069" s="25" t="s">
        <v>24</v>
      </c>
      <c r="B1069" s="25" t="s">
        <v>25</v>
      </c>
      <c r="C1069" s="27" t="s">
        <v>77</v>
      </c>
      <c r="D1069" s="27" t="s">
        <v>1849</v>
      </c>
      <c r="E1069" s="43">
        <v>45732.0</v>
      </c>
      <c r="F1069" s="39">
        <v>45740.791666666664</v>
      </c>
      <c r="G1069" s="30" t="str">
        <f t="shared" si="61"/>
        <v>8 Д</v>
      </c>
      <c r="H1069" s="31">
        <f t="shared" si="62"/>
        <v>336</v>
      </c>
      <c r="I1069" s="32" t="str">
        <f t="shared" si="39"/>
        <v/>
      </c>
      <c r="J1069" s="33" t="str">
        <f t="shared" si="25"/>
        <v/>
      </c>
      <c r="K1069" s="36">
        <v>2688.0</v>
      </c>
      <c r="L1069" s="33"/>
      <c r="M1069" s="36">
        <v>336.0</v>
      </c>
      <c r="N1069" s="44">
        <v>31500.0</v>
      </c>
      <c r="O1069" s="35">
        <f>IFERROR(__xludf.DUMMYFUNCTION("IFERROR(
  VLOOKUP(C1069,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C1069
    ), 
    7, FALSE
  ), 
  """"
)
"),37300.0)</f>
        <v>37300</v>
      </c>
      <c r="P1069" s="35">
        <f>IFERROR(__xludf.DUMMYFUNCTION("IF(AND(Q1069="""", R1069=""""),
  """",
  IF(OR(ISBLANK(Q1069), ISBLANK(O1069)),
    """",
    IF(VALUE(SUBSTITUTE(INDEX(SPLIT(IF(ISBLANK(R1069), Q1069, R1069), "",""), 0, 1), "" Km"", """")) - O1069 = 0,
      """",
      VALUE(SUBSTITUTE(INDEX(SPLIT(IF("&amp;"ISBLANK(R1069), Q1069, R1069), "",""), 0, 1), "" Km"", """")) - O1069
    )
  )
)"),-5800.0)</f>
        <v>-5800</v>
      </c>
      <c r="Q1069" s="36" t="str">
        <f t="shared" si="4"/>
        <v>31 500 Km, 16.03.2025</v>
      </c>
      <c r="R1069" s="33"/>
      <c r="S1069" s="40">
        <v>100.0</v>
      </c>
      <c r="T1069" s="25">
        <v>2.0</v>
      </c>
      <c r="U1069" s="71" t="s">
        <v>1848</v>
      </c>
      <c r="V1069" s="37"/>
      <c r="W1069" s="37" t="str">
        <f t="shared" si="46"/>
        <v>Завершена</v>
      </c>
      <c r="X1069" s="25" t="str">
        <f>IFERROR(__xludf.DUMMYFUNCTION("IF(C1069 = """", """", IF(REGEXMATCH(C1069, ""PCX|NMAX|ADV 150|CLICK""), ""скутер"", ""мото""))"),"скутер")</f>
        <v>скутер</v>
      </c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</row>
    <row r="1070" hidden="1">
      <c r="A1070" s="13" t="s">
        <v>24</v>
      </c>
      <c r="B1070" s="13" t="s">
        <v>25</v>
      </c>
      <c r="C1070" s="14" t="s">
        <v>151</v>
      </c>
      <c r="D1070" s="14" t="s">
        <v>1850</v>
      </c>
      <c r="E1070" s="48">
        <v>45732.0</v>
      </c>
      <c r="F1070" s="38">
        <v>45746.5</v>
      </c>
      <c r="G1070" s="17" t="str">
        <f t="shared" si="61"/>
        <v>14 Д</v>
      </c>
      <c r="H1070" s="18">
        <f t="shared" si="62"/>
        <v>305</v>
      </c>
      <c r="I1070" s="19" t="str">
        <f t="shared" si="39"/>
        <v/>
      </c>
      <c r="J1070" s="20" t="str">
        <f t="shared" si="25"/>
        <v/>
      </c>
      <c r="K1070" s="23">
        <v>4270.0</v>
      </c>
      <c r="L1070" s="20"/>
      <c r="M1070" s="23">
        <v>305.0</v>
      </c>
      <c r="N1070" s="21"/>
      <c r="O1070" s="22">
        <f>IFERROR(__xludf.DUMMYFUNCTION("IFERROR(
  VLOOKUP(C1070,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C1070
    ), 
    7, FALSE
  ), 
  """"
)
"),35800.0)</f>
        <v>35800</v>
      </c>
      <c r="P1070" s="22">
        <f>IFERROR(__xludf.DUMMYFUNCTION("IF(AND(Q1070="""", R1070=""""),
  """",
  IF(OR(ISBLANK(Q1070), ISBLANK(O1070)),
    """",
    IF(VALUE(SUBSTITUTE(INDEX(SPLIT(IF(ISBLANK(R1070), Q1070, R1070), "",""), 0, 1), "" Km"", """")) - O1070 = 0,
      """",
      VALUE(SUBSTITUTE(INDEX(SPLIT(IF("&amp;"ISBLANK(R1070), Q1070, R1070), "",""), 0, 1), "" Km"", """")) - O1070
    )
  )
)"),-35800.0)</f>
        <v>-35800</v>
      </c>
      <c r="Q1070" s="23" t="str">
        <f t="shared" si="4"/>
        <v>0 Km, 16.03.2025</v>
      </c>
      <c r="R1070" s="20"/>
      <c r="S1070" s="41">
        <v>3000.0</v>
      </c>
      <c r="T1070" s="13">
        <v>2.0</v>
      </c>
      <c r="U1070" s="13" t="s">
        <v>1851</v>
      </c>
      <c r="V1070" s="24"/>
      <c r="W1070" s="24" t="str">
        <f t="shared" si="46"/>
        <v>Завершена</v>
      </c>
      <c r="X1070" s="13" t="str">
        <f>IFERROR(__xludf.DUMMYFUNCTION("IF(C1070 = """", """", IF(REGEXMATCH(C1070, ""PCX|NMAX|ADV 150|CLICK""), ""скутер"", ""мото""))"),"скутер")</f>
        <v>скутер</v>
      </c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</row>
    <row r="1071" hidden="1">
      <c r="A1071" s="25" t="s">
        <v>24</v>
      </c>
      <c r="B1071" s="25" t="s">
        <v>25</v>
      </c>
      <c r="C1071" s="27" t="s">
        <v>914</v>
      </c>
      <c r="D1071" s="27" t="s">
        <v>1110</v>
      </c>
      <c r="E1071" s="43">
        <v>45733.0</v>
      </c>
      <c r="F1071" s="39">
        <v>45747.5</v>
      </c>
      <c r="G1071" s="30" t="str">
        <f t="shared" si="61"/>
        <v>14 Д</v>
      </c>
      <c r="H1071" s="31">
        <f t="shared" si="62"/>
        <v>1428</v>
      </c>
      <c r="I1071" s="32" t="str">
        <f t="shared" si="39"/>
        <v/>
      </c>
      <c r="J1071" s="33" t="str">
        <f t="shared" si="25"/>
        <v/>
      </c>
      <c r="K1071" s="36">
        <v>20000.0</v>
      </c>
      <c r="L1071" s="36"/>
      <c r="M1071" s="36">
        <v>1428.0</v>
      </c>
      <c r="N1071" s="44">
        <v>12000.0</v>
      </c>
      <c r="O1071" s="35">
        <f>IFERROR(__xludf.DUMMYFUNCTION("IFERROR(
  VLOOKUP(C1071,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C1071
    ), 
    7, FALSE
  ), 
  """"
)
"),17900.0)</f>
        <v>17900</v>
      </c>
      <c r="P1071" s="35">
        <f>IFERROR(__xludf.DUMMYFUNCTION("IF(AND(Q1071="""", R1071=""""),
  """",
  IF(OR(ISBLANK(Q1071), ISBLANK(O1071)),
    """",
    IF(VALUE(SUBSTITUTE(INDEX(SPLIT(IF(ISBLANK(R1071), Q1071, R1071), "",""), 0, 1), "" Km"", """")) - O1071 = 0,
      """",
      VALUE(SUBSTITUTE(INDEX(SPLIT(IF("&amp;"ISBLANK(R1071), Q1071, R1071), "",""), 0, 1), "" Km"", """")) - O1071
    )
  )
)"),-5900.0)</f>
        <v>-5900</v>
      </c>
      <c r="Q1071" s="36" t="str">
        <f t="shared" si="4"/>
        <v>12 000 Km, 17.03.2025</v>
      </c>
      <c r="R1071" s="33"/>
      <c r="S1071" s="40" t="s">
        <v>1852</v>
      </c>
      <c r="T1071" s="25">
        <v>1.0</v>
      </c>
      <c r="U1071" s="25" t="s">
        <v>1853</v>
      </c>
      <c r="V1071" s="37"/>
      <c r="W1071" s="37" t="str">
        <f t="shared" si="46"/>
        <v>Завершена</v>
      </c>
      <c r="X1071" s="25" t="str">
        <f>IFERROR(__xludf.DUMMYFUNCTION("IF(C1071 = """", """", IF(REGEXMATCH(C1071, ""PCX|NMAX|ADV 150|CLICK""), ""скутер"", ""мото""))"),"мото")</f>
        <v>мото</v>
      </c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</row>
    <row r="1072" hidden="1">
      <c r="A1072" s="13" t="s">
        <v>24</v>
      </c>
      <c r="B1072" s="13" t="s">
        <v>25</v>
      </c>
      <c r="C1072" s="14" t="s">
        <v>971</v>
      </c>
      <c r="D1072" s="14" t="s">
        <v>1818</v>
      </c>
      <c r="E1072" s="48">
        <v>45733.0</v>
      </c>
      <c r="F1072" s="38">
        <v>45747.541666666664</v>
      </c>
      <c r="G1072" s="17" t="str">
        <f t="shared" si="61"/>
        <v>14 Д</v>
      </c>
      <c r="H1072" s="18">
        <f t="shared" si="62"/>
        <v>700</v>
      </c>
      <c r="I1072" s="19" t="str">
        <f t="shared" si="39"/>
        <v/>
      </c>
      <c r="J1072" s="20" t="str">
        <f t="shared" si="25"/>
        <v/>
      </c>
      <c r="K1072" s="23">
        <v>9800.0</v>
      </c>
      <c r="L1072" s="20"/>
      <c r="M1072" s="23">
        <v>700.0</v>
      </c>
      <c r="N1072" s="49">
        <v>13416.0</v>
      </c>
      <c r="O1072" s="22">
        <f>IFERROR(__xludf.DUMMYFUNCTION("IFERROR(
  VLOOKUP(C1072,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C1072
    ), 
    7, FALSE
  ), 
  """"
)
"),18300.0)</f>
        <v>18300</v>
      </c>
      <c r="P1072" s="22">
        <f>IFERROR(__xludf.DUMMYFUNCTION("IF(AND(Q1072="""", R1072=""""),
  """",
  IF(OR(ISBLANK(Q1072), ISBLANK(O1072)),
    """",
    IF(VALUE(SUBSTITUTE(INDEX(SPLIT(IF(ISBLANK(R1072), Q1072, R1072), "",""), 0, 1), "" Km"", """")) - O1072 = 0,
      """",
      VALUE(SUBSTITUTE(INDEX(SPLIT(IF("&amp;"ISBLANK(R1072), Q1072, R1072), "",""), 0, 1), "" Km"", """")) - O1072
    )
  )
)"),-4884.0)</f>
        <v>-4884</v>
      </c>
      <c r="Q1072" s="23" t="str">
        <f t="shared" si="4"/>
        <v>13 416 Km, 17.03.2025</v>
      </c>
      <c r="R1072" s="20"/>
      <c r="S1072" s="41" t="s">
        <v>1502</v>
      </c>
      <c r="T1072" s="13">
        <v>1.0</v>
      </c>
      <c r="U1072" s="13" t="s">
        <v>1819</v>
      </c>
      <c r="V1072" s="24"/>
      <c r="W1072" s="24" t="str">
        <f t="shared" si="46"/>
        <v>Завершена</v>
      </c>
      <c r="X1072" s="13" t="str">
        <f>IFERROR(__xludf.DUMMYFUNCTION("IF(C1072 = """", """", IF(REGEXMATCH(C1072, ""PCX|NMAX|ADV 150|CLICK""), ""скутер"", ""мото""))"),"мото")</f>
        <v>мото</v>
      </c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</row>
    <row r="1073" hidden="1">
      <c r="A1073" s="25" t="s">
        <v>24</v>
      </c>
      <c r="B1073" s="25" t="s">
        <v>25</v>
      </c>
      <c r="C1073" s="27" t="s">
        <v>974</v>
      </c>
      <c r="D1073" s="27" t="s">
        <v>1820</v>
      </c>
      <c r="E1073" s="43">
        <v>45733.0</v>
      </c>
      <c r="F1073" s="39">
        <v>45747.541666666664</v>
      </c>
      <c r="G1073" s="30" t="str">
        <f t="shared" si="61"/>
        <v>14 Д</v>
      </c>
      <c r="H1073" s="31">
        <f t="shared" si="62"/>
        <v>700</v>
      </c>
      <c r="I1073" s="32" t="str">
        <f t="shared" si="39"/>
        <v/>
      </c>
      <c r="J1073" s="33" t="str">
        <f t="shared" si="25"/>
        <v/>
      </c>
      <c r="K1073" s="36">
        <v>9800.0</v>
      </c>
      <c r="L1073" s="33"/>
      <c r="M1073" s="36">
        <v>700.0</v>
      </c>
      <c r="N1073" s="44">
        <v>6500.0</v>
      </c>
      <c r="O1073" s="35">
        <f>IFERROR(__xludf.DUMMYFUNCTION("IFERROR(
  VLOOKUP(C1073,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C1073
    ), 
    7, FALSE
  ), 
  """"
)
"),11800.0)</f>
        <v>11800</v>
      </c>
      <c r="P1073" s="35">
        <f>IFERROR(__xludf.DUMMYFUNCTION("IF(AND(Q1073="""", R1073=""""),
  """",
  IF(OR(ISBLANK(Q1073), ISBLANK(O1073)),
    """",
    IF(VALUE(SUBSTITUTE(INDEX(SPLIT(IF(ISBLANK(R1073), Q1073, R1073), "",""), 0, 1), "" Km"", """")) - O1073 = 0,
      """",
      VALUE(SUBSTITUTE(INDEX(SPLIT(IF("&amp;"ISBLANK(R1073), Q1073, R1073), "",""), 0, 1), "" Km"", """")) - O1073
    )
  )
)"),-5300.0)</f>
        <v>-5300</v>
      </c>
      <c r="Q1073" s="36" t="str">
        <f t="shared" si="4"/>
        <v>6 500 Km, 17.03.2025</v>
      </c>
      <c r="R1073" s="33"/>
      <c r="S1073" s="40" t="s">
        <v>1502</v>
      </c>
      <c r="T1073" s="25">
        <v>1.0</v>
      </c>
      <c r="U1073" s="25" t="s">
        <v>1821</v>
      </c>
      <c r="V1073" s="37"/>
      <c r="W1073" s="37" t="str">
        <f t="shared" si="46"/>
        <v>Завершена</v>
      </c>
      <c r="X1073" s="25" t="str">
        <f>IFERROR(__xludf.DUMMYFUNCTION("IF(C1073 = """", """", IF(REGEXMATCH(C1073, ""PCX|NMAX|ADV 150|CLICK""), ""скутер"", ""мото""))"),"мото")</f>
        <v>мото</v>
      </c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</row>
    <row r="1074" hidden="1">
      <c r="A1074" s="13" t="s">
        <v>24</v>
      </c>
      <c r="B1074" s="13" t="s">
        <v>25</v>
      </c>
      <c r="C1074" s="14" t="s">
        <v>438</v>
      </c>
      <c r="D1074" s="14" t="s">
        <v>1841</v>
      </c>
      <c r="E1074" s="48">
        <v>45734.0</v>
      </c>
      <c r="F1074" s="38">
        <v>45739.5</v>
      </c>
      <c r="G1074" s="17" t="str">
        <f t="shared" si="61"/>
        <v>5 Д</v>
      </c>
      <c r="H1074" s="18">
        <f t="shared" si="62"/>
        <v>933</v>
      </c>
      <c r="I1074" s="19" t="str">
        <f t="shared" si="39"/>
        <v/>
      </c>
      <c r="J1074" s="20" t="str">
        <f t="shared" si="25"/>
        <v/>
      </c>
      <c r="K1074" s="23">
        <f>2255+2420</f>
        <v>4675</v>
      </c>
      <c r="L1074" s="20"/>
      <c r="M1074" s="23">
        <v>933.0</v>
      </c>
      <c r="N1074" s="49">
        <v>25000.0</v>
      </c>
      <c r="O1074" s="22">
        <f>IFERROR(__xludf.DUMMYFUNCTION("IFERROR(
  VLOOKUP(C1074,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C1074
    ), 
    7, FALSE
  ), 
  """"
)
"),37823.0)</f>
        <v>37823</v>
      </c>
      <c r="P1074" s="22">
        <f>IFERROR(__xludf.DUMMYFUNCTION("IF(AND(Q1074="""", R1074=""""),
  """",
  IF(OR(ISBLANK(Q1074), ISBLANK(O1074)),
    """",
    IF(VALUE(SUBSTITUTE(INDEX(SPLIT(IF(ISBLANK(R1074), Q1074, R1074), "",""), 0, 1), "" Km"", """")) - O1074 = 0,
      """",
      VALUE(SUBSTITUTE(INDEX(SPLIT(IF("&amp;"ISBLANK(R1074), Q1074, R1074), "",""), 0, 1), "" Km"", """")) - O1074
    )
  )
)"),-12823.0)</f>
        <v>-12823</v>
      </c>
      <c r="Q1074" s="23" t="str">
        <f t="shared" si="4"/>
        <v>25 000 Km, 18.03.2025</v>
      </c>
      <c r="R1074" s="20"/>
      <c r="S1074" s="41">
        <v>20000.0</v>
      </c>
      <c r="T1074" s="13">
        <v>2.0</v>
      </c>
      <c r="U1074" s="13" t="s">
        <v>1842</v>
      </c>
      <c r="V1074" s="24"/>
      <c r="W1074" s="24" t="str">
        <f t="shared" si="46"/>
        <v>Завершена</v>
      </c>
      <c r="X1074" s="13" t="str">
        <f>IFERROR(__xludf.DUMMYFUNCTION("IF(C1074 = """", """", IF(REGEXMATCH(C1074, ""PCX|NMAX|ADV 150|CLICK""), ""скутер"", ""мото""))"),"мото")</f>
        <v>мото</v>
      </c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</row>
    <row r="1075" hidden="1">
      <c r="A1075" s="25" t="s">
        <v>24</v>
      </c>
      <c r="B1075" s="25" t="s">
        <v>25</v>
      </c>
      <c r="C1075" s="27" t="s">
        <v>98</v>
      </c>
      <c r="D1075" s="27" t="s">
        <v>1854</v>
      </c>
      <c r="E1075" s="43">
        <v>45734.0</v>
      </c>
      <c r="F1075" s="39">
        <v>45740.5</v>
      </c>
      <c r="G1075" s="30" t="str">
        <f t="shared" si="61"/>
        <v>6 Д</v>
      </c>
      <c r="H1075" s="31">
        <f t="shared" si="62"/>
        <v>363</v>
      </c>
      <c r="I1075" s="32" t="str">
        <f t="shared" si="39"/>
        <v/>
      </c>
      <c r="J1075" s="33" t="str">
        <f t="shared" si="25"/>
        <v/>
      </c>
      <c r="K1075" s="36">
        <v>2178.0</v>
      </c>
      <c r="L1075" s="33"/>
      <c r="M1075" s="36">
        <v>363.0</v>
      </c>
      <c r="N1075" s="44">
        <v>29500.0</v>
      </c>
      <c r="O1075" s="35">
        <f>IFERROR(__xludf.DUMMYFUNCTION("IFERROR(
  VLOOKUP(C1075,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C1075
    ), 
    7, FALSE
  ), 
  """"
)
"),32200.0)</f>
        <v>32200</v>
      </c>
      <c r="P1075" s="35">
        <f>IFERROR(__xludf.DUMMYFUNCTION("IF(AND(Q1075="""", R1075=""""),
  """",
  IF(OR(ISBLANK(Q1075), ISBLANK(O1075)),
    """",
    IF(VALUE(SUBSTITUTE(INDEX(SPLIT(IF(ISBLANK(R1075), Q1075, R1075), "",""), 0, 1), "" Km"", """")) - O1075 = 0,
      """",
      VALUE(SUBSTITUTE(INDEX(SPLIT(IF("&amp;"ISBLANK(R1075), Q1075, R1075), "",""), 0, 1), "" Km"", """")) - O1075
    )
  )
)"),-2700.0)</f>
        <v>-2700</v>
      </c>
      <c r="Q1075" s="36" t="str">
        <f t="shared" si="4"/>
        <v>29 500 Km, 18.03.2025</v>
      </c>
      <c r="R1075" s="33"/>
      <c r="S1075" s="40">
        <v>3000.0</v>
      </c>
      <c r="T1075" s="25">
        <v>2.0</v>
      </c>
      <c r="U1075" s="25" t="s">
        <v>1855</v>
      </c>
      <c r="V1075" s="37"/>
      <c r="W1075" s="37" t="str">
        <f t="shared" si="46"/>
        <v>Завершена</v>
      </c>
      <c r="X1075" s="25" t="str">
        <f>IFERROR(__xludf.DUMMYFUNCTION("IF(C1075 = """", """", IF(REGEXMATCH(C1075, ""PCX|NMAX|ADV 150|CLICK""), ""скутер"", ""мото""))"),"скутер")</f>
        <v>скутер</v>
      </c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</row>
    <row r="1076" hidden="1">
      <c r="A1076" s="13" t="s">
        <v>24</v>
      </c>
      <c r="B1076" s="13" t="s">
        <v>25</v>
      </c>
      <c r="C1076" s="14" t="s">
        <v>928</v>
      </c>
      <c r="D1076" s="14" t="s">
        <v>1856</v>
      </c>
      <c r="E1076" s="48">
        <v>45736.0</v>
      </c>
      <c r="F1076" s="38">
        <v>45747.541666666664</v>
      </c>
      <c r="G1076" s="17" t="str">
        <f t="shared" si="61"/>
        <v>11 Д</v>
      </c>
      <c r="H1076" s="18">
        <f t="shared" si="62"/>
        <v>700</v>
      </c>
      <c r="I1076" s="19" t="str">
        <f t="shared" si="39"/>
        <v/>
      </c>
      <c r="J1076" s="20" t="str">
        <f t="shared" si="25"/>
        <v/>
      </c>
      <c r="K1076" s="23">
        <f>4900+2800</f>
        <v>7700</v>
      </c>
      <c r="L1076" s="20"/>
      <c r="M1076" s="23">
        <v>700.0</v>
      </c>
      <c r="N1076" s="49">
        <v>6500.0</v>
      </c>
      <c r="O1076" s="96">
        <f>IFERROR(__xludf.DUMMYFUNCTION("IFERROR(
  VLOOKUP(C1076,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C1076
    ), 
    7, FALSE
  ), 
  """"
)
"),11000.0)</f>
        <v>11000</v>
      </c>
      <c r="P1076" s="22">
        <f>IFERROR(__xludf.DUMMYFUNCTION("IF(AND(Q1076="""", R1076=""""),
  """",
  IF(OR(ISBLANK(Q1076), ISBLANK(O1076)),
    """",
    IF(VALUE(SUBSTITUTE(INDEX(SPLIT(IF(ISBLANK(R1076), Q1076, R1076), "",""), 0, 1), "" Km"", """")) - O1076 = 0,
      """",
      VALUE(SUBSTITUTE(INDEX(SPLIT(IF("&amp;"ISBLANK(R1076), Q1076, R1076), "",""), 0, 1), "" Km"", """")) - O1076
    )
  )
)"),-4500.0)</f>
        <v>-4500</v>
      </c>
      <c r="Q1076" s="23" t="str">
        <f t="shared" si="4"/>
        <v>6 500 Km, 20.03.2025</v>
      </c>
      <c r="R1076" s="20"/>
      <c r="S1076" s="41" t="s">
        <v>430</v>
      </c>
      <c r="T1076" s="13">
        <v>1.0</v>
      </c>
      <c r="U1076" s="13" t="s">
        <v>1857</v>
      </c>
      <c r="V1076" s="24"/>
      <c r="W1076" s="24" t="str">
        <f t="shared" si="46"/>
        <v>Завершена</v>
      </c>
      <c r="X1076" s="13" t="str">
        <f>IFERROR(__xludf.DUMMYFUNCTION("IF(C1076 = """", """", IF(REGEXMATCH(C1076, ""PCX|NMAX|ADV 150|CLICK""), ""скутер"", ""мото""))"),"мото")</f>
        <v>мото</v>
      </c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</row>
    <row r="1077" hidden="1">
      <c r="A1077" s="25" t="s">
        <v>24</v>
      </c>
      <c r="B1077" s="25" t="s">
        <v>25</v>
      </c>
      <c r="C1077" s="27" t="s">
        <v>114</v>
      </c>
      <c r="D1077" s="27" t="s">
        <v>1858</v>
      </c>
      <c r="E1077" s="43">
        <v>45738.0</v>
      </c>
      <c r="F1077" s="39">
        <v>45745.541666666664</v>
      </c>
      <c r="G1077" s="30" t="str">
        <f t="shared" si="61"/>
        <v>7 Д</v>
      </c>
      <c r="H1077" s="31">
        <f t="shared" si="62"/>
        <v>384</v>
      </c>
      <c r="I1077" s="32" t="str">
        <f t="shared" si="39"/>
        <v/>
      </c>
      <c r="J1077" s="33" t="str">
        <f t="shared" si="25"/>
        <v/>
      </c>
      <c r="K1077" s="36">
        <v>2688.0</v>
      </c>
      <c r="L1077" s="33"/>
      <c r="M1077" s="36">
        <v>384.0</v>
      </c>
      <c r="N1077" s="34"/>
      <c r="O1077" s="35">
        <f>IFERROR(__xludf.DUMMYFUNCTION("IFERROR(
  VLOOKUP(C1077,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C1077
    ), 
    7, FALSE
  ), 
  """"
)
"),31800.0)</f>
        <v>31800</v>
      </c>
      <c r="P1077" s="35">
        <f>IFERROR(__xludf.DUMMYFUNCTION("IF(AND(Q1077="""", R1077=""""),
  """",
  IF(OR(ISBLANK(Q1077), ISBLANK(O1077)),
    """",
    IF(VALUE(SUBSTITUTE(INDEX(SPLIT(IF(ISBLANK(R1077), Q1077, R1077), "",""), 0, 1), "" Km"", """")) - O1077 = 0,
      """",
      VALUE(SUBSTITUTE(INDEX(SPLIT(IF("&amp;"ISBLANK(R1077), Q1077, R1077), "",""), 0, 1), "" Km"", """")) - O1077
    )
  )
)"),-31800.0)</f>
        <v>-31800</v>
      </c>
      <c r="Q1077" s="36" t="str">
        <f t="shared" si="4"/>
        <v>0 Km, 22.03.2025</v>
      </c>
      <c r="R1077" s="33"/>
      <c r="S1077" s="40">
        <v>3000.0</v>
      </c>
      <c r="T1077" s="25">
        <v>2.0</v>
      </c>
      <c r="U1077" s="25" t="s">
        <v>1859</v>
      </c>
      <c r="V1077" s="37"/>
      <c r="W1077" s="37" t="str">
        <f t="shared" si="46"/>
        <v>Завершена</v>
      </c>
      <c r="X1077" s="25" t="str">
        <f>IFERROR(__xludf.DUMMYFUNCTION("IF(C1077 = """", """", IF(REGEXMATCH(C1077, ""PCX|NMAX|ADV 150|CLICK""), ""скутер"", ""мото""))"),"скутер")</f>
        <v>скутер</v>
      </c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</row>
    <row r="1078" hidden="1">
      <c r="A1078" s="13" t="s">
        <v>24</v>
      </c>
      <c r="B1078" s="13" t="s">
        <v>25</v>
      </c>
      <c r="C1078" s="14" t="s">
        <v>44</v>
      </c>
      <c r="D1078" s="14" t="s">
        <v>1860</v>
      </c>
      <c r="E1078" s="48">
        <v>45739.0</v>
      </c>
      <c r="F1078" s="38">
        <v>45748.833333333336</v>
      </c>
      <c r="G1078" s="17" t="str">
        <f t="shared" si="61"/>
        <v>9 Д</v>
      </c>
      <c r="H1078" s="18">
        <f t="shared" si="62"/>
        <v>347</v>
      </c>
      <c r="I1078" s="19" t="str">
        <f t="shared" si="39"/>
        <v/>
      </c>
      <c r="J1078" s="20" t="str">
        <f t="shared" si="25"/>
        <v/>
      </c>
      <c r="K1078" s="23">
        <v>3123.0</v>
      </c>
      <c r="L1078" s="20"/>
      <c r="M1078" s="23">
        <v>347.0</v>
      </c>
      <c r="N1078" s="21"/>
      <c r="O1078" s="22">
        <f>IFERROR(__xludf.DUMMYFUNCTION("IFERROR(
  VLOOKUP(C1078,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C1078
    ), 
    7, FALSE
  ), 
  """"
)
"),30800.0)</f>
        <v>30800</v>
      </c>
      <c r="P1078" s="22">
        <f>IFERROR(__xludf.DUMMYFUNCTION("IF(AND(Q1078="""", R1078=""""),
  """",
  IF(OR(ISBLANK(Q1078), ISBLANK(O1078)),
    """",
    IF(VALUE(SUBSTITUTE(INDEX(SPLIT(IF(ISBLANK(R1078), Q1078, R1078), "",""), 0, 1), "" Km"", """")) - O1078 = 0,
      """",
      VALUE(SUBSTITUTE(INDEX(SPLIT(IF("&amp;"ISBLANK(R1078), Q1078, R1078), "",""), 0, 1), "" Km"", """")) - O1078
    )
  )
)"),-30800.0)</f>
        <v>-30800</v>
      </c>
      <c r="Q1078" s="23" t="str">
        <f t="shared" si="4"/>
        <v>0 Km, 23.03.2025</v>
      </c>
      <c r="R1078" s="20"/>
      <c r="S1078" s="41">
        <v>3000.0</v>
      </c>
      <c r="T1078" s="13">
        <v>2.0</v>
      </c>
      <c r="U1078" s="13" t="s">
        <v>1861</v>
      </c>
      <c r="V1078" s="24"/>
      <c r="W1078" s="24" t="str">
        <f t="shared" si="46"/>
        <v>Завершена</v>
      </c>
      <c r="X1078" s="13" t="str">
        <f>IFERROR(__xludf.DUMMYFUNCTION("IF(C1078 = """", """", IF(REGEXMATCH(C1078, ""PCX|NMAX|ADV 150|CLICK""), ""скутер"", ""мото""))"),"скутер")</f>
        <v>скутер</v>
      </c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</row>
    <row r="1079" hidden="1">
      <c r="A1079" s="25" t="s">
        <v>24</v>
      </c>
      <c r="B1079" s="25" t="s">
        <v>25</v>
      </c>
      <c r="C1079" s="27" t="s">
        <v>106</v>
      </c>
      <c r="D1079" s="27" t="s">
        <v>1862</v>
      </c>
      <c r="E1079" s="43">
        <v>45740.0</v>
      </c>
      <c r="F1079" s="39">
        <v>45745.791666666664</v>
      </c>
      <c r="G1079" s="30" t="str">
        <f t="shared" si="61"/>
        <v>5 Д</v>
      </c>
      <c r="H1079" s="31">
        <f t="shared" si="62"/>
        <v>404</v>
      </c>
      <c r="I1079" s="32" t="str">
        <f t="shared" si="39"/>
        <v/>
      </c>
      <c r="J1079" s="33" t="str">
        <f t="shared" si="25"/>
        <v/>
      </c>
      <c r="K1079" s="36">
        <v>2020.0</v>
      </c>
      <c r="L1079" s="33"/>
      <c r="M1079" s="36">
        <v>404.0</v>
      </c>
      <c r="N1079" s="34"/>
      <c r="O1079" s="35">
        <f>IFERROR(__xludf.DUMMYFUNCTION("IFERROR(
  VLOOKUP(C1079,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C1079
    ), 
    7, FALSE
  ), 
  """"
)
"),26000.0)</f>
        <v>26000</v>
      </c>
      <c r="P1079" s="35">
        <f>IFERROR(__xludf.DUMMYFUNCTION("IF(AND(Q1079="""", R1079=""""),
  """",
  IF(OR(ISBLANK(Q1079), ISBLANK(O1079)),
    """",
    IF(VALUE(SUBSTITUTE(INDEX(SPLIT(IF(ISBLANK(R1079), Q1079, R1079), "",""), 0, 1), "" Km"", """")) - O1079 = 0,
      """",
      VALUE(SUBSTITUTE(INDEX(SPLIT(IF("&amp;"ISBLANK(R1079), Q1079, R1079), "",""), 0, 1), "" Km"", """")) - O1079
    )
  )
)"),-26000.0)</f>
        <v>-26000</v>
      </c>
      <c r="Q1079" s="36" t="str">
        <f t="shared" si="4"/>
        <v>0 Km, 24.03.2025</v>
      </c>
      <c r="R1079" s="33"/>
      <c r="S1079" s="40">
        <v>3000.0</v>
      </c>
      <c r="T1079" s="25">
        <v>2.0</v>
      </c>
      <c r="U1079" s="25" t="s">
        <v>1863</v>
      </c>
      <c r="V1079" s="37"/>
      <c r="W1079" s="37" t="str">
        <f t="shared" si="46"/>
        <v>Завершена</v>
      </c>
      <c r="X1079" s="25" t="str">
        <f>IFERROR(__xludf.DUMMYFUNCTION("IF(C1079 = """", """", IF(REGEXMATCH(C1079, ""PCX|NMAX|ADV 150|CLICK""), ""скутер"", ""мото""))"),"скутер")</f>
        <v>скутер</v>
      </c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</row>
    <row r="1080" hidden="1">
      <c r="A1080" s="13" t="s">
        <v>24</v>
      </c>
      <c r="B1080" s="13" t="s">
        <v>25</v>
      </c>
      <c r="C1080" s="14" t="s">
        <v>941</v>
      </c>
      <c r="D1080" s="14" t="s">
        <v>1864</v>
      </c>
      <c r="E1080" s="48">
        <v>45741.0</v>
      </c>
      <c r="F1080" s="38">
        <v>45746.458333333336</v>
      </c>
      <c r="G1080" s="17" t="str">
        <f t="shared" si="61"/>
        <v>5 Д</v>
      </c>
      <c r="H1080" s="18">
        <f t="shared" si="62"/>
        <v>898</v>
      </c>
      <c r="I1080" s="19" t="str">
        <f t="shared" si="39"/>
        <v/>
      </c>
      <c r="J1080" s="20" t="str">
        <f t="shared" si="25"/>
        <v/>
      </c>
      <c r="K1080" s="23">
        <v>4490.0</v>
      </c>
      <c r="L1080" s="20"/>
      <c r="M1080" s="23">
        <v>898.0</v>
      </c>
      <c r="N1080" s="21"/>
      <c r="O1080" s="22">
        <f>IFERROR(__xludf.DUMMYFUNCTION("IFERROR(
  VLOOKUP(C1080,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C1080
    ), 
    7, FALSE
  ), 
  """"
)
"),18302.0)</f>
        <v>18302</v>
      </c>
      <c r="P1080" s="22">
        <f>IFERROR(__xludf.DUMMYFUNCTION("IF(AND(Q1080="""", R1080=""""),
  """",
  IF(OR(ISBLANK(Q1080), ISBLANK(O1080)),
    """",
    IF(VALUE(SUBSTITUTE(INDEX(SPLIT(IF(ISBLANK(R1080), Q1080, R1080), "",""), 0, 1), "" Km"", """")) - O1080 = 0,
      """",
      VALUE(SUBSTITUTE(INDEX(SPLIT(IF("&amp;"ISBLANK(R1080), Q1080, R1080), "",""), 0, 1), "" Km"", """")) - O1080
    )
  )
)"),-18302.0)</f>
        <v>-18302</v>
      </c>
      <c r="Q1080" s="23" t="str">
        <f t="shared" si="4"/>
        <v>0 Km, 25.03.2025</v>
      </c>
      <c r="R1080" s="20"/>
      <c r="S1080" s="41">
        <v>7000.0</v>
      </c>
      <c r="T1080" s="13">
        <v>3.0</v>
      </c>
      <c r="U1080" s="13" t="s">
        <v>1865</v>
      </c>
      <c r="V1080" s="24"/>
      <c r="W1080" s="24" t="str">
        <f t="shared" si="46"/>
        <v>Завершена</v>
      </c>
      <c r="X1080" s="13" t="str">
        <f>IFERROR(__xludf.DUMMYFUNCTION("IF(C1080 = """", """", IF(REGEXMATCH(C1080, ""PCX|NMAX|ADV 150|CLICK""), ""скутер"", ""мото""))"),"мото")</f>
        <v>мото</v>
      </c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</row>
    <row r="1081" hidden="1">
      <c r="A1081" s="25" t="s">
        <v>24</v>
      </c>
      <c r="B1081" s="25" t="s">
        <v>25</v>
      </c>
      <c r="C1081" s="27" t="s">
        <v>102</v>
      </c>
      <c r="D1081" s="27" t="s">
        <v>1866</v>
      </c>
      <c r="E1081" s="43">
        <v>45742.0</v>
      </c>
      <c r="F1081" s="39">
        <v>45744.75</v>
      </c>
      <c r="G1081" s="30" t="str">
        <f t="shared" si="61"/>
        <v>2 Д</v>
      </c>
      <c r="H1081" s="31">
        <f t="shared" si="62"/>
        <v>1528</v>
      </c>
      <c r="I1081" s="32" t="str">
        <f t="shared" si="39"/>
        <v/>
      </c>
      <c r="J1081" s="33" t="str">
        <f t="shared" si="25"/>
        <v/>
      </c>
      <c r="K1081" s="36">
        <v>3056.0</v>
      </c>
      <c r="L1081" s="33"/>
      <c r="M1081" s="36">
        <v>1528.0</v>
      </c>
      <c r="N1081" s="34"/>
      <c r="O1081" s="35">
        <f>IFERROR(__xludf.DUMMYFUNCTION("IFERROR(
  VLOOKUP(C1081,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C1081
    ), 
    7, FALSE
  ), 
  """"
)
"),63700.0)</f>
        <v>63700</v>
      </c>
      <c r="P1081" s="35">
        <f>IFERROR(__xludf.DUMMYFUNCTION("IF(AND(Q1081="""", R1081=""""),
  """",
  IF(OR(ISBLANK(Q1081), ISBLANK(O1081)),
    """",
    IF(VALUE(SUBSTITUTE(INDEX(SPLIT(IF(ISBLANK(R1081), Q1081, R1081), "",""), 0, 1), "" Km"", """")) - O1081 = 0,
      """",
      VALUE(SUBSTITUTE(INDEX(SPLIT(IF("&amp;"ISBLANK(R1081), Q1081, R1081), "",""), 0, 1), "" Km"", """")) - O1081
    )
  )
)"),-63700.0)</f>
        <v>-63700</v>
      </c>
      <c r="Q1081" s="36" t="str">
        <f t="shared" si="4"/>
        <v>0 Km, 26.03.2025</v>
      </c>
      <c r="R1081" s="33"/>
      <c r="S1081" s="40">
        <v>600.0</v>
      </c>
      <c r="T1081" s="25">
        <v>2.0</v>
      </c>
      <c r="U1081" s="25" t="s">
        <v>1867</v>
      </c>
      <c r="V1081" s="37"/>
      <c r="W1081" s="37" t="str">
        <f t="shared" si="46"/>
        <v>Завершена</v>
      </c>
      <c r="X1081" s="25" t="str">
        <f>IFERROR(__xludf.DUMMYFUNCTION("IF(C1081 = """", """", IF(REGEXMATCH(C1081, ""PCX|NMAX|ADV 150|CLICK""), ""скутер"", ""мото""))"),"мото")</f>
        <v>мото</v>
      </c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</row>
    <row r="1082" hidden="1">
      <c r="A1082" s="13" t="s">
        <v>24</v>
      </c>
      <c r="B1082" s="13" t="s">
        <v>25</v>
      </c>
      <c r="C1082" s="14" t="s">
        <v>98</v>
      </c>
      <c r="D1082" s="14"/>
      <c r="E1082" s="48">
        <v>45742.0</v>
      </c>
      <c r="F1082" s="38">
        <v>45747.625</v>
      </c>
      <c r="G1082" s="17" t="str">
        <f t="shared" si="61"/>
        <v>5 Д</v>
      </c>
      <c r="H1082" s="18">
        <f t="shared" si="62"/>
        <v>382</v>
      </c>
      <c r="I1082" s="19" t="str">
        <f t="shared" si="39"/>
        <v/>
      </c>
      <c r="J1082" s="20" t="str">
        <f t="shared" si="25"/>
        <v/>
      </c>
      <c r="K1082" s="23">
        <f>382*5</f>
        <v>1910</v>
      </c>
      <c r="L1082" s="20"/>
      <c r="M1082" s="23">
        <v>382.0</v>
      </c>
      <c r="N1082" s="49">
        <v>29656.0</v>
      </c>
      <c r="O1082" s="22">
        <f>IFERROR(__xludf.DUMMYFUNCTION("IFERROR(
  VLOOKUP(C1082,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C1082
    ), 
    7, FALSE
  ), 
  """"
)
"),32200.0)</f>
        <v>32200</v>
      </c>
      <c r="P1082" s="22">
        <f>IFERROR(__xludf.DUMMYFUNCTION("IF(AND(Q1082="""", R1082=""""),
  """",
  IF(OR(ISBLANK(Q1082), ISBLANK(O1082)),
    """",
    IF(VALUE(SUBSTITUTE(INDEX(SPLIT(IF(ISBLANK(R1082), Q1082, R1082), "",""), 0, 1), "" Km"", """")) - O1082 = 0,
      """",
      VALUE(SUBSTITUTE(INDEX(SPLIT(IF("&amp;"ISBLANK(R1082), Q1082, R1082), "",""), 0, 1), "" Km"", """")) - O1082
    )
  )
)"),-2544.0)</f>
        <v>-2544</v>
      </c>
      <c r="Q1082" s="23" t="str">
        <f t="shared" si="4"/>
        <v>29 656 Km, 26.03.2025</v>
      </c>
      <c r="R1082" s="20"/>
      <c r="S1082" s="41">
        <v>3000.0</v>
      </c>
      <c r="T1082" s="13">
        <v>2.0</v>
      </c>
      <c r="U1082" s="13" t="s">
        <v>1868</v>
      </c>
      <c r="V1082" s="24"/>
      <c r="W1082" s="24" t="str">
        <f t="shared" si="46"/>
        <v>Завершена</v>
      </c>
      <c r="X1082" s="13" t="str">
        <f>IFERROR(__xludf.DUMMYFUNCTION("IF(C1082 = """", """", IF(REGEXMATCH(C1082, ""PCX|NMAX|ADV 150|CLICK""), ""скутер"", ""мото""))"),"скутер")</f>
        <v>скутер</v>
      </c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</row>
    <row r="1083" hidden="1">
      <c r="A1083" s="25" t="s">
        <v>24</v>
      </c>
      <c r="B1083" s="25" t="s">
        <v>25</v>
      </c>
      <c r="C1083" s="27" t="s">
        <v>461</v>
      </c>
      <c r="D1083" s="27" t="s">
        <v>1869</v>
      </c>
      <c r="E1083" s="43">
        <v>45743.0</v>
      </c>
      <c r="F1083" s="39">
        <v>45774.5</v>
      </c>
      <c r="G1083" s="30" t="str">
        <f t="shared" si="61"/>
        <v>31 Д</v>
      </c>
      <c r="H1083" s="31">
        <f t="shared" si="62"/>
        <v>690</v>
      </c>
      <c r="I1083" s="32" t="str">
        <f t="shared" si="39"/>
        <v/>
      </c>
      <c r="J1083" s="33" t="str">
        <f t="shared" si="25"/>
        <v/>
      </c>
      <c r="K1083" s="36">
        <v>4796.0</v>
      </c>
      <c r="L1083" s="36"/>
      <c r="M1083" s="36">
        <v>690.0</v>
      </c>
      <c r="N1083" s="44">
        <v>32000.0</v>
      </c>
      <c r="O1083" s="35">
        <f>IFERROR(__xludf.DUMMYFUNCTION("IFERROR(
  VLOOKUP(C1083,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C1083
    ), 
    7, FALSE
  ), 
  """"
)
"),30500.0)</f>
        <v>30500</v>
      </c>
      <c r="P1083" s="35">
        <f>IFERROR(__xludf.DUMMYFUNCTION("IF(AND(Q1083="""", R1083=""""),
  """",
  IF(OR(ISBLANK(Q1083), ISBLANK(O1083)),
    """",
    IF(VALUE(SUBSTITUTE(INDEX(SPLIT(IF(ISBLANK(R1083), Q1083, R1083), "",""), 0, 1), "" Km"", """")) - O1083 = 0,
      """",
      VALUE(SUBSTITUTE(INDEX(SPLIT(IF("&amp;"ISBLANK(R1083), Q1083, R1083), "",""), 0, 1), "" Km"", """")) - O1083
    )
  )
)"),1500.0)</f>
        <v>1500</v>
      </c>
      <c r="Q1083" s="36" t="str">
        <f t="shared" si="4"/>
        <v>32 000 Km, 27.03.2025</v>
      </c>
      <c r="R1083" s="33"/>
      <c r="S1083" s="40">
        <v>12000.0</v>
      </c>
      <c r="T1083" s="25">
        <v>2.0</v>
      </c>
      <c r="U1083" s="25" t="s">
        <v>1870</v>
      </c>
      <c r="V1083" s="37"/>
      <c r="W1083" s="37" t="str">
        <f t="shared" si="46"/>
        <v>Завершена</v>
      </c>
      <c r="X1083" s="25" t="str">
        <f>IFERROR(__xludf.DUMMYFUNCTION("IF(C1083 = """", """", IF(REGEXMATCH(C1083, ""PCX|NMAX|ADV 150|CLICK""), ""скутер"", ""мото""))"),"мото")</f>
        <v>мото</v>
      </c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</row>
    <row r="1084" hidden="1">
      <c r="A1084" s="13" t="s">
        <v>24</v>
      </c>
      <c r="B1084" s="13" t="s">
        <v>25</v>
      </c>
      <c r="C1084" s="14" t="s">
        <v>48</v>
      </c>
      <c r="D1084" s="14" t="s">
        <v>1110</v>
      </c>
      <c r="E1084" s="48">
        <v>45743.0</v>
      </c>
      <c r="F1084" s="38">
        <v>45774.833333333336</v>
      </c>
      <c r="G1084" s="17" t="str">
        <f t="shared" si="61"/>
        <v>31 Д</v>
      </c>
      <c r="H1084" s="18">
        <f t="shared" si="62"/>
        <v>200</v>
      </c>
      <c r="I1084" s="19" t="str">
        <f t="shared" si="39"/>
        <v/>
      </c>
      <c r="J1084" s="20" t="str">
        <f t="shared" si="25"/>
        <v/>
      </c>
      <c r="K1084" s="23">
        <v>6000.0</v>
      </c>
      <c r="L1084" s="23">
        <v>6000.0</v>
      </c>
      <c r="M1084" s="20"/>
      <c r="N1084" s="21"/>
      <c r="O1084" s="22">
        <f>IFERROR(__xludf.DUMMYFUNCTION("IFERROR(
  VLOOKUP(C1084,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C1084
    ), 
    7, FALSE
  ), 
  """"
)
"),35800.0)</f>
        <v>35800</v>
      </c>
      <c r="P1084" s="22">
        <f>IFERROR(__xludf.DUMMYFUNCTION("IF(AND(Q1084="""", R1084=""""),
  """",
  IF(OR(ISBLANK(Q1084), ISBLANK(O1084)),
    """",
    IF(VALUE(SUBSTITUTE(INDEX(SPLIT(IF(ISBLANK(R1084), Q1084, R1084), "",""), 0, 1), "" Km"", """")) - O1084 = 0,
      """",
      VALUE(SUBSTITUTE(INDEX(SPLIT(IF("&amp;"ISBLANK(R1084), Q1084, R1084), "",""), 0, 1), "" Km"", """")) - O1084
    )
  )
)"),-35800.0)</f>
        <v>-35800</v>
      </c>
      <c r="Q1084" s="23" t="str">
        <f t="shared" si="4"/>
        <v>0 Km, 27.03.2025</v>
      </c>
      <c r="R1084" s="20"/>
      <c r="S1084" s="41">
        <v>3000.0</v>
      </c>
      <c r="T1084" s="13">
        <v>1.0</v>
      </c>
      <c r="U1084" s="13" t="s">
        <v>1853</v>
      </c>
      <c r="V1084" s="24"/>
      <c r="W1084" s="24" t="str">
        <f t="shared" si="46"/>
        <v>Завершена</v>
      </c>
      <c r="X1084" s="13" t="str">
        <f>IFERROR(__xludf.DUMMYFUNCTION("IF(C1084 = """", """", IF(REGEXMATCH(C1084, ""PCX|NMAX|ADV 150|CLICK""), ""скутер"", ""мото""))"),"скутер")</f>
        <v>скутер</v>
      </c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</row>
    <row r="1085" hidden="1">
      <c r="A1085" s="25" t="s">
        <v>24</v>
      </c>
      <c r="B1085" s="25" t="s">
        <v>25</v>
      </c>
      <c r="C1085" s="27" t="s">
        <v>916</v>
      </c>
      <c r="D1085" s="27" t="s">
        <v>1866</v>
      </c>
      <c r="E1085" s="43">
        <v>45744.0</v>
      </c>
      <c r="F1085" s="39">
        <v>45746.75</v>
      </c>
      <c r="G1085" s="30" t="str">
        <f t="shared" si="61"/>
        <v>2 Д</v>
      </c>
      <c r="H1085" s="31">
        <f t="shared" si="62"/>
        <v>1528</v>
      </c>
      <c r="I1085" s="32" t="str">
        <f t="shared" si="39"/>
        <v/>
      </c>
      <c r="J1085" s="33" t="str">
        <f t="shared" si="25"/>
        <v/>
      </c>
      <c r="K1085" s="36">
        <v>3000.0</v>
      </c>
      <c r="L1085" s="33"/>
      <c r="M1085" s="36">
        <v>1528.0</v>
      </c>
      <c r="N1085" s="44">
        <v>23500.0</v>
      </c>
      <c r="O1085" s="35">
        <f>IFERROR(__xludf.DUMMYFUNCTION("IFERROR(
  VLOOKUP(C1085,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C1085
    ), 
    7, FALSE
  ), 
  """"
)
"),29300.0)</f>
        <v>29300</v>
      </c>
      <c r="P1085" s="35">
        <f>IFERROR(__xludf.DUMMYFUNCTION("IF(AND(Q1085="""", R1085=""""),
  """",
  IF(OR(ISBLANK(Q1085), ISBLANK(O1085)),
    """",
    IF(VALUE(SUBSTITUTE(INDEX(SPLIT(IF(ISBLANK(R1085), Q1085, R1085), "",""), 0, 1), "" Km"", """")) - O1085 = 0,
      """",
      VALUE(SUBSTITUTE(INDEX(SPLIT(IF("&amp;"ISBLANK(R1085), Q1085, R1085), "",""), 0, 1), "" Km"", """")) - O1085
    )
  )
)"),-5800.0)</f>
        <v>-5800</v>
      </c>
      <c r="Q1085" s="36" t="str">
        <f t="shared" si="4"/>
        <v>23 500 Km, 28.03.2025</v>
      </c>
      <c r="R1085" s="33"/>
      <c r="S1085" s="40">
        <v>600.0</v>
      </c>
      <c r="T1085" s="25">
        <v>2.0</v>
      </c>
      <c r="U1085" s="25" t="s">
        <v>1867</v>
      </c>
      <c r="V1085" s="37"/>
      <c r="W1085" s="37" t="str">
        <f t="shared" si="46"/>
        <v>Завершена</v>
      </c>
      <c r="X1085" s="25" t="str">
        <f>IFERROR(__xludf.DUMMYFUNCTION("IF(C1085 = """", """", IF(REGEXMATCH(C1085, ""PCX|NMAX|ADV 150|CLICK""), ""скутер"", ""мото""))"),"мото")</f>
        <v>мото</v>
      </c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</row>
    <row r="1086" hidden="1">
      <c r="A1086" s="13" t="s">
        <v>24</v>
      </c>
      <c r="B1086" s="13" t="s">
        <v>25</v>
      </c>
      <c r="C1086" s="14" t="s">
        <v>64</v>
      </c>
      <c r="D1086" s="14" t="s">
        <v>1871</v>
      </c>
      <c r="E1086" s="48">
        <v>45744.0</v>
      </c>
      <c r="F1086" s="38">
        <v>45751.541666666664</v>
      </c>
      <c r="G1086" s="17" t="str">
        <f t="shared" si="61"/>
        <v>7 Д</v>
      </c>
      <c r="H1086" s="18">
        <f t="shared" si="62"/>
        <v>600</v>
      </c>
      <c r="I1086" s="19" t="str">
        <f t="shared" si="39"/>
        <v/>
      </c>
      <c r="J1086" s="20" t="str">
        <f t="shared" si="25"/>
        <v/>
      </c>
      <c r="K1086" s="23">
        <v>4200.0</v>
      </c>
      <c r="L1086" s="20"/>
      <c r="M1086" s="23">
        <v>600.0</v>
      </c>
      <c r="N1086" s="49">
        <v>29500.0</v>
      </c>
      <c r="O1086" s="22">
        <f>IFERROR(__xludf.DUMMYFUNCTION("IFERROR(
  VLOOKUP(C1086,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C1086
    ), 
    7, FALSE
  ), 
  """"
)
"),32600.0)</f>
        <v>32600</v>
      </c>
      <c r="P1086" s="22">
        <f>IFERROR(__xludf.DUMMYFUNCTION("IF(AND(Q1086="""", R1086=""""),
  """",
  IF(OR(ISBLANK(Q1086), ISBLANK(O1086)),
    """",
    IF(VALUE(SUBSTITUTE(INDEX(SPLIT(IF(ISBLANK(R1086), Q1086, R1086), "",""), 0, 1), "" Km"", """")) - O1086 = 0,
      """",
      VALUE(SUBSTITUTE(INDEX(SPLIT(IF("&amp;"ISBLANK(R1086), Q1086, R1086), "",""), 0, 1), "" Km"", """")) - O1086
    )
  )
)"),-3100.0)</f>
        <v>-3100</v>
      </c>
      <c r="Q1086" s="23" t="str">
        <f t="shared" si="4"/>
        <v>29 500 Km, 28.03.2025</v>
      </c>
      <c r="R1086" s="20"/>
      <c r="S1086" s="41">
        <v>5000.0</v>
      </c>
      <c r="T1086" s="13">
        <v>1.0</v>
      </c>
      <c r="U1086" s="66" t="s">
        <v>1872</v>
      </c>
      <c r="V1086" s="13" t="s">
        <v>1873</v>
      </c>
      <c r="W1086" s="24" t="str">
        <f t="shared" si="46"/>
        <v>Завершена</v>
      </c>
      <c r="X1086" s="13" t="str">
        <f>IFERROR(__xludf.DUMMYFUNCTION("IF(C1086 = """", """", IF(REGEXMATCH(C1086, ""PCX|NMAX|ADV 150|CLICK""), ""скутер"", ""мото""))"),"мото")</f>
        <v>мото</v>
      </c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</row>
    <row r="1087" hidden="1">
      <c r="A1087" s="25" t="s">
        <v>24</v>
      </c>
      <c r="B1087" s="25" t="s">
        <v>25</v>
      </c>
      <c r="C1087" s="27" t="s">
        <v>102</v>
      </c>
      <c r="D1087" s="27" t="s">
        <v>1448</v>
      </c>
      <c r="E1087" s="43">
        <v>45745.0</v>
      </c>
      <c r="F1087" s="39">
        <v>45749.541666666664</v>
      </c>
      <c r="G1087" s="30" t="str">
        <f t="shared" si="61"/>
        <v>4 Д</v>
      </c>
      <c r="H1087" s="31">
        <f t="shared" si="62"/>
        <v>1333</v>
      </c>
      <c r="I1087" s="32" t="str">
        <f t="shared" si="39"/>
        <v/>
      </c>
      <c r="J1087" s="33" t="str">
        <f t="shared" si="25"/>
        <v/>
      </c>
      <c r="K1087" s="36">
        <v>5300.0</v>
      </c>
      <c r="L1087" s="33"/>
      <c r="M1087" s="36">
        <v>1333.0</v>
      </c>
      <c r="N1087" s="44">
        <v>49500.0</v>
      </c>
      <c r="O1087" s="35">
        <f>IFERROR(__xludf.DUMMYFUNCTION("IFERROR(
  VLOOKUP(C1087,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C1087
    ), 
    7, FALSE
  ), 
  """"
)
"),63700.0)</f>
        <v>63700</v>
      </c>
      <c r="P1087" s="35">
        <f>IFERROR(__xludf.DUMMYFUNCTION("IF(AND(Q1087="""", R1087=""""),
  """",
  IF(OR(ISBLANK(Q1087), ISBLANK(O1087)),
    """",
    IF(VALUE(SUBSTITUTE(INDEX(SPLIT(IF(ISBLANK(R1087), Q1087, R1087), "",""), 0, 1), "" Km"", """")) - O1087 = 0,
      """",
      VALUE(SUBSTITUTE(INDEX(SPLIT(IF("&amp;"ISBLANK(R1087), Q1087, R1087), "",""), 0, 1), "" Km"", """")) - O1087
    )
  )
)"),-14200.0)</f>
        <v>-14200</v>
      </c>
      <c r="Q1087" s="36" t="str">
        <f t="shared" si="4"/>
        <v>49 500 Km, 29.03.2025</v>
      </c>
      <c r="R1087" s="33"/>
      <c r="S1087" s="40">
        <v>20000.0</v>
      </c>
      <c r="T1087" s="25">
        <v>2.0</v>
      </c>
      <c r="U1087" s="25" t="s">
        <v>1874</v>
      </c>
      <c r="V1087" s="37"/>
      <c r="W1087" s="37" t="str">
        <f t="shared" si="46"/>
        <v>Завершена</v>
      </c>
      <c r="X1087" s="25" t="str">
        <f>IFERROR(__xludf.DUMMYFUNCTION("IF(C1087 = """", """", IF(REGEXMATCH(C1087, ""PCX|NMAX|ADV 150|CLICK""), ""скутер"", ""мото""))"),"мото")</f>
        <v>мото</v>
      </c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</row>
    <row r="1088" hidden="1">
      <c r="A1088" s="13" t="s">
        <v>24</v>
      </c>
      <c r="B1088" s="13" t="s">
        <v>25</v>
      </c>
      <c r="C1088" s="14" t="s">
        <v>106</v>
      </c>
      <c r="D1088" s="14" t="s">
        <v>1875</v>
      </c>
      <c r="E1088" s="48">
        <v>45745.0</v>
      </c>
      <c r="F1088" s="38">
        <v>45756.708333333336</v>
      </c>
      <c r="G1088" s="17" t="str">
        <f t="shared" si="61"/>
        <v>11 Д</v>
      </c>
      <c r="H1088" s="18">
        <f t="shared" si="62"/>
        <v>321</v>
      </c>
      <c r="I1088" s="19" t="str">
        <f t="shared" si="39"/>
        <v/>
      </c>
      <c r="J1088" s="20" t="str">
        <f t="shared" si="25"/>
        <v/>
      </c>
      <c r="K1088" s="23">
        <v>3531.0</v>
      </c>
      <c r="L1088" s="20"/>
      <c r="M1088" s="23">
        <v>321.0</v>
      </c>
      <c r="N1088" s="49">
        <v>25103.0</v>
      </c>
      <c r="O1088" s="22">
        <f>IFERROR(__xludf.DUMMYFUNCTION("IFERROR(
  VLOOKUP(C1088,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C1088
    ), 
    7, FALSE
  ), 
  """"
)
"),26000.0)</f>
        <v>26000</v>
      </c>
      <c r="P1088" s="22">
        <f>IFERROR(__xludf.DUMMYFUNCTION("IF(AND(Q1088="""", R1088=""""),
  """",
  IF(OR(ISBLANK(Q1088), ISBLANK(O1088)),
    """",
    IF(VALUE(SUBSTITUTE(INDEX(SPLIT(IF(ISBLANK(R1088), Q1088, R1088), "",""), 0, 1), "" Km"", """")) - O1088 = 0,
      """",
      VALUE(SUBSTITUTE(INDEX(SPLIT(IF("&amp;"ISBLANK(R1088), Q1088, R1088), "",""), 0, 1), "" Km"", """")) - O1088
    )
  )
)"),-897.0)</f>
        <v>-897</v>
      </c>
      <c r="Q1088" s="23" t="str">
        <f t="shared" si="4"/>
        <v>25 103 Km, 29.03.2025</v>
      </c>
      <c r="R1088" s="20"/>
      <c r="S1088" s="41">
        <v>2800.0</v>
      </c>
      <c r="T1088" s="13">
        <v>2.0</v>
      </c>
      <c r="U1088" s="13" t="s">
        <v>1876</v>
      </c>
      <c r="V1088" s="24"/>
      <c r="W1088" s="24" t="str">
        <f t="shared" si="46"/>
        <v>Завершена</v>
      </c>
      <c r="X1088" s="13" t="str">
        <f>IFERROR(__xludf.DUMMYFUNCTION("IF(C1088 = """", """", IF(REGEXMATCH(C1088, ""PCX|NMAX|ADV 150|CLICK""), ""скутер"", ""мото""))"),"скутер")</f>
        <v>скутер</v>
      </c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</row>
    <row r="1089" hidden="1">
      <c r="A1089" s="25" t="s">
        <v>24</v>
      </c>
      <c r="B1089" s="25" t="s">
        <v>25</v>
      </c>
      <c r="C1089" s="27" t="s">
        <v>960</v>
      </c>
      <c r="D1089" s="27" t="s">
        <v>1877</v>
      </c>
      <c r="E1089" s="43">
        <v>45746.0</v>
      </c>
      <c r="F1089" s="39">
        <v>45758.541666666664</v>
      </c>
      <c r="G1089" s="30" t="str">
        <f t="shared" si="61"/>
        <v>12 Д</v>
      </c>
      <c r="H1089" s="31">
        <f t="shared" si="62"/>
        <v>660</v>
      </c>
      <c r="I1089" s="32" t="str">
        <f t="shared" si="39"/>
        <v/>
      </c>
      <c r="J1089" s="33" t="str">
        <f t="shared" si="25"/>
        <v/>
      </c>
      <c r="K1089" s="36">
        <v>7920.0</v>
      </c>
      <c r="L1089" s="33"/>
      <c r="M1089" s="36">
        <v>660.0</v>
      </c>
      <c r="N1089" s="44">
        <v>14000.0</v>
      </c>
      <c r="O1089" s="35">
        <f>IFERROR(__xludf.DUMMYFUNCTION("IFERROR(
  VLOOKUP(C1089,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C1089
    ), 
    7, FALSE
  ), 
  """"
)
"),20316.0)</f>
        <v>20316</v>
      </c>
      <c r="P1089" s="35">
        <f>IFERROR(__xludf.DUMMYFUNCTION("IF(AND(Q1089="""", R1089=""""),
  """",
  IF(OR(ISBLANK(Q1089), ISBLANK(O1089)),
    """",
    IF(VALUE(SUBSTITUTE(INDEX(SPLIT(IF(ISBLANK(R1089), Q1089, R1089), "",""), 0, 1), "" Km"", """")) - O1089 = 0,
      """",
      VALUE(SUBSTITUTE(INDEX(SPLIT(IF("&amp;"ISBLANK(R1089), Q1089, R1089), "",""), 0, 1), "" Km"", """")) - O1089
    )
  )
)"),-6316.0)</f>
        <v>-6316</v>
      </c>
      <c r="Q1089" s="36" t="str">
        <f t="shared" si="4"/>
        <v>14 000 Km, 30.03.2025</v>
      </c>
      <c r="R1089" s="33"/>
      <c r="S1089" s="40">
        <v>7000.0</v>
      </c>
      <c r="T1089" s="25">
        <v>3.0</v>
      </c>
      <c r="U1089" s="71" t="s">
        <v>1878</v>
      </c>
      <c r="V1089" s="37"/>
      <c r="W1089" s="37" t="str">
        <f t="shared" si="46"/>
        <v>Завершена</v>
      </c>
      <c r="X1089" s="25" t="str">
        <f>IFERROR(__xludf.DUMMYFUNCTION("IF(C1089 = """", """", IF(REGEXMATCH(C1089, ""PCX|NMAX|ADV 150|CLICK""), ""скутер"", ""мото""))"),"мото")</f>
        <v>мото</v>
      </c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</row>
    <row r="1090" hidden="1">
      <c r="A1090" s="13" t="s">
        <v>24</v>
      </c>
      <c r="B1090" s="14" t="s">
        <v>25</v>
      </c>
      <c r="C1090" s="62" t="s">
        <v>916</v>
      </c>
      <c r="D1090" s="105" t="s">
        <v>1866</v>
      </c>
      <c r="E1090" s="48">
        <v>45747.0</v>
      </c>
      <c r="F1090" s="38">
        <v>45749.75</v>
      </c>
      <c r="G1090" s="17" t="str">
        <f t="shared" si="61"/>
        <v>2 Д</v>
      </c>
      <c r="H1090" s="18">
        <f t="shared" si="62"/>
        <v>1528</v>
      </c>
      <c r="I1090" s="91" t="str">
        <f t="shared" si="39"/>
        <v/>
      </c>
      <c r="J1090" s="20" t="str">
        <f t="shared" si="25"/>
        <v/>
      </c>
      <c r="K1090" s="20">
        <v>3000.0</v>
      </c>
      <c r="L1090" s="92"/>
      <c r="M1090" s="20">
        <v>1528.0</v>
      </c>
      <c r="N1090" s="21">
        <v>23500.0</v>
      </c>
      <c r="O1090" s="22">
        <f>IFERROR(__xludf.DUMMYFUNCTION("IFERROR(
  VLOOKUP(C1090,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C1090
    ), 
    7, FALSE
  ), 
  """"
)
"),29300.0)</f>
        <v>29300</v>
      </c>
      <c r="P1090" s="22">
        <f>IFERROR(__xludf.DUMMYFUNCTION("IF(AND(Q1090="""", R1090=""""),
  """",
  IF(OR(ISBLANK(Q1090), ISBLANK(O1090)),
    """",
    IF(VALUE(SUBSTITUTE(INDEX(SPLIT(IF(ISBLANK(R1090), Q1090, R1090), "",""), 0, 1), "" Km"", """")) - O1090 = 0,
      """",
      VALUE(SUBSTITUTE(INDEX(SPLIT(IF("&amp;"ISBLANK(R1090), Q1090, R1090), "",""), 0, 1), "" Km"", """")) - O1090
    )
  )
)"),-5800.0)</f>
        <v>-5800</v>
      </c>
      <c r="Q1090" s="20" t="str">
        <f t="shared" si="4"/>
        <v>23 500 Km, 31.03.2025</v>
      </c>
      <c r="R1090" s="92"/>
      <c r="S1090" s="41" t="s">
        <v>1879</v>
      </c>
      <c r="T1090" s="24">
        <v>2.0</v>
      </c>
      <c r="U1090" s="24" t="s">
        <v>1867</v>
      </c>
      <c r="V1090" s="168"/>
      <c r="W1090" s="24" t="str">
        <f t="shared" si="46"/>
        <v>Завершена</v>
      </c>
      <c r="X1090" s="42" t="str">
        <f>IFERROR(__xludf.DUMMYFUNCTION("IF(C1090 = """", """", IF(REGEXMATCH(C1090, ""PCX|NMAX|ADV 150|CLICK""), ""скутер"", ""мото""))"),"мото")</f>
        <v>мото</v>
      </c>
      <c r="Y1090" s="107"/>
      <c r="Z1090" s="107"/>
      <c r="AA1090" s="107"/>
      <c r="AB1090" s="107"/>
      <c r="AC1090" s="107"/>
      <c r="AD1090" s="107"/>
      <c r="AE1090" s="107"/>
      <c r="AF1090" s="107"/>
      <c r="AG1090" s="107"/>
      <c r="AH1090" s="107"/>
      <c r="AI1090" s="107"/>
      <c r="AJ1090" s="107"/>
      <c r="AK1090" s="107"/>
      <c r="AL1090" s="107"/>
      <c r="AM1090" s="107"/>
    </row>
    <row r="1091" hidden="1">
      <c r="A1091" s="25" t="s">
        <v>24</v>
      </c>
      <c r="B1091" s="25" t="s">
        <v>25</v>
      </c>
      <c r="C1091" s="27" t="s">
        <v>151</v>
      </c>
      <c r="D1091" s="27" t="s">
        <v>1880</v>
      </c>
      <c r="E1091" s="43">
        <v>45748.0</v>
      </c>
      <c r="F1091" s="39">
        <v>45753.583333333336</v>
      </c>
      <c r="G1091" s="30" t="str">
        <f t="shared" si="61"/>
        <v>5 Д</v>
      </c>
      <c r="H1091" s="31">
        <f t="shared" si="62"/>
        <v>300</v>
      </c>
      <c r="I1091" s="32" t="str">
        <f t="shared" si="39"/>
        <v/>
      </c>
      <c r="J1091" s="33" t="str">
        <f t="shared" si="25"/>
        <v/>
      </c>
      <c r="K1091" s="36">
        <v>1500.0</v>
      </c>
      <c r="L1091" s="33"/>
      <c r="M1091" s="36">
        <v>300.0</v>
      </c>
      <c r="N1091" s="44">
        <v>30084.0</v>
      </c>
      <c r="O1091" s="35">
        <f>IFERROR(__xludf.DUMMYFUNCTION("IFERROR(
  VLOOKUP(C1091,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C1091
    ), 
    7, FALSE
  ), 
  """"
)
"),35800.0)</f>
        <v>35800</v>
      </c>
      <c r="P1091" s="35">
        <f>IFERROR(__xludf.DUMMYFUNCTION("IF(AND(Q1091="""", R1091=""""),
  """",
  IF(OR(ISBLANK(Q1091), ISBLANK(O1091)),
    """",
    IF(VALUE(SUBSTITUTE(INDEX(SPLIT(IF(ISBLANK(R1091), Q1091, R1091), "",""), 0, 1), "" Km"", """")) - O1091 = 0,
      """",
      VALUE(SUBSTITUTE(INDEX(SPLIT(IF("&amp;"ISBLANK(R1091), Q1091, R1091), "",""), 0, 1), "" Km"", """")) - O1091
    )
  )
)"),-5716.0)</f>
        <v>-5716</v>
      </c>
      <c r="Q1091" s="36" t="str">
        <f t="shared" si="4"/>
        <v>30 084 Km, 01.04.2025</v>
      </c>
      <c r="R1091" s="33"/>
      <c r="S1091" s="40">
        <v>3000.0</v>
      </c>
      <c r="T1091" s="25">
        <v>1.0</v>
      </c>
      <c r="U1091" s="25" t="s">
        <v>956</v>
      </c>
      <c r="V1091" s="37"/>
      <c r="W1091" s="37" t="str">
        <f t="shared" si="46"/>
        <v>Завершена</v>
      </c>
      <c r="X1091" s="25" t="str">
        <f>IFERROR(__xludf.DUMMYFUNCTION("IF(C1091 = """", """", IF(REGEXMATCH(C1091, ""PCX|NMAX|ADV 150|CLICK""), ""скутер"", ""мото""))"),"скутер")</f>
        <v>скутер</v>
      </c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</row>
    <row r="1092" hidden="1">
      <c r="A1092" s="13" t="s">
        <v>24</v>
      </c>
      <c r="B1092" s="13" t="s">
        <v>25</v>
      </c>
      <c r="C1092" s="14" t="s">
        <v>26</v>
      </c>
      <c r="D1092" s="14" t="s">
        <v>1881</v>
      </c>
      <c r="E1092" s="48">
        <v>45748.0</v>
      </c>
      <c r="F1092" s="38">
        <v>45753.583333333336</v>
      </c>
      <c r="G1092" s="17" t="str">
        <f t="shared" si="61"/>
        <v>5 Д</v>
      </c>
      <c r="H1092" s="18">
        <f t="shared" si="62"/>
        <v>300</v>
      </c>
      <c r="I1092" s="19" t="str">
        <f t="shared" si="39"/>
        <v/>
      </c>
      <c r="J1092" s="20" t="str">
        <f t="shared" si="25"/>
        <v/>
      </c>
      <c r="K1092" s="23">
        <v>1500.0</v>
      </c>
      <c r="L1092" s="20"/>
      <c r="M1092" s="23">
        <v>300.0</v>
      </c>
      <c r="N1092" s="49">
        <v>27000.0</v>
      </c>
      <c r="O1092" s="22" t="str">
        <f>IFERROR(__xludf.DUMMYFUNCTION("IFERROR(
  VLOOKUP(C1092,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C1092
    ), 
    7, FALSE
  ), 
  """"
)
"),"")</f>
        <v/>
      </c>
      <c r="P1092" s="22">
        <f>IFERROR(__xludf.DUMMYFUNCTION("IF(AND(Q1092="""", R1092=""""),
  """",
  IF(OR(ISBLANK(Q1092), ISBLANK(O1092)),
    """",
    IF(VALUE(SUBSTITUTE(INDEX(SPLIT(IF(ISBLANK(R1092), Q1092, R1092), "",""), 0, 1), "" Km"", """")) - O1092 = 0,
      """",
      VALUE(SUBSTITUTE(INDEX(SPLIT(IF("&amp;"ISBLANK(R1092), Q1092, R1092), "",""), 0, 1), "" Km"", """")) - O1092
    )
  )
)"),27000.0)</f>
        <v>27000</v>
      </c>
      <c r="Q1092" s="23" t="str">
        <f t="shared" si="4"/>
        <v>27 000 Km, 01.04.2025</v>
      </c>
      <c r="R1092" s="20"/>
      <c r="S1092" s="41">
        <v>3000.0</v>
      </c>
      <c r="T1092" s="13">
        <v>1.0</v>
      </c>
      <c r="U1092" s="13" t="s">
        <v>956</v>
      </c>
      <c r="V1092" s="24"/>
      <c r="W1092" s="24" t="str">
        <f t="shared" si="46"/>
        <v>Завершена</v>
      </c>
      <c r="X1092" s="13" t="str">
        <f>IFERROR(__xludf.DUMMYFUNCTION("IF(C1092 = """", """", IF(REGEXMATCH(C1092, ""PCX|NMAX|ADV 150|CLICK""), ""скутер"", ""мото""))"),"скутер")</f>
        <v>скутер</v>
      </c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</row>
    <row r="1093" hidden="1">
      <c r="A1093" s="25" t="s">
        <v>24</v>
      </c>
      <c r="B1093" s="25" t="s">
        <v>25</v>
      </c>
      <c r="C1093" s="27" t="s">
        <v>44</v>
      </c>
      <c r="D1093" s="27" t="s">
        <v>1882</v>
      </c>
      <c r="E1093" s="43">
        <v>45748.0</v>
      </c>
      <c r="F1093" s="39">
        <v>45753.583333333336</v>
      </c>
      <c r="G1093" s="30" t="str">
        <f t="shared" si="61"/>
        <v>5 Д</v>
      </c>
      <c r="H1093" s="31">
        <f t="shared" si="62"/>
        <v>300</v>
      </c>
      <c r="I1093" s="32" t="str">
        <f t="shared" si="39"/>
        <v/>
      </c>
      <c r="J1093" s="33" t="str">
        <f t="shared" si="25"/>
        <v/>
      </c>
      <c r="K1093" s="36">
        <v>1500.0</v>
      </c>
      <c r="L1093" s="33"/>
      <c r="M1093" s="36">
        <v>300.0</v>
      </c>
      <c r="N1093" s="44">
        <v>23686.0</v>
      </c>
      <c r="O1093" s="35">
        <f>IFERROR(__xludf.DUMMYFUNCTION("IFERROR(
  VLOOKUP(C1093,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C1093
    ), 
    7, FALSE
  ), 
  """"
)
"),30800.0)</f>
        <v>30800</v>
      </c>
      <c r="P1093" s="35">
        <f>IFERROR(__xludf.DUMMYFUNCTION("IF(AND(Q1093="""", R1093=""""),
  """",
  IF(OR(ISBLANK(Q1093), ISBLANK(O1093)),
    """",
    IF(VALUE(SUBSTITUTE(INDEX(SPLIT(IF(ISBLANK(R1093), Q1093, R1093), "",""), 0, 1), "" Km"", """")) - O1093 = 0,
      """",
      VALUE(SUBSTITUTE(INDEX(SPLIT(IF("&amp;"ISBLANK(R1093), Q1093, R1093), "",""), 0, 1), "" Km"", """")) - O1093
    )
  )
)"),-7114.0)</f>
        <v>-7114</v>
      </c>
      <c r="Q1093" s="36" t="str">
        <f t="shared" si="4"/>
        <v>23 686 Km, 01.04.2025</v>
      </c>
      <c r="R1093" s="33"/>
      <c r="S1093" s="40">
        <v>3000.0</v>
      </c>
      <c r="T1093" s="25">
        <v>1.0</v>
      </c>
      <c r="U1093" s="25" t="s">
        <v>956</v>
      </c>
      <c r="V1093" s="37"/>
      <c r="W1093" s="37" t="str">
        <f t="shared" si="46"/>
        <v>Завершена</v>
      </c>
      <c r="X1093" s="25" t="str">
        <f>IFERROR(__xludf.DUMMYFUNCTION("IF(C1093 = """", """", IF(REGEXMATCH(C1093, ""PCX|NMAX|ADV 150|CLICK""), ""скутер"", ""мото""))"),"скутер")</f>
        <v>скутер</v>
      </c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</row>
    <row r="1094" hidden="1">
      <c r="A1094" s="13" t="s">
        <v>24</v>
      </c>
      <c r="B1094" s="13" t="s">
        <v>25</v>
      </c>
      <c r="C1094" s="14" t="s">
        <v>68</v>
      </c>
      <c r="D1094" s="14" t="s">
        <v>1883</v>
      </c>
      <c r="E1094" s="48">
        <v>45748.0</v>
      </c>
      <c r="F1094" s="38">
        <v>45753.583333333336</v>
      </c>
      <c r="G1094" s="17" t="str">
        <f t="shared" si="61"/>
        <v>5 Д</v>
      </c>
      <c r="H1094" s="18">
        <f t="shared" si="62"/>
        <v>300</v>
      </c>
      <c r="I1094" s="19" t="str">
        <f t="shared" si="39"/>
        <v/>
      </c>
      <c r="J1094" s="20" t="str">
        <f t="shared" si="25"/>
        <v/>
      </c>
      <c r="K1094" s="23">
        <v>1500.0</v>
      </c>
      <c r="L1094" s="20"/>
      <c r="M1094" s="23">
        <v>300.0</v>
      </c>
      <c r="N1094" s="49">
        <v>33428.0</v>
      </c>
      <c r="O1094" s="22">
        <f>IFERROR(__xludf.DUMMYFUNCTION("IFERROR(
  VLOOKUP(C1094,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C1094
    ), 
    7, FALSE
  ), 
  """"
)
"),24094.0)</f>
        <v>24094</v>
      </c>
      <c r="P1094" s="22">
        <f>IFERROR(__xludf.DUMMYFUNCTION("IF(AND(Q1094="""", R1094=""""),
  """",
  IF(OR(ISBLANK(Q1094), ISBLANK(O1094)),
    """",
    IF(VALUE(SUBSTITUTE(INDEX(SPLIT(IF(ISBLANK(R1094), Q1094, R1094), "",""), 0, 1), "" Km"", """")) - O1094 = 0,
      """",
      VALUE(SUBSTITUTE(INDEX(SPLIT(IF("&amp;"ISBLANK(R1094), Q1094, R1094), "",""), 0, 1), "" Km"", """")) - O1094
    )
  )
)"),9334.0)</f>
        <v>9334</v>
      </c>
      <c r="Q1094" s="23" t="str">
        <f t="shared" si="4"/>
        <v>33 428 Km, 01.04.2025</v>
      </c>
      <c r="R1094" s="20"/>
      <c r="S1094" s="41">
        <v>3000.0</v>
      </c>
      <c r="T1094" s="13">
        <v>1.0</v>
      </c>
      <c r="U1094" s="13" t="s">
        <v>956</v>
      </c>
      <c r="V1094" s="24"/>
      <c r="W1094" s="24" t="str">
        <f t="shared" si="46"/>
        <v>Завершена</v>
      </c>
      <c r="X1094" s="13" t="str">
        <f>IFERROR(__xludf.DUMMYFUNCTION("IF(C1094 = """", """", IF(REGEXMATCH(C1094, ""PCX|NMAX|ADV 150|CLICK""), ""скутер"", ""мото""))"),"скутер")</f>
        <v>скутер</v>
      </c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</row>
    <row r="1095" hidden="1">
      <c r="A1095" s="25" t="s">
        <v>24</v>
      </c>
      <c r="B1095" s="25" t="s">
        <v>25</v>
      </c>
      <c r="C1095" s="27" t="s">
        <v>106</v>
      </c>
      <c r="D1095" s="27" t="s">
        <v>1884</v>
      </c>
      <c r="E1095" s="43">
        <v>45748.0</v>
      </c>
      <c r="F1095" s="39">
        <v>45778.5</v>
      </c>
      <c r="G1095" s="30" t="str">
        <f t="shared" si="61"/>
        <v>30 Д</v>
      </c>
      <c r="H1095" s="31">
        <f t="shared" si="62"/>
        <v>199.6666667</v>
      </c>
      <c r="I1095" s="32" t="str">
        <f t="shared" si="39"/>
        <v/>
      </c>
      <c r="J1095" s="33" t="str">
        <f t="shared" si="25"/>
        <v/>
      </c>
      <c r="K1095" s="36">
        <v>5990.0</v>
      </c>
      <c r="L1095" s="36">
        <v>5990.0</v>
      </c>
      <c r="M1095" s="33"/>
      <c r="N1095" s="34"/>
      <c r="O1095" s="35">
        <f>IFERROR(__xludf.DUMMYFUNCTION("IFERROR(
  VLOOKUP(C1095,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C1095
    ), 
    7, FALSE
  ), 
  """"
)
"),26000.0)</f>
        <v>26000</v>
      </c>
      <c r="P1095" s="35">
        <f>IFERROR(__xludf.DUMMYFUNCTION("IF(AND(Q1095="""", R1095=""""),
  """",
  IF(OR(ISBLANK(Q1095), ISBLANK(O1095)),
    """",
    IF(VALUE(SUBSTITUTE(INDEX(SPLIT(IF(ISBLANK(R1095), Q1095, R1095), "",""), 0, 1), "" Km"", """")) - O1095 = 0,
      """",
      VALUE(SUBSTITUTE(INDEX(SPLIT(IF("&amp;"ISBLANK(R1095), Q1095, R1095), "",""), 0, 1), "" Km"", """")) - O1095
    )
  )
)"),-26000.0)</f>
        <v>-26000</v>
      </c>
      <c r="Q1095" s="36" t="str">
        <f t="shared" si="4"/>
        <v>0 Km, 01.04.2025</v>
      </c>
      <c r="R1095" s="33"/>
      <c r="S1095" s="40">
        <v>3000.0</v>
      </c>
      <c r="T1095" s="25">
        <v>1.0</v>
      </c>
      <c r="U1095" s="25" t="s">
        <v>1885</v>
      </c>
      <c r="V1095" s="37"/>
      <c r="W1095" s="37" t="str">
        <f t="shared" si="46"/>
        <v>Завершена</v>
      </c>
      <c r="X1095" s="25" t="str">
        <f>IFERROR(__xludf.DUMMYFUNCTION("IF(C1095 = """", """", IF(REGEXMATCH(C1095, ""PCX|NMAX|ADV 150|CLICK""), ""скутер"", ""мото""))"),"скутер")</f>
        <v>скутер</v>
      </c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</row>
    <row r="1096" hidden="1">
      <c r="A1096" s="13" t="s">
        <v>24</v>
      </c>
      <c r="B1096" s="13" t="s">
        <v>25</v>
      </c>
      <c r="C1096" s="14" t="s">
        <v>941</v>
      </c>
      <c r="D1096" s="14" t="s">
        <v>1886</v>
      </c>
      <c r="E1096" s="48">
        <v>45749.0</v>
      </c>
      <c r="F1096" s="38">
        <v>45754.541666666664</v>
      </c>
      <c r="G1096" s="17" t="str">
        <f t="shared" si="61"/>
        <v>5 Д</v>
      </c>
      <c r="H1096" s="18">
        <f t="shared" si="62"/>
        <v>400</v>
      </c>
      <c r="I1096" s="19" t="str">
        <f t="shared" si="39"/>
        <v/>
      </c>
      <c r="J1096" s="20" t="str">
        <f t="shared" si="25"/>
        <v/>
      </c>
      <c r="K1096" s="23">
        <v>2000.0</v>
      </c>
      <c r="L1096" s="20"/>
      <c r="M1096" s="23">
        <v>400.0</v>
      </c>
      <c r="N1096" s="49">
        <v>8000.0</v>
      </c>
      <c r="O1096" s="22">
        <f>IFERROR(__xludf.DUMMYFUNCTION("IFERROR(
  VLOOKUP(C1096,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C1096
    ), 
    7, FALSE
  ), 
  """"
)
"),18302.0)</f>
        <v>18302</v>
      </c>
      <c r="P1096" s="22">
        <f>IFERROR(__xludf.DUMMYFUNCTION("IF(AND(Q1096="""", R1096=""""),
  """",
  IF(OR(ISBLANK(Q1096), ISBLANK(O1096)),
    """",
    IF(VALUE(SUBSTITUTE(INDEX(SPLIT(IF(ISBLANK(R1096), Q1096, R1096), "",""), 0, 1), "" Km"", """")) - O1096 = 0,
      """",
      VALUE(SUBSTITUTE(INDEX(SPLIT(IF("&amp;"ISBLANK(R1096), Q1096, R1096), "",""), 0, 1), "" Km"", """")) - O1096
    )
  )
)"),-10302.0)</f>
        <v>-10302</v>
      </c>
      <c r="Q1096" s="23" t="str">
        <f t="shared" si="4"/>
        <v>8 000 Km, 02.04.2025</v>
      </c>
      <c r="R1096" s="20"/>
      <c r="S1096" s="41">
        <v>0.0</v>
      </c>
      <c r="T1096" s="13">
        <v>0.0</v>
      </c>
      <c r="U1096" s="13" t="s">
        <v>954</v>
      </c>
      <c r="V1096" s="24"/>
      <c r="W1096" s="24" t="str">
        <f t="shared" si="46"/>
        <v>Завершена</v>
      </c>
      <c r="X1096" s="13" t="str">
        <f>IFERROR(__xludf.DUMMYFUNCTION("IF(C1096 = """", """", IF(REGEXMATCH(C1096, ""PCX|NMAX|ADV 150|CLICK""), ""скутер"", ""мото""))"),"мото")</f>
        <v>мото</v>
      </c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</row>
    <row r="1097" hidden="1">
      <c r="A1097" s="25" t="s">
        <v>24</v>
      </c>
      <c r="B1097" s="25" t="s">
        <v>25</v>
      </c>
      <c r="C1097" s="27" t="s">
        <v>914</v>
      </c>
      <c r="D1097" s="27" t="s">
        <v>1887</v>
      </c>
      <c r="E1097" s="43">
        <v>45750.0</v>
      </c>
      <c r="F1097" s="39">
        <v>45751.791666666664</v>
      </c>
      <c r="G1097" s="30" t="str">
        <f t="shared" si="61"/>
        <v>1 Д</v>
      </c>
      <c r="H1097" s="31">
        <f t="shared" si="62"/>
        <v>2000</v>
      </c>
      <c r="I1097" s="32" t="str">
        <f t="shared" si="39"/>
        <v/>
      </c>
      <c r="J1097" s="33" t="str">
        <f t="shared" si="25"/>
        <v/>
      </c>
      <c r="K1097" s="36">
        <v>4000.0</v>
      </c>
      <c r="L1097" s="33"/>
      <c r="M1097" s="36">
        <v>2000.0</v>
      </c>
      <c r="N1097" s="44">
        <v>12500.0</v>
      </c>
      <c r="O1097" s="35">
        <f>IFERROR(__xludf.DUMMYFUNCTION("IFERROR(
  VLOOKUP(C1097,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C1097
    ), 
    7, FALSE
  ), 
  """"
)
"),17900.0)</f>
        <v>17900</v>
      </c>
      <c r="P1097" s="35">
        <f>IFERROR(__xludf.DUMMYFUNCTION("IF(AND(Q1097="""", R1097=""""),
  """",
  IF(OR(ISBLANK(Q1097), ISBLANK(O1097)),
    """",
    IF(VALUE(SUBSTITUTE(INDEX(SPLIT(IF(ISBLANK(R1097), Q1097, R1097), "",""), 0, 1), "" Km"", """")) - O1097 = 0,
      """",
      VALUE(SUBSTITUTE(INDEX(SPLIT(IF("&amp;"ISBLANK(R1097), Q1097, R1097), "",""), 0, 1), "" Km"", """")) - O1097
    )
  )
)"),-5400.0)</f>
        <v>-5400</v>
      </c>
      <c r="Q1097" s="36" t="str">
        <f t="shared" si="4"/>
        <v>12 500 Km, 03.04.2025</v>
      </c>
      <c r="R1097" s="33"/>
      <c r="S1097" s="40" t="s">
        <v>515</v>
      </c>
      <c r="T1097" s="25">
        <v>0.0</v>
      </c>
      <c r="U1097" s="25" t="s">
        <v>1888</v>
      </c>
      <c r="V1097" s="37"/>
      <c r="W1097" s="37" t="str">
        <f t="shared" si="46"/>
        <v>Завершена</v>
      </c>
      <c r="X1097" s="25" t="str">
        <f>IFERROR(__xludf.DUMMYFUNCTION("IF(C1097 = """", """", IF(REGEXMATCH(C1097, ""PCX|NMAX|ADV 150|CLICK""), ""скутер"", ""мото""))"),"мото")</f>
        <v>мото</v>
      </c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</row>
    <row r="1098" hidden="1">
      <c r="A1098" s="13" t="s">
        <v>24</v>
      </c>
      <c r="B1098" s="13" t="s">
        <v>25</v>
      </c>
      <c r="C1098" s="14" t="s">
        <v>483</v>
      </c>
      <c r="D1098" s="14" t="s">
        <v>1889</v>
      </c>
      <c r="E1098" s="48">
        <v>45750.0</v>
      </c>
      <c r="F1098" s="38">
        <v>45752.541666666664</v>
      </c>
      <c r="G1098" s="17" t="str">
        <f t="shared" si="61"/>
        <v>2 Д</v>
      </c>
      <c r="H1098" s="18">
        <f t="shared" si="62"/>
        <v>1528</v>
      </c>
      <c r="I1098" s="19" t="str">
        <f t="shared" si="39"/>
        <v/>
      </c>
      <c r="J1098" s="20" t="str">
        <f t="shared" si="25"/>
        <v/>
      </c>
      <c r="K1098" s="23">
        <v>3056.0</v>
      </c>
      <c r="L1098" s="20"/>
      <c r="M1098" s="23">
        <v>1528.0</v>
      </c>
      <c r="N1098" s="21"/>
      <c r="O1098" s="22">
        <f>IFERROR(__xludf.DUMMYFUNCTION("IFERROR(
  VLOOKUP(C1098,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C1098
    ), 
    7, FALSE
  ), 
  """"
)
"),41500.0)</f>
        <v>41500</v>
      </c>
      <c r="P1098" s="22">
        <f>IFERROR(__xludf.DUMMYFUNCTION("IF(AND(Q1098="""", R1098=""""),
  """",
  IF(OR(ISBLANK(Q1098), ISBLANK(O1098)),
    """",
    IF(VALUE(SUBSTITUTE(INDEX(SPLIT(IF(ISBLANK(R1098), Q1098, R1098), "",""), 0, 1), "" Km"", """")) - O1098 = 0,
      """",
      VALUE(SUBSTITUTE(INDEX(SPLIT(IF("&amp;"ISBLANK(R1098), Q1098, R1098), "",""), 0, 1), "" Km"", """")) - O1098
    )
  )
)"),-41500.0)</f>
        <v>-41500</v>
      </c>
      <c r="Q1098" s="23" t="str">
        <f t="shared" si="4"/>
        <v>0 Km, 03.04.2025</v>
      </c>
      <c r="R1098" s="20"/>
      <c r="S1098" s="41">
        <v>700.0</v>
      </c>
      <c r="T1098" s="13">
        <v>2.0</v>
      </c>
      <c r="U1098" s="13" t="s">
        <v>1890</v>
      </c>
      <c r="V1098" s="24"/>
      <c r="W1098" s="24" t="str">
        <f t="shared" si="46"/>
        <v>Завершена</v>
      </c>
      <c r="X1098" s="13" t="str">
        <f>IFERROR(__xludf.DUMMYFUNCTION("IF(C1098 = """", """", IF(REGEXMATCH(C1098, ""PCX|NMAX|ADV 150|CLICK""), ""скутер"", ""мото""))"),"мото")</f>
        <v>мото</v>
      </c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</row>
    <row r="1099" hidden="1">
      <c r="A1099" s="25" t="s">
        <v>24</v>
      </c>
      <c r="B1099" s="25" t="s">
        <v>25</v>
      </c>
      <c r="C1099" s="27" t="s">
        <v>56</v>
      </c>
      <c r="D1099" s="27" t="s">
        <v>1891</v>
      </c>
      <c r="E1099" s="43">
        <v>45750.0</v>
      </c>
      <c r="F1099" s="39">
        <v>45754.958333333336</v>
      </c>
      <c r="G1099" s="30" t="str">
        <f t="shared" si="61"/>
        <v>4 Д</v>
      </c>
      <c r="H1099" s="31">
        <f t="shared" si="62"/>
        <v>400</v>
      </c>
      <c r="I1099" s="32" t="str">
        <f t="shared" si="39"/>
        <v/>
      </c>
      <c r="J1099" s="33" t="str">
        <f t="shared" si="25"/>
        <v/>
      </c>
      <c r="K1099" s="36">
        <v>1200.0</v>
      </c>
      <c r="L1099" s="33"/>
      <c r="M1099" s="36">
        <v>400.0</v>
      </c>
      <c r="N1099" s="44">
        <v>34000.0</v>
      </c>
      <c r="O1099" s="35">
        <f>IFERROR(__xludf.DUMMYFUNCTION("IFERROR(
  VLOOKUP(C1099,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C1099
    ), 
    7, FALSE
  ), 
  """"
)
"),36400.0)</f>
        <v>36400</v>
      </c>
      <c r="P1099" s="35">
        <f>IFERROR(__xludf.DUMMYFUNCTION("IF(AND(Q1099="""", R1099=""""),
  """",
  IF(OR(ISBLANK(Q1099), ISBLANK(O1099)),
    """",
    IF(VALUE(SUBSTITUTE(INDEX(SPLIT(IF(ISBLANK(R1099), Q1099, R1099), "",""), 0, 1), "" Km"", """")) - O1099 = 0,
      """",
      VALUE(SUBSTITUTE(INDEX(SPLIT(IF("&amp;"ISBLANK(R1099), Q1099, R1099), "",""), 0, 1), "" Km"", """")) - O1099
    )
  )
)"),-2400.0)</f>
        <v>-2400</v>
      </c>
      <c r="Q1099" s="36" t="str">
        <f t="shared" si="4"/>
        <v>34 000 Km, 03.04.2025</v>
      </c>
      <c r="R1099" s="33"/>
      <c r="S1099" s="40">
        <v>3000.0</v>
      </c>
      <c r="T1099" s="25">
        <v>1.0</v>
      </c>
      <c r="U1099" s="25" t="s">
        <v>516</v>
      </c>
      <c r="V1099" s="37"/>
      <c r="W1099" s="37" t="str">
        <f t="shared" si="46"/>
        <v>Завершена</v>
      </c>
      <c r="X1099" s="25" t="str">
        <f>IFERROR(__xludf.DUMMYFUNCTION("IF(C1099 = """", """", IF(REGEXMATCH(C1099, ""PCX|NMAX|ADV 150|CLICK""), ""скутер"", ""мото""))"),"скутер")</f>
        <v>скутер</v>
      </c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</row>
    <row r="1100" hidden="1">
      <c r="A1100" s="13" t="s">
        <v>24</v>
      </c>
      <c r="B1100" s="13" t="s">
        <v>25</v>
      </c>
      <c r="C1100" s="14" t="s">
        <v>98</v>
      </c>
      <c r="D1100" s="14" t="s">
        <v>1892</v>
      </c>
      <c r="E1100" s="48">
        <v>45751.0</v>
      </c>
      <c r="F1100" s="38">
        <v>45757.541666666664</v>
      </c>
      <c r="G1100" s="17" t="str">
        <f t="shared" si="61"/>
        <v>6 Д</v>
      </c>
      <c r="H1100" s="18">
        <f t="shared" si="62"/>
        <v>341</v>
      </c>
      <c r="I1100" s="19" t="str">
        <f t="shared" si="39"/>
        <v/>
      </c>
      <c r="J1100" s="20" t="str">
        <f t="shared" si="25"/>
        <v/>
      </c>
      <c r="K1100" s="23">
        <v>2046.0</v>
      </c>
      <c r="L1100" s="20"/>
      <c r="M1100" s="23">
        <v>341.0</v>
      </c>
      <c r="N1100" s="21"/>
      <c r="O1100" s="22">
        <f>IFERROR(__xludf.DUMMYFUNCTION("IFERROR(
  VLOOKUP(C1100,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C1100
    ), 
    7, FALSE
  ), 
  """"
)
"),32200.0)</f>
        <v>32200</v>
      </c>
      <c r="P1100" s="22">
        <f>IFERROR(__xludf.DUMMYFUNCTION("IF(AND(Q1100="""", R1100=""""),
  """",
  IF(OR(ISBLANK(Q1100), ISBLANK(O1100)),
    """",
    IF(VALUE(SUBSTITUTE(INDEX(SPLIT(IF(ISBLANK(R1100), Q1100, R1100), "",""), 0, 1), "" Km"", """")) - O1100 = 0,
      """",
      VALUE(SUBSTITUTE(INDEX(SPLIT(IF("&amp;"ISBLANK(R1100), Q1100, R1100), "",""), 0, 1), "" Km"", """")) - O1100
    )
  )
)"),-32200.0)</f>
        <v>-32200</v>
      </c>
      <c r="Q1100" s="23" t="str">
        <f t="shared" si="4"/>
        <v>0 Km, 04.04.2025</v>
      </c>
      <c r="R1100" s="20"/>
      <c r="S1100" s="41">
        <v>3000.0</v>
      </c>
      <c r="T1100" s="13">
        <v>2.0</v>
      </c>
      <c r="U1100" s="13" t="s">
        <v>1893</v>
      </c>
      <c r="V1100" s="24"/>
      <c r="W1100" s="24" t="str">
        <f t="shared" si="46"/>
        <v>Завершена</v>
      </c>
      <c r="X1100" s="13" t="str">
        <f>IFERROR(__xludf.DUMMYFUNCTION("IF(C1100 = """", """", IF(REGEXMATCH(C1100, ""PCX|NMAX|ADV 150|CLICK""), ""скутер"", ""мото""))"),"скутер")</f>
        <v>скутер</v>
      </c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</row>
    <row r="1101" hidden="1">
      <c r="A1101" s="25" t="s">
        <v>24</v>
      </c>
      <c r="B1101" s="25" t="s">
        <v>25</v>
      </c>
      <c r="C1101" s="27" t="s">
        <v>974</v>
      </c>
      <c r="D1101" s="27" t="s">
        <v>1258</v>
      </c>
      <c r="E1101" s="43">
        <v>45751.0</v>
      </c>
      <c r="F1101" s="39">
        <v>45758.583333333336</v>
      </c>
      <c r="G1101" s="30" t="str">
        <f t="shared" si="61"/>
        <v>7 Д</v>
      </c>
      <c r="H1101" s="31">
        <f t="shared" si="62"/>
        <v>700</v>
      </c>
      <c r="I1101" s="32" t="str">
        <f t="shared" si="39"/>
        <v/>
      </c>
      <c r="J1101" s="33" t="str">
        <f t="shared" si="25"/>
        <v/>
      </c>
      <c r="K1101" s="36">
        <v>4900.0</v>
      </c>
      <c r="L1101" s="33"/>
      <c r="M1101" s="36">
        <v>700.0</v>
      </c>
      <c r="N1101" s="34"/>
      <c r="O1101" s="35">
        <f>IFERROR(__xludf.DUMMYFUNCTION("IFERROR(
  VLOOKUP(C1101,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C1101
    ), 
    7, FALSE
  ), 
  """"
)
"),11800.0)</f>
        <v>11800</v>
      </c>
      <c r="P1101" s="35">
        <f>IFERROR(__xludf.DUMMYFUNCTION("IF(AND(Q1101="""", R1101=""""),
  """",
  IF(OR(ISBLANK(Q1101), ISBLANK(O1101)),
    """",
    IF(VALUE(SUBSTITUTE(INDEX(SPLIT(IF(ISBLANK(R1101), Q1101, R1101), "",""), 0, 1), "" Km"", """")) - O1101 = 0,
      """",
      VALUE(SUBSTITUTE(INDEX(SPLIT(IF("&amp;"ISBLANK(R1101), Q1101, R1101), "",""), 0, 1), "" Km"", """")) - O1101
    )
  )
)"),-11800.0)</f>
        <v>-11800</v>
      </c>
      <c r="Q1101" s="36" t="str">
        <f t="shared" si="4"/>
        <v>0 Km, 04.04.2025</v>
      </c>
      <c r="R1101" s="33"/>
      <c r="S1101" s="40">
        <v>7000.0</v>
      </c>
      <c r="T1101" s="25">
        <v>2.0</v>
      </c>
      <c r="U1101" s="25" t="s">
        <v>1894</v>
      </c>
      <c r="V1101" s="37"/>
      <c r="W1101" s="37" t="str">
        <f t="shared" si="46"/>
        <v>Завершена</v>
      </c>
      <c r="X1101" s="25" t="str">
        <f>IFERROR(__xludf.DUMMYFUNCTION("IF(C1101 = """", """", IF(REGEXMATCH(C1101, ""PCX|NMAX|ADV 150|CLICK""), ""скутер"", ""мото""))"),"мото")</f>
        <v>мото</v>
      </c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</row>
    <row r="1102" hidden="1">
      <c r="A1102" s="13" t="s">
        <v>24</v>
      </c>
      <c r="B1102" s="13" t="s">
        <v>25</v>
      </c>
      <c r="C1102" s="14" t="s">
        <v>971</v>
      </c>
      <c r="D1102" s="14" t="s">
        <v>1702</v>
      </c>
      <c r="E1102" s="48">
        <v>45752.0</v>
      </c>
      <c r="F1102" s="38">
        <v>45756.708333333336</v>
      </c>
      <c r="G1102" s="17" t="str">
        <f t="shared" si="61"/>
        <v>4 Д</v>
      </c>
      <c r="H1102" s="18">
        <f t="shared" si="62"/>
        <v>600</v>
      </c>
      <c r="I1102" s="19" t="str">
        <f t="shared" si="39"/>
        <v/>
      </c>
      <c r="J1102" s="20" t="str">
        <f t="shared" si="25"/>
        <v/>
      </c>
      <c r="K1102" s="23">
        <v>2400.0</v>
      </c>
      <c r="L1102" s="20"/>
      <c r="M1102" s="23">
        <v>600.0</v>
      </c>
      <c r="N1102" s="49">
        <v>14500.0</v>
      </c>
      <c r="O1102" s="22">
        <f>IFERROR(__xludf.DUMMYFUNCTION("IFERROR(
  VLOOKUP(C1102,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C1102
    ), 
    7, FALSE
  ), 
  """"
)
"),18300.0)</f>
        <v>18300</v>
      </c>
      <c r="P1102" s="22">
        <f>IFERROR(__xludf.DUMMYFUNCTION("IF(AND(Q1102="""", R1102=""""),
  """",
  IF(OR(ISBLANK(Q1102), ISBLANK(O1102)),
    """",
    IF(VALUE(SUBSTITUTE(INDEX(SPLIT(IF(ISBLANK(R1102), Q1102, R1102), "",""), 0, 1), "" Km"", """")) - O1102 = 0,
      """",
      VALUE(SUBSTITUTE(INDEX(SPLIT(IF("&amp;"ISBLANK(R1102), Q1102, R1102), "",""), 0, 1), "" Km"", """")) - O1102
    )
  )
)"),-3800.0)</f>
        <v>-3800</v>
      </c>
      <c r="Q1102" s="23" t="str">
        <f t="shared" si="4"/>
        <v>14 500 Km, 05.04.2025</v>
      </c>
      <c r="R1102" s="20"/>
      <c r="S1102" s="41">
        <v>7000.0</v>
      </c>
      <c r="T1102" s="13">
        <v>2.0</v>
      </c>
      <c r="U1102" s="66" t="s">
        <v>1895</v>
      </c>
      <c r="V1102" s="24"/>
      <c r="W1102" s="24" t="str">
        <f t="shared" si="46"/>
        <v>Завершена</v>
      </c>
      <c r="X1102" s="13" t="str">
        <f>IFERROR(__xludf.DUMMYFUNCTION("IF(C1102 = """", """", IF(REGEXMATCH(C1102, ""PCX|NMAX|ADV 150|CLICK""), ""скутер"", ""мото""))"),"мото")</f>
        <v>мото</v>
      </c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</row>
    <row r="1103" hidden="1">
      <c r="A1103" s="25" t="s">
        <v>24</v>
      </c>
      <c r="B1103" s="25" t="s">
        <v>25</v>
      </c>
      <c r="C1103" s="27" t="s">
        <v>483</v>
      </c>
      <c r="D1103" s="27" t="s">
        <v>1896</v>
      </c>
      <c r="E1103" s="43">
        <v>45752.0</v>
      </c>
      <c r="F1103" s="39">
        <v>45754.541666666664</v>
      </c>
      <c r="G1103" s="30" t="str">
        <f t="shared" si="61"/>
        <v>2 Д</v>
      </c>
      <c r="H1103" s="31">
        <f t="shared" si="62"/>
        <v>1528</v>
      </c>
      <c r="I1103" s="32" t="str">
        <f t="shared" si="39"/>
        <v/>
      </c>
      <c r="J1103" s="33" t="str">
        <f t="shared" si="25"/>
        <v/>
      </c>
      <c r="K1103" s="36">
        <v>3056.0</v>
      </c>
      <c r="L1103" s="33"/>
      <c r="M1103" s="36">
        <v>1528.0</v>
      </c>
      <c r="N1103" s="44">
        <v>34000.0</v>
      </c>
      <c r="O1103" s="35">
        <f>IFERROR(__xludf.DUMMYFUNCTION("IFERROR(
  VLOOKUP(C1103,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C1103
    ), 
    7, FALSE
  ), 
  """"
)
"),41500.0)</f>
        <v>41500</v>
      </c>
      <c r="P1103" s="35">
        <f>IFERROR(__xludf.DUMMYFUNCTION("IF(AND(Q1103="""", R1103=""""),
  """",
  IF(OR(ISBLANK(Q1103), ISBLANK(O1103)),
    """",
    IF(VALUE(SUBSTITUTE(INDEX(SPLIT(IF(ISBLANK(R1103), Q1103, R1103), "",""), 0, 1), "" Km"", """")) - O1103 = 0,
      """",
      VALUE(SUBSTITUTE(INDEX(SPLIT(IF("&amp;"ISBLANK(R1103), Q1103, R1103), "",""), 0, 1), "" Km"", """")) - O1103
    )
  )
)"),-7500.0)</f>
        <v>-7500</v>
      </c>
      <c r="Q1103" s="36" t="str">
        <f t="shared" si="4"/>
        <v>34 000 Km, 05.04.2025</v>
      </c>
      <c r="R1103" s="33"/>
      <c r="S1103" s="40">
        <v>20000.0</v>
      </c>
      <c r="T1103" s="25">
        <v>2.0</v>
      </c>
      <c r="U1103" s="71" t="s">
        <v>1897</v>
      </c>
      <c r="V1103" s="37"/>
      <c r="W1103" s="37" t="str">
        <f t="shared" si="46"/>
        <v>Завершена</v>
      </c>
      <c r="X1103" s="25" t="str">
        <f>IFERROR(__xludf.DUMMYFUNCTION("IF(C1103 = """", """", IF(REGEXMATCH(C1103, ""PCX|NMAX|ADV 150|CLICK""), ""скутер"", ""мото""))"),"мото")</f>
        <v>мото</v>
      </c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</row>
    <row r="1104" hidden="1">
      <c r="A1104" s="13" t="s">
        <v>24</v>
      </c>
      <c r="B1104" s="13" t="s">
        <v>25</v>
      </c>
      <c r="C1104" s="14" t="s">
        <v>923</v>
      </c>
      <c r="D1104" s="14" t="s">
        <v>1898</v>
      </c>
      <c r="E1104" s="48">
        <v>45754.0</v>
      </c>
      <c r="F1104" s="38">
        <v>45777.458333333336</v>
      </c>
      <c r="G1104" s="17" t="str">
        <f t="shared" si="61"/>
        <v>23 Д</v>
      </c>
      <c r="H1104" s="18">
        <f t="shared" si="62"/>
        <v>550</v>
      </c>
      <c r="I1104" s="19" t="str">
        <f t="shared" si="39"/>
        <v/>
      </c>
      <c r="J1104" s="20" t="str">
        <f t="shared" si="25"/>
        <v/>
      </c>
      <c r="K1104" s="23">
        <v>8800.0</v>
      </c>
      <c r="L1104" s="23"/>
      <c r="M1104" s="23">
        <v>550.0</v>
      </c>
      <c r="N1104" s="49">
        <v>16000.0</v>
      </c>
      <c r="O1104" s="22">
        <f>IFERROR(__xludf.DUMMYFUNCTION("IFERROR(
  VLOOKUP(C1104,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C1104
    ), 
    7, FALSE
  ), 
  """"
)
"),25378.0)</f>
        <v>25378</v>
      </c>
      <c r="P1104" s="22">
        <f>IFERROR(__xludf.DUMMYFUNCTION("IF(AND(Q1104="""", R1104=""""),
  """",
  IF(OR(ISBLANK(Q1104), ISBLANK(O1104)),
    """",
    IF(VALUE(SUBSTITUTE(INDEX(SPLIT(IF(ISBLANK(R1104), Q1104, R1104), "",""), 0, 1), "" Km"", """")) - O1104 = 0,
      """",
      VALUE(SUBSTITUTE(INDEX(SPLIT(IF("&amp;"ISBLANK(R1104), Q1104, R1104), "",""), 0, 1), "" Km"", """")) - O1104
    )
  )
)"),-9378.0)</f>
        <v>-9378</v>
      </c>
      <c r="Q1104" s="23" t="str">
        <f t="shared" si="4"/>
        <v>16 000 Km, 07.04.2025</v>
      </c>
      <c r="R1104" s="20"/>
      <c r="S1104" s="41">
        <v>3000.0</v>
      </c>
      <c r="T1104" s="13">
        <v>1.0</v>
      </c>
      <c r="U1104" s="13" t="s">
        <v>1899</v>
      </c>
      <c r="V1104" s="24"/>
      <c r="W1104" s="24" t="str">
        <f t="shared" si="46"/>
        <v>Завершена</v>
      </c>
      <c r="X1104" s="13" t="str">
        <f>IFERROR(__xludf.DUMMYFUNCTION("IF(C1104 = """", """", IF(REGEXMATCH(C1104, ""PCX|NMAX|ADV 150|CLICK""), ""скутер"", ""мото""))"),"мото")</f>
        <v>мото</v>
      </c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</row>
    <row r="1105" hidden="1">
      <c r="A1105" s="25" t="s">
        <v>24</v>
      </c>
      <c r="B1105" s="25" t="s">
        <v>25</v>
      </c>
      <c r="C1105" s="27" t="s">
        <v>286</v>
      </c>
      <c r="D1105" s="27" t="s">
        <v>1900</v>
      </c>
      <c r="E1105" s="43">
        <v>45755.0</v>
      </c>
      <c r="F1105" s="39">
        <v>45765.583333333336</v>
      </c>
      <c r="G1105" s="30" t="str">
        <f t="shared" si="61"/>
        <v>10 Д</v>
      </c>
      <c r="H1105" s="31">
        <f t="shared" si="62"/>
        <v>432</v>
      </c>
      <c r="I1105" s="32" t="str">
        <f t="shared" si="39"/>
        <v/>
      </c>
      <c r="J1105" s="33" t="str">
        <f t="shared" si="25"/>
        <v/>
      </c>
      <c r="K1105" s="36">
        <v>4320.0</v>
      </c>
      <c r="L1105" s="33"/>
      <c r="M1105" s="36">
        <v>432.0</v>
      </c>
      <c r="N1105" s="34"/>
      <c r="O1105" s="35" t="str">
        <f>IFERROR(__xludf.DUMMYFUNCTION("IFERROR(
  VLOOKUP(C1105,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C1105
    ), 
    7, FALSE
  ), 
  """"
)
"),"")</f>
        <v/>
      </c>
      <c r="P1105" s="35" t="str">
        <f>IFERROR(__xludf.DUMMYFUNCTION("IF(AND(Q1105="""", R1105=""""),
  """",
  IF(OR(ISBLANK(Q1105), ISBLANK(O1105)),
    """",
    IF(VALUE(SUBSTITUTE(INDEX(SPLIT(IF(ISBLANK(R1105), Q1105, R1105), "",""), 0, 1), "" Km"", """")) - O1105 = 0,
      """",
      VALUE(SUBSTITUTE(INDEX(SPLIT(IF("&amp;"ISBLANK(R1105), Q1105, R1105), "",""), 0, 1), "" Km"", """")) - O1105
    )
  )
)"),"")</f>
        <v/>
      </c>
      <c r="Q1105" s="36" t="str">
        <f t="shared" si="4"/>
        <v>0 Km, 08.04.2025</v>
      </c>
      <c r="R1105" s="33"/>
      <c r="S1105" s="40">
        <v>8000.0</v>
      </c>
      <c r="T1105" s="25">
        <v>2.0</v>
      </c>
      <c r="U1105" s="25" t="s">
        <v>1901</v>
      </c>
      <c r="V1105" s="37"/>
      <c r="W1105" s="37" t="str">
        <f t="shared" si="46"/>
        <v>Завершена</v>
      </c>
      <c r="X1105" s="25" t="str">
        <f>IFERROR(__xludf.DUMMYFUNCTION("IF(C1105 = """", """", IF(REGEXMATCH(C1105, ""PCX|NMAX|ADV 150|CLICK""), ""скутер"", ""мото""))"),"мото")</f>
        <v>мото</v>
      </c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</row>
    <row r="1106" hidden="1">
      <c r="A1106" s="13" t="s">
        <v>24</v>
      </c>
      <c r="B1106" s="13" t="s">
        <v>25</v>
      </c>
      <c r="C1106" s="14" t="s">
        <v>102</v>
      </c>
      <c r="D1106" s="14" t="s">
        <v>712</v>
      </c>
      <c r="E1106" s="48">
        <v>45757.0</v>
      </c>
      <c r="F1106" s="38">
        <v>45762.583333333336</v>
      </c>
      <c r="G1106" s="17" t="str">
        <f t="shared" si="61"/>
        <v>5 Д</v>
      </c>
      <c r="H1106" s="41">
        <v>1000.0</v>
      </c>
      <c r="I1106" s="19" t="str">
        <f t="shared" si="39"/>
        <v/>
      </c>
      <c r="J1106" s="20" t="str">
        <f t="shared" si="25"/>
        <v/>
      </c>
      <c r="K1106" s="23">
        <v>5000.0</v>
      </c>
      <c r="L1106" s="20"/>
      <c r="M1106" s="23">
        <v>1375.0</v>
      </c>
      <c r="N1106" s="49">
        <v>49500.0</v>
      </c>
      <c r="O1106" s="22">
        <f>IFERROR(__xludf.DUMMYFUNCTION("IFERROR(
  VLOOKUP(C1106,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C1106
    ), 
    7, FALSE
  ), 
  """"
)
"),63700.0)</f>
        <v>63700</v>
      </c>
      <c r="P1106" s="22">
        <f>IFERROR(__xludf.DUMMYFUNCTION("IF(AND(Q1106="""", R1106=""""),
  """",
  IF(OR(ISBLANK(Q1106), ISBLANK(O1106)),
    """",
    IF(VALUE(SUBSTITUTE(INDEX(SPLIT(IF(ISBLANK(R1106), Q1106, R1106), "",""), 0, 1), "" Km"", """")) - O1106 = 0,
      """",
      VALUE(SUBSTITUTE(INDEX(SPLIT(IF("&amp;"ISBLANK(R1106), Q1106, R1106), "",""), 0, 1), "" Km"", """")) - O1106
    )
  )
)"),-14200.0)</f>
        <v>-14200</v>
      </c>
      <c r="Q1106" s="23" t="str">
        <f t="shared" si="4"/>
        <v>49 500 Km, 10.04.2025</v>
      </c>
      <c r="R1106" s="20"/>
      <c r="S1106" s="41">
        <v>20000.0</v>
      </c>
      <c r="T1106" s="13">
        <v>2.0</v>
      </c>
      <c r="U1106" s="13" t="s">
        <v>1902</v>
      </c>
      <c r="V1106" s="24"/>
      <c r="W1106" s="24" t="str">
        <f t="shared" si="46"/>
        <v>Завершена</v>
      </c>
      <c r="X1106" s="13" t="str">
        <f>IFERROR(__xludf.DUMMYFUNCTION("IF(C1106 = """", """", IF(REGEXMATCH(C1106, ""PCX|NMAX|ADV 150|CLICK""), ""скутер"", ""мото""))"),"мото")</f>
        <v>мото</v>
      </c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</row>
    <row r="1107" hidden="1">
      <c r="A1107" s="25" t="s">
        <v>24</v>
      </c>
      <c r="B1107" s="25" t="s">
        <v>25</v>
      </c>
      <c r="C1107" s="27" t="s">
        <v>483</v>
      </c>
      <c r="D1107" s="27" t="s">
        <v>1903</v>
      </c>
      <c r="E1107" s="43">
        <v>45757.0</v>
      </c>
      <c r="F1107" s="39">
        <v>45761.583333333336</v>
      </c>
      <c r="G1107" s="30" t="str">
        <f t="shared" si="61"/>
        <v>4 Д</v>
      </c>
      <c r="H1107" s="31">
        <f t="shared" ref="H1107:H1136" si="63">IF(L1107&lt;&gt;"", VALUE(L1107)/30, IF(M1107&lt;&gt;"", VALUE(M1107)/1, ""))
</f>
        <v>1490</v>
      </c>
      <c r="I1107" s="32" t="str">
        <f t="shared" si="39"/>
        <v/>
      </c>
      <c r="J1107" s="33" t="str">
        <f t="shared" si="25"/>
        <v/>
      </c>
      <c r="K1107" s="36">
        <v>5960.0</v>
      </c>
      <c r="L1107" s="33"/>
      <c r="M1107" s="36">
        <v>1490.0</v>
      </c>
      <c r="N1107" s="44">
        <v>37000.0</v>
      </c>
      <c r="O1107" s="35">
        <f>IFERROR(__xludf.DUMMYFUNCTION("IFERROR(
  VLOOKUP(C1107,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C1107
    ), 
    7, FALSE
  ), 
  """"
)
"),41500.0)</f>
        <v>41500</v>
      </c>
      <c r="P1107" s="35">
        <f>IFERROR(__xludf.DUMMYFUNCTION("IF(AND(Q1107="""", R1107=""""),
  """",
  IF(OR(ISBLANK(Q1107), ISBLANK(O1107)),
    """",
    IF(VALUE(SUBSTITUTE(INDEX(SPLIT(IF(ISBLANK(R1107), Q1107, R1107), "",""), 0, 1), "" Km"", """")) - O1107 = 0,
      """",
      VALUE(SUBSTITUTE(INDEX(SPLIT(IF("&amp;"ISBLANK(R1107), Q1107, R1107), "",""), 0, 1), "" Km"", """")) - O1107
    )
  )
)"),-4500.0)</f>
        <v>-4500</v>
      </c>
      <c r="Q1107" s="36" t="str">
        <f t="shared" si="4"/>
        <v>37 000 Km, 10.04.2025</v>
      </c>
      <c r="R1107" s="33"/>
      <c r="S1107" s="40" t="s">
        <v>600</v>
      </c>
      <c r="T1107" s="25">
        <v>2.0</v>
      </c>
      <c r="U1107" s="71" t="s">
        <v>1904</v>
      </c>
      <c r="V1107" s="37"/>
      <c r="W1107" s="37" t="str">
        <f t="shared" si="46"/>
        <v>Завершена</v>
      </c>
      <c r="X1107" s="25" t="str">
        <f>IFERROR(__xludf.DUMMYFUNCTION("IF(C1107 = """", """", IF(REGEXMATCH(C1107, ""PCX|NMAX|ADV 150|CLICK""), ""скутер"", ""мото""))"),"мото")</f>
        <v>мото</v>
      </c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</row>
    <row r="1108" hidden="1">
      <c r="A1108" s="13" t="s">
        <v>24</v>
      </c>
      <c r="B1108" s="13" t="s">
        <v>25</v>
      </c>
      <c r="C1108" s="14" t="s">
        <v>151</v>
      </c>
      <c r="D1108" s="14" t="s">
        <v>1905</v>
      </c>
      <c r="E1108" s="48">
        <v>45757.0</v>
      </c>
      <c r="F1108" s="38">
        <v>45765.625</v>
      </c>
      <c r="G1108" s="17" t="str">
        <f t="shared" si="61"/>
        <v>8 Д</v>
      </c>
      <c r="H1108" s="18">
        <f t="shared" si="63"/>
        <v>336</v>
      </c>
      <c r="I1108" s="19" t="str">
        <f t="shared" si="39"/>
        <v/>
      </c>
      <c r="J1108" s="20" t="str">
        <f t="shared" si="25"/>
        <v/>
      </c>
      <c r="K1108" s="23">
        <v>2688.0</v>
      </c>
      <c r="L1108" s="20"/>
      <c r="M1108" s="23">
        <v>336.0</v>
      </c>
      <c r="N1108" s="49">
        <v>30391.0</v>
      </c>
      <c r="O1108" s="22">
        <f>IFERROR(__xludf.DUMMYFUNCTION("IFERROR(
  VLOOKUP(C1108,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C1108
    ), 
    7, FALSE
  ), 
  """"
)
"),35800.0)</f>
        <v>35800</v>
      </c>
      <c r="P1108" s="22">
        <f>IFERROR(__xludf.DUMMYFUNCTION("IF(AND(Q1108="""", R1108=""""),
  """",
  IF(OR(ISBLANK(Q1108), ISBLANK(O1108)),
    """",
    IF(VALUE(SUBSTITUTE(INDEX(SPLIT(IF(ISBLANK(R1108), Q1108, R1108), "",""), 0, 1), "" Km"", """")) - O1108 = 0,
      """",
      VALUE(SUBSTITUTE(INDEX(SPLIT(IF("&amp;"ISBLANK(R1108), Q1108, R1108), "",""), 0, 1), "" Km"", """")) - O1108
    )
  )
)"),-5409.0)</f>
        <v>-5409</v>
      </c>
      <c r="Q1108" s="23" t="str">
        <f t="shared" si="4"/>
        <v>30 391 Km, 10.04.2025</v>
      </c>
      <c r="R1108" s="20"/>
      <c r="S1108" s="41">
        <v>3000.0</v>
      </c>
      <c r="T1108" s="13">
        <v>2.0</v>
      </c>
      <c r="U1108" s="13" t="s">
        <v>1906</v>
      </c>
      <c r="V1108" s="24"/>
      <c r="W1108" s="24" t="str">
        <f t="shared" si="46"/>
        <v>Завершена</v>
      </c>
      <c r="X1108" s="13" t="str">
        <f>IFERROR(__xludf.DUMMYFUNCTION("IF(C1108 = """", """", IF(REGEXMATCH(C1108, ""PCX|NMAX|ADV 150|CLICK""), ""скутер"", ""мото""))"),"скутер")</f>
        <v>скутер</v>
      </c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</row>
    <row r="1109" hidden="1">
      <c r="A1109" s="25" t="s">
        <v>24</v>
      </c>
      <c r="B1109" s="25" t="s">
        <v>25</v>
      </c>
      <c r="C1109" s="27" t="s">
        <v>951</v>
      </c>
      <c r="D1109" s="27" t="s">
        <v>1907</v>
      </c>
      <c r="E1109" s="43">
        <v>45759.0</v>
      </c>
      <c r="F1109" s="39">
        <v>45773.833333333336</v>
      </c>
      <c r="G1109" s="30" t="str">
        <f t="shared" si="61"/>
        <v>14 Д</v>
      </c>
      <c r="H1109" s="31">
        <f t="shared" si="63"/>
        <v>660</v>
      </c>
      <c r="I1109" s="32" t="str">
        <f t="shared" si="39"/>
        <v/>
      </c>
      <c r="J1109" s="33" t="str">
        <f t="shared" si="25"/>
        <v/>
      </c>
      <c r="K1109" s="36">
        <f>7920+1320</f>
        <v>9240</v>
      </c>
      <c r="L1109" s="33"/>
      <c r="M1109" s="36">
        <v>660.0</v>
      </c>
      <c r="N1109" s="44">
        <v>16087.0</v>
      </c>
      <c r="O1109" s="35">
        <f>IFERROR(__xludf.DUMMYFUNCTION("IFERROR(
  VLOOKUP(C1109,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C1109
    ), 
    7, FALSE
  ), 
  """"
)
"),21100.0)</f>
        <v>21100</v>
      </c>
      <c r="P1109" s="35">
        <f>IFERROR(__xludf.DUMMYFUNCTION("IF(AND(Q1109="""", R1109=""""),
  """",
  IF(OR(ISBLANK(Q1109), ISBLANK(O1109)),
    """",
    IF(VALUE(SUBSTITUTE(INDEX(SPLIT(IF(ISBLANK(R1109), Q1109, R1109), "",""), 0, 1), "" Km"", """")) - O1109 = 0,
      """",
      VALUE(SUBSTITUTE(INDEX(SPLIT(IF("&amp;"ISBLANK(R1109), Q1109, R1109), "",""), 0, 1), "" Km"", """")) - O1109
    )
  )
)"),-5013.0)</f>
        <v>-5013</v>
      </c>
      <c r="Q1109" s="36" t="str">
        <f t="shared" si="4"/>
        <v>16 087 Km, 12.04.2025</v>
      </c>
      <c r="R1109" s="33"/>
      <c r="S1109" s="40">
        <v>0.0</v>
      </c>
      <c r="T1109" s="25">
        <v>2.0</v>
      </c>
      <c r="U1109" s="25" t="s">
        <v>516</v>
      </c>
      <c r="V1109" s="25" t="s">
        <v>1908</v>
      </c>
      <c r="W1109" s="37" t="str">
        <f t="shared" si="46"/>
        <v>Завершена</v>
      </c>
      <c r="X1109" s="25" t="str">
        <f>IFERROR(__xludf.DUMMYFUNCTION("IF(C1109 = """", """", IF(REGEXMATCH(C1109, ""PCX|NMAX|ADV 150|CLICK""), ""скутер"", ""мото""))"),"мото")</f>
        <v>мото</v>
      </c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</row>
    <row r="1110" hidden="1">
      <c r="A1110" s="13" t="s">
        <v>24</v>
      </c>
      <c r="B1110" s="13" t="s">
        <v>25</v>
      </c>
      <c r="C1110" s="14" t="s">
        <v>941</v>
      </c>
      <c r="D1110" s="14" t="s">
        <v>1827</v>
      </c>
      <c r="E1110" s="48">
        <v>45760.0</v>
      </c>
      <c r="F1110" s="38">
        <v>45762.625</v>
      </c>
      <c r="G1110" s="17" t="str">
        <f t="shared" si="61"/>
        <v>2 Д</v>
      </c>
      <c r="H1110" s="18">
        <f t="shared" si="63"/>
        <v>750</v>
      </c>
      <c r="I1110" s="19" t="str">
        <f t="shared" si="39"/>
        <v/>
      </c>
      <c r="J1110" s="20" t="str">
        <f t="shared" si="25"/>
        <v/>
      </c>
      <c r="K1110" s="23">
        <v>1500.0</v>
      </c>
      <c r="L1110" s="20"/>
      <c r="M1110" s="23">
        <v>750.0</v>
      </c>
      <c r="N1110" s="49">
        <v>8200.0</v>
      </c>
      <c r="O1110" s="22">
        <f>IFERROR(__xludf.DUMMYFUNCTION("IFERROR(
  VLOOKUP(C1110,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C1110
    ), 
    7, FALSE
  ), 
  """"
)
"),18302.0)</f>
        <v>18302</v>
      </c>
      <c r="P1110" s="22">
        <f>IFERROR(__xludf.DUMMYFUNCTION("IF(AND(Q1110="""", R1110=""""),
  """",
  IF(OR(ISBLANK(Q1110), ISBLANK(O1110)),
    """",
    IF(VALUE(SUBSTITUTE(INDEX(SPLIT(IF(ISBLANK(R1110), Q1110, R1110), "",""), 0, 1), "" Km"", """")) - O1110 = 0,
      """",
      VALUE(SUBSTITUTE(INDEX(SPLIT(IF("&amp;"ISBLANK(R1110), Q1110, R1110), "",""), 0, 1), "" Km"", """")) - O1110
    )
  )
)"),-10102.0)</f>
        <v>-10102</v>
      </c>
      <c r="Q1110" s="23" t="str">
        <f t="shared" si="4"/>
        <v>8 200 Km, 13.04.2025</v>
      </c>
      <c r="R1110" s="20"/>
      <c r="S1110" s="41">
        <v>7000.0</v>
      </c>
      <c r="T1110" s="13">
        <v>1.0</v>
      </c>
      <c r="U1110" s="13" t="s">
        <v>1828</v>
      </c>
      <c r="V1110" s="24"/>
      <c r="W1110" s="24" t="str">
        <f t="shared" si="46"/>
        <v>Завершена</v>
      </c>
      <c r="X1110" s="13" t="str">
        <f>IFERROR(__xludf.DUMMYFUNCTION("IF(C1110 = """", """", IF(REGEXMATCH(C1110, ""PCX|NMAX|ADV 150|CLICK""), ""скутер"", ""мото""))"),"мото")</f>
        <v>мото</v>
      </c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</row>
    <row r="1111" hidden="1">
      <c r="A1111" s="25" t="s">
        <v>24</v>
      </c>
      <c r="B1111" s="25" t="s">
        <v>25</v>
      </c>
      <c r="C1111" s="27" t="s">
        <v>48</v>
      </c>
      <c r="D1111" s="27" t="s">
        <v>1909</v>
      </c>
      <c r="E1111" s="43">
        <v>45760.0</v>
      </c>
      <c r="F1111" s="39">
        <v>45765.541666666664</v>
      </c>
      <c r="G1111" s="30" t="str">
        <f t="shared" si="61"/>
        <v>5 Д</v>
      </c>
      <c r="H1111" s="31">
        <f t="shared" si="63"/>
        <v>314</v>
      </c>
      <c r="I1111" s="32" t="str">
        <f t="shared" si="39"/>
        <v/>
      </c>
      <c r="J1111" s="33" t="str">
        <f t="shared" si="25"/>
        <v/>
      </c>
      <c r="K1111" s="36">
        <v>1570.0</v>
      </c>
      <c r="L1111" s="33"/>
      <c r="M1111" s="36">
        <v>314.0</v>
      </c>
      <c r="N1111" s="34"/>
      <c r="O1111" s="35">
        <f>IFERROR(__xludf.DUMMYFUNCTION("IFERROR(
  VLOOKUP(C1111,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C1111
    ), 
    7, FALSE
  ), 
  """"
)
"),35800.0)</f>
        <v>35800</v>
      </c>
      <c r="P1111" s="35">
        <f>IFERROR(__xludf.DUMMYFUNCTION("IF(AND(Q1111="""", R1111=""""),
  """",
  IF(OR(ISBLANK(Q1111), ISBLANK(O1111)),
    """",
    IF(VALUE(SUBSTITUTE(INDEX(SPLIT(IF(ISBLANK(R1111), Q1111, R1111), "",""), 0, 1), "" Km"", """")) - O1111 = 0,
      """",
      VALUE(SUBSTITUTE(INDEX(SPLIT(IF("&amp;"ISBLANK(R1111), Q1111, R1111), "",""), 0, 1), "" Km"", """")) - O1111
    )
  )
)"),-35800.0)</f>
        <v>-35800</v>
      </c>
      <c r="Q1111" s="36" t="str">
        <f t="shared" si="4"/>
        <v>0 Km, 13.04.2025</v>
      </c>
      <c r="R1111" s="33"/>
      <c r="S1111" s="40">
        <v>100.0</v>
      </c>
      <c r="T1111" s="25">
        <v>2.0</v>
      </c>
      <c r="U1111" s="25" t="s">
        <v>1910</v>
      </c>
      <c r="V1111" s="37"/>
      <c r="W1111" s="37" t="str">
        <f t="shared" si="46"/>
        <v>Завершена</v>
      </c>
      <c r="X1111" s="25" t="str">
        <f>IFERROR(__xludf.DUMMYFUNCTION("IF(C1111 = """", """", IF(REGEXMATCH(C1111, ""PCX|NMAX|ADV 150|CLICK""), ""скутер"", ""мото""))"),"скутер")</f>
        <v>скутер</v>
      </c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</row>
    <row r="1112" hidden="1">
      <c r="A1112" s="13" t="s">
        <v>24</v>
      </c>
      <c r="B1112" s="13" t="s">
        <v>25</v>
      </c>
      <c r="C1112" s="14" t="s">
        <v>193</v>
      </c>
      <c r="D1112" s="14" t="s">
        <v>1911</v>
      </c>
      <c r="E1112" s="48">
        <v>45761.0</v>
      </c>
      <c r="F1112" s="38">
        <v>45769.583333333336</v>
      </c>
      <c r="G1112" s="17" t="str">
        <f t="shared" si="61"/>
        <v>8 Д</v>
      </c>
      <c r="H1112" s="18">
        <f t="shared" si="63"/>
        <v>519</v>
      </c>
      <c r="I1112" s="19" t="str">
        <f t="shared" si="39"/>
        <v/>
      </c>
      <c r="J1112" s="20" t="str">
        <f t="shared" si="25"/>
        <v/>
      </c>
      <c r="K1112" s="23">
        <v>4152.0</v>
      </c>
      <c r="L1112" s="20"/>
      <c r="M1112" s="23">
        <v>519.0</v>
      </c>
      <c r="N1112" s="49">
        <v>17500.0</v>
      </c>
      <c r="O1112" s="22" t="str">
        <f>IFERROR(__xludf.DUMMYFUNCTION("IFERROR(
  VLOOKUP(C1112,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C1112
    ), 
    7, FALSE
  ), 
  """"
)
"),"")</f>
        <v/>
      </c>
      <c r="P1112" s="22">
        <f>IFERROR(__xludf.DUMMYFUNCTION("IF(AND(Q1112="""", R1112=""""),
  """",
  IF(OR(ISBLANK(Q1112), ISBLANK(O1112)),
    """",
    IF(VALUE(SUBSTITUTE(INDEX(SPLIT(IF(ISBLANK(R1112), Q1112, R1112), "",""), 0, 1), "" Km"", """")) - O1112 = 0,
      """",
      VALUE(SUBSTITUTE(INDEX(SPLIT(IF("&amp;"ISBLANK(R1112), Q1112, R1112), "",""), 0, 1), "" Km"", """")) - O1112
    )
  )
)"),17500.0)</f>
        <v>17500</v>
      </c>
      <c r="Q1112" s="23" t="str">
        <f t="shared" si="4"/>
        <v>17 500 Km, 14.04.2025</v>
      </c>
      <c r="R1112" s="20"/>
      <c r="S1112" s="41" t="s">
        <v>515</v>
      </c>
      <c r="T1112" s="13">
        <v>2.0</v>
      </c>
      <c r="U1112" s="13" t="s">
        <v>1912</v>
      </c>
      <c r="V1112" s="24"/>
      <c r="W1112" s="24" t="str">
        <f t="shared" si="46"/>
        <v>Завершена</v>
      </c>
      <c r="X1112" s="13" t="str">
        <f>IFERROR(__xludf.DUMMYFUNCTION("IF(C1112 = """", """", IF(REGEXMATCH(C1112, ""PCX|NMAX|ADV 150|CLICK""), ""скутер"", ""мото""))"),"мото")</f>
        <v>мото</v>
      </c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</row>
    <row r="1113" hidden="1">
      <c r="A1113" s="25" t="s">
        <v>24</v>
      </c>
      <c r="B1113" s="25" t="s">
        <v>25</v>
      </c>
      <c r="C1113" s="27" t="s">
        <v>77</v>
      </c>
      <c r="D1113" s="27" t="s">
        <v>1913</v>
      </c>
      <c r="E1113" s="43">
        <v>45761.0</v>
      </c>
      <c r="F1113" s="39">
        <v>45774.458333333336</v>
      </c>
      <c r="G1113" s="30" t="str">
        <f t="shared" si="61"/>
        <v>13 Д</v>
      </c>
      <c r="H1113" s="31">
        <f t="shared" si="63"/>
        <v>300</v>
      </c>
      <c r="I1113" s="32" t="str">
        <f t="shared" si="39"/>
        <v/>
      </c>
      <c r="J1113" s="33" t="str">
        <f t="shared" si="25"/>
        <v/>
      </c>
      <c r="K1113" s="36">
        <v>3900.0</v>
      </c>
      <c r="L1113" s="33"/>
      <c r="M1113" s="36">
        <v>300.0</v>
      </c>
      <c r="N1113" s="34"/>
      <c r="O1113" s="35">
        <f>IFERROR(__xludf.DUMMYFUNCTION("IFERROR(
  VLOOKUP(C1113,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C1113
    ), 
    7, FALSE
  ), 
  """"
)
"),37300.0)</f>
        <v>37300</v>
      </c>
      <c r="P1113" s="35">
        <f>IFERROR(__xludf.DUMMYFUNCTION("IF(AND(Q1113="""", R1113=""""),
  """",
  IF(OR(ISBLANK(Q1113), ISBLANK(O1113)),
    """",
    IF(VALUE(SUBSTITUTE(INDEX(SPLIT(IF(ISBLANK(R1113), Q1113, R1113), "",""), 0, 1), "" Km"", """")) - O1113 = 0,
      """",
      VALUE(SUBSTITUTE(INDEX(SPLIT(IF("&amp;"ISBLANK(R1113), Q1113, R1113), "",""), 0, 1), "" Km"", """")) - O1113
    )
  )
)"),-37300.0)</f>
        <v>-37300</v>
      </c>
      <c r="Q1113" s="36" t="str">
        <f t="shared" si="4"/>
        <v>0 Km, 14.04.2025</v>
      </c>
      <c r="R1113" s="33"/>
      <c r="S1113" s="40">
        <v>3000.0</v>
      </c>
      <c r="T1113" s="25">
        <v>2.0</v>
      </c>
      <c r="U1113" s="71" t="s">
        <v>1914</v>
      </c>
      <c r="V1113" s="37"/>
      <c r="W1113" s="37" t="str">
        <f t="shared" si="46"/>
        <v>Завершена</v>
      </c>
      <c r="X1113" s="25" t="str">
        <f>IFERROR(__xludf.DUMMYFUNCTION("IF(C1113 = """", """", IF(REGEXMATCH(C1113, ""PCX|NMAX|ADV 150|CLICK""), ""скутер"", ""мото""))"),"скутер")</f>
        <v>скутер</v>
      </c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</row>
    <row r="1114" hidden="1">
      <c r="A1114" s="13" t="s">
        <v>24</v>
      </c>
      <c r="B1114" s="13" t="s">
        <v>25</v>
      </c>
      <c r="C1114" s="14" t="s">
        <v>56</v>
      </c>
      <c r="D1114" s="14" t="s">
        <v>1915</v>
      </c>
      <c r="E1114" s="48">
        <v>45762.0</v>
      </c>
      <c r="F1114" s="38">
        <v>45770.541666666664</v>
      </c>
      <c r="G1114" s="17" t="str">
        <f t="shared" si="61"/>
        <v>8 Д</v>
      </c>
      <c r="H1114" s="18">
        <f t="shared" si="63"/>
        <v>294</v>
      </c>
      <c r="I1114" s="19" t="str">
        <f t="shared" si="39"/>
        <v/>
      </c>
      <c r="J1114" s="20" t="str">
        <f t="shared" si="25"/>
        <v/>
      </c>
      <c r="K1114" s="23">
        <v>2352.0</v>
      </c>
      <c r="L1114" s="20"/>
      <c r="M1114" s="23">
        <v>294.0</v>
      </c>
      <c r="N1114" s="21"/>
      <c r="O1114" s="22">
        <f>IFERROR(__xludf.DUMMYFUNCTION("IFERROR(
  VLOOKUP(C1114,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C1114
    ), 
    7, FALSE
  ), 
  """"
)
"),36400.0)</f>
        <v>36400</v>
      </c>
      <c r="P1114" s="22">
        <f>IFERROR(__xludf.DUMMYFUNCTION("IF(AND(Q1114="""", R1114=""""),
  """",
  IF(OR(ISBLANK(Q1114), ISBLANK(O1114)),
    """",
    IF(VALUE(SUBSTITUTE(INDEX(SPLIT(IF(ISBLANK(R1114), Q1114, R1114), "",""), 0, 1), "" Km"", """")) - O1114 = 0,
      """",
      VALUE(SUBSTITUTE(INDEX(SPLIT(IF("&amp;"ISBLANK(R1114), Q1114, R1114), "",""), 0, 1), "" Km"", """")) - O1114
    )
  )
)"),-36400.0)</f>
        <v>-36400</v>
      </c>
      <c r="Q1114" s="23" t="str">
        <f t="shared" si="4"/>
        <v>0 Km, 15.04.2025</v>
      </c>
      <c r="R1114" s="20"/>
      <c r="S1114" s="41">
        <v>3000.0</v>
      </c>
      <c r="T1114" s="13">
        <v>2.0</v>
      </c>
      <c r="U1114" s="13" t="s">
        <v>1916</v>
      </c>
      <c r="V1114" s="24"/>
      <c r="W1114" s="24" t="str">
        <f t="shared" si="46"/>
        <v>Завершена</v>
      </c>
      <c r="X1114" s="13" t="str">
        <f>IFERROR(__xludf.DUMMYFUNCTION("IF(C1114 = """", """", IF(REGEXMATCH(C1114, ""PCX|NMAX|ADV 150|CLICK""), ""скутер"", ""мото""))"),"скутер")</f>
        <v>скутер</v>
      </c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</row>
    <row r="1115" hidden="1">
      <c r="A1115" s="25" t="s">
        <v>24</v>
      </c>
      <c r="B1115" s="25" t="s">
        <v>25</v>
      </c>
      <c r="C1115" s="27" t="s">
        <v>98</v>
      </c>
      <c r="D1115" s="27" t="s">
        <v>1917</v>
      </c>
      <c r="E1115" s="43">
        <v>45762.0</v>
      </c>
      <c r="F1115" s="39">
        <v>45772.5</v>
      </c>
      <c r="G1115" s="30" t="str">
        <f t="shared" si="61"/>
        <v>10 Д</v>
      </c>
      <c r="H1115" s="31">
        <f t="shared" si="63"/>
        <v>300</v>
      </c>
      <c r="I1115" s="32" t="str">
        <f t="shared" si="39"/>
        <v/>
      </c>
      <c r="J1115" s="33" t="str">
        <f t="shared" si="25"/>
        <v/>
      </c>
      <c r="K1115" s="36">
        <v>3000.0</v>
      </c>
      <c r="L1115" s="33"/>
      <c r="M1115" s="36">
        <v>300.0</v>
      </c>
      <c r="N1115" s="44">
        <v>30500.0</v>
      </c>
      <c r="O1115" s="35">
        <f>IFERROR(__xludf.DUMMYFUNCTION("IFERROR(
  VLOOKUP(C1115,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C1115
    ), 
    7, FALSE
  ), 
  """"
)
"),32200.0)</f>
        <v>32200</v>
      </c>
      <c r="P1115" s="35">
        <f>IFERROR(__xludf.DUMMYFUNCTION("IF(AND(Q1115="""", R1115=""""),
  """",
  IF(OR(ISBLANK(Q1115), ISBLANK(O1115)),
    """",
    IF(VALUE(SUBSTITUTE(INDEX(SPLIT(IF(ISBLANK(R1115), Q1115, R1115), "",""), 0, 1), "" Km"", """")) - O1115 = 0,
      """",
      VALUE(SUBSTITUTE(INDEX(SPLIT(IF("&amp;"ISBLANK(R1115), Q1115, R1115), "",""), 0, 1), "" Km"", """")) - O1115
    )
  )
)"),-1700.0)</f>
        <v>-1700</v>
      </c>
      <c r="Q1115" s="36" t="str">
        <f t="shared" si="4"/>
        <v>30 500 Km, 15.04.2025</v>
      </c>
      <c r="R1115" s="33"/>
      <c r="S1115" s="40">
        <v>3000.0</v>
      </c>
      <c r="T1115" s="25">
        <v>2.0</v>
      </c>
      <c r="U1115" s="25" t="s">
        <v>1918</v>
      </c>
      <c r="V1115" s="37"/>
      <c r="W1115" s="37" t="str">
        <f t="shared" si="46"/>
        <v>Завершена</v>
      </c>
      <c r="X1115" s="25" t="str">
        <f>IFERROR(__xludf.DUMMYFUNCTION("IF(C1115 = """", """", IF(REGEXMATCH(C1115, ""PCX|NMAX|ADV 150|CLICK""), ""скутер"", ""мото""))"),"скутер")</f>
        <v>скутер</v>
      </c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</row>
    <row r="1116" hidden="1">
      <c r="A1116" s="13" t="s">
        <v>24</v>
      </c>
      <c r="B1116" s="13" t="s">
        <v>25</v>
      </c>
      <c r="C1116" s="14" t="s">
        <v>102</v>
      </c>
      <c r="D1116" s="14" t="s">
        <v>1919</v>
      </c>
      <c r="E1116" s="48">
        <v>45763.0</v>
      </c>
      <c r="F1116" s="38">
        <v>45769.583333333336</v>
      </c>
      <c r="G1116" s="17" t="str">
        <f t="shared" si="61"/>
        <v>6 Д</v>
      </c>
      <c r="H1116" s="18">
        <f t="shared" si="63"/>
        <v>1375</v>
      </c>
      <c r="I1116" s="19" t="str">
        <f t="shared" si="39"/>
        <v/>
      </c>
      <c r="J1116" s="20" t="str">
        <f t="shared" si="25"/>
        <v/>
      </c>
      <c r="K1116" s="23">
        <v>8250.0</v>
      </c>
      <c r="L1116" s="20"/>
      <c r="M1116" s="23">
        <v>1375.0</v>
      </c>
      <c r="N1116" s="21"/>
      <c r="O1116" s="22">
        <f>IFERROR(__xludf.DUMMYFUNCTION("IFERROR(
  VLOOKUP(C1116,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C1116
    ), 
    7, FALSE
  ), 
  """"
)
"),63700.0)</f>
        <v>63700</v>
      </c>
      <c r="P1116" s="22">
        <f>IFERROR(__xludf.DUMMYFUNCTION("IF(AND(Q1116="""", R1116=""""),
  """",
  IF(OR(ISBLANK(Q1116), ISBLANK(O1116)),
    """",
    IF(VALUE(SUBSTITUTE(INDEX(SPLIT(IF(ISBLANK(R1116), Q1116, R1116), "",""), 0, 1), "" Km"", """")) - O1116 = 0,
      """",
      VALUE(SUBSTITUTE(INDEX(SPLIT(IF("&amp;"ISBLANK(R1116), Q1116, R1116), "",""), 0, 1), "" Km"", """")) - O1116
    )
  )
)"),-63700.0)</f>
        <v>-63700</v>
      </c>
      <c r="Q1116" s="23" t="str">
        <f t="shared" si="4"/>
        <v>0 Km, 16.04.2025</v>
      </c>
      <c r="R1116" s="20"/>
      <c r="S1116" s="41">
        <v>20000.0</v>
      </c>
      <c r="T1116" s="13">
        <v>2.0</v>
      </c>
      <c r="U1116" s="13" t="s">
        <v>1902</v>
      </c>
      <c r="V1116" s="24"/>
      <c r="W1116" s="24" t="str">
        <f t="shared" si="46"/>
        <v>Завершена</v>
      </c>
      <c r="X1116" s="13" t="str">
        <f>IFERROR(__xludf.DUMMYFUNCTION("IF(C1116 = """", """", IF(REGEXMATCH(C1116, ""PCX|NMAX|ADV 150|CLICK""), ""скутер"", ""мото""))"),"мото")</f>
        <v>мото</v>
      </c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</row>
    <row r="1117" hidden="1">
      <c r="A1117" s="25" t="s">
        <v>24</v>
      </c>
      <c r="B1117" s="25" t="s">
        <v>25</v>
      </c>
      <c r="C1117" s="27" t="s">
        <v>914</v>
      </c>
      <c r="D1117" s="27" t="s">
        <v>1920</v>
      </c>
      <c r="E1117" s="43">
        <v>45764.0</v>
      </c>
      <c r="F1117" s="39">
        <v>45777.583333333336</v>
      </c>
      <c r="G1117" s="30" t="str">
        <f t="shared" si="61"/>
        <v>13 Д</v>
      </c>
      <c r="H1117" s="31">
        <f t="shared" si="63"/>
        <v>1500</v>
      </c>
      <c r="I1117" s="32" t="str">
        <f t="shared" si="39"/>
        <v/>
      </c>
      <c r="J1117" s="33" t="str">
        <f t="shared" si="25"/>
        <v/>
      </c>
      <c r="K1117" s="36">
        <f>9000+6000+4500</f>
        <v>19500</v>
      </c>
      <c r="L1117" s="33"/>
      <c r="M1117" s="36">
        <v>1500.0</v>
      </c>
      <c r="N1117" s="44">
        <v>13000.0</v>
      </c>
      <c r="O1117" s="35">
        <f>IFERROR(__xludf.DUMMYFUNCTION("IFERROR(
  VLOOKUP(C1117,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C1117
    ), 
    7, FALSE
  ), 
  """"
)
"),17900.0)</f>
        <v>17900</v>
      </c>
      <c r="P1117" s="35">
        <f>IFERROR(__xludf.DUMMYFUNCTION("IF(AND(Q1117="""", R1117=""""),
  """",
  IF(OR(ISBLANK(Q1117), ISBLANK(O1117)),
    """",
    IF(VALUE(SUBSTITUTE(INDEX(SPLIT(IF(ISBLANK(R1117), Q1117, R1117), "",""), 0, 1), "" Km"", """")) - O1117 = 0,
      """",
      VALUE(SUBSTITUTE(INDEX(SPLIT(IF("&amp;"ISBLANK(R1117), Q1117, R1117), "",""), 0, 1), "" Km"", """")) - O1117
    )
  )
)"),-4900.0)</f>
        <v>-4900</v>
      </c>
      <c r="Q1117" s="36" t="str">
        <f t="shared" si="4"/>
        <v>13 000 Km, 17.04.2025</v>
      </c>
      <c r="R1117" s="33"/>
      <c r="S1117" s="40" t="s">
        <v>600</v>
      </c>
      <c r="T1117" s="25">
        <v>2.0</v>
      </c>
      <c r="U1117" s="71" t="s">
        <v>1921</v>
      </c>
      <c r="V1117" s="37"/>
      <c r="W1117" s="37" t="str">
        <f t="shared" si="46"/>
        <v>Завершена</v>
      </c>
      <c r="X1117" s="25" t="str">
        <f>IFERROR(__xludf.DUMMYFUNCTION("IF(C1117 = """", """", IF(REGEXMATCH(C1117, ""PCX|NMAX|ADV 150|CLICK""), ""скутер"", ""мото""))"),"мото")</f>
        <v>мото</v>
      </c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</row>
    <row r="1118" hidden="1">
      <c r="A1118" s="13" t="s">
        <v>24</v>
      </c>
      <c r="B1118" s="13" t="s">
        <v>25</v>
      </c>
      <c r="C1118" s="14" t="s">
        <v>438</v>
      </c>
      <c r="D1118" s="14" t="s">
        <v>1922</v>
      </c>
      <c r="E1118" s="48">
        <v>45764.0</v>
      </c>
      <c r="F1118" s="38">
        <v>45778.583333333336</v>
      </c>
      <c r="G1118" s="17" t="str">
        <f t="shared" si="61"/>
        <v>14 Д</v>
      </c>
      <c r="H1118" s="18">
        <f t="shared" si="63"/>
        <v>628</v>
      </c>
      <c r="I1118" s="19" t="str">
        <f t="shared" si="39"/>
        <v/>
      </c>
      <c r="J1118" s="20" t="str">
        <f t="shared" si="25"/>
        <v/>
      </c>
      <c r="K1118" s="23">
        <v>8794.0</v>
      </c>
      <c r="L1118" s="20"/>
      <c r="M1118" s="23">
        <v>628.0</v>
      </c>
      <c r="N1118" s="21"/>
      <c r="O1118" s="22">
        <f>IFERROR(__xludf.DUMMYFUNCTION("IFERROR(
  VLOOKUP(C1118,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C1118
    ), 
    7, FALSE
  ), 
  """"
)
"),37823.0)</f>
        <v>37823</v>
      </c>
      <c r="P1118" s="22">
        <f>IFERROR(__xludf.DUMMYFUNCTION("IF(AND(Q1118="""", R1118=""""),
  """",
  IF(OR(ISBLANK(Q1118), ISBLANK(O1118)),
    """",
    IF(VALUE(SUBSTITUTE(INDEX(SPLIT(IF(ISBLANK(R1118), Q1118, R1118), "",""), 0, 1), "" Km"", """")) - O1118 = 0,
      """",
      VALUE(SUBSTITUTE(INDEX(SPLIT(IF("&amp;"ISBLANK(R1118), Q1118, R1118), "",""), 0, 1), "" Km"", """")) - O1118
    )
  )
)"),-37823.0)</f>
        <v>-37823</v>
      </c>
      <c r="Q1118" s="23" t="str">
        <f t="shared" si="4"/>
        <v>0 Km, 17.04.2025</v>
      </c>
      <c r="R1118" s="20"/>
      <c r="S1118" s="41">
        <v>20000.0</v>
      </c>
      <c r="T1118" s="13">
        <v>1.0</v>
      </c>
      <c r="U1118" s="13" t="s">
        <v>1923</v>
      </c>
      <c r="V1118" s="24"/>
      <c r="W1118" s="24" t="str">
        <f t="shared" si="46"/>
        <v>Завершена</v>
      </c>
      <c r="X1118" s="13" t="str">
        <f>IFERROR(__xludf.DUMMYFUNCTION("IF(C1118 = """", """", IF(REGEXMATCH(C1118, ""PCX|NMAX|ADV 150|CLICK""), ""скутер"", ""мото""))"),"мото")</f>
        <v>мото</v>
      </c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</row>
    <row r="1119" hidden="1">
      <c r="A1119" s="25" t="s">
        <v>24</v>
      </c>
      <c r="B1119" s="25" t="s">
        <v>25</v>
      </c>
      <c r="C1119" s="27" t="s">
        <v>1065</v>
      </c>
      <c r="D1119" s="27" t="s">
        <v>1924</v>
      </c>
      <c r="E1119" s="43">
        <v>45768.0</v>
      </c>
      <c r="F1119" s="39">
        <v>45773.5</v>
      </c>
      <c r="G1119" s="30" t="str">
        <f t="shared" si="61"/>
        <v>5 Д</v>
      </c>
      <c r="H1119" s="31">
        <f t="shared" si="63"/>
        <v>500</v>
      </c>
      <c r="I1119" s="32" t="str">
        <f t="shared" si="39"/>
        <v/>
      </c>
      <c r="J1119" s="33" t="str">
        <f t="shared" si="25"/>
        <v/>
      </c>
      <c r="K1119" s="36">
        <v>2500.0</v>
      </c>
      <c r="L1119" s="33"/>
      <c r="M1119" s="36">
        <v>500.0</v>
      </c>
      <c r="N1119" s="44">
        <v>8500.0</v>
      </c>
      <c r="O1119" s="35">
        <f>IFERROR(__xludf.DUMMYFUNCTION("IFERROR(
  VLOOKUP(C1119,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C1119
    ), 
    7, FALSE
  ), 
  """"
)
"),19130.0)</f>
        <v>19130</v>
      </c>
      <c r="P1119" s="35">
        <f>IFERROR(__xludf.DUMMYFUNCTION("IF(AND(Q1119="""", R1119=""""),
  """",
  IF(OR(ISBLANK(Q1119), ISBLANK(O1119)),
    """",
    IF(VALUE(SUBSTITUTE(INDEX(SPLIT(IF(ISBLANK(R1119), Q1119, R1119), "",""), 0, 1), "" Km"", """")) - O1119 = 0,
      """",
      VALUE(SUBSTITUTE(INDEX(SPLIT(IF("&amp;"ISBLANK(R1119), Q1119, R1119), "",""), 0, 1), "" Km"", """")) - O1119
    )
  )
)"),-10630.0)</f>
        <v>-10630</v>
      </c>
      <c r="Q1119" s="36" t="str">
        <f t="shared" si="4"/>
        <v>8 500 Km, 21.04.2025</v>
      </c>
      <c r="R1119" s="33"/>
      <c r="S1119" s="40">
        <v>5000.0</v>
      </c>
      <c r="T1119" s="25">
        <v>2.0</v>
      </c>
      <c r="U1119" s="71" t="s">
        <v>1925</v>
      </c>
      <c r="V1119" s="37"/>
      <c r="W1119" s="37" t="str">
        <f t="shared" si="46"/>
        <v>Завершена</v>
      </c>
      <c r="X1119" s="25" t="str">
        <f>IFERROR(__xludf.DUMMYFUNCTION("IF(C1119 = """", """", IF(REGEXMATCH(C1119, ""PCX|NMAX|ADV 150|CLICK""), ""скутер"", ""мото""))"),"мото")</f>
        <v>мото</v>
      </c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</row>
    <row r="1120" hidden="1">
      <c r="A1120" s="13" t="s">
        <v>24</v>
      </c>
      <c r="B1120" s="13" t="s">
        <v>25</v>
      </c>
      <c r="C1120" s="14" t="s">
        <v>102</v>
      </c>
      <c r="D1120" s="14" t="s">
        <v>1144</v>
      </c>
      <c r="E1120" s="48">
        <v>45769.0</v>
      </c>
      <c r="F1120" s="38">
        <v>45770.583333333336</v>
      </c>
      <c r="G1120" s="17" t="str">
        <f t="shared" si="61"/>
        <v>1 Д</v>
      </c>
      <c r="H1120" s="18">
        <f t="shared" si="63"/>
        <v>1690</v>
      </c>
      <c r="I1120" s="19" t="str">
        <f t="shared" si="39"/>
        <v/>
      </c>
      <c r="J1120" s="20" t="str">
        <f t="shared" si="25"/>
        <v/>
      </c>
      <c r="K1120" s="23">
        <v>1690.0</v>
      </c>
      <c r="L1120" s="20"/>
      <c r="M1120" s="23">
        <v>1690.0</v>
      </c>
      <c r="N1120" s="49">
        <v>50700.0</v>
      </c>
      <c r="O1120" s="22">
        <f>IFERROR(__xludf.DUMMYFUNCTION("IFERROR(
  VLOOKUP(C1120,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C1120
    ), 
    7, FALSE
  ), 
  """"
)
"),63700.0)</f>
        <v>63700</v>
      </c>
      <c r="P1120" s="22">
        <f>IFERROR(__xludf.DUMMYFUNCTION("IF(AND(Q1120="""", R1120=""""),
  """",
  IF(OR(ISBLANK(Q1120), ISBLANK(O1120)),
    """",
    IF(VALUE(SUBSTITUTE(INDEX(SPLIT(IF(ISBLANK(R1120), Q1120, R1120), "",""), 0, 1), "" Km"", """")) - O1120 = 0,
      """",
      VALUE(SUBSTITUTE(INDEX(SPLIT(IF("&amp;"ISBLANK(R1120), Q1120, R1120), "",""), 0, 1), "" Km"", """")) - O1120
    )
  )
)"),-13000.0)</f>
        <v>-13000</v>
      </c>
      <c r="Q1120" s="23" t="str">
        <f t="shared" si="4"/>
        <v>50 700 Km, 22.04.2025</v>
      </c>
      <c r="R1120" s="20"/>
      <c r="S1120" s="41" t="s">
        <v>1502</v>
      </c>
      <c r="T1120" s="13">
        <v>2.0</v>
      </c>
      <c r="U1120" s="13" t="s">
        <v>1926</v>
      </c>
      <c r="V1120" s="24"/>
      <c r="W1120" s="24" t="str">
        <f t="shared" si="46"/>
        <v>Завершена</v>
      </c>
      <c r="X1120" s="13" t="str">
        <f>IFERROR(__xludf.DUMMYFUNCTION("IF(C1120 = """", """", IF(REGEXMATCH(C1120, ""PCX|NMAX|ADV 150|CLICK""), ""скутер"", ""мото""))"),"мото")</f>
        <v>мото</v>
      </c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</row>
    <row r="1121" hidden="1">
      <c r="A1121" s="25" t="s">
        <v>24</v>
      </c>
      <c r="B1121" s="25" t="s">
        <v>25</v>
      </c>
      <c r="C1121" s="27" t="s">
        <v>928</v>
      </c>
      <c r="D1121" s="27" t="s">
        <v>740</v>
      </c>
      <c r="E1121" s="43">
        <v>45770.0</v>
      </c>
      <c r="F1121" s="39">
        <v>45784.708333333336</v>
      </c>
      <c r="G1121" s="30" t="str">
        <f t="shared" si="61"/>
        <v>14 Д</v>
      </c>
      <c r="H1121" s="31">
        <f t="shared" si="63"/>
        <v>600</v>
      </c>
      <c r="I1121" s="32" t="str">
        <f t="shared" si="39"/>
        <v/>
      </c>
      <c r="J1121" s="33" t="str">
        <f t="shared" si="25"/>
        <v/>
      </c>
      <c r="K1121" s="36">
        <v>8400.0</v>
      </c>
      <c r="L1121" s="33"/>
      <c r="M1121" s="36">
        <v>600.0</v>
      </c>
      <c r="N1121" s="44">
        <v>7294.0</v>
      </c>
      <c r="O1121" s="35">
        <f>IFERROR(__xludf.DUMMYFUNCTION("IFERROR(
  VLOOKUP(C1121,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C1121
    ), 
    7, FALSE
  ), 
  """"
)
"),11000.0)</f>
        <v>11000</v>
      </c>
      <c r="P1121" s="35">
        <f>IFERROR(__xludf.DUMMYFUNCTION("IF(AND(Q1121="""", R1121=""""),
  """",
  IF(OR(ISBLANK(Q1121), ISBLANK(O1121)),
    """",
    IF(VALUE(SUBSTITUTE(INDEX(SPLIT(IF(ISBLANK(R1121), Q1121, R1121), "",""), 0, 1), "" Km"", """")) - O1121 = 0,
      """",
      VALUE(SUBSTITUTE(INDEX(SPLIT(IF("&amp;"ISBLANK(R1121), Q1121, R1121), "",""), 0, 1), "" Km"", """")) - O1121
    )
  )
)"),-3706.0)</f>
        <v>-3706</v>
      </c>
      <c r="Q1121" s="36" t="str">
        <f t="shared" si="4"/>
        <v>7 294 Km, 23.04.2025</v>
      </c>
      <c r="R1121" s="33"/>
      <c r="S1121" s="31"/>
      <c r="T1121" s="25">
        <v>0.0</v>
      </c>
      <c r="U1121" s="25" t="s">
        <v>516</v>
      </c>
      <c r="V1121" s="37"/>
      <c r="W1121" s="37" t="str">
        <f t="shared" si="46"/>
        <v>Завершена</v>
      </c>
      <c r="X1121" s="25" t="str">
        <f>IFERROR(__xludf.DUMMYFUNCTION("IF(C1121 = """", """", IF(REGEXMATCH(C1121, ""PCX|NMAX|ADV 150|CLICK""), ""скутер"", ""мото""))"),"мото")</f>
        <v>мото</v>
      </c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</row>
    <row r="1122" hidden="1">
      <c r="A1122" s="13" t="s">
        <v>24</v>
      </c>
      <c r="B1122" s="13" t="s">
        <v>25</v>
      </c>
      <c r="C1122" s="14" t="s">
        <v>946</v>
      </c>
      <c r="D1122" s="14" t="s">
        <v>1927</v>
      </c>
      <c r="E1122" s="48">
        <v>45772.0</v>
      </c>
      <c r="F1122" s="38">
        <v>45782.833333333336</v>
      </c>
      <c r="G1122" s="17" t="str">
        <f t="shared" si="61"/>
        <v>10 Д</v>
      </c>
      <c r="H1122" s="18">
        <f t="shared" si="63"/>
        <v>700</v>
      </c>
      <c r="I1122" s="19" t="str">
        <f t="shared" si="39"/>
        <v/>
      </c>
      <c r="J1122" s="20" t="str">
        <f t="shared" si="25"/>
        <v/>
      </c>
      <c r="K1122" s="23">
        <f>4900+2800</f>
        <v>7700</v>
      </c>
      <c r="L1122" s="20"/>
      <c r="M1122" s="23">
        <v>700.0</v>
      </c>
      <c r="N1122" s="21"/>
      <c r="O1122" s="22">
        <f>IFERROR(__xludf.DUMMYFUNCTION("IFERROR(
  VLOOKUP(C1122,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C1122
    ), 
    7, FALSE
  ), 
  """"
)
"),20400.0)</f>
        <v>20400</v>
      </c>
      <c r="P1122" s="22">
        <f>IFERROR(__xludf.DUMMYFUNCTION("IF(AND(Q1122="""", R1122=""""),
  """",
  IF(OR(ISBLANK(Q1122), ISBLANK(O1122)),
    """",
    IF(VALUE(SUBSTITUTE(INDEX(SPLIT(IF(ISBLANK(R1122), Q1122, R1122), "",""), 0, 1), "" Km"", """")) - O1122 = 0,
      """",
      VALUE(SUBSTITUTE(INDEX(SPLIT(IF("&amp;"ISBLANK(R1122), Q1122, R1122), "",""), 0, 1), "" Km"", """")) - O1122
    )
  )
)"),-20400.0)</f>
        <v>-20400</v>
      </c>
      <c r="Q1122" s="23" t="str">
        <f t="shared" si="4"/>
        <v>0 Km, 25.04.2025</v>
      </c>
      <c r="R1122" s="20"/>
      <c r="S1122" s="41">
        <v>7000.0</v>
      </c>
      <c r="T1122" s="13">
        <v>2.0</v>
      </c>
      <c r="U1122" s="66" t="s">
        <v>1928</v>
      </c>
      <c r="V1122" s="24"/>
      <c r="W1122" s="24" t="str">
        <f t="shared" si="46"/>
        <v>Завершена</v>
      </c>
      <c r="X1122" s="13" t="str">
        <f>IFERROR(__xludf.DUMMYFUNCTION("IF(C1122 = """", """", IF(REGEXMATCH(C1122, ""PCX|NMAX|ADV 150|CLICK""), ""скутер"", ""мото""))"),"мото")</f>
        <v>мото</v>
      </c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</row>
    <row r="1123" hidden="1">
      <c r="A1123" s="25" t="s">
        <v>24</v>
      </c>
      <c r="B1123" s="25" t="s">
        <v>25</v>
      </c>
      <c r="C1123" s="27" t="s">
        <v>971</v>
      </c>
      <c r="D1123" s="27" t="s">
        <v>1929</v>
      </c>
      <c r="E1123" s="43">
        <v>45773.0</v>
      </c>
      <c r="F1123" s="39">
        <v>45786.583333333336</v>
      </c>
      <c r="G1123" s="30" t="str">
        <f t="shared" si="61"/>
        <v>13 Д</v>
      </c>
      <c r="H1123" s="31">
        <f t="shared" si="63"/>
        <v>649</v>
      </c>
      <c r="I1123" s="32" t="str">
        <f t="shared" si="39"/>
        <v/>
      </c>
      <c r="J1123" s="33" t="str">
        <f t="shared" si="25"/>
        <v/>
      </c>
      <c r="K1123" s="36">
        <v>8437.0</v>
      </c>
      <c r="L1123" s="33"/>
      <c r="M1123" s="36">
        <v>649.0</v>
      </c>
      <c r="N1123" s="44">
        <v>14505.0</v>
      </c>
      <c r="O1123" s="35">
        <f>IFERROR(__xludf.DUMMYFUNCTION("IFERROR(
  VLOOKUP(C1123,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C1123
    ), 
    7, FALSE
  ), 
  """"
)
"),18300.0)</f>
        <v>18300</v>
      </c>
      <c r="P1123" s="35">
        <f>IFERROR(__xludf.DUMMYFUNCTION("IF(AND(Q1123="""", R1123=""""),
  """",
  IF(OR(ISBLANK(Q1123), ISBLANK(O1123)),
    """",
    IF(VALUE(SUBSTITUTE(INDEX(SPLIT(IF(ISBLANK(R1123), Q1123, R1123), "",""), 0, 1), "" Km"", """")) - O1123 = 0,
      """",
      VALUE(SUBSTITUTE(INDEX(SPLIT(IF("&amp;"ISBLANK(R1123), Q1123, R1123), "",""), 0, 1), "" Km"", """")) - O1123
    )
  )
)"),-3795.0)</f>
        <v>-3795</v>
      </c>
      <c r="Q1123" s="36" t="str">
        <f t="shared" si="4"/>
        <v>14 505 Km, 26.04.2025</v>
      </c>
      <c r="R1123" s="33"/>
      <c r="S1123" s="40">
        <v>7000.0</v>
      </c>
      <c r="T1123" s="25">
        <v>3.0</v>
      </c>
      <c r="U1123" s="25" t="s">
        <v>1930</v>
      </c>
      <c r="V1123" s="37"/>
      <c r="W1123" s="37" t="str">
        <f t="shared" si="46"/>
        <v>Завершена</v>
      </c>
      <c r="X1123" s="25" t="str">
        <f>IFERROR(__xludf.DUMMYFUNCTION("IF(C1123 = """", """", IF(REGEXMATCH(C1123, ""PCX|NMAX|ADV 150|CLICK""), ""скутер"", ""мото""))"),"мото")</f>
        <v>мото</v>
      </c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</row>
    <row r="1124" hidden="1">
      <c r="A1124" s="13" t="s">
        <v>24</v>
      </c>
      <c r="B1124" s="13" t="s">
        <v>25</v>
      </c>
      <c r="C1124" s="14" t="s">
        <v>64</v>
      </c>
      <c r="D1124" s="14" t="s">
        <v>1929</v>
      </c>
      <c r="E1124" s="48">
        <v>45773.0</v>
      </c>
      <c r="F1124" s="38">
        <v>45786.583333333336</v>
      </c>
      <c r="G1124" s="17" t="str">
        <f t="shared" si="61"/>
        <v>13 Д</v>
      </c>
      <c r="H1124" s="18">
        <f t="shared" si="63"/>
        <v>546</v>
      </c>
      <c r="I1124" s="19" t="str">
        <f t="shared" si="39"/>
        <v/>
      </c>
      <c r="J1124" s="20" t="str">
        <f t="shared" si="25"/>
        <v/>
      </c>
      <c r="K1124" s="23">
        <v>7098.0</v>
      </c>
      <c r="L1124" s="20"/>
      <c r="M1124" s="23">
        <v>546.0</v>
      </c>
      <c r="N1124" s="49">
        <v>29585.0</v>
      </c>
      <c r="O1124" s="22">
        <f>IFERROR(__xludf.DUMMYFUNCTION("IFERROR(
  VLOOKUP(C1124,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C1124
    ), 
    7, FALSE
  ), 
  """"
)
"),32600.0)</f>
        <v>32600</v>
      </c>
      <c r="P1124" s="22">
        <f>IFERROR(__xludf.DUMMYFUNCTION("IF(AND(Q1124="""", R1124=""""),
  """",
  IF(OR(ISBLANK(Q1124), ISBLANK(O1124)),
    """",
    IF(VALUE(SUBSTITUTE(INDEX(SPLIT(IF(ISBLANK(R1124), Q1124, R1124), "",""), 0, 1), "" Km"", """")) - O1124 = 0,
      """",
      VALUE(SUBSTITUTE(INDEX(SPLIT(IF("&amp;"ISBLANK(R1124), Q1124, R1124), "",""), 0, 1), "" Km"", """")) - O1124
    )
  )
)"),-3015.0)</f>
        <v>-3015</v>
      </c>
      <c r="Q1124" s="23" t="str">
        <f t="shared" si="4"/>
        <v>29 585 Km, 26.04.2025</v>
      </c>
      <c r="R1124" s="20"/>
      <c r="S1124" s="41">
        <v>5000.0</v>
      </c>
      <c r="T1124" s="13">
        <v>2.0</v>
      </c>
      <c r="U1124" s="13" t="s">
        <v>1930</v>
      </c>
      <c r="V1124" s="24"/>
      <c r="W1124" s="24" t="str">
        <f t="shared" si="46"/>
        <v>Завершена</v>
      </c>
      <c r="X1124" s="13" t="str">
        <f>IFERROR(__xludf.DUMMYFUNCTION("IF(C1124 = """", """", IF(REGEXMATCH(C1124, ""PCX|NMAX|ADV 150|CLICK""), ""скутер"", ""мото""))"),"мото")</f>
        <v>мото</v>
      </c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</row>
    <row r="1125" hidden="1">
      <c r="A1125" s="25" t="s">
        <v>24</v>
      </c>
      <c r="B1125" s="25" t="s">
        <v>25</v>
      </c>
      <c r="C1125" s="27" t="s">
        <v>941</v>
      </c>
      <c r="D1125" s="27" t="s">
        <v>1052</v>
      </c>
      <c r="E1125" s="43">
        <v>45773.0</v>
      </c>
      <c r="F1125" s="39">
        <v>45788.5</v>
      </c>
      <c r="G1125" s="30" t="str">
        <f t="shared" si="61"/>
        <v>15 Д</v>
      </c>
      <c r="H1125" s="31">
        <f t="shared" si="63"/>
        <v>710</v>
      </c>
      <c r="I1125" s="32" t="str">
        <f t="shared" si="39"/>
        <v/>
      </c>
      <c r="J1125" s="33" t="str">
        <f t="shared" si="25"/>
        <v/>
      </c>
      <c r="K1125" s="36">
        <v>10650.0</v>
      </c>
      <c r="L1125" s="33"/>
      <c r="M1125" s="36">
        <v>710.0</v>
      </c>
      <c r="N1125" s="34"/>
      <c r="O1125" s="35">
        <f>IFERROR(__xludf.DUMMYFUNCTION("IFERROR(
  VLOOKUP(C1125,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C1125
    ), 
    7, FALSE
  ), 
  """"
)
"),18302.0)</f>
        <v>18302</v>
      </c>
      <c r="P1125" s="35">
        <f>IFERROR(__xludf.DUMMYFUNCTION("IF(AND(Q1125="""", R1125=""""),
  """",
  IF(OR(ISBLANK(Q1125), ISBLANK(O1125)),
    """",
    IF(VALUE(SUBSTITUTE(INDEX(SPLIT(IF(ISBLANK(R1125), Q1125, R1125), "",""), 0, 1), "" Km"", """")) - O1125 = 0,
      """",
      VALUE(SUBSTITUTE(INDEX(SPLIT(IF("&amp;"ISBLANK(R1125), Q1125, R1125), "",""), 0, 1), "" Km"", """")) - O1125
    )
  )
)"),-18302.0)</f>
        <v>-18302</v>
      </c>
      <c r="Q1125" s="36" t="str">
        <f t="shared" si="4"/>
        <v>0 Km, 26.04.2025</v>
      </c>
      <c r="R1125" s="33"/>
      <c r="S1125" s="31"/>
      <c r="T1125" s="25">
        <v>2.0</v>
      </c>
      <c r="U1125" s="25" t="s">
        <v>516</v>
      </c>
      <c r="V1125" s="37"/>
      <c r="W1125" s="37" t="str">
        <f t="shared" si="46"/>
        <v>Завершена</v>
      </c>
      <c r="X1125" s="25" t="str">
        <f>IFERROR(__xludf.DUMMYFUNCTION("IF(C1125 = """", """", IF(REGEXMATCH(C1125, ""PCX|NMAX|ADV 150|CLICK""), ""скутер"", ""мото""))"),"мото")</f>
        <v>мото</v>
      </c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</row>
    <row r="1126" hidden="1">
      <c r="A1126" s="13" t="s">
        <v>24</v>
      </c>
      <c r="B1126" s="13" t="s">
        <v>25</v>
      </c>
      <c r="C1126" s="14" t="s">
        <v>967</v>
      </c>
      <c r="D1126" s="14" t="s">
        <v>1156</v>
      </c>
      <c r="E1126" s="48">
        <v>45774.0</v>
      </c>
      <c r="F1126" s="38">
        <v>45780.416666666664</v>
      </c>
      <c r="G1126" s="17" t="str">
        <f t="shared" si="61"/>
        <v>6 Д</v>
      </c>
      <c r="H1126" s="18">
        <f t="shared" si="63"/>
        <v>2250</v>
      </c>
      <c r="I1126" s="19" t="str">
        <f t="shared" si="39"/>
        <v/>
      </c>
      <c r="J1126" s="20" t="str">
        <f t="shared" si="25"/>
        <v/>
      </c>
      <c r="K1126" s="23">
        <v>13500.0</v>
      </c>
      <c r="L1126" s="20"/>
      <c r="M1126" s="23">
        <v>2250.0</v>
      </c>
      <c r="N1126" s="49">
        <v>14500.0</v>
      </c>
      <c r="O1126" s="22">
        <f>IFERROR(__xludf.DUMMYFUNCTION("IFERROR(
  VLOOKUP(C1126,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C1126
    ), 
    7, FALSE
  ), 
  """"
)
"),24800.0)</f>
        <v>24800</v>
      </c>
      <c r="P1126" s="22">
        <f>IFERROR(__xludf.DUMMYFUNCTION("IF(AND(Q1126="""", R1126=""""),
  """",
  IF(OR(ISBLANK(Q1126), ISBLANK(O1126)),
    """",
    IF(VALUE(SUBSTITUTE(INDEX(SPLIT(IF(ISBLANK(R1126), Q1126, R1126), "",""), 0, 1), "" Km"", """")) - O1126 = 0,
      """",
      VALUE(SUBSTITUTE(INDEX(SPLIT(IF("&amp;"ISBLANK(R1126), Q1126, R1126), "",""), 0, 1), "" Km"", """")) - O1126
    )
  )
)"),-10300.0)</f>
        <v>-10300</v>
      </c>
      <c r="Q1126" s="23" t="str">
        <f t="shared" si="4"/>
        <v>14 500 Km, 27.04.2025</v>
      </c>
      <c r="R1126" s="20"/>
      <c r="S1126" s="18"/>
      <c r="T1126" s="13">
        <v>1.0</v>
      </c>
      <c r="U1126" s="13" t="s">
        <v>1931</v>
      </c>
      <c r="V1126" s="24"/>
      <c r="W1126" s="24" t="str">
        <f t="shared" si="46"/>
        <v>Завершена</v>
      </c>
      <c r="X1126" s="13" t="str">
        <f>IFERROR(__xludf.DUMMYFUNCTION("IF(C1126 = """", """", IF(REGEXMATCH(C1126, ""PCX|NMAX|ADV 150|CLICK""), ""скутер"", ""мото""))"),"мото")</f>
        <v>мото</v>
      </c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</row>
    <row r="1127" hidden="1">
      <c r="A1127" s="25" t="s">
        <v>24</v>
      </c>
      <c r="B1127" s="25" t="s">
        <v>25</v>
      </c>
      <c r="C1127" s="27" t="s">
        <v>923</v>
      </c>
      <c r="D1127" s="27" t="s">
        <v>1018</v>
      </c>
      <c r="E1127" s="43">
        <v>45774.0</v>
      </c>
      <c r="F1127" s="39">
        <v>45782.666666666664</v>
      </c>
      <c r="G1127" s="30" t="str">
        <f t="shared" si="61"/>
        <v>8 Д</v>
      </c>
      <c r="H1127" s="31">
        <f t="shared" si="63"/>
        <v>644</v>
      </c>
      <c r="I1127" s="32" t="str">
        <f t="shared" si="39"/>
        <v/>
      </c>
      <c r="J1127" s="33" t="str">
        <f t="shared" si="25"/>
        <v/>
      </c>
      <c r="K1127" s="36">
        <v>5796.0</v>
      </c>
      <c r="L1127" s="33"/>
      <c r="M1127" s="36">
        <v>644.0</v>
      </c>
      <c r="N1127" s="34"/>
      <c r="O1127" s="35">
        <f>IFERROR(__xludf.DUMMYFUNCTION("IFERROR(
  VLOOKUP(C1127,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C1127
    ), 
    7, FALSE
  ), 
  """"
)
"),25378.0)</f>
        <v>25378</v>
      </c>
      <c r="P1127" s="35">
        <f>IFERROR(__xludf.DUMMYFUNCTION("IF(AND(Q1127="""", R1127=""""),
  """",
  IF(OR(ISBLANK(Q1127), ISBLANK(O1127)),
    """",
    IF(VALUE(SUBSTITUTE(INDEX(SPLIT(IF(ISBLANK(R1127), Q1127, R1127), "",""), 0, 1), "" Km"", """")) - O1127 = 0,
      """",
      VALUE(SUBSTITUTE(INDEX(SPLIT(IF("&amp;"ISBLANK(R1127), Q1127, R1127), "",""), 0, 1), "" Km"", """")) - O1127
    )
  )
)"),-25378.0)</f>
        <v>-25378</v>
      </c>
      <c r="Q1127" s="36" t="str">
        <f t="shared" si="4"/>
        <v>0 Km, 27.04.2025</v>
      </c>
      <c r="R1127" s="33"/>
      <c r="S1127" s="40">
        <v>7000.0</v>
      </c>
      <c r="T1127" s="25">
        <v>2.0</v>
      </c>
      <c r="U1127" s="25" t="s">
        <v>1932</v>
      </c>
      <c r="V1127" s="37"/>
      <c r="W1127" s="37" t="str">
        <f t="shared" si="46"/>
        <v>Завершена</v>
      </c>
      <c r="X1127" s="25" t="str">
        <f>IFERROR(__xludf.DUMMYFUNCTION("IF(C1127 = """", """", IF(REGEXMATCH(C1127, ""PCX|NMAX|ADV 150|CLICK""), ""скутер"", ""мото""))"),"мото")</f>
        <v>мото</v>
      </c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</row>
    <row r="1128" hidden="1">
      <c r="A1128" s="13" t="s">
        <v>24</v>
      </c>
      <c r="B1128" s="13" t="s">
        <v>25</v>
      </c>
      <c r="C1128" s="14" t="s">
        <v>102</v>
      </c>
      <c r="D1128" s="14" t="s">
        <v>1933</v>
      </c>
      <c r="E1128" s="48">
        <v>45775.0</v>
      </c>
      <c r="F1128" s="38">
        <v>45776.583333333336</v>
      </c>
      <c r="G1128" s="17" t="str">
        <f t="shared" si="61"/>
        <v>1 Д</v>
      </c>
      <c r="H1128" s="18">
        <f t="shared" si="63"/>
        <v>1537</v>
      </c>
      <c r="I1128" s="19" t="str">
        <f t="shared" si="39"/>
        <v/>
      </c>
      <c r="J1128" s="20" t="str">
        <f t="shared" si="25"/>
        <v/>
      </c>
      <c r="K1128" s="23">
        <v>1537.0</v>
      </c>
      <c r="L1128" s="20"/>
      <c r="M1128" s="23">
        <v>1537.0</v>
      </c>
      <c r="N1128" s="49">
        <v>52000.0</v>
      </c>
      <c r="O1128" s="22">
        <f>IFERROR(__xludf.DUMMYFUNCTION("IFERROR(
  VLOOKUP(C1128,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C1128
    ), 
    7, FALSE
  ), 
  """"
)
"),63700.0)</f>
        <v>63700</v>
      </c>
      <c r="P1128" s="22">
        <f>IFERROR(__xludf.DUMMYFUNCTION("IF(AND(Q1128="""", R1128=""""),
  """",
  IF(OR(ISBLANK(Q1128), ISBLANK(O1128)),
    """",
    IF(VALUE(SUBSTITUTE(INDEX(SPLIT(IF(ISBLANK(R1128), Q1128, R1128), "",""), 0, 1), "" Km"", """")) - O1128 = 0,
      """",
      VALUE(SUBSTITUTE(INDEX(SPLIT(IF("&amp;"ISBLANK(R1128), Q1128, R1128), "",""), 0, 1), "" Km"", """")) - O1128
    )
  )
)"),-11700.0)</f>
        <v>-11700</v>
      </c>
      <c r="Q1128" s="23" t="str">
        <f t="shared" si="4"/>
        <v>52 000 Km, 28.04.2025</v>
      </c>
      <c r="R1128" s="20"/>
      <c r="S1128" s="41">
        <v>20000.0</v>
      </c>
      <c r="T1128" s="13">
        <v>1.0</v>
      </c>
      <c r="U1128" s="13" t="s">
        <v>1934</v>
      </c>
      <c r="V1128" s="24"/>
      <c r="W1128" s="24" t="str">
        <f t="shared" si="46"/>
        <v>Завершена</v>
      </c>
      <c r="X1128" s="13" t="str">
        <f>IFERROR(__xludf.DUMMYFUNCTION("IF(C1128 = """", """", IF(REGEXMATCH(C1128, ""PCX|NMAX|ADV 150|CLICK""), ""скутер"", ""мото""))"),"мото")</f>
        <v>мото</v>
      </c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</row>
    <row r="1129" hidden="1">
      <c r="A1129" s="25" t="s">
        <v>24</v>
      </c>
      <c r="B1129" s="25" t="s">
        <v>25</v>
      </c>
      <c r="C1129" s="27" t="s">
        <v>1028</v>
      </c>
      <c r="D1129" s="27" t="s">
        <v>1935</v>
      </c>
      <c r="E1129" s="43">
        <v>45775.0</v>
      </c>
      <c r="F1129" s="39">
        <v>45780.75</v>
      </c>
      <c r="G1129" s="30" t="str">
        <f t="shared" si="61"/>
        <v>5 Д</v>
      </c>
      <c r="H1129" s="31">
        <f t="shared" si="63"/>
        <v>751</v>
      </c>
      <c r="I1129" s="32" t="str">
        <f t="shared" si="39"/>
        <v/>
      </c>
      <c r="J1129" s="33" t="str">
        <f t="shared" si="25"/>
        <v/>
      </c>
      <c r="K1129" s="36">
        <v>3755.0</v>
      </c>
      <c r="L1129" s="33"/>
      <c r="M1129" s="36">
        <v>751.0</v>
      </c>
      <c r="N1129" s="34"/>
      <c r="O1129" s="35">
        <f>IFERROR(__xludf.DUMMYFUNCTION("IFERROR(
  VLOOKUP(C1129,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C1129
    ), 
    7, FALSE
  ), 
  """"
)
"),21600.0)</f>
        <v>21600</v>
      </c>
      <c r="P1129" s="35">
        <f>IFERROR(__xludf.DUMMYFUNCTION("IF(AND(Q1129="""", R1129=""""),
  """",
  IF(OR(ISBLANK(Q1129), ISBLANK(O1129)),
    """",
    IF(VALUE(SUBSTITUTE(INDEX(SPLIT(IF(ISBLANK(R1129), Q1129, R1129), "",""), 0, 1), "" Km"", """")) - O1129 = 0,
      """",
      VALUE(SUBSTITUTE(INDEX(SPLIT(IF("&amp;"ISBLANK(R1129), Q1129, R1129), "",""), 0, 1), "" Km"", """")) - O1129
    )
  )
)"),-21600.0)</f>
        <v>-21600</v>
      </c>
      <c r="Q1129" s="36" t="str">
        <f t="shared" si="4"/>
        <v>0 Km, 28.04.2025</v>
      </c>
      <c r="R1129" s="33"/>
      <c r="S1129" s="40">
        <v>7000.0</v>
      </c>
      <c r="T1129" s="25">
        <v>2.0</v>
      </c>
      <c r="U1129" s="25" t="s">
        <v>1936</v>
      </c>
      <c r="V1129" s="37"/>
      <c r="W1129" s="37" t="str">
        <f t="shared" si="46"/>
        <v>Завершена</v>
      </c>
      <c r="X1129" s="25" t="str">
        <f>IFERROR(__xludf.DUMMYFUNCTION("IF(C1129 = """", """", IF(REGEXMATCH(C1129, ""PCX|NMAX|ADV 150|CLICK""), ""скутер"", ""мото""))"),"мото")</f>
        <v>мото</v>
      </c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</row>
    <row r="1130" hidden="1">
      <c r="A1130" s="13" t="s">
        <v>24</v>
      </c>
      <c r="B1130" s="13" t="s">
        <v>25</v>
      </c>
      <c r="C1130" s="14" t="s">
        <v>974</v>
      </c>
      <c r="D1130" s="14" t="s">
        <v>747</v>
      </c>
      <c r="E1130" s="48">
        <v>45776.0</v>
      </c>
      <c r="F1130" s="38">
        <v>45785.541666666664</v>
      </c>
      <c r="G1130" s="17" t="str">
        <f t="shared" si="61"/>
        <v>9 Д</v>
      </c>
      <c r="H1130" s="18">
        <f t="shared" si="63"/>
        <v>735</v>
      </c>
      <c r="I1130" s="19" t="str">
        <f t="shared" si="39"/>
        <v/>
      </c>
      <c r="J1130" s="20" t="str">
        <f t="shared" si="25"/>
        <v/>
      </c>
      <c r="K1130" s="23">
        <v>6615.0</v>
      </c>
      <c r="L1130" s="20"/>
      <c r="M1130" s="23">
        <v>735.0</v>
      </c>
      <c r="N1130" s="21"/>
      <c r="O1130" s="22">
        <f>IFERROR(__xludf.DUMMYFUNCTION("IFERROR(
  VLOOKUP(C1130,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C1130
    ), 
    7, FALSE
  ), 
  """"
)
"),11800.0)</f>
        <v>11800</v>
      </c>
      <c r="P1130" s="22">
        <f>IFERROR(__xludf.DUMMYFUNCTION("IF(AND(Q1130="""", R1130=""""),
  """",
  IF(OR(ISBLANK(Q1130), ISBLANK(O1130)),
    """",
    IF(VALUE(SUBSTITUTE(INDEX(SPLIT(IF(ISBLANK(R1130), Q1130, R1130), "",""), 0, 1), "" Km"", """")) - O1130 = 0,
      """",
      VALUE(SUBSTITUTE(INDEX(SPLIT(IF("&amp;"ISBLANK(R1130), Q1130, R1130), "",""), 0, 1), "" Km"", """")) - O1130
    )
  )
)"),-11800.0)</f>
        <v>-11800</v>
      </c>
      <c r="Q1130" s="23" t="str">
        <f t="shared" si="4"/>
        <v>0 Km, 29.04.2025</v>
      </c>
      <c r="R1130" s="20"/>
      <c r="S1130" s="18"/>
      <c r="T1130" s="13">
        <v>2.0</v>
      </c>
      <c r="U1130" s="13" t="s">
        <v>1937</v>
      </c>
      <c r="V1130" s="24"/>
      <c r="W1130" s="24" t="str">
        <f t="shared" si="46"/>
        <v>Завершена</v>
      </c>
      <c r="X1130" s="13" t="str">
        <f>IFERROR(__xludf.DUMMYFUNCTION("IF(C1130 = """", """", IF(REGEXMATCH(C1130, ""PCX|NMAX|ADV 150|CLICK""), ""скутер"", ""мото""))"),"мото")</f>
        <v>мото</v>
      </c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</row>
    <row r="1131" hidden="1">
      <c r="A1131" s="25" t="s">
        <v>24</v>
      </c>
      <c r="B1131" s="25" t="s">
        <v>25</v>
      </c>
      <c r="C1131" s="27" t="s">
        <v>423</v>
      </c>
      <c r="D1131" s="27" t="s">
        <v>1933</v>
      </c>
      <c r="E1131" s="43">
        <v>45776.0</v>
      </c>
      <c r="F1131" s="39">
        <v>45780.583333333336</v>
      </c>
      <c r="G1131" s="30" t="str">
        <f t="shared" si="61"/>
        <v>4 Д</v>
      </c>
      <c r="H1131" s="31">
        <f t="shared" si="63"/>
        <v>834</v>
      </c>
      <c r="I1131" s="32" t="str">
        <f t="shared" si="39"/>
        <v/>
      </c>
      <c r="J1131" s="33" t="str">
        <f t="shared" si="25"/>
        <v/>
      </c>
      <c r="K1131" s="36">
        <v>2900.0</v>
      </c>
      <c r="L1131" s="33"/>
      <c r="M1131" s="36">
        <v>834.0</v>
      </c>
      <c r="N1131" s="34"/>
      <c r="O1131" s="35" t="str">
        <f>IFERROR(__xludf.DUMMYFUNCTION("IFERROR(
  VLOOKUP(C1131,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C1131
    ), 
    7, FALSE
  ), 
  """"
)
"),"")</f>
        <v/>
      </c>
      <c r="P1131" s="35" t="str">
        <f>IFERROR(__xludf.DUMMYFUNCTION("IF(AND(Q1131="""", R1131=""""),
  """",
  IF(OR(ISBLANK(Q1131), ISBLANK(O1131)),
    """",
    IF(VALUE(SUBSTITUTE(INDEX(SPLIT(IF(ISBLANK(R1131), Q1131, R1131), "",""), 0, 1), "" Km"", """")) - O1131 = 0,
      """",
      VALUE(SUBSTITUTE(INDEX(SPLIT(IF("&amp;"ISBLANK(R1131), Q1131, R1131), "",""), 0, 1), "" Km"", """")) - O1131
    )
  )
)"),"")</f>
        <v/>
      </c>
      <c r="Q1131" s="36" t="str">
        <f t="shared" si="4"/>
        <v>0 Km, 29.04.2025</v>
      </c>
      <c r="R1131" s="33"/>
      <c r="S1131" s="40">
        <v>20000.0</v>
      </c>
      <c r="T1131" s="25">
        <v>1.0</v>
      </c>
      <c r="U1131" s="25" t="s">
        <v>1938</v>
      </c>
      <c r="V1131" s="37"/>
      <c r="W1131" s="37" t="str">
        <f t="shared" si="46"/>
        <v>Завершена</v>
      </c>
      <c r="X1131" s="25" t="str">
        <f>IFERROR(__xludf.DUMMYFUNCTION("IF(C1131 = """", """", IF(REGEXMATCH(C1131, ""PCX|NMAX|ADV 150|CLICK""), ""скутер"", ""мото""))"),"мото")</f>
        <v>мото</v>
      </c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</row>
    <row r="1132" hidden="1">
      <c r="A1132" s="13" t="s">
        <v>24</v>
      </c>
      <c r="B1132" s="14" t="s">
        <v>25</v>
      </c>
      <c r="C1132" s="14" t="s">
        <v>916</v>
      </c>
      <c r="D1132" s="105" t="s">
        <v>1933</v>
      </c>
      <c r="E1132" s="48">
        <v>45777.0</v>
      </c>
      <c r="F1132" s="16">
        <v>45780.583333333336</v>
      </c>
      <c r="G1132" s="17" t="str">
        <f t="shared" si="61"/>
        <v>3 Д</v>
      </c>
      <c r="H1132" s="18">
        <f t="shared" si="63"/>
        <v>1537</v>
      </c>
      <c r="I1132" s="19" t="str">
        <f t="shared" si="39"/>
        <v/>
      </c>
      <c r="J1132" s="20" t="str">
        <f t="shared" si="25"/>
        <v/>
      </c>
      <c r="K1132" s="20">
        <f>1537*3</f>
        <v>4611</v>
      </c>
      <c r="L1132" s="92"/>
      <c r="M1132" s="23">
        <v>1537.0</v>
      </c>
      <c r="N1132" s="171">
        <v>25000.0</v>
      </c>
      <c r="O1132" s="22">
        <f>IFERROR(__xludf.DUMMYFUNCTION("IFERROR(
  VLOOKUP(C1132,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C1132
    ), 
    7, FALSE
  ), 
  """"
)
"),29300.0)</f>
        <v>29300</v>
      </c>
      <c r="P1132" s="22">
        <f>IFERROR(__xludf.DUMMYFUNCTION("IF(AND(Q1132="""", R1132=""""),
  """",
  IF(OR(ISBLANK(Q1132), ISBLANK(O1132)),
    """",
    IF(VALUE(SUBSTITUTE(INDEX(SPLIT(IF(ISBLANK(R1132), Q1132, R1132), "",""), 0, 1), "" Km"", """")) - O1132 = 0,
      """",
      VALUE(SUBSTITUTE(INDEX(SPLIT(IF("&amp;"ISBLANK(R1132), Q1132, R1132), "",""), 0, 1), "" Km"", """")) - O1132
    )
  )
)"),-4300.0)</f>
        <v>-4300</v>
      </c>
      <c r="Q1132" s="20" t="str">
        <f t="shared" si="4"/>
        <v>25 000 Km, 30.04.2025</v>
      </c>
      <c r="R1132" s="92"/>
      <c r="S1132" s="18">
        <v>20000.0</v>
      </c>
      <c r="T1132" s="24">
        <v>1.0</v>
      </c>
      <c r="U1132" s="24" t="s">
        <v>1938</v>
      </c>
      <c r="V1132" s="168"/>
      <c r="W1132" s="24" t="str">
        <f t="shared" si="46"/>
        <v>Завершена</v>
      </c>
      <c r="X1132" s="42" t="str">
        <f>IFERROR(__xludf.DUMMYFUNCTION("IF(C1132 = """", """", IF(REGEXMATCH(C1132, ""PCX|NMAX|ADV 150|CLICK""), ""скутер"", ""мото""))"),"мото")</f>
        <v>мото</v>
      </c>
      <c r="Y1132" s="107"/>
      <c r="Z1132" s="107"/>
      <c r="AA1132" s="107"/>
      <c r="AB1132" s="107"/>
      <c r="AC1132" s="107"/>
      <c r="AD1132" s="107"/>
      <c r="AE1132" s="107"/>
      <c r="AF1132" s="107"/>
      <c r="AG1132" s="107"/>
      <c r="AH1132" s="107"/>
      <c r="AI1132" s="107"/>
      <c r="AJ1132" s="107"/>
      <c r="AK1132" s="107"/>
      <c r="AL1132" s="107"/>
      <c r="AM1132" s="107"/>
    </row>
    <row r="1133" hidden="1">
      <c r="A1133" s="25" t="s">
        <v>24</v>
      </c>
      <c r="B1133" s="25" t="s">
        <v>25</v>
      </c>
      <c r="C1133" s="27" t="s">
        <v>102</v>
      </c>
      <c r="D1133" s="27" t="s">
        <v>1144</v>
      </c>
      <c r="E1133" s="43">
        <v>45777.0</v>
      </c>
      <c r="F1133" s="39">
        <v>45778.916666666664</v>
      </c>
      <c r="G1133" s="30" t="str">
        <f t="shared" si="61"/>
        <v>1 Д</v>
      </c>
      <c r="H1133" s="31">
        <f t="shared" si="63"/>
        <v>1537</v>
      </c>
      <c r="I1133" s="32" t="str">
        <f t="shared" si="39"/>
        <v/>
      </c>
      <c r="J1133" s="33" t="str">
        <f t="shared" si="25"/>
        <v/>
      </c>
      <c r="K1133" s="36">
        <v>1537.0</v>
      </c>
      <c r="L1133" s="33"/>
      <c r="M1133" s="36">
        <v>1537.0</v>
      </c>
      <c r="N1133" s="34"/>
      <c r="O1133" s="35">
        <f>IFERROR(__xludf.DUMMYFUNCTION("IFERROR(
  VLOOKUP(C1133,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C1133
    ), 
    7, FALSE
  ), 
  """"
)
"),63700.0)</f>
        <v>63700</v>
      </c>
      <c r="P1133" s="35">
        <f>IFERROR(__xludf.DUMMYFUNCTION("IF(AND(Q1133="""", R1133=""""),
  """",
  IF(OR(ISBLANK(Q1133), ISBLANK(O1133)),
    """",
    IF(VALUE(SUBSTITUTE(INDEX(SPLIT(IF(ISBLANK(R1133), Q1133, R1133), "",""), 0, 1), "" Km"", """")) - O1133 = 0,
      """",
      VALUE(SUBSTITUTE(INDEX(SPLIT(IF("&amp;"ISBLANK(R1133), Q1133, R1133), "",""), 0, 1), "" Km"", """")) - O1133
    )
  )
)"),-63700.0)</f>
        <v>-63700</v>
      </c>
      <c r="Q1133" s="36" t="str">
        <f t="shared" si="4"/>
        <v>0 Km, 30.04.2025</v>
      </c>
      <c r="R1133" s="33"/>
      <c r="S1133" s="40">
        <v>20000.0</v>
      </c>
      <c r="T1133" s="25">
        <v>1.0</v>
      </c>
      <c r="U1133" s="25" t="s">
        <v>1151</v>
      </c>
      <c r="V1133" s="37"/>
      <c r="W1133" s="37" t="str">
        <f t="shared" si="46"/>
        <v>Завершена</v>
      </c>
      <c r="X1133" s="25" t="str">
        <f>IFERROR(__xludf.DUMMYFUNCTION("IF(C1133 = """", """", IF(REGEXMATCH(C1133, ""PCX|NMAX|ADV 150|CLICK""), ""скутер"", ""мото""))"),"мото")</f>
        <v>мото</v>
      </c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</row>
    <row r="1134" hidden="1">
      <c r="A1134" s="13" t="s">
        <v>24</v>
      </c>
      <c r="B1134" s="13" t="s">
        <v>25</v>
      </c>
      <c r="C1134" s="14" t="s">
        <v>77</v>
      </c>
      <c r="D1134" s="14" t="s">
        <v>1939</v>
      </c>
      <c r="E1134" s="48">
        <v>45778.0</v>
      </c>
      <c r="F1134" s="38">
        <v>45870.666666666664</v>
      </c>
      <c r="G1134" s="17" t="str">
        <f t="shared" si="61"/>
        <v>92 Д</v>
      </c>
      <c r="H1134" s="18">
        <f t="shared" si="63"/>
        <v>150</v>
      </c>
      <c r="I1134" s="19" t="str">
        <f t="shared" si="39"/>
        <v/>
      </c>
      <c r="J1134" s="20" t="str">
        <f t="shared" si="25"/>
        <v/>
      </c>
      <c r="K1134" s="23">
        <f>4500+4500+2600</f>
        <v>11600</v>
      </c>
      <c r="L1134" s="23">
        <v>4500.0</v>
      </c>
      <c r="M1134" s="20"/>
      <c r="N1134" s="49">
        <v>33800.0</v>
      </c>
      <c r="O1134" s="22">
        <f>IFERROR(__xludf.DUMMYFUNCTION("IFERROR(
  VLOOKUP(C1134,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C1134
    ), 
    7, FALSE
  ), 
  """"
)
"),37300.0)</f>
        <v>37300</v>
      </c>
      <c r="P1134" s="22">
        <f>IFERROR(__xludf.DUMMYFUNCTION("IF(AND(Q1134="""", R1134=""""),
  """",
  IF(OR(ISBLANK(Q1134), ISBLANK(O1134)),
    """",
    IF(VALUE(SUBSTITUTE(INDEX(SPLIT(IF(ISBLANK(R1134), Q1134, R1134), "",""), 0, 1), "" Km"", """")) - O1134 = 0,
      """",
      VALUE(SUBSTITUTE(INDEX(SPLIT(IF("&amp;"ISBLANK(R1134), Q1134, R1134), "",""), 0, 1), "" Km"", """")) - O1134
    )
  )
)"),-3500.0)</f>
        <v>-3500</v>
      </c>
      <c r="Q1134" s="23" t="str">
        <f t="shared" si="4"/>
        <v>33 800 Km, 01.05.2025</v>
      </c>
      <c r="R1134" s="20"/>
      <c r="S1134" s="41">
        <v>3000.0</v>
      </c>
      <c r="T1134" s="13">
        <v>2.0</v>
      </c>
      <c r="U1134" s="66" t="s">
        <v>1940</v>
      </c>
      <c r="V1134" s="24"/>
      <c r="W1134" s="24" t="str">
        <f t="shared" si="46"/>
        <v>Завершена</v>
      </c>
      <c r="X1134" s="13" t="str">
        <f>IFERROR(__xludf.DUMMYFUNCTION("IF(C1134 = """", """", IF(REGEXMATCH(C1134, ""PCX|NMAX|ADV 150|CLICK""), ""скутер"", ""мото""))"),"скутер")</f>
        <v>скутер</v>
      </c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</row>
    <row r="1135" hidden="1">
      <c r="A1135" s="25" t="s">
        <v>24</v>
      </c>
      <c r="B1135" s="25" t="s">
        <v>25</v>
      </c>
      <c r="C1135" s="27" t="s">
        <v>438</v>
      </c>
      <c r="D1135" s="27" t="s">
        <v>1941</v>
      </c>
      <c r="E1135" s="43">
        <v>45780.0</v>
      </c>
      <c r="F1135" s="39">
        <v>45794.75</v>
      </c>
      <c r="G1135" s="30" t="str">
        <f t="shared" si="61"/>
        <v>14 Д</v>
      </c>
      <c r="H1135" s="31">
        <f t="shared" si="63"/>
        <v>786</v>
      </c>
      <c r="I1135" s="32" t="str">
        <f t="shared" si="39"/>
        <v/>
      </c>
      <c r="J1135" s="33" t="str">
        <f t="shared" si="25"/>
        <v/>
      </c>
      <c r="K1135" s="36">
        <v>11004.0</v>
      </c>
      <c r="L1135" s="33"/>
      <c r="M1135" s="36">
        <v>786.0</v>
      </c>
      <c r="N1135" s="44">
        <v>26000.0</v>
      </c>
      <c r="O1135" s="35">
        <f>IFERROR(__xludf.DUMMYFUNCTION("IFERROR(
  VLOOKUP(C1135,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C1135
    ), 
    7, FALSE
  ), 
  """"
)
"),37823.0)</f>
        <v>37823</v>
      </c>
      <c r="P1135" s="35">
        <f>IFERROR(__xludf.DUMMYFUNCTION("IF(AND(Q1135="""", R1135=""""),
  """",
  IF(OR(ISBLANK(Q1135), ISBLANK(O1135)),
    """",
    IF(VALUE(SUBSTITUTE(INDEX(SPLIT(IF(ISBLANK(R1135), Q1135, R1135), "",""), 0, 1), "" Km"", """")) - O1135 = 0,
      """",
      VALUE(SUBSTITUTE(INDEX(SPLIT(IF("&amp;"ISBLANK(R1135), Q1135, R1135), "",""), 0, 1), "" Km"", """")) - O1135
    )
  )
)"),-11823.0)</f>
        <v>-11823</v>
      </c>
      <c r="Q1135" s="36" t="str">
        <f t="shared" si="4"/>
        <v>26 000 Km, 03.05.2025</v>
      </c>
      <c r="R1135" s="33"/>
      <c r="S1135" s="40" t="s">
        <v>515</v>
      </c>
      <c r="T1135" s="25">
        <v>1.0</v>
      </c>
      <c r="U1135" s="25" t="s">
        <v>1942</v>
      </c>
      <c r="V1135" s="37"/>
      <c r="W1135" s="37" t="str">
        <f t="shared" si="46"/>
        <v>Завершена</v>
      </c>
      <c r="X1135" s="25" t="str">
        <f>IFERROR(__xludf.DUMMYFUNCTION("IF(C1135 = """", """", IF(REGEXMATCH(C1135, ""PCX|NMAX|ADV 150|CLICK""), ""скутер"", ""мото""))"),"мото")</f>
        <v>мото</v>
      </c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</row>
    <row r="1136" hidden="1">
      <c r="A1136" s="13" t="s">
        <v>24</v>
      </c>
      <c r="B1136" s="13" t="s">
        <v>25</v>
      </c>
      <c r="C1136" s="14" t="s">
        <v>967</v>
      </c>
      <c r="D1136" s="14" t="s">
        <v>1943</v>
      </c>
      <c r="E1136" s="48">
        <v>45781.0</v>
      </c>
      <c r="F1136" s="38">
        <v>45784.541666666664</v>
      </c>
      <c r="G1136" s="17" t="str">
        <f t="shared" si="61"/>
        <v>3 Д</v>
      </c>
      <c r="H1136" s="18">
        <f t="shared" si="63"/>
        <v>2200</v>
      </c>
      <c r="I1136" s="19" t="str">
        <f t="shared" si="39"/>
        <v/>
      </c>
      <c r="J1136" s="20" t="str">
        <f t="shared" si="25"/>
        <v/>
      </c>
      <c r="K1136" s="23">
        <v>6600.0</v>
      </c>
      <c r="L1136" s="23"/>
      <c r="M1136" s="23">
        <v>2200.0</v>
      </c>
      <c r="N1136" s="49">
        <v>15000.0</v>
      </c>
      <c r="O1136" s="22">
        <f>IFERROR(__xludf.DUMMYFUNCTION("IFERROR(
  VLOOKUP(C1136,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C1136
    ), 
    7, FALSE
  ), 
  """"
)
"),24800.0)</f>
        <v>24800</v>
      </c>
      <c r="P1136" s="22">
        <f>IFERROR(__xludf.DUMMYFUNCTION("IF(AND(Q1136="""", R1136=""""),
  """",
  IF(OR(ISBLANK(Q1136), ISBLANK(O1136)),
    """",
    IF(VALUE(SUBSTITUTE(INDEX(SPLIT(IF(ISBLANK(R1136), Q1136, R1136), "",""), 0, 1), "" Km"", """")) - O1136 = 0,
      """",
      VALUE(SUBSTITUTE(INDEX(SPLIT(IF("&amp;"ISBLANK(R1136), Q1136, R1136), "",""), 0, 1), "" Km"", """")) - O1136
    )
  )
)"),-9800.0)</f>
        <v>-9800</v>
      </c>
      <c r="Q1136" s="23" t="str">
        <f t="shared" si="4"/>
        <v>15 000 Km, 04.05.2025</v>
      </c>
      <c r="R1136" s="20"/>
      <c r="S1136" s="41">
        <v>1000.0</v>
      </c>
      <c r="T1136" s="13">
        <v>1.0</v>
      </c>
      <c r="U1136" s="66" t="s">
        <v>1944</v>
      </c>
      <c r="V1136" s="24"/>
      <c r="W1136" s="24" t="str">
        <f t="shared" si="46"/>
        <v>Завершена</v>
      </c>
      <c r="X1136" s="13" t="str">
        <f>IFERROR(__xludf.DUMMYFUNCTION("IF(C1136 = """", """", IF(REGEXMATCH(C1136, ""PCX|NMAX|ADV 150|CLICK""), ""скутер"", ""мото""))"),"мото")</f>
        <v>мото</v>
      </c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</row>
    <row r="1137" hidden="1">
      <c r="A1137" s="25" t="s">
        <v>24</v>
      </c>
      <c r="B1137" s="27" t="s">
        <v>25</v>
      </c>
      <c r="C1137" s="27" t="s">
        <v>916</v>
      </c>
      <c r="D1137" s="27" t="s">
        <v>1945</v>
      </c>
      <c r="E1137" s="43">
        <v>45804.0</v>
      </c>
      <c r="F1137" s="39">
        <v>45806.541666666664</v>
      </c>
      <c r="G1137" s="30" t="str">
        <f t="shared" si="61"/>
        <v>2 Д</v>
      </c>
      <c r="H1137" s="31">
        <f>IF(L1137&lt;&gt;"", VALUE(L1137)/31, IF(M1137&lt;&gt;"", VALUE(M1137)/1, ""))
</f>
        <v>1000</v>
      </c>
      <c r="I1137" s="45">
        <v>1000.0</v>
      </c>
      <c r="J1137" s="33" t="str">
        <f t="shared" si="25"/>
        <v/>
      </c>
      <c r="K1137" s="36">
        <v>1000.0</v>
      </c>
      <c r="L1137" s="108"/>
      <c r="M1137" s="108">
        <v>1000.0</v>
      </c>
      <c r="N1137" s="44">
        <v>26500.0</v>
      </c>
      <c r="O1137" s="35">
        <f>IFERROR(__xludf.DUMMYFUNCTION("IFERROR(
  VLOOKUP(C1137,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C1137
    ), 
    7, FALSE
  ), 
  """"
)
"),29300.0)</f>
        <v>29300</v>
      </c>
      <c r="P1137" s="35">
        <f>IFERROR(__xludf.DUMMYFUNCTION("IF(AND(Q1137="""", R1137=""""),
  """",
  IF(OR(ISBLANK(Q1137), ISBLANK(O1137)),
    """",
    IF(VALUE(SUBSTITUTE(INDEX(SPLIT(IF(ISBLANK(R1137), Q1137, R1137), "",""), 0, 1), "" Km"", """")) - O1137 = 0,
      """",
      VALUE(SUBSTITUTE(INDEX(SPLIT(IF("&amp;"ISBLANK(R1137), Q1137, R1137), "",""), 0, 1), "" Km"", """")) - O1137
    )
  )
)"),-2800.0)</f>
        <v>-2800</v>
      </c>
      <c r="Q1137" s="33" t="str">
        <f t="shared" si="4"/>
        <v>26 500 Km, 27.05.2025</v>
      </c>
      <c r="R1137" s="58"/>
      <c r="S1137" s="31">
        <v>5000.0</v>
      </c>
      <c r="T1137" s="32">
        <v>1.0</v>
      </c>
      <c r="U1137" s="37" t="s">
        <v>90</v>
      </c>
      <c r="V1137" s="37"/>
      <c r="W1137" s="37" t="str">
        <f t="shared" si="46"/>
        <v>Завершена</v>
      </c>
      <c r="X1137" s="25" t="str">
        <f>IFERROR(__xludf.DUMMYFUNCTION("IF(C1137 = """", """", IF(REGEXMATCH(C1137, ""PCX|NMAX|ADV 150|CLICK""), ""скутер"", ""мото""))"),"мото")</f>
        <v>мото</v>
      </c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</row>
    <row r="1138" hidden="1">
      <c r="A1138" s="13" t="s">
        <v>24</v>
      </c>
      <c r="B1138" s="13" t="s">
        <v>25</v>
      </c>
      <c r="C1138" s="14" t="s">
        <v>102</v>
      </c>
      <c r="D1138" s="14" t="s">
        <v>1946</v>
      </c>
      <c r="E1138" s="48">
        <v>45783.0</v>
      </c>
      <c r="F1138" s="38">
        <v>45785.541666666664</v>
      </c>
      <c r="G1138" s="17" t="str">
        <f t="shared" si="61"/>
        <v>2 Д</v>
      </c>
      <c r="H1138" s="18">
        <f t="shared" ref="H1138:H1153" si="64">IF(L1138&lt;&gt;"", VALUE(L1138)/30, IF(M1138&lt;&gt;"", VALUE(M1138)/1, ""))
</f>
        <v>1700</v>
      </c>
      <c r="I1138" s="19" t="str">
        <f t="shared" ref="I1138:I2093" si="65">IF(OR(A1138="в аренде", A1138="в аренде 1", A1138="в аренде 2"), J1138-K1138, "")</f>
        <v/>
      </c>
      <c r="J1138" s="20" t="str">
        <f t="shared" si="25"/>
        <v/>
      </c>
      <c r="K1138" s="23">
        <v>3400.0</v>
      </c>
      <c r="L1138" s="20"/>
      <c r="M1138" s="23">
        <v>1700.0</v>
      </c>
      <c r="N1138" s="21"/>
      <c r="O1138" s="22">
        <f>IFERROR(__xludf.DUMMYFUNCTION("IFERROR(
  VLOOKUP(C1138,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C1138
    ), 
    7, FALSE
  ), 
  """"
)
"),63700.0)</f>
        <v>63700</v>
      </c>
      <c r="P1138" s="22">
        <f>IFERROR(__xludf.DUMMYFUNCTION("IF(AND(Q1138="""", R1138=""""),
  """",
  IF(OR(ISBLANK(Q1138), ISBLANK(O1138)),
    """",
    IF(VALUE(SUBSTITUTE(INDEX(SPLIT(IF(ISBLANK(R1138), Q1138, R1138), "",""), 0, 1), "" Km"", """")) - O1138 = 0,
      """",
      VALUE(SUBSTITUTE(INDEX(SPLIT(IF("&amp;"ISBLANK(R1138), Q1138, R1138), "",""), 0, 1), "" Km"", """")) - O1138
    )
  )
)"),-63700.0)</f>
        <v>-63700</v>
      </c>
      <c r="Q1138" s="23" t="str">
        <f t="shared" si="4"/>
        <v>0 Km, 06.05.2025</v>
      </c>
      <c r="R1138" s="20"/>
      <c r="S1138" s="41">
        <v>20000.0</v>
      </c>
      <c r="T1138" s="13">
        <v>2.0</v>
      </c>
      <c r="U1138" s="13" t="s">
        <v>1947</v>
      </c>
      <c r="V1138" s="24"/>
      <c r="W1138" s="24" t="str">
        <f t="shared" si="46"/>
        <v>Завершена</v>
      </c>
      <c r="X1138" s="13" t="str">
        <f>IFERROR(__xludf.DUMMYFUNCTION("IF(C1138 = """", """", IF(REGEXMATCH(C1138, ""PCX|NMAX|ADV 150|CLICK""), ""скутер"", ""мото""))"),"мото")</f>
        <v>мото</v>
      </c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</row>
    <row r="1139" hidden="1">
      <c r="A1139" s="25" t="s">
        <v>24</v>
      </c>
      <c r="B1139" s="25" t="s">
        <v>25</v>
      </c>
      <c r="C1139" s="27" t="s">
        <v>914</v>
      </c>
      <c r="D1139" s="27" t="s">
        <v>740</v>
      </c>
      <c r="E1139" s="43">
        <v>45783.0</v>
      </c>
      <c r="F1139" s="39">
        <v>45791.541666666664</v>
      </c>
      <c r="G1139" s="30" t="str">
        <f t="shared" si="61"/>
        <v>8 Д</v>
      </c>
      <c r="H1139" s="31">
        <f t="shared" si="64"/>
        <v>2000</v>
      </c>
      <c r="I1139" s="32" t="str">
        <f t="shared" si="65"/>
        <v/>
      </c>
      <c r="J1139" s="33" t="str">
        <f t="shared" si="25"/>
        <v/>
      </c>
      <c r="K1139" s="36">
        <v>16000.0</v>
      </c>
      <c r="L1139" s="33"/>
      <c r="M1139" s="36">
        <v>2000.0</v>
      </c>
      <c r="N1139" s="44">
        <v>13000.0</v>
      </c>
      <c r="O1139" s="35">
        <f>IFERROR(__xludf.DUMMYFUNCTION("IFERROR(
  VLOOKUP(C1139,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C1139
    ), 
    7, FALSE
  ), 
  """"
)
"),17900.0)</f>
        <v>17900</v>
      </c>
      <c r="P1139" s="35">
        <f>IFERROR(__xludf.DUMMYFUNCTION("IF(AND(Q1139="""", R1139=""""),
  """",
  IF(OR(ISBLANK(Q1139), ISBLANK(O1139)),
    """",
    IF(VALUE(SUBSTITUTE(INDEX(SPLIT(IF(ISBLANK(R1139), Q1139, R1139), "",""), 0, 1), "" Km"", """")) - O1139 = 0,
      """",
      VALUE(SUBSTITUTE(INDEX(SPLIT(IF("&amp;"ISBLANK(R1139), Q1139, R1139), "",""), 0, 1), "" Km"", """")) - O1139
    )
  )
)"),-4900.0)</f>
        <v>-4900</v>
      </c>
      <c r="Q1139" s="36" t="str">
        <f t="shared" si="4"/>
        <v>13 000 Km, 06.05.2025</v>
      </c>
      <c r="R1139" s="33"/>
      <c r="S1139" s="31"/>
      <c r="T1139" s="25">
        <v>0.0</v>
      </c>
      <c r="U1139" s="25" t="s">
        <v>516</v>
      </c>
      <c r="V1139" s="37"/>
      <c r="W1139" s="37" t="str">
        <f t="shared" si="46"/>
        <v>Завершена</v>
      </c>
      <c r="X1139" s="25" t="str">
        <f>IFERROR(__xludf.DUMMYFUNCTION("IF(C1139 = """", """", IF(REGEXMATCH(C1139, ""PCX|NMAX|ADV 150|CLICK""), ""скутер"", ""мото""))"),"мото")</f>
        <v>мото</v>
      </c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</row>
    <row r="1140" hidden="1">
      <c r="A1140" s="13" t="s">
        <v>24</v>
      </c>
      <c r="B1140" s="13" t="s">
        <v>25</v>
      </c>
      <c r="C1140" s="14" t="s">
        <v>923</v>
      </c>
      <c r="D1140" s="14" t="s">
        <v>1943</v>
      </c>
      <c r="E1140" s="48">
        <v>45784.0</v>
      </c>
      <c r="F1140" s="38">
        <v>45789.666666666664</v>
      </c>
      <c r="G1140" s="17" t="str">
        <f t="shared" si="61"/>
        <v>5 Д</v>
      </c>
      <c r="H1140" s="18">
        <f t="shared" si="64"/>
        <v>848</v>
      </c>
      <c r="I1140" s="19" t="str">
        <f t="shared" si="65"/>
        <v/>
      </c>
      <c r="J1140" s="20" t="str">
        <f t="shared" si="25"/>
        <v/>
      </c>
      <c r="K1140" s="23">
        <v>4240.0</v>
      </c>
      <c r="L1140" s="20"/>
      <c r="M1140" s="23">
        <v>848.0</v>
      </c>
      <c r="N1140" s="21"/>
      <c r="O1140" s="22">
        <f>IFERROR(__xludf.DUMMYFUNCTION("IFERROR(
  VLOOKUP(C1140,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C1140
    ), 
    7, FALSE
  ), 
  """"
)
"),25378.0)</f>
        <v>25378</v>
      </c>
      <c r="P1140" s="22">
        <f>IFERROR(__xludf.DUMMYFUNCTION("IF(AND(Q1140="""", R1140=""""),
  """",
  IF(OR(ISBLANK(Q1140), ISBLANK(O1140)),
    """",
    IF(VALUE(SUBSTITUTE(INDEX(SPLIT(IF(ISBLANK(R1140), Q1140, R1140), "",""), 0, 1), "" Km"", """")) - O1140 = 0,
      """",
      VALUE(SUBSTITUTE(INDEX(SPLIT(IF("&amp;"ISBLANK(R1140), Q1140, R1140), "",""), 0, 1), "" Km"", """")) - O1140
    )
  )
)"),-25378.0)</f>
        <v>-25378</v>
      </c>
      <c r="Q1140" s="23" t="str">
        <f t="shared" si="4"/>
        <v>0 Km, 07.05.2025</v>
      </c>
      <c r="R1140" s="20"/>
      <c r="S1140" s="41">
        <v>200.0</v>
      </c>
      <c r="T1140" s="13">
        <v>0.0</v>
      </c>
      <c r="U1140" s="13" t="s">
        <v>1948</v>
      </c>
      <c r="V1140" s="24"/>
      <c r="W1140" s="24" t="str">
        <f t="shared" si="46"/>
        <v>Завершена</v>
      </c>
      <c r="X1140" s="13" t="str">
        <f>IFERROR(__xludf.DUMMYFUNCTION("IF(C1140 = """", """", IF(REGEXMATCH(C1140, ""PCX|NMAX|ADV 150|CLICK""), ""скутер"", ""мото""))"),"мото")</f>
        <v>мото</v>
      </c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</row>
    <row r="1141" hidden="1">
      <c r="A1141" s="25" t="s">
        <v>24</v>
      </c>
      <c r="B1141" s="25" t="s">
        <v>25</v>
      </c>
      <c r="C1141" s="27" t="s">
        <v>916</v>
      </c>
      <c r="D1141" s="27" t="s">
        <v>1949</v>
      </c>
      <c r="E1141" s="43">
        <v>45784.0</v>
      </c>
      <c r="F1141" s="39">
        <v>45815.583333333336</v>
      </c>
      <c r="G1141" s="30" t="str">
        <f t="shared" si="61"/>
        <v>31 Д</v>
      </c>
      <c r="H1141" s="31">
        <f t="shared" si="64"/>
        <v>666.6666667</v>
      </c>
      <c r="I1141" s="32" t="str">
        <f t="shared" si="65"/>
        <v/>
      </c>
      <c r="J1141" s="33" t="str">
        <f t="shared" si="25"/>
        <v/>
      </c>
      <c r="K1141" s="36">
        <v>4000.0</v>
      </c>
      <c r="L1141" s="36">
        <v>20000.0</v>
      </c>
      <c r="M1141" s="33"/>
      <c r="N1141" s="44">
        <v>25000.0</v>
      </c>
      <c r="O1141" s="35">
        <f>IFERROR(__xludf.DUMMYFUNCTION("IFERROR(
  VLOOKUP(C1141,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C1141
    ), 
    7, FALSE
  ), 
  """"
)
"),29300.0)</f>
        <v>29300</v>
      </c>
      <c r="P1141" s="35">
        <f>IFERROR(__xludf.DUMMYFUNCTION("IF(AND(Q1141="""", R1141=""""),
  """",
  IF(OR(ISBLANK(Q1141), ISBLANK(O1141)),
    """",
    IF(VALUE(SUBSTITUTE(INDEX(SPLIT(IF(ISBLANK(R1141), Q1141, R1141), "",""), 0, 1), "" Km"", """")) - O1141 = 0,
      """",
      VALUE(SUBSTITUTE(INDEX(SPLIT(IF("&amp;"ISBLANK(R1141), Q1141, R1141), "",""), 0, 1), "" Km"", """")) - O1141
    )
  )
)"),-4300.0)</f>
        <v>-4300</v>
      </c>
      <c r="Q1141" s="36" t="str">
        <f t="shared" si="4"/>
        <v>25 000 Km, 07.05.2025</v>
      </c>
      <c r="R1141" s="33"/>
      <c r="S1141" s="40" t="s">
        <v>1502</v>
      </c>
      <c r="T1141" s="25">
        <v>1.0</v>
      </c>
      <c r="U1141" s="25" t="s">
        <v>1950</v>
      </c>
      <c r="V1141" s="37"/>
      <c r="W1141" s="37" t="str">
        <f t="shared" si="46"/>
        <v>Завершена</v>
      </c>
      <c r="X1141" s="25" t="str">
        <f>IFERROR(__xludf.DUMMYFUNCTION("IF(C1141 = """", """", IF(REGEXMATCH(C1141, ""PCX|NMAX|ADV 150|CLICK""), ""скутер"", ""мото""))"),"мото")</f>
        <v>мото</v>
      </c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</row>
    <row r="1142" hidden="1">
      <c r="A1142" s="13" t="s">
        <v>24</v>
      </c>
      <c r="B1142" s="13" t="s">
        <v>25</v>
      </c>
      <c r="C1142" s="14" t="s">
        <v>102</v>
      </c>
      <c r="D1142" s="14" t="s">
        <v>1951</v>
      </c>
      <c r="E1142" s="48">
        <v>45785.0</v>
      </c>
      <c r="F1142" s="38">
        <v>45787.625</v>
      </c>
      <c r="G1142" s="17" t="str">
        <f t="shared" si="61"/>
        <v>2 Д</v>
      </c>
      <c r="H1142" s="18">
        <f t="shared" si="64"/>
        <v>1690</v>
      </c>
      <c r="I1142" s="19" t="str">
        <f t="shared" si="65"/>
        <v/>
      </c>
      <c r="J1142" s="20" t="str">
        <f t="shared" si="25"/>
        <v/>
      </c>
      <c r="K1142" s="23">
        <v>3380.0</v>
      </c>
      <c r="L1142" s="20"/>
      <c r="M1142" s="23">
        <v>1690.0</v>
      </c>
      <c r="N1142" s="21"/>
      <c r="O1142" s="22">
        <f>IFERROR(__xludf.DUMMYFUNCTION("IFERROR(
  VLOOKUP(C1142,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C1142
    ), 
    7, FALSE
  ), 
  """"
)
"),63700.0)</f>
        <v>63700</v>
      </c>
      <c r="P1142" s="22">
        <f>IFERROR(__xludf.DUMMYFUNCTION("IF(AND(Q1142="""", R1142=""""),
  """",
  IF(OR(ISBLANK(Q1142), ISBLANK(O1142)),
    """",
    IF(VALUE(SUBSTITUTE(INDEX(SPLIT(IF(ISBLANK(R1142), Q1142, R1142), "",""), 0, 1), "" Km"", """")) - O1142 = 0,
      """",
      VALUE(SUBSTITUTE(INDEX(SPLIT(IF("&amp;"ISBLANK(R1142), Q1142, R1142), "",""), 0, 1), "" Km"", """")) - O1142
    )
  )
)"),-63700.0)</f>
        <v>-63700</v>
      </c>
      <c r="Q1142" s="23" t="str">
        <f t="shared" si="4"/>
        <v>0 Km, 08.05.2025</v>
      </c>
      <c r="R1142" s="20"/>
      <c r="S1142" s="41" t="s">
        <v>515</v>
      </c>
      <c r="T1142" s="13">
        <v>0.0</v>
      </c>
      <c r="U1142" s="13" t="s">
        <v>1952</v>
      </c>
      <c r="V1142" s="24"/>
      <c r="W1142" s="24" t="str">
        <f t="shared" si="46"/>
        <v>Завершена</v>
      </c>
      <c r="X1142" s="13" t="str">
        <f>IFERROR(__xludf.DUMMYFUNCTION("IF(C1142 = """", """", IF(REGEXMATCH(C1142, ""PCX|NMAX|ADV 150|CLICK""), ""скутер"", ""мото""))"),"мото")</f>
        <v>мото</v>
      </c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</row>
    <row r="1143" hidden="1">
      <c r="A1143" s="25" t="s">
        <v>24</v>
      </c>
      <c r="B1143" s="25" t="s">
        <v>25</v>
      </c>
      <c r="C1143" s="27" t="s">
        <v>114</v>
      </c>
      <c r="D1143" s="27" t="s">
        <v>1953</v>
      </c>
      <c r="E1143" s="43">
        <v>45785.0</v>
      </c>
      <c r="F1143" s="39">
        <v>45877.791666666664</v>
      </c>
      <c r="G1143" s="30" t="str">
        <f t="shared" si="61"/>
        <v>92 Д</v>
      </c>
      <c r="H1143" s="31">
        <f t="shared" si="64"/>
        <v>166.6666667</v>
      </c>
      <c r="I1143" s="32" t="str">
        <f t="shared" si="65"/>
        <v/>
      </c>
      <c r="J1143" s="33" t="str">
        <f t="shared" si="25"/>
        <v/>
      </c>
      <c r="K1143" s="36">
        <f>5000+5000+5000</f>
        <v>15000</v>
      </c>
      <c r="L1143" s="36">
        <v>5000.0</v>
      </c>
      <c r="M1143" s="33"/>
      <c r="N1143" s="44">
        <v>25823.0</v>
      </c>
      <c r="O1143" s="35">
        <f>IFERROR(__xludf.DUMMYFUNCTION("IFERROR(
  VLOOKUP(C1143,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C1143
    ), 
    7, FALSE
  ), 
  """"
)
"),31800.0)</f>
        <v>31800</v>
      </c>
      <c r="P1143" s="35">
        <f>IFERROR(__xludf.DUMMYFUNCTION("IF(AND(Q1143="""", R1143=""""),
  """",
  IF(OR(ISBLANK(Q1143), ISBLANK(O1143)),
    """",
    IF(VALUE(SUBSTITUTE(INDEX(SPLIT(IF(ISBLANK(R1143), Q1143, R1143), "",""), 0, 1), "" Km"", """")) - O1143 = 0,
      """",
      VALUE(SUBSTITUTE(INDEX(SPLIT(IF("&amp;"ISBLANK(R1143), Q1143, R1143), "",""), 0, 1), "" Km"", """")) - O1143
    )
  )
)"),-5977.0)</f>
        <v>-5977</v>
      </c>
      <c r="Q1143" s="36" t="str">
        <f t="shared" si="4"/>
        <v>25 823 Km, 08.05.2025</v>
      </c>
      <c r="R1143" s="33"/>
      <c r="S1143" s="40">
        <v>3000.0</v>
      </c>
      <c r="T1143" s="25">
        <v>2.0</v>
      </c>
      <c r="U1143" s="25" t="s">
        <v>1954</v>
      </c>
      <c r="V1143" s="37"/>
      <c r="W1143" s="37" t="str">
        <f t="shared" si="46"/>
        <v>Завершена</v>
      </c>
      <c r="X1143" s="25" t="str">
        <f>IFERROR(__xludf.DUMMYFUNCTION("IF(C1143 = """", """", IF(REGEXMATCH(C1143, ""PCX|NMAX|ADV 150|CLICK""), ""скутер"", ""мото""))"),"скутер")</f>
        <v>скутер</v>
      </c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</row>
    <row r="1144" hidden="1">
      <c r="A1144" s="13" t="s">
        <v>24</v>
      </c>
      <c r="B1144" s="13" t="s">
        <v>25</v>
      </c>
      <c r="C1144" s="14" t="s">
        <v>44</v>
      </c>
      <c r="D1144" s="14" t="s">
        <v>1955</v>
      </c>
      <c r="E1144" s="48">
        <v>45790.0</v>
      </c>
      <c r="F1144" s="38">
        <v>45800.583333333336</v>
      </c>
      <c r="G1144" s="17" t="str">
        <f t="shared" si="61"/>
        <v>10 Д</v>
      </c>
      <c r="H1144" s="18">
        <f t="shared" si="64"/>
        <v>300</v>
      </c>
      <c r="I1144" s="19" t="str">
        <f t="shared" si="65"/>
        <v/>
      </c>
      <c r="J1144" s="20" t="str">
        <f t="shared" si="25"/>
        <v/>
      </c>
      <c r="K1144" s="23">
        <f>1500+1500</f>
        <v>3000</v>
      </c>
      <c r="L1144" s="20"/>
      <c r="M1144" s="23">
        <v>300.0</v>
      </c>
      <c r="N1144" s="21"/>
      <c r="O1144" s="22">
        <f>IFERROR(__xludf.DUMMYFUNCTION("IFERROR(
  VLOOKUP(C1144,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C1144
    ), 
    7, FALSE
  ), 
  """"
)
"),30800.0)</f>
        <v>30800</v>
      </c>
      <c r="P1144" s="22">
        <f>IFERROR(__xludf.DUMMYFUNCTION("IF(AND(Q1144="""", R1144=""""),
  """",
  IF(OR(ISBLANK(Q1144), ISBLANK(O1144)),
    """",
    IF(VALUE(SUBSTITUTE(INDEX(SPLIT(IF(ISBLANK(R1144), Q1144, R1144), "",""), 0, 1), "" Km"", """")) - O1144 = 0,
      """",
      VALUE(SUBSTITUTE(INDEX(SPLIT(IF("&amp;"ISBLANK(R1144), Q1144, R1144), "",""), 0, 1), "" Km"", """")) - O1144
    )
  )
)"),-30800.0)</f>
        <v>-30800</v>
      </c>
      <c r="Q1144" s="23" t="str">
        <f t="shared" si="4"/>
        <v>0 Km, 13.05.2025</v>
      </c>
      <c r="R1144" s="20"/>
      <c r="S1144" s="41" t="s">
        <v>1956</v>
      </c>
      <c r="T1144" s="13">
        <v>1.0</v>
      </c>
      <c r="U1144" s="13" t="s">
        <v>516</v>
      </c>
      <c r="V1144" s="24"/>
      <c r="W1144" s="24" t="str">
        <f t="shared" si="46"/>
        <v>Завершена</v>
      </c>
      <c r="X1144" s="13" t="str">
        <f>IFERROR(__xludf.DUMMYFUNCTION("IF(C1144 = """", """", IF(REGEXMATCH(C1144, ""PCX|NMAX|ADV 150|CLICK""), ""скутер"", ""мото""))"),"скутер")</f>
        <v>скутер</v>
      </c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</row>
    <row r="1145" hidden="1">
      <c r="A1145" s="25" t="s">
        <v>24</v>
      </c>
      <c r="B1145" s="25" t="s">
        <v>25</v>
      </c>
      <c r="C1145" s="27" t="s">
        <v>102</v>
      </c>
      <c r="D1145" s="27" t="s">
        <v>1949</v>
      </c>
      <c r="E1145" s="43">
        <v>45790.0</v>
      </c>
      <c r="F1145" s="39">
        <v>45807.583333333336</v>
      </c>
      <c r="G1145" s="30" t="str">
        <f t="shared" si="61"/>
        <v>17 Д</v>
      </c>
      <c r="H1145" s="31">
        <f t="shared" si="64"/>
        <v>666.6666667</v>
      </c>
      <c r="I1145" s="32" t="str">
        <f t="shared" si="65"/>
        <v/>
      </c>
      <c r="J1145" s="33" t="str">
        <f t="shared" si="25"/>
        <v/>
      </c>
      <c r="K1145" s="36">
        <f>17*667</f>
        <v>11339</v>
      </c>
      <c r="L1145" s="36">
        <v>20000.0</v>
      </c>
      <c r="M1145" s="36">
        <v>667.0</v>
      </c>
      <c r="N1145" s="44">
        <v>53000.0</v>
      </c>
      <c r="O1145" s="35">
        <f>IFERROR(__xludf.DUMMYFUNCTION("IFERROR(
  VLOOKUP(C1145,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C1145
    ), 
    7, FALSE
  ), 
  """"
)
"),63700.0)</f>
        <v>63700</v>
      </c>
      <c r="P1145" s="35">
        <f>IFERROR(__xludf.DUMMYFUNCTION("IF(AND(Q1145="""", R1145=""""),
  """",
  IF(OR(ISBLANK(Q1145), ISBLANK(O1145)),
    """",
    IF(VALUE(SUBSTITUTE(INDEX(SPLIT(IF(ISBLANK(R1145), Q1145, R1145), "",""), 0, 1), "" Km"", """")) - O1145 = 0,
      """",
      VALUE(SUBSTITUTE(INDEX(SPLIT(IF("&amp;"ISBLANK(R1145), Q1145, R1145), "",""), 0, 1), "" Km"", """")) - O1145
    )
  )
)"),-10700.0)</f>
        <v>-10700</v>
      </c>
      <c r="Q1145" s="36" t="str">
        <f t="shared" si="4"/>
        <v>53 000 Km, 13.05.2025</v>
      </c>
      <c r="R1145" s="33"/>
      <c r="S1145" s="40" t="s">
        <v>1502</v>
      </c>
      <c r="T1145" s="25">
        <v>1.0</v>
      </c>
      <c r="U1145" s="25" t="s">
        <v>1950</v>
      </c>
      <c r="V1145" s="37"/>
      <c r="W1145" s="37" t="str">
        <f t="shared" si="46"/>
        <v>Завершена</v>
      </c>
      <c r="X1145" s="25" t="str">
        <f>IFERROR(__xludf.DUMMYFUNCTION("IF(C1145 = """", """", IF(REGEXMATCH(C1145, ""PCX|NMAX|ADV 150|CLICK""), ""скутер"", ""мото""))"),"мото")</f>
        <v>мото</v>
      </c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</row>
    <row r="1146" hidden="1">
      <c r="A1146" s="13" t="s">
        <v>24</v>
      </c>
      <c r="B1146" s="13" t="s">
        <v>25</v>
      </c>
      <c r="C1146" s="14" t="s">
        <v>967</v>
      </c>
      <c r="D1146" s="14" t="s">
        <v>1026</v>
      </c>
      <c r="E1146" s="48">
        <v>45794.0</v>
      </c>
      <c r="F1146" s="38">
        <v>45803.541666666664</v>
      </c>
      <c r="G1146" s="17" t="str">
        <f t="shared" si="61"/>
        <v>9 Д</v>
      </c>
      <c r="H1146" s="18">
        <f t="shared" si="64"/>
        <v>1599</v>
      </c>
      <c r="I1146" s="19" t="str">
        <f t="shared" si="65"/>
        <v/>
      </c>
      <c r="J1146" s="20" t="str">
        <f t="shared" si="25"/>
        <v/>
      </c>
      <c r="K1146" s="23">
        <f>8874-1566+5000+10100-8017</f>
        <v>14391</v>
      </c>
      <c r="L1146" s="20"/>
      <c r="M1146" s="23">
        <v>1599.0</v>
      </c>
      <c r="N1146" s="21"/>
      <c r="O1146" s="22">
        <f>IFERROR(__xludf.DUMMYFUNCTION("IFERROR(
  VLOOKUP(C1146,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C1146
    ), 
    7, FALSE
  ), 
  """"
)
"),24800.0)</f>
        <v>24800</v>
      </c>
      <c r="P1146" s="22">
        <f>IFERROR(__xludf.DUMMYFUNCTION("IF(AND(Q1146="""", R1146=""""),
  """",
  IF(OR(ISBLANK(Q1146), ISBLANK(O1146)),
    """",
    IF(VALUE(SUBSTITUTE(INDEX(SPLIT(IF(ISBLANK(R1146), Q1146, R1146), "",""), 0, 1), "" Km"", """")) - O1146 = 0,
      """",
      VALUE(SUBSTITUTE(INDEX(SPLIT(IF("&amp;"ISBLANK(R1146), Q1146, R1146), "",""), 0, 1), "" Km"", """")) - O1146
    )
  )
)"),-24800.0)</f>
        <v>-24800</v>
      </c>
      <c r="Q1146" s="23" t="str">
        <f t="shared" si="4"/>
        <v>0 Km, 17.05.2025</v>
      </c>
      <c r="R1146" s="20"/>
      <c r="S1146" s="41">
        <v>25000.0</v>
      </c>
      <c r="T1146" s="13">
        <v>2.0</v>
      </c>
      <c r="U1146" s="13" t="s">
        <v>1146</v>
      </c>
      <c r="V1146" s="24"/>
      <c r="W1146" s="24" t="str">
        <f t="shared" si="46"/>
        <v>Завершена</v>
      </c>
      <c r="X1146" s="13" t="str">
        <f>IFERROR(__xludf.DUMMYFUNCTION("IF(C1146 = """", """", IF(REGEXMATCH(C1146, ""PCX|NMAX|ADV 150|CLICK""), ""скутер"", ""мото""))"),"мото")</f>
        <v>мото</v>
      </c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</row>
    <row r="1147" hidden="1">
      <c r="A1147" s="25" t="s">
        <v>24</v>
      </c>
      <c r="B1147" s="25" t="s">
        <v>25</v>
      </c>
      <c r="C1147" s="27" t="s">
        <v>483</v>
      </c>
      <c r="D1147" s="27" t="s">
        <v>1941</v>
      </c>
      <c r="E1147" s="43">
        <v>45794.0</v>
      </c>
      <c r="F1147" s="39">
        <v>45827.75</v>
      </c>
      <c r="G1147" s="30" t="str">
        <f t="shared" si="61"/>
        <v>33 Д</v>
      </c>
      <c r="H1147" s="31">
        <f t="shared" si="64"/>
        <v>667</v>
      </c>
      <c r="I1147" s="32" t="str">
        <f t="shared" si="65"/>
        <v/>
      </c>
      <c r="J1147" s="33" t="str">
        <f t="shared" si="25"/>
        <v/>
      </c>
      <c r="K1147" s="36">
        <f>5240+2256+472+4685+8500+868</f>
        <v>22021</v>
      </c>
      <c r="L1147" s="33"/>
      <c r="M1147" s="36">
        <v>667.0</v>
      </c>
      <c r="N1147" s="44">
        <v>38500.0</v>
      </c>
      <c r="O1147" s="35">
        <f>IFERROR(__xludf.DUMMYFUNCTION("IFERROR(
  VLOOKUP(C1147,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C1147
    ), 
    7, FALSE
  ), 
  """"
)
"),41500.0)</f>
        <v>41500</v>
      </c>
      <c r="P1147" s="35">
        <f>IFERROR(__xludf.DUMMYFUNCTION("IF(AND(Q1147="""", R1147=""""),
  """",
  IF(OR(ISBLANK(Q1147), ISBLANK(O1147)),
    """",
    IF(VALUE(SUBSTITUTE(INDEX(SPLIT(IF(ISBLANK(R1147), Q1147, R1147), "",""), 0, 1), "" Km"", """")) - O1147 = 0,
      """",
      VALUE(SUBSTITUTE(INDEX(SPLIT(IF("&amp;"ISBLANK(R1147), Q1147, R1147), "",""), 0, 1), "" Km"", """")) - O1147
    )
  )
)"),-3000.0)</f>
        <v>-3000</v>
      </c>
      <c r="Q1147" s="36" t="str">
        <f t="shared" si="4"/>
        <v>38 500 Km, 17.05.2025</v>
      </c>
      <c r="R1147" s="33"/>
      <c r="S1147" s="40" t="s">
        <v>515</v>
      </c>
      <c r="T1147" s="25">
        <v>1.0</v>
      </c>
      <c r="U1147" s="25" t="s">
        <v>1942</v>
      </c>
      <c r="V1147" s="37"/>
      <c r="W1147" s="37" t="str">
        <f t="shared" si="46"/>
        <v>Завершена</v>
      </c>
      <c r="X1147" s="25" t="str">
        <f>IFERROR(__xludf.DUMMYFUNCTION("IF(C1147 = """", """", IF(REGEXMATCH(C1147, ""PCX|NMAX|ADV 150|CLICK""), ""скутер"", ""мото""))"),"мото")</f>
        <v>мото</v>
      </c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</row>
    <row r="1148" hidden="1">
      <c r="A1148" s="13" t="s">
        <v>24</v>
      </c>
      <c r="B1148" s="13" t="s">
        <v>25</v>
      </c>
      <c r="C1148" s="14" t="s">
        <v>438</v>
      </c>
      <c r="D1148" s="14" t="s">
        <v>712</v>
      </c>
      <c r="E1148" s="48">
        <v>45795.0</v>
      </c>
      <c r="F1148" s="38">
        <v>45798.541666666664</v>
      </c>
      <c r="G1148" s="17" t="str">
        <f t="shared" si="61"/>
        <v>3 Д</v>
      </c>
      <c r="H1148" s="18">
        <f t="shared" si="64"/>
        <v>1000</v>
      </c>
      <c r="I1148" s="19" t="str">
        <f t="shared" si="65"/>
        <v/>
      </c>
      <c r="J1148" s="20" t="str">
        <f t="shared" si="25"/>
        <v/>
      </c>
      <c r="K1148" s="23">
        <v>3000.0</v>
      </c>
      <c r="L1148" s="20"/>
      <c r="M1148" s="23">
        <v>1000.0</v>
      </c>
      <c r="N1148" s="49">
        <v>26000.0</v>
      </c>
      <c r="O1148" s="22">
        <f>IFERROR(__xludf.DUMMYFUNCTION("IFERROR(
  VLOOKUP(C1148,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C1148
    ), 
    7, FALSE
  ), 
  """"
)
"),37823.0)</f>
        <v>37823</v>
      </c>
      <c r="P1148" s="22">
        <f>IFERROR(__xludf.DUMMYFUNCTION("IF(AND(Q1148="""", R1148=""""),
  """",
  IF(OR(ISBLANK(Q1148), ISBLANK(O1148)),
    """",
    IF(VALUE(SUBSTITUTE(INDEX(SPLIT(IF(ISBLANK(R1148), Q1148, R1148), "",""), 0, 1), "" Km"", """")) - O1148 = 0,
      """",
      VALUE(SUBSTITUTE(INDEX(SPLIT(IF("&amp;"ISBLANK(R1148), Q1148, R1148), "",""), 0, 1), "" Km"", """")) - O1148
    )
  )
)"),-11823.0)</f>
        <v>-11823</v>
      </c>
      <c r="Q1148" s="23" t="str">
        <f t="shared" si="4"/>
        <v>26 000 Km, 18.05.2025</v>
      </c>
      <c r="R1148" s="20"/>
      <c r="S1148" s="41" t="s">
        <v>600</v>
      </c>
      <c r="T1148" s="13">
        <v>2.0</v>
      </c>
      <c r="U1148" s="13" t="s">
        <v>1146</v>
      </c>
      <c r="V1148" s="24"/>
      <c r="W1148" s="24" t="str">
        <f t="shared" si="46"/>
        <v>Завершена</v>
      </c>
      <c r="X1148" s="13" t="str">
        <f>IFERROR(__xludf.DUMMYFUNCTION("IF(C1148 = """", """", IF(REGEXMATCH(C1148, ""PCX|NMAX|ADV 150|CLICK""), ""скутер"", ""мото""))"),"мото")</f>
        <v>мото</v>
      </c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</row>
    <row r="1149" hidden="1">
      <c r="A1149" s="25" t="s">
        <v>24</v>
      </c>
      <c r="B1149" s="25" t="s">
        <v>25</v>
      </c>
      <c r="C1149" s="27" t="s">
        <v>941</v>
      </c>
      <c r="D1149" s="27" t="s">
        <v>1957</v>
      </c>
      <c r="E1149" s="43">
        <v>45796.0</v>
      </c>
      <c r="F1149" s="39">
        <v>45798.416666666664</v>
      </c>
      <c r="G1149" s="30" t="str">
        <f t="shared" si="61"/>
        <v>2 Д</v>
      </c>
      <c r="H1149" s="31">
        <f t="shared" si="64"/>
        <v>600</v>
      </c>
      <c r="I1149" s="32" t="str">
        <f t="shared" si="65"/>
        <v/>
      </c>
      <c r="J1149" s="33" t="str">
        <f t="shared" si="25"/>
        <v/>
      </c>
      <c r="K1149" s="36">
        <v>1200.0</v>
      </c>
      <c r="L1149" s="33"/>
      <c r="M1149" s="36">
        <v>600.0</v>
      </c>
      <c r="N1149" s="44">
        <v>8000.0</v>
      </c>
      <c r="O1149" s="35">
        <f>IFERROR(__xludf.DUMMYFUNCTION("IFERROR(
  VLOOKUP(C1149,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C1149
    ), 
    7, FALSE
  ), 
  """"
)
"),18302.0)</f>
        <v>18302</v>
      </c>
      <c r="P1149" s="35">
        <f>IFERROR(__xludf.DUMMYFUNCTION("IF(AND(Q1149="""", R1149=""""),
  """",
  IF(OR(ISBLANK(Q1149), ISBLANK(O1149)),
    """",
    IF(VALUE(SUBSTITUTE(INDEX(SPLIT(IF(ISBLANK(R1149), Q1149, R1149), "",""), 0, 1), "" Km"", """")) - O1149 = 0,
      """",
      VALUE(SUBSTITUTE(INDEX(SPLIT(IF("&amp;"ISBLANK(R1149), Q1149, R1149), "",""), 0, 1), "" Km"", """")) - O1149
    )
  )
)"),-10302.0)</f>
        <v>-10302</v>
      </c>
      <c r="Q1149" s="36" t="str">
        <f t="shared" si="4"/>
        <v>8 000 Km, 19.05.2025</v>
      </c>
      <c r="R1149" s="33"/>
      <c r="S1149" s="40">
        <v>5000.0</v>
      </c>
      <c r="T1149" s="25">
        <v>0.0</v>
      </c>
      <c r="U1149" s="25" t="s">
        <v>1958</v>
      </c>
      <c r="V1149" s="37"/>
      <c r="W1149" s="37" t="str">
        <f t="shared" si="46"/>
        <v>Завершена</v>
      </c>
      <c r="X1149" s="25" t="str">
        <f>IFERROR(__xludf.DUMMYFUNCTION("IF(C1149 = """", """", IF(REGEXMATCH(C1149, ""PCX|NMAX|ADV 150|CLICK""), ""скутер"", ""мото""))"),"мото")</f>
        <v>мото</v>
      </c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</row>
    <row r="1150" hidden="1">
      <c r="A1150" s="13" t="s">
        <v>24</v>
      </c>
      <c r="B1150" s="13" t="s">
        <v>25</v>
      </c>
      <c r="C1150" s="14" t="s">
        <v>151</v>
      </c>
      <c r="D1150" s="14" t="s">
        <v>1959</v>
      </c>
      <c r="E1150" s="48">
        <v>45797.0</v>
      </c>
      <c r="F1150" s="38">
        <v>45814.708333333336</v>
      </c>
      <c r="G1150" s="17" t="str">
        <f t="shared" si="61"/>
        <v>17 Д</v>
      </c>
      <c r="H1150" s="18">
        <f t="shared" si="64"/>
        <v>314</v>
      </c>
      <c r="I1150" s="19" t="str">
        <f t="shared" si="65"/>
        <v/>
      </c>
      <c r="J1150" s="20" t="str">
        <f t="shared" si="25"/>
        <v/>
      </c>
      <c r="K1150" s="23">
        <f>1570+1570+2000+200</f>
        <v>5340</v>
      </c>
      <c r="L1150" s="20"/>
      <c r="M1150" s="23">
        <v>314.0</v>
      </c>
      <c r="N1150" s="49"/>
      <c r="O1150" s="22">
        <f>IFERROR(__xludf.DUMMYFUNCTION("IFERROR(
  VLOOKUP(C1150,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C1150
    ), 
    7, FALSE
  ), 
  """"
)
"),35800.0)</f>
        <v>35800</v>
      </c>
      <c r="P1150" s="22">
        <f>IFERROR(__xludf.DUMMYFUNCTION("IF(AND(Q1150="""", R1150=""""),
  """",
  IF(OR(ISBLANK(Q1150), ISBLANK(O1150)),
    """",
    IF(VALUE(SUBSTITUTE(INDEX(SPLIT(IF(ISBLANK(R1150), Q1150, R1150), "",""), 0, 1), "" Km"", """")) - O1150 = 0,
      """",
      VALUE(SUBSTITUTE(INDEX(SPLIT(IF("&amp;"ISBLANK(R1150), Q1150, R1150), "",""), 0, 1), "" Km"", """")) - O1150
    )
  )
)"),-35800.0)</f>
        <v>-35800</v>
      </c>
      <c r="Q1150" s="23" t="str">
        <f t="shared" si="4"/>
        <v>0 Km, 20.05.2025</v>
      </c>
      <c r="R1150" s="20"/>
      <c r="S1150" s="41">
        <v>3000.0</v>
      </c>
      <c r="T1150" s="13">
        <v>0.0</v>
      </c>
      <c r="U1150" s="13">
        <v>7.9673773217E10</v>
      </c>
      <c r="V1150" s="24"/>
      <c r="W1150" s="24" t="str">
        <f t="shared" si="46"/>
        <v>Завершена</v>
      </c>
      <c r="X1150" s="13" t="str">
        <f>IFERROR(__xludf.DUMMYFUNCTION("IF(C1150 = """", """", IF(REGEXMATCH(C1150, ""PCX|NMAX|ADV 150|CLICK""), ""скутер"", ""мото""))"),"скутер")</f>
        <v>скутер</v>
      </c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</row>
    <row r="1151" hidden="1">
      <c r="A1151" s="25" t="s">
        <v>24</v>
      </c>
      <c r="B1151" s="25" t="s">
        <v>25</v>
      </c>
      <c r="C1151" s="27" t="s">
        <v>98</v>
      </c>
      <c r="D1151" s="27" t="s">
        <v>1960</v>
      </c>
      <c r="E1151" s="43">
        <v>45798.0</v>
      </c>
      <c r="F1151" s="39">
        <v>45801.5</v>
      </c>
      <c r="G1151" s="30" t="str">
        <f t="shared" si="61"/>
        <v>3 Д</v>
      </c>
      <c r="H1151" s="31">
        <f t="shared" si="64"/>
        <v>300</v>
      </c>
      <c r="I1151" s="32" t="str">
        <f t="shared" si="65"/>
        <v/>
      </c>
      <c r="J1151" s="33" t="str">
        <f t="shared" si="25"/>
        <v/>
      </c>
      <c r="K1151" s="36">
        <v>900.0</v>
      </c>
      <c r="L1151" s="33"/>
      <c r="M1151" s="36">
        <v>300.0</v>
      </c>
      <c r="N1151" s="44">
        <v>30865.0</v>
      </c>
      <c r="O1151" s="35">
        <f>IFERROR(__xludf.DUMMYFUNCTION("IFERROR(
  VLOOKUP(C1151,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C1151
    ), 
    7, FALSE
  ), 
  """"
)
"),32200.0)</f>
        <v>32200</v>
      </c>
      <c r="P1151" s="35">
        <f>IFERROR(__xludf.DUMMYFUNCTION("IF(AND(Q1151="""", R1151=""""),
  """",
  IF(OR(ISBLANK(Q1151), ISBLANK(O1151)),
    """",
    IF(VALUE(SUBSTITUTE(INDEX(SPLIT(IF(ISBLANK(R1151), Q1151, R1151), "",""), 0, 1), "" Km"", """")) - O1151 = 0,
      """",
      VALUE(SUBSTITUTE(INDEX(SPLIT(IF("&amp;"ISBLANK(R1151), Q1151, R1151), "",""), 0, 1), "" Km"", """")) - O1151
    )
  )
)"),-1335.0)</f>
        <v>-1335</v>
      </c>
      <c r="Q1151" s="36" t="str">
        <f t="shared" si="4"/>
        <v>30 865 Km, 21.05.2025</v>
      </c>
      <c r="R1151" s="33"/>
      <c r="S1151" s="40">
        <v>3000.0</v>
      </c>
      <c r="T1151" s="25">
        <v>0.0</v>
      </c>
      <c r="U1151" s="25" t="s">
        <v>1961</v>
      </c>
      <c r="V1151" s="37"/>
      <c r="W1151" s="37" t="str">
        <f t="shared" si="46"/>
        <v>Завершена</v>
      </c>
      <c r="X1151" s="25" t="str">
        <f>IFERROR(__xludf.DUMMYFUNCTION("IF(C1151 = """", """", IF(REGEXMATCH(C1151, ""PCX|NMAX|ADV 150|CLICK""), ""скутер"", ""мото""))"),"скутер")</f>
        <v>скутер</v>
      </c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</row>
    <row r="1152" hidden="1">
      <c r="A1152" s="13" t="s">
        <v>24</v>
      </c>
      <c r="B1152" s="13" t="s">
        <v>25</v>
      </c>
      <c r="C1152" s="14" t="s">
        <v>48</v>
      </c>
      <c r="D1152" s="14" t="s">
        <v>1962</v>
      </c>
      <c r="E1152" s="48">
        <v>45798.0</v>
      </c>
      <c r="F1152" s="38">
        <v>45808.541666666664</v>
      </c>
      <c r="G1152" s="17" t="str">
        <f t="shared" si="61"/>
        <v>10 Д</v>
      </c>
      <c r="H1152" s="18">
        <f t="shared" si="64"/>
        <v>271</v>
      </c>
      <c r="I1152" s="19" t="str">
        <f t="shared" si="65"/>
        <v/>
      </c>
      <c r="J1152" s="20" t="str">
        <f t="shared" si="25"/>
        <v/>
      </c>
      <c r="K1152" s="23">
        <v>2710.0</v>
      </c>
      <c r="L1152" s="20"/>
      <c r="M1152" s="23">
        <v>271.0</v>
      </c>
      <c r="N1152" s="21"/>
      <c r="O1152" s="22">
        <f>IFERROR(__xludf.DUMMYFUNCTION("IFERROR(
  VLOOKUP(C1152,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C1152
    ), 
    7, FALSE
  ), 
  """"
)
"),35800.0)</f>
        <v>35800</v>
      </c>
      <c r="P1152" s="22">
        <f>IFERROR(__xludf.DUMMYFUNCTION("IF(AND(Q1152="""", R1152=""""),
  """",
  IF(OR(ISBLANK(Q1152), ISBLANK(O1152)),
    """",
    IF(VALUE(SUBSTITUTE(INDEX(SPLIT(IF(ISBLANK(R1152), Q1152, R1152), "",""), 0, 1), "" Km"", """")) - O1152 = 0,
      """",
      VALUE(SUBSTITUTE(INDEX(SPLIT(IF("&amp;"ISBLANK(R1152), Q1152, R1152), "",""), 0, 1), "" Km"", """")) - O1152
    )
  )
)"),-35800.0)</f>
        <v>-35800</v>
      </c>
      <c r="Q1152" s="23" t="str">
        <f t="shared" si="4"/>
        <v>0 Km, 21.05.2025</v>
      </c>
      <c r="R1152" s="20"/>
      <c r="S1152" s="41">
        <v>100.0</v>
      </c>
      <c r="T1152" s="13">
        <v>2.0</v>
      </c>
      <c r="U1152" s="13" t="s">
        <v>1963</v>
      </c>
      <c r="V1152" s="24"/>
      <c r="W1152" s="24" t="str">
        <f t="shared" si="46"/>
        <v>Завершена</v>
      </c>
      <c r="X1152" s="13" t="str">
        <f>IFERROR(__xludf.DUMMYFUNCTION("IF(C1152 = """", """", IF(REGEXMATCH(C1152, ""PCX|NMAX|ADV 150|CLICK""), ""скутер"", ""мото""))"),"скутер")</f>
        <v>скутер</v>
      </c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</row>
    <row r="1153" hidden="1">
      <c r="A1153" s="25" t="s">
        <v>24</v>
      </c>
      <c r="B1153" s="25" t="s">
        <v>25</v>
      </c>
      <c r="C1153" s="27" t="s">
        <v>468</v>
      </c>
      <c r="D1153" s="27" t="s">
        <v>1964</v>
      </c>
      <c r="E1153" s="43">
        <v>45800.0</v>
      </c>
      <c r="F1153" s="39">
        <v>45806.583333333336</v>
      </c>
      <c r="G1153" s="30" t="str">
        <f t="shared" si="61"/>
        <v>6 Д</v>
      </c>
      <c r="H1153" s="31">
        <f t="shared" si="64"/>
        <v>779</v>
      </c>
      <c r="I1153" s="32" t="str">
        <f t="shared" si="65"/>
        <v/>
      </c>
      <c r="J1153" s="33" t="str">
        <f t="shared" si="25"/>
        <v/>
      </c>
      <c r="K1153" s="36">
        <f>6232-779*2</f>
        <v>4674</v>
      </c>
      <c r="L1153" s="33"/>
      <c r="M1153" s="36">
        <v>779.0</v>
      </c>
      <c r="N1153" s="34"/>
      <c r="O1153" s="35">
        <f>IFERROR(__xludf.DUMMYFUNCTION("IFERROR(
  VLOOKUP(C1153,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C1153
    ), 
    7, FALSE
  ), 
  """"
)
"),22200.0)</f>
        <v>22200</v>
      </c>
      <c r="P1153" s="35">
        <f>IFERROR(__xludf.DUMMYFUNCTION("IF(AND(Q1153="""", R1153=""""),
  """",
  IF(OR(ISBLANK(Q1153), ISBLANK(O1153)),
    """",
    IF(VALUE(SUBSTITUTE(INDEX(SPLIT(IF(ISBLANK(R1153), Q1153, R1153), "",""), 0, 1), "" Km"", """")) - O1153 = 0,
      """",
      VALUE(SUBSTITUTE(INDEX(SPLIT(IF("&amp;"ISBLANK(R1153), Q1153, R1153), "",""), 0, 1), "" Km"", """")) - O1153
    )
  )
)"),-22200.0)</f>
        <v>-22200</v>
      </c>
      <c r="Q1153" s="36" t="str">
        <f t="shared" si="4"/>
        <v>0 Km, 23.05.2025</v>
      </c>
      <c r="R1153" s="33"/>
      <c r="S1153" s="40">
        <v>15000.0</v>
      </c>
      <c r="T1153" s="25">
        <v>1.0</v>
      </c>
      <c r="U1153" s="25" t="s">
        <v>1965</v>
      </c>
      <c r="V1153" s="37"/>
      <c r="W1153" s="37" t="str">
        <f t="shared" si="46"/>
        <v>Завершена</v>
      </c>
      <c r="X1153" s="25" t="str">
        <f>IFERROR(__xludf.DUMMYFUNCTION("IF(C1153 = """", """", IF(REGEXMATCH(C1153, ""PCX|NMAX|ADV 150|CLICK""), ""скутер"", ""мото""))"),"мото")</f>
        <v>мото</v>
      </c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</row>
    <row r="1154" hidden="1">
      <c r="A1154" s="13" t="s">
        <v>24</v>
      </c>
      <c r="B1154" s="14" t="s">
        <v>25</v>
      </c>
      <c r="C1154" s="14" t="s">
        <v>941</v>
      </c>
      <c r="D1154" s="14" t="s">
        <v>1966</v>
      </c>
      <c r="E1154" s="48">
        <v>45804.0</v>
      </c>
      <c r="F1154" s="38">
        <v>45811.458333333336</v>
      </c>
      <c r="G1154" s="17" t="str">
        <f t="shared" si="61"/>
        <v>7 Д</v>
      </c>
      <c r="H1154" s="18">
        <f>IF(L1154&lt;&gt;"", VALUE(L1154)/31, IF(M1154&lt;&gt;"", VALUE(M1154)/1, ""))
</f>
        <v>500</v>
      </c>
      <c r="I1154" s="19" t="str">
        <f t="shared" si="65"/>
        <v/>
      </c>
      <c r="J1154" s="20" t="str">
        <f t="shared" si="25"/>
        <v/>
      </c>
      <c r="K1154" s="23">
        <v>3500.0</v>
      </c>
      <c r="L1154" s="63"/>
      <c r="M1154" s="63">
        <v>500.0</v>
      </c>
      <c r="N1154" s="49">
        <v>8000.0</v>
      </c>
      <c r="O1154" s="22">
        <f>IFERROR(__xludf.DUMMYFUNCTION("IFERROR(
  VLOOKUP(C1154,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C1154
    ), 
    7, FALSE
  ), 
  """"
)
"),18302.0)</f>
        <v>18302</v>
      </c>
      <c r="P1154" s="22">
        <f>IFERROR(__xludf.DUMMYFUNCTION("IF(AND(Q1154="""", R1154=""""),
  """",
  IF(OR(ISBLANK(Q1154), ISBLANK(O1154)),
    """",
    IF(VALUE(SUBSTITUTE(INDEX(SPLIT(IF(ISBLANK(R1154), Q1154, R1154), "",""), 0, 1), "" Km"", """")) - O1154 = 0,
      """",
      VALUE(SUBSTITUTE(INDEX(SPLIT(IF("&amp;"ISBLANK(R1154), Q1154, R1154), "",""), 0, 1), "" Km"", """")) - O1154
    )
  )
)"),-10302.0)</f>
        <v>-10302</v>
      </c>
      <c r="Q1154" s="20" t="str">
        <f t="shared" si="4"/>
        <v>8 000 Km, 27.05.2025</v>
      </c>
      <c r="R1154" s="53"/>
      <c r="S1154" s="41">
        <v>0.0</v>
      </c>
      <c r="T1154" s="19">
        <v>1.0</v>
      </c>
      <c r="U1154" s="24"/>
      <c r="V1154" s="24"/>
      <c r="W1154" s="24" t="str">
        <f t="shared" si="46"/>
        <v>Завершена</v>
      </c>
      <c r="X1154" s="13" t="str">
        <f>IFERROR(__xludf.DUMMYFUNCTION("IF(C1154 = """", """", IF(REGEXMATCH(C1154, ""PCX|NMAX|ADV 150|CLICK""), ""скутер"", ""мото""))"),"мото")</f>
        <v>мото</v>
      </c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</row>
    <row r="1155" hidden="1">
      <c r="A1155" s="25" t="s">
        <v>1967</v>
      </c>
      <c r="B1155" s="25" t="s">
        <v>25</v>
      </c>
      <c r="C1155" s="27" t="s">
        <v>202</v>
      </c>
      <c r="D1155" s="27" t="s">
        <v>1968</v>
      </c>
      <c r="E1155" s="43">
        <v>45804.0</v>
      </c>
      <c r="F1155" s="39">
        <v>45810.541666666664</v>
      </c>
      <c r="G1155" s="30" t="str">
        <f t="shared" si="61"/>
        <v>6 Д</v>
      </c>
      <c r="H1155" s="31">
        <f t="shared" ref="H1155:H1157" si="66">IF(L1155&lt;&gt;"", VALUE(L1155)/30, IF(M1155&lt;&gt;"", VALUE(M1155)/1, ""))
</f>
        <v>459</v>
      </c>
      <c r="I1155" s="32" t="str">
        <f t="shared" si="65"/>
        <v/>
      </c>
      <c r="J1155" s="33" t="str">
        <f t="shared" si="25"/>
        <v/>
      </c>
      <c r="K1155" s="36">
        <v>2754.0</v>
      </c>
      <c r="L1155" s="33"/>
      <c r="M1155" s="36">
        <v>459.0</v>
      </c>
      <c r="N1155" s="34"/>
      <c r="O1155" s="35">
        <f>IFERROR(__xludf.DUMMYFUNCTION("IFERROR(
  VLOOKUP(C1155,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C1155
    ), 
    7, FALSE
  ), 
  """"
)
"),30225.0)</f>
        <v>30225</v>
      </c>
      <c r="P1155" s="35">
        <f>IFERROR(__xludf.DUMMYFUNCTION("IF(AND(Q1155="""", R1155=""""),
  """",
  IF(OR(ISBLANK(Q1155), ISBLANK(O1155)),
    """",
    IF(VALUE(SUBSTITUTE(INDEX(SPLIT(IF(ISBLANK(R1155), Q1155, R1155), "",""), 0, 1), "" Km"", """")) - O1155 = 0,
      """",
      VALUE(SUBSTITUTE(INDEX(SPLIT(IF("&amp;"ISBLANK(R1155), Q1155, R1155), "",""), 0, 1), "" Km"", """")) - O1155
    )
  )
)"),-30225.0)</f>
        <v>-30225</v>
      </c>
      <c r="Q1155" s="36" t="str">
        <f t="shared" si="4"/>
        <v>0 Km, 27.05.2025</v>
      </c>
      <c r="R1155" s="33"/>
      <c r="S1155" s="40">
        <v>200.0</v>
      </c>
      <c r="T1155" s="25">
        <v>2.0</v>
      </c>
      <c r="U1155" s="25" t="s">
        <v>1969</v>
      </c>
      <c r="V1155" s="37"/>
      <c r="W1155" s="37" t="str">
        <f t="shared" si="46"/>
        <v>Завершена</v>
      </c>
      <c r="X1155" s="25" t="str">
        <f>IFERROR(__xludf.DUMMYFUNCTION("IF(C1155 = """", """", IF(REGEXMATCH(C1155, ""PCX|NMAX|ADV 150|CLICK""), ""скутер"", ""мото""))"),"мото")</f>
        <v>мото</v>
      </c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</row>
    <row r="1156" hidden="1">
      <c r="A1156" s="13" t="s">
        <v>24</v>
      </c>
      <c r="B1156" s="13" t="s">
        <v>25</v>
      </c>
      <c r="C1156" s="62"/>
      <c r="D1156" s="14" t="s">
        <v>983</v>
      </c>
      <c r="E1156" s="48">
        <v>45782.0</v>
      </c>
      <c r="F1156" s="38">
        <v>45807.625</v>
      </c>
      <c r="G1156" s="17" t="str">
        <f t="shared" si="61"/>
        <v>25 Д</v>
      </c>
      <c r="H1156" s="18">
        <f t="shared" si="66"/>
        <v>366.6666667</v>
      </c>
      <c r="I1156" s="19" t="str">
        <f t="shared" si="65"/>
        <v/>
      </c>
      <c r="J1156" s="20" t="str">
        <f t="shared" si="25"/>
        <v/>
      </c>
      <c r="K1156" s="23">
        <v>11000.0</v>
      </c>
      <c r="L1156" s="23">
        <v>11000.0</v>
      </c>
      <c r="M1156" s="20"/>
      <c r="N1156" s="49">
        <v>16500.0</v>
      </c>
      <c r="O1156" s="22" t="str">
        <f>IFERROR(__xludf.DUMMYFUNCTION("IFERROR(
  VLOOKUP(C1156,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C1156
    ), 
    7, FALSE
  ), 
  """"
)
"),"")</f>
        <v/>
      </c>
      <c r="P1156" s="22">
        <f>IFERROR(__xludf.DUMMYFUNCTION("IF(AND(Q1156="""", R1156=""""),
  """",
  IF(OR(ISBLANK(Q1156), ISBLANK(O1156)),
    """",
    IF(VALUE(SUBSTITUTE(INDEX(SPLIT(IF(ISBLANK(R1156), Q1156, R1156), "",""), 0, 1), "" Km"", """")) - O1156 = 0,
      """",
      VALUE(SUBSTITUTE(INDEX(SPLIT(IF("&amp;"ISBLANK(R1156), Q1156, R1156), "",""), 0, 1), "" Km"", """")) - O1156
    )
  )
)"),16500.0)</f>
        <v>16500</v>
      </c>
      <c r="Q1156" s="23" t="str">
        <f t="shared" si="4"/>
        <v>16 500 Km, 05.05.2025</v>
      </c>
      <c r="R1156" s="20"/>
      <c r="S1156" s="41">
        <v>20000.0</v>
      </c>
      <c r="T1156" s="13">
        <v>1.0</v>
      </c>
      <c r="U1156" s="13" t="s">
        <v>1970</v>
      </c>
      <c r="V1156" s="24"/>
      <c r="W1156" s="24" t="str">
        <f t="shared" si="46"/>
        <v>Завершена</v>
      </c>
      <c r="X1156" s="13" t="str">
        <f>IFERROR(__xludf.DUMMYFUNCTION("IF(C1156 = """", """", IF(REGEXMATCH(C1156, ""PCX|NMAX|ADV 150|CLICK""), ""скутер"", ""мото""))"),"")</f>
        <v/>
      </c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</row>
    <row r="1157" hidden="1">
      <c r="A1157" s="25" t="s">
        <v>24</v>
      </c>
      <c r="B1157" s="25" t="s">
        <v>25</v>
      </c>
      <c r="C1157" s="27" t="s">
        <v>916</v>
      </c>
      <c r="D1157" s="27" t="s">
        <v>1964</v>
      </c>
      <c r="E1157" s="43">
        <v>45806.0</v>
      </c>
      <c r="F1157" s="39">
        <v>45808.583333333336</v>
      </c>
      <c r="G1157" s="30" t="str">
        <f t="shared" si="61"/>
        <v>2 Д</v>
      </c>
      <c r="H1157" s="31">
        <f t="shared" si="66"/>
        <v>1300</v>
      </c>
      <c r="I1157" s="32" t="str">
        <f t="shared" si="65"/>
        <v/>
      </c>
      <c r="J1157" s="33" t="str">
        <f t="shared" si="25"/>
        <v/>
      </c>
      <c r="K1157" s="36">
        <v>2600.0</v>
      </c>
      <c r="L1157" s="33"/>
      <c r="M1157" s="36">
        <v>1300.0</v>
      </c>
      <c r="N1157" s="34"/>
      <c r="O1157" s="35">
        <f>IFERROR(__xludf.DUMMYFUNCTION("IFERROR(
  VLOOKUP(C1157,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C1157
    ), 
    7, FALSE
  ), 
  """"
)
"),29300.0)</f>
        <v>29300</v>
      </c>
      <c r="P1157" s="35">
        <f>IFERROR(__xludf.DUMMYFUNCTION("IF(AND(Q1157="""", R1157=""""),
  """",
  IF(OR(ISBLANK(Q1157), ISBLANK(O1157)),
    """",
    IF(VALUE(SUBSTITUTE(INDEX(SPLIT(IF(ISBLANK(R1157), Q1157, R1157), "",""), 0, 1), "" Km"", """")) - O1157 = 0,
      """",
      VALUE(SUBSTITUTE(INDEX(SPLIT(IF("&amp;"ISBLANK(R1157), Q1157, R1157), "",""), 0, 1), "" Km"", """")) - O1157
    )
  )
)"),-29300.0)</f>
        <v>-29300</v>
      </c>
      <c r="Q1157" s="36" t="str">
        <f t="shared" si="4"/>
        <v>0 Km, 29.05.2025</v>
      </c>
      <c r="R1157" s="33"/>
      <c r="S1157" s="40">
        <v>15000.0</v>
      </c>
      <c r="T1157" s="25">
        <v>1.0</v>
      </c>
      <c r="U1157" s="25" t="s">
        <v>1965</v>
      </c>
      <c r="V1157" s="37"/>
      <c r="W1157" s="37" t="str">
        <f t="shared" si="46"/>
        <v>Завершена</v>
      </c>
      <c r="X1157" s="25" t="str">
        <f>IFERROR(__xludf.DUMMYFUNCTION("IF(C1157 = """", """", IF(REGEXMATCH(C1157, ""PCX|NMAX|ADV 150|CLICK""), ""скутер"", ""мото""))"),"мото")</f>
        <v>мото</v>
      </c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</row>
    <row r="1158" hidden="1">
      <c r="A1158" s="13" t="s">
        <v>24</v>
      </c>
      <c r="B1158" s="14" t="s">
        <v>25</v>
      </c>
      <c r="C1158" s="14" t="s">
        <v>438</v>
      </c>
      <c r="D1158" s="14" t="s">
        <v>1945</v>
      </c>
      <c r="E1158" s="48">
        <v>45806.0</v>
      </c>
      <c r="F1158" s="38">
        <v>45815.541666666664</v>
      </c>
      <c r="G1158" s="17" t="str">
        <f t="shared" si="61"/>
        <v>9 Д</v>
      </c>
      <c r="H1158" s="18">
        <f>IF(L1158&lt;&gt;"", VALUE(L1158)/31, IF(M1158&lt;&gt;"", VALUE(M1158)/1, ""))
</f>
        <v>800</v>
      </c>
      <c r="I1158" s="19" t="str">
        <f t="shared" si="65"/>
        <v/>
      </c>
      <c r="J1158" s="20" t="str">
        <f t="shared" si="25"/>
        <v/>
      </c>
      <c r="K1158" s="23">
        <v>6300.0</v>
      </c>
      <c r="L1158" s="63"/>
      <c r="M1158" s="63">
        <v>800.0</v>
      </c>
      <c r="N1158" s="49">
        <v>28000.0</v>
      </c>
      <c r="O1158" s="22">
        <f>IFERROR(__xludf.DUMMYFUNCTION("IFERROR(
  VLOOKUP(C1158,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C1158
    ), 
    7, FALSE
  ), 
  """"
)
"),37823.0)</f>
        <v>37823</v>
      </c>
      <c r="P1158" s="22">
        <f>IFERROR(__xludf.DUMMYFUNCTION("IF(AND(Q1158="""", R1158=""""),
  """",
  IF(OR(ISBLANK(Q1158), ISBLANK(O1158)),
    """",
    IF(VALUE(SUBSTITUTE(INDEX(SPLIT(IF(ISBLANK(R1158), Q1158, R1158), "",""), 0, 1), "" Km"", """")) - O1158 = 0,
      """",
      VALUE(SUBSTITUTE(INDEX(SPLIT(IF("&amp;"ISBLANK(R1158), Q1158, R1158), "",""), 0, 1), "" Km"", """")) - O1158
    )
  )
)"),-9823.0)</f>
        <v>-9823</v>
      </c>
      <c r="Q1158" s="20" t="str">
        <f t="shared" si="4"/>
        <v>28 000 Km, 29.05.2025</v>
      </c>
      <c r="R1158" s="53"/>
      <c r="S1158" s="41" t="s">
        <v>515</v>
      </c>
      <c r="T1158" s="19">
        <v>1.0</v>
      </c>
      <c r="U1158" s="24"/>
      <c r="V1158" s="24"/>
      <c r="W1158" s="24" t="str">
        <f t="shared" si="46"/>
        <v>Завершена</v>
      </c>
      <c r="X1158" s="13" t="str">
        <f>IFERROR(__xludf.DUMMYFUNCTION("IF(C1158 = """", """", IF(REGEXMATCH(C1158, ""PCX|NMAX|ADV 150|CLICK""), ""скутер"", ""мото""))"),"мото")</f>
        <v>мото</v>
      </c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</row>
    <row r="1159" hidden="1">
      <c r="A1159" s="25" t="s">
        <v>24</v>
      </c>
      <c r="B1159" s="25" t="s">
        <v>25</v>
      </c>
      <c r="C1159" s="27" t="s">
        <v>967</v>
      </c>
      <c r="D1159" s="27" t="s">
        <v>1949</v>
      </c>
      <c r="E1159" s="43">
        <v>45807.0</v>
      </c>
      <c r="F1159" s="39">
        <v>45827.583333333336</v>
      </c>
      <c r="G1159" s="30" t="str">
        <f t="shared" si="61"/>
        <v>20 Д</v>
      </c>
      <c r="H1159" s="31">
        <f t="shared" ref="H1159:H1163" si="67">IF(L1159&lt;&gt;"", VALUE(L1159)/30, IF(M1159&lt;&gt;"", VALUE(M1159)/1, ""))
</f>
        <v>1000</v>
      </c>
      <c r="I1159" s="32" t="str">
        <f t="shared" si="65"/>
        <v/>
      </c>
      <c r="J1159" s="33" t="str">
        <f t="shared" si="25"/>
        <v/>
      </c>
      <c r="K1159" s="36">
        <v>20000.0</v>
      </c>
      <c r="L1159" s="36"/>
      <c r="M1159" s="36">
        <v>1000.0</v>
      </c>
      <c r="N1159" s="44">
        <v>15000.0</v>
      </c>
      <c r="O1159" s="35">
        <f>IFERROR(__xludf.DUMMYFUNCTION("IFERROR(
  VLOOKUP(C1159,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C1159
    ), 
    7, FALSE
  ), 
  """"
)
"),24800.0)</f>
        <v>24800</v>
      </c>
      <c r="P1159" s="35">
        <f>IFERROR(__xludf.DUMMYFUNCTION("IF(AND(Q1159="""", R1159=""""),
  """",
  IF(OR(ISBLANK(Q1159), ISBLANK(O1159)),
    """",
    IF(VALUE(SUBSTITUTE(INDEX(SPLIT(IF(ISBLANK(R1159), Q1159, R1159), "",""), 0, 1), "" Km"", """")) - O1159 = 0,
      """",
      VALUE(SUBSTITUTE(INDEX(SPLIT(IF("&amp;"ISBLANK(R1159), Q1159, R1159), "",""), 0, 1), "" Km"", """")) - O1159
    )
  )
)"),-9800.0)</f>
        <v>-9800</v>
      </c>
      <c r="Q1159" s="36" t="str">
        <f t="shared" si="4"/>
        <v>15 000 Km, 30.05.2025</v>
      </c>
      <c r="R1159" s="33"/>
      <c r="S1159" s="40" t="s">
        <v>1502</v>
      </c>
      <c r="T1159" s="25">
        <v>1.0</v>
      </c>
      <c r="U1159" s="25" t="s">
        <v>1950</v>
      </c>
      <c r="V1159" s="37"/>
      <c r="W1159" s="37" t="str">
        <f t="shared" si="46"/>
        <v>Завершена</v>
      </c>
      <c r="X1159" s="25" t="str">
        <f>IFERROR(__xludf.DUMMYFUNCTION("IF(C1159 = """", """", IF(REGEXMATCH(C1159, ""PCX|NMAX|ADV 150|CLICK""), ""скутер"", ""мото""))"),"мото")</f>
        <v>мото</v>
      </c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</row>
    <row r="1160" hidden="1">
      <c r="A1160" s="13" t="s">
        <v>24</v>
      </c>
      <c r="B1160" s="13" t="s">
        <v>25</v>
      </c>
      <c r="C1160" s="14" t="s">
        <v>48</v>
      </c>
      <c r="D1160" s="14" t="s">
        <v>1372</v>
      </c>
      <c r="E1160" s="48">
        <v>45809.0</v>
      </c>
      <c r="F1160" s="38">
        <v>45839.5</v>
      </c>
      <c r="G1160" s="17" t="str">
        <f t="shared" si="61"/>
        <v>30 Д</v>
      </c>
      <c r="H1160" s="18">
        <f t="shared" si="67"/>
        <v>166.6666667</v>
      </c>
      <c r="I1160" s="19" t="str">
        <f t="shared" si="65"/>
        <v/>
      </c>
      <c r="J1160" s="20" t="str">
        <f t="shared" si="25"/>
        <v/>
      </c>
      <c r="K1160" s="23">
        <v>5000.0</v>
      </c>
      <c r="L1160" s="23">
        <v>5000.0</v>
      </c>
      <c r="M1160" s="20"/>
      <c r="N1160" s="21"/>
      <c r="O1160" s="22">
        <f>IFERROR(__xludf.DUMMYFUNCTION("IFERROR(
  VLOOKUP(C1160,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C1160
    ), 
    7, FALSE
  ), 
  """"
)
"),35800.0)</f>
        <v>35800</v>
      </c>
      <c r="P1160" s="22">
        <f>IFERROR(__xludf.DUMMYFUNCTION("IF(AND(Q1160="""", R1160=""""),
  """",
  IF(OR(ISBLANK(Q1160), ISBLANK(O1160)),
    """",
    IF(VALUE(SUBSTITUTE(INDEX(SPLIT(IF(ISBLANK(R1160), Q1160, R1160), "",""), 0, 1), "" Km"", """")) - O1160 = 0,
      """",
      VALUE(SUBSTITUTE(INDEX(SPLIT(IF("&amp;"ISBLANK(R1160), Q1160, R1160), "",""), 0, 1), "" Km"", """")) - O1160
    )
  )
)"),-35800.0)</f>
        <v>-35800</v>
      </c>
      <c r="Q1160" s="23" t="str">
        <f t="shared" si="4"/>
        <v>0 Km, 01.06.2025</v>
      </c>
      <c r="R1160" s="20"/>
      <c r="S1160" s="41">
        <v>3000.0</v>
      </c>
      <c r="T1160" s="13">
        <v>2.0</v>
      </c>
      <c r="U1160" s="13" t="s">
        <v>1759</v>
      </c>
      <c r="V1160" s="24"/>
      <c r="W1160" s="24" t="str">
        <f t="shared" si="46"/>
        <v>Завершена</v>
      </c>
      <c r="X1160" s="13" t="str">
        <f>IFERROR(__xludf.DUMMYFUNCTION("IF(C1160 = """", """", IF(REGEXMATCH(C1160, ""PCX|NMAX|ADV 150|CLICK""), ""скутер"", ""мото""))"),"скутер")</f>
        <v>скутер</v>
      </c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</row>
    <row r="1161" hidden="1">
      <c r="A1161" s="25" t="s">
        <v>24</v>
      </c>
      <c r="B1161" s="25" t="s">
        <v>25</v>
      </c>
      <c r="C1161" s="27" t="s">
        <v>1028</v>
      </c>
      <c r="D1161" s="27" t="s">
        <v>1971</v>
      </c>
      <c r="E1161" s="43">
        <v>45810.0</v>
      </c>
      <c r="F1161" s="39">
        <v>45840.75</v>
      </c>
      <c r="G1161" s="30" t="str">
        <f t="shared" si="61"/>
        <v>30 Д</v>
      </c>
      <c r="H1161" s="31">
        <f t="shared" si="67"/>
        <v>333.3333333</v>
      </c>
      <c r="I1161" s="32" t="str">
        <f t="shared" si="65"/>
        <v/>
      </c>
      <c r="J1161" s="33" t="str">
        <f t="shared" si="25"/>
        <v/>
      </c>
      <c r="K1161" s="36">
        <v>10000.0</v>
      </c>
      <c r="L1161" s="36">
        <v>10000.0</v>
      </c>
      <c r="M1161" s="33"/>
      <c r="N1161" s="44">
        <v>16700.0</v>
      </c>
      <c r="O1161" s="35">
        <f>IFERROR(__xludf.DUMMYFUNCTION("IFERROR(
  VLOOKUP(C1161,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C1161
    ), 
    7, FALSE
  ), 
  """"
)
"),21600.0)</f>
        <v>21600</v>
      </c>
      <c r="P1161" s="35">
        <f>IFERROR(__xludf.DUMMYFUNCTION("IF(AND(Q1161="""", R1161=""""),
  """",
  IF(OR(ISBLANK(Q1161), ISBLANK(O1161)),
    """",
    IF(VALUE(SUBSTITUTE(INDEX(SPLIT(IF(ISBLANK(R1161), Q1161, R1161), "",""), 0, 1), "" Km"", """")) - O1161 = 0,
      """",
      VALUE(SUBSTITUTE(INDEX(SPLIT(IF("&amp;"ISBLANK(R1161), Q1161, R1161), "",""), 0, 1), "" Km"", """")) - O1161
    )
  )
)"),-4900.0)</f>
        <v>-4900</v>
      </c>
      <c r="Q1161" s="36" t="str">
        <f t="shared" si="4"/>
        <v>16 700 Km, 02.06.2025</v>
      </c>
      <c r="R1161" s="33"/>
      <c r="S1161" s="40">
        <v>5000.0</v>
      </c>
      <c r="T1161" s="25">
        <v>2.0</v>
      </c>
      <c r="U1161" s="25" t="s">
        <v>1972</v>
      </c>
      <c r="V1161" s="37"/>
      <c r="W1161" s="37" t="str">
        <f t="shared" si="46"/>
        <v>Завершена</v>
      </c>
      <c r="X1161" s="25" t="str">
        <f>IFERROR(__xludf.DUMMYFUNCTION("IF(C1161 = """", """", IF(REGEXMATCH(C1161, ""PCX|NMAX|ADV 150|CLICK""), ""скутер"", ""мото""))"),"мото")</f>
        <v>мото</v>
      </c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</row>
    <row r="1162" hidden="1">
      <c r="A1162" s="13" t="s">
        <v>24</v>
      </c>
      <c r="B1162" s="13" t="s">
        <v>25</v>
      </c>
      <c r="C1162" s="14" t="s">
        <v>971</v>
      </c>
      <c r="D1162" s="14" t="s">
        <v>929</v>
      </c>
      <c r="E1162" s="48">
        <v>45814.0</v>
      </c>
      <c r="F1162" s="38">
        <v>45822.708333333336</v>
      </c>
      <c r="G1162" s="17" t="str">
        <f t="shared" si="61"/>
        <v>8 Д</v>
      </c>
      <c r="H1162" s="18">
        <f t="shared" si="67"/>
        <v>500</v>
      </c>
      <c r="I1162" s="19" t="str">
        <f t="shared" si="65"/>
        <v/>
      </c>
      <c r="J1162" s="20" t="str">
        <f t="shared" si="25"/>
        <v/>
      </c>
      <c r="K1162" s="23">
        <v>4000.0</v>
      </c>
      <c r="L1162" s="20"/>
      <c r="M1162" s="23">
        <v>500.0</v>
      </c>
      <c r="N1162" s="21"/>
      <c r="O1162" s="22">
        <f>IFERROR(__xludf.DUMMYFUNCTION("IFERROR(
  VLOOKUP(C1162,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C1162
    ), 
    7, FALSE
  ), 
  """"
)
"),18300.0)</f>
        <v>18300</v>
      </c>
      <c r="P1162" s="22">
        <f>IFERROR(__xludf.DUMMYFUNCTION("IF(AND(Q1162="""", R1162=""""),
  """",
  IF(OR(ISBLANK(Q1162), ISBLANK(O1162)),
    """",
    IF(VALUE(SUBSTITUTE(INDEX(SPLIT(IF(ISBLANK(R1162), Q1162, R1162), "",""), 0, 1), "" Km"", """")) - O1162 = 0,
      """",
      VALUE(SUBSTITUTE(INDEX(SPLIT(IF("&amp;"ISBLANK(R1162), Q1162, R1162), "",""), 0, 1), "" Km"", """")) - O1162
    )
  )
)"),-18300.0)</f>
        <v>-18300</v>
      </c>
      <c r="Q1162" s="23" t="str">
        <f t="shared" si="4"/>
        <v>0 Km, 06.06.2025</v>
      </c>
      <c r="R1162" s="20"/>
      <c r="S1162" s="41">
        <v>200.0</v>
      </c>
      <c r="T1162" s="13">
        <v>2.0</v>
      </c>
      <c r="U1162" s="13" t="s">
        <v>930</v>
      </c>
      <c r="V1162" s="24"/>
      <c r="W1162" s="24" t="str">
        <f t="shared" si="46"/>
        <v>Завершена</v>
      </c>
      <c r="X1162" s="13" t="str">
        <f>IFERROR(__xludf.DUMMYFUNCTION("IF(C1162 = """", """", IF(REGEXMATCH(C1162, ""PCX|NMAX|ADV 150|CLICK""), ""скутер"", ""мото""))"),"мото")</f>
        <v>мото</v>
      </c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</row>
    <row r="1163" hidden="1">
      <c r="A1163" s="111" t="s">
        <v>24</v>
      </c>
      <c r="B1163" s="112" t="s">
        <v>25</v>
      </c>
      <c r="C1163" s="112" t="s">
        <v>914</v>
      </c>
      <c r="D1163" s="112" t="s">
        <v>1973</v>
      </c>
      <c r="E1163" s="43">
        <v>45815.0</v>
      </c>
      <c r="F1163" s="39">
        <v>45823.583333333336</v>
      </c>
      <c r="G1163" s="115" t="str">
        <f t="shared" si="61"/>
        <v>8 Д</v>
      </c>
      <c r="H1163" s="116">
        <f t="shared" si="67"/>
        <v>1125</v>
      </c>
      <c r="I1163" s="32" t="str">
        <f t="shared" si="65"/>
        <v/>
      </c>
      <c r="J1163" s="33" t="str">
        <f t="shared" si="25"/>
        <v/>
      </c>
      <c r="K1163" s="118">
        <v>9000.0</v>
      </c>
      <c r="L1163" s="117"/>
      <c r="M1163" s="33">
        <f>9000/8</f>
        <v>1125</v>
      </c>
      <c r="N1163" s="165">
        <v>14000.0</v>
      </c>
      <c r="O1163" s="120">
        <f>IFERROR(__xludf.DUMMYFUNCTION("IFERROR(
  VLOOKUP(C1163,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C1163
    ), 
    7, FALSE
  ), 
  """"
)
"),17900.0)</f>
        <v>17900</v>
      </c>
      <c r="P1163" s="120">
        <f>IFERROR(__xludf.DUMMYFUNCTION("IF(AND(Q1163="""", R1163=""""),
  """",
  IF(OR(ISBLANK(Q1163), ISBLANK(O1163)),
    """",
    IF(VALUE(SUBSTITUTE(INDEX(SPLIT(IF(ISBLANK(R1163), Q1163, R1163), "",""), 0, 1), "" Km"", """")) - O1163 = 0,
      """",
      VALUE(SUBSTITUTE(INDEX(SPLIT(IF("&amp;"ISBLANK(R1163), Q1163, R1163), "",""), 0, 1), "" Km"", """")) - O1163
    )
  )
)"),-3900.0)</f>
        <v>-3900</v>
      </c>
      <c r="Q1163" s="121" t="str">
        <f t="shared" si="4"/>
        <v>14 000 Km, 07.06.2025</v>
      </c>
      <c r="R1163" s="117"/>
      <c r="S1163" s="172">
        <v>0.0</v>
      </c>
      <c r="T1163" s="122">
        <v>1.0</v>
      </c>
      <c r="U1163" s="122"/>
      <c r="V1163" s="123"/>
      <c r="W1163" s="122" t="str">
        <f t="shared" si="46"/>
        <v>Завершена</v>
      </c>
      <c r="X1163" s="124" t="str">
        <f>IFERROR(__xludf.DUMMYFUNCTION("IF(C1163 = """", """", IF(REGEXMATCH(C1163, ""PCX|NMAX|ADV 150|CLICK""), ""скутер"", ""мото""))"),"мото")</f>
        <v>мото</v>
      </c>
      <c r="Y1163" s="125"/>
      <c r="Z1163" s="125"/>
      <c r="AA1163" s="125"/>
      <c r="AB1163" s="125"/>
      <c r="AC1163" s="125"/>
      <c r="AD1163" s="125"/>
      <c r="AE1163" s="125"/>
      <c r="AF1163" s="125"/>
      <c r="AG1163" s="125"/>
      <c r="AH1163" s="125"/>
      <c r="AI1163" s="125"/>
      <c r="AJ1163" s="125"/>
      <c r="AK1163" s="125"/>
      <c r="AL1163" s="125"/>
      <c r="AM1163" s="125"/>
    </row>
    <row r="1164" hidden="1">
      <c r="A1164" s="13" t="s">
        <v>24</v>
      </c>
      <c r="B1164" s="14" t="s">
        <v>25</v>
      </c>
      <c r="C1164" s="14" t="s">
        <v>102</v>
      </c>
      <c r="D1164" s="14" t="s">
        <v>1945</v>
      </c>
      <c r="E1164" s="48">
        <v>45815.0</v>
      </c>
      <c r="F1164" s="38">
        <v>45822.541666666664</v>
      </c>
      <c r="G1164" s="17" t="str">
        <f t="shared" si="61"/>
        <v>7 Д</v>
      </c>
      <c r="H1164" s="18">
        <f>IF(L1164&lt;&gt;"", VALUE(L1164)/31, IF(M1164&lt;&gt;"", VALUE(M1164)/1, ""))
</f>
        <v>1000</v>
      </c>
      <c r="I1164" s="19" t="str">
        <f t="shared" si="65"/>
        <v/>
      </c>
      <c r="J1164" s="20" t="str">
        <f t="shared" si="25"/>
        <v/>
      </c>
      <c r="K1164" s="23">
        <v>1700.0</v>
      </c>
      <c r="L1164" s="63"/>
      <c r="M1164" s="63">
        <v>1000.0</v>
      </c>
      <c r="N1164" s="49">
        <v>55000.0</v>
      </c>
      <c r="O1164" s="22">
        <f>IFERROR(__xludf.DUMMYFUNCTION("IFERROR(
  VLOOKUP(C1164,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C1164
    ), 
    7, FALSE
  ), 
  """"
)
"),63700.0)</f>
        <v>63700</v>
      </c>
      <c r="P1164" s="22">
        <f>IFERROR(__xludf.DUMMYFUNCTION("IF(AND(Q1164="""", R1164=""""),
  """",
  IF(OR(ISBLANK(Q1164), ISBLANK(O1164)),
    """",
    IF(VALUE(SUBSTITUTE(INDEX(SPLIT(IF(ISBLANK(R1164), Q1164, R1164), "",""), 0, 1), "" Km"", """")) - O1164 = 0,
      """",
      VALUE(SUBSTITUTE(INDEX(SPLIT(IF("&amp;"ISBLANK(R1164), Q1164, R1164), "",""), 0, 1), "" Km"", """")) - O1164
    )
  )
)"),-8700.0)</f>
        <v>-8700</v>
      </c>
      <c r="Q1164" s="20" t="str">
        <f t="shared" si="4"/>
        <v>55 000 Km, 07.06.2025</v>
      </c>
      <c r="R1164" s="53"/>
      <c r="S1164" s="41" t="s">
        <v>515</v>
      </c>
      <c r="T1164" s="19">
        <v>1.0</v>
      </c>
      <c r="U1164" s="24"/>
      <c r="V1164" s="24"/>
      <c r="W1164" s="24" t="str">
        <f t="shared" si="46"/>
        <v>Завершена</v>
      </c>
      <c r="X1164" s="13" t="str">
        <f>IFERROR(__xludf.DUMMYFUNCTION("IF(C1164 = """", """", IF(REGEXMATCH(C1164, ""PCX|NMAX|ADV 150|CLICK""), ""скутер"", ""мото""))"),"мото")</f>
        <v>мото</v>
      </c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</row>
    <row r="1165" hidden="1">
      <c r="A1165" s="25" t="s">
        <v>24</v>
      </c>
      <c r="B1165" s="25" t="s">
        <v>25</v>
      </c>
      <c r="C1165" s="27" t="s">
        <v>916</v>
      </c>
      <c r="D1165" s="27" t="s">
        <v>1974</v>
      </c>
      <c r="E1165" s="43">
        <v>45818.0</v>
      </c>
      <c r="F1165" s="39">
        <v>45825.75</v>
      </c>
      <c r="G1165" s="30" t="str">
        <f t="shared" si="61"/>
        <v>7 Д</v>
      </c>
      <c r="H1165" s="31">
        <f t="shared" ref="H1165:H1171" si="68">IF(L1165&lt;&gt;"", VALUE(L1165)/30, IF(M1165&lt;&gt;"", VALUE(M1165)/1, ""))
</f>
        <v>1286</v>
      </c>
      <c r="I1165" s="32" t="str">
        <f t="shared" si="65"/>
        <v/>
      </c>
      <c r="J1165" s="33" t="str">
        <f t="shared" si="25"/>
        <v/>
      </c>
      <c r="K1165" s="36">
        <v>9000.0</v>
      </c>
      <c r="L1165" s="33"/>
      <c r="M1165" s="36">
        <v>1286.0</v>
      </c>
      <c r="N1165" s="44">
        <v>27100.0</v>
      </c>
      <c r="O1165" s="35">
        <f>IFERROR(__xludf.DUMMYFUNCTION("IFERROR(
  VLOOKUP(C1165,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C1165
    ), 
    7, FALSE
  ), 
  """"
)
"),29300.0)</f>
        <v>29300</v>
      </c>
      <c r="P1165" s="35">
        <f>IFERROR(__xludf.DUMMYFUNCTION("IF(AND(Q1165="""", R1165=""""),
  """",
  IF(OR(ISBLANK(Q1165), ISBLANK(O1165)),
    """",
    IF(VALUE(SUBSTITUTE(INDEX(SPLIT(IF(ISBLANK(R1165), Q1165, R1165), "",""), 0, 1), "" Km"", """")) - O1165 = 0,
      """",
      VALUE(SUBSTITUTE(INDEX(SPLIT(IF("&amp;"ISBLANK(R1165), Q1165, R1165), "",""), 0, 1), "" Km"", """")) - O1165
    )
  )
)"),-2200.0)</f>
        <v>-2200</v>
      </c>
      <c r="Q1165" s="36" t="str">
        <f t="shared" si="4"/>
        <v>27 100 Km, 10.06.2025</v>
      </c>
      <c r="R1165" s="33"/>
      <c r="S1165" s="40" t="s">
        <v>515</v>
      </c>
      <c r="T1165" s="25">
        <v>2.0</v>
      </c>
      <c r="U1165" s="25" t="s">
        <v>1151</v>
      </c>
      <c r="V1165" s="37"/>
      <c r="W1165" s="37" t="str">
        <f t="shared" si="46"/>
        <v>Завершена</v>
      </c>
      <c r="X1165" s="25" t="str">
        <f>IFERROR(__xludf.DUMMYFUNCTION("IF(C1165 = """", """", IF(REGEXMATCH(C1165, ""PCX|NMAX|ADV 150|CLICK""), ""скутер"", ""мото""))"),"мото")</f>
        <v>мото</v>
      </c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</row>
    <row r="1166" hidden="1">
      <c r="A1166" s="13" t="s">
        <v>24</v>
      </c>
      <c r="B1166" s="13" t="s">
        <v>25</v>
      </c>
      <c r="C1166" s="14" t="s">
        <v>423</v>
      </c>
      <c r="D1166" s="14" t="s">
        <v>1975</v>
      </c>
      <c r="E1166" s="48">
        <v>45825.0</v>
      </c>
      <c r="F1166" s="38">
        <v>45830.833333333336</v>
      </c>
      <c r="G1166" s="17" t="str">
        <f t="shared" si="61"/>
        <v>5 Д</v>
      </c>
      <c r="H1166" s="18">
        <f t="shared" si="68"/>
        <v>990</v>
      </c>
      <c r="I1166" s="19" t="str">
        <f t="shared" si="65"/>
        <v/>
      </c>
      <c r="J1166" s="20" t="str">
        <f t="shared" si="25"/>
        <v/>
      </c>
      <c r="K1166" s="23">
        <f>1980+3000</f>
        <v>4980</v>
      </c>
      <c r="L1166" s="20"/>
      <c r="M1166" s="23">
        <v>990.0</v>
      </c>
      <c r="N1166" s="49">
        <v>23295.0</v>
      </c>
      <c r="O1166" s="22" t="str">
        <f>IFERROR(__xludf.DUMMYFUNCTION("IFERROR(
  VLOOKUP(C1166,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C1166
    ), 
    7, FALSE
  ), 
  """"
)
"),"")</f>
        <v/>
      </c>
      <c r="P1166" s="22">
        <f>IFERROR(__xludf.DUMMYFUNCTION("IF(AND(Q1166="""", R1166=""""),
  """",
  IF(OR(ISBLANK(Q1166), ISBLANK(O1166)),
    """",
    IF(VALUE(SUBSTITUTE(INDEX(SPLIT(IF(ISBLANK(R1166), Q1166, R1166), "",""), 0, 1), "" Km"", """")) - O1166 = 0,
      """",
      VALUE(SUBSTITUTE(INDEX(SPLIT(IF("&amp;"ISBLANK(R1166), Q1166, R1166), "",""), 0, 1), "" Km"", """")) - O1166
    )
  )
)"),23295.0)</f>
        <v>23295</v>
      </c>
      <c r="Q1166" s="23" t="str">
        <f t="shared" si="4"/>
        <v>23 295 Km, 17.06.2025</v>
      </c>
      <c r="R1166" s="20"/>
      <c r="S1166" s="41">
        <v>500.0</v>
      </c>
      <c r="T1166" s="13">
        <v>1.0</v>
      </c>
      <c r="U1166" s="13" t="s">
        <v>1976</v>
      </c>
      <c r="V1166" s="24"/>
      <c r="W1166" s="24" t="str">
        <f t="shared" si="46"/>
        <v>Завершена</v>
      </c>
      <c r="X1166" s="13" t="str">
        <f>IFERROR(__xludf.DUMMYFUNCTION("IF(C1166 = """", """", IF(REGEXMATCH(C1166, ""PCX|NMAX|ADV 150|CLICK""), ""скутер"", ""мото""))"),"мото")</f>
        <v>мото</v>
      </c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</row>
    <row r="1167" hidden="1">
      <c r="A1167" s="25" t="s">
        <v>24</v>
      </c>
      <c r="B1167" s="25" t="s">
        <v>25</v>
      </c>
      <c r="C1167" s="27" t="s">
        <v>102</v>
      </c>
      <c r="D1167" s="27" t="s">
        <v>1144</v>
      </c>
      <c r="E1167" s="43">
        <v>45833.0</v>
      </c>
      <c r="F1167" s="39">
        <v>45834.541666666664</v>
      </c>
      <c r="G1167" s="30" t="str">
        <f t="shared" si="61"/>
        <v>1 Д</v>
      </c>
      <c r="H1167" s="31">
        <f t="shared" si="68"/>
        <v>1400</v>
      </c>
      <c r="I1167" s="32" t="str">
        <f t="shared" si="65"/>
        <v/>
      </c>
      <c r="J1167" s="33" t="str">
        <f t="shared" si="25"/>
        <v/>
      </c>
      <c r="K1167" s="36">
        <f>1400+1300</f>
        <v>2700</v>
      </c>
      <c r="L1167" s="33"/>
      <c r="M1167" s="36">
        <v>1400.0</v>
      </c>
      <c r="N1167" s="44">
        <v>55000.0</v>
      </c>
      <c r="O1167" s="35">
        <f>IFERROR(__xludf.DUMMYFUNCTION("IFERROR(
  VLOOKUP(C1167,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C1167
    ), 
    7, FALSE
  ), 
  """"
)
"),63700.0)</f>
        <v>63700</v>
      </c>
      <c r="P1167" s="35">
        <f>IFERROR(__xludf.DUMMYFUNCTION("IF(AND(Q1167="""", R1167=""""),
  """",
  IF(OR(ISBLANK(Q1167), ISBLANK(O1167)),
    """",
    IF(VALUE(SUBSTITUTE(INDEX(SPLIT(IF(ISBLANK(R1167), Q1167, R1167), "",""), 0, 1), "" Km"", """")) - O1167 = 0,
      """",
      VALUE(SUBSTITUTE(INDEX(SPLIT(IF("&amp;"ISBLANK(R1167), Q1167, R1167), "",""), 0, 1), "" Km"", """")) - O1167
    )
  )
)"),-8700.0)</f>
        <v>-8700</v>
      </c>
      <c r="Q1167" s="36" t="str">
        <f t="shared" si="4"/>
        <v>55 000 Km, 25.06.2025</v>
      </c>
      <c r="R1167" s="33"/>
      <c r="S1167" s="40" t="s">
        <v>515</v>
      </c>
      <c r="T1167" s="25">
        <v>1.0</v>
      </c>
      <c r="U1167" s="25" t="s">
        <v>1151</v>
      </c>
      <c r="V1167" s="37"/>
      <c r="W1167" s="37" t="str">
        <f t="shared" si="46"/>
        <v>Завершена</v>
      </c>
      <c r="X1167" s="25" t="str">
        <f>IFERROR(__xludf.DUMMYFUNCTION("IF(C1167 = """", """", IF(REGEXMATCH(C1167, ""PCX|NMAX|ADV 150|CLICK""), ""скутер"", ""мото""))"),"мото")</f>
        <v>мото</v>
      </c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</row>
    <row r="1168" hidden="1">
      <c r="A1168" s="13" t="s">
        <v>24</v>
      </c>
      <c r="B1168" s="13" t="s">
        <v>25</v>
      </c>
      <c r="C1168" s="14" t="s">
        <v>56</v>
      </c>
      <c r="D1168" s="14" t="s">
        <v>1977</v>
      </c>
      <c r="E1168" s="48">
        <v>45834.0</v>
      </c>
      <c r="F1168" s="38">
        <v>45839.666666666664</v>
      </c>
      <c r="G1168" s="17" t="str">
        <f t="shared" si="61"/>
        <v>5 Д</v>
      </c>
      <c r="H1168" s="18">
        <f t="shared" si="68"/>
        <v>250</v>
      </c>
      <c r="I1168" s="19" t="str">
        <f t="shared" si="65"/>
        <v/>
      </c>
      <c r="J1168" s="20" t="str">
        <f t="shared" si="25"/>
        <v/>
      </c>
      <c r="K1168" s="23">
        <v>1250.0</v>
      </c>
      <c r="L1168" s="20"/>
      <c r="M1168" s="23">
        <v>250.0</v>
      </c>
      <c r="N1168" s="21"/>
      <c r="O1168" s="22">
        <f>IFERROR(__xludf.DUMMYFUNCTION("IFERROR(
  VLOOKUP(C1168,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C1168
    ), 
    7, FALSE
  ), 
  """"
)
"),36400.0)</f>
        <v>36400</v>
      </c>
      <c r="P1168" s="22">
        <f>IFERROR(__xludf.DUMMYFUNCTION("IF(AND(Q1168="""", R1168=""""),
  """",
  IF(OR(ISBLANK(Q1168), ISBLANK(O1168)),
    """",
    IF(VALUE(SUBSTITUTE(INDEX(SPLIT(IF(ISBLANK(R1168), Q1168, R1168), "",""), 0, 1), "" Km"", """")) - O1168 = 0,
      """",
      VALUE(SUBSTITUTE(INDEX(SPLIT(IF("&amp;"ISBLANK(R1168), Q1168, R1168), "",""), 0, 1), "" Km"", """")) - O1168
    )
  )
)"),-36400.0)</f>
        <v>-36400</v>
      </c>
      <c r="Q1168" s="23" t="str">
        <f t="shared" si="4"/>
        <v>0 Km, 26.06.2025</v>
      </c>
      <c r="R1168" s="20"/>
      <c r="S1168" s="18"/>
      <c r="T1168" s="13">
        <v>2.0</v>
      </c>
      <c r="U1168" s="66" t="s">
        <v>1978</v>
      </c>
      <c r="V1168" s="24"/>
      <c r="W1168" s="24" t="str">
        <f t="shared" si="46"/>
        <v>Завершена</v>
      </c>
      <c r="X1168" s="13" t="str">
        <f>IFERROR(__xludf.DUMMYFUNCTION("IF(C1168 = """", """", IF(REGEXMATCH(C1168, ""PCX|NMAX|ADV 150|CLICK""), ""скутер"", ""мото""))"),"скутер")</f>
        <v>скутер</v>
      </c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</row>
    <row r="1169" hidden="1">
      <c r="A1169" s="25" t="s">
        <v>24</v>
      </c>
      <c r="B1169" s="25" t="s">
        <v>25</v>
      </c>
      <c r="C1169" s="27" t="s">
        <v>438</v>
      </c>
      <c r="D1169" s="27" t="s">
        <v>1979</v>
      </c>
      <c r="E1169" s="43">
        <v>45835.0</v>
      </c>
      <c r="F1169" s="39">
        <v>45866.5</v>
      </c>
      <c r="G1169" s="30" t="str">
        <f t="shared" si="61"/>
        <v>31 Д</v>
      </c>
      <c r="H1169" s="31">
        <f t="shared" si="68"/>
        <v>400</v>
      </c>
      <c r="I1169" s="32" t="str">
        <f t="shared" si="65"/>
        <v/>
      </c>
      <c r="J1169" s="33" t="str">
        <f t="shared" si="25"/>
        <v/>
      </c>
      <c r="K1169" s="36">
        <v>12400.0</v>
      </c>
      <c r="L1169" s="36">
        <v>12000.0</v>
      </c>
      <c r="M1169" s="33"/>
      <c r="N1169" s="44">
        <v>27500.0</v>
      </c>
      <c r="O1169" s="35">
        <f>IFERROR(__xludf.DUMMYFUNCTION("IFERROR(
  VLOOKUP(C1169,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C1169
    ), 
    7, FALSE
  ), 
  """"
)
"),37823.0)</f>
        <v>37823</v>
      </c>
      <c r="P1169" s="35">
        <f>IFERROR(__xludf.DUMMYFUNCTION("IF(AND(Q1169="""", R1169=""""),
  """",
  IF(OR(ISBLANK(Q1169), ISBLANK(O1169)),
    """",
    IF(VALUE(SUBSTITUTE(INDEX(SPLIT(IF(ISBLANK(R1169), Q1169, R1169), "",""), 0, 1), "" Km"", """")) - O1169 = 0,
      """",
      VALUE(SUBSTITUTE(INDEX(SPLIT(IF("&amp;"ISBLANK(R1169), Q1169, R1169), "",""), 0, 1), "" Km"", """")) - O1169
    )
  )
)"),-10323.0)</f>
        <v>-10323</v>
      </c>
      <c r="Q1169" s="36" t="str">
        <f t="shared" si="4"/>
        <v>27 500 Km, 27.06.2025</v>
      </c>
      <c r="R1169" s="33"/>
      <c r="S1169" s="40" t="s">
        <v>1980</v>
      </c>
      <c r="T1169" s="25">
        <v>1.0</v>
      </c>
      <c r="U1169" s="25" t="s">
        <v>1981</v>
      </c>
      <c r="V1169" s="37"/>
      <c r="W1169" s="37" t="str">
        <f t="shared" si="46"/>
        <v>Завершена</v>
      </c>
      <c r="X1169" s="25" t="str">
        <f>IFERROR(__xludf.DUMMYFUNCTION("IF(C1169 = """", """", IF(REGEXMATCH(C1169, ""PCX|NMAX|ADV 150|CLICK""), ""скутер"", ""мото""))"),"мото")</f>
        <v>мото</v>
      </c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</row>
    <row r="1170" hidden="1">
      <c r="A1170" s="13" t="s">
        <v>24</v>
      </c>
      <c r="B1170" s="13" t="s">
        <v>25</v>
      </c>
      <c r="C1170" s="14" t="s">
        <v>948</v>
      </c>
      <c r="D1170" s="14" t="s">
        <v>1982</v>
      </c>
      <c r="E1170" s="48">
        <v>45835.0</v>
      </c>
      <c r="F1170" s="38">
        <v>45837.541666666664</v>
      </c>
      <c r="G1170" s="17" t="str">
        <f t="shared" si="61"/>
        <v>2 Д</v>
      </c>
      <c r="H1170" s="18">
        <f t="shared" si="68"/>
        <v>500</v>
      </c>
      <c r="I1170" s="19" t="str">
        <f t="shared" si="65"/>
        <v/>
      </c>
      <c r="J1170" s="20" t="str">
        <f t="shared" si="25"/>
        <v/>
      </c>
      <c r="K1170" s="23">
        <v>2000.0</v>
      </c>
      <c r="L1170" s="20"/>
      <c r="M1170" s="23">
        <v>500.0</v>
      </c>
      <c r="N1170" s="49">
        <v>17500.0</v>
      </c>
      <c r="O1170" s="22">
        <f>IFERROR(__xludf.DUMMYFUNCTION("IFERROR(
  VLOOKUP(C1170,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C1170
    ), 
    7, FALSE
  ), 
  """"
)
"),24553.0)</f>
        <v>24553</v>
      </c>
      <c r="P1170" s="22">
        <f>IFERROR(__xludf.DUMMYFUNCTION("IF(AND(Q1170="""", R1170=""""),
  """",
  IF(OR(ISBLANK(Q1170), ISBLANK(O1170)),
    """",
    IF(VALUE(SUBSTITUTE(INDEX(SPLIT(IF(ISBLANK(R1170), Q1170, R1170), "",""), 0, 1), "" Km"", """")) - O1170 = 0,
      """",
      VALUE(SUBSTITUTE(INDEX(SPLIT(IF("&amp;"ISBLANK(R1170), Q1170, R1170), "",""), 0, 1), "" Km"", """")) - O1170
    )
  )
)"),-7053.0)</f>
        <v>-7053</v>
      </c>
      <c r="Q1170" s="23" t="str">
        <f t="shared" si="4"/>
        <v>17 500 Km, 27.06.2025</v>
      </c>
      <c r="R1170" s="20"/>
      <c r="S1170" s="41">
        <v>5000.0</v>
      </c>
      <c r="T1170" s="13">
        <v>1.0</v>
      </c>
      <c r="U1170" s="66" t="s">
        <v>1983</v>
      </c>
      <c r="V1170" s="24"/>
      <c r="W1170" s="24" t="str">
        <f t="shared" si="46"/>
        <v>Завершена</v>
      </c>
      <c r="X1170" s="13" t="str">
        <f>IFERROR(__xludf.DUMMYFUNCTION("IF(C1170 = """", """", IF(REGEXMATCH(C1170, ""PCX|NMAX|ADV 150|CLICK""), ""скутер"", ""мото""))"),"мото")</f>
        <v>мото</v>
      </c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</row>
    <row r="1171" hidden="1">
      <c r="A1171" s="25" t="s">
        <v>24</v>
      </c>
      <c r="B1171" s="25" t="s">
        <v>25</v>
      </c>
      <c r="C1171" s="27" t="s">
        <v>914</v>
      </c>
      <c r="D1171" s="27" t="s">
        <v>1984</v>
      </c>
      <c r="E1171" s="43">
        <v>45836.0</v>
      </c>
      <c r="F1171" s="39">
        <v>45839.833333333336</v>
      </c>
      <c r="G1171" s="30" t="str">
        <f t="shared" si="61"/>
        <v>3 Д</v>
      </c>
      <c r="H1171" s="31">
        <f t="shared" si="68"/>
        <v>1300</v>
      </c>
      <c r="I1171" s="32" t="str">
        <f t="shared" si="65"/>
        <v/>
      </c>
      <c r="J1171" s="33" t="str">
        <f t="shared" si="25"/>
        <v/>
      </c>
      <c r="K1171" s="36">
        <v>3900.0</v>
      </c>
      <c r="L1171" s="33"/>
      <c r="M1171" s="36">
        <v>1300.0</v>
      </c>
      <c r="N1171" s="44">
        <v>15000.0</v>
      </c>
      <c r="O1171" s="35">
        <f>IFERROR(__xludf.DUMMYFUNCTION("IFERROR(
  VLOOKUP(C1171,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C1171
    ), 
    7, FALSE
  ), 
  """"
)
"),17900.0)</f>
        <v>17900</v>
      </c>
      <c r="P1171" s="35">
        <f>IFERROR(__xludf.DUMMYFUNCTION("IF(AND(Q1171="""", R1171=""""),
  """",
  IF(OR(ISBLANK(Q1171), ISBLANK(O1171)),
    """",
    IF(VALUE(SUBSTITUTE(INDEX(SPLIT(IF(ISBLANK(R1171), Q1171, R1171), "",""), 0, 1), "" Km"", """")) - O1171 = 0,
      """",
      VALUE(SUBSTITUTE(INDEX(SPLIT(IF("&amp;"ISBLANK(R1171), Q1171, R1171), "",""), 0, 1), "" Km"", """")) - O1171
    )
  )
)"),-2900.0)</f>
        <v>-2900</v>
      </c>
      <c r="Q1171" s="36" t="str">
        <f t="shared" si="4"/>
        <v>15 000 Km, 28.06.2025</v>
      </c>
      <c r="R1171" s="33"/>
      <c r="S1171" s="40">
        <v>600.0</v>
      </c>
      <c r="T1171" s="25">
        <v>2.0</v>
      </c>
      <c r="U1171" s="25" t="s">
        <v>1985</v>
      </c>
      <c r="V1171" s="37"/>
      <c r="W1171" s="37" t="str">
        <f t="shared" si="46"/>
        <v>Завершена</v>
      </c>
      <c r="X1171" s="25" t="str">
        <f>IFERROR(__xludf.DUMMYFUNCTION("IF(C1171 = """", """", IF(REGEXMATCH(C1171, ""PCX|NMAX|ADV 150|CLICK""), ""скутер"", ""мото""))"),"мото")</f>
        <v>мото</v>
      </c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</row>
    <row r="1172" hidden="1">
      <c r="A1172" s="13" t="s">
        <v>24</v>
      </c>
      <c r="B1172" s="13" t="s">
        <v>25</v>
      </c>
      <c r="C1172" s="14" t="s">
        <v>48</v>
      </c>
      <c r="D1172" s="14" t="s">
        <v>677</v>
      </c>
      <c r="E1172" s="48">
        <v>45838.0</v>
      </c>
      <c r="F1172" s="38">
        <v>45848.583333333336</v>
      </c>
      <c r="G1172" s="17" t="str">
        <f t="shared" si="61"/>
        <v>10 Д</v>
      </c>
      <c r="H1172" s="41">
        <v>300.0</v>
      </c>
      <c r="I1172" s="19" t="str">
        <f t="shared" si="65"/>
        <v/>
      </c>
      <c r="J1172" s="20" t="str">
        <f t="shared" si="25"/>
        <v/>
      </c>
      <c r="K1172" s="23">
        <f>900+270*7</f>
        <v>2790</v>
      </c>
      <c r="L1172" s="20"/>
      <c r="M1172" s="23">
        <v>270.0</v>
      </c>
      <c r="N1172" s="21"/>
      <c r="O1172" s="22">
        <f>IFERROR(__xludf.DUMMYFUNCTION("IFERROR(
  VLOOKUP(C1172,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C1172
    ), 
    7, FALSE
  ), 
  """"
)
"),35800.0)</f>
        <v>35800</v>
      </c>
      <c r="P1172" s="22">
        <f>IFERROR(__xludf.DUMMYFUNCTION("IF(AND(Q1172="""", R1172=""""),
  """",
  IF(OR(ISBLANK(Q1172), ISBLANK(O1172)),
    """",
    IF(VALUE(SUBSTITUTE(INDEX(SPLIT(IF(ISBLANK(R1172), Q1172, R1172), "",""), 0, 1), "" Km"", """")) - O1172 = 0,
      """",
      VALUE(SUBSTITUTE(INDEX(SPLIT(IF("&amp;"ISBLANK(R1172), Q1172, R1172), "",""), 0, 1), "" Km"", """")) - O1172
    )
  )
)"),-35800.0)</f>
        <v>-35800</v>
      </c>
      <c r="Q1172" s="23" t="str">
        <f t="shared" si="4"/>
        <v>0 Km, 30.06.2025</v>
      </c>
      <c r="R1172" s="20"/>
      <c r="S1172" s="41">
        <v>3000.0</v>
      </c>
      <c r="T1172" s="13">
        <v>1.0</v>
      </c>
      <c r="U1172" s="13" t="s">
        <v>1986</v>
      </c>
      <c r="V1172" s="24"/>
      <c r="W1172" s="24" t="str">
        <f t="shared" si="46"/>
        <v>Завершена</v>
      </c>
      <c r="X1172" s="13" t="str">
        <f>IFERROR(__xludf.DUMMYFUNCTION("IF(C1172 = """", """", IF(REGEXMATCH(C1172, ""PCX|NMAX|ADV 150|CLICK""), ""скутер"", ""мото""))"),"скутер")</f>
        <v>скутер</v>
      </c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</row>
    <row r="1173" hidden="1">
      <c r="A1173" s="25" t="s">
        <v>24</v>
      </c>
      <c r="B1173" s="25" t="s">
        <v>25</v>
      </c>
      <c r="C1173" s="27" t="s">
        <v>923</v>
      </c>
      <c r="D1173" s="27" t="s">
        <v>1971</v>
      </c>
      <c r="E1173" s="43">
        <v>45840.0</v>
      </c>
      <c r="F1173" s="39">
        <v>45871.75</v>
      </c>
      <c r="G1173" s="30" t="str">
        <f t="shared" si="61"/>
        <v>31 Д</v>
      </c>
      <c r="H1173" s="31">
        <f t="shared" ref="H1173:H1225" si="69">IF(L1173&lt;&gt;"", VALUE(L1173)/30, IF(M1173&lt;&gt;"", VALUE(M1173)/1, ""))
</f>
        <v>366.6666667</v>
      </c>
      <c r="I1173" s="32" t="str">
        <f t="shared" si="65"/>
        <v/>
      </c>
      <c r="J1173" s="33" t="str">
        <f t="shared" si="25"/>
        <v/>
      </c>
      <c r="K1173" s="36">
        <v>11000.0</v>
      </c>
      <c r="L1173" s="36">
        <v>11000.0</v>
      </c>
      <c r="M1173" s="33"/>
      <c r="N1173" s="44">
        <v>18100.0</v>
      </c>
      <c r="O1173" s="35">
        <f>IFERROR(__xludf.DUMMYFUNCTION("IFERROR(
  VLOOKUP(C1173,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C1173
    ), 
    7, FALSE
  ), 
  """"
)
"),25378.0)</f>
        <v>25378</v>
      </c>
      <c r="P1173" s="35">
        <f>IFERROR(__xludf.DUMMYFUNCTION("IF(AND(Q1173="""", R1173=""""),
  """",
  IF(OR(ISBLANK(Q1173), ISBLANK(O1173)),
    """",
    IF(VALUE(SUBSTITUTE(INDEX(SPLIT(IF(ISBLANK(R1173), Q1173, R1173), "",""), 0, 1), "" Km"", """")) - O1173 = 0,
      """",
      VALUE(SUBSTITUTE(INDEX(SPLIT(IF("&amp;"ISBLANK(R1173), Q1173, R1173), "",""), 0, 1), "" Km"", """")) - O1173
    )
  )
)"),-7278.0)</f>
        <v>-7278</v>
      </c>
      <c r="Q1173" s="36" t="str">
        <f t="shared" si="4"/>
        <v>18 100 Km, 02.07.2025</v>
      </c>
      <c r="R1173" s="33"/>
      <c r="S1173" s="40">
        <v>5000.0</v>
      </c>
      <c r="T1173" s="25">
        <v>2.0</v>
      </c>
      <c r="U1173" s="25" t="s">
        <v>1972</v>
      </c>
      <c r="V1173" s="37"/>
      <c r="W1173" s="37" t="str">
        <f t="shared" si="46"/>
        <v>Завершена</v>
      </c>
      <c r="X1173" s="25" t="str">
        <f>IFERROR(__xludf.DUMMYFUNCTION("IF(C1173 = """", """", IF(REGEXMATCH(C1173, ""PCX|NMAX|ADV 150|CLICK""), ""скутер"", ""мото""))"),"мото")</f>
        <v>мото</v>
      </c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</row>
    <row r="1174" hidden="1">
      <c r="A1174" s="13" t="s">
        <v>24</v>
      </c>
      <c r="B1174" s="13" t="s">
        <v>25</v>
      </c>
      <c r="C1174" s="14" t="s">
        <v>971</v>
      </c>
      <c r="D1174" s="14" t="s">
        <v>821</v>
      </c>
      <c r="E1174" s="48">
        <v>45840.0</v>
      </c>
      <c r="F1174" s="38">
        <v>45902.833333333336</v>
      </c>
      <c r="G1174" s="17" t="str">
        <f t="shared" si="61"/>
        <v>62 Д</v>
      </c>
      <c r="H1174" s="18">
        <f t="shared" si="69"/>
        <v>300</v>
      </c>
      <c r="I1174" s="19" t="str">
        <f t="shared" si="65"/>
        <v/>
      </c>
      <c r="J1174" s="20" t="str">
        <f t="shared" si="25"/>
        <v/>
      </c>
      <c r="K1174" s="23">
        <f>9000+900</f>
        <v>9900</v>
      </c>
      <c r="L1174" s="23">
        <v>9000.0</v>
      </c>
      <c r="M1174" s="20"/>
      <c r="N1174" s="49">
        <v>15000.0</v>
      </c>
      <c r="O1174" s="22">
        <f>IFERROR(__xludf.DUMMYFUNCTION("IFERROR(
  VLOOKUP(C1174,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C1174
    ), 
    7, FALSE
  ), 
  """"
)
"),18300.0)</f>
        <v>18300</v>
      </c>
      <c r="P1174" s="22">
        <f>IFERROR(__xludf.DUMMYFUNCTION("IF(AND(Q1174="""", R1174=""""),
  """",
  IF(OR(ISBLANK(Q1174), ISBLANK(O1174)),
    """",
    IF(VALUE(SUBSTITUTE(INDEX(SPLIT(IF(ISBLANK(R1174), Q1174, R1174), "",""), 0, 1), "" Km"", """")) - O1174 = 0,
      """",
      VALUE(SUBSTITUTE(INDEX(SPLIT(IF("&amp;"ISBLANK(R1174), Q1174, R1174), "",""), 0, 1), "" Km"", """")) - O1174
    )
  )
)"),-3300.0)</f>
        <v>-3300</v>
      </c>
      <c r="Q1174" s="23" t="str">
        <f t="shared" si="4"/>
        <v>15 000 Km, 02.07.2025</v>
      </c>
      <c r="R1174" s="20"/>
      <c r="S1174" s="41" t="s">
        <v>600</v>
      </c>
      <c r="T1174" s="13">
        <v>0.0</v>
      </c>
      <c r="U1174" s="13" t="s">
        <v>1987</v>
      </c>
      <c r="V1174" s="24"/>
      <c r="W1174" s="24" t="str">
        <f t="shared" si="46"/>
        <v>Завершена</v>
      </c>
      <c r="X1174" s="13" t="str">
        <f>IFERROR(__xludf.DUMMYFUNCTION("IF(C1174 = """", """", IF(REGEXMATCH(C1174, ""PCX|NMAX|ADV 150|CLICK""), ""скутер"", ""мото""))"),"мото")</f>
        <v>мото</v>
      </c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</row>
    <row r="1175" hidden="1">
      <c r="A1175" s="25" t="s">
        <v>24</v>
      </c>
      <c r="B1175" s="25" t="s">
        <v>25</v>
      </c>
      <c r="C1175" s="27" t="s">
        <v>44</v>
      </c>
      <c r="D1175" s="27" t="s">
        <v>1988</v>
      </c>
      <c r="E1175" s="43">
        <v>45841.0</v>
      </c>
      <c r="F1175" s="39">
        <v>45853.5</v>
      </c>
      <c r="G1175" s="30" t="str">
        <f t="shared" si="61"/>
        <v>12 Д</v>
      </c>
      <c r="H1175" s="31">
        <f t="shared" si="69"/>
        <v>315</v>
      </c>
      <c r="I1175" s="32" t="str">
        <f t="shared" si="65"/>
        <v/>
      </c>
      <c r="J1175" s="33" t="str">
        <f t="shared" si="25"/>
        <v/>
      </c>
      <c r="K1175" s="36">
        <v>3780.0</v>
      </c>
      <c r="L1175" s="33"/>
      <c r="M1175" s="36">
        <v>315.0</v>
      </c>
      <c r="N1175" s="34"/>
      <c r="O1175" s="35">
        <f>IFERROR(__xludf.DUMMYFUNCTION("IFERROR(
  VLOOKUP(C1175,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C1175
    ), 
    7, FALSE
  ), 
  """"
)
"),30800.0)</f>
        <v>30800</v>
      </c>
      <c r="P1175" s="35">
        <f>IFERROR(__xludf.DUMMYFUNCTION("IF(AND(Q1175="""", R1175=""""),
  """",
  IF(OR(ISBLANK(Q1175), ISBLANK(O1175)),
    """",
    IF(VALUE(SUBSTITUTE(INDEX(SPLIT(IF(ISBLANK(R1175), Q1175, R1175), "",""), 0, 1), "" Km"", """")) - O1175 = 0,
      """",
      VALUE(SUBSTITUTE(INDEX(SPLIT(IF("&amp;"ISBLANK(R1175), Q1175, R1175), "",""), 0, 1), "" Km"", """")) - O1175
    )
  )
)"),-30800.0)</f>
        <v>-30800</v>
      </c>
      <c r="Q1175" s="36" t="str">
        <f t="shared" si="4"/>
        <v>0 Km, 03.07.2025</v>
      </c>
      <c r="R1175" s="33"/>
      <c r="S1175" s="40">
        <v>3000.0</v>
      </c>
      <c r="T1175" s="25">
        <v>2.0</v>
      </c>
      <c r="U1175" s="25" t="s">
        <v>1989</v>
      </c>
      <c r="V1175" s="37"/>
      <c r="W1175" s="37" t="str">
        <f t="shared" si="46"/>
        <v>Завершена</v>
      </c>
      <c r="X1175" s="25" t="str">
        <f>IFERROR(__xludf.DUMMYFUNCTION("IF(C1175 = """", """", IF(REGEXMATCH(C1175, ""PCX|NMAX|ADV 150|CLICK""), ""скутер"", ""мото""))"),"скутер")</f>
        <v>скутер</v>
      </c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</row>
    <row r="1176" hidden="1">
      <c r="A1176" s="13" t="s">
        <v>24</v>
      </c>
      <c r="B1176" s="13" t="s">
        <v>25</v>
      </c>
      <c r="C1176" s="14" t="s">
        <v>974</v>
      </c>
      <c r="D1176" s="14" t="s">
        <v>1990</v>
      </c>
      <c r="E1176" s="48">
        <v>45844.0</v>
      </c>
      <c r="F1176" s="38">
        <v>45906.541666666664</v>
      </c>
      <c r="G1176" s="17" t="str">
        <f t="shared" si="61"/>
        <v>62 Д</v>
      </c>
      <c r="H1176" s="18">
        <f t="shared" si="69"/>
        <v>300</v>
      </c>
      <c r="I1176" s="19" t="str">
        <f t="shared" si="65"/>
        <v/>
      </c>
      <c r="J1176" s="20" t="str">
        <f t="shared" si="25"/>
        <v/>
      </c>
      <c r="K1176" s="23">
        <f>4000+3850+1000+2150</f>
        <v>11000</v>
      </c>
      <c r="L1176" s="23">
        <v>9000.0</v>
      </c>
      <c r="M1176" s="20"/>
      <c r="N1176" s="49">
        <v>8000.0</v>
      </c>
      <c r="O1176" s="22">
        <f>IFERROR(__xludf.DUMMYFUNCTION("IFERROR(
  VLOOKUP(C1176,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C1176
    ), 
    7, FALSE
  ), 
  """"
)
"),11800.0)</f>
        <v>11800</v>
      </c>
      <c r="P1176" s="22">
        <f>IFERROR(__xludf.DUMMYFUNCTION("IF(AND(Q1176="""", R1176=""""),
  """",
  IF(OR(ISBLANK(Q1176), ISBLANK(O1176)),
    """",
    IF(VALUE(SUBSTITUTE(INDEX(SPLIT(IF(ISBLANK(R1176), Q1176, R1176), "",""), 0, 1), "" Km"", """")) - O1176 = 0,
      """",
      VALUE(SUBSTITUTE(INDEX(SPLIT(IF("&amp;"ISBLANK(R1176), Q1176, R1176), "",""), 0, 1), "" Km"", """")) - O1176
    )
  )
)"),-3800.0)</f>
        <v>-3800</v>
      </c>
      <c r="Q1176" s="23" t="str">
        <f t="shared" si="4"/>
        <v>8 000 Km, 06.07.2025</v>
      </c>
      <c r="R1176" s="20"/>
      <c r="S1176" s="41">
        <v>0.0</v>
      </c>
      <c r="T1176" s="13">
        <v>0.0</v>
      </c>
      <c r="U1176" s="13" t="s">
        <v>1991</v>
      </c>
      <c r="V1176" s="24"/>
      <c r="W1176" s="24" t="str">
        <f t="shared" si="46"/>
        <v>Завершена</v>
      </c>
      <c r="X1176" s="13" t="str">
        <f>IFERROR(__xludf.DUMMYFUNCTION("IF(C1176 = """", """", IF(REGEXMATCH(C1176, ""PCX|NMAX|ADV 150|CLICK""), ""скутер"", ""мото""))"),"мото")</f>
        <v>мото</v>
      </c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</row>
    <row r="1177" hidden="1">
      <c r="A1177" s="25" t="s">
        <v>24</v>
      </c>
      <c r="B1177" s="25" t="s">
        <v>25</v>
      </c>
      <c r="C1177" s="27" t="s">
        <v>967</v>
      </c>
      <c r="D1177" s="27" t="s">
        <v>1992</v>
      </c>
      <c r="E1177" s="43">
        <v>45845.0</v>
      </c>
      <c r="F1177" s="39">
        <v>45847.666666666664</v>
      </c>
      <c r="G1177" s="30" t="str">
        <f t="shared" si="61"/>
        <v>2 Д</v>
      </c>
      <c r="H1177" s="31">
        <f t="shared" si="69"/>
        <v>1750</v>
      </c>
      <c r="I1177" s="32" t="str">
        <f t="shared" si="65"/>
        <v/>
      </c>
      <c r="J1177" s="33" t="str">
        <f t="shared" si="25"/>
        <v/>
      </c>
      <c r="K1177" s="36">
        <v>3500.0</v>
      </c>
      <c r="L1177" s="33"/>
      <c r="M1177" s="36">
        <v>1750.0</v>
      </c>
      <c r="N1177" s="44">
        <v>17500.0</v>
      </c>
      <c r="O1177" s="35">
        <f>IFERROR(__xludf.DUMMYFUNCTION("IFERROR(
  VLOOKUP(C1177,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C1177
    ), 
    7, FALSE
  ), 
  """"
)
"),24800.0)</f>
        <v>24800</v>
      </c>
      <c r="P1177" s="35">
        <f>IFERROR(__xludf.DUMMYFUNCTION("IF(AND(Q1177="""", R1177=""""),
  """",
  IF(OR(ISBLANK(Q1177), ISBLANK(O1177)),
    """",
    IF(VALUE(SUBSTITUTE(INDEX(SPLIT(IF(ISBLANK(R1177), Q1177, R1177), "",""), 0, 1), "" Km"", """")) - O1177 = 0,
      """",
      VALUE(SUBSTITUTE(INDEX(SPLIT(IF("&amp;"ISBLANK(R1177), Q1177, R1177), "",""), 0, 1), "" Km"", """")) - O1177
    )
  )
)"),-7300.0)</f>
        <v>-7300</v>
      </c>
      <c r="Q1177" s="36" t="str">
        <f t="shared" si="4"/>
        <v>17 500 Km, 07.07.2025</v>
      </c>
      <c r="R1177" s="33"/>
      <c r="S1177" s="40">
        <v>17500.0</v>
      </c>
      <c r="T1177" s="25">
        <v>0.0</v>
      </c>
      <c r="U1177" s="25" t="s">
        <v>516</v>
      </c>
      <c r="V1177" s="37"/>
      <c r="W1177" s="37" t="str">
        <f t="shared" si="46"/>
        <v>Завершена</v>
      </c>
      <c r="X1177" s="25" t="str">
        <f>IFERROR(__xludf.DUMMYFUNCTION("IF(C1177 = """", """", IF(REGEXMATCH(C1177, ""PCX|NMAX|ADV 150|CLICK""), ""скутер"", ""мото""))"),"мото")</f>
        <v>мото</v>
      </c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</row>
    <row r="1178" hidden="1">
      <c r="A1178" s="13" t="s">
        <v>24</v>
      </c>
      <c r="B1178" s="13" t="s">
        <v>25</v>
      </c>
      <c r="C1178" s="14" t="s">
        <v>483</v>
      </c>
      <c r="D1178" s="14" t="s">
        <v>712</v>
      </c>
      <c r="E1178" s="48">
        <v>45845.0</v>
      </c>
      <c r="F1178" s="38">
        <v>45847.666666666664</v>
      </c>
      <c r="G1178" s="17" t="str">
        <f t="shared" si="61"/>
        <v>2 Д</v>
      </c>
      <c r="H1178" s="18">
        <f t="shared" si="69"/>
        <v>1250</v>
      </c>
      <c r="I1178" s="19" t="str">
        <f t="shared" si="65"/>
        <v/>
      </c>
      <c r="J1178" s="20" t="str">
        <f t="shared" si="25"/>
        <v/>
      </c>
      <c r="K1178" s="23">
        <v>2500.0</v>
      </c>
      <c r="L1178" s="20"/>
      <c r="M1178" s="23">
        <v>1250.0</v>
      </c>
      <c r="N1178" s="49">
        <v>41526.0</v>
      </c>
      <c r="O1178" s="22">
        <f>IFERROR(__xludf.DUMMYFUNCTION("IFERROR(
  VLOOKUP(C1178,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C1178
    ), 
    7, FALSE
  ), 
  """"
)
"),41500.0)</f>
        <v>41500</v>
      </c>
      <c r="P1178" s="22">
        <f>IFERROR(__xludf.DUMMYFUNCTION("IF(AND(Q1178="""", R1178=""""),
  """",
  IF(OR(ISBLANK(Q1178), ISBLANK(O1178)),
    """",
    IF(VALUE(SUBSTITUTE(INDEX(SPLIT(IF(ISBLANK(R1178), Q1178, R1178), "",""), 0, 1), "" Km"", """")) - O1178 = 0,
      """",
      VALUE(SUBSTITUTE(INDEX(SPLIT(IF("&amp;"ISBLANK(R1178), Q1178, R1178), "",""), 0, 1), "" Km"", """")) - O1178
    )
  )
)"),26.0)</f>
        <v>26</v>
      </c>
      <c r="Q1178" s="23" t="str">
        <f t="shared" si="4"/>
        <v>41 526 Km, 07.07.2025</v>
      </c>
      <c r="R1178" s="20"/>
      <c r="S1178" s="41">
        <v>17500.0</v>
      </c>
      <c r="T1178" s="13">
        <v>0.0</v>
      </c>
      <c r="U1178" s="13" t="s">
        <v>516</v>
      </c>
      <c r="V1178" s="24"/>
      <c r="W1178" s="24" t="str">
        <f t="shared" si="46"/>
        <v>Завершена</v>
      </c>
      <c r="X1178" s="13" t="str">
        <f>IFERROR(__xludf.DUMMYFUNCTION("IF(C1178 = """", """", IF(REGEXMATCH(C1178, ""PCX|NMAX|ADV 150|CLICK""), ""скутер"", ""мото""))"),"мото")</f>
        <v>мото</v>
      </c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</row>
    <row r="1179" hidden="1">
      <c r="A1179" s="25" t="s">
        <v>24</v>
      </c>
      <c r="B1179" s="25" t="s">
        <v>25</v>
      </c>
      <c r="C1179" s="27" t="s">
        <v>98</v>
      </c>
      <c r="D1179" s="27" t="s">
        <v>1993</v>
      </c>
      <c r="E1179" s="43">
        <v>45846.0</v>
      </c>
      <c r="F1179" s="39">
        <v>45877.458333333336</v>
      </c>
      <c r="G1179" s="30" t="str">
        <f t="shared" si="61"/>
        <v>31 Д</v>
      </c>
      <c r="H1179" s="31">
        <f t="shared" si="69"/>
        <v>166.6666667</v>
      </c>
      <c r="I1179" s="32" t="str">
        <f t="shared" si="65"/>
        <v/>
      </c>
      <c r="J1179" s="33" t="str">
        <f t="shared" si="25"/>
        <v/>
      </c>
      <c r="K1179" s="36">
        <v>5000.0</v>
      </c>
      <c r="L1179" s="36">
        <v>5000.0</v>
      </c>
      <c r="M1179" s="33"/>
      <c r="N1179" s="44">
        <v>32214.0</v>
      </c>
      <c r="O1179" s="35">
        <f>IFERROR(__xludf.DUMMYFUNCTION("IFERROR(
  VLOOKUP(C1179,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C1179
    ), 
    7, FALSE
  ), 
  """"
)
"),32200.0)</f>
        <v>32200</v>
      </c>
      <c r="P1179" s="35">
        <f>IFERROR(__xludf.DUMMYFUNCTION("IF(AND(Q1179="""", R1179=""""),
  """",
  IF(OR(ISBLANK(Q1179), ISBLANK(O1179)),
    """",
    IF(VALUE(SUBSTITUTE(INDEX(SPLIT(IF(ISBLANK(R1179), Q1179, R1179), "",""), 0, 1), "" Km"", """")) - O1179 = 0,
      """",
      VALUE(SUBSTITUTE(INDEX(SPLIT(IF("&amp;"ISBLANK(R1179), Q1179, R1179), "",""), 0, 1), "" Km"", """")) - O1179
    )
  )
)"),14.0)</f>
        <v>14</v>
      </c>
      <c r="Q1179" s="36" t="str">
        <f t="shared" si="4"/>
        <v>32 214 Km, 08.07.2025</v>
      </c>
      <c r="R1179" s="33"/>
      <c r="S1179" s="40">
        <v>3000.0</v>
      </c>
      <c r="T1179" s="25">
        <v>2.0</v>
      </c>
      <c r="U1179" s="25" t="s">
        <v>1994</v>
      </c>
      <c r="V1179" s="37"/>
      <c r="W1179" s="37" t="str">
        <f t="shared" si="46"/>
        <v>Завершена</v>
      </c>
      <c r="X1179" s="25" t="str">
        <f>IFERROR(__xludf.DUMMYFUNCTION("IF(C1179 = """", """", IF(REGEXMATCH(C1179, ""PCX|NMAX|ADV 150|CLICK""), ""скутер"", ""мото""))"),"скутер")</f>
        <v>скутер</v>
      </c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</row>
    <row r="1180" hidden="1">
      <c r="A1180" s="13" t="s">
        <v>24</v>
      </c>
      <c r="B1180" s="13" t="s">
        <v>25</v>
      </c>
      <c r="C1180" s="14" t="s">
        <v>193</v>
      </c>
      <c r="D1180" s="14" t="s">
        <v>1995</v>
      </c>
      <c r="E1180" s="48">
        <v>45856.0</v>
      </c>
      <c r="F1180" s="38">
        <v>45857.625</v>
      </c>
      <c r="G1180" s="17" t="str">
        <f t="shared" si="61"/>
        <v>1 Д</v>
      </c>
      <c r="H1180" s="18">
        <f t="shared" si="69"/>
        <v>450</v>
      </c>
      <c r="I1180" s="19" t="str">
        <f t="shared" si="65"/>
        <v/>
      </c>
      <c r="J1180" s="20" t="str">
        <f t="shared" si="25"/>
        <v/>
      </c>
      <c r="K1180" s="23">
        <v>450.0</v>
      </c>
      <c r="L1180" s="20"/>
      <c r="M1180" s="23">
        <v>450.0</v>
      </c>
      <c r="N1180" s="49">
        <v>17850.0</v>
      </c>
      <c r="O1180" s="22" t="str">
        <f>IFERROR(__xludf.DUMMYFUNCTION("IFERROR(
  VLOOKUP(C1180,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C1180
    ), 
    7, FALSE
  ), 
  """"
)
"),"")</f>
        <v/>
      </c>
      <c r="P1180" s="22">
        <f>IFERROR(__xludf.DUMMYFUNCTION("IF(AND(Q1180="""", R1180=""""),
  """",
  IF(OR(ISBLANK(Q1180), ISBLANK(O1180)),
    """",
    IF(VALUE(SUBSTITUTE(INDEX(SPLIT(IF(ISBLANK(R1180), Q1180, R1180), "",""), 0, 1), "" Km"", """")) - O1180 = 0,
      """",
      VALUE(SUBSTITUTE(INDEX(SPLIT(IF("&amp;"ISBLANK(R1180), Q1180, R1180), "",""), 0, 1), "" Km"", """")) - O1180
    )
  )
)"),17850.0)</f>
        <v>17850</v>
      </c>
      <c r="Q1180" s="23" t="str">
        <f t="shared" si="4"/>
        <v>17 850 Km, 18.07.2025</v>
      </c>
      <c r="R1180" s="20"/>
      <c r="S1180" s="41">
        <v>8000.0</v>
      </c>
      <c r="T1180" s="13">
        <v>2.0</v>
      </c>
      <c r="U1180" s="13" t="s">
        <v>1996</v>
      </c>
      <c r="V1180" s="24"/>
      <c r="W1180" s="24" t="str">
        <f t="shared" si="46"/>
        <v>Завершена</v>
      </c>
      <c r="X1180" s="13" t="str">
        <f>IFERROR(__xludf.DUMMYFUNCTION("IF(C1180 = """", """", IF(REGEXMATCH(C1180, ""PCX|NMAX|ADV 150|CLICK""), ""скутер"", ""мото""))"),"мото")</f>
        <v>мото</v>
      </c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</row>
    <row r="1181" hidden="1">
      <c r="A1181" s="25" t="s">
        <v>24</v>
      </c>
      <c r="B1181" s="25" t="s">
        <v>25</v>
      </c>
      <c r="C1181" s="27" t="s">
        <v>928</v>
      </c>
      <c r="D1181" s="27" t="s">
        <v>1997</v>
      </c>
      <c r="E1181" s="43">
        <v>45856.0</v>
      </c>
      <c r="F1181" s="39">
        <v>45865.791666666664</v>
      </c>
      <c r="G1181" s="30" t="str">
        <f t="shared" si="61"/>
        <v>9 Д</v>
      </c>
      <c r="H1181" s="31">
        <f t="shared" si="69"/>
        <v>500</v>
      </c>
      <c r="I1181" s="32" t="str">
        <f t="shared" si="65"/>
        <v/>
      </c>
      <c r="J1181" s="33" t="str">
        <f t="shared" si="25"/>
        <v/>
      </c>
      <c r="K1181" s="36">
        <v>4500.0</v>
      </c>
      <c r="L1181" s="33"/>
      <c r="M1181" s="36">
        <v>500.0</v>
      </c>
      <c r="N1181" s="44">
        <v>8000.0</v>
      </c>
      <c r="O1181" s="35">
        <f>IFERROR(__xludf.DUMMYFUNCTION("IFERROR(
  VLOOKUP(C1181,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C1181
    ), 
    7, FALSE
  ), 
  """"
)
"),11000.0)</f>
        <v>11000</v>
      </c>
      <c r="P1181" s="35">
        <f>IFERROR(__xludf.DUMMYFUNCTION("IF(AND(Q1181="""", R1181=""""),
  """",
  IF(OR(ISBLANK(Q1181), ISBLANK(O1181)),
    """",
    IF(VALUE(SUBSTITUTE(INDEX(SPLIT(IF(ISBLANK(R1181), Q1181, R1181), "",""), 0, 1), "" Km"", """")) - O1181 = 0,
      """",
      VALUE(SUBSTITUTE(INDEX(SPLIT(IF("&amp;"ISBLANK(R1181), Q1181, R1181), "",""), 0, 1), "" Km"", """")) - O1181
    )
  )
)"),-3000.0)</f>
        <v>-3000</v>
      </c>
      <c r="Q1181" s="36" t="str">
        <f t="shared" si="4"/>
        <v>8 000 Km, 18.07.2025</v>
      </c>
      <c r="R1181" s="33"/>
      <c r="S1181" s="40">
        <v>5000.0</v>
      </c>
      <c r="T1181" s="25">
        <v>1.0</v>
      </c>
      <c r="U1181" s="25" t="s">
        <v>1998</v>
      </c>
      <c r="V1181" s="37"/>
      <c r="W1181" s="37" t="str">
        <f t="shared" si="46"/>
        <v>Завершена</v>
      </c>
      <c r="X1181" s="25" t="str">
        <f>IFERROR(__xludf.DUMMYFUNCTION("IF(C1181 = """", """", IF(REGEXMATCH(C1181, ""PCX|NMAX|ADV 150|CLICK""), ""скутер"", ""мото""))"),"мото")</f>
        <v>мото</v>
      </c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</row>
    <row r="1182" hidden="1">
      <c r="A1182" s="13" t="s">
        <v>24</v>
      </c>
      <c r="B1182" s="13" t="s">
        <v>25</v>
      </c>
      <c r="C1182" s="14" t="s">
        <v>77</v>
      </c>
      <c r="D1182" s="14" t="s">
        <v>1999</v>
      </c>
      <c r="E1182" s="48">
        <v>45856.0</v>
      </c>
      <c r="F1182" s="38">
        <v>45865.791666666664</v>
      </c>
      <c r="G1182" s="17" t="str">
        <f t="shared" si="61"/>
        <v>9 Д</v>
      </c>
      <c r="H1182" s="18">
        <f t="shared" si="69"/>
        <v>270</v>
      </c>
      <c r="I1182" s="19" t="str">
        <f t="shared" si="65"/>
        <v/>
      </c>
      <c r="J1182" s="20" t="str">
        <f t="shared" si="25"/>
        <v/>
      </c>
      <c r="K1182" s="23">
        <v>2430.0</v>
      </c>
      <c r="L1182" s="20"/>
      <c r="M1182" s="23">
        <v>270.0</v>
      </c>
      <c r="N1182" s="49">
        <v>34700.0</v>
      </c>
      <c r="O1182" s="22">
        <f>IFERROR(__xludf.DUMMYFUNCTION("IFERROR(
  VLOOKUP(C1182,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C1182
    ), 
    7, FALSE
  ), 
  """"
)
"),37300.0)</f>
        <v>37300</v>
      </c>
      <c r="P1182" s="22">
        <f>IFERROR(__xludf.DUMMYFUNCTION("IF(AND(Q1182="""", R1182=""""),
  """",
  IF(OR(ISBLANK(Q1182), ISBLANK(O1182)),
    """",
    IF(VALUE(SUBSTITUTE(INDEX(SPLIT(IF(ISBLANK(R1182), Q1182, R1182), "",""), 0, 1), "" Km"", """")) - O1182 = 0,
      """",
      VALUE(SUBSTITUTE(INDEX(SPLIT(IF("&amp;"ISBLANK(R1182), Q1182, R1182), "",""), 0, 1), "" Km"", """")) - O1182
    )
  )
)"),-2600.0)</f>
        <v>-2600</v>
      </c>
      <c r="Q1182" s="23" t="str">
        <f t="shared" si="4"/>
        <v>34 700 Km, 18.07.2025</v>
      </c>
      <c r="R1182" s="20"/>
      <c r="S1182" s="41">
        <v>3000.0</v>
      </c>
      <c r="T1182" s="13">
        <v>1.0</v>
      </c>
      <c r="U1182" s="13" t="s">
        <v>1998</v>
      </c>
      <c r="V1182" s="24"/>
      <c r="W1182" s="24" t="str">
        <f t="shared" si="46"/>
        <v>Завершена</v>
      </c>
      <c r="X1182" s="13" t="str">
        <f>IFERROR(__xludf.DUMMYFUNCTION("IF(C1182 = """", """", IF(REGEXMATCH(C1182, ""PCX|NMAX|ADV 150|CLICK""), ""скутер"", ""мото""))"),"скутер")</f>
        <v>скутер</v>
      </c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</row>
    <row r="1183" hidden="1">
      <c r="A1183" s="25" t="s">
        <v>24</v>
      </c>
      <c r="B1183" s="25" t="s">
        <v>25</v>
      </c>
      <c r="C1183" s="27" t="s">
        <v>483</v>
      </c>
      <c r="D1183" s="27" t="s">
        <v>2000</v>
      </c>
      <c r="E1183" s="43">
        <v>45857.0</v>
      </c>
      <c r="F1183" s="39">
        <v>45862.791666666664</v>
      </c>
      <c r="G1183" s="30" t="str">
        <f t="shared" si="61"/>
        <v>5 Д</v>
      </c>
      <c r="H1183" s="31">
        <f t="shared" si="69"/>
        <v>1100</v>
      </c>
      <c r="I1183" s="32" t="str">
        <f t="shared" si="65"/>
        <v/>
      </c>
      <c r="J1183" s="33" t="str">
        <f t="shared" si="25"/>
        <v/>
      </c>
      <c r="K1183" s="36">
        <v>5500.0</v>
      </c>
      <c r="L1183" s="33"/>
      <c r="M1183" s="36">
        <v>1100.0</v>
      </c>
      <c r="N1183" s="44">
        <v>41600.0</v>
      </c>
      <c r="O1183" s="35">
        <f>IFERROR(__xludf.DUMMYFUNCTION("IFERROR(
  VLOOKUP(C1183,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C1183
    ), 
    7, FALSE
  ), 
  """"
)
"),41500.0)</f>
        <v>41500</v>
      </c>
      <c r="P1183" s="35">
        <f>IFERROR(__xludf.DUMMYFUNCTION("IF(AND(Q1183="""", R1183=""""),
  """",
  IF(OR(ISBLANK(Q1183), ISBLANK(O1183)),
    """",
    IF(VALUE(SUBSTITUTE(INDEX(SPLIT(IF(ISBLANK(R1183), Q1183, R1183), "",""), 0, 1), "" Km"", """")) - O1183 = 0,
      """",
      VALUE(SUBSTITUTE(INDEX(SPLIT(IF("&amp;"ISBLANK(R1183), Q1183, R1183), "",""), 0, 1), "" Km"", """")) - O1183
    )
  )
)"),100.0)</f>
        <v>100</v>
      </c>
      <c r="Q1183" s="36" t="str">
        <f t="shared" si="4"/>
        <v>41 600 Km, 19.07.2025</v>
      </c>
      <c r="R1183" s="33"/>
      <c r="S1183" s="40">
        <v>20000.0</v>
      </c>
      <c r="T1183" s="25">
        <v>1.0</v>
      </c>
      <c r="U1183" s="25" t="s">
        <v>2001</v>
      </c>
      <c r="V1183" s="37"/>
      <c r="W1183" s="37" t="str">
        <f t="shared" si="46"/>
        <v>Завершена</v>
      </c>
      <c r="X1183" s="25" t="str">
        <f>IFERROR(__xludf.DUMMYFUNCTION("IF(C1183 = """", """", IF(REGEXMATCH(C1183, ""PCX|NMAX|ADV 150|CLICK""), ""скутер"", ""мото""))"),"мото")</f>
        <v>мото</v>
      </c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</row>
    <row r="1184" hidden="1">
      <c r="A1184" s="13" t="s">
        <v>24</v>
      </c>
      <c r="B1184" s="13" t="s">
        <v>25</v>
      </c>
      <c r="C1184" s="14" t="s">
        <v>483</v>
      </c>
      <c r="D1184" s="14" t="s">
        <v>1995</v>
      </c>
      <c r="E1184" s="48">
        <v>45857.0</v>
      </c>
      <c r="F1184" s="38">
        <v>45858.625</v>
      </c>
      <c r="G1184" s="17" t="str">
        <f t="shared" si="61"/>
        <v>1 Д</v>
      </c>
      <c r="H1184" s="18">
        <f t="shared" si="69"/>
        <v>1600</v>
      </c>
      <c r="I1184" s="19" t="str">
        <f t="shared" si="65"/>
        <v/>
      </c>
      <c r="J1184" s="20" t="str">
        <f t="shared" si="25"/>
        <v/>
      </c>
      <c r="K1184" s="23">
        <v>1600.0</v>
      </c>
      <c r="L1184" s="20"/>
      <c r="M1184" s="23">
        <v>1600.0</v>
      </c>
      <c r="N1184" s="49">
        <v>17850.0</v>
      </c>
      <c r="O1184" s="22">
        <f>IFERROR(__xludf.DUMMYFUNCTION("IFERROR(
  VLOOKUP(C1184,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C1184
    ), 
    7, FALSE
  ), 
  """"
)
"),41500.0)</f>
        <v>41500</v>
      </c>
      <c r="P1184" s="22">
        <f>IFERROR(__xludf.DUMMYFUNCTION("IF(AND(Q1184="""", R1184=""""),
  """",
  IF(OR(ISBLANK(Q1184), ISBLANK(O1184)),
    """",
    IF(VALUE(SUBSTITUTE(INDEX(SPLIT(IF(ISBLANK(R1184), Q1184, R1184), "",""), 0, 1), "" Km"", """")) - O1184 = 0,
      """",
      VALUE(SUBSTITUTE(INDEX(SPLIT(IF("&amp;"ISBLANK(R1184), Q1184, R1184), "",""), 0, 1), "" Km"", """")) - O1184
    )
  )
)"),-23650.0)</f>
        <v>-23650</v>
      </c>
      <c r="Q1184" s="23" t="str">
        <f t="shared" si="4"/>
        <v>17 850 Km, 19.07.2025</v>
      </c>
      <c r="R1184" s="20"/>
      <c r="S1184" s="41">
        <v>8000.0</v>
      </c>
      <c r="T1184" s="13">
        <v>2.0</v>
      </c>
      <c r="U1184" s="13" t="s">
        <v>1996</v>
      </c>
      <c r="V1184" s="24"/>
      <c r="W1184" s="24" t="str">
        <f t="shared" si="46"/>
        <v>Завершена</v>
      </c>
      <c r="X1184" s="13" t="str">
        <f>IFERROR(__xludf.DUMMYFUNCTION("IF(C1184 = """", """", IF(REGEXMATCH(C1184, ""PCX|NMAX|ADV 150|CLICK""), ""скутер"", ""мото""))"),"мото")</f>
        <v>мото</v>
      </c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</row>
    <row r="1185" hidden="1">
      <c r="A1185" s="25" t="s">
        <v>24</v>
      </c>
      <c r="B1185" s="25" t="s">
        <v>25</v>
      </c>
      <c r="C1185" s="27" t="s">
        <v>102</v>
      </c>
      <c r="D1185" s="27" t="s">
        <v>1144</v>
      </c>
      <c r="E1185" s="43">
        <v>45859.0</v>
      </c>
      <c r="F1185" s="39">
        <v>45860.791666666664</v>
      </c>
      <c r="G1185" s="30" t="str">
        <f t="shared" si="61"/>
        <v>1 Д</v>
      </c>
      <c r="H1185" s="31">
        <f t="shared" si="69"/>
        <v>1400</v>
      </c>
      <c r="I1185" s="32" t="str">
        <f t="shared" si="65"/>
        <v/>
      </c>
      <c r="J1185" s="33" t="str">
        <f t="shared" si="25"/>
        <v/>
      </c>
      <c r="K1185" s="36">
        <v>1400.0</v>
      </c>
      <c r="L1185" s="33"/>
      <c r="M1185" s="36">
        <v>1400.0</v>
      </c>
      <c r="N1185" s="44">
        <v>56000.0</v>
      </c>
      <c r="O1185" s="35">
        <f>IFERROR(__xludf.DUMMYFUNCTION("IFERROR(
  VLOOKUP(C1185,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C1185
    ), 
    7, FALSE
  ), 
  """"
)
"),63700.0)</f>
        <v>63700</v>
      </c>
      <c r="P1185" s="35">
        <f>IFERROR(__xludf.DUMMYFUNCTION("IF(AND(Q1185="""", R1185=""""),
  """",
  IF(OR(ISBLANK(Q1185), ISBLANK(O1185)),
    """",
    IF(VALUE(SUBSTITUTE(INDEX(SPLIT(IF(ISBLANK(R1185), Q1185, R1185), "",""), 0, 1), "" Km"", """")) - O1185 = 0,
      """",
      VALUE(SUBSTITUTE(INDEX(SPLIT(IF("&amp;"ISBLANK(R1185), Q1185, R1185), "",""), 0, 1), "" Km"", """")) - O1185
    )
  )
)"),-7700.0)</f>
        <v>-7700</v>
      </c>
      <c r="Q1185" s="36" t="str">
        <f t="shared" si="4"/>
        <v>56 000 Km, 21.07.2025</v>
      </c>
      <c r="R1185" s="33"/>
      <c r="S1185" s="40" t="s">
        <v>515</v>
      </c>
      <c r="T1185" s="25">
        <v>0.0</v>
      </c>
      <c r="U1185" s="25" t="s">
        <v>1151</v>
      </c>
      <c r="V1185" s="37"/>
      <c r="W1185" s="37" t="str">
        <f t="shared" si="46"/>
        <v>Завершена</v>
      </c>
      <c r="X1185" s="25" t="str">
        <f>IFERROR(__xludf.DUMMYFUNCTION("IF(C1185 = """", """", IF(REGEXMATCH(C1185, ""PCX|NMAX|ADV 150|CLICK""), ""скутер"", ""мото""))"),"мото")</f>
        <v>мото</v>
      </c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</row>
    <row r="1186" hidden="1">
      <c r="A1186" s="13" t="s">
        <v>24</v>
      </c>
      <c r="B1186" s="13" t="s">
        <v>25</v>
      </c>
      <c r="C1186" s="14" t="s">
        <v>185</v>
      </c>
      <c r="D1186" s="14" t="s">
        <v>2002</v>
      </c>
      <c r="E1186" s="48">
        <v>45859.0</v>
      </c>
      <c r="F1186" s="38">
        <v>45862.541666666664</v>
      </c>
      <c r="G1186" s="17" t="str">
        <f t="shared" si="61"/>
        <v>3 Д</v>
      </c>
      <c r="H1186" s="18">
        <f t="shared" si="69"/>
        <v>180</v>
      </c>
      <c r="I1186" s="19" t="str">
        <f t="shared" si="65"/>
        <v/>
      </c>
      <c r="J1186" s="20" t="str">
        <f t="shared" si="25"/>
        <v/>
      </c>
      <c r="K1186" s="23">
        <f t="shared" ref="K1186:K1188" si="70">180*3</f>
        <v>540</v>
      </c>
      <c r="L1186" s="20"/>
      <c r="M1186" s="23">
        <v>180.0</v>
      </c>
      <c r="N1186" s="49">
        <v>35900.0</v>
      </c>
      <c r="O1186" s="22" t="str">
        <f>IFERROR(__xludf.DUMMYFUNCTION("IFERROR(
  VLOOKUP(C1186,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C1186
    ), 
    7, FALSE
  ), 
  """"
)
"),"")</f>
        <v/>
      </c>
      <c r="P1186" s="22">
        <f>IFERROR(__xludf.DUMMYFUNCTION("IF(AND(Q1186="""", R1186=""""),
  """",
  IF(OR(ISBLANK(Q1186), ISBLANK(O1186)),
    """",
    IF(VALUE(SUBSTITUTE(INDEX(SPLIT(IF(ISBLANK(R1186), Q1186, R1186), "",""), 0, 1), "" Km"", """")) - O1186 = 0,
      """",
      VALUE(SUBSTITUTE(INDEX(SPLIT(IF("&amp;"ISBLANK(R1186), Q1186, R1186), "",""), 0, 1), "" Km"", """")) - O1186
    )
  )
)"),35900.0)</f>
        <v>35900</v>
      </c>
      <c r="Q1186" s="23" t="str">
        <f t="shared" si="4"/>
        <v>35 900 Km, 21.07.2025</v>
      </c>
      <c r="R1186" s="20"/>
      <c r="S1186" s="41">
        <v>3000.0</v>
      </c>
      <c r="T1186" s="13">
        <v>1.0</v>
      </c>
      <c r="U1186" s="13" t="s">
        <v>2003</v>
      </c>
      <c r="V1186" s="24"/>
      <c r="W1186" s="24" t="str">
        <f t="shared" si="46"/>
        <v>Завершена</v>
      </c>
      <c r="X1186" s="13" t="str">
        <f>IFERROR(__xludf.DUMMYFUNCTION("IF(C1186 = """", """", IF(REGEXMATCH(C1186, ""PCX|NMAX|ADV 150|CLICK""), ""скутер"", ""мото""))"),"скутер")</f>
        <v>скутер</v>
      </c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</row>
    <row r="1187" hidden="1">
      <c r="A1187" s="25" t="s">
        <v>24</v>
      </c>
      <c r="B1187" s="25" t="s">
        <v>25</v>
      </c>
      <c r="C1187" s="27" t="s">
        <v>68</v>
      </c>
      <c r="D1187" s="27" t="s">
        <v>2004</v>
      </c>
      <c r="E1187" s="43">
        <v>45859.0</v>
      </c>
      <c r="F1187" s="39">
        <v>45862.541666666664</v>
      </c>
      <c r="G1187" s="30" t="str">
        <f t="shared" si="61"/>
        <v>3 Д</v>
      </c>
      <c r="H1187" s="31">
        <f t="shared" si="69"/>
        <v>180</v>
      </c>
      <c r="I1187" s="32" t="str">
        <f t="shared" si="65"/>
        <v/>
      </c>
      <c r="J1187" s="33" t="str">
        <f t="shared" si="25"/>
        <v/>
      </c>
      <c r="K1187" s="36">
        <f t="shared" si="70"/>
        <v>540</v>
      </c>
      <c r="L1187" s="33"/>
      <c r="M1187" s="36">
        <v>180.0</v>
      </c>
      <c r="N1187" s="44">
        <v>17200.0</v>
      </c>
      <c r="O1187" s="35">
        <f>IFERROR(__xludf.DUMMYFUNCTION("IFERROR(
  VLOOKUP(C1187,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C1187
    ), 
    7, FALSE
  ), 
  """"
)
"),24094.0)</f>
        <v>24094</v>
      </c>
      <c r="P1187" s="35">
        <f>IFERROR(__xludf.DUMMYFUNCTION("IF(AND(Q1187="""", R1187=""""),
  """",
  IF(OR(ISBLANK(Q1187), ISBLANK(O1187)),
    """",
    IF(VALUE(SUBSTITUTE(INDEX(SPLIT(IF(ISBLANK(R1187), Q1187, R1187), "",""), 0, 1), "" Km"", """")) - O1187 = 0,
      """",
      VALUE(SUBSTITUTE(INDEX(SPLIT(IF("&amp;"ISBLANK(R1187), Q1187, R1187), "",""), 0, 1), "" Km"", """")) - O1187
    )
  )
)"),-6894.0)</f>
        <v>-6894</v>
      </c>
      <c r="Q1187" s="36" t="str">
        <f t="shared" si="4"/>
        <v>17 200 Km, 21.07.2025</v>
      </c>
      <c r="R1187" s="33"/>
      <c r="S1187" s="40">
        <v>3000.0</v>
      </c>
      <c r="T1187" s="25">
        <v>0.0</v>
      </c>
      <c r="U1187" s="25" t="s">
        <v>2003</v>
      </c>
      <c r="V1187" s="37"/>
      <c r="W1187" s="37" t="str">
        <f t="shared" si="46"/>
        <v>Завершена</v>
      </c>
      <c r="X1187" s="25" t="str">
        <f>IFERROR(__xludf.DUMMYFUNCTION("IF(C1187 = """", """", IF(REGEXMATCH(C1187, ""PCX|NMAX|ADV 150|CLICK""), ""скутер"", ""мото""))"),"скутер")</f>
        <v>скутер</v>
      </c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</row>
    <row r="1188" hidden="1">
      <c r="A1188" s="13" t="s">
        <v>24</v>
      </c>
      <c r="B1188" s="13" t="s">
        <v>25</v>
      </c>
      <c r="C1188" s="14" t="s">
        <v>44</v>
      </c>
      <c r="D1188" s="14" t="s">
        <v>2005</v>
      </c>
      <c r="E1188" s="48">
        <v>45859.0</v>
      </c>
      <c r="F1188" s="38">
        <v>45862.541666666664</v>
      </c>
      <c r="G1188" s="17" t="str">
        <f t="shared" si="61"/>
        <v>3 Д</v>
      </c>
      <c r="H1188" s="18">
        <f t="shared" si="69"/>
        <v>180</v>
      </c>
      <c r="I1188" s="19" t="str">
        <f t="shared" si="65"/>
        <v/>
      </c>
      <c r="J1188" s="20" t="str">
        <f t="shared" si="25"/>
        <v/>
      </c>
      <c r="K1188" s="23">
        <f t="shared" si="70"/>
        <v>540</v>
      </c>
      <c r="L1188" s="20"/>
      <c r="M1188" s="23">
        <v>180.0</v>
      </c>
      <c r="N1188" s="49">
        <v>27435.0</v>
      </c>
      <c r="O1188" s="22">
        <f>IFERROR(__xludf.DUMMYFUNCTION("IFERROR(
  VLOOKUP(C1188,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C1188
    ), 
    7, FALSE
  ), 
  """"
)
"),30800.0)</f>
        <v>30800</v>
      </c>
      <c r="P1188" s="22">
        <f>IFERROR(__xludf.DUMMYFUNCTION("IF(AND(Q1188="""", R1188=""""),
  """",
  IF(OR(ISBLANK(Q1188), ISBLANK(O1188)),
    """",
    IF(VALUE(SUBSTITUTE(INDEX(SPLIT(IF(ISBLANK(R1188), Q1188, R1188), "",""), 0, 1), "" Km"", """")) - O1188 = 0,
      """",
      VALUE(SUBSTITUTE(INDEX(SPLIT(IF("&amp;"ISBLANK(R1188), Q1188, R1188), "",""), 0, 1), "" Km"", """")) - O1188
    )
  )
)"),-3365.0)</f>
        <v>-3365</v>
      </c>
      <c r="Q1188" s="23" t="str">
        <f t="shared" si="4"/>
        <v>27 435 Km, 21.07.2025</v>
      </c>
      <c r="R1188" s="20"/>
      <c r="S1188" s="41">
        <v>3000.0</v>
      </c>
      <c r="T1188" s="13">
        <v>0.0</v>
      </c>
      <c r="U1188" s="13" t="s">
        <v>2003</v>
      </c>
      <c r="V1188" s="24"/>
      <c r="W1188" s="24" t="str">
        <f t="shared" si="46"/>
        <v>Завершена</v>
      </c>
      <c r="X1188" s="13" t="str">
        <f>IFERROR(__xludf.DUMMYFUNCTION("IF(C1188 = """", """", IF(REGEXMATCH(C1188, ""PCX|NMAX|ADV 150|CLICK""), ""скутер"", ""мото""))"),"скутер")</f>
        <v>скутер</v>
      </c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</row>
    <row r="1189" hidden="1">
      <c r="A1189" s="25" t="s">
        <v>24</v>
      </c>
      <c r="B1189" s="25" t="s">
        <v>25</v>
      </c>
      <c r="C1189" s="27" t="s">
        <v>151</v>
      </c>
      <c r="D1189" s="27" t="s">
        <v>2006</v>
      </c>
      <c r="E1189" s="43">
        <v>45859.0</v>
      </c>
      <c r="F1189" s="39">
        <v>45861.541666666664</v>
      </c>
      <c r="G1189" s="30" t="str">
        <f t="shared" si="61"/>
        <v>2 Д</v>
      </c>
      <c r="H1189" s="31">
        <f t="shared" si="69"/>
        <v>180</v>
      </c>
      <c r="I1189" s="32" t="str">
        <f t="shared" si="65"/>
        <v/>
      </c>
      <c r="J1189" s="33" t="str">
        <f t="shared" si="25"/>
        <v/>
      </c>
      <c r="K1189" s="36">
        <v>360.0</v>
      </c>
      <c r="L1189" s="33"/>
      <c r="M1189" s="36">
        <v>180.0</v>
      </c>
      <c r="N1189" s="44">
        <v>31600.0</v>
      </c>
      <c r="O1189" s="35">
        <f>IFERROR(__xludf.DUMMYFUNCTION("IFERROR(
  VLOOKUP(C1189,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C1189
    ), 
    7, FALSE
  ), 
  """"
)
"),35800.0)</f>
        <v>35800</v>
      </c>
      <c r="P1189" s="35">
        <f>IFERROR(__xludf.DUMMYFUNCTION("IF(AND(Q1189="""", R1189=""""),
  """",
  IF(OR(ISBLANK(Q1189), ISBLANK(O1189)),
    """",
    IF(VALUE(SUBSTITUTE(INDEX(SPLIT(IF(ISBLANK(R1189), Q1189, R1189), "",""), 0, 1), "" Km"", """")) - O1189 = 0,
      """",
      VALUE(SUBSTITUTE(INDEX(SPLIT(IF("&amp;"ISBLANK(R1189), Q1189, R1189), "",""), 0, 1), "" Km"", """")) - O1189
    )
  )
)"),-4200.0)</f>
        <v>-4200</v>
      </c>
      <c r="Q1189" s="36" t="str">
        <f t="shared" si="4"/>
        <v>31 600 Km, 21.07.2025</v>
      </c>
      <c r="R1189" s="33"/>
      <c r="S1189" s="40">
        <v>3000.0</v>
      </c>
      <c r="T1189" s="25">
        <v>0.0</v>
      </c>
      <c r="U1189" s="25" t="s">
        <v>2003</v>
      </c>
      <c r="V1189" s="37"/>
      <c r="W1189" s="37" t="str">
        <f t="shared" si="46"/>
        <v>Завершена</v>
      </c>
      <c r="X1189" s="25" t="str">
        <f>IFERROR(__xludf.DUMMYFUNCTION("IF(C1189 = """", """", IF(REGEXMATCH(C1189, ""PCX|NMAX|ADV 150|CLICK""), ""скутер"", ""мото""))"),"скутер")</f>
        <v>скутер</v>
      </c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</row>
    <row r="1190" hidden="1">
      <c r="A1190" s="13" t="s">
        <v>24</v>
      </c>
      <c r="B1190" s="13" t="s">
        <v>25</v>
      </c>
      <c r="C1190" s="14" t="s">
        <v>946</v>
      </c>
      <c r="D1190" s="14" t="s">
        <v>2007</v>
      </c>
      <c r="E1190" s="48">
        <v>45859.0</v>
      </c>
      <c r="F1190" s="38">
        <v>45880.541666666664</v>
      </c>
      <c r="G1190" s="17" t="str">
        <f t="shared" si="61"/>
        <v>21 Д</v>
      </c>
      <c r="H1190" s="18">
        <f t="shared" si="69"/>
        <v>319</v>
      </c>
      <c r="I1190" s="19" t="str">
        <f t="shared" si="65"/>
        <v/>
      </c>
      <c r="J1190" s="20" t="str">
        <f t="shared" si="25"/>
        <v/>
      </c>
      <c r="K1190" s="23">
        <f t="shared" ref="K1190:K1191" si="71">319*21</f>
        <v>6699</v>
      </c>
      <c r="L1190" s="20"/>
      <c r="M1190" s="23">
        <v>319.0</v>
      </c>
      <c r="N1190" s="21"/>
      <c r="O1190" s="22">
        <f>IFERROR(__xludf.DUMMYFUNCTION("IFERROR(
  VLOOKUP(C1190,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C1190
    ), 
    7, FALSE
  ), 
  """"
)
"),20400.0)</f>
        <v>20400</v>
      </c>
      <c r="P1190" s="22">
        <f>IFERROR(__xludf.DUMMYFUNCTION("IF(AND(Q1190="""", R1190=""""),
  """",
  IF(OR(ISBLANK(Q1190), ISBLANK(O1190)),
    """",
    IF(VALUE(SUBSTITUTE(INDEX(SPLIT(IF(ISBLANK(R1190), Q1190, R1190), "",""), 0, 1), "" Km"", """")) - O1190 = 0,
      """",
      VALUE(SUBSTITUTE(INDEX(SPLIT(IF("&amp;"ISBLANK(R1190), Q1190, R1190), "",""), 0, 1), "" Km"", """")) - O1190
    )
  )
)"),-20400.0)</f>
        <v>-20400</v>
      </c>
      <c r="Q1190" s="23" t="str">
        <f t="shared" si="4"/>
        <v>0 Km, 21.07.2025</v>
      </c>
      <c r="R1190" s="20"/>
      <c r="S1190" s="41">
        <v>3000.0</v>
      </c>
      <c r="T1190" s="13">
        <v>0.0</v>
      </c>
      <c r="U1190" s="13" t="s">
        <v>2003</v>
      </c>
      <c r="V1190" s="24"/>
      <c r="W1190" s="24" t="str">
        <f t="shared" si="46"/>
        <v>Завершена</v>
      </c>
      <c r="X1190" s="13" t="str">
        <f>IFERROR(__xludf.DUMMYFUNCTION("IF(C1190 = """", """", IF(REGEXMATCH(C1190, ""PCX|NMAX|ADV 150|CLICK""), ""скутер"", ""мото""))"),"мото")</f>
        <v>мото</v>
      </c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</row>
    <row r="1191" hidden="1">
      <c r="A1191" s="25" t="s">
        <v>24</v>
      </c>
      <c r="B1191" s="25" t="s">
        <v>25</v>
      </c>
      <c r="C1191" s="27" t="s">
        <v>1028</v>
      </c>
      <c r="D1191" s="27" t="s">
        <v>2008</v>
      </c>
      <c r="E1191" s="43">
        <v>45859.0</v>
      </c>
      <c r="F1191" s="39">
        <v>45880.541666666664</v>
      </c>
      <c r="G1191" s="30" t="str">
        <f t="shared" si="61"/>
        <v>21 Д</v>
      </c>
      <c r="H1191" s="31">
        <f t="shared" si="69"/>
        <v>319</v>
      </c>
      <c r="I1191" s="32" t="str">
        <f t="shared" si="65"/>
        <v/>
      </c>
      <c r="J1191" s="33" t="str">
        <f t="shared" si="25"/>
        <v/>
      </c>
      <c r="K1191" s="36">
        <f t="shared" si="71"/>
        <v>6699</v>
      </c>
      <c r="L1191" s="33"/>
      <c r="M1191" s="36">
        <v>319.0</v>
      </c>
      <c r="N1191" s="44">
        <v>17810.0</v>
      </c>
      <c r="O1191" s="35">
        <f>IFERROR(__xludf.DUMMYFUNCTION("IFERROR(
  VLOOKUP(C1191,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C1191
    ), 
    7, FALSE
  ), 
  """"
)
"),21600.0)</f>
        <v>21600</v>
      </c>
      <c r="P1191" s="35">
        <f>IFERROR(__xludf.DUMMYFUNCTION("IF(AND(Q1191="""", R1191=""""),
  """",
  IF(OR(ISBLANK(Q1191), ISBLANK(O1191)),
    """",
    IF(VALUE(SUBSTITUTE(INDEX(SPLIT(IF(ISBLANK(R1191), Q1191, R1191), "",""), 0, 1), "" Km"", """")) - O1191 = 0,
      """",
      VALUE(SUBSTITUTE(INDEX(SPLIT(IF("&amp;"ISBLANK(R1191), Q1191, R1191), "",""), 0, 1), "" Km"", """")) - O1191
    )
  )
)"),-3790.0)</f>
        <v>-3790</v>
      </c>
      <c r="Q1191" s="36" t="str">
        <f t="shared" si="4"/>
        <v>17 810 Km, 21.07.2025</v>
      </c>
      <c r="R1191" s="33"/>
      <c r="S1191" s="40">
        <v>3000.0</v>
      </c>
      <c r="T1191" s="25">
        <v>0.0</v>
      </c>
      <c r="U1191" s="25" t="s">
        <v>2003</v>
      </c>
      <c r="V1191" s="37"/>
      <c r="W1191" s="37" t="str">
        <f t="shared" si="46"/>
        <v>Завершена</v>
      </c>
      <c r="X1191" s="25" t="str">
        <f>IFERROR(__xludf.DUMMYFUNCTION("IF(C1191 = """", """", IF(REGEXMATCH(C1191, ""PCX|NMAX|ADV 150|CLICK""), ""скутер"", ""мото""))"),"мото")</f>
        <v>мото</v>
      </c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</row>
    <row r="1192" hidden="1">
      <c r="A1192" s="13" t="s">
        <v>24</v>
      </c>
      <c r="B1192" s="13" t="s">
        <v>25</v>
      </c>
      <c r="C1192" s="14" t="s">
        <v>1065</v>
      </c>
      <c r="D1192" s="14" t="s">
        <v>2009</v>
      </c>
      <c r="E1192" s="48">
        <v>45861.0</v>
      </c>
      <c r="F1192" s="38">
        <v>45866.708333333336</v>
      </c>
      <c r="G1192" s="17" t="str">
        <f t="shared" si="61"/>
        <v>5 Д</v>
      </c>
      <c r="H1192" s="18">
        <f t="shared" si="69"/>
        <v>500</v>
      </c>
      <c r="I1192" s="19" t="str">
        <f t="shared" si="65"/>
        <v/>
      </c>
      <c r="J1192" s="20" t="str">
        <f t="shared" si="25"/>
        <v/>
      </c>
      <c r="K1192" s="23">
        <v>2500.0</v>
      </c>
      <c r="L1192" s="20"/>
      <c r="M1192" s="23">
        <v>500.0</v>
      </c>
      <c r="N1192" s="21"/>
      <c r="O1192" s="22">
        <f>IFERROR(__xludf.DUMMYFUNCTION("IFERROR(
  VLOOKUP(C1192,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C1192
    ), 
    7, FALSE
  ), 
  """"
)
"),19130.0)</f>
        <v>19130</v>
      </c>
      <c r="P1192" s="22">
        <f>IFERROR(__xludf.DUMMYFUNCTION("IF(AND(Q1192="""", R1192=""""),
  """",
  IF(OR(ISBLANK(Q1192), ISBLANK(O1192)),
    """",
    IF(VALUE(SUBSTITUTE(INDEX(SPLIT(IF(ISBLANK(R1192), Q1192, R1192), "",""), 0, 1), "" Km"", """")) - O1192 = 0,
      """",
      VALUE(SUBSTITUTE(INDEX(SPLIT(IF("&amp;"ISBLANK(R1192), Q1192, R1192), "",""), 0, 1), "" Km"", """")) - O1192
    )
  )
)"),-19130.0)</f>
        <v>-19130</v>
      </c>
      <c r="Q1192" s="23" t="str">
        <f t="shared" si="4"/>
        <v>0 Km, 23.07.2025</v>
      </c>
      <c r="R1192" s="20"/>
      <c r="S1192" s="41" t="s">
        <v>515</v>
      </c>
      <c r="T1192" s="13">
        <v>1.0</v>
      </c>
      <c r="U1192" s="13" t="s">
        <v>2010</v>
      </c>
      <c r="V1192" s="24"/>
      <c r="W1192" s="24" t="str">
        <f t="shared" si="46"/>
        <v>Завершена</v>
      </c>
      <c r="X1192" s="13" t="str">
        <f>IFERROR(__xludf.DUMMYFUNCTION("IF(C1192 = """", """", IF(REGEXMATCH(C1192, ""PCX|NMAX|ADV 150|CLICK""), ""скутер"", ""мото""))"),"мото")</f>
        <v>мото</v>
      </c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</row>
    <row r="1193" hidden="1">
      <c r="A1193" s="25" t="s">
        <v>24</v>
      </c>
      <c r="B1193" s="25" t="s">
        <v>25</v>
      </c>
      <c r="C1193" s="27" t="s">
        <v>960</v>
      </c>
      <c r="D1193" s="27" t="s">
        <v>2006</v>
      </c>
      <c r="E1193" s="43">
        <v>45861.0</v>
      </c>
      <c r="F1193" s="39">
        <v>45871.541666666664</v>
      </c>
      <c r="G1193" s="30" t="str">
        <f t="shared" si="61"/>
        <v>10 Д</v>
      </c>
      <c r="H1193" s="31">
        <f t="shared" si="69"/>
        <v>319</v>
      </c>
      <c r="I1193" s="32" t="str">
        <f t="shared" si="65"/>
        <v/>
      </c>
      <c r="J1193" s="33" t="str">
        <f t="shared" si="25"/>
        <v/>
      </c>
      <c r="K1193" s="36">
        <f>180*2+319*10</f>
        <v>3550</v>
      </c>
      <c r="L1193" s="33"/>
      <c r="M1193" s="36">
        <v>319.0</v>
      </c>
      <c r="N1193" s="44">
        <v>14900.0</v>
      </c>
      <c r="O1193" s="35">
        <f>IFERROR(__xludf.DUMMYFUNCTION("IFERROR(
  VLOOKUP(C1193,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C1193
    ), 
    7, FALSE
  ), 
  """"
)
"),20316.0)</f>
        <v>20316</v>
      </c>
      <c r="P1193" s="35">
        <f>IFERROR(__xludf.DUMMYFUNCTION("IF(AND(Q1193="""", R1193=""""),
  """",
  IF(OR(ISBLANK(Q1193), ISBLANK(O1193)),
    """",
    IF(VALUE(SUBSTITUTE(INDEX(SPLIT(IF(ISBLANK(R1193), Q1193, R1193), "",""), 0, 1), "" Km"", """")) - O1193 = 0,
      """",
      VALUE(SUBSTITUTE(INDEX(SPLIT(IF("&amp;"ISBLANK(R1193), Q1193, R1193), "",""), 0, 1), "" Km"", """")) - O1193
    )
  )
)"),-5416.0)</f>
        <v>-5416</v>
      </c>
      <c r="Q1193" s="36" t="str">
        <f t="shared" si="4"/>
        <v>14 900 Km, 23.07.2025</v>
      </c>
      <c r="R1193" s="33"/>
      <c r="S1193" s="40">
        <v>3000.0</v>
      </c>
      <c r="T1193" s="25">
        <v>0.0</v>
      </c>
      <c r="U1193" s="25" t="s">
        <v>2003</v>
      </c>
      <c r="V1193" s="37"/>
      <c r="W1193" s="37" t="str">
        <f t="shared" si="46"/>
        <v>Завершена</v>
      </c>
      <c r="X1193" s="25" t="str">
        <f>IFERROR(__xludf.DUMMYFUNCTION("IF(C1193 = """", """", IF(REGEXMATCH(C1193, ""PCX|NMAX|ADV 150|CLICK""), ""скутер"", ""мото""))"),"мото")</f>
        <v>мото</v>
      </c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</row>
    <row r="1194" hidden="1">
      <c r="A1194" s="13" t="s">
        <v>24</v>
      </c>
      <c r="B1194" s="13" t="s">
        <v>25</v>
      </c>
      <c r="C1194" s="14" t="s">
        <v>32</v>
      </c>
      <c r="D1194" s="14" t="s">
        <v>2011</v>
      </c>
      <c r="E1194" s="48">
        <v>45862.0</v>
      </c>
      <c r="F1194" s="38">
        <v>45866.541666666664</v>
      </c>
      <c r="G1194" s="17" t="str">
        <f t="shared" si="61"/>
        <v>4 Д</v>
      </c>
      <c r="H1194" s="18">
        <f t="shared" si="69"/>
        <v>500</v>
      </c>
      <c r="I1194" s="19" t="str">
        <f t="shared" si="65"/>
        <v/>
      </c>
      <c r="J1194" s="20" t="str">
        <f t="shared" si="25"/>
        <v/>
      </c>
      <c r="K1194" s="23">
        <v>2500.0</v>
      </c>
      <c r="L1194" s="20"/>
      <c r="M1194" s="23">
        <v>500.0</v>
      </c>
      <c r="N1194" s="49">
        <v>48000.0</v>
      </c>
      <c r="O1194" s="22">
        <f>IFERROR(__xludf.DUMMYFUNCTION("IFERROR(
  VLOOKUP(C1194,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C1194
    ), 
    7, FALSE
  ), 
  """"
)
"),38640.0)</f>
        <v>38640</v>
      </c>
      <c r="P1194" s="22">
        <f>IFERROR(__xludf.DUMMYFUNCTION("IF(AND(Q1194="""", R1194=""""),
  """",
  IF(OR(ISBLANK(Q1194), ISBLANK(O1194)),
    """",
    IF(VALUE(SUBSTITUTE(INDEX(SPLIT(IF(ISBLANK(R1194), Q1194, R1194), "",""), 0, 1), "" Km"", """")) - O1194 = 0,
      """",
      VALUE(SUBSTITUTE(INDEX(SPLIT(IF("&amp;"ISBLANK(R1194), Q1194, R1194), "",""), 0, 1), "" Km"", """")) - O1194
    )
  )
)"),9360.0)</f>
        <v>9360</v>
      </c>
      <c r="Q1194" s="23" t="str">
        <f t="shared" si="4"/>
        <v>48 000 Km, 24.07.2025</v>
      </c>
      <c r="R1194" s="20"/>
      <c r="S1194" s="41">
        <v>150.0</v>
      </c>
      <c r="T1194" s="13">
        <v>2.0</v>
      </c>
      <c r="U1194" s="66" t="s">
        <v>2012</v>
      </c>
      <c r="V1194" s="24"/>
      <c r="W1194" s="24" t="str">
        <f t="shared" si="46"/>
        <v>Завершена</v>
      </c>
      <c r="X1194" s="13" t="str">
        <f>IFERROR(__xludf.DUMMYFUNCTION("IF(C1194 = """", """", IF(REGEXMATCH(C1194, ""PCX|NMAX|ADV 150|CLICK""), ""скутер"", ""мото""))"),"мото")</f>
        <v>мото</v>
      </c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</row>
    <row r="1195" hidden="1">
      <c r="A1195" s="25" t="s">
        <v>24</v>
      </c>
      <c r="B1195" s="25" t="s">
        <v>25</v>
      </c>
      <c r="C1195" s="27" t="s">
        <v>92</v>
      </c>
      <c r="D1195" s="27" t="s">
        <v>2013</v>
      </c>
      <c r="E1195" s="43">
        <v>45862.0</v>
      </c>
      <c r="F1195" s="39">
        <v>45866.541666666664</v>
      </c>
      <c r="G1195" s="30" t="str">
        <f t="shared" si="61"/>
        <v>4 Д</v>
      </c>
      <c r="H1195" s="31">
        <f t="shared" si="69"/>
        <v>500</v>
      </c>
      <c r="I1195" s="32" t="str">
        <f t="shared" si="65"/>
        <v/>
      </c>
      <c r="J1195" s="33" t="str">
        <f t="shared" si="25"/>
        <v/>
      </c>
      <c r="K1195" s="36">
        <v>2500.0</v>
      </c>
      <c r="L1195" s="33"/>
      <c r="M1195" s="36">
        <v>500.0</v>
      </c>
      <c r="N1195" s="44">
        <v>29000.0</v>
      </c>
      <c r="O1195" s="35">
        <f>IFERROR(__xludf.DUMMYFUNCTION("IFERROR(
  VLOOKUP(C1195,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C1195
    ), 
    7, FALSE
  ), 
  """"
)
"),23500.0)</f>
        <v>23500</v>
      </c>
      <c r="P1195" s="35">
        <f>IFERROR(__xludf.DUMMYFUNCTION("IF(AND(Q1195="""", R1195=""""),
  """",
  IF(OR(ISBLANK(Q1195), ISBLANK(O1195)),
    """",
    IF(VALUE(SUBSTITUTE(INDEX(SPLIT(IF(ISBLANK(R1195), Q1195, R1195), "",""), 0, 1), "" Km"", """")) - O1195 = 0,
      """",
      VALUE(SUBSTITUTE(INDEX(SPLIT(IF("&amp;"ISBLANK(R1195), Q1195, R1195), "",""), 0, 1), "" Km"", """")) - O1195
    )
  )
)"),5500.0)</f>
        <v>5500</v>
      </c>
      <c r="Q1195" s="36" t="str">
        <f t="shared" si="4"/>
        <v>29 000 Km, 24.07.2025</v>
      </c>
      <c r="R1195" s="33"/>
      <c r="S1195" s="40">
        <v>150.0</v>
      </c>
      <c r="T1195" s="25">
        <v>1.0</v>
      </c>
      <c r="U1195" s="25" t="s">
        <v>2014</v>
      </c>
      <c r="V1195" s="37"/>
      <c r="W1195" s="37" t="str">
        <f t="shared" si="46"/>
        <v>Завершена</v>
      </c>
      <c r="X1195" s="25" t="str">
        <f>IFERROR(__xludf.DUMMYFUNCTION("IF(C1195 = """", """", IF(REGEXMATCH(C1195, ""PCX|NMAX|ADV 150|CLICK""), ""скутер"", ""мото""))"),"мото")</f>
        <v>мото</v>
      </c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</row>
    <row r="1196" hidden="1">
      <c r="A1196" s="13" t="s">
        <v>24</v>
      </c>
      <c r="B1196" s="13" t="s">
        <v>25</v>
      </c>
      <c r="C1196" s="14" t="s">
        <v>64</v>
      </c>
      <c r="D1196" s="14" t="s">
        <v>2015</v>
      </c>
      <c r="E1196" s="48">
        <v>45862.0</v>
      </c>
      <c r="F1196" s="38">
        <v>45867.708333333336</v>
      </c>
      <c r="G1196" s="17" t="str">
        <f t="shared" si="61"/>
        <v>5 Д</v>
      </c>
      <c r="H1196" s="18">
        <f t="shared" si="69"/>
        <v>500</v>
      </c>
      <c r="I1196" s="19" t="str">
        <f t="shared" si="65"/>
        <v/>
      </c>
      <c r="J1196" s="20" t="str">
        <f t="shared" si="25"/>
        <v/>
      </c>
      <c r="K1196" s="23">
        <v>2500.0</v>
      </c>
      <c r="L1196" s="20"/>
      <c r="M1196" s="23">
        <v>500.0</v>
      </c>
      <c r="N1196" s="21"/>
      <c r="O1196" s="22">
        <f>IFERROR(__xludf.DUMMYFUNCTION("IFERROR(
  VLOOKUP(C1196,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C1196
    ), 
    7, FALSE
  ), 
  """"
)
"),32600.0)</f>
        <v>32600</v>
      </c>
      <c r="P1196" s="22">
        <f>IFERROR(__xludf.DUMMYFUNCTION("IF(AND(Q1196="""", R1196=""""),
  """",
  IF(OR(ISBLANK(Q1196), ISBLANK(O1196)),
    """",
    IF(VALUE(SUBSTITUTE(INDEX(SPLIT(IF(ISBLANK(R1196), Q1196, R1196), "",""), 0, 1), "" Km"", """")) - O1196 = 0,
      """",
      VALUE(SUBSTITUTE(INDEX(SPLIT(IF("&amp;"ISBLANK(R1196), Q1196, R1196), "",""), 0, 1), "" Km"", """")) - O1196
    )
  )
)"),-32600.0)</f>
        <v>-32600</v>
      </c>
      <c r="Q1196" s="23" t="str">
        <f t="shared" si="4"/>
        <v>0 Km, 24.07.2025</v>
      </c>
      <c r="R1196" s="20"/>
      <c r="S1196" s="41" t="s">
        <v>515</v>
      </c>
      <c r="T1196" s="13">
        <v>2.0</v>
      </c>
      <c r="U1196" s="13" t="s">
        <v>2016</v>
      </c>
      <c r="V1196" s="24"/>
      <c r="W1196" s="24" t="str">
        <f t="shared" si="46"/>
        <v>Завершена</v>
      </c>
      <c r="X1196" s="13" t="str">
        <f>IFERROR(__xludf.DUMMYFUNCTION("IF(C1196 = """", """", IF(REGEXMATCH(C1196, ""PCX|NMAX|ADV 150|CLICK""), ""скутер"", ""мото""))"),"мото")</f>
        <v>мото</v>
      </c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</row>
    <row r="1197" hidden="1">
      <c r="A1197" s="25" t="s">
        <v>24</v>
      </c>
      <c r="B1197" s="25" t="s">
        <v>25</v>
      </c>
      <c r="C1197" s="27" t="s">
        <v>948</v>
      </c>
      <c r="D1197" s="27" t="s">
        <v>2002</v>
      </c>
      <c r="E1197" s="43">
        <v>45862.0</v>
      </c>
      <c r="F1197" s="39">
        <v>45880.541666666664</v>
      </c>
      <c r="G1197" s="30" t="str">
        <f t="shared" si="61"/>
        <v>18 Д</v>
      </c>
      <c r="H1197" s="31">
        <f t="shared" si="69"/>
        <v>319</v>
      </c>
      <c r="I1197" s="32" t="str">
        <f t="shared" si="65"/>
        <v/>
      </c>
      <c r="J1197" s="33" t="str">
        <f t="shared" si="25"/>
        <v/>
      </c>
      <c r="K1197" s="36">
        <f t="shared" ref="K1197:K1199" si="72">319*18</f>
        <v>5742</v>
      </c>
      <c r="L1197" s="33"/>
      <c r="M1197" s="36">
        <v>319.0</v>
      </c>
      <c r="N1197" s="44">
        <v>17200.0</v>
      </c>
      <c r="O1197" s="35">
        <f>IFERROR(__xludf.DUMMYFUNCTION("IFERROR(
  VLOOKUP(C1197,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C1197
    ), 
    7, FALSE
  ), 
  """"
)
"),24553.0)</f>
        <v>24553</v>
      </c>
      <c r="P1197" s="35">
        <f>IFERROR(__xludf.DUMMYFUNCTION("IF(AND(Q1197="""", R1197=""""),
  """",
  IF(OR(ISBLANK(Q1197), ISBLANK(O1197)),
    """",
    IF(VALUE(SUBSTITUTE(INDEX(SPLIT(IF(ISBLANK(R1197), Q1197, R1197), "",""), 0, 1), "" Km"", """")) - O1197 = 0,
      """",
      VALUE(SUBSTITUTE(INDEX(SPLIT(IF("&amp;"ISBLANK(R1197), Q1197, R1197), "",""), 0, 1), "" Km"", """")) - O1197
    )
  )
)"),-7353.0)</f>
        <v>-7353</v>
      </c>
      <c r="Q1197" s="36" t="str">
        <f t="shared" si="4"/>
        <v>17 200 Km, 24.07.2025</v>
      </c>
      <c r="R1197" s="33"/>
      <c r="S1197" s="40">
        <v>3000.0</v>
      </c>
      <c r="T1197" s="25">
        <v>1.0</v>
      </c>
      <c r="U1197" s="25" t="s">
        <v>2003</v>
      </c>
      <c r="V1197" s="37"/>
      <c r="W1197" s="37" t="str">
        <f t="shared" si="46"/>
        <v>Завершена</v>
      </c>
      <c r="X1197" s="25" t="str">
        <f>IFERROR(__xludf.DUMMYFUNCTION("IF(C1197 = """", """", IF(REGEXMATCH(C1197, ""PCX|NMAX|ADV 150|CLICK""), ""скутер"", ""мото""))"),"мото")</f>
        <v>мото</v>
      </c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</row>
    <row r="1198" hidden="1">
      <c r="A1198" s="13" t="s">
        <v>24</v>
      </c>
      <c r="B1198" s="13" t="s">
        <v>25</v>
      </c>
      <c r="C1198" s="14" t="s">
        <v>951</v>
      </c>
      <c r="D1198" s="14" t="s">
        <v>2004</v>
      </c>
      <c r="E1198" s="48">
        <v>45862.0</v>
      </c>
      <c r="F1198" s="38">
        <v>45880.541666666664</v>
      </c>
      <c r="G1198" s="17" t="str">
        <f t="shared" si="61"/>
        <v>18 Д</v>
      </c>
      <c r="H1198" s="18">
        <f t="shared" si="69"/>
        <v>319</v>
      </c>
      <c r="I1198" s="19" t="str">
        <f t="shared" si="65"/>
        <v/>
      </c>
      <c r="J1198" s="20" t="str">
        <f t="shared" si="25"/>
        <v/>
      </c>
      <c r="K1198" s="23">
        <f t="shared" si="72"/>
        <v>5742</v>
      </c>
      <c r="L1198" s="20"/>
      <c r="M1198" s="23">
        <v>319.0</v>
      </c>
      <c r="N1198" s="49">
        <v>17200.0</v>
      </c>
      <c r="O1198" s="22">
        <f>IFERROR(__xludf.DUMMYFUNCTION("IFERROR(
  VLOOKUP(C1198,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C1198
    ), 
    7, FALSE
  ), 
  """"
)
"),21100.0)</f>
        <v>21100</v>
      </c>
      <c r="P1198" s="22">
        <f>IFERROR(__xludf.DUMMYFUNCTION("IF(AND(Q1198="""", R1198=""""),
  """",
  IF(OR(ISBLANK(Q1198), ISBLANK(O1198)),
    """",
    IF(VALUE(SUBSTITUTE(INDEX(SPLIT(IF(ISBLANK(R1198), Q1198, R1198), "",""), 0, 1), "" Km"", """")) - O1198 = 0,
      """",
      VALUE(SUBSTITUTE(INDEX(SPLIT(IF("&amp;"ISBLANK(R1198), Q1198, R1198), "",""), 0, 1), "" Km"", """")) - O1198
    )
  )
)"),-3900.0)</f>
        <v>-3900</v>
      </c>
      <c r="Q1198" s="23" t="str">
        <f t="shared" si="4"/>
        <v>17 200 Km, 24.07.2025</v>
      </c>
      <c r="R1198" s="20"/>
      <c r="S1198" s="41">
        <v>3000.0</v>
      </c>
      <c r="T1198" s="13">
        <v>0.0</v>
      </c>
      <c r="U1198" s="13" t="s">
        <v>2003</v>
      </c>
      <c r="V1198" s="24"/>
      <c r="W1198" s="24" t="str">
        <f t="shared" si="46"/>
        <v>Завершена</v>
      </c>
      <c r="X1198" s="13" t="str">
        <f>IFERROR(__xludf.DUMMYFUNCTION("IF(C1198 = """", """", IF(REGEXMATCH(C1198, ""PCX|NMAX|ADV 150|CLICK""), ""скутер"", ""мото""))"),"мото")</f>
        <v>мото</v>
      </c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</row>
    <row r="1199" hidden="1">
      <c r="A1199" s="25" t="s">
        <v>24</v>
      </c>
      <c r="B1199" s="25" t="s">
        <v>25</v>
      </c>
      <c r="C1199" s="27" t="s">
        <v>941</v>
      </c>
      <c r="D1199" s="27" t="s">
        <v>2005</v>
      </c>
      <c r="E1199" s="43">
        <v>45862.0</v>
      </c>
      <c r="F1199" s="39">
        <v>45880.541666666664</v>
      </c>
      <c r="G1199" s="30" t="str">
        <f t="shared" si="61"/>
        <v>18 Д</v>
      </c>
      <c r="H1199" s="31">
        <f t="shared" si="69"/>
        <v>319</v>
      </c>
      <c r="I1199" s="32" t="str">
        <f t="shared" si="65"/>
        <v/>
      </c>
      <c r="J1199" s="33" t="str">
        <f t="shared" si="25"/>
        <v/>
      </c>
      <c r="K1199" s="36">
        <f t="shared" si="72"/>
        <v>5742</v>
      </c>
      <c r="L1199" s="33"/>
      <c r="M1199" s="36">
        <v>319.0</v>
      </c>
      <c r="N1199" s="44">
        <v>10500.0</v>
      </c>
      <c r="O1199" s="35">
        <f>IFERROR(__xludf.DUMMYFUNCTION("IFERROR(
  VLOOKUP(C1199,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C1199
    ), 
    7, FALSE
  ), 
  """"
)
"),18302.0)</f>
        <v>18302</v>
      </c>
      <c r="P1199" s="35">
        <f>IFERROR(__xludf.DUMMYFUNCTION("IF(AND(Q1199="""", R1199=""""),
  """",
  IF(OR(ISBLANK(Q1199), ISBLANK(O1199)),
    """",
    IF(VALUE(SUBSTITUTE(INDEX(SPLIT(IF(ISBLANK(R1199), Q1199, R1199), "",""), 0, 1), "" Km"", """")) - O1199 = 0,
      """",
      VALUE(SUBSTITUTE(INDEX(SPLIT(IF("&amp;"ISBLANK(R1199), Q1199, R1199), "",""), 0, 1), "" Km"", """")) - O1199
    )
  )
)"),-7802.0)</f>
        <v>-7802</v>
      </c>
      <c r="Q1199" s="36" t="str">
        <f t="shared" si="4"/>
        <v>10 500 Km, 24.07.2025</v>
      </c>
      <c r="R1199" s="33"/>
      <c r="S1199" s="40">
        <v>3000.0</v>
      </c>
      <c r="T1199" s="25">
        <v>0.0</v>
      </c>
      <c r="U1199" s="25" t="s">
        <v>2003</v>
      </c>
      <c r="V1199" s="37"/>
      <c r="W1199" s="37" t="str">
        <f t="shared" si="46"/>
        <v>Завершена</v>
      </c>
      <c r="X1199" s="25" t="str">
        <f>IFERROR(__xludf.DUMMYFUNCTION("IF(C1199 = """", """", IF(REGEXMATCH(C1199, ""PCX|NMAX|ADV 150|CLICK""), ""скутер"", ""мото""))"),"мото")</f>
        <v>мото</v>
      </c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</row>
    <row r="1200" hidden="1">
      <c r="A1200" s="13" t="s">
        <v>24</v>
      </c>
      <c r="B1200" s="13" t="s">
        <v>25</v>
      </c>
      <c r="C1200" s="14" t="s">
        <v>202</v>
      </c>
      <c r="D1200" s="14" t="s">
        <v>1199</v>
      </c>
      <c r="E1200" s="48">
        <v>45864.0</v>
      </c>
      <c r="F1200" s="38">
        <v>45878.625</v>
      </c>
      <c r="G1200" s="17" t="str">
        <f t="shared" si="61"/>
        <v>14 Д</v>
      </c>
      <c r="H1200" s="18">
        <f t="shared" si="69"/>
        <v>400</v>
      </c>
      <c r="I1200" s="19" t="str">
        <f t="shared" si="65"/>
        <v/>
      </c>
      <c r="J1200" s="20" t="str">
        <f t="shared" si="25"/>
        <v/>
      </c>
      <c r="K1200" s="23">
        <v>5600.0</v>
      </c>
      <c r="L1200" s="20"/>
      <c r="M1200" s="23">
        <v>400.0</v>
      </c>
      <c r="N1200" s="21"/>
      <c r="O1200" s="22">
        <f>IFERROR(__xludf.DUMMYFUNCTION("IFERROR(
  VLOOKUP(C1200,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C1200
    ), 
    7, FALSE
  ), 
  """"
)
"),30225.0)</f>
        <v>30225</v>
      </c>
      <c r="P1200" s="22">
        <f>IFERROR(__xludf.DUMMYFUNCTION("IF(AND(Q1200="""", R1200=""""),
  """",
  IF(OR(ISBLANK(Q1200), ISBLANK(O1200)),
    """",
    IF(VALUE(SUBSTITUTE(INDEX(SPLIT(IF(ISBLANK(R1200), Q1200, R1200), "",""), 0, 1), "" Km"", """")) - O1200 = 0,
      """",
      VALUE(SUBSTITUTE(INDEX(SPLIT(IF("&amp;"ISBLANK(R1200), Q1200, R1200), "",""), 0, 1), "" Km"", """")) - O1200
    )
  )
)"),-30225.0)</f>
        <v>-30225</v>
      </c>
      <c r="Q1200" s="23" t="str">
        <f t="shared" si="4"/>
        <v>0 Km, 26.07.2025</v>
      </c>
      <c r="R1200" s="20"/>
      <c r="S1200" s="41" t="s">
        <v>515</v>
      </c>
      <c r="T1200" s="13">
        <v>3.0</v>
      </c>
      <c r="U1200" s="13" t="s">
        <v>2017</v>
      </c>
      <c r="V1200" s="24"/>
      <c r="W1200" s="24" t="str">
        <f t="shared" si="46"/>
        <v>Завершена</v>
      </c>
      <c r="X1200" s="13" t="str">
        <f>IFERROR(__xludf.DUMMYFUNCTION("IF(C1200 = """", """", IF(REGEXMATCH(C1200, ""PCX|NMAX|ADV 150|CLICK""), ""скутер"", ""мото""))"),"мото")</f>
        <v>мото</v>
      </c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</row>
    <row r="1201" hidden="1">
      <c r="A1201" s="25" t="s">
        <v>24</v>
      </c>
      <c r="B1201" s="25" t="s">
        <v>25</v>
      </c>
      <c r="C1201" s="27" t="s">
        <v>48</v>
      </c>
      <c r="D1201" s="27" t="s">
        <v>2018</v>
      </c>
      <c r="E1201" s="43">
        <v>45867.0</v>
      </c>
      <c r="F1201" s="39">
        <v>45872.583333333336</v>
      </c>
      <c r="G1201" s="30" t="str">
        <f t="shared" si="61"/>
        <v>5 Д</v>
      </c>
      <c r="H1201" s="31">
        <f t="shared" si="69"/>
        <v>292</v>
      </c>
      <c r="I1201" s="32" t="str">
        <f t="shared" si="65"/>
        <v/>
      </c>
      <c r="J1201" s="33" t="str">
        <f t="shared" si="25"/>
        <v/>
      </c>
      <c r="K1201" s="36">
        <v>1460.0</v>
      </c>
      <c r="L1201" s="33"/>
      <c r="M1201" s="36">
        <v>292.0</v>
      </c>
      <c r="N1201" s="34"/>
      <c r="O1201" s="35">
        <f>IFERROR(__xludf.DUMMYFUNCTION("IFERROR(
  VLOOKUP(C1201,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C1201
    ), 
    7, FALSE
  ), 
  """"
)
"),35800.0)</f>
        <v>35800</v>
      </c>
      <c r="P1201" s="35">
        <f>IFERROR(__xludf.DUMMYFUNCTION("IF(AND(Q1201="""", R1201=""""),
  """",
  IF(OR(ISBLANK(Q1201), ISBLANK(O1201)),
    """",
    IF(VALUE(SUBSTITUTE(INDEX(SPLIT(IF(ISBLANK(R1201), Q1201, R1201), "",""), 0, 1), "" Km"", """")) - O1201 = 0,
      """",
      VALUE(SUBSTITUTE(INDEX(SPLIT(IF("&amp;"ISBLANK(R1201), Q1201, R1201), "",""), 0, 1), "" Km"", """")) - O1201
    )
  )
)"),-35800.0)</f>
        <v>-35800</v>
      </c>
      <c r="Q1201" s="36" t="str">
        <f t="shared" si="4"/>
        <v>0 Km, 29.07.2025</v>
      </c>
      <c r="R1201" s="33"/>
      <c r="S1201" s="40">
        <v>3000.0</v>
      </c>
      <c r="T1201" s="25">
        <v>1.0</v>
      </c>
      <c r="U1201" s="25" t="s">
        <v>2019</v>
      </c>
      <c r="V1201" s="37"/>
      <c r="W1201" s="37" t="str">
        <f t="shared" si="46"/>
        <v>Завершена</v>
      </c>
      <c r="X1201" s="25" t="str">
        <f>IFERROR(__xludf.DUMMYFUNCTION("IF(C1201 = """", """", IF(REGEXMATCH(C1201, ""PCX|NMAX|ADV 150|CLICK""), ""скутер"", ""мото""))"),"скутер")</f>
        <v>скутер</v>
      </c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</row>
    <row r="1202" hidden="1">
      <c r="A1202" s="13" t="s">
        <v>24</v>
      </c>
      <c r="B1202" s="13" t="s">
        <v>25</v>
      </c>
      <c r="C1202" s="14" t="s">
        <v>151</v>
      </c>
      <c r="D1202" s="14" t="s">
        <v>2020</v>
      </c>
      <c r="E1202" s="48">
        <v>45867.0</v>
      </c>
      <c r="F1202" s="38">
        <v>45877.583333333336</v>
      </c>
      <c r="G1202" s="17" t="str">
        <f t="shared" si="61"/>
        <v>10 Д</v>
      </c>
      <c r="H1202" s="18">
        <f t="shared" si="69"/>
        <v>266</v>
      </c>
      <c r="I1202" s="19" t="str">
        <f t="shared" si="65"/>
        <v/>
      </c>
      <c r="J1202" s="20" t="str">
        <f t="shared" si="25"/>
        <v/>
      </c>
      <c r="K1202" s="23">
        <v>2660.0</v>
      </c>
      <c r="L1202" s="20"/>
      <c r="M1202" s="23">
        <v>266.0</v>
      </c>
      <c r="N1202" s="21"/>
      <c r="O1202" s="22">
        <f>IFERROR(__xludf.DUMMYFUNCTION("IFERROR(
  VLOOKUP(C1202,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C1202
    ), 
    7, FALSE
  ), 
  """"
)
"),35800.0)</f>
        <v>35800</v>
      </c>
      <c r="P1202" s="22">
        <f>IFERROR(__xludf.DUMMYFUNCTION("IF(AND(Q1202="""", R1202=""""),
  """",
  IF(OR(ISBLANK(Q1202), ISBLANK(O1202)),
    """",
    IF(VALUE(SUBSTITUTE(INDEX(SPLIT(IF(ISBLANK(R1202), Q1202, R1202), "",""), 0, 1), "" Km"", """")) - O1202 = 0,
      """",
      VALUE(SUBSTITUTE(INDEX(SPLIT(IF("&amp;"ISBLANK(R1202), Q1202, R1202), "",""), 0, 1), "" Km"", """")) - O1202
    )
  )
)"),-35800.0)</f>
        <v>-35800</v>
      </c>
      <c r="Q1202" s="23" t="str">
        <f t="shared" si="4"/>
        <v>0 Km, 29.07.2025</v>
      </c>
      <c r="R1202" s="20"/>
      <c r="S1202" s="41">
        <v>3000.0</v>
      </c>
      <c r="T1202" s="13">
        <v>1.0</v>
      </c>
      <c r="U1202" s="13" t="s">
        <v>2021</v>
      </c>
      <c r="V1202" s="24"/>
      <c r="W1202" s="24" t="str">
        <f t="shared" si="46"/>
        <v>Завершена</v>
      </c>
      <c r="X1202" s="13" t="str">
        <f>IFERROR(__xludf.DUMMYFUNCTION("IF(C1202 = """", """", IF(REGEXMATCH(C1202, ""PCX|NMAX|ADV 150|CLICK""), ""скутер"", ""мото""))"),"скутер")</f>
        <v>скутер</v>
      </c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</row>
    <row r="1203" hidden="1">
      <c r="A1203" s="25" t="s">
        <v>24</v>
      </c>
      <c r="B1203" s="25" t="s">
        <v>25</v>
      </c>
      <c r="C1203" s="27" t="s">
        <v>1065</v>
      </c>
      <c r="D1203" s="27" t="s">
        <v>2002</v>
      </c>
      <c r="E1203" s="43">
        <v>45868.0</v>
      </c>
      <c r="F1203" s="39">
        <v>45880.458333333336</v>
      </c>
      <c r="G1203" s="30" t="str">
        <f t="shared" si="61"/>
        <v>12 Д</v>
      </c>
      <c r="H1203" s="31">
        <f t="shared" si="69"/>
        <v>400</v>
      </c>
      <c r="I1203" s="32" t="str">
        <f t="shared" si="65"/>
        <v/>
      </c>
      <c r="J1203" s="33" t="str">
        <f t="shared" si="25"/>
        <v/>
      </c>
      <c r="K1203" s="36">
        <v>4800.0</v>
      </c>
      <c r="L1203" s="33"/>
      <c r="M1203" s="36">
        <v>400.0</v>
      </c>
      <c r="N1203" s="34"/>
      <c r="O1203" s="35">
        <f>IFERROR(__xludf.DUMMYFUNCTION("IFERROR(
  VLOOKUP(C1203,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C1203
    ), 
    7, FALSE
  ), 
  """"
)
"),19130.0)</f>
        <v>19130</v>
      </c>
      <c r="P1203" s="35">
        <f>IFERROR(__xludf.DUMMYFUNCTION("IF(AND(Q1203="""", R1203=""""),
  """",
  IF(OR(ISBLANK(Q1203), ISBLANK(O1203)),
    """",
    IF(VALUE(SUBSTITUTE(INDEX(SPLIT(IF(ISBLANK(R1203), Q1203, R1203), "",""), 0, 1), "" Km"", """")) - O1203 = 0,
      """",
      VALUE(SUBSTITUTE(INDEX(SPLIT(IF("&amp;"ISBLANK(R1203), Q1203, R1203), "",""), 0, 1), "" Km"", """")) - O1203
    )
  )
)"),-19130.0)</f>
        <v>-19130</v>
      </c>
      <c r="Q1203" s="36" t="str">
        <f t="shared" si="4"/>
        <v>0 Km, 30.07.2025</v>
      </c>
      <c r="R1203" s="33"/>
      <c r="S1203" s="40">
        <v>3000.0</v>
      </c>
      <c r="T1203" s="25">
        <v>0.0</v>
      </c>
      <c r="U1203" s="25" t="s">
        <v>2022</v>
      </c>
      <c r="V1203" s="37"/>
      <c r="W1203" s="37" t="str">
        <f t="shared" si="46"/>
        <v>Завершена</v>
      </c>
      <c r="X1203" s="25" t="str">
        <f>IFERROR(__xludf.DUMMYFUNCTION("IF(C1203 = """", """", IF(REGEXMATCH(C1203, ""PCX|NMAX|ADV 150|CLICK""), ""скутер"", ""мото""))"),"мото")</f>
        <v>мото</v>
      </c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</row>
    <row r="1204" hidden="1">
      <c r="A1204" s="13" t="s">
        <v>24</v>
      </c>
      <c r="B1204" s="13" t="s">
        <v>25</v>
      </c>
      <c r="C1204" s="14" t="s">
        <v>77</v>
      </c>
      <c r="D1204" s="14" t="s">
        <v>2023</v>
      </c>
      <c r="E1204" s="48">
        <v>45868.0</v>
      </c>
      <c r="F1204" s="38">
        <v>45899.666666666664</v>
      </c>
      <c r="G1204" s="17" t="str">
        <f t="shared" si="61"/>
        <v>31 Д</v>
      </c>
      <c r="H1204" s="18">
        <f t="shared" si="69"/>
        <v>166.6666667</v>
      </c>
      <c r="I1204" s="19" t="str">
        <f t="shared" si="65"/>
        <v/>
      </c>
      <c r="J1204" s="20" t="str">
        <f t="shared" si="25"/>
        <v/>
      </c>
      <c r="K1204" s="23">
        <v>5000.0</v>
      </c>
      <c r="L1204" s="23">
        <v>5000.0</v>
      </c>
      <c r="M1204" s="20"/>
      <c r="N1204" s="21"/>
      <c r="O1204" s="22">
        <f>IFERROR(__xludf.DUMMYFUNCTION("IFERROR(
  VLOOKUP(C1204,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C1204
    ), 
    7, FALSE
  ), 
  """"
)
"),37300.0)</f>
        <v>37300</v>
      </c>
      <c r="P1204" s="22">
        <f>IFERROR(__xludf.DUMMYFUNCTION("IF(AND(Q1204="""", R1204=""""),
  """",
  IF(OR(ISBLANK(Q1204), ISBLANK(O1204)),
    """",
    IF(VALUE(SUBSTITUTE(INDEX(SPLIT(IF(ISBLANK(R1204), Q1204, R1204), "",""), 0, 1), "" Km"", """")) - O1204 = 0,
      """",
      VALUE(SUBSTITUTE(INDEX(SPLIT(IF("&amp;"ISBLANK(R1204), Q1204, R1204), "",""), 0, 1), "" Km"", """")) - O1204
    )
  )
)"),-37300.0)</f>
        <v>-37300</v>
      </c>
      <c r="Q1204" s="23" t="str">
        <f t="shared" si="4"/>
        <v>0 Km, 30.07.2025</v>
      </c>
      <c r="R1204" s="20"/>
      <c r="S1204" s="41">
        <v>3000.0</v>
      </c>
      <c r="T1204" s="13">
        <v>2.0</v>
      </c>
      <c r="U1204" s="13" t="s">
        <v>2024</v>
      </c>
      <c r="V1204" s="24"/>
      <c r="W1204" s="24" t="str">
        <f t="shared" si="46"/>
        <v>Завершена</v>
      </c>
      <c r="X1204" s="13" t="str">
        <f>IFERROR(__xludf.DUMMYFUNCTION("IF(C1204 = """", """", IF(REGEXMATCH(C1204, ""PCX|NMAX|ADV 150|CLICK""), ""скутер"", ""мото""))"),"скутер")</f>
        <v>скутер</v>
      </c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</row>
    <row r="1205" hidden="1">
      <c r="A1205" s="25" t="s">
        <v>24</v>
      </c>
      <c r="B1205" s="25" t="s">
        <v>25</v>
      </c>
      <c r="C1205" s="27" t="s">
        <v>928</v>
      </c>
      <c r="D1205" s="27" t="s">
        <v>929</v>
      </c>
      <c r="E1205" s="43">
        <v>45870.0</v>
      </c>
      <c r="F1205" s="39">
        <v>45878.541666666664</v>
      </c>
      <c r="G1205" s="30" t="str">
        <f t="shared" si="61"/>
        <v>8 Д</v>
      </c>
      <c r="H1205" s="31">
        <f t="shared" si="69"/>
        <v>500</v>
      </c>
      <c r="I1205" s="32" t="str">
        <f t="shared" si="65"/>
        <v/>
      </c>
      <c r="J1205" s="33" t="str">
        <f t="shared" si="25"/>
        <v/>
      </c>
      <c r="K1205" s="36">
        <v>4000.0</v>
      </c>
      <c r="L1205" s="33"/>
      <c r="M1205" s="36">
        <v>500.0</v>
      </c>
      <c r="N1205" s="34"/>
      <c r="O1205" s="35">
        <f>IFERROR(__xludf.DUMMYFUNCTION("IFERROR(
  VLOOKUP(C1205,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C1205
    ), 
    7, FALSE
  ), 
  """"
)
"),11000.0)</f>
        <v>11000</v>
      </c>
      <c r="P1205" s="35">
        <f>IFERROR(__xludf.DUMMYFUNCTION("IF(AND(Q1205="""", R1205=""""),
  """",
  IF(OR(ISBLANK(Q1205), ISBLANK(O1205)),
    """",
    IF(VALUE(SUBSTITUTE(INDEX(SPLIT(IF(ISBLANK(R1205), Q1205, R1205), "",""), 0, 1), "" Km"", """")) - O1205 = 0,
      """",
      VALUE(SUBSTITUTE(INDEX(SPLIT(IF("&amp;"ISBLANK(R1205), Q1205, R1205), "",""), 0, 1), "" Km"", """")) - O1205
    )
  )
)"),-11000.0)</f>
        <v>-11000</v>
      </c>
      <c r="Q1205" s="36" t="str">
        <f t="shared" si="4"/>
        <v>0 Km, 01.08.2025</v>
      </c>
      <c r="R1205" s="33"/>
      <c r="S1205" s="40">
        <v>5000.0</v>
      </c>
      <c r="T1205" s="25">
        <v>2.0</v>
      </c>
      <c r="U1205" s="25" t="s">
        <v>1277</v>
      </c>
      <c r="V1205" s="37"/>
      <c r="W1205" s="37" t="str">
        <f t="shared" si="46"/>
        <v>Завершена</v>
      </c>
      <c r="X1205" s="25" t="str">
        <f>IFERROR(__xludf.DUMMYFUNCTION("IF(C1205 = """", """", IF(REGEXMATCH(C1205, ""PCX|NMAX|ADV 150|CLICK""), ""скутер"", ""мото""))"),"мото")</f>
        <v>мото</v>
      </c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</row>
    <row r="1206" hidden="1">
      <c r="A1206" s="13" t="s">
        <v>24</v>
      </c>
      <c r="B1206" s="13" t="s">
        <v>25</v>
      </c>
      <c r="C1206" s="14" t="s">
        <v>64</v>
      </c>
      <c r="D1206" s="14" t="s">
        <v>1706</v>
      </c>
      <c r="E1206" s="48">
        <v>45871.0</v>
      </c>
      <c r="F1206" s="38">
        <v>45902.458333333336</v>
      </c>
      <c r="G1206" s="17" t="str">
        <f t="shared" si="61"/>
        <v>31 Д</v>
      </c>
      <c r="H1206" s="18">
        <f t="shared" si="69"/>
        <v>296.6666667</v>
      </c>
      <c r="I1206" s="19" t="str">
        <f t="shared" si="65"/>
        <v/>
      </c>
      <c r="J1206" s="20" t="str">
        <f t="shared" si="25"/>
        <v/>
      </c>
      <c r="K1206" s="23">
        <v>8900.0</v>
      </c>
      <c r="L1206" s="23">
        <v>8900.0</v>
      </c>
      <c r="M1206" s="20"/>
      <c r="N1206" s="21"/>
      <c r="O1206" s="22">
        <f>IFERROR(__xludf.DUMMYFUNCTION("IFERROR(
  VLOOKUP(C1206,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C1206
    ), 
    7, FALSE
  ), 
  """"
)
"),32600.0)</f>
        <v>32600</v>
      </c>
      <c r="P1206" s="22">
        <f>IFERROR(__xludf.DUMMYFUNCTION("IF(AND(Q1206="""", R1206=""""),
  """",
  IF(OR(ISBLANK(Q1206), ISBLANK(O1206)),
    """",
    IF(VALUE(SUBSTITUTE(INDEX(SPLIT(IF(ISBLANK(R1206), Q1206, R1206), "",""), 0, 1), "" Km"", """")) - O1206 = 0,
      """",
      VALUE(SUBSTITUTE(INDEX(SPLIT(IF("&amp;"ISBLANK(R1206), Q1206, R1206), "",""), 0, 1), "" Km"", """")) - O1206
    )
  )
)"),-32600.0)</f>
        <v>-32600</v>
      </c>
      <c r="Q1206" s="23" t="str">
        <f t="shared" si="4"/>
        <v>0 Km, 02.08.2025</v>
      </c>
      <c r="R1206" s="20"/>
      <c r="S1206" s="41">
        <v>5000.0</v>
      </c>
      <c r="T1206" s="13">
        <v>2.0</v>
      </c>
      <c r="U1206" s="13" t="s">
        <v>2025</v>
      </c>
      <c r="V1206" s="24"/>
      <c r="W1206" s="24" t="str">
        <f t="shared" si="46"/>
        <v>Завершена</v>
      </c>
      <c r="X1206" s="13" t="str">
        <f>IFERROR(__xludf.DUMMYFUNCTION("IF(C1206 = """", """", IF(REGEXMATCH(C1206, ""PCX|NMAX|ADV 150|CLICK""), ""скутер"", ""мото""))"),"мото")</f>
        <v>мото</v>
      </c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</row>
    <row r="1207" hidden="1">
      <c r="A1207" s="25" t="s">
        <v>24</v>
      </c>
      <c r="B1207" s="25" t="s">
        <v>25</v>
      </c>
      <c r="C1207" s="27" t="s">
        <v>923</v>
      </c>
      <c r="D1207" s="27" t="s">
        <v>2026</v>
      </c>
      <c r="E1207" s="43">
        <v>45872.0</v>
      </c>
      <c r="F1207" s="39">
        <v>45884.583333333336</v>
      </c>
      <c r="G1207" s="30" t="str">
        <f t="shared" si="61"/>
        <v>12 Д</v>
      </c>
      <c r="H1207" s="31">
        <f t="shared" si="69"/>
        <v>614</v>
      </c>
      <c r="I1207" s="32" t="str">
        <f t="shared" si="65"/>
        <v/>
      </c>
      <c r="J1207" s="33" t="str">
        <f t="shared" si="25"/>
        <v/>
      </c>
      <c r="K1207" s="36">
        <v>7368.0</v>
      </c>
      <c r="L1207" s="33"/>
      <c r="M1207" s="36">
        <v>614.0</v>
      </c>
      <c r="N1207" s="34"/>
      <c r="O1207" s="35">
        <f>IFERROR(__xludf.DUMMYFUNCTION("IFERROR(
  VLOOKUP(C1207,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C1207
    ), 
    7, FALSE
  ), 
  """"
)
"),25378.0)</f>
        <v>25378</v>
      </c>
      <c r="P1207" s="35">
        <f>IFERROR(__xludf.DUMMYFUNCTION("IF(AND(Q1207="""", R1207=""""),
  """",
  IF(OR(ISBLANK(Q1207), ISBLANK(O1207)),
    """",
    IF(VALUE(SUBSTITUTE(INDEX(SPLIT(IF(ISBLANK(R1207), Q1207, R1207), "",""), 0, 1), "" Km"", """")) - O1207 = 0,
      """",
      VALUE(SUBSTITUTE(INDEX(SPLIT(IF("&amp;"ISBLANK(R1207), Q1207, R1207), "",""), 0, 1), "" Km"", """")) - O1207
    )
  )
)"),-25378.0)</f>
        <v>-25378</v>
      </c>
      <c r="Q1207" s="36" t="str">
        <f t="shared" si="4"/>
        <v>0 Km, 03.08.2025</v>
      </c>
      <c r="R1207" s="33"/>
      <c r="S1207" s="40" t="s">
        <v>985</v>
      </c>
      <c r="T1207" s="25">
        <v>1.0</v>
      </c>
      <c r="U1207" s="25" t="s">
        <v>2027</v>
      </c>
      <c r="V1207" s="37"/>
      <c r="W1207" s="37" t="str">
        <f t="shared" si="46"/>
        <v>Завершена</v>
      </c>
      <c r="X1207" s="25" t="str">
        <f>IFERROR(__xludf.DUMMYFUNCTION("IF(C1207 = """", """", IF(REGEXMATCH(C1207, ""PCX|NMAX|ADV 150|CLICK""), ""скутер"", ""мото""))"),"мото")</f>
        <v>мото</v>
      </c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</row>
    <row r="1208" hidden="1">
      <c r="A1208" s="13" t="s">
        <v>24</v>
      </c>
      <c r="B1208" s="13" t="s">
        <v>25</v>
      </c>
      <c r="C1208" s="14" t="s">
        <v>106</v>
      </c>
      <c r="D1208" s="14" t="s">
        <v>1939</v>
      </c>
      <c r="E1208" s="48">
        <v>45873.0</v>
      </c>
      <c r="F1208" s="38">
        <v>45904.458333333336</v>
      </c>
      <c r="G1208" s="17" t="str">
        <f t="shared" si="61"/>
        <v>31 Д</v>
      </c>
      <c r="H1208" s="18">
        <f t="shared" si="69"/>
        <v>150</v>
      </c>
      <c r="I1208" s="19" t="str">
        <f t="shared" si="65"/>
        <v/>
      </c>
      <c r="J1208" s="20" t="str">
        <f t="shared" si="25"/>
        <v/>
      </c>
      <c r="K1208" s="23">
        <v>4500.0</v>
      </c>
      <c r="L1208" s="23">
        <v>4500.0</v>
      </c>
      <c r="M1208" s="20"/>
      <c r="N1208" s="21"/>
      <c r="O1208" s="22">
        <f>IFERROR(__xludf.DUMMYFUNCTION("IFERROR(
  VLOOKUP(C1208,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C1208
    ), 
    7, FALSE
  ), 
  """"
)
"),26000.0)</f>
        <v>26000</v>
      </c>
      <c r="P1208" s="22">
        <f>IFERROR(__xludf.DUMMYFUNCTION("IF(AND(Q1208="""", R1208=""""),
  """",
  IF(OR(ISBLANK(Q1208), ISBLANK(O1208)),
    """",
    IF(VALUE(SUBSTITUTE(INDEX(SPLIT(IF(ISBLANK(R1208), Q1208, R1208), "",""), 0, 1), "" Km"", """")) - O1208 = 0,
      """",
      VALUE(SUBSTITUTE(INDEX(SPLIT(IF("&amp;"ISBLANK(R1208), Q1208, R1208), "",""), 0, 1), "" Km"", """")) - O1208
    )
  )
)"),-26000.0)</f>
        <v>-26000</v>
      </c>
      <c r="Q1208" s="23" t="str">
        <f t="shared" si="4"/>
        <v>0 Km, 04.08.2025</v>
      </c>
      <c r="R1208" s="20"/>
      <c r="S1208" s="41">
        <v>3000.0</v>
      </c>
      <c r="T1208" s="13">
        <v>2.0</v>
      </c>
      <c r="U1208" s="66" t="s">
        <v>2028</v>
      </c>
      <c r="V1208" s="24"/>
      <c r="W1208" s="24" t="str">
        <f t="shared" si="46"/>
        <v>Завершена</v>
      </c>
      <c r="X1208" s="13" t="str">
        <f>IFERROR(__xludf.DUMMYFUNCTION("IF(C1208 = """", """", IF(REGEXMATCH(C1208, ""PCX|NMAX|ADV 150|CLICK""), ""скутер"", ""мото""))"),"скутер")</f>
        <v>скутер</v>
      </c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</row>
    <row r="1209" hidden="1">
      <c r="A1209" s="25" t="s">
        <v>24</v>
      </c>
      <c r="B1209" s="25" t="s">
        <v>25</v>
      </c>
      <c r="C1209" s="27" t="s">
        <v>967</v>
      </c>
      <c r="D1209" s="27" t="s">
        <v>821</v>
      </c>
      <c r="E1209" s="43">
        <v>45874.0</v>
      </c>
      <c r="F1209" s="39">
        <v>45881.833333333336</v>
      </c>
      <c r="G1209" s="30" t="str">
        <f t="shared" si="61"/>
        <v>7 Д</v>
      </c>
      <c r="H1209" s="31">
        <f t="shared" si="69"/>
        <v>1157.142857</v>
      </c>
      <c r="I1209" s="32" t="str">
        <f t="shared" si="65"/>
        <v/>
      </c>
      <c r="J1209" s="33" t="str">
        <f t="shared" si="25"/>
        <v/>
      </c>
      <c r="K1209" s="36">
        <v>8100.0</v>
      </c>
      <c r="L1209" s="36"/>
      <c r="M1209" s="33">
        <f>8100/7</f>
        <v>1157.142857</v>
      </c>
      <c r="N1209" s="44">
        <v>17000.0</v>
      </c>
      <c r="O1209" s="35">
        <f>IFERROR(__xludf.DUMMYFUNCTION("IFERROR(
  VLOOKUP(C1209,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C1209
    ), 
    7, FALSE
  ), 
  """"
)
"),24800.0)</f>
        <v>24800</v>
      </c>
      <c r="P1209" s="35">
        <f>IFERROR(__xludf.DUMMYFUNCTION("IF(AND(Q1209="""", R1209=""""),
  """",
  IF(OR(ISBLANK(Q1209), ISBLANK(O1209)),
    """",
    IF(VALUE(SUBSTITUTE(INDEX(SPLIT(IF(ISBLANK(R1209), Q1209, R1209), "",""), 0, 1), "" Km"", """")) - O1209 = 0,
      """",
      VALUE(SUBSTITUTE(INDEX(SPLIT(IF("&amp;"ISBLANK(R1209), Q1209, R1209), "",""), 0, 1), "" Km"", """")) - O1209
    )
  )
)"),-7800.0)</f>
        <v>-7800</v>
      </c>
      <c r="Q1209" s="36" t="str">
        <f t="shared" si="4"/>
        <v>17 000 Km, 05.08.2025</v>
      </c>
      <c r="R1209" s="33"/>
      <c r="S1209" s="40" t="s">
        <v>600</v>
      </c>
      <c r="T1209" s="25">
        <v>0.0</v>
      </c>
      <c r="U1209" s="25" t="s">
        <v>1987</v>
      </c>
      <c r="V1209" s="37"/>
      <c r="W1209" s="37" t="str">
        <f t="shared" si="46"/>
        <v>Завершена</v>
      </c>
      <c r="X1209" s="25" t="str">
        <f>IFERROR(__xludf.DUMMYFUNCTION("IF(C1209 = """", """", IF(REGEXMATCH(C1209, ""PCX|NMAX|ADV 150|CLICK""), ""скутер"", ""мото""))"),"мото")</f>
        <v>мото</v>
      </c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</row>
    <row r="1210" hidden="1">
      <c r="A1210" s="13" t="s">
        <v>24</v>
      </c>
      <c r="B1210" s="13" t="s">
        <v>25</v>
      </c>
      <c r="C1210" s="14" t="s">
        <v>114</v>
      </c>
      <c r="D1210" s="14" t="s">
        <v>2029</v>
      </c>
      <c r="E1210" s="48">
        <v>45874.0</v>
      </c>
      <c r="F1210" s="38">
        <v>45905.541666666664</v>
      </c>
      <c r="G1210" s="17" t="str">
        <f t="shared" si="61"/>
        <v>31 Д</v>
      </c>
      <c r="H1210" s="18">
        <f t="shared" si="69"/>
        <v>166.6666667</v>
      </c>
      <c r="I1210" s="19" t="str">
        <f t="shared" si="65"/>
        <v/>
      </c>
      <c r="J1210" s="20" t="str">
        <f t="shared" si="25"/>
        <v/>
      </c>
      <c r="K1210" s="23">
        <v>4800.0</v>
      </c>
      <c r="L1210" s="23">
        <v>5000.0</v>
      </c>
      <c r="M1210" s="20"/>
      <c r="N1210" s="21"/>
      <c r="O1210" s="22">
        <f>IFERROR(__xludf.DUMMYFUNCTION("IFERROR(
  VLOOKUP(C1210,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C1210
    ), 
    7, FALSE
  ), 
  """"
)
"),31800.0)</f>
        <v>31800</v>
      </c>
      <c r="P1210" s="22">
        <f>IFERROR(__xludf.DUMMYFUNCTION("IF(AND(Q1210="""", R1210=""""),
  """",
  IF(OR(ISBLANK(Q1210), ISBLANK(O1210)),
    """",
    IF(VALUE(SUBSTITUTE(INDEX(SPLIT(IF(ISBLANK(R1210), Q1210, R1210), "",""), 0, 1), "" Km"", """")) - O1210 = 0,
      """",
      VALUE(SUBSTITUTE(INDEX(SPLIT(IF("&amp;"ISBLANK(R1210), Q1210, R1210), "",""), 0, 1), "" Km"", """")) - O1210
    )
  )
)"),-31800.0)</f>
        <v>-31800</v>
      </c>
      <c r="Q1210" s="23" t="str">
        <f t="shared" si="4"/>
        <v>0 Km, 05.08.2025</v>
      </c>
      <c r="R1210" s="20"/>
      <c r="S1210" s="41" t="s">
        <v>2030</v>
      </c>
      <c r="T1210" s="13">
        <v>1.0</v>
      </c>
      <c r="U1210" s="13" t="s">
        <v>516</v>
      </c>
      <c r="V1210" s="24"/>
      <c r="W1210" s="24" t="str">
        <f t="shared" si="46"/>
        <v>Завершена</v>
      </c>
      <c r="X1210" s="13" t="str">
        <f>IFERROR(__xludf.DUMMYFUNCTION("IF(C1210 = """", """", IF(REGEXMATCH(C1210, ""PCX|NMAX|ADV 150|CLICK""), ""скутер"", ""мото""))"),"скутер")</f>
        <v>скутер</v>
      </c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</row>
    <row r="1211" hidden="1">
      <c r="A1211" s="25" t="s">
        <v>24</v>
      </c>
      <c r="B1211" s="25" t="s">
        <v>25</v>
      </c>
      <c r="C1211" s="27" t="s">
        <v>468</v>
      </c>
      <c r="D1211" s="27" t="s">
        <v>2031</v>
      </c>
      <c r="E1211" s="43">
        <v>45877.0</v>
      </c>
      <c r="F1211" s="39">
        <v>45884.666666666664</v>
      </c>
      <c r="G1211" s="30" t="str">
        <f t="shared" si="61"/>
        <v>7 Д</v>
      </c>
      <c r="H1211" s="31">
        <f t="shared" si="69"/>
        <v>776</v>
      </c>
      <c r="I1211" s="32" t="str">
        <f t="shared" si="65"/>
        <v/>
      </c>
      <c r="J1211" s="33" t="str">
        <f t="shared" si="25"/>
        <v/>
      </c>
      <c r="K1211" s="36">
        <v>5432.0</v>
      </c>
      <c r="L1211" s="33"/>
      <c r="M1211" s="36">
        <v>776.0</v>
      </c>
      <c r="N1211" s="34"/>
      <c r="O1211" s="35">
        <f>IFERROR(__xludf.DUMMYFUNCTION("IFERROR(
  VLOOKUP(C1211,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C1211
    ), 
    7, FALSE
  ), 
  """"
)
"),22200.0)</f>
        <v>22200</v>
      </c>
      <c r="P1211" s="35">
        <f>IFERROR(__xludf.DUMMYFUNCTION("IF(AND(Q1211="""", R1211=""""),
  """",
  IF(OR(ISBLANK(Q1211), ISBLANK(O1211)),
    """",
    IF(VALUE(SUBSTITUTE(INDEX(SPLIT(IF(ISBLANK(R1211), Q1211, R1211), "",""), 0, 1), "" Km"", """")) - O1211 = 0,
      """",
      VALUE(SUBSTITUTE(INDEX(SPLIT(IF("&amp;"ISBLANK(R1211), Q1211, R1211), "",""), 0, 1), "" Km"", """")) - O1211
    )
  )
)"),-22200.0)</f>
        <v>-22200</v>
      </c>
      <c r="Q1211" s="36" t="str">
        <f t="shared" si="4"/>
        <v>0 Km, 08.08.2025</v>
      </c>
      <c r="R1211" s="33"/>
      <c r="S1211" s="40" t="s">
        <v>515</v>
      </c>
      <c r="T1211" s="25">
        <v>2.0</v>
      </c>
      <c r="U1211" s="25" t="s">
        <v>2032</v>
      </c>
      <c r="V1211" s="37"/>
      <c r="W1211" s="37" t="str">
        <f t="shared" si="46"/>
        <v>Завершена</v>
      </c>
      <c r="X1211" s="25" t="str">
        <f>IFERROR(__xludf.DUMMYFUNCTION("IF(C1211 = """", """", IF(REGEXMATCH(C1211, ""PCX|NMAX|ADV 150|CLICK""), ""скутер"", ""мото""))"),"мото")</f>
        <v>мото</v>
      </c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</row>
    <row r="1212" hidden="1">
      <c r="A1212" s="13" t="s">
        <v>24</v>
      </c>
      <c r="B1212" s="13" t="s">
        <v>25</v>
      </c>
      <c r="C1212" s="14" t="s">
        <v>173</v>
      </c>
      <c r="D1212" s="14" t="s">
        <v>2033</v>
      </c>
      <c r="E1212" s="48">
        <v>45878.0</v>
      </c>
      <c r="F1212" s="38">
        <v>45885.541666666664</v>
      </c>
      <c r="G1212" s="17" t="str">
        <f t="shared" si="61"/>
        <v>7 Д</v>
      </c>
      <c r="H1212" s="18">
        <f t="shared" si="69"/>
        <v>444</v>
      </c>
      <c r="I1212" s="19" t="str">
        <f t="shared" si="65"/>
        <v/>
      </c>
      <c r="J1212" s="20" t="str">
        <f t="shared" si="25"/>
        <v/>
      </c>
      <c r="K1212" s="23">
        <v>3108.0</v>
      </c>
      <c r="L1212" s="20"/>
      <c r="M1212" s="23">
        <v>444.0</v>
      </c>
      <c r="N1212" s="21"/>
      <c r="O1212" s="22">
        <f>IFERROR(__xludf.DUMMYFUNCTION("IFERROR(
  VLOOKUP(C1212,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C1212
    ), 
    7, FALSE
  ), 
  """"
)
"),27000.0)</f>
        <v>27000</v>
      </c>
      <c r="P1212" s="22">
        <f>IFERROR(__xludf.DUMMYFUNCTION("IF(AND(Q1212="""", R1212=""""),
  """",
  IF(OR(ISBLANK(Q1212), ISBLANK(O1212)),
    """",
    IF(VALUE(SUBSTITUTE(INDEX(SPLIT(IF(ISBLANK(R1212), Q1212, R1212), "",""), 0, 1), "" Km"", """")) - O1212 = 0,
      """",
      VALUE(SUBSTITUTE(INDEX(SPLIT(IF("&amp;"ISBLANK(R1212), Q1212, R1212), "",""), 0, 1), "" Km"", """")) - O1212
    )
  )
)"),-27000.0)</f>
        <v>-27000</v>
      </c>
      <c r="Q1212" s="23" t="str">
        <f t="shared" si="4"/>
        <v>0 Km, 09.08.2025</v>
      </c>
      <c r="R1212" s="20"/>
      <c r="S1212" s="41">
        <v>7000.0</v>
      </c>
      <c r="T1212" s="13">
        <v>0.0</v>
      </c>
      <c r="U1212" s="13" t="s">
        <v>2034</v>
      </c>
      <c r="V1212" s="24"/>
      <c r="W1212" s="24" t="str">
        <f t="shared" si="46"/>
        <v>Завершена</v>
      </c>
      <c r="X1212" s="13" t="str">
        <f>IFERROR(__xludf.DUMMYFUNCTION("IF(C1212 = """", """", IF(REGEXMATCH(C1212, ""PCX|NMAX|ADV 150|CLICK""), ""скутер"", ""мото""))"),"мото")</f>
        <v>мото</v>
      </c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</row>
    <row r="1213" hidden="1">
      <c r="A1213" s="25" t="s">
        <v>24</v>
      </c>
      <c r="B1213" s="25" t="s">
        <v>25</v>
      </c>
      <c r="C1213" s="27" t="s">
        <v>185</v>
      </c>
      <c r="D1213" s="27" t="s">
        <v>2035</v>
      </c>
      <c r="E1213" s="43">
        <v>45884.0</v>
      </c>
      <c r="F1213" s="39">
        <v>45915.75</v>
      </c>
      <c r="G1213" s="30" t="str">
        <f t="shared" si="61"/>
        <v>31 Д</v>
      </c>
      <c r="H1213" s="31">
        <f t="shared" si="69"/>
        <v>166.6666667</v>
      </c>
      <c r="I1213" s="32" t="str">
        <f t="shared" si="65"/>
        <v/>
      </c>
      <c r="J1213" s="33" t="str">
        <f t="shared" si="25"/>
        <v/>
      </c>
      <c r="K1213" s="36">
        <v>5000.0</v>
      </c>
      <c r="L1213" s="36">
        <v>5000.0</v>
      </c>
      <c r="M1213" s="33"/>
      <c r="N1213" s="34"/>
      <c r="O1213" s="35" t="str">
        <f>IFERROR(__xludf.DUMMYFUNCTION("IFERROR(
  VLOOKUP(C1213,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C1213
    ), 
    7, FALSE
  ), 
  """"
)
"),"")</f>
        <v/>
      </c>
      <c r="P1213" s="35" t="str">
        <f>IFERROR(__xludf.DUMMYFUNCTION("IF(AND(Q1213="""", R1213=""""),
  """",
  IF(OR(ISBLANK(Q1213), ISBLANK(O1213)),
    """",
    IF(VALUE(SUBSTITUTE(INDEX(SPLIT(IF(ISBLANK(R1213), Q1213, R1213), "",""), 0, 1), "" Km"", """")) - O1213 = 0,
      """",
      VALUE(SUBSTITUTE(INDEX(SPLIT(IF("&amp;"ISBLANK(R1213), Q1213, R1213), "",""), 0, 1), "" Km"", """")) - O1213
    )
  )
)"),"")</f>
        <v/>
      </c>
      <c r="Q1213" s="36" t="str">
        <f t="shared" si="4"/>
        <v>0 Km, 15.08.2025</v>
      </c>
      <c r="R1213" s="33"/>
      <c r="S1213" s="40">
        <v>3000.0</v>
      </c>
      <c r="T1213" s="25">
        <v>2.0</v>
      </c>
      <c r="U1213" s="25" t="s">
        <v>2036</v>
      </c>
      <c r="V1213" s="37"/>
      <c r="W1213" s="37" t="str">
        <f t="shared" si="46"/>
        <v>Завершена</v>
      </c>
      <c r="X1213" s="25" t="str">
        <f>IFERROR(__xludf.DUMMYFUNCTION("IF(C1213 = """", """", IF(REGEXMATCH(C1213, ""PCX|NMAX|ADV 150|CLICK""), ""скутер"", ""мото""))"),"скутер")</f>
        <v>скутер</v>
      </c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</row>
    <row r="1214" hidden="1">
      <c r="A1214" s="13" t="s">
        <v>24</v>
      </c>
      <c r="B1214" s="13" t="s">
        <v>25</v>
      </c>
      <c r="C1214" s="14" t="s">
        <v>438</v>
      </c>
      <c r="D1214" s="14" t="s">
        <v>2037</v>
      </c>
      <c r="E1214" s="48">
        <v>45885.0</v>
      </c>
      <c r="F1214" s="38">
        <v>45892.625</v>
      </c>
      <c r="G1214" s="17" t="str">
        <f t="shared" si="61"/>
        <v>7 Д</v>
      </c>
      <c r="H1214" s="18">
        <f t="shared" si="69"/>
        <v>700</v>
      </c>
      <c r="I1214" s="19" t="str">
        <f t="shared" si="65"/>
        <v/>
      </c>
      <c r="J1214" s="20" t="str">
        <f t="shared" si="25"/>
        <v/>
      </c>
      <c r="K1214" s="23">
        <v>4900.0</v>
      </c>
      <c r="L1214" s="20"/>
      <c r="M1214" s="23">
        <v>700.0</v>
      </c>
      <c r="N1214" s="21"/>
      <c r="O1214" s="22">
        <f>IFERROR(__xludf.DUMMYFUNCTION("IFERROR(
  VLOOKUP(C1214,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C1214
    ), 
    7, FALSE
  ), 
  """"
)
"),37823.0)</f>
        <v>37823</v>
      </c>
      <c r="P1214" s="22">
        <f>IFERROR(__xludf.DUMMYFUNCTION("IF(AND(Q1214="""", R1214=""""),
  """",
  IF(OR(ISBLANK(Q1214), ISBLANK(O1214)),
    """",
    IF(VALUE(SUBSTITUTE(INDEX(SPLIT(IF(ISBLANK(R1214), Q1214, R1214), "",""), 0, 1), "" Km"", """")) - O1214 = 0,
      """",
      VALUE(SUBSTITUTE(INDEX(SPLIT(IF("&amp;"ISBLANK(R1214), Q1214, R1214), "",""), 0, 1), "" Km"", """")) - O1214
    )
  )
)"),-37823.0)</f>
        <v>-37823</v>
      </c>
      <c r="Q1214" s="23" t="str">
        <f t="shared" si="4"/>
        <v>0 Km, 16.08.2025</v>
      </c>
      <c r="R1214" s="20"/>
      <c r="S1214" s="41">
        <v>20000.0</v>
      </c>
      <c r="T1214" s="13">
        <v>0.0</v>
      </c>
      <c r="U1214" s="13" t="s">
        <v>2038</v>
      </c>
      <c r="V1214" s="24"/>
      <c r="W1214" s="24" t="str">
        <f t="shared" si="46"/>
        <v>Завершена</v>
      </c>
      <c r="X1214" s="13" t="str">
        <f>IFERROR(__xludf.DUMMYFUNCTION("IF(C1214 = """", """", IF(REGEXMATCH(C1214, ""PCX|NMAX|ADV 150|CLICK""), ""скутер"", ""мото""))"),"мото")</f>
        <v>мото</v>
      </c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</row>
    <row r="1215" hidden="1">
      <c r="A1215" s="25" t="s">
        <v>24</v>
      </c>
      <c r="B1215" s="25" t="s">
        <v>25</v>
      </c>
      <c r="C1215" s="27" t="s">
        <v>92</v>
      </c>
      <c r="D1215" s="27" t="s">
        <v>2039</v>
      </c>
      <c r="E1215" s="43">
        <v>45886.0</v>
      </c>
      <c r="F1215" s="39">
        <v>45917.75</v>
      </c>
      <c r="G1215" s="30" t="str">
        <f t="shared" si="61"/>
        <v>31 Д</v>
      </c>
      <c r="H1215" s="31">
        <f t="shared" si="69"/>
        <v>266.6666667</v>
      </c>
      <c r="I1215" s="32" t="str">
        <f t="shared" si="65"/>
        <v/>
      </c>
      <c r="J1215" s="33" t="str">
        <f t="shared" si="25"/>
        <v/>
      </c>
      <c r="K1215" s="36">
        <v>8000.0</v>
      </c>
      <c r="L1215" s="36">
        <v>8000.0</v>
      </c>
      <c r="M1215" s="33"/>
      <c r="N1215" s="34"/>
      <c r="O1215" s="35">
        <f>IFERROR(__xludf.DUMMYFUNCTION("IFERROR(
  VLOOKUP(C1215,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C1215
    ), 
    7, FALSE
  ), 
  """"
)
"),23500.0)</f>
        <v>23500</v>
      </c>
      <c r="P1215" s="35">
        <f>IFERROR(__xludf.DUMMYFUNCTION("IF(AND(Q1215="""", R1215=""""),
  """",
  IF(OR(ISBLANK(Q1215), ISBLANK(O1215)),
    """",
    IF(VALUE(SUBSTITUTE(INDEX(SPLIT(IF(ISBLANK(R1215), Q1215, R1215), "",""), 0, 1), "" Km"", """")) - O1215 = 0,
      """",
      VALUE(SUBSTITUTE(INDEX(SPLIT(IF("&amp;"ISBLANK(R1215), Q1215, R1215), "",""), 0, 1), "" Km"", """")) - O1215
    )
  )
)"),-23500.0)</f>
        <v>-23500</v>
      </c>
      <c r="Q1215" s="36" t="str">
        <f t="shared" si="4"/>
        <v>0 Km, 17.08.2025</v>
      </c>
      <c r="R1215" s="33"/>
      <c r="S1215" s="40">
        <v>80.0</v>
      </c>
      <c r="T1215" s="25">
        <v>2.0</v>
      </c>
      <c r="U1215" s="25" t="s">
        <v>2040</v>
      </c>
      <c r="V1215" s="37"/>
      <c r="W1215" s="37" t="str">
        <f t="shared" si="46"/>
        <v>Завершена</v>
      </c>
      <c r="X1215" s="25" t="str">
        <f>IFERROR(__xludf.DUMMYFUNCTION("IF(C1215 = """", """", IF(REGEXMATCH(C1215, ""PCX|NMAX|ADV 150|CLICK""), ""скутер"", ""мото""))"),"мото")</f>
        <v>мото</v>
      </c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</row>
    <row r="1216" hidden="1">
      <c r="A1216" s="13" t="s">
        <v>24</v>
      </c>
      <c r="B1216" s="13" t="s">
        <v>25</v>
      </c>
      <c r="C1216" s="14" t="s">
        <v>923</v>
      </c>
      <c r="D1216" s="14" t="s">
        <v>1708</v>
      </c>
      <c r="E1216" s="48">
        <v>45893.0</v>
      </c>
      <c r="F1216" s="38">
        <v>45900.5</v>
      </c>
      <c r="G1216" s="17" t="str">
        <f t="shared" si="61"/>
        <v>7 Д</v>
      </c>
      <c r="H1216" s="18">
        <f t="shared" si="69"/>
        <v>610</v>
      </c>
      <c r="I1216" s="19" t="str">
        <f t="shared" si="65"/>
        <v/>
      </c>
      <c r="J1216" s="20" t="str">
        <f t="shared" si="25"/>
        <v/>
      </c>
      <c r="K1216" s="23">
        <v>4270.0</v>
      </c>
      <c r="L1216" s="20"/>
      <c r="M1216" s="23">
        <v>610.0</v>
      </c>
      <c r="N1216" s="21"/>
      <c r="O1216" s="22">
        <f>IFERROR(__xludf.DUMMYFUNCTION("IFERROR(
  VLOOKUP(C1216,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C1216
    ), 
    7, FALSE
  ), 
  """"
)
"),25378.0)</f>
        <v>25378</v>
      </c>
      <c r="P1216" s="22">
        <f>IFERROR(__xludf.DUMMYFUNCTION("IF(AND(Q1216="""", R1216=""""),
  """",
  IF(OR(ISBLANK(Q1216), ISBLANK(O1216)),
    """",
    IF(VALUE(SUBSTITUTE(INDEX(SPLIT(IF(ISBLANK(R1216), Q1216, R1216), "",""), 0, 1), "" Km"", """")) - O1216 = 0,
      """",
      VALUE(SUBSTITUTE(INDEX(SPLIT(IF("&amp;"ISBLANK(R1216), Q1216, R1216), "",""), 0, 1), "" Km"", """")) - O1216
    )
  )
)"),-25378.0)</f>
        <v>-25378</v>
      </c>
      <c r="Q1216" s="23" t="str">
        <f t="shared" si="4"/>
        <v>0 Km, 24.08.2025</v>
      </c>
      <c r="R1216" s="20"/>
      <c r="S1216" s="41">
        <v>5000.0</v>
      </c>
      <c r="T1216" s="13">
        <v>3.0</v>
      </c>
      <c r="U1216" s="13" t="s">
        <v>2041</v>
      </c>
      <c r="V1216" s="24"/>
      <c r="W1216" s="24" t="str">
        <f t="shared" si="46"/>
        <v>Завершена</v>
      </c>
      <c r="X1216" s="13" t="str">
        <f>IFERROR(__xludf.DUMMYFUNCTION("IF(C1216 = """", """", IF(REGEXMATCH(C1216, ""PCX|NMAX|ADV 150|CLICK""), ""скутер"", ""мото""))"),"мото")</f>
        <v>мото</v>
      </c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</row>
    <row r="1217" hidden="1">
      <c r="A1217" s="25" t="s">
        <v>24</v>
      </c>
      <c r="B1217" s="25" t="s">
        <v>25</v>
      </c>
      <c r="C1217" s="27" t="s">
        <v>98</v>
      </c>
      <c r="D1217" s="27" t="s">
        <v>2042</v>
      </c>
      <c r="E1217" s="43">
        <v>45897.0</v>
      </c>
      <c r="F1217" s="39">
        <v>45905.583333333336</v>
      </c>
      <c r="G1217" s="30" t="str">
        <f t="shared" si="61"/>
        <v>8 Д</v>
      </c>
      <c r="H1217" s="31">
        <f t="shared" si="69"/>
        <v>272</v>
      </c>
      <c r="I1217" s="32" t="str">
        <f t="shared" si="65"/>
        <v/>
      </c>
      <c r="J1217" s="33" t="str">
        <f t="shared" si="25"/>
        <v/>
      </c>
      <c r="K1217" s="36">
        <v>2176.0</v>
      </c>
      <c r="L1217" s="33"/>
      <c r="M1217" s="36">
        <v>272.0</v>
      </c>
      <c r="N1217" s="44">
        <v>33326.0</v>
      </c>
      <c r="O1217" s="35">
        <f>IFERROR(__xludf.DUMMYFUNCTION("IFERROR(
  VLOOKUP(C1217,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C1217
    ), 
    7, FALSE
  ), 
  """"
)
"),32200.0)</f>
        <v>32200</v>
      </c>
      <c r="P1217" s="35">
        <f>IFERROR(__xludf.DUMMYFUNCTION("IF(AND(Q1217="""", R1217=""""),
  """",
  IF(OR(ISBLANK(Q1217), ISBLANK(O1217)),
    """",
    IF(VALUE(SUBSTITUTE(INDEX(SPLIT(IF(ISBLANK(R1217), Q1217, R1217), "",""), 0, 1), "" Km"", """")) - O1217 = 0,
      """",
      VALUE(SUBSTITUTE(INDEX(SPLIT(IF("&amp;"ISBLANK(R1217), Q1217, R1217), "",""), 0, 1), "" Km"", """")) - O1217
    )
  )
)"),1126.0)</f>
        <v>1126</v>
      </c>
      <c r="Q1217" s="36" t="str">
        <f t="shared" si="4"/>
        <v>33 326 Km, 28.08.2025</v>
      </c>
      <c r="R1217" s="33"/>
      <c r="S1217" s="40">
        <v>3000.0</v>
      </c>
      <c r="T1217" s="25">
        <v>2.0</v>
      </c>
      <c r="U1217" s="71" t="s">
        <v>2043</v>
      </c>
      <c r="V1217" s="37"/>
      <c r="W1217" s="37" t="str">
        <f t="shared" si="46"/>
        <v>Завершена</v>
      </c>
      <c r="X1217" s="25" t="str">
        <f>IFERROR(__xludf.DUMMYFUNCTION("IF(C1217 = """", """", IF(REGEXMATCH(C1217, ""PCX|NMAX|ADV 150|CLICK""), ""скутер"", ""мото""))"),"скутер")</f>
        <v>скутер</v>
      </c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</row>
    <row r="1218" hidden="1">
      <c r="A1218" s="13" t="s">
        <v>24</v>
      </c>
      <c r="B1218" s="13" t="s">
        <v>25</v>
      </c>
      <c r="C1218" s="14" t="s">
        <v>73</v>
      </c>
      <c r="D1218" s="14" t="s">
        <v>2044</v>
      </c>
      <c r="E1218" s="48">
        <v>45897.0</v>
      </c>
      <c r="F1218" s="38">
        <v>45902.75</v>
      </c>
      <c r="G1218" s="17" t="str">
        <f t="shared" si="61"/>
        <v>5 Д</v>
      </c>
      <c r="H1218" s="18">
        <f t="shared" si="69"/>
        <v>292</v>
      </c>
      <c r="I1218" s="19" t="str">
        <f t="shared" si="65"/>
        <v/>
      </c>
      <c r="J1218" s="20" t="str">
        <f t="shared" si="25"/>
        <v/>
      </c>
      <c r="K1218" s="23">
        <v>1460.0</v>
      </c>
      <c r="L1218" s="20"/>
      <c r="M1218" s="23">
        <v>292.0</v>
      </c>
      <c r="N1218" s="49">
        <v>27000.0</v>
      </c>
      <c r="O1218" s="22">
        <f>IFERROR(__xludf.DUMMYFUNCTION("IFERROR(
  VLOOKUP(C1218,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C1218
    ), 
    7, FALSE
  ), 
  """"
)
"),31000.0)</f>
        <v>31000</v>
      </c>
      <c r="P1218" s="22">
        <f>IFERROR(__xludf.DUMMYFUNCTION("IF(AND(Q1218="""", R1218=""""),
  """",
  IF(OR(ISBLANK(Q1218), ISBLANK(O1218)),
    """",
    IF(VALUE(SUBSTITUTE(INDEX(SPLIT(IF(ISBLANK(R1218), Q1218, R1218), "",""), 0, 1), "" Km"", """")) - O1218 = 0,
      """",
      VALUE(SUBSTITUTE(INDEX(SPLIT(IF("&amp;"ISBLANK(R1218), Q1218, R1218), "",""), 0, 1), "" Km"", """")) - O1218
    )
  )
)"),-4000.0)</f>
        <v>-4000</v>
      </c>
      <c r="Q1218" s="23" t="str">
        <f t="shared" si="4"/>
        <v>27 000 Km, 28.08.2025</v>
      </c>
      <c r="R1218" s="20"/>
      <c r="S1218" s="41">
        <v>3000.0</v>
      </c>
      <c r="T1218" s="13">
        <v>2.0</v>
      </c>
      <c r="U1218" s="66" t="s">
        <v>2045</v>
      </c>
      <c r="V1218" s="24"/>
      <c r="W1218" s="24" t="str">
        <f t="shared" si="46"/>
        <v>Завершена</v>
      </c>
      <c r="X1218" s="13" t="str">
        <f>IFERROR(__xludf.DUMMYFUNCTION("IF(C1218 = """", """", IF(REGEXMATCH(C1218, ""PCX|NMAX|ADV 150|CLICK""), ""скутер"", ""мото""))"),"скутер")</f>
        <v>скутер</v>
      </c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</row>
    <row r="1219" hidden="1">
      <c r="A1219" s="25" t="s">
        <v>24</v>
      </c>
      <c r="B1219" s="25" t="s">
        <v>25</v>
      </c>
      <c r="C1219" s="27" t="s">
        <v>1028</v>
      </c>
      <c r="D1219" s="27" t="s">
        <v>1276</v>
      </c>
      <c r="E1219" s="43">
        <v>45905.0</v>
      </c>
      <c r="F1219" s="39">
        <v>45918.666666666664</v>
      </c>
      <c r="G1219" s="30" t="str">
        <f t="shared" si="61"/>
        <v>13 Д</v>
      </c>
      <c r="H1219" s="31">
        <f t="shared" si="69"/>
        <v>512</v>
      </c>
      <c r="I1219" s="32" t="str">
        <f t="shared" si="65"/>
        <v/>
      </c>
      <c r="J1219" s="33" t="str">
        <f t="shared" si="25"/>
        <v/>
      </c>
      <c r="K1219" s="36">
        <f>5120+1600</f>
        <v>6720</v>
      </c>
      <c r="L1219" s="33"/>
      <c r="M1219" s="36">
        <v>512.0</v>
      </c>
      <c r="N1219" s="34"/>
      <c r="O1219" s="35">
        <f>IFERROR(__xludf.DUMMYFUNCTION("IFERROR(
  VLOOKUP(C1219,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C1219
    ), 
    7, FALSE
  ), 
  """"
)
"),21600.0)</f>
        <v>21600</v>
      </c>
      <c r="P1219" s="35">
        <f>IFERROR(__xludf.DUMMYFUNCTION("IF(AND(Q1219="""", R1219=""""),
  """",
  IF(OR(ISBLANK(Q1219), ISBLANK(O1219)),
    """",
    IF(VALUE(SUBSTITUTE(INDEX(SPLIT(IF(ISBLANK(R1219), Q1219, R1219), "",""), 0, 1), "" Km"", """")) - O1219 = 0,
      """",
      VALUE(SUBSTITUTE(INDEX(SPLIT(IF("&amp;"ISBLANK(R1219), Q1219, R1219), "",""), 0, 1), "" Km"", """")) - O1219
    )
  )
)"),-21600.0)</f>
        <v>-21600</v>
      </c>
      <c r="Q1219" s="36" t="str">
        <f t="shared" si="4"/>
        <v>0 Km, 05.09.2025</v>
      </c>
      <c r="R1219" s="33"/>
      <c r="S1219" s="40">
        <v>5000.0</v>
      </c>
      <c r="T1219" s="25">
        <v>2.0</v>
      </c>
      <c r="U1219" s="25" t="s">
        <v>2046</v>
      </c>
      <c r="V1219" s="37"/>
      <c r="W1219" s="37" t="str">
        <f t="shared" si="46"/>
        <v>Завершена</v>
      </c>
      <c r="X1219" s="25" t="str">
        <f>IFERROR(__xludf.DUMMYFUNCTION("IF(C1219 = """", """", IF(REGEXMATCH(C1219, ""PCX|NMAX|ADV 150|CLICK""), ""скутер"", ""мото""))"),"мото")</f>
        <v>мото</v>
      </c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</row>
    <row r="1220" hidden="1">
      <c r="A1220" s="13" t="s">
        <v>24</v>
      </c>
      <c r="B1220" s="13" t="s">
        <v>25</v>
      </c>
      <c r="C1220" s="14" t="s">
        <v>971</v>
      </c>
      <c r="D1220" s="14" t="s">
        <v>929</v>
      </c>
      <c r="E1220" s="48">
        <v>45905.0</v>
      </c>
      <c r="F1220" s="38">
        <v>45918.666666666664</v>
      </c>
      <c r="G1220" s="17" t="str">
        <f t="shared" si="61"/>
        <v>13 Д</v>
      </c>
      <c r="H1220" s="18">
        <f t="shared" si="69"/>
        <v>495</v>
      </c>
      <c r="I1220" s="19" t="str">
        <f t="shared" si="65"/>
        <v/>
      </c>
      <c r="J1220" s="20" t="str">
        <f t="shared" si="25"/>
        <v/>
      </c>
      <c r="K1220" s="23">
        <v>6435.0</v>
      </c>
      <c r="L1220" s="20"/>
      <c r="M1220" s="23">
        <v>495.0</v>
      </c>
      <c r="N1220" s="21"/>
      <c r="O1220" s="22">
        <f>IFERROR(__xludf.DUMMYFUNCTION("IFERROR(
  VLOOKUP(C1220,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C1220
    ), 
    7, FALSE
  ), 
  """"
)
"),18300.0)</f>
        <v>18300</v>
      </c>
      <c r="P1220" s="22">
        <f>IFERROR(__xludf.DUMMYFUNCTION("IF(AND(Q1220="""", R1220=""""),
  """",
  IF(OR(ISBLANK(Q1220), ISBLANK(O1220)),
    """",
    IF(VALUE(SUBSTITUTE(INDEX(SPLIT(IF(ISBLANK(R1220), Q1220, R1220), "",""), 0, 1), "" Km"", """")) - O1220 = 0,
      """",
      VALUE(SUBSTITUTE(INDEX(SPLIT(IF("&amp;"ISBLANK(R1220), Q1220, R1220), "",""), 0, 1), "" Km"", """")) - O1220
    )
  )
)"),-18300.0)</f>
        <v>-18300</v>
      </c>
      <c r="Q1220" s="23" t="str">
        <f t="shared" si="4"/>
        <v>0 Km, 05.09.2025</v>
      </c>
      <c r="R1220" s="20"/>
      <c r="S1220" s="41">
        <v>5000.0</v>
      </c>
      <c r="T1220" s="13">
        <v>2.0</v>
      </c>
      <c r="U1220" s="13" t="s">
        <v>930</v>
      </c>
      <c r="V1220" s="24"/>
      <c r="W1220" s="24" t="str">
        <f t="shared" si="46"/>
        <v>Завершена</v>
      </c>
      <c r="X1220" s="13" t="str">
        <f>IFERROR(__xludf.DUMMYFUNCTION("IF(C1220 = """", """", IF(REGEXMATCH(C1220, ""PCX|NMAX|ADV 150|CLICK""), ""скутер"", ""мото""))"),"мото")</f>
        <v>мото</v>
      </c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</row>
    <row r="1221" hidden="1">
      <c r="A1221" s="25" t="s">
        <v>24</v>
      </c>
      <c r="B1221" s="25" t="s">
        <v>25</v>
      </c>
      <c r="C1221" s="27" t="s">
        <v>914</v>
      </c>
      <c r="D1221" s="27" t="s">
        <v>2047</v>
      </c>
      <c r="E1221" s="43">
        <v>46018.0</v>
      </c>
      <c r="F1221" s="39">
        <v>46027.666666666664</v>
      </c>
      <c r="G1221" s="30" t="str">
        <f t="shared" si="61"/>
        <v>9 Д</v>
      </c>
      <c r="H1221" s="31" t="str">
        <f t="shared" si="69"/>
        <v/>
      </c>
      <c r="I1221" s="32" t="str">
        <f t="shared" si="65"/>
        <v/>
      </c>
      <c r="J1221" s="33" t="str">
        <f t="shared" si="25"/>
        <v/>
      </c>
      <c r="K1221" s="36">
        <v>0.0</v>
      </c>
      <c r="L1221" s="33"/>
      <c r="M1221" s="33"/>
      <c r="N1221" s="34"/>
      <c r="O1221" s="35">
        <f>IFERROR(__xludf.DUMMYFUNCTION("IFERROR(
  VLOOKUP(C1221,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C1221
    ), 
    7, FALSE
  ), 
  """"
)
"),17900.0)</f>
        <v>17900</v>
      </c>
      <c r="P1221" s="35">
        <f>IFERROR(__xludf.DUMMYFUNCTION("IF(AND(Q1221="""", R1221=""""),
  """",
  IF(OR(ISBLANK(Q1221), ISBLANK(O1221)),
    """",
    IF(VALUE(SUBSTITUTE(INDEX(SPLIT(IF(ISBLANK(R1221), Q1221, R1221), "",""), 0, 1), "" Km"", """")) - O1221 = 0,
      """",
      VALUE(SUBSTITUTE(INDEX(SPLIT(IF("&amp;"ISBLANK(R1221), Q1221, R1221), "",""), 0, 1), "" Km"", """")) - O1221
    )
  )
)"),-17900.0)</f>
        <v>-17900</v>
      </c>
      <c r="Q1221" s="36" t="str">
        <f t="shared" si="4"/>
        <v>0 Km, 27.12.2025</v>
      </c>
      <c r="R1221" s="33"/>
      <c r="S1221" s="31"/>
      <c r="T1221" s="25">
        <v>1.0</v>
      </c>
      <c r="U1221" s="71" t="s">
        <v>2048</v>
      </c>
      <c r="V1221" s="37"/>
      <c r="W1221" s="37" t="str">
        <f t="shared" si="46"/>
        <v>Завершена</v>
      </c>
      <c r="X1221" s="25" t="str">
        <f>IFERROR(__xludf.DUMMYFUNCTION("IF(C1221 = """", """", IF(REGEXMATCH(C1221, ""PCX|NMAX|ADV 150|CLICK""), ""скутер"", ""мото""))"),"мото")</f>
        <v>мото</v>
      </c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</row>
    <row r="1222" hidden="1">
      <c r="A1222" s="13" t="s">
        <v>24</v>
      </c>
      <c r="B1222" s="13" t="s">
        <v>25</v>
      </c>
      <c r="C1222" s="14" t="s">
        <v>32</v>
      </c>
      <c r="D1222" s="14" t="s">
        <v>1087</v>
      </c>
      <c r="E1222" s="48">
        <v>46026.0</v>
      </c>
      <c r="F1222" s="38">
        <v>46029.541666666664</v>
      </c>
      <c r="G1222" s="17" t="str">
        <f t="shared" si="61"/>
        <v>3 Д</v>
      </c>
      <c r="H1222" s="18">
        <f t="shared" si="69"/>
        <v>784</v>
      </c>
      <c r="I1222" s="19" t="str">
        <f t="shared" si="65"/>
        <v/>
      </c>
      <c r="J1222" s="20" t="str">
        <f t="shared" si="25"/>
        <v/>
      </c>
      <c r="K1222" s="23">
        <f>784*3</f>
        <v>2352</v>
      </c>
      <c r="L1222" s="20"/>
      <c r="M1222" s="23">
        <v>784.0</v>
      </c>
      <c r="N1222" s="21"/>
      <c r="O1222" s="22">
        <f>IFERROR(__xludf.DUMMYFUNCTION("IFERROR(
  VLOOKUP(C1222,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C1222
    ), 
    7, FALSE
  ), 
  """"
)
"),38640.0)</f>
        <v>38640</v>
      </c>
      <c r="P1222" s="22">
        <f>IFERROR(__xludf.DUMMYFUNCTION("IF(AND(Q1222="""", R1222=""""),
  """",
  IF(OR(ISBLANK(Q1222), ISBLANK(O1222)),
    """",
    IF(VALUE(SUBSTITUTE(INDEX(SPLIT(IF(ISBLANK(R1222), Q1222, R1222), "",""), 0, 1), "" Km"", """")) - O1222 = 0,
      """",
      VALUE(SUBSTITUTE(INDEX(SPLIT(IF("&amp;"ISBLANK(R1222), Q1222, R1222), "",""), 0, 1), "" Km"", """")) - O1222
    )
  )
)"),-38640.0)</f>
        <v>-38640</v>
      </c>
      <c r="Q1222" s="23" t="str">
        <f t="shared" si="4"/>
        <v>0 Km, 04.01.2026</v>
      </c>
      <c r="R1222" s="20"/>
      <c r="S1222" s="41">
        <v>5000.0</v>
      </c>
      <c r="T1222" s="13">
        <v>2.0</v>
      </c>
      <c r="U1222" s="13" t="s">
        <v>1088</v>
      </c>
      <c r="V1222" s="24"/>
      <c r="W1222" s="24" t="str">
        <f t="shared" si="46"/>
        <v>Завершена</v>
      </c>
      <c r="X1222" s="13" t="str">
        <f>IFERROR(__xludf.DUMMYFUNCTION("IF(C1222 = """", """", IF(REGEXMATCH(C1222, ""PCX|NMAX|ADV 150|CLICK""), ""скутер"", ""мото""))"),"мото")</f>
        <v>мото</v>
      </c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</row>
    <row r="1223" hidden="1">
      <c r="A1223" s="25" t="s">
        <v>24</v>
      </c>
      <c r="B1223" s="25" t="s">
        <v>25</v>
      </c>
      <c r="C1223" s="27" t="s">
        <v>56</v>
      </c>
      <c r="D1223" s="27" t="s">
        <v>2049</v>
      </c>
      <c r="E1223" s="43">
        <v>45965.0</v>
      </c>
      <c r="F1223" s="39">
        <v>45970.625</v>
      </c>
      <c r="G1223" s="30" t="str">
        <f t="shared" si="61"/>
        <v>5 Д</v>
      </c>
      <c r="H1223" s="31">
        <f t="shared" si="69"/>
        <v>359</v>
      </c>
      <c r="I1223" s="32" t="str">
        <f t="shared" si="65"/>
        <v/>
      </c>
      <c r="J1223" s="33" t="str">
        <f t="shared" si="25"/>
        <v/>
      </c>
      <c r="K1223" s="36">
        <v>1795.0</v>
      </c>
      <c r="L1223" s="33"/>
      <c r="M1223" s="36">
        <v>359.0</v>
      </c>
      <c r="N1223" s="34"/>
      <c r="O1223" s="35">
        <f>IFERROR(__xludf.DUMMYFUNCTION("IFERROR(
  VLOOKUP(C1223,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C1223
    ), 
    7, FALSE
  ), 
  """"
)
"),36400.0)</f>
        <v>36400</v>
      </c>
      <c r="P1223" s="35">
        <f>IFERROR(__xludf.DUMMYFUNCTION("IF(AND(Q1223="""", R1223=""""),
  """",
  IF(OR(ISBLANK(Q1223), ISBLANK(O1223)),
    """",
    IF(VALUE(SUBSTITUTE(INDEX(SPLIT(IF(ISBLANK(R1223), Q1223, R1223), "",""), 0, 1), "" Km"", """")) - O1223 = 0,
      """",
      VALUE(SUBSTITUTE(INDEX(SPLIT(IF("&amp;"ISBLANK(R1223), Q1223, R1223), "",""), 0, 1), "" Km"", """")) - O1223
    )
  )
)"),-36400.0)</f>
        <v>-36400</v>
      </c>
      <c r="Q1223" s="36" t="str">
        <f t="shared" si="4"/>
        <v>0 Km, 04.11.2025</v>
      </c>
      <c r="R1223" s="33"/>
      <c r="S1223" s="40">
        <v>3000.0</v>
      </c>
      <c r="T1223" s="25">
        <v>2.0</v>
      </c>
      <c r="U1223" s="25" t="s">
        <v>2050</v>
      </c>
      <c r="V1223" s="37"/>
      <c r="W1223" s="37" t="str">
        <f t="shared" si="46"/>
        <v>Завершена</v>
      </c>
      <c r="X1223" s="25" t="str">
        <f>IFERROR(__xludf.DUMMYFUNCTION("IF(C1223 = """", """", IF(REGEXMATCH(C1223, ""PCX|NMAX|ADV 150|CLICK""), ""скутер"", ""мото""))"),"скутер")</f>
        <v>скутер</v>
      </c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</row>
    <row r="1224" hidden="1">
      <c r="A1224" s="13" t="s">
        <v>24</v>
      </c>
      <c r="B1224" s="13" t="s">
        <v>25</v>
      </c>
      <c r="C1224" s="14" t="s">
        <v>468</v>
      </c>
      <c r="D1224" s="14" t="s">
        <v>2051</v>
      </c>
      <c r="E1224" s="48">
        <v>45975.0</v>
      </c>
      <c r="F1224" s="38">
        <v>45978.5</v>
      </c>
      <c r="G1224" s="17" t="str">
        <f t="shared" si="61"/>
        <v>3 Д</v>
      </c>
      <c r="H1224" s="18">
        <f t="shared" si="69"/>
        <v>981</v>
      </c>
      <c r="I1224" s="19" t="str">
        <f t="shared" si="65"/>
        <v/>
      </c>
      <c r="J1224" s="20" t="str">
        <f t="shared" si="25"/>
        <v/>
      </c>
      <c r="K1224" s="23">
        <v>2943.0</v>
      </c>
      <c r="L1224" s="20"/>
      <c r="M1224" s="23">
        <v>981.0</v>
      </c>
      <c r="N1224" s="21"/>
      <c r="O1224" s="22">
        <f>IFERROR(__xludf.DUMMYFUNCTION("IFERROR(
  VLOOKUP(C1224,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C1224
    ), 
    7, FALSE
  ), 
  """"
)
"),22200.0)</f>
        <v>22200</v>
      </c>
      <c r="P1224" s="22">
        <f>IFERROR(__xludf.DUMMYFUNCTION("IF(AND(Q1224="""", R1224=""""),
  """",
  IF(OR(ISBLANK(Q1224), ISBLANK(O1224)),
    """",
    IF(VALUE(SUBSTITUTE(INDEX(SPLIT(IF(ISBLANK(R1224), Q1224, R1224), "",""), 0, 1), "" Km"", """")) - O1224 = 0,
      """",
      VALUE(SUBSTITUTE(INDEX(SPLIT(IF("&amp;"ISBLANK(R1224), Q1224, R1224), "",""), 0, 1), "" Km"", """")) - O1224
    )
  )
)"),-22200.0)</f>
        <v>-22200</v>
      </c>
      <c r="Q1224" s="23" t="str">
        <f t="shared" si="4"/>
        <v>0 Km, 14.11.2025</v>
      </c>
      <c r="R1224" s="20"/>
      <c r="S1224" s="41">
        <v>15000.0</v>
      </c>
      <c r="T1224" s="13">
        <v>2.0</v>
      </c>
      <c r="U1224" s="13" t="s">
        <v>2052</v>
      </c>
      <c r="V1224" s="24"/>
      <c r="W1224" s="24" t="str">
        <f t="shared" si="46"/>
        <v>Завершена</v>
      </c>
      <c r="X1224" s="13" t="str">
        <f>IFERROR(__xludf.DUMMYFUNCTION("IF(C1224 = """", """", IF(REGEXMATCH(C1224, ""PCX|NMAX|ADV 150|CLICK""), ""скутер"", ""мото""))"),"мото")</f>
        <v>мото</v>
      </c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</row>
    <row r="1225" hidden="1">
      <c r="A1225" s="25" t="s">
        <v>24</v>
      </c>
      <c r="B1225" s="25" t="s">
        <v>25</v>
      </c>
      <c r="C1225" s="27" t="s">
        <v>173</v>
      </c>
      <c r="D1225" s="27" t="s">
        <v>2053</v>
      </c>
      <c r="E1225" s="43">
        <v>45976.0</v>
      </c>
      <c r="F1225" s="39">
        <v>45979.5</v>
      </c>
      <c r="G1225" s="30" t="str">
        <f t="shared" si="61"/>
        <v>3 Д</v>
      </c>
      <c r="H1225" s="31">
        <f t="shared" si="69"/>
        <v>531</v>
      </c>
      <c r="I1225" s="32" t="str">
        <f t="shared" si="65"/>
        <v/>
      </c>
      <c r="J1225" s="33" t="str">
        <f t="shared" si="25"/>
        <v/>
      </c>
      <c r="K1225" s="36">
        <v>1593.0</v>
      </c>
      <c r="L1225" s="33"/>
      <c r="M1225" s="36">
        <v>531.0</v>
      </c>
      <c r="N1225" s="34"/>
      <c r="O1225" s="35">
        <f>IFERROR(__xludf.DUMMYFUNCTION("IFERROR(
  VLOOKUP(C1225,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C1225
    ), 
    7, FALSE
  ), 
  """"
)
"),27000.0)</f>
        <v>27000</v>
      </c>
      <c r="P1225" s="35">
        <f>IFERROR(__xludf.DUMMYFUNCTION("IF(AND(Q1225="""", R1225=""""),
  """",
  IF(OR(ISBLANK(Q1225), ISBLANK(O1225)),
    """",
    IF(VALUE(SUBSTITUTE(INDEX(SPLIT(IF(ISBLANK(R1225), Q1225, R1225), "",""), 0, 1), "" Km"", """")) - O1225 = 0,
      """",
      VALUE(SUBSTITUTE(INDEX(SPLIT(IF("&amp;"ISBLANK(R1225), Q1225, R1225), "",""), 0, 1), "" Km"", """")) - O1225
    )
  )
)"),-27000.0)</f>
        <v>-27000</v>
      </c>
      <c r="Q1225" s="36" t="str">
        <f t="shared" si="4"/>
        <v>0 Km, 15.11.2025</v>
      </c>
      <c r="R1225" s="33"/>
      <c r="S1225" s="40">
        <v>7000.0</v>
      </c>
      <c r="T1225" s="25">
        <v>2.0</v>
      </c>
      <c r="U1225" s="25" t="s">
        <v>2054</v>
      </c>
      <c r="V1225" s="37"/>
      <c r="W1225" s="37" t="str">
        <f t="shared" si="46"/>
        <v>Завершена</v>
      </c>
      <c r="X1225" s="25" t="str">
        <f>IFERROR(__xludf.DUMMYFUNCTION("IF(C1225 = """", """", IF(REGEXMATCH(C1225, ""PCX|NMAX|ADV 150|CLICK""), ""скутер"", ""мото""))"),"мото")</f>
        <v>мото</v>
      </c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</row>
    <row r="1226" hidden="1">
      <c r="A1226" s="128" t="s">
        <v>24</v>
      </c>
      <c r="B1226" s="129" t="s">
        <v>25</v>
      </c>
      <c r="C1226" s="129" t="s">
        <v>106</v>
      </c>
      <c r="D1226" s="173" t="s">
        <v>1383</v>
      </c>
      <c r="E1226" s="48">
        <v>46011.0</v>
      </c>
      <c r="F1226" s="38">
        <v>46016.75</v>
      </c>
      <c r="G1226" s="89" t="str">
        <f t="shared" si="61"/>
        <v>5 Д</v>
      </c>
      <c r="H1226" s="174">
        <v>300.0</v>
      </c>
      <c r="I1226" s="19" t="str">
        <f t="shared" si="65"/>
        <v/>
      </c>
      <c r="J1226" s="20" t="str">
        <f t="shared" si="25"/>
        <v/>
      </c>
      <c r="K1226" s="134">
        <v>1200.0</v>
      </c>
      <c r="L1226" s="175">
        <v>5000.0</v>
      </c>
      <c r="M1226" s="97"/>
      <c r="N1226" s="176">
        <v>22000.0</v>
      </c>
      <c r="O1226" s="138">
        <f>IFERROR(__xludf.DUMMYFUNCTION("IFERROR(
  VLOOKUP(C1226,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C1226
    ), 
    7, FALSE
  ), 
  """"
)
"),26000.0)</f>
        <v>26000</v>
      </c>
      <c r="P1226" s="138">
        <f>IFERROR(__xludf.DUMMYFUNCTION("IF(AND(Q1226="""", R1226=""""),
  """",
  IF(OR(ISBLANK(Q1226), ISBLANK(O1226)),
    """",
    IF(VALUE(SUBSTITUTE(INDEX(SPLIT(IF(ISBLANK(R1226), Q1226, R1226), "",""), 0, 1), "" Km"", """")) - O1226 = 0,
      """",
      VALUE(SUBSTITUTE(INDEX(SPLIT(IF("&amp;"ISBLANK(R1226), Q1226, R1226), "",""), 0, 1), "" Km"", """")) - O1226
    )
  )
)"),-4000.0)</f>
        <v>-4000</v>
      </c>
      <c r="Q1226" s="135" t="str">
        <f t="shared" si="4"/>
        <v>22 000 Km, 20.12.2025</v>
      </c>
      <c r="R1226" s="139"/>
      <c r="S1226" s="132">
        <v>3000.0</v>
      </c>
      <c r="T1226" s="140">
        <v>2.0</v>
      </c>
      <c r="U1226" s="140"/>
      <c r="V1226" s="141"/>
      <c r="W1226" s="98" t="str">
        <f t="shared" si="46"/>
        <v>Завершена</v>
      </c>
      <c r="X1226" s="100" t="str">
        <f>IFERROR(__xludf.DUMMYFUNCTION("IF(C1226 = """", """", IF(REGEXMATCH(C1226, ""PCX|NMAX|ADV 150|CLICK""), ""скутер"", ""мото""))"),"скутер")</f>
        <v>скутер</v>
      </c>
      <c r="Y1226" s="101"/>
      <c r="Z1226" s="101"/>
      <c r="AA1226" s="101"/>
      <c r="AB1226" s="101"/>
      <c r="AC1226" s="101"/>
      <c r="AD1226" s="101"/>
      <c r="AE1226" s="101"/>
      <c r="AF1226" s="101"/>
      <c r="AG1226" s="101"/>
      <c r="AH1226" s="101"/>
      <c r="AI1226" s="101"/>
      <c r="AJ1226" s="101"/>
      <c r="AK1226" s="101"/>
      <c r="AL1226" s="101"/>
      <c r="AM1226" s="101"/>
    </row>
    <row r="1227" hidden="1">
      <c r="A1227" s="25" t="s">
        <v>24</v>
      </c>
      <c r="B1227" s="25" t="s">
        <v>25</v>
      </c>
      <c r="C1227" s="27" t="s">
        <v>151</v>
      </c>
      <c r="D1227" s="27" t="s">
        <v>1062</v>
      </c>
      <c r="E1227" s="43">
        <v>46018.0</v>
      </c>
      <c r="F1227" s="39">
        <v>46028.791666666664</v>
      </c>
      <c r="G1227" s="30" t="str">
        <f t="shared" si="61"/>
        <v>10 Д</v>
      </c>
      <c r="H1227" s="31">
        <f t="shared" ref="H1227:H2093" si="73">IF(L1227&lt;&gt;"", VALUE(L1227)/30, IF(M1227&lt;&gt;"", VALUE(M1227)/1, ""))
</f>
        <v>454</v>
      </c>
      <c r="I1227" s="32" t="str">
        <f t="shared" si="65"/>
        <v/>
      </c>
      <c r="J1227" s="33" t="str">
        <f t="shared" si="25"/>
        <v/>
      </c>
      <c r="K1227" s="36">
        <v>4500.0</v>
      </c>
      <c r="L1227" s="36"/>
      <c r="M1227" s="36">
        <v>454.0</v>
      </c>
      <c r="N1227" s="34"/>
      <c r="O1227" s="35">
        <f>IFERROR(__xludf.DUMMYFUNCTION("IFERROR(
  VLOOKUP(C1227,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C1227
    ), 
    7, FALSE
  ), 
  """"
)
"),35800.0)</f>
        <v>35800</v>
      </c>
      <c r="P1227" s="35">
        <f>IFERROR(__xludf.DUMMYFUNCTION("IF(AND(Q1227="""", R1227=""""),
  """",
  IF(OR(ISBLANK(Q1227), ISBLANK(O1227)),
    """",
    IF(VALUE(SUBSTITUTE(INDEX(SPLIT(IF(ISBLANK(R1227), Q1227, R1227), "",""), 0, 1), "" Km"", """")) - O1227 = 0,
      """",
      VALUE(SUBSTITUTE(INDEX(SPLIT(IF("&amp;"ISBLANK(R1227), Q1227, R1227), "",""), 0, 1), "" Km"", """")) - O1227
    )
  )
)"),-35800.0)</f>
        <v>-35800</v>
      </c>
      <c r="Q1227" s="36" t="str">
        <f t="shared" si="4"/>
        <v>0 Km, 27.12.2025</v>
      </c>
      <c r="R1227" s="33"/>
      <c r="S1227" s="40">
        <v>3000.0</v>
      </c>
      <c r="T1227" s="25">
        <v>2.0</v>
      </c>
      <c r="U1227" s="25" t="s">
        <v>516</v>
      </c>
      <c r="V1227" s="37"/>
      <c r="W1227" s="37" t="str">
        <f t="shared" si="46"/>
        <v>Завершена</v>
      </c>
      <c r="X1227" s="25" t="str">
        <f>IFERROR(__xludf.DUMMYFUNCTION("IF(C1227 = """", """", IF(REGEXMATCH(C1227, ""PCX|NMAX|ADV 150|CLICK""), ""скутер"", ""мото""))"),"скутер")</f>
        <v>скутер</v>
      </c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</row>
    <row r="1228" hidden="1">
      <c r="A1228" s="13" t="s">
        <v>24</v>
      </c>
      <c r="B1228" s="13" t="s">
        <v>25</v>
      </c>
      <c r="C1228" s="14" t="s">
        <v>92</v>
      </c>
      <c r="D1228" s="14" t="s">
        <v>2055</v>
      </c>
      <c r="E1228" s="48">
        <v>46038.0</v>
      </c>
      <c r="F1228" s="38">
        <v>46041.75</v>
      </c>
      <c r="G1228" s="17" t="str">
        <f t="shared" si="61"/>
        <v>3 Д</v>
      </c>
      <c r="H1228" s="18">
        <f t="shared" si="73"/>
        <v>868</v>
      </c>
      <c r="I1228" s="19" t="str">
        <f t="shared" si="65"/>
        <v/>
      </c>
      <c r="J1228" s="20" t="str">
        <f t="shared" si="25"/>
        <v/>
      </c>
      <c r="K1228" s="23">
        <f>868*3</f>
        <v>2604</v>
      </c>
      <c r="L1228" s="20"/>
      <c r="M1228" s="23">
        <v>868.0</v>
      </c>
      <c r="N1228" s="21"/>
      <c r="O1228" s="22">
        <f>IFERROR(__xludf.DUMMYFUNCTION("IFERROR(
  VLOOKUP(C1228,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C1228
    ), 
    7, FALSE
  ), 
  """"
)
"),23500.0)</f>
        <v>23500</v>
      </c>
      <c r="P1228" s="22">
        <f>IFERROR(__xludf.DUMMYFUNCTION("IF(AND(Q1228="""", R1228=""""),
  """",
  IF(OR(ISBLANK(Q1228), ISBLANK(O1228)),
    """",
    IF(VALUE(SUBSTITUTE(INDEX(SPLIT(IF(ISBLANK(R1228), Q1228, R1228), "",""), 0, 1), "" Km"", """")) - O1228 = 0,
      """",
      VALUE(SUBSTITUTE(INDEX(SPLIT(IF("&amp;"ISBLANK(R1228), Q1228, R1228), "",""), 0, 1), "" Km"", """")) - O1228
    )
  )
)"),-23500.0)</f>
        <v>-23500</v>
      </c>
      <c r="Q1228" s="23" t="str">
        <f t="shared" si="4"/>
        <v>0 Km, 16.01.2026</v>
      </c>
      <c r="R1228" s="20"/>
      <c r="S1228" s="41">
        <v>5000.0</v>
      </c>
      <c r="T1228" s="13">
        <v>2.0</v>
      </c>
      <c r="U1228" s="13" t="s">
        <v>2056</v>
      </c>
      <c r="V1228" s="24"/>
      <c r="W1228" s="24" t="str">
        <f t="shared" si="46"/>
        <v>Завершена</v>
      </c>
      <c r="X1228" s="13" t="str">
        <f>IFERROR(__xludf.DUMMYFUNCTION("IF(C1228 = """", """", IF(REGEXMATCH(C1228, ""PCX|NMAX|ADV 150|CLICK""), ""скутер"", ""мото""))"),"мото")</f>
        <v>мото</v>
      </c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</row>
    <row r="1229" hidden="1">
      <c r="A1229" s="25" t="s">
        <v>24</v>
      </c>
      <c r="B1229" s="25" t="s">
        <v>25</v>
      </c>
      <c r="C1229" s="27" t="s">
        <v>44</v>
      </c>
      <c r="D1229" s="27" t="s">
        <v>2057</v>
      </c>
      <c r="E1229" s="43">
        <v>46037.0</v>
      </c>
      <c r="F1229" s="39">
        <v>46041.541666666664</v>
      </c>
      <c r="G1229" s="30" t="str">
        <f t="shared" si="61"/>
        <v>4 Д</v>
      </c>
      <c r="H1229" s="31">
        <f t="shared" si="73"/>
        <v>494</v>
      </c>
      <c r="I1229" s="32" t="str">
        <f t="shared" si="65"/>
        <v/>
      </c>
      <c r="J1229" s="33" t="str">
        <f t="shared" si="25"/>
        <v/>
      </c>
      <c r="K1229" s="36">
        <v>18990.0</v>
      </c>
      <c r="L1229" s="36"/>
      <c r="M1229" s="36">
        <v>494.0</v>
      </c>
      <c r="N1229" s="34"/>
      <c r="O1229" s="35">
        <f>IFERROR(__xludf.DUMMYFUNCTION("IFERROR(
  VLOOKUP(C1229,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C1229
    ), 
    7, FALSE
  ), 
  """"
)
"),30800.0)</f>
        <v>30800</v>
      </c>
      <c r="P1229" s="35">
        <f>IFERROR(__xludf.DUMMYFUNCTION("IF(AND(Q1229="""", R1229=""""),
  """",
  IF(OR(ISBLANK(Q1229), ISBLANK(O1229)),
    """",
    IF(VALUE(SUBSTITUTE(INDEX(SPLIT(IF(ISBLANK(R1229), Q1229, R1229), "",""), 0, 1), "" Km"", """")) - O1229 = 0,
      """",
      VALUE(SUBSTITUTE(INDEX(SPLIT(IF("&amp;"ISBLANK(R1229), Q1229, R1229), "",""), 0, 1), "" Km"", """")) - O1229
    )
  )
)"),-30800.0)</f>
        <v>-30800</v>
      </c>
      <c r="Q1229" s="36" t="str">
        <f t="shared" si="4"/>
        <v>0 Km, 15.01.2026</v>
      </c>
      <c r="R1229" s="33"/>
      <c r="S1229" s="40">
        <v>3000.0</v>
      </c>
      <c r="T1229" s="25">
        <v>2.0</v>
      </c>
      <c r="U1229" s="177" t="s">
        <v>2058</v>
      </c>
      <c r="V1229" s="37"/>
      <c r="W1229" s="37" t="str">
        <f t="shared" si="46"/>
        <v>Завершена</v>
      </c>
      <c r="X1229" s="25" t="str">
        <f>IFERROR(__xludf.DUMMYFUNCTION("IF(C1229 = """", """", IF(REGEXMATCH(C1229, ""PCX|NMAX|ADV 150|CLICK""), ""скутер"", ""мото""))"),"скутер")</f>
        <v>скутер</v>
      </c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</row>
    <row r="1230" hidden="1">
      <c r="A1230" s="13" t="s">
        <v>24</v>
      </c>
      <c r="B1230" s="13" t="s">
        <v>25</v>
      </c>
      <c r="C1230" s="14" t="s">
        <v>64</v>
      </c>
      <c r="D1230" s="14" t="s">
        <v>2059</v>
      </c>
      <c r="E1230" s="48">
        <v>46044.0</v>
      </c>
      <c r="F1230" s="38">
        <v>46051.625</v>
      </c>
      <c r="G1230" s="17" t="str">
        <f t="shared" si="61"/>
        <v>7 Д</v>
      </c>
      <c r="H1230" s="18">
        <f t="shared" si="73"/>
        <v>817</v>
      </c>
      <c r="I1230" s="19" t="str">
        <f t="shared" si="65"/>
        <v/>
      </c>
      <c r="J1230" s="20" t="str">
        <f t="shared" si="25"/>
        <v/>
      </c>
      <c r="K1230" s="23">
        <v>5719.0</v>
      </c>
      <c r="L1230" s="20"/>
      <c r="M1230" s="23">
        <v>817.0</v>
      </c>
      <c r="N1230" s="21"/>
      <c r="O1230" s="22">
        <f>IFERROR(__xludf.DUMMYFUNCTION("IFERROR(
  VLOOKUP(C1230,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C1230
    ), 
    7, FALSE
  ), 
  """"
)
"),32600.0)</f>
        <v>32600</v>
      </c>
      <c r="P1230" s="22">
        <f>IFERROR(__xludf.DUMMYFUNCTION("IF(AND(Q1230="""", R1230=""""),
  """",
  IF(OR(ISBLANK(Q1230), ISBLANK(O1230)),
    """",
    IF(VALUE(SUBSTITUTE(INDEX(SPLIT(IF(ISBLANK(R1230), Q1230, R1230), "",""), 0, 1), "" Km"", """")) - O1230 = 0,
      """",
      VALUE(SUBSTITUTE(INDEX(SPLIT(IF("&amp;"ISBLANK(R1230), Q1230, R1230), "",""), 0, 1), "" Km"", """")) - O1230
    )
  )
)"),-32600.0)</f>
        <v>-32600</v>
      </c>
      <c r="Q1230" s="23" t="str">
        <f t="shared" si="4"/>
        <v>0 Km, 22.01.2026</v>
      </c>
      <c r="R1230" s="20"/>
      <c r="S1230" s="41">
        <v>5000.0</v>
      </c>
      <c r="T1230" s="13">
        <v>2.0</v>
      </c>
      <c r="U1230" s="13" t="s">
        <v>2060</v>
      </c>
      <c r="V1230" s="24"/>
      <c r="W1230" s="24" t="str">
        <f t="shared" si="46"/>
        <v>Завершена</v>
      </c>
      <c r="X1230" s="13" t="str">
        <f>IFERROR(__xludf.DUMMYFUNCTION("IF(C1230 = """", """", IF(REGEXMATCH(C1230, ""PCX|NMAX|ADV 150|CLICK""), ""скутер"", ""мото""))"),"мото")</f>
        <v>мото</v>
      </c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</row>
    <row r="1231" hidden="1">
      <c r="A1231" s="25" t="s">
        <v>24</v>
      </c>
      <c r="B1231" s="25" t="s">
        <v>25</v>
      </c>
      <c r="C1231" s="27" t="s">
        <v>946</v>
      </c>
      <c r="D1231" s="27" t="s">
        <v>2061</v>
      </c>
      <c r="E1231" s="43">
        <v>46052.0</v>
      </c>
      <c r="F1231" s="39">
        <v>46054.541666666664</v>
      </c>
      <c r="G1231" s="30" t="str">
        <f t="shared" si="61"/>
        <v>2 Д</v>
      </c>
      <c r="H1231" s="31">
        <f t="shared" si="73"/>
        <v>700</v>
      </c>
      <c r="I1231" s="32" t="str">
        <f t="shared" si="65"/>
        <v/>
      </c>
      <c r="J1231" s="33" t="str">
        <f t="shared" si="25"/>
        <v/>
      </c>
      <c r="K1231" s="36">
        <v>1500.0</v>
      </c>
      <c r="L1231" s="36"/>
      <c r="M1231" s="36">
        <v>700.0</v>
      </c>
      <c r="N1231" s="44"/>
      <c r="O1231" s="35">
        <f>IFERROR(__xludf.DUMMYFUNCTION("IFERROR(
  VLOOKUP(C1231,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C1231
    ), 
    7, FALSE
  ), 
  """"
)
"),20400.0)</f>
        <v>20400</v>
      </c>
      <c r="P1231" s="35">
        <f>IFERROR(__xludf.DUMMYFUNCTION("IF(AND(Q1231="""", R1231=""""),
  """",
  IF(OR(ISBLANK(Q1231), ISBLANK(O1231)),
    """",
    IF(VALUE(SUBSTITUTE(INDEX(SPLIT(IF(ISBLANK(R1231), Q1231, R1231), "",""), 0, 1), "" Km"", """")) - O1231 = 0,
      """",
      VALUE(SUBSTITUTE(INDEX(SPLIT(IF("&amp;"ISBLANK(R1231), Q1231, R1231), "",""), 0, 1), "" Km"", """")) - O1231
    )
  )
)"),-20400.0)</f>
        <v>-20400</v>
      </c>
      <c r="Q1231" s="36" t="str">
        <f t="shared" si="4"/>
        <v>0 Km, 30.01.2026</v>
      </c>
      <c r="R1231" s="33"/>
      <c r="S1231" s="40">
        <v>7000.0</v>
      </c>
      <c r="T1231" s="25">
        <v>2.0</v>
      </c>
      <c r="U1231" s="25" t="s">
        <v>1262</v>
      </c>
      <c r="V1231" s="37"/>
      <c r="W1231" s="37" t="str">
        <f t="shared" si="46"/>
        <v>Завершена</v>
      </c>
      <c r="X1231" s="25" t="str">
        <f>IFERROR(__xludf.DUMMYFUNCTION("IF(C1231 = """", """", IF(REGEXMATCH(C1231, ""PCX|NMAX|ADV 150|CLICK""), ""скутер"", ""мото""))"),"мото")</f>
        <v>мото</v>
      </c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</row>
    <row r="1232" hidden="1">
      <c r="A1232" s="13" t="s">
        <v>24</v>
      </c>
      <c r="B1232" s="13" t="s">
        <v>25</v>
      </c>
      <c r="C1232" s="14" t="s">
        <v>1065</v>
      </c>
      <c r="D1232" s="14" t="s">
        <v>2062</v>
      </c>
      <c r="E1232" s="48"/>
      <c r="F1232" s="38"/>
      <c r="G1232" s="17" t="str">
        <f t="shared" si="61"/>
        <v/>
      </c>
      <c r="H1232" s="18" t="str">
        <f t="shared" si="73"/>
        <v/>
      </c>
      <c r="I1232" s="19" t="str">
        <f t="shared" si="65"/>
        <v/>
      </c>
      <c r="J1232" s="20" t="str">
        <f t="shared" si="25"/>
        <v/>
      </c>
      <c r="K1232" s="23"/>
      <c r="L1232" s="23"/>
      <c r="M1232" s="20"/>
      <c r="N1232" s="21"/>
      <c r="O1232" s="22">
        <f>IFERROR(__xludf.DUMMYFUNCTION("IFERROR(
  VLOOKUP(C1232,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C1232
    ), 
    7, FALSE
  ), 
  """"
)
"),19130.0)</f>
        <v>19130</v>
      </c>
      <c r="P1232" s="22" t="str">
        <f>IFERROR(__xludf.DUMMYFUNCTION("IF(AND(Q1232="""", R1232=""""),
  """",
  IF(OR(ISBLANK(Q1232), ISBLANK(O1232)),
    """",
    IF(VALUE(SUBSTITUTE(INDEX(SPLIT(IF(ISBLANK(R1232), Q1232, R1232), "",""), 0, 1), "" Km"", """")) - O1232 = 0,
      """",
      VALUE(SUBSTITUTE(INDEX(SPLIT(IF("&amp;"ISBLANK(R1232), Q1232, R1232), "",""), 0, 1), "" Km"", """")) - O1232
    )
  )
)"),"")</f>
        <v/>
      </c>
      <c r="Q1232" s="23" t="str">
        <f t="shared" si="4"/>
        <v/>
      </c>
      <c r="R1232" s="20"/>
      <c r="S1232" s="41">
        <v>7000.0</v>
      </c>
      <c r="T1232" s="13">
        <v>4.0</v>
      </c>
      <c r="U1232" s="13" t="s">
        <v>2063</v>
      </c>
      <c r="V1232" s="24"/>
      <c r="W1232" s="24" t="str">
        <f t="shared" si="46"/>
        <v/>
      </c>
      <c r="X1232" s="13" t="str">
        <f>IFERROR(__xludf.DUMMYFUNCTION("IF(C1232 = """", """", IF(REGEXMATCH(C1232, ""PCX|NMAX|ADV 150|CLICK""), ""скутер"", ""мото""))"),"мото")</f>
        <v>мото</v>
      </c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</row>
    <row r="1233" hidden="1">
      <c r="A1233" s="25" t="s">
        <v>24</v>
      </c>
      <c r="B1233" s="25" t="s">
        <v>25</v>
      </c>
      <c r="C1233" s="27" t="s">
        <v>68</v>
      </c>
      <c r="D1233" s="27" t="s">
        <v>2064</v>
      </c>
      <c r="E1233" s="43">
        <v>46057.0</v>
      </c>
      <c r="F1233" s="39">
        <v>46062.75</v>
      </c>
      <c r="G1233" s="30" t="str">
        <f t="shared" si="61"/>
        <v>5 Д</v>
      </c>
      <c r="H1233" s="31">
        <f t="shared" si="73"/>
        <v>438</v>
      </c>
      <c r="I1233" s="32" t="str">
        <f t="shared" si="65"/>
        <v/>
      </c>
      <c r="J1233" s="33" t="str">
        <f t="shared" si="25"/>
        <v/>
      </c>
      <c r="K1233" s="36">
        <f>438*5</f>
        <v>2190</v>
      </c>
      <c r="L1233" s="33"/>
      <c r="M1233" s="36">
        <v>438.0</v>
      </c>
      <c r="N1233" s="34"/>
      <c r="O1233" s="35">
        <f>IFERROR(__xludf.DUMMYFUNCTION("IFERROR(
  VLOOKUP(C1233,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C1233
    ), 
    7, FALSE
  ), 
  """"
)
"),24094.0)</f>
        <v>24094</v>
      </c>
      <c r="P1233" s="35">
        <f>IFERROR(__xludf.DUMMYFUNCTION("IF(AND(Q1233="""", R1233=""""),
  """",
  IF(OR(ISBLANK(Q1233), ISBLANK(O1233)),
    """",
    IF(VALUE(SUBSTITUTE(INDEX(SPLIT(IF(ISBLANK(R1233), Q1233, R1233), "",""), 0, 1), "" Km"", """")) - O1233 = 0,
      """",
      VALUE(SUBSTITUTE(INDEX(SPLIT(IF("&amp;"ISBLANK(R1233), Q1233, R1233), "",""), 0, 1), "" Km"", """")) - O1233
    )
  )
)"),-24094.0)</f>
        <v>-24094</v>
      </c>
      <c r="Q1233" s="36" t="str">
        <f t="shared" si="4"/>
        <v>0 Km, 04.02.2026</v>
      </c>
      <c r="R1233" s="33"/>
      <c r="S1233" s="40" t="s">
        <v>515</v>
      </c>
      <c r="T1233" s="25">
        <v>2.0</v>
      </c>
      <c r="U1233" s="25" t="s">
        <v>2065</v>
      </c>
      <c r="V1233" s="37"/>
      <c r="W1233" s="37" t="str">
        <f t="shared" si="46"/>
        <v>Завершена</v>
      </c>
      <c r="X1233" s="25" t="str">
        <f>IFERROR(__xludf.DUMMYFUNCTION("IF(C1233 = """", """", IF(REGEXMATCH(C1233, ""PCX|NMAX|ADV 150|CLICK""), ""скутер"", ""мото""))"),"скутер")</f>
        <v>скутер</v>
      </c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</row>
    <row r="1234" hidden="1">
      <c r="A1234" s="13" t="s">
        <v>24</v>
      </c>
      <c r="B1234" s="13" t="s">
        <v>25</v>
      </c>
      <c r="C1234" s="14" t="s">
        <v>946</v>
      </c>
      <c r="D1234" s="14" t="s">
        <v>1042</v>
      </c>
      <c r="E1234" s="48">
        <v>46072.0</v>
      </c>
      <c r="F1234" s="38">
        <v>46082.5</v>
      </c>
      <c r="G1234" s="17" t="str">
        <f t="shared" si="61"/>
        <v>10 Д</v>
      </c>
      <c r="H1234" s="18">
        <f t="shared" si="73"/>
        <v>971</v>
      </c>
      <c r="I1234" s="19" t="str">
        <f t="shared" si="65"/>
        <v/>
      </c>
      <c r="J1234" s="20" t="str">
        <f t="shared" si="25"/>
        <v/>
      </c>
      <c r="K1234" s="23">
        <f>6797+798*4</f>
        <v>9989</v>
      </c>
      <c r="L1234" s="20"/>
      <c r="M1234" s="23">
        <v>971.0</v>
      </c>
      <c r="N1234" s="21"/>
      <c r="O1234" s="22">
        <f>IFERROR(__xludf.DUMMYFUNCTION("IFERROR(
  VLOOKUP(C1234,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C1234
    ), 
    7, FALSE
  ), 
  """"
)
"),20400.0)</f>
        <v>20400</v>
      </c>
      <c r="P1234" s="22">
        <f>IFERROR(__xludf.DUMMYFUNCTION("IF(AND(Q1234="""", R1234=""""),
  """",
  IF(OR(ISBLANK(Q1234), ISBLANK(O1234)),
    """",
    IF(VALUE(SUBSTITUTE(INDEX(SPLIT(IF(ISBLANK(R1234), Q1234, R1234), "",""), 0, 1), "" Km"", """")) - O1234 = 0,
      """",
      VALUE(SUBSTITUTE(INDEX(SPLIT(IF("&amp;"ISBLANK(R1234), Q1234, R1234), "",""), 0, 1), "" Km"", """")) - O1234
    )
  )
)"),-20400.0)</f>
        <v>-20400</v>
      </c>
      <c r="Q1234" s="23" t="str">
        <f t="shared" si="4"/>
        <v>0 Km, 19.02.2026</v>
      </c>
      <c r="R1234" s="20"/>
      <c r="S1234" s="41">
        <v>7000.0</v>
      </c>
      <c r="T1234" s="24"/>
      <c r="U1234" s="13" t="s">
        <v>2066</v>
      </c>
      <c r="V1234" s="24"/>
      <c r="W1234" s="24" t="str">
        <f t="shared" si="46"/>
        <v>Завершена</v>
      </c>
      <c r="X1234" s="13" t="str">
        <f>IFERROR(__xludf.DUMMYFUNCTION("IF(C1234 = """", """", IF(REGEXMATCH(C1234, ""PCX|NMAX|ADV 150|CLICK""), ""скутер"", ""мото""))"),"мото")</f>
        <v>мото</v>
      </c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</row>
    <row r="1235" hidden="1">
      <c r="A1235" s="25" t="s">
        <v>24</v>
      </c>
      <c r="B1235" s="25" t="s">
        <v>25</v>
      </c>
      <c r="C1235" s="27" t="s">
        <v>102</v>
      </c>
      <c r="D1235" s="27" t="s">
        <v>1144</v>
      </c>
      <c r="E1235" s="43">
        <v>46067.0</v>
      </c>
      <c r="F1235" s="39">
        <v>46068.458333333336</v>
      </c>
      <c r="G1235" s="30" t="str">
        <f t="shared" si="61"/>
        <v>1 Д</v>
      </c>
      <c r="H1235" s="31">
        <f t="shared" si="73"/>
        <v>1500</v>
      </c>
      <c r="I1235" s="32" t="str">
        <f t="shared" si="65"/>
        <v/>
      </c>
      <c r="J1235" s="33" t="str">
        <f t="shared" si="25"/>
        <v/>
      </c>
      <c r="K1235" s="36">
        <v>1500.0</v>
      </c>
      <c r="L1235" s="33"/>
      <c r="M1235" s="36">
        <v>1500.0</v>
      </c>
      <c r="N1235" s="34"/>
      <c r="O1235" s="35">
        <f>IFERROR(__xludf.DUMMYFUNCTION("IFERROR(
  VLOOKUP(C1235,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C1235
    ), 
    7, FALSE
  ), 
  """"
)
"),63700.0)</f>
        <v>63700</v>
      </c>
      <c r="P1235" s="35">
        <f>IFERROR(__xludf.DUMMYFUNCTION("IF(AND(Q1235="""", R1235=""""),
  """",
  IF(OR(ISBLANK(Q1235), ISBLANK(O1235)),
    """",
    IF(VALUE(SUBSTITUTE(INDEX(SPLIT(IF(ISBLANK(R1235), Q1235, R1235), "",""), 0, 1), "" Km"", """")) - O1235 = 0,
      """",
      VALUE(SUBSTITUTE(INDEX(SPLIT(IF("&amp;"ISBLANK(R1235), Q1235, R1235), "",""), 0, 1), "" Km"", """")) - O1235
    )
  )
)"),-63700.0)</f>
        <v>-63700</v>
      </c>
      <c r="Q1235" s="36" t="str">
        <f t="shared" si="4"/>
        <v>0 Km, 14.02.2026</v>
      </c>
      <c r="R1235" s="33"/>
      <c r="S1235" s="40">
        <v>20000.0</v>
      </c>
      <c r="T1235" s="25">
        <v>0.0</v>
      </c>
      <c r="U1235" s="25" t="s">
        <v>1151</v>
      </c>
      <c r="V1235" s="37"/>
      <c r="W1235" s="37" t="str">
        <f t="shared" si="46"/>
        <v>Завершена</v>
      </c>
      <c r="X1235" s="25" t="str">
        <f>IFERROR(__xludf.DUMMYFUNCTION("IF(C1235 = """", """", IF(REGEXMATCH(C1235, ""PCX|NMAX|ADV 150|CLICK""), ""скутер"", ""мото""))"),"мото")</f>
        <v>мото</v>
      </c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</row>
    <row r="1236" hidden="1">
      <c r="A1236" s="13" t="s">
        <v>1329</v>
      </c>
      <c r="B1236" s="13" t="s">
        <v>25</v>
      </c>
      <c r="C1236" s="14" t="s">
        <v>102</v>
      </c>
      <c r="D1236" s="14" t="s">
        <v>1144</v>
      </c>
      <c r="E1236" s="48">
        <v>46073.0</v>
      </c>
      <c r="F1236" s="38">
        <v>46074.458333333336</v>
      </c>
      <c r="G1236" s="17" t="str">
        <f t="shared" si="61"/>
        <v>1 Д</v>
      </c>
      <c r="H1236" s="18">
        <f t="shared" si="73"/>
        <v>1500</v>
      </c>
      <c r="I1236" s="19" t="str">
        <f t="shared" si="65"/>
        <v/>
      </c>
      <c r="J1236" s="20" t="str">
        <f t="shared" si="25"/>
        <v/>
      </c>
      <c r="K1236" s="23">
        <v>1500.0</v>
      </c>
      <c r="L1236" s="20"/>
      <c r="M1236" s="23">
        <v>1500.0</v>
      </c>
      <c r="N1236" s="21"/>
      <c r="O1236" s="22">
        <f>IFERROR(__xludf.DUMMYFUNCTION("IFERROR(
  VLOOKUP(C1236,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C1236
    ), 
    7, FALSE
  ), 
  """"
)
"),63700.0)</f>
        <v>63700</v>
      </c>
      <c r="P1236" s="22">
        <f>IFERROR(__xludf.DUMMYFUNCTION("IF(AND(Q1236="""", R1236=""""),
  """",
  IF(OR(ISBLANK(Q1236), ISBLANK(O1236)),
    """",
    IF(VALUE(SUBSTITUTE(INDEX(SPLIT(IF(ISBLANK(R1236), Q1236, R1236), "",""), 0, 1), "" Km"", """")) - O1236 = 0,
      """",
      VALUE(SUBSTITUTE(INDEX(SPLIT(IF("&amp;"ISBLANK(R1236), Q1236, R1236), "",""), 0, 1), "" Km"", """")) - O1236
    )
  )
)"),-63700.0)</f>
        <v>-63700</v>
      </c>
      <c r="Q1236" s="23" t="str">
        <f t="shared" si="4"/>
        <v>0 Km, 20.02.2026</v>
      </c>
      <c r="R1236" s="20"/>
      <c r="S1236" s="41">
        <v>20000.0</v>
      </c>
      <c r="T1236" s="13">
        <v>0.0</v>
      </c>
      <c r="U1236" s="13" t="s">
        <v>1145</v>
      </c>
      <c r="V1236" s="24"/>
      <c r="W1236" s="24" t="str">
        <f t="shared" si="46"/>
        <v>Завершена</v>
      </c>
      <c r="X1236" s="13" t="str">
        <f>IFERROR(__xludf.DUMMYFUNCTION("IF(C1236 = """", """", IF(REGEXMATCH(C1236, ""PCX|NMAX|ADV 150|CLICK""), ""скутер"", ""мото""))"),"мото")</f>
        <v>мото</v>
      </c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</row>
    <row r="1237" hidden="1">
      <c r="A1237" s="25" t="s">
        <v>24</v>
      </c>
      <c r="B1237" s="25" t="s">
        <v>25</v>
      </c>
      <c r="C1237" s="27" t="s">
        <v>916</v>
      </c>
      <c r="D1237" s="27" t="s">
        <v>2067</v>
      </c>
      <c r="E1237" s="43">
        <v>46073.0</v>
      </c>
      <c r="F1237" s="39">
        <v>46074.583333333336</v>
      </c>
      <c r="G1237" s="30" t="str">
        <f t="shared" si="61"/>
        <v>1 Д</v>
      </c>
      <c r="H1237" s="31">
        <f t="shared" si="73"/>
        <v>1500</v>
      </c>
      <c r="I1237" s="32" t="str">
        <f t="shared" si="65"/>
        <v/>
      </c>
      <c r="J1237" s="33" t="str">
        <f t="shared" si="25"/>
        <v/>
      </c>
      <c r="K1237" s="36">
        <v>1500.0</v>
      </c>
      <c r="L1237" s="33"/>
      <c r="M1237" s="36">
        <v>1500.0</v>
      </c>
      <c r="N1237" s="34"/>
      <c r="O1237" s="35">
        <f>IFERROR(__xludf.DUMMYFUNCTION("IFERROR(
  VLOOKUP(C1237,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C1237
    ), 
    7, FALSE
  ), 
  """"
)
"),29300.0)</f>
        <v>29300</v>
      </c>
      <c r="P1237" s="35">
        <f>IFERROR(__xludf.DUMMYFUNCTION("IF(AND(Q1237="""", R1237=""""),
  """",
  IF(OR(ISBLANK(Q1237), ISBLANK(O1237)),
    """",
    IF(VALUE(SUBSTITUTE(INDEX(SPLIT(IF(ISBLANK(R1237), Q1237, R1237), "",""), 0, 1), "" Km"", """")) - O1237 = 0,
      """",
      VALUE(SUBSTITUTE(INDEX(SPLIT(IF("&amp;"ISBLANK(R1237), Q1237, R1237), "",""), 0, 1), "" Km"", """")) - O1237
    )
  )
)"),-29300.0)</f>
        <v>-29300</v>
      </c>
      <c r="Q1237" s="36" t="str">
        <f t="shared" si="4"/>
        <v>0 Km, 20.02.2026</v>
      </c>
      <c r="R1237" s="33"/>
      <c r="S1237" s="40">
        <v>20000.0</v>
      </c>
      <c r="T1237" s="25">
        <v>0.0</v>
      </c>
      <c r="U1237" s="25" t="s">
        <v>2068</v>
      </c>
      <c r="V1237" s="37"/>
      <c r="W1237" s="37" t="str">
        <f t="shared" si="46"/>
        <v>Завершена</v>
      </c>
      <c r="X1237" s="25" t="str">
        <f>IFERROR(__xludf.DUMMYFUNCTION("IF(C1237 = """", """", IF(REGEXMATCH(C1237, ""PCX|NMAX|ADV 150|CLICK""), ""скутер"", ""мото""))"),"мото")</f>
        <v>мото</v>
      </c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</row>
    <row r="1238" hidden="1">
      <c r="A1238" s="13" t="s">
        <v>24</v>
      </c>
      <c r="B1238" s="13" t="s">
        <v>25</v>
      </c>
      <c r="C1238" s="14" t="s">
        <v>948</v>
      </c>
      <c r="D1238" s="14" t="s">
        <v>1217</v>
      </c>
      <c r="E1238" s="48">
        <v>46084.0</v>
      </c>
      <c r="F1238" s="38">
        <v>46090.666666666664</v>
      </c>
      <c r="G1238" s="17" t="str">
        <f t="shared" si="61"/>
        <v>6 Д</v>
      </c>
      <c r="H1238" s="18">
        <f t="shared" si="73"/>
        <v>700</v>
      </c>
      <c r="I1238" s="19" t="str">
        <f t="shared" si="65"/>
        <v/>
      </c>
      <c r="J1238" s="20" t="str">
        <f t="shared" si="25"/>
        <v/>
      </c>
      <c r="K1238" s="23">
        <v>4200.0</v>
      </c>
      <c r="L1238" s="20"/>
      <c r="M1238" s="23">
        <v>700.0</v>
      </c>
      <c r="N1238" s="21"/>
      <c r="O1238" s="22">
        <f>IFERROR(__xludf.DUMMYFUNCTION("IFERROR(
  VLOOKUP(C1238,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C1238
    ), 
    7, FALSE
  ), 
  """"
)
"),24553.0)</f>
        <v>24553</v>
      </c>
      <c r="P1238" s="22">
        <f>IFERROR(__xludf.DUMMYFUNCTION("IF(AND(Q1238="""", R1238=""""),
  """",
  IF(OR(ISBLANK(Q1238), ISBLANK(O1238)),
    """",
    IF(VALUE(SUBSTITUTE(INDEX(SPLIT(IF(ISBLANK(R1238), Q1238, R1238), "",""), 0, 1), "" Km"", """")) - O1238 = 0,
      """",
      VALUE(SUBSTITUTE(INDEX(SPLIT(IF("&amp;"ISBLANK(R1238), Q1238, R1238), "",""), 0, 1), "" Km"", """")) - O1238
    )
  )
)"),-24553.0)</f>
        <v>-24553</v>
      </c>
      <c r="Q1238" s="23" t="str">
        <f t="shared" si="4"/>
        <v>0 Km, 03.03.2026</v>
      </c>
      <c r="R1238" s="20"/>
      <c r="S1238" s="41">
        <v>7000.0</v>
      </c>
      <c r="T1238" s="13">
        <v>1.0</v>
      </c>
      <c r="U1238" s="13" t="s">
        <v>1218</v>
      </c>
      <c r="V1238" s="24"/>
      <c r="W1238" s="24" t="str">
        <f t="shared" si="46"/>
        <v>Завершена</v>
      </c>
      <c r="X1238" s="13" t="str">
        <f>IFERROR(__xludf.DUMMYFUNCTION("IF(C1238 = """", """", IF(REGEXMATCH(C1238, ""PCX|NMAX|ADV 150|CLICK""), ""скутер"", ""мото""))"),"мото")</f>
        <v>мото</v>
      </c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</row>
    <row r="1239" hidden="1">
      <c r="A1239" s="25" t="s">
        <v>24</v>
      </c>
      <c r="B1239" s="25" t="s">
        <v>25</v>
      </c>
      <c r="C1239" s="27" t="s">
        <v>102</v>
      </c>
      <c r="D1239" s="27" t="s">
        <v>1227</v>
      </c>
      <c r="E1239" s="43">
        <v>46085.0</v>
      </c>
      <c r="F1239" s="39">
        <v>46090.666666666664</v>
      </c>
      <c r="G1239" s="30" t="str">
        <f t="shared" si="61"/>
        <v>5 Д</v>
      </c>
      <c r="H1239" s="31">
        <f t="shared" si="73"/>
        <v>1618</v>
      </c>
      <c r="I1239" s="32" t="str">
        <f t="shared" si="65"/>
        <v/>
      </c>
      <c r="J1239" s="33" t="str">
        <f t="shared" si="25"/>
        <v/>
      </c>
      <c r="K1239" s="36">
        <v>8090.0</v>
      </c>
      <c r="L1239" s="33"/>
      <c r="M1239" s="36">
        <v>1618.0</v>
      </c>
      <c r="N1239" s="34"/>
      <c r="O1239" s="35">
        <f>IFERROR(__xludf.DUMMYFUNCTION("IFERROR(
  VLOOKUP(C1239,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C1239
    ), 
    7, FALSE
  ), 
  """"
)
"),63700.0)</f>
        <v>63700</v>
      </c>
      <c r="P1239" s="35">
        <f>IFERROR(__xludf.DUMMYFUNCTION("IF(AND(Q1239="""", R1239=""""),
  """",
  IF(OR(ISBLANK(Q1239), ISBLANK(O1239)),
    """",
    IF(VALUE(SUBSTITUTE(INDEX(SPLIT(IF(ISBLANK(R1239), Q1239, R1239), "",""), 0, 1), "" Km"", """")) - O1239 = 0,
      """",
      VALUE(SUBSTITUTE(INDEX(SPLIT(IF("&amp;"ISBLANK(R1239), Q1239, R1239), "",""), 0, 1), "" Km"", """")) - O1239
    )
  )
)"),-63700.0)</f>
        <v>-63700</v>
      </c>
      <c r="Q1239" s="36" t="str">
        <f t="shared" si="4"/>
        <v>0 Km, 04.03.2026</v>
      </c>
      <c r="R1239" s="33"/>
      <c r="S1239" s="40">
        <v>13000.0</v>
      </c>
      <c r="T1239" s="25">
        <v>2.0</v>
      </c>
      <c r="U1239" s="25" t="s">
        <v>1278</v>
      </c>
      <c r="V1239" s="37"/>
      <c r="W1239" s="37" t="str">
        <f t="shared" si="46"/>
        <v>Завершена</v>
      </c>
      <c r="X1239" s="25" t="str">
        <f>IFERROR(__xludf.DUMMYFUNCTION("IF(C1239 = """", """", IF(REGEXMATCH(C1239, ""PCX|NMAX|ADV 150|CLICK""), ""скутер"", ""мото""))"),"мото")</f>
        <v>мото</v>
      </c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</row>
    <row r="1240" hidden="1">
      <c r="A1240" s="13" t="s">
        <v>24</v>
      </c>
      <c r="B1240" s="13" t="s">
        <v>25</v>
      </c>
      <c r="C1240" s="14" t="s">
        <v>916</v>
      </c>
      <c r="D1240" s="14" t="s">
        <v>2069</v>
      </c>
      <c r="E1240" s="48">
        <v>46086.0</v>
      </c>
      <c r="F1240" s="38">
        <v>46091.458333333336</v>
      </c>
      <c r="G1240" s="17" t="str">
        <f t="shared" si="61"/>
        <v>5 Д</v>
      </c>
      <c r="H1240" s="18">
        <f t="shared" si="73"/>
        <v>1708</v>
      </c>
      <c r="I1240" s="19" t="str">
        <f t="shared" si="65"/>
        <v/>
      </c>
      <c r="J1240" s="20" t="str">
        <f t="shared" si="25"/>
        <v/>
      </c>
      <c r="K1240" s="23">
        <v>8540.0</v>
      </c>
      <c r="L1240" s="20"/>
      <c r="M1240" s="23">
        <v>1708.0</v>
      </c>
      <c r="N1240" s="21"/>
      <c r="O1240" s="22">
        <f>IFERROR(__xludf.DUMMYFUNCTION("IFERROR(
  VLOOKUP(C1240,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C1240
    ), 
    7, FALSE
  ), 
  """"
)
"),29300.0)</f>
        <v>29300</v>
      </c>
      <c r="P1240" s="22">
        <f>IFERROR(__xludf.DUMMYFUNCTION("IF(AND(Q1240="""", R1240=""""),
  """",
  IF(OR(ISBLANK(Q1240), ISBLANK(O1240)),
    """",
    IF(VALUE(SUBSTITUTE(INDEX(SPLIT(IF(ISBLANK(R1240), Q1240, R1240), "",""), 0, 1), "" Km"", """")) - O1240 = 0,
      """",
      VALUE(SUBSTITUTE(INDEX(SPLIT(IF("&amp;"ISBLANK(R1240), Q1240, R1240), "",""), 0, 1), "" Km"", """")) - O1240
    )
  )
)"),-29300.0)</f>
        <v>-29300</v>
      </c>
      <c r="Q1240" s="23" t="str">
        <f t="shared" si="4"/>
        <v>0 Km, 05.03.2026</v>
      </c>
      <c r="R1240" s="20"/>
      <c r="S1240" s="41">
        <v>20000.0</v>
      </c>
      <c r="T1240" s="13">
        <v>2.0</v>
      </c>
      <c r="U1240" s="13" t="s">
        <v>2070</v>
      </c>
      <c r="V1240" s="24"/>
      <c r="W1240" s="24" t="str">
        <f t="shared" si="46"/>
        <v>Завершена</v>
      </c>
      <c r="X1240" s="13" t="str">
        <f>IFERROR(__xludf.DUMMYFUNCTION("IF(C1240 = """", """", IF(REGEXMATCH(C1240, ""PCX|NMAX|ADV 150|CLICK""), ""скутер"", ""мото""))"),"мото")</f>
        <v>мото</v>
      </c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</row>
    <row r="1241" hidden="1">
      <c r="A1241" s="25" t="s">
        <v>24</v>
      </c>
      <c r="B1241" s="25" t="s">
        <v>25</v>
      </c>
      <c r="C1241" s="27" t="s">
        <v>979</v>
      </c>
      <c r="D1241" s="27" t="s">
        <v>2071</v>
      </c>
      <c r="E1241" s="43">
        <v>46086.0</v>
      </c>
      <c r="F1241" s="39">
        <v>46091.5</v>
      </c>
      <c r="G1241" s="30" t="str">
        <f t="shared" si="61"/>
        <v>5 Д</v>
      </c>
      <c r="H1241" s="31">
        <f t="shared" si="73"/>
        <v>898</v>
      </c>
      <c r="I1241" s="32" t="str">
        <f t="shared" si="65"/>
        <v/>
      </c>
      <c r="J1241" s="33" t="str">
        <f t="shared" si="25"/>
        <v/>
      </c>
      <c r="K1241" s="36">
        <v>4490.0</v>
      </c>
      <c r="L1241" s="33"/>
      <c r="M1241" s="36">
        <v>898.0</v>
      </c>
      <c r="N1241" s="34"/>
      <c r="O1241" s="35">
        <f>IFERROR(__xludf.DUMMYFUNCTION("IFERROR(
  VLOOKUP(C1241,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C1241
    ), 
    7, FALSE
  ), 
  """"
)
"),6800.0)</f>
        <v>6800</v>
      </c>
      <c r="P1241" s="35">
        <f>IFERROR(__xludf.DUMMYFUNCTION("IF(AND(Q1241="""", R1241=""""),
  """",
  IF(OR(ISBLANK(Q1241), ISBLANK(O1241)),
    """",
    IF(VALUE(SUBSTITUTE(INDEX(SPLIT(IF(ISBLANK(R1241), Q1241, R1241), "",""), 0, 1), "" Km"", """")) - O1241 = 0,
      """",
      VALUE(SUBSTITUTE(INDEX(SPLIT(IF("&amp;"ISBLANK(R1241), Q1241, R1241), "",""), 0, 1), "" Km"", """")) - O1241
    )
  )
)"),-6800.0)</f>
        <v>-6800</v>
      </c>
      <c r="Q1241" s="36" t="str">
        <f t="shared" si="4"/>
        <v>0 Km, 05.03.2026</v>
      </c>
      <c r="R1241" s="33"/>
      <c r="S1241" s="40">
        <v>7000.0</v>
      </c>
      <c r="T1241" s="25">
        <v>2.0</v>
      </c>
      <c r="U1241" s="25" t="s">
        <v>2072</v>
      </c>
      <c r="V1241" s="37"/>
      <c r="W1241" s="37" t="str">
        <f t="shared" si="46"/>
        <v>Завершена</v>
      </c>
      <c r="X1241" s="25" t="str">
        <f>IFERROR(__xludf.DUMMYFUNCTION("IF(C1241 = """", """", IF(REGEXMATCH(C1241, ""PCX|NMAX|ADV 150|CLICK""), ""скутер"", ""мото""))"),"мото")</f>
        <v>мото</v>
      </c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</row>
    <row r="1242" hidden="1">
      <c r="A1242" s="13" t="s">
        <v>24</v>
      </c>
      <c r="B1242" s="13" t="s">
        <v>25</v>
      </c>
      <c r="C1242" s="14" t="s">
        <v>98</v>
      </c>
      <c r="D1242" s="14" t="s">
        <v>2073</v>
      </c>
      <c r="E1242" s="48">
        <v>46087.0</v>
      </c>
      <c r="F1242" s="38">
        <v>46092.625</v>
      </c>
      <c r="G1242" s="17" t="str">
        <f t="shared" si="61"/>
        <v>5 Д</v>
      </c>
      <c r="H1242" s="18">
        <f t="shared" si="73"/>
        <v>404</v>
      </c>
      <c r="I1242" s="19" t="str">
        <f t="shared" si="65"/>
        <v/>
      </c>
      <c r="J1242" s="20" t="str">
        <f t="shared" si="25"/>
        <v/>
      </c>
      <c r="K1242" s="23">
        <v>2020.0</v>
      </c>
      <c r="L1242" s="20"/>
      <c r="M1242" s="23">
        <v>404.0</v>
      </c>
      <c r="N1242" s="21"/>
      <c r="O1242" s="22">
        <f>IFERROR(__xludf.DUMMYFUNCTION("IFERROR(
  VLOOKUP(C1242,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C1242
    ), 
    7, FALSE
  ), 
  """"
)
"),32200.0)</f>
        <v>32200</v>
      </c>
      <c r="P1242" s="22">
        <f>IFERROR(__xludf.DUMMYFUNCTION("IF(AND(Q1242="""", R1242=""""),
  """",
  IF(OR(ISBLANK(Q1242), ISBLANK(O1242)),
    """",
    IF(VALUE(SUBSTITUTE(INDEX(SPLIT(IF(ISBLANK(R1242), Q1242, R1242), "",""), 0, 1), "" Km"", """")) - O1242 = 0,
      """",
      VALUE(SUBSTITUTE(INDEX(SPLIT(IF("&amp;"ISBLANK(R1242), Q1242, R1242), "",""), 0, 1), "" Km"", """")) - O1242
    )
  )
)"),-32200.0)</f>
        <v>-32200</v>
      </c>
      <c r="Q1242" s="23" t="str">
        <f t="shared" si="4"/>
        <v>0 Km, 06.03.2026</v>
      </c>
      <c r="R1242" s="20"/>
      <c r="S1242" s="41">
        <v>3000.0</v>
      </c>
      <c r="T1242" s="13">
        <v>2.0</v>
      </c>
      <c r="U1242" s="13" t="s">
        <v>2074</v>
      </c>
      <c r="V1242" s="24"/>
      <c r="W1242" s="24" t="str">
        <f t="shared" si="46"/>
        <v>Завершена</v>
      </c>
      <c r="X1242" s="13" t="str">
        <f>IFERROR(__xludf.DUMMYFUNCTION("IF(C1242 = """", """", IF(REGEXMATCH(C1242, ""PCX|NMAX|ADV 150|CLICK""), ""скутер"", ""мото""))"),"скутер")</f>
        <v>скутер</v>
      </c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</row>
    <row r="1243" hidden="1">
      <c r="A1243" s="25" t="s">
        <v>24</v>
      </c>
      <c r="B1243" s="25" t="s">
        <v>25</v>
      </c>
      <c r="C1243" s="27" t="s">
        <v>102</v>
      </c>
      <c r="D1243" s="27" t="s">
        <v>1933</v>
      </c>
      <c r="E1243" s="43">
        <v>46098.0</v>
      </c>
      <c r="F1243" s="39">
        <v>46100.666666666664</v>
      </c>
      <c r="G1243" s="30" t="str">
        <f t="shared" si="61"/>
        <v>2 Д</v>
      </c>
      <c r="H1243" s="31">
        <f t="shared" si="73"/>
        <v>1440</v>
      </c>
      <c r="I1243" s="32" t="str">
        <f t="shared" si="65"/>
        <v/>
      </c>
      <c r="J1243" s="33" t="str">
        <f t="shared" si="25"/>
        <v/>
      </c>
      <c r="K1243" s="36">
        <v>2880.0</v>
      </c>
      <c r="L1243" s="33"/>
      <c r="M1243" s="36">
        <v>1440.0</v>
      </c>
      <c r="N1243" s="34"/>
      <c r="O1243" s="35">
        <f>IFERROR(__xludf.DUMMYFUNCTION("IFERROR(
  VLOOKUP(C1243,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C1243
    ), 
    7, FALSE
  ), 
  """"
)
"),63700.0)</f>
        <v>63700</v>
      </c>
      <c r="P1243" s="35">
        <f>IFERROR(__xludf.DUMMYFUNCTION("IF(AND(Q1243="""", R1243=""""),
  """",
  IF(OR(ISBLANK(Q1243), ISBLANK(O1243)),
    """",
    IF(VALUE(SUBSTITUTE(INDEX(SPLIT(IF(ISBLANK(R1243), Q1243, R1243), "",""), 0, 1), "" Km"", """")) - O1243 = 0,
      """",
      VALUE(SUBSTITUTE(INDEX(SPLIT(IF("&amp;"ISBLANK(R1243), Q1243, R1243), "",""), 0, 1), "" Km"", """")) - O1243
    )
  )
)"),-63700.0)</f>
        <v>-63700</v>
      </c>
      <c r="Q1243" s="36" t="str">
        <f t="shared" si="4"/>
        <v>0 Km, 17.03.2026</v>
      </c>
      <c r="R1243" s="33"/>
      <c r="S1243" s="40">
        <v>20000.0</v>
      </c>
      <c r="T1243" s="25">
        <v>2.0</v>
      </c>
      <c r="U1243" s="25" t="s">
        <v>2075</v>
      </c>
      <c r="V1243" s="37"/>
      <c r="W1243" s="37" t="str">
        <f t="shared" si="46"/>
        <v>Завершена</v>
      </c>
      <c r="X1243" s="25" t="str">
        <f>IFERROR(__xludf.DUMMYFUNCTION("IF(C1243 = """", """", IF(REGEXMATCH(C1243, ""PCX|NMAX|ADV 150|CLICK""), ""скутер"", ""мото""))"),"мото")</f>
        <v>мото</v>
      </c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</row>
    <row r="1244" hidden="1">
      <c r="A1244" s="13" t="s">
        <v>24</v>
      </c>
      <c r="B1244" s="13" t="s">
        <v>25</v>
      </c>
      <c r="C1244" s="14" t="s">
        <v>468</v>
      </c>
      <c r="D1244" s="14" t="s">
        <v>1933</v>
      </c>
      <c r="E1244" s="48">
        <v>46093.0</v>
      </c>
      <c r="F1244" s="38">
        <v>46098.666666666664</v>
      </c>
      <c r="G1244" s="17" t="str">
        <f t="shared" si="61"/>
        <v>5 Д</v>
      </c>
      <c r="H1244" s="18">
        <f t="shared" si="73"/>
        <v>873</v>
      </c>
      <c r="I1244" s="19" t="str">
        <f t="shared" si="65"/>
        <v/>
      </c>
      <c r="J1244" s="20" t="str">
        <f t="shared" si="25"/>
        <v/>
      </c>
      <c r="K1244" s="23">
        <f>873*5</f>
        <v>4365</v>
      </c>
      <c r="L1244" s="20"/>
      <c r="M1244" s="23">
        <v>873.0</v>
      </c>
      <c r="N1244" s="21"/>
      <c r="O1244" s="22">
        <f>IFERROR(__xludf.DUMMYFUNCTION("IFERROR(
  VLOOKUP(C1244,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C1244
    ), 
    7, FALSE
  ), 
  """"
)
"),22200.0)</f>
        <v>22200</v>
      </c>
      <c r="P1244" s="22">
        <f>IFERROR(__xludf.DUMMYFUNCTION("IF(AND(Q1244="""", R1244=""""),
  """",
  IF(OR(ISBLANK(Q1244), ISBLANK(O1244)),
    """",
    IF(VALUE(SUBSTITUTE(INDEX(SPLIT(IF(ISBLANK(R1244), Q1244, R1244), "",""), 0, 1), "" Km"", """")) - O1244 = 0,
      """",
      VALUE(SUBSTITUTE(INDEX(SPLIT(IF("&amp;"ISBLANK(R1244), Q1244, R1244), "",""), 0, 1), "" Km"", """")) - O1244
    )
  )
)"),-22200.0)</f>
        <v>-22200</v>
      </c>
      <c r="Q1244" s="23" t="str">
        <f t="shared" si="4"/>
        <v>0 Km, 12.03.2026</v>
      </c>
      <c r="R1244" s="20"/>
      <c r="S1244" s="41">
        <v>20000.0</v>
      </c>
      <c r="T1244" s="13">
        <v>2.0</v>
      </c>
      <c r="U1244" s="13" t="s">
        <v>2075</v>
      </c>
      <c r="V1244" s="24"/>
      <c r="W1244" s="24" t="str">
        <f t="shared" si="46"/>
        <v>Завершена</v>
      </c>
      <c r="X1244" s="13" t="str">
        <f>IFERROR(__xludf.DUMMYFUNCTION("IF(C1244 = """", """", IF(REGEXMATCH(C1244, ""PCX|NMAX|ADV 150|CLICK""), ""скутер"", ""мото""))"),"мото")</f>
        <v>мото</v>
      </c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</row>
    <row r="1245" hidden="1">
      <c r="A1245" s="25" t="s">
        <v>24</v>
      </c>
      <c r="B1245" s="25" t="s">
        <v>25</v>
      </c>
      <c r="C1245" s="27" t="s">
        <v>967</v>
      </c>
      <c r="D1245" s="27" t="s">
        <v>1068</v>
      </c>
      <c r="E1245" s="43">
        <v>46125.0</v>
      </c>
      <c r="F1245" s="39">
        <v>46137.541666666664</v>
      </c>
      <c r="G1245" s="30" t="str">
        <f t="shared" si="61"/>
        <v>12 Д</v>
      </c>
      <c r="H1245" s="31">
        <f t="shared" si="73"/>
        <v>1985</v>
      </c>
      <c r="I1245" s="32" t="str">
        <f t="shared" si="65"/>
        <v/>
      </c>
      <c r="J1245" s="33" t="str">
        <f t="shared" si="25"/>
        <v/>
      </c>
      <c r="K1245" s="36">
        <v>23820.0</v>
      </c>
      <c r="L1245" s="33"/>
      <c r="M1245" s="36">
        <v>1985.0</v>
      </c>
      <c r="N1245" s="34"/>
      <c r="O1245" s="35">
        <f>IFERROR(__xludf.DUMMYFUNCTION("IFERROR(
  VLOOKUP(C1245,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C1245
    ), 
    7, FALSE
  ), 
  """"
)
"),24800.0)</f>
        <v>24800</v>
      </c>
      <c r="P1245" s="35">
        <f>IFERROR(__xludf.DUMMYFUNCTION("IF(AND(Q1245="""", R1245=""""),
  """",
  IF(OR(ISBLANK(Q1245), ISBLANK(O1245)),
    """",
    IF(VALUE(SUBSTITUTE(INDEX(SPLIT(IF(ISBLANK(R1245), Q1245, R1245), "",""), 0, 1), "" Km"", """")) - O1245 = 0,
      """",
      VALUE(SUBSTITUTE(INDEX(SPLIT(IF("&amp;"ISBLANK(R1245), Q1245, R1245), "",""), 0, 1), "" Km"", """")) - O1245
    )
  )
)"),-24800.0)</f>
        <v>-24800</v>
      </c>
      <c r="Q1245" s="36" t="str">
        <f t="shared" si="4"/>
        <v>0 Km, 13.04.2026</v>
      </c>
      <c r="R1245" s="33"/>
      <c r="S1245" s="40" t="s">
        <v>2076</v>
      </c>
      <c r="T1245" s="25">
        <v>2.0</v>
      </c>
      <c r="U1245" s="25" t="s">
        <v>2077</v>
      </c>
      <c r="V1245" s="37"/>
      <c r="W1245" s="37" t="str">
        <f t="shared" si="46"/>
        <v>Завершена</v>
      </c>
      <c r="X1245" s="25" t="str">
        <f>IFERROR(__xludf.DUMMYFUNCTION("IF(C1245 = """", """", IF(REGEXMATCH(C1245, ""PCX|NMAX|ADV 150|CLICK""), ""скутер"", ""мото""))"),"мото")</f>
        <v>мото</v>
      </c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</row>
    <row r="1246" hidden="1">
      <c r="A1246" s="13" t="s">
        <v>24</v>
      </c>
      <c r="B1246" s="13" t="s">
        <v>25</v>
      </c>
      <c r="C1246" s="14" t="s">
        <v>56</v>
      </c>
      <c r="D1246" s="14" t="s">
        <v>2078</v>
      </c>
      <c r="E1246" s="48">
        <v>46103.0</v>
      </c>
      <c r="F1246" s="38">
        <v>46111.541666666664</v>
      </c>
      <c r="G1246" s="17" t="str">
        <f t="shared" si="61"/>
        <v>8 Д</v>
      </c>
      <c r="H1246" s="18">
        <f t="shared" si="73"/>
        <v>376</v>
      </c>
      <c r="I1246" s="19" t="str">
        <f t="shared" si="65"/>
        <v/>
      </c>
      <c r="J1246" s="20" t="str">
        <f t="shared" si="25"/>
        <v/>
      </c>
      <c r="K1246" s="23">
        <v>3008.0</v>
      </c>
      <c r="L1246" s="20"/>
      <c r="M1246" s="23">
        <v>376.0</v>
      </c>
      <c r="N1246" s="49">
        <v>70000.0</v>
      </c>
      <c r="O1246" s="22">
        <f>IFERROR(__xludf.DUMMYFUNCTION("IFERROR(
  VLOOKUP(C1246,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C1246
    ), 
    7, FALSE
  ), 
  """"
)
"),36400.0)</f>
        <v>36400</v>
      </c>
      <c r="P1246" s="22">
        <f>IFERROR(__xludf.DUMMYFUNCTION("IF(AND(Q1246="""", R1246=""""),
  """",
  IF(OR(ISBLANK(Q1246), ISBLANK(O1246)),
    """",
    IF(VALUE(SUBSTITUTE(INDEX(SPLIT(IF(ISBLANK(R1246), Q1246, R1246), "",""), 0, 1), "" Km"", """")) - O1246 = 0,
      """",
      VALUE(SUBSTITUTE(INDEX(SPLIT(IF("&amp;"ISBLANK(R1246), Q1246, R1246), "",""), 0, 1), "" Km"", """")) - O1246
    )
  )
)"),33600.0)</f>
        <v>33600</v>
      </c>
      <c r="Q1246" s="23" t="str">
        <f t="shared" si="4"/>
        <v>70 000 Km, 22.03.2026</v>
      </c>
      <c r="R1246" s="20"/>
      <c r="S1246" s="41">
        <v>3000.0</v>
      </c>
      <c r="T1246" s="13">
        <v>2.0</v>
      </c>
      <c r="U1246" s="13" t="s">
        <v>2079</v>
      </c>
      <c r="V1246" s="24"/>
      <c r="W1246" s="24" t="str">
        <f t="shared" si="46"/>
        <v>Завершена</v>
      </c>
      <c r="X1246" s="13" t="str">
        <f>IFERROR(__xludf.DUMMYFUNCTION("IF(C1246 = """", """", IF(REGEXMATCH(C1246, ""PCX|NMAX|ADV 150|CLICK""), ""скутер"", ""мото""))"),"скутер")</f>
        <v>скутер</v>
      </c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</row>
    <row r="1247" hidden="1">
      <c r="A1247" s="25" t="s">
        <v>24</v>
      </c>
      <c r="B1247" s="25" t="s">
        <v>25</v>
      </c>
      <c r="C1247" s="27" t="s">
        <v>73</v>
      </c>
      <c r="D1247" s="27" t="s">
        <v>2080</v>
      </c>
      <c r="E1247" s="43">
        <v>46103.0</v>
      </c>
      <c r="F1247" s="39">
        <v>46111.583333333336</v>
      </c>
      <c r="G1247" s="30" t="str">
        <f t="shared" si="61"/>
        <v>8 Д</v>
      </c>
      <c r="H1247" s="31">
        <f t="shared" si="73"/>
        <v>376</v>
      </c>
      <c r="I1247" s="32" t="str">
        <f t="shared" si="65"/>
        <v/>
      </c>
      <c r="J1247" s="33" t="str">
        <f t="shared" si="25"/>
        <v/>
      </c>
      <c r="K1247" s="36">
        <v>3008.0</v>
      </c>
      <c r="L1247" s="33"/>
      <c r="M1247" s="36">
        <v>376.0</v>
      </c>
      <c r="N1247" s="34"/>
      <c r="O1247" s="35">
        <f>IFERROR(__xludf.DUMMYFUNCTION("IFERROR(
  VLOOKUP(C1247,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C1247
    ), 
    7, FALSE
  ), 
  """"
)
"),31000.0)</f>
        <v>31000</v>
      </c>
      <c r="P1247" s="35">
        <f>IFERROR(__xludf.DUMMYFUNCTION("IF(AND(Q1247="""", R1247=""""),
  """",
  IF(OR(ISBLANK(Q1247), ISBLANK(O1247)),
    """",
    IF(VALUE(SUBSTITUTE(INDEX(SPLIT(IF(ISBLANK(R1247), Q1247, R1247), "",""), 0, 1), "" Km"", """")) - O1247 = 0,
      """",
      VALUE(SUBSTITUTE(INDEX(SPLIT(IF("&amp;"ISBLANK(R1247), Q1247, R1247), "",""), 0, 1), "" Km"", """")) - O1247
    )
  )
)"),-31000.0)</f>
        <v>-31000</v>
      </c>
      <c r="Q1247" s="36" t="str">
        <f t="shared" si="4"/>
        <v>0 Km, 22.03.2026</v>
      </c>
      <c r="R1247" s="33"/>
      <c r="S1247" s="40">
        <v>3000.0</v>
      </c>
      <c r="T1247" s="25">
        <v>1.0</v>
      </c>
      <c r="U1247" s="25" t="s">
        <v>2081</v>
      </c>
      <c r="V1247" s="37"/>
      <c r="W1247" s="37" t="str">
        <f t="shared" si="46"/>
        <v>Завершена</v>
      </c>
      <c r="X1247" s="25" t="str">
        <f>IFERROR(__xludf.DUMMYFUNCTION("IF(C1247 = """", """", IF(REGEXMATCH(C1247, ""PCX|NMAX|ADV 150|CLICK""), ""скутер"", ""мото""))"),"скутер")</f>
        <v>скутер</v>
      </c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</row>
    <row r="1248" hidden="1">
      <c r="A1248" s="13" t="s">
        <v>24</v>
      </c>
      <c r="B1248" s="13" t="s">
        <v>25</v>
      </c>
      <c r="C1248" s="14" t="s">
        <v>468</v>
      </c>
      <c r="D1248" s="14" t="s">
        <v>2082</v>
      </c>
      <c r="E1248" s="48">
        <v>46105.0</v>
      </c>
      <c r="F1248" s="38">
        <v>46111.541666666664</v>
      </c>
      <c r="G1248" s="17" t="str">
        <f t="shared" si="61"/>
        <v>6 Д</v>
      </c>
      <c r="H1248" s="18">
        <f t="shared" si="73"/>
        <v>883</v>
      </c>
      <c r="I1248" s="19" t="str">
        <f t="shared" si="65"/>
        <v/>
      </c>
      <c r="J1248" s="20" t="str">
        <f t="shared" si="25"/>
        <v/>
      </c>
      <c r="K1248" s="23">
        <v>5298.0</v>
      </c>
      <c r="L1248" s="20"/>
      <c r="M1248" s="23">
        <v>883.0</v>
      </c>
      <c r="N1248" s="21"/>
      <c r="O1248" s="22">
        <f>IFERROR(__xludf.DUMMYFUNCTION("IFERROR(
  VLOOKUP(C1248,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C1248
    ), 
    7, FALSE
  ), 
  """"
)
"),22200.0)</f>
        <v>22200</v>
      </c>
      <c r="P1248" s="22">
        <f>IFERROR(__xludf.DUMMYFUNCTION("IF(AND(Q1248="""", R1248=""""),
  """",
  IF(OR(ISBLANK(Q1248), ISBLANK(O1248)),
    """",
    IF(VALUE(SUBSTITUTE(INDEX(SPLIT(IF(ISBLANK(R1248), Q1248, R1248), "",""), 0, 1), "" Km"", """")) - O1248 = 0,
      """",
      VALUE(SUBSTITUTE(INDEX(SPLIT(IF("&amp;"ISBLANK(R1248), Q1248, R1248), "",""), 0, 1), "" Km"", """")) - O1248
    )
  )
)"),-22200.0)</f>
        <v>-22200</v>
      </c>
      <c r="Q1248" s="23" t="str">
        <f t="shared" si="4"/>
        <v>0 Km, 24.03.2026</v>
      </c>
      <c r="R1248" s="20"/>
      <c r="S1248" s="41" t="s">
        <v>600</v>
      </c>
      <c r="T1248" s="13">
        <v>2.0</v>
      </c>
      <c r="U1248" s="13" t="s">
        <v>2083</v>
      </c>
      <c r="V1248" s="24"/>
      <c r="W1248" s="24" t="str">
        <f t="shared" si="46"/>
        <v>Завершена</v>
      </c>
      <c r="X1248" s="13" t="str">
        <f>IFERROR(__xludf.DUMMYFUNCTION("IF(C1248 = """", """", IF(REGEXMATCH(C1248, ""PCX|NMAX|ADV 150|CLICK""), ""скутер"", ""мото""))"),"мото")</f>
        <v>мото</v>
      </c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</row>
    <row r="1249" hidden="1">
      <c r="A1249" s="25" t="s">
        <v>24</v>
      </c>
      <c r="B1249" s="25" t="s">
        <v>25</v>
      </c>
      <c r="C1249" s="27" t="s">
        <v>102</v>
      </c>
      <c r="D1249" s="27" t="s">
        <v>1297</v>
      </c>
      <c r="E1249" s="43">
        <v>46115.0</v>
      </c>
      <c r="F1249" s="39">
        <v>46118.541666666664</v>
      </c>
      <c r="G1249" s="30" t="str">
        <f t="shared" si="61"/>
        <v>3 Д</v>
      </c>
      <c r="H1249" s="31">
        <f t="shared" si="73"/>
        <v>1650</v>
      </c>
      <c r="I1249" s="32" t="str">
        <f t="shared" si="65"/>
        <v/>
      </c>
      <c r="J1249" s="33" t="str">
        <f t="shared" si="25"/>
        <v/>
      </c>
      <c r="K1249" s="36">
        <v>4950.0</v>
      </c>
      <c r="L1249" s="33"/>
      <c r="M1249" s="36">
        <v>1650.0</v>
      </c>
      <c r="N1249" s="34"/>
      <c r="O1249" s="35">
        <f>IFERROR(__xludf.DUMMYFUNCTION("IFERROR(
  VLOOKUP(C1249,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C1249
    ), 
    7, FALSE
  ), 
  """"
)
"),63700.0)</f>
        <v>63700</v>
      </c>
      <c r="P1249" s="35">
        <f>IFERROR(__xludf.DUMMYFUNCTION("IF(AND(Q1249="""", R1249=""""),
  """",
  IF(OR(ISBLANK(Q1249), ISBLANK(O1249)),
    """",
    IF(VALUE(SUBSTITUTE(INDEX(SPLIT(IF(ISBLANK(R1249), Q1249, R1249), "",""), 0, 1), "" Km"", """")) - O1249 = 0,
      """",
      VALUE(SUBSTITUTE(INDEX(SPLIT(IF("&amp;"ISBLANK(R1249), Q1249, R1249), "",""), 0, 1), "" Km"", """")) - O1249
    )
  )
)"),-63700.0)</f>
        <v>-63700</v>
      </c>
      <c r="Q1249" s="36" t="str">
        <f t="shared" si="4"/>
        <v>0 Km, 03.04.2026</v>
      </c>
      <c r="R1249" s="33"/>
      <c r="S1249" s="40">
        <v>20000.0</v>
      </c>
      <c r="T1249" s="25">
        <v>0.0</v>
      </c>
      <c r="U1249" s="25" t="s">
        <v>1298</v>
      </c>
      <c r="V1249" s="37"/>
      <c r="W1249" s="37" t="str">
        <f t="shared" si="46"/>
        <v>Завершена</v>
      </c>
      <c r="X1249" s="25" t="str">
        <f>IFERROR(__xludf.DUMMYFUNCTION("IF(C1249 = """", """", IF(REGEXMATCH(C1249, ""PCX|NMAX|ADV 150|CLICK""), ""скутер"", ""мото""))"),"мото")</f>
        <v>мото</v>
      </c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</row>
    <row r="1250" hidden="1">
      <c r="A1250" s="13" t="s">
        <v>24</v>
      </c>
      <c r="B1250" s="13" t="s">
        <v>25</v>
      </c>
      <c r="C1250" s="14" t="s">
        <v>914</v>
      </c>
      <c r="D1250" s="14" t="s">
        <v>2084</v>
      </c>
      <c r="E1250" s="48">
        <v>46116.0</v>
      </c>
      <c r="F1250" s="38">
        <v>46133.75</v>
      </c>
      <c r="G1250" s="17" t="str">
        <f t="shared" si="61"/>
        <v>17 Д</v>
      </c>
      <c r="H1250" s="18">
        <f t="shared" si="73"/>
        <v>1500</v>
      </c>
      <c r="I1250" s="19" t="str">
        <f t="shared" si="65"/>
        <v/>
      </c>
      <c r="J1250" s="20" t="str">
        <f t="shared" si="25"/>
        <v/>
      </c>
      <c r="K1250" s="23">
        <v>25500.0</v>
      </c>
      <c r="L1250" s="20"/>
      <c r="M1250" s="23">
        <v>1500.0</v>
      </c>
      <c r="N1250" s="21"/>
      <c r="O1250" s="22">
        <f>IFERROR(__xludf.DUMMYFUNCTION("IFERROR(
  VLOOKUP(C1250,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C1250
    ), 
    7, FALSE
  ), 
  """"
)
"),17900.0)</f>
        <v>17900</v>
      </c>
      <c r="P1250" s="22">
        <f>IFERROR(__xludf.DUMMYFUNCTION("IF(AND(Q1250="""", R1250=""""),
  """",
  IF(OR(ISBLANK(Q1250), ISBLANK(O1250)),
    """",
    IF(VALUE(SUBSTITUTE(INDEX(SPLIT(IF(ISBLANK(R1250), Q1250, R1250), "",""), 0, 1), "" Km"", """")) - O1250 = 0,
      """",
      VALUE(SUBSTITUTE(INDEX(SPLIT(IF("&amp;"ISBLANK(R1250), Q1250, R1250), "",""), 0, 1), "" Km"", """")) - O1250
    )
  )
)"),-17900.0)</f>
        <v>-17900</v>
      </c>
      <c r="Q1250" s="23" t="str">
        <f t="shared" si="4"/>
        <v>0 Km, 04.04.2026</v>
      </c>
      <c r="R1250" s="20"/>
      <c r="S1250" s="41">
        <v>25000.0</v>
      </c>
      <c r="T1250" s="13">
        <v>2.0</v>
      </c>
      <c r="U1250" s="13" t="s">
        <v>2085</v>
      </c>
      <c r="V1250" s="24"/>
      <c r="W1250" s="24" t="str">
        <f t="shared" si="46"/>
        <v>Завершена</v>
      </c>
      <c r="X1250" s="13" t="str">
        <f>IFERROR(__xludf.DUMMYFUNCTION("IF(C1250 = """", """", IF(REGEXMATCH(C1250, ""PCX|NMAX|ADV 150|CLICK""), ""скутер"", ""мото""))"),"мото")</f>
        <v>мото</v>
      </c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</row>
    <row r="1251" hidden="1">
      <c r="A1251" s="25" t="s">
        <v>24</v>
      </c>
      <c r="B1251" s="25" t="s">
        <v>25</v>
      </c>
      <c r="C1251" s="27" t="s">
        <v>48</v>
      </c>
      <c r="D1251" s="27" t="s">
        <v>1404</v>
      </c>
      <c r="E1251" s="43">
        <v>46117.0</v>
      </c>
      <c r="F1251" s="39">
        <v>46128.541666666664</v>
      </c>
      <c r="G1251" s="30" t="str">
        <f t="shared" si="61"/>
        <v>11 Д</v>
      </c>
      <c r="H1251" s="31">
        <f t="shared" si="73"/>
        <v>323</v>
      </c>
      <c r="I1251" s="32" t="str">
        <f t="shared" si="65"/>
        <v/>
      </c>
      <c r="J1251" s="33" t="str">
        <f t="shared" si="25"/>
        <v/>
      </c>
      <c r="K1251" s="36">
        <v>3553.0</v>
      </c>
      <c r="L1251" s="33"/>
      <c r="M1251" s="36">
        <v>323.0</v>
      </c>
      <c r="N1251" s="34"/>
      <c r="O1251" s="35">
        <f>IFERROR(__xludf.DUMMYFUNCTION("IFERROR(
  VLOOKUP(C1251,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C1251
    ), 
    7, FALSE
  ), 
  """"
)
"),35800.0)</f>
        <v>35800</v>
      </c>
      <c r="P1251" s="35"/>
      <c r="Q1251" s="36" t="str">
        <f t="shared" si="4"/>
        <v>0 Km, 05.04.2026</v>
      </c>
      <c r="R1251" s="33"/>
      <c r="S1251" s="40">
        <v>3000.0</v>
      </c>
      <c r="T1251" s="25">
        <v>2.0</v>
      </c>
      <c r="U1251" s="25" t="s">
        <v>2086</v>
      </c>
      <c r="V1251" s="37"/>
      <c r="W1251" s="37" t="str">
        <f t="shared" si="46"/>
        <v>Завершена</v>
      </c>
      <c r="X1251" s="25" t="str">
        <f>IFERROR(__xludf.DUMMYFUNCTION("IF(C1251 = """", """", IF(REGEXMATCH(C1251, ""PCX|NMAX|ADV 150|CLICK""), ""скутер"", ""мото""))"),"скутер")</f>
        <v>скутер</v>
      </c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</row>
    <row r="1252" hidden="1">
      <c r="A1252" s="13" t="s">
        <v>24</v>
      </c>
      <c r="B1252" s="13" t="s">
        <v>25</v>
      </c>
      <c r="C1252" s="14" t="s">
        <v>923</v>
      </c>
      <c r="D1252" s="14" t="s">
        <v>2087</v>
      </c>
      <c r="E1252" s="48">
        <v>46113.0</v>
      </c>
      <c r="F1252" s="38">
        <v>46119.541666666664</v>
      </c>
      <c r="G1252" s="17" t="str">
        <f t="shared" si="61"/>
        <v>6 Д</v>
      </c>
      <c r="H1252" s="18">
        <f t="shared" si="73"/>
        <v>750</v>
      </c>
      <c r="I1252" s="19" t="str">
        <f t="shared" si="65"/>
        <v/>
      </c>
      <c r="J1252" s="20" t="str">
        <f t="shared" si="25"/>
        <v/>
      </c>
      <c r="K1252" s="23">
        <v>5250.0</v>
      </c>
      <c r="L1252" s="20"/>
      <c r="M1252" s="23">
        <v>750.0</v>
      </c>
      <c r="N1252" s="21"/>
      <c r="O1252" s="22">
        <f>IFERROR(__xludf.DUMMYFUNCTION("IFERROR(
  VLOOKUP(C1252,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C1252
    ), 
    7, FALSE
  ), 
  """"
)
"),25378.0)</f>
        <v>25378</v>
      </c>
      <c r="P1252" s="22"/>
      <c r="Q1252" s="23" t="str">
        <f t="shared" si="4"/>
        <v>0 Km, 01.04.2026</v>
      </c>
      <c r="R1252" s="20"/>
      <c r="S1252" s="41">
        <v>7000.0</v>
      </c>
      <c r="T1252" s="13">
        <v>2.0</v>
      </c>
      <c r="U1252" s="13" t="s">
        <v>2088</v>
      </c>
      <c r="V1252" s="24"/>
      <c r="W1252" s="24" t="str">
        <f t="shared" si="46"/>
        <v>Завершена</v>
      </c>
      <c r="X1252" s="13" t="str">
        <f>IFERROR(__xludf.DUMMYFUNCTION("IF(C1252 = """", """", IF(REGEXMATCH(C1252, ""PCX|NMAX|ADV 150|CLICK""), ""скутер"", ""мото""))"),"мото")</f>
        <v>мото</v>
      </c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</row>
    <row r="1253" hidden="1">
      <c r="A1253" s="25" t="s">
        <v>24</v>
      </c>
      <c r="B1253" s="25" t="s">
        <v>25</v>
      </c>
      <c r="C1253" s="27" t="s">
        <v>68</v>
      </c>
      <c r="D1253" s="27" t="s">
        <v>2089</v>
      </c>
      <c r="E1253" s="43">
        <v>46124.0</v>
      </c>
      <c r="F1253" s="39">
        <v>46131.75</v>
      </c>
      <c r="G1253" s="30" t="str">
        <f t="shared" si="61"/>
        <v>7 Д</v>
      </c>
      <c r="H1253" s="31">
        <f t="shared" si="73"/>
        <v>337</v>
      </c>
      <c r="I1253" s="32" t="str">
        <f t="shared" si="65"/>
        <v/>
      </c>
      <c r="J1253" s="33" t="str">
        <f t="shared" si="25"/>
        <v/>
      </c>
      <c r="K1253" s="36">
        <v>2359.0</v>
      </c>
      <c r="L1253" s="33"/>
      <c r="M1253" s="36">
        <v>337.0</v>
      </c>
      <c r="N1253" s="34"/>
      <c r="O1253" s="35">
        <f>IFERROR(__xludf.DUMMYFUNCTION("IFERROR(
  VLOOKUP(C1253,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C1253
    ), 
    7, FALSE
  ), 
  """"
)
"),24094.0)</f>
        <v>24094</v>
      </c>
      <c r="P1253" s="35"/>
      <c r="Q1253" s="36" t="str">
        <f t="shared" si="4"/>
        <v>0 Km, 12.04.2026</v>
      </c>
      <c r="R1253" s="33"/>
      <c r="S1253" s="40">
        <v>3000.0</v>
      </c>
      <c r="T1253" s="25">
        <v>2.0</v>
      </c>
      <c r="U1253" s="25" t="s">
        <v>2090</v>
      </c>
      <c r="V1253" s="37"/>
      <c r="W1253" s="37" t="str">
        <f t="shared" si="46"/>
        <v>Завершена</v>
      </c>
      <c r="X1253" s="25" t="str">
        <f>IFERROR(__xludf.DUMMYFUNCTION("IF(C1253 = """", """", IF(REGEXMATCH(C1253, ""PCX|NMAX|ADV 150|CLICK""), ""скутер"", ""мото""))"),"скутер")</f>
        <v>скутер</v>
      </c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</row>
    <row r="1254" hidden="1">
      <c r="A1254" s="13" t="s">
        <v>24</v>
      </c>
      <c r="B1254" s="13" t="s">
        <v>25</v>
      </c>
      <c r="C1254" s="14" t="s">
        <v>44</v>
      </c>
      <c r="D1254" s="14" t="s">
        <v>872</v>
      </c>
      <c r="E1254" s="48">
        <v>46134.0</v>
      </c>
      <c r="F1254" s="38">
        <v>46138.625</v>
      </c>
      <c r="G1254" s="17" t="str">
        <f t="shared" si="61"/>
        <v>4 Д</v>
      </c>
      <c r="H1254" s="18">
        <f t="shared" si="73"/>
        <v>382</v>
      </c>
      <c r="I1254" s="19" t="str">
        <f t="shared" si="65"/>
        <v/>
      </c>
      <c r="J1254" s="20" t="str">
        <f t="shared" si="25"/>
        <v/>
      </c>
      <c r="K1254" s="23">
        <v>1528.0</v>
      </c>
      <c r="L1254" s="20"/>
      <c r="M1254" s="23">
        <v>382.0</v>
      </c>
      <c r="N1254" s="21"/>
      <c r="O1254" s="22">
        <f>IFERROR(__xludf.DUMMYFUNCTION("IFERROR(
  VLOOKUP(C1254,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C1254
    ), 
    7, FALSE
  ), 
  """"
)
"),30800.0)</f>
        <v>30800</v>
      </c>
      <c r="P1254" s="22"/>
      <c r="Q1254" s="23" t="str">
        <f t="shared" si="4"/>
        <v>0 Km, 22.04.2026</v>
      </c>
      <c r="R1254" s="20"/>
      <c r="S1254" s="41">
        <v>3000.0</v>
      </c>
      <c r="T1254" s="13">
        <v>1.0</v>
      </c>
      <c r="U1254" s="66" t="s">
        <v>2091</v>
      </c>
      <c r="V1254" s="24"/>
      <c r="W1254" s="24"/>
      <c r="X1254" s="13" t="str">
        <f>IFERROR(__xludf.DUMMYFUNCTION("IF(C1254 = """", """", IF(REGEXMATCH(C1254, ""PCX|NMAX|ADV 150|CLICK""), ""скутер"", ""мото""))"),"скутер")</f>
        <v>скутер</v>
      </c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</row>
    <row r="1255" hidden="1">
      <c r="A1255" s="25" t="s">
        <v>24</v>
      </c>
      <c r="B1255" s="25" t="s">
        <v>25</v>
      </c>
      <c r="C1255" s="27" t="s">
        <v>102</v>
      </c>
      <c r="D1255" s="27" t="s">
        <v>2092</v>
      </c>
      <c r="E1255" s="43">
        <v>46142.0</v>
      </c>
      <c r="F1255" s="39">
        <v>46145.5</v>
      </c>
      <c r="G1255" s="30" t="str">
        <f t="shared" si="61"/>
        <v>3 Д</v>
      </c>
      <c r="H1255" s="31">
        <f t="shared" si="73"/>
        <v>1618</v>
      </c>
      <c r="I1255" s="32" t="str">
        <f t="shared" si="65"/>
        <v/>
      </c>
      <c r="J1255" s="33" t="str">
        <f t="shared" si="25"/>
        <v/>
      </c>
      <c r="K1255" s="36">
        <v>4854.0</v>
      </c>
      <c r="L1255" s="33"/>
      <c r="M1255" s="36">
        <v>1618.0</v>
      </c>
      <c r="N1255" s="34"/>
      <c r="O1255" s="35">
        <f>IFERROR(__xludf.DUMMYFUNCTION("IFERROR(
  VLOOKUP(C1255,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C1255
    ), 
    7, FALSE
  ), 
  """"
)
"),63700.0)</f>
        <v>63700</v>
      </c>
      <c r="P1255" s="35"/>
      <c r="Q1255" s="36" t="str">
        <f t="shared" si="4"/>
        <v>0 Km, 30.04.2026</v>
      </c>
      <c r="R1255" s="33"/>
      <c r="S1255" s="40">
        <v>20000.0</v>
      </c>
      <c r="T1255" s="25">
        <v>1.0</v>
      </c>
      <c r="U1255" s="25" t="s">
        <v>2093</v>
      </c>
      <c r="V1255" s="37"/>
      <c r="W1255" s="37"/>
      <c r="X1255" s="25" t="str">
        <f>IFERROR(__xludf.DUMMYFUNCTION("IF(C1255 = """", """", IF(REGEXMATCH(C1255, ""PCX|NMAX|ADV 150|CLICK""), ""скутер"", ""мото""))"),"мото")</f>
        <v>мото</v>
      </c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</row>
    <row r="1256" hidden="1">
      <c r="A1256" s="13" t="s">
        <v>24</v>
      </c>
      <c r="B1256" s="13" t="s">
        <v>25</v>
      </c>
      <c r="C1256" s="14" t="s">
        <v>923</v>
      </c>
      <c r="D1256" s="14" t="s">
        <v>1052</v>
      </c>
      <c r="E1256" s="48">
        <v>46143.0</v>
      </c>
      <c r="F1256" s="38">
        <v>46152.708333333336</v>
      </c>
      <c r="G1256" s="17" t="str">
        <f t="shared" si="61"/>
        <v>9 Д</v>
      </c>
      <c r="H1256" s="18">
        <f t="shared" si="73"/>
        <v>650</v>
      </c>
      <c r="I1256" s="19" t="str">
        <f t="shared" si="65"/>
        <v/>
      </c>
      <c r="J1256" s="20" t="str">
        <f t="shared" si="25"/>
        <v/>
      </c>
      <c r="K1256" s="23">
        <f>5850+2800</f>
        <v>8650</v>
      </c>
      <c r="L1256" s="20"/>
      <c r="M1256" s="23">
        <v>650.0</v>
      </c>
      <c r="N1256" s="21"/>
      <c r="O1256" s="22">
        <f>IFERROR(__xludf.DUMMYFUNCTION("IFERROR(
  VLOOKUP(C1256,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C1256
    ), 
    7, FALSE
  ), 
  """"
)
"),25378.0)</f>
        <v>25378</v>
      </c>
      <c r="P1256" s="22"/>
      <c r="Q1256" s="23" t="str">
        <f t="shared" si="4"/>
        <v>0 Km, 01.05.2026</v>
      </c>
      <c r="R1256" s="20"/>
      <c r="S1256" s="18"/>
      <c r="T1256" s="13">
        <v>2.0</v>
      </c>
      <c r="U1256" s="13" t="s">
        <v>1455</v>
      </c>
      <c r="V1256" s="24"/>
      <c r="W1256" s="24"/>
      <c r="X1256" s="13" t="str">
        <f>IFERROR(__xludf.DUMMYFUNCTION("IF(C1256 = """", """", IF(REGEXMATCH(C1256, ""PCX|NMAX|ADV 150|CLICK""), ""скутер"", ""мото""))"),"мото")</f>
        <v>мото</v>
      </c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</row>
    <row r="1257" hidden="1">
      <c r="A1257" s="25" t="s">
        <v>24</v>
      </c>
      <c r="B1257" s="25" t="s">
        <v>25</v>
      </c>
      <c r="C1257" s="27" t="s">
        <v>914</v>
      </c>
      <c r="D1257" s="27" t="s">
        <v>1295</v>
      </c>
      <c r="E1257" s="43">
        <v>46146.0</v>
      </c>
      <c r="F1257" s="39">
        <v>46148.583333333336</v>
      </c>
      <c r="G1257" s="30" t="str">
        <f t="shared" si="61"/>
        <v>2 Д</v>
      </c>
      <c r="H1257" s="31">
        <f t="shared" si="73"/>
        <v>2000</v>
      </c>
      <c r="I1257" s="32" t="str">
        <f t="shared" si="65"/>
        <v/>
      </c>
      <c r="J1257" s="33" t="str">
        <f t="shared" si="25"/>
        <v/>
      </c>
      <c r="K1257" s="36">
        <v>6000.0</v>
      </c>
      <c r="L1257" s="33"/>
      <c r="M1257" s="36">
        <v>2000.0</v>
      </c>
      <c r="N1257" s="34"/>
      <c r="O1257" s="35">
        <f>IFERROR(__xludf.DUMMYFUNCTION("IFERROR(
  VLOOKUP(C1257,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C1257
    ), 
    7, FALSE
  ), 
  """"
)
"),17900.0)</f>
        <v>17900</v>
      </c>
      <c r="P1257" s="35"/>
      <c r="Q1257" s="36" t="str">
        <f t="shared" si="4"/>
        <v>0 Km, 04.05.2026</v>
      </c>
      <c r="R1257" s="33"/>
      <c r="S1257" s="40">
        <v>25000.0</v>
      </c>
      <c r="T1257" s="25">
        <v>2.0</v>
      </c>
      <c r="U1257" s="71" t="s">
        <v>1296</v>
      </c>
      <c r="V1257" s="37"/>
      <c r="W1257" s="37"/>
      <c r="X1257" s="25" t="str">
        <f>IFERROR(__xludf.DUMMYFUNCTION("IF(C1257 = """", """", IF(REGEXMATCH(C1257, ""PCX|NMAX|ADV 150|CLICK""), ""скутер"", ""мото""))"),"мото")</f>
        <v>мото</v>
      </c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</row>
    <row r="1258" hidden="1">
      <c r="A1258" s="13" t="s">
        <v>24</v>
      </c>
      <c r="B1258" s="13" t="s">
        <v>25</v>
      </c>
      <c r="C1258" s="14" t="s">
        <v>941</v>
      </c>
      <c r="D1258" s="14" t="s">
        <v>2094</v>
      </c>
      <c r="E1258" s="48">
        <v>46158.0</v>
      </c>
      <c r="F1258" s="38">
        <v>46166.458333333336</v>
      </c>
      <c r="G1258" s="17" t="str">
        <f t="shared" si="61"/>
        <v>8 Д</v>
      </c>
      <c r="H1258" s="18">
        <f t="shared" si="73"/>
        <v>835</v>
      </c>
      <c r="I1258" s="19" t="str">
        <f t="shared" si="65"/>
        <v/>
      </c>
      <c r="J1258" s="20" t="str">
        <f t="shared" si="25"/>
        <v/>
      </c>
      <c r="K1258" s="23">
        <v>6680.0</v>
      </c>
      <c r="L1258" s="20"/>
      <c r="M1258" s="23">
        <v>835.0</v>
      </c>
      <c r="N1258" s="21"/>
      <c r="O1258" s="22">
        <f>IFERROR(__xludf.DUMMYFUNCTION("IFERROR(
  VLOOKUP(C1258,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C1258
    ), 
    7, FALSE
  ), 
  """"
)
"),18302.0)</f>
        <v>18302</v>
      </c>
      <c r="P1258" s="22"/>
      <c r="Q1258" s="23" t="str">
        <f t="shared" si="4"/>
        <v>0 Km, 16.05.2026</v>
      </c>
      <c r="R1258" s="20"/>
      <c r="S1258" s="41">
        <v>7000.0</v>
      </c>
      <c r="T1258" s="13">
        <v>2.0</v>
      </c>
      <c r="U1258" s="13" t="s">
        <v>2095</v>
      </c>
      <c r="V1258" s="24"/>
      <c r="W1258" s="24"/>
      <c r="X1258" s="13" t="str">
        <f>IFERROR(__xludf.DUMMYFUNCTION("IF(C1258 = """", """", IF(REGEXMATCH(C1258, ""PCX|NMAX|ADV 150|CLICK""), ""скутер"", ""мото""))"),"мото")</f>
        <v>мото</v>
      </c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</row>
    <row r="1259" hidden="1">
      <c r="A1259" s="25" t="s">
        <v>24</v>
      </c>
      <c r="B1259" s="25" t="s">
        <v>25</v>
      </c>
      <c r="C1259" s="27" t="s">
        <v>438</v>
      </c>
      <c r="D1259" s="27" t="s">
        <v>2096</v>
      </c>
      <c r="E1259" s="43">
        <v>46159.0</v>
      </c>
      <c r="F1259" s="39">
        <v>46166.75</v>
      </c>
      <c r="G1259" s="30" t="str">
        <f t="shared" si="61"/>
        <v>7 Д</v>
      </c>
      <c r="H1259" s="31">
        <f t="shared" si="73"/>
        <v>950</v>
      </c>
      <c r="I1259" s="32" t="str">
        <f t="shared" si="65"/>
        <v/>
      </c>
      <c r="J1259" s="33" t="str">
        <f t="shared" si="25"/>
        <v/>
      </c>
      <c r="K1259" s="36">
        <v>6650.0</v>
      </c>
      <c r="L1259" s="33"/>
      <c r="M1259" s="36">
        <v>950.0</v>
      </c>
      <c r="N1259" s="34"/>
      <c r="O1259" s="35">
        <f>IFERROR(__xludf.DUMMYFUNCTION("IFERROR(
  VLOOKUP(C1259,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C1259
    ), 
    7, FALSE
  ), 
  """"
)
"),37823.0)</f>
        <v>37823</v>
      </c>
      <c r="P1259" s="35"/>
      <c r="Q1259" s="36" t="str">
        <f t="shared" si="4"/>
        <v>0 Km, 17.05.2026</v>
      </c>
      <c r="R1259" s="33"/>
      <c r="S1259" s="40" t="s">
        <v>515</v>
      </c>
      <c r="T1259" s="37"/>
      <c r="U1259" s="71" t="s">
        <v>2097</v>
      </c>
      <c r="V1259" s="37"/>
      <c r="W1259" s="37"/>
      <c r="X1259" s="25" t="str">
        <f>IFERROR(__xludf.DUMMYFUNCTION("IF(C1259 = """", """", IF(REGEXMATCH(C1259, ""PCX|NMAX|ADV 150|CLICK""), ""скутер"", ""мото""))"),"мото")</f>
        <v>мото</v>
      </c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</row>
    <row r="1260" hidden="1">
      <c r="A1260" s="13" t="s">
        <v>24</v>
      </c>
      <c r="B1260" s="13" t="s">
        <v>25</v>
      </c>
      <c r="C1260" s="14" t="s">
        <v>979</v>
      </c>
      <c r="D1260" s="14" t="s">
        <v>2098</v>
      </c>
      <c r="E1260" s="48">
        <v>46169.0</v>
      </c>
      <c r="F1260" s="38">
        <v>46176.541666666664</v>
      </c>
      <c r="G1260" s="17" t="str">
        <f t="shared" si="61"/>
        <v>7 Д</v>
      </c>
      <c r="H1260" s="18">
        <f t="shared" si="73"/>
        <v>700</v>
      </c>
      <c r="I1260" s="19" t="str">
        <f t="shared" si="65"/>
        <v/>
      </c>
      <c r="J1260" s="20" t="str">
        <f t="shared" si="25"/>
        <v/>
      </c>
      <c r="K1260" s="23">
        <v>5600.0</v>
      </c>
      <c r="L1260" s="20"/>
      <c r="M1260" s="23">
        <v>700.0</v>
      </c>
      <c r="N1260" s="21"/>
      <c r="O1260" s="22">
        <f>IFERROR(__xludf.DUMMYFUNCTION("IFERROR(
  VLOOKUP(C1260,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C1260
    ), 
    7, FALSE
  ), 
  """"
)
"),6800.0)</f>
        <v>6800</v>
      </c>
      <c r="P1260" s="22"/>
      <c r="Q1260" s="23" t="str">
        <f t="shared" si="4"/>
        <v>0 Km, 27.05.2026</v>
      </c>
      <c r="R1260" s="20"/>
      <c r="S1260" s="41" t="s">
        <v>600</v>
      </c>
      <c r="T1260" s="13">
        <v>1.0</v>
      </c>
      <c r="U1260" s="13" t="s">
        <v>2099</v>
      </c>
      <c r="V1260" s="24"/>
      <c r="W1260" s="24"/>
      <c r="X1260" s="13" t="str">
        <f>IFERROR(__xludf.DUMMYFUNCTION("IF(C1260 = """", """", IF(REGEXMATCH(C1260, ""PCX|NMAX|ADV 150|CLICK""), ""скутер"", ""мото""))"),"мото")</f>
        <v>мото</v>
      </c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</row>
    <row r="1261" hidden="1">
      <c r="A1261" s="25" t="s">
        <v>24</v>
      </c>
      <c r="B1261" s="25" t="s">
        <v>25</v>
      </c>
      <c r="C1261" s="27" t="s">
        <v>73</v>
      </c>
      <c r="D1261" s="27" t="s">
        <v>2100</v>
      </c>
      <c r="E1261" s="43">
        <v>46169.0</v>
      </c>
      <c r="F1261" s="39">
        <v>46174.583333333336</v>
      </c>
      <c r="G1261" s="30" t="str">
        <f t="shared" si="61"/>
        <v>5 Д</v>
      </c>
      <c r="H1261" s="31">
        <f t="shared" si="73"/>
        <v>300</v>
      </c>
      <c r="I1261" s="32" t="str">
        <f t="shared" si="65"/>
        <v/>
      </c>
      <c r="J1261" s="33" t="str">
        <f t="shared" si="25"/>
        <v/>
      </c>
      <c r="K1261" s="36">
        <v>1500.0</v>
      </c>
      <c r="L1261" s="33"/>
      <c r="M1261" s="36">
        <v>300.0</v>
      </c>
      <c r="N1261" s="34"/>
      <c r="O1261" s="35">
        <f>IFERROR(__xludf.DUMMYFUNCTION("IFERROR(
  VLOOKUP(C1261,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C1261
    ), 
    7, FALSE
  ), 
  """"
)
"),31000.0)</f>
        <v>31000</v>
      </c>
      <c r="P1261" s="35"/>
      <c r="Q1261" s="36" t="str">
        <f t="shared" si="4"/>
        <v>0 Km, 27.05.2026</v>
      </c>
      <c r="R1261" s="33"/>
      <c r="S1261" s="40">
        <v>3000.0</v>
      </c>
      <c r="T1261" s="25">
        <v>2.0</v>
      </c>
      <c r="U1261" s="25" t="s">
        <v>2101</v>
      </c>
      <c r="V1261" s="37"/>
      <c r="W1261" s="37"/>
      <c r="X1261" s="25" t="str">
        <f>IFERROR(__xludf.DUMMYFUNCTION("IF(C1261 = """", """", IF(REGEXMATCH(C1261, ""PCX|NMAX|ADV 150|CLICK""), ""скутер"", ""мото""))"),"скутер")</f>
        <v>скутер</v>
      </c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</row>
    <row r="1262" hidden="1">
      <c r="A1262" s="13" t="s">
        <v>24</v>
      </c>
      <c r="B1262" s="13" t="s">
        <v>25</v>
      </c>
      <c r="C1262" s="14" t="s">
        <v>438</v>
      </c>
      <c r="D1262" s="14" t="s">
        <v>770</v>
      </c>
      <c r="E1262" s="48">
        <v>46189.0</v>
      </c>
      <c r="F1262" s="38">
        <v>46224.458333333336</v>
      </c>
      <c r="G1262" s="17" t="str">
        <f t="shared" si="61"/>
        <v>35 Д</v>
      </c>
      <c r="H1262" s="18">
        <f t="shared" si="73"/>
        <v>700</v>
      </c>
      <c r="I1262" s="19" t="str">
        <f t="shared" si="65"/>
        <v/>
      </c>
      <c r="J1262" s="20" t="str">
        <f t="shared" si="25"/>
        <v/>
      </c>
      <c r="K1262" s="23">
        <v>3500.0</v>
      </c>
      <c r="L1262" s="23"/>
      <c r="M1262" s="23">
        <v>700.0</v>
      </c>
      <c r="N1262" s="21"/>
      <c r="O1262" s="22">
        <f>IFERROR(__xludf.DUMMYFUNCTION("IFERROR(
  VLOOKUP(C1262,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C1262
    ), 
    7, FALSE
  ), 
  """"
)
"),37823.0)</f>
        <v>37823</v>
      </c>
      <c r="P1262" s="22"/>
      <c r="Q1262" s="23" t="str">
        <f t="shared" si="4"/>
        <v>0 Km, 16.06.2026</v>
      </c>
      <c r="R1262" s="20"/>
      <c r="S1262" s="41">
        <v>20000.0</v>
      </c>
      <c r="T1262" s="13">
        <v>1.0</v>
      </c>
      <c r="U1262" s="13" t="s">
        <v>1776</v>
      </c>
      <c r="V1262" s="24"/>
      <c r="W1262" s="24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</row>
    <row r="1263" hidden="1">
      <c r="A1263" s="25" t="s">
        <v>24</v>
      </c>
      <c r="B1263" s="25" t="s">
        <v>25</v>
      </c>
      <c r="C1263" s="27" t="s">
        <v>461</v>
      </c>
      <c r="D1263" s="27" t="s">
        <v>2102</v>
      </c>
      <c r="E1263" s="43">
        <v>46190.0</v>
      </c>
      <c r="F1263" s="39">
        <v>46194.5</v>
      </c>
      <c r="G1263" s="30" t="str">
        <f t="shared" si="61"/>
        <v>4 Д</v>
      </c>
      <c r="H1263" s="31">
        <f t="shared" si="73"/>
        <v>650</v>
      </c>
      <c r="I1263" s="32" t="str">
        <f t="shared" si="65"/>
        <v/>
      </c>
      <c r="J1263" s="33" t="str">
        <f t="shared" si="25"/>
        <v/>
      </c>
      <c r="K1263" s="36">
        <v>2600.0</v>
      </c>
      <c r="L1263" s="33"/>
      <c r="M1263" s="36">
        <v>650.0</v>
      </c>
      <c r="N1263" s="34"/>
      <c r="O1263" s="35">
        <f>IFERROR(__xludf.DUMMYFUNCTION("IFERROR(
  VLOOKUP(C1263,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C1263
    ), 
    7, FALSE
  ), 
  """"
)
"),30500.0)</f>
        <v>30500</v>
      </c>
      <c r="P1263" s="35"/>
      <c r="Q1263" s="36" t="str">
        <f t="shared" si="4"/>
        <v>0 Km, 17.06.2026</v>
      </c>
      <c r="R1263" s="33"/>
      <c r="S1263" s="40">
        <v>15000.0</v>
      </c>
      <c r="T1263" s="25">
        <v>2.0</v>
      </c>
      <c r="U1263" s="71" t="s">
        <v>2103</v>
      </c>
      <c r="V1263" s="37"/>
      <c r="W1263" s="37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</row>
    <row r="1264" hidden="1">
      <c r="A1264" s="13" t="s">
        <v>24</v>
      </c>
      <c r="B1264" s="13" t="s">
        <v>25</v>
      </c>
      <c r="C1264" s="14" t="s">
        <v>102</v>
      </c>
      <c r="D1264" s="14" t="s">
        <v>1144</v>
      </c>
      <c r="E1264" s="48">
        <v>46193.0</v>
      </c>
      <c r="F1264" s="38">
        <v>46194.708333333336</v>
      </c>
      <c r="G1264" s="17" t="str">
        <f t="shared" si="61"/>
        <v>1 Д</v>
      </c>
      <c r="H1264" s="18">
        <f t="shared" si="73"/>
        <v>1400</v>
      </c>
      <c r="I1264" s="19" t="str">
        <f t="shared" si="65"/>
        <v/>
      </c>
      <c r="J1264" s="20" t="str">
        <f t="shared" si="25"/>
        <v/>
      </c>
      <c r="K1264" s="23">
        <v>1400.0</v>
      </c>
      <c r="L1264" s="20"/>
      <c r="M1264" s="23">
        <v>1400.0</v>
      </c>
      <c r="N1264" s="21"/>
      <c r="O1264" s="22">
        <f>IFERROR(__xludf.DUMMYFUNCTION("IFERROR(
  VLOOKUP(C1264,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C1264
    ), 
    7, FALSE
  ), 
  """"
)
"),63700.0)</f>
        <v>63700</v>
      </c>
      <c r="P1264" s="22"/>
      <c r="Q1264" s="23" t="str">
        <f t="shared" si="4"/>
        <v>0 Km, 20.06.2026</v>
      </c>
      <c r="R1264" s="20"/>
      <c r="S1264" s="41" t="s">
        <v>600</v>
      </c>
      <c r="T1264" s="13">
        <v>0.0</v>
      </c>
      <c r="U1264" s="13" t="s">
        <v>2104</v>
      </c>
      <c r="V1264" s="24"/>
      <c r="W1264" s="24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</row>
    <row r="1265" hidden="1">
      <c r="A1265" s="25" t="s">
        <v>24</v>
      </c>
      <c r="B1265" s="25" t="s">
        <v>25</v>
      </c>
      <c r="C1265" s="27" t="s">
        <v>948</v>
      </c>
      <c r="D1265" s="27" t="s">
        <v>2105</v>
      </c>
      <c r="E1265" s="43">
        <v>46201.0</v>
      </c>
      <c r="F1265" s="39">
        <v>46205.875</v>
      </c>
      <c r="G1265" s="30" t="str">
        <f t="shared" si="61"/>
        <v>4 Д</v>
      </c>
      <c r="H1265" s="31">
        <f t="shared" si="73"/>
        <v>700</v>
      </c>
      <c r="I1265" s="32" t="str">
        <f t="shared" si="65"/>
        <v/>
      </c>
      <c r="J1265" s="33" t="str">
        <f t="shared" si="25"/>
        <v/>
      </c>
      <c r="K1265" s="36">
        <v>3500.0</v>
      </c>
      <c r="L1265" s="33"/>
      <c r="M1265" s="36">
        <v>700.0</v>
      </c>
      <c r="N1265" s="34"/>
      <c r="O1265" s="35">
        <f>IFERROR(__xludf.DUMMYFUNCTION("IFERROR(
  VLOOKUP(C1265,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C1265
    ), 
    7, FALSE
  ), 
  """"
)
"),24553.0)</f>
        <v>24553</v>
      </c>
      <c r="P1265" s="35"/>
      <c r="Q1265" s="36" t="str">
        <f t="shared" si="4"/>
        <v>0 Km, 28.06.2026</v>
      </c>
      <c r="R1265" s="33"/>
      <c r="S1265" s="40">
        <v>5000.0</v>
      </c>
      <c r="T1265" s="25">
        <v>1.0</v>
      </c>
      <c r="U1265" s="25" t="s">
        <v>2106</v>
      </c>
      <c r="V1265" s="37"/>
      <c r="W1265" s="37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</row>
    <row r="1266" hidden="1">
      <c r="A1266" s="13" t="s">
        <v>24</v>
      </c>
      <c r="B1266" s="13" t="s">
        <v>25</v>
      </c>
      <c r="C1266" s="14" t="s">
        <v>974</v>
      </c>
      <c r="D1266" s="14" t="s">
        <v>1295</v>
      </c>
      <c r="E1266" s="48">
        <v>46201.0</v>
      </c>
      <c r="F1266" s="38">
        <v>46205.875</v>
      </c>
      <c r="G1266" s="17" t="str">
        <f t="shared" si="61"/>
        <v>4 Д</v>
      </c>
      <c r="H1266" s="18">
        <f t="shared" si="73"/>
        <v>700</v>
      </c>
      <c r="I1266" s="19" t="str">
        <f t="shared" si="65"/>
        <v/>
      </c>
      <c r="J1266" s="20" t="str">
        <f t="shared" si="25"/>
        <v/>
      </c>
      <c r="K1266" s="23">
        <v>3500.0</v>
      </c>
      <c r="L1266" s="20"/>
      <c r="M1266" s="23">
        <v>700.0</v>
      </c>
      <c r="N1266" s="21"/>
      <c r="O1266" s="22">
        <f>IFERROR(__xludf.DUMMYFUNCTION("IFERROR(
  VLOOKUP(C1266,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C1266
    ), 
    7, FALSE
  ), 
  """"
)
"),11800.0)</f>
        <v>11800</v>
      </c>
      <c r="P1266" s="22"/>
      <c r="Q1266" s="23" t="str">
        <f t="shared" si="4"/>
        <v>0 Km, 28.06.2026</v>
      </c>
      <c r="R1266" s="20"/>
      <c r="S1266" s="41">
        <v>5000.0</v>
      </c>
      <c r="T1266" s="13">
        <v>1.0</v>
      </c>
      <c r="U1266" s="13" t="s">
        <v>2107</v>
      </c>
      <c r="V1266" s="24"/>
      <c r="W1266" s="24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</row>
    <row r="1267" hidden="1">
      <c r="A1267" s="25" t="s">
        <v>24</v>
      </c>
      <c r="B1267" s="25" t="s">
        <v>25</v>
      </c>
      <c r="C1267" s="27" t="s">
        <v>941</v>
      </c>
      <c r="D1267" s="27" t="s">
        <v>1322</v>
      </c>
      <c r="E1267" s="43">
        <v>46167.0</v>
      </c>
      <c r="F1267" s="39">
        <v>46183.666666666664</v>
      </c>
      <c r="G1267" s="30" t="str">
        <f t="shared" si="61"/>
        <v>16 Д</v>
      </c>
      <c r="H1267" s="31">
        <f t="shared" si="73"/>
        <v>400</v>
      </c>
      <c r="I1267" s="32" t="str">
        <f t="shared" si="65"/>
        <v/>
      </c>
      <c r="J1267" s="33" t="str">
        <f t="shared" si="25"/>
        <v/>
      </c>
      <c r="K1267" s="36">
        <v>3200.0</v>
      </c>
      <c r="L1267" s="33"/>
      <c r="M1267" s="36">
        <v>400.0</v>
      </c>
      <c r="N1267" s="34"/>
      <c r="O1267" s="35">
        <f>IFERROR(__xludf.DUMMYFUNCTION("IFERROR(
  VLOOKUP(C1267,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C1267
    ), 
    7, FALSE
  ), 
  """"
)
"),18302.0)</f>
        <v>18302</v>
      </c>
      <c r="P1267" s="35">
        <f>IFERROR(__xludf.DUMMYFUNCTION("IF(AND(Q1267="""", R1267=""""),
  """",
  IF(OR(ISBLANK(Q1267), ISBLANK(O1267)),
    """",
    IF(VALUE(SUBSTITUTE(INDEX(SPLIT(IF(ISBLANK(R1267), Q1267, R1267), "",""), 0, 1), "" Km"", """")) - O1267 = 0,
      """",
      VALUE(SUBSTITUTE(INDEX(SPLIT(IF("&amp;"ISBLANK(R1267), Q1267, R1267), "",""), 0, 1), "" Km"", """")) - O1267
    )
  )
)"),-18302.0)</f>
        <v>-18302</v>
      </c>
      <c r="Q1267" s="36" t="str">
        <f t="shared" si="4"/>
        <v>0 Km, 25.05.2026</v>
      </c>
      <c r="R1267" s="33"/>
      <c r="S1267" s="40">
        <v>0.0</v>
      </c>
      <c r="T1267" s="25">
        <v>2.0</v>
      </c>
      <c r="U1267" s="25"/>
      <c r="V1267" s="37"/>
      <c r="W1267" s="37" t="str">
        <f>IF(F1267 = "", "", IF(NOW() &gt; (DATEVALUE(LEFT(F1267, SEARCH(",", F1267) - 2)) + TIMEVALUE(MID(F1267, SEARCH(",", F1267) + 2, 5))), "Завершена", "В аренде"))</f>
        <v>Завершена</v>
      </c>
      <c r="X1267" s="25" t="str">
        <f>IFERROR(__xludf.DUMMYFUNCTION("IF(C1267 = """", """", IF(REGEXMATCH(C1267, ""PCX|NMAX|ADV 150|CLICK""), ""скутер"", ""мото""))"),"мото")</f>
        <v>мото</v>
      </c>
      <c r="Y1267" s="25"/>
      <c r="Z1267" s="25"/>
      <c r="AA1267" s="25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</row>
    <row r="1268">
      <c r="A1268" s="24"/>
      <c r="B1268" s="13"/>
      <c r="C1268" s="62"/>
      <c r="D1268" s="14"/>
      <c r="E1268" s="15"/>
      <c r="F1268" s="16"/>
      <c r="G1268" s="17" t="str">
        <f t="shared" si="61"/>
        <v/>
      </c>
      <c r="H1268" s="18" t="str">
        <f t="shared" si="73"/>
        <v/>
      </c>
      <c r="I1268" s="19" t="str">
        <f t="shared" si="65"/>
        <v/>
      </c>
      <c r="J1268" s="20" t="str">
        <f t="shared" si="25"/>
        <v/>
      </c>
      <c r="K1268" s="20"/>
      <c r="L1268" s="20"/>
      <c r="M1268" s="20"/>
      <c r="N1268" s="21"/>
      <c r="O1268" s="22" t="str">
        <f>IFERROR(__xludf.DUMMYFUNCTION("IFERROR(
  VLOOKUP(C1268,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C1268
    ), 
    7, FALSE
  ), 
  """"
)
"),"")</f>
        <v/>
      </c>
      <c r="P1268" s="22"/>
      <c r="Q1268" s="23" t="str">
        <f t="shared" si="4"/>
        <v/>
      </c>
      <c r="R1268" s="20"/>
      <c r="S1268" s="18"/>
      <c r="T1268" s="24"/>
      <c r="U1268" s="24"/>
      <c r="V1268" s="24"/>
      <c r="W1268" s="24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</row>
    <row r="1269">
      <c r="A1269" s="37"/>
      <c r="B1269" s="25"/>
      <c r="C1269" s="60"/>
      <c r="D1269" s="27"/>
      <c r="E1269" s="28"/>
      <c r="F1269" s="29"/>
      <c r="G1269" s="30" t="str">
        <f t="shared" si="61"/>
        <v/>
      </c>
      <c r="H1269" s="31" t="str">
        <f t="shared" si="73"/>
        <v/>
      </c>
      <c r="I1269" s="32" t="str">
        <f t="shared" si="65"/>
        <v/>
      </c>
      <c r="J1269" s="33" t="str">
        <f t="shared" si="25"/>
        <v/>
      </c>
      <c r="K1269" s="33"/>
      <c r="L1269" s="33"/>
      <c r="M1269" s="33"/>
      <c r="N1269" s="34"/>
      <c r="O1269" s="35" t="str">
        <f>IFERROR(__xludf.DUMMYFUNCTION("IFERROR(
  VLOOKUP(C1269,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C1269
    ), 
    7, FALSE
  ), 
  """"
)
"),"")</f>
        <v/>
      </c>
      <c r="P1269" s="35"/>
      <c r="Q1269" s="36" t="str">
        <f t="shared" si="4"/>
        <v/>
      </c>
      <c r="R1269" s="33"/>
      <c r="S1269" s="31"/>
      <c r="T1269" s="37"/>
      <c r="U1269" s="37"/>
      <c r="V1269" s="37"/>
      <c r="W1269" s="37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</row>
    <row r="1270">
      <c r="A1270" s="24"/>
      <c r="B1270" s="13"/>
      <c r="C1270" s="62"/>
      <c r="D1270" s="14"/>
      <c r="E1270" s="15"/>
      <c r="F1270" s="16"/>
      <c r="G1270" s="17" t="str">
        <f t="shared" si="61"/>
        <v/>
      </c>
      <c r="H1270" s="18" t="str">
        <f t="shared" si="73"/>
        <v/>
      </c>
      <c r="I1270" s="19" t="str">
        <f t="shared" si="65"/>
        <v/>
      </c>
      <c r="J1270" s="20" t="str">
        <f t="shared" si="25"/>
        <v/>
      </c>
      <c r="K1270" s="20"/>
      <c r="L1270" s="20"/>
      <c r="M1270" s="20"/>
      <c r="N1270" s="21"/>
      <c r="O1270" s="22" t="str">
        <f>IFERROR(__xludf.DUMMYFUNCTION("IFERROR(
  VLOOKUP(C1270,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C1270
    ), 
    7, FALSE
  ), 
  """"
)
"),"")</f>
        <v/>
      </c>
      <c r="P1270" s="22"/>
      <c r="Q1270" s="23" t="str">
        <f t="shared" si="4"/>
        <v/>
      </c>
      <c r="R1270" s="20"/>
      <c r="S1270" s="18"/>
      <c r="T1270" s="24"/>
      <c r="U1270" s="24"/>
      <c r="V1270" s="24"/>
      <c r="W1270" s="24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</row>
    <row r="1271">
      <c r="A1271" s="37"/>
      <c r="B1271" s="25"/>
      <c r="C1271" s="60"/>
      <c r="D1271" s="27"/>
      <c r="E1271" s="28"/>
      <c r="F1271" s="29"/>
      <c r="G1271" s="30" t="str">
        <f t="shared" si="61"/>
        <v/>
      </c>
      <c r="H1271" s="31" t="str">
        <f t="shared" si="73"/>
        <v/>
      </c>
      <c r="I1271" s="32" t="str">
        <f t="shared" si="65"/>
        <v/>
      </c>
      <c r="J1271" s="33" t="str">
        <f t="shared" si="25"/>
        <v/>
      </c>
      <c r="K1271" s="33"/>
      <c r="L1271" s="33"/>
      <c r="M1271" s="33"/>
      <c r="N1271" s="34"/>
      <c r="O1271" s="35" t="str">
        <f>IFERROR(__xludf.DUMMYFUNCTION("IFERROR(
  VLOOKUP(C1271,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C1271
    ), 
    7, FALSE
  ), 
  """"
)
"),"")</f>
        <v/>
      </c>
      <c r="P1271" s="35"/>
      <c r="Q1271" s="36" t="str">
        <f t="shared" si="4"/>
        <v/>
      </c>
      <c r="R1271" s="33"/>
      <c r="S1271" s="31"/>
      <c r="T1271" s="37"/>
      <c r="U1271" s="37"/>
      <c r="V1271" s="37"/>
      <c r="W1271" s="37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</row>
    <row r="1272">
      <c r="A1272" s="24"/>
      <c r="B1272" s="13"/>
      <c r="C1272" s="62"/>
      <c r="D1272" s="14"/>
      <c r="E1272" s="15"/>
      <c r="F1272" s="16"/>
      <c r="G1272" s="17" t="str">
        <f t="shared" si="61"/>
        <v/>
      </c>
      <c r="H1272" s="18" t="str">
        <f t="shared" si="73"/>
        <v/>
      </c>
      <c r="I1272" s="19" t="str">
        <f t="shared" si="65"/>
        <v/>
      </c>
      <c r="J1272" s="20" t="str">
        <f t="shared" si="25"/>
        <v/>
      </c>
      <c r="K1272" s="20"/>
      <c r="L1272" s="20"/>
      <c r="M1272" s="20"/>
      <c r="N1272" s="21"/>
      <c r="O1272" s="22" t="str">
        <f>IFERROR(__xludf.DUMMYFUNCTION("IFERROR(
  VLOOKUP(C1272,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C1272
    ), 
    7, FALSE
  ), 
  """"
)
"),"")</f>
        <v/>
      </c>
      <c r="P1272" s="22"/>
      <c r="Q1272" s="23" t="str">
        <f t="shared" si="4"/>
        <v/>
      </c>
      <c r="R1272" s="20"/>
      <c r="S1272" s="18"/>
      <c r="T1272" s="24"/>
      <c r="U1272" s="24"/>
      <c r="V1272" s="24"/>
      <c r="W1272" s="24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</row>
    <row r="1273">
      <c r="A1273" s="37"/>
      <c r="B1273" s="25"/>
      <c r="C1273" s="60"/>
      <c r="D1273" s="27"/>
      <c r="E1273" s="28"/>
      <c r="F1273" s="29"/>
      <c r="G1273" s="30" t="str">
        <f t="shared" si="61"/>
        <v/>
      </c>
      <c r="H1273" s="31" t="str">
        <f t="shared" si="73"/>
        <v/>
      </c>
      <c r="I1273" s="32" t="str">
        <f t="shared" si="65"/>
        <v/>
      </c>
      <c r="J1273" s="33" t="str">
        <f t="shared" si="25"/>
        <v/>
      </c>
      <c r="K1273" s="33"/>
      <c r="L1273" s="33"/>
      <c r="M1273" s="33"/>
      <c r="N1273" s="34"/>
      <c r="O1273" s="35" t="str">
        <f>IFERROR(__xludf.DUMMYFUNCTION("IFERROR(
  VLOOKUP(C1273,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C1273
    ), 
    7, FALSE
  ), 
  """"
)
"),"")</f>
        <v/>
      </c>
      <c r="P1273" s="35"/>
      <c r="Q1273" s="36" t="str">
        <f t="shared" si="4"/>
        <v/>
      </c>
      <c r="R1273" s="33"/>
      <c r="S1273" s="31"/>
      <c r="T1273" s="37"/>
      <c r="U1273" s="37"/>
      <c r="V1273" s="37"/>
      <c r="W1273" s="37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</row>
    <row r="1274">
      <c r="A1274" s="24"/>
      <c r="B1274" s="13"/>
      <c r="C1274" s="62"/>
      <c r="D1274" s="14"/>
      <c r="E1274" s="15"/>
      <c r="F1274" s="16"/>
      <c r="G1274" s="17" t="str">
        <f t="shared" si="61"/>
        <v/>
      </c>
      <c r="H1274" s="18" t="str">
        <f t="shared" si="73"/>
        <v/>
      </c>
      <c r="I1274" s="19" t="str">
        <f t="shared" si="65"/>
        <v/>
      </c>
      <c r="J1274" s="20" t="str">
        <f t="shared" si="25"/>
        <v/>
      </c>
      <c r="K1274" s="20"/>
      <c r="L1274" s="20"/>
      <c r="M1274" s="20"/>
      <c r="N1274" s="21"/>
      <c r="O1274" s="22" t="str">
        <f>IFERROR(__xludf.DUMMYFUNCTION("IFERROR(
  VLOOKUP(C1274,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C1274
    ), 
    7, FALSE
  ), 
  """"
)
"),"")</f>
        <v/>
      </c>
      <c r="P1274" s="22"/>
      <c r="Q1274" s="23" t="str">
        <f t="shared" si="4"/>
        <v/>
      </c>
      <c r="R1274" s="20"/>
      <c r="S1274" s="18"/>
      <c r="T1274" s="24"/>
      <c r="U1274" s="24"/>
      <c r="V1274" s="24"/>
      <c r="W1274" s="24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</row>
    <row r="1275">
      <c r="A1275" s="37"/>
      <c r="B1275" s="25"/>
      <c r="C1275" s="60"/>
      <c r="D1275" s="27"/>
      <c r="E1275" s="28"/>
      <c r="F1275" s="29"/>
      <c r="G1275" s="30" t="str">
        <f t="shared" si="61"/>
        <v/>
      </c>
      <c r="H1275" s="31" t="str">
        <f t="shared" si="73"/>
        <v/>
      </c>
      <c r="I1275" s="32" t="str">
        <f t="shared" si="65"/>
        <v/>
      </c>
      <c r="J1275" s="33" t="str">
        <f t="shared" si="25"/>
        <v/>
      </c>
      <c r="K1275" s="33"/>
      <c r="L1275" s="33"/>
      <c r="M1275" s="33"/>
      <c r="N1275" s="34"/>
      <c r="O1275" s="35" t="str">
        <f>IFERROR(__xludf.DUMMYFUNCTION("IFERROR(
  VLOOKUP(C1275,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C1275
    ), 
    7, FALSE
  ), 
  """"
)
"),"")</f>
        <v/>
      </c>
      <c r="P1275" s="35"/>
      <c r="Q1275" s="36" t="str">
        <f t="shared" si="4"/>
        <v/>
      </c>
      <c r="R1275" s="33"/>
      <c r="S1275" s="31"/>
      <c r="T1275" s="37"/>
      <c r="U1275" s="37"/>
      <c r="V1275" s="37"/>
      <c r="W1275" s="37"/>
      <c r="X1275" s="25"/>
      <c r="Y1275" s="25"/>
      <c r="Z1275" s="25"/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</row>
    <row r="1276">
      <c r="A1276" s="24"/>
      <c r="B1276" s="13"/>
      <c r="C1276" s="62"/>
      <c r="D1276" s="14"/>
      <c r="E1276" s="15"/>
      <c r="F1276" s="16"/>
      <c r="G1276" s="17" t="str">
        <f t="shared" si="61"/>
        <v/>
      </c>
      <c r="H1276" s="18" t="str">
        <f t="shared" si="73"/>
        <v/>
      </c>
      <c r="I1276" s="19" t="str">
        <f t="shared" si="65"/>
        <v/>
      </c>
      <c r="J1276" s="20" t="str">
        <f t="shared" si="25"/>
        <v/>
      </c>
      <c r="K1276" s="20"/>
      <c r="L1276" s="20"/>
      <c r="M1276" s="20"/>
      <c r="N1276" s="21"/>
      <c r="O1276" s="22" t="str">
        <f>IFERROR(__xludf.DUMMYFUNCTION("IFERROR(
  VLOOKUP(C1276,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C1276
    ), 
    7, FALSE
  ), 
  """"
)
"),"")</f>
        <v/>
      </c>
      <c r="P1276" s="22"/>
      <c r="Q1276" s="23" t="str">
        <f t="shared" si="4"/>
        <v/>
      </c>
      <c r="R1276" s="20"/>
      <c r="S1276" s="18"/>
      <c r="T1276" s="24"/>
      <c r="U1276" s="24"/>
      <c r="V1276" s="24"/>
      <c r="W1276" s="24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</row>
    <row r="1277">
      <c r="A1277" s="37"/>
      <c r="B1277" s="25"/>
      <c r="C1277" s="60"/>
      <c r="D1277" s="27"/>
      <c r="E1277" s="28"/>
      <c r="F1277" s="29"/>
      <c r="G1277" s="30" t="str">
        <f t="shared" si="61"/>
        <v/>
      </c>
      <c r="H1277" s="31" t="str">
        <f t="shared" si="73"/>
        <v/>
      </c>
      <c r="I1277" s="32" t="str">
        <f t="shared" si="65"/>
        <v/>
      </c>
      <c r="J1277" s="33" t="str">
        <f t="shared" si="25"/>
        <v/>
      </c>
      <c r="K1277" s="33"/>
      <c r="L1277" s="33"/>
      <c r="M1277" s="33"/>
      <c r="N1277" s="34"/>
      <c r="O1277" s="35" t="str">
        <f>IFERROR(__xludf.DUMMYFUNCTION("IFERROR(
  VLOOKUP(C1277,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C1277
    ), 
    7, FALSE
  ), 
  """"
)
"),"")</f>
        <v/>
      </c>
      <c r="P1277" s="35"/>
      <c r="Q1277" s="36" t="str">
        <f t="shared" si="4"/>
        <v/>
      </c>
      <c r="R1277" s="33"/>
      <c r="S1277" s="31"/>
      <c r="T1277" s="37"/>
      <c r="U1277" s="37"/>
      <c r="V1277" s="37"/>
      <c r="W1277" s="37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</row>
    <row r="1278">
      <c r="A1278" s="24"/>
      <c r="B1278" s="13"/>
      <c r="C1278" s="62"/>
      <c r="D1278" s="14"/>
      <c r="E1278" s="15"/>
      <c r="F1278" s="16"/>
      <c r="G1278" s="17" t="str">
        <f t="shared" si="61"/>
        <v/>
      </c>
      <c r="H1278" s="18" t="str">
        <f t="shared" si="73"/>
        <v/>
      </c>
      <c r="I1278" s="19" t="str">
        <f t="shared" si="65"/>
        <v/>
      </c>
      <c r="J1278" s="20" t="str">
        <f t="shared" si="25"/>
        <v/>
      </c>
      <c r="K1278" s="20"/>
      <c r="L1278" s="20"/>
      <c r="M1278" s="20"/>
      <c r="N1278" s="21"/>
      <c r="O1278" s="22" t="str">
        <f>IFERROR(__xludf.DUMMYFUNCTION("IFERROR(
  VLOOKUP(C1278,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C1278
    ), 
    7, FALSE
  ), 
  """"
)
"),"")</f>
        <v/>
      </c>
      <c r="P1278" s="22"/>
      <c r="Q1278" s="23" t="str">
        <f t="shared" si="4"/>
        <v/>
      </c>
      <c r="R1278" s="20"/>
      <c r="S1278" s="18"/>
      <c r="T1278" s="24"/>
      <c r="U1278" s="24"/>
      <c r="V1278" s="24"/>
      <c r="W1278" s="24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</row>
    <row r="1279">
      <c r="A1279" s="37"/>
      <c r="B1279" s="25"/>
      <c r="C1279" s="60"/>
      <c r="D1279" s="27"/>
      <c r="E1279" s="28"/>
      <c r="F1279" s="29"/>
      <c r="G1279" s="30" t="str">
        <f t="shared" si="61"/>
        <v/>
      </c>
      <c r="H1279" s="31" t="str">
        <f t="shared" si="73"/>
        <v/>
      </c>
      <c r="I1279" s="32" t="str">
        <f t="shared" si="65"/>
        <v/>
      </c>
      <c r="J1279" s="33" t="str">
        <f t="shared" si="25"/>
        <v/>
      </c>
      <c r="K1279" s="33"/>
      <c r="L1279" s="33"/>
      <c r="M1279" s="33"/>
      <c r="N1279" s="34"/>
      <c r="O1279" s="35" t="str">
        <f>IFERROR(__xludf.DUMMYFUNCTION("IFERROR(
  VLOOKUP(C1279,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C1279
    ), 
    7, FALSE
  ), 
  """"
)
"),"")</f>
        <v/>
      </c>
      <c r="P1279" s="35"/>
      <c r="Q1279" s="36" t="str">
        <f t="shared" si="4"/>
        <v/>
      </c>
      <c r="R1279" s="33"/>
      <c r="S1279" s="31"/>
      <c r="T1279" s="37"/>
      <c r="U1279" s="37"/>
      <c r="V1279" s="37"/>
      <c r="W1279" s="37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</row>
    <row r="1280">
      <c r="A1280" s="24"/>
      <c r="B1280" s="13"/>
      <c r="C1280" s="62"/>
      <c r="D1280" s="14"/>
      <c r="E1280" s="15"/>
      <c r="F1280" s="16"/>
      <c r="G1280" s="17" t="str">
        <f t="shared" si="61"/>
        <v/>
      </c>
      <c r="H1280" s="18" t="str">
        <f t="shared" si="73"/>
        <v/>
      </c>
      <c r="I1280" s="19" t="str">
        <f t="shared" si="65"/>
        <v/>
      </c>
      <c r="J1280" s="20" t="str">
        <f t="shared" si="25"/>
        <v/>
      </c>
      <c r="K1280" s="20"/>
      <c r="L1280" s="20"/>
      <c r="M1280" s="20"/>
      <c r="N1280" s="21"/>
      <c r="O1280" s="22" t="str">
        <f>IFERROR(__xludf.DUMMYFUNCTION("IFERROR(
  VLOOKUP(C1280,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C1280
    ), 
    7, FALSE
  ), 
  """"
)
"),"")</f>
        <v/>
      </c>
      <c r="P1280" s="22"/>
      <c r="Q1280" s="23" t="str">
        <f t="shared" si="4"/>
        <v/>
      </c>
      <c r="R1280" s="20"/>
      <c r="S1280" s="18"/>
      <c r="T1280" s="24"/>
      <c r="U1280" s="24"/>
      <c r="V1280" s="24"/>
      <c r="W1280" s="24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</row>
    <row r="1281">
      <c r="A1281" s="37"/>
      <c r="B1281" s="25"/>
      <c r="C1281" s="60"/>
      <c r="D1281" s="27"/>
      <c r="E1281" s="28"/>
      <c r="F1281" s="29"/>
      <c r="G1281" s="30" t="str">
        <f t="shared" si="61"/>
        <v/>
      </c>
      <c r="H1281" s="31" t="str">
        <f t="shared" si="73"/>
        <v/>
      </c>
      <c r="I1281" s="32" t="str">
        <f t="shared" si="65"/>
        <v/>
      </c>
      <c r="J1281" s="33" t="str">
        <f t="shared" si="25"/>
        <v/>
      </c>
      <c r="K1281" s="33"/>
      <c r="L1281" s="33"/>
      <c r="M1281" s="33"/>
      <c r="N1281" s="34"/>
      <c r="O1281" s="35" t="str">
        <f>IFERROR(__xludf.DUMMYFUNCTION("IFERROR(
  VLOOKUP(C1281,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C1281
    ), 
    7, FALSE
  ), 
  """"
)
"),"")</f>
        <v/>
      </c>
      <c r="P1281" s="35"/>
      <c r="Q1281" s="36" t="str">
        <f t="shared" si="4"/>
        <v/>
      </c>
      <c r="R1281" s="33"/>
      <c r="S1281" s="31"/>
      <c r="T1281" s="37"/>
      <c r="U1281" s="37"/>
      <c r="V1281" s="37"/>
      <c r="W1281" s="37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  <c r="AL1281" s="25"/>
      <c r="AM1281" s="25"/>
    </row>
    <row r="1282">
      <c r="A1282" s="24"/>
      <c r="B1282" s="13"/>
      <c r="C1282" s="62"/>
      <c r="D1282" s="14"/>
      <c r="E1282" s="15"/>
      <c r="F1282" s="16"/>
      <c r="G1282" s="17" t="str">
        <f t="shared" si="61"/>
        <v/>
      </c>
      <c r="H1282" s="18" t="str">
        <f t="shared" si="73"/>
        <v/>
      </c>
      <c r="I1282" s="19" t="str">
        <f t="shared" si="65"/>
        <v/>
      </c>
      <c r="J1282" s="20" t="str">
        <f t="shared" si="25"/>
        <v/>
      </c>
      <c r="K1282" s="20"/>
      <c r="L1282" s="20"/>
      <c r="M1282" s="20"/>
      <c r="N1282" s="21"/>
      <c r="O1282" s="22" t="str">
        <f>IFERROR(__xludf.DUMMYFUNCTION("IFERROR(
  VLOOKUP(C1282,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C1282
    ), 
    7, FALSE
  ), 
  """"
)
"),"")</f>
        <v/>
      </c>
      <c r="P1282" s="22"/>
      <c r="Q1282" s="23" t="str">
        <f t="shared" si="4"/>
        <v/>
      </c>
      <c r="R1282" s="20"/>
      <c r="S1282" s="18"/>
      <c r="T1282" s="24"/>
      <c r="U1282" s="24"/>
      <c r="V1282" s="24"/>
      <c r="W1282" s="24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</row>
    <row r="1283">
      <c r="A1283" s="37"/>
      <c r="B1283" s="25"/>
      <c r="C1283" s="60"/>
      <c r="D1283" s="27"/>
      <c r="E1283" s="28"/>
      <c r="F1283" s="29"/>
      <c r="G1283" s="30" t="str">
        <f t="shared" si="61"/>
        <v/>
      </c>
      <c r="H1283" s="31" t="str">
        <f t="shared" si="73"/>
        <v/>
      </c>
      <c r="I1283" s="32" t="str">
        <f t="shared" si="65"/>
        <v/>
      </c>
      <c r="J1283" s="33" t="str">
        <f t="shared" si="25"/>
        <v/>
      </c>
      <c r="K1283" s="33"/>
      <c r="L1283" s="33"/>
      <c r="M1283" s="33"/>
      <c r="N1283" s="34"/>
      <c r="O1283" s="35" t="str">
        <f>IFERROR(__xludf.DUMMYFUNCTION("IFERROR(
  VLOOKUP(C1283,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C1283
    ), 
    7, FALSE
  ), 
  """"
)
"),"")</f>
        <v/>
      </c>
      <c r="P1283" s="35"/>
      <c r="Q1283" s="36" t="str">
        <f t="shared" si="4"/>
        <v/>
      </c>
      <c r="R1283" s="33"/>
      <c r="S1283" s="31"/>
      <c r="T1283" s="37"/>
      <c r="U1283" s="37"/>
      <c r="V1283" s="37"/>
      <c r="W1283" s="37"/>
      <c r="X1283" s="25"/>
      <c r="Y1283" s="25"/>
      <c r="Z1283" s="25"/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</row>
    <row r="1284">
      <c r="A1284" s="24"/>
      <c r="B1284" s="13"/>
      <c r="C1284" s="62"/>
      <c r="D1284" s="14"/>
      <c r="E1284" s="15"/>
      <c r="F1284" s="16"/>
      <c r="G1284" s="17" t="str">
        <f t="shared" si="61"/>
        <v/>
      </c>
      <c r="H1284" s="18" t="str">
        <f t="shared" si="73"/>
        <v/>
      </c>
      <c r="I1284" s="19" t="str">
        <f t="shared" si="65"/>
        <v/>
      </c>
      <c r="J1284" s="20" t="str">
        <f t="shared" si="25"/>
        <v/>
      </c>
      <c r="K1284" s="20"/>
      <c r="L1284" s="20"/>
      <c r="M1284" s="20"/>
      <c r="N1284" s="21"/>
      <c r="O1284" s="22" t="str">
        <f>IFERROR(__xludf.DUMMYFUNCTION("IFERROR(
  VLOOKUP(C1284,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C1284
    ), 
    7, FALSE
  ), 
  """"
)
"),"")</f>
        <v/>
      </c>
      <c r="P1284" s="22"/>
      <c r="Q1284" s="23" t="str">
        <f t="shared" si="4"/>
        <v/>
      </c>
      <c r="R1284" s="20"/>
      <c r="S1284" s="18"/>
      <c r="T1284" s="24"/>
      <c r="U1284" s="24"/>
      <c r="V1284" s="24"/>
      <c r="W1284" s="24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</row>
    <row r="1285">
      <c r="A1285" s="37"/>
      <c r="B1285" s="25"/>
      <c r="C1285" s="60"/>
      <c r="D1285" s="27"/>
      <c r="E1285" s="28"/>
      <c r="F1285" s="29"/>
      <c r="G1285" s="30" t="str">
        <f t="shared" si="61"/>
        <v/>
      </c>
      <c r="H1285" s="31" t="str">
        <f t="shared" si="73"/>
        <v/>
      </c>
      <c r="I1285" s="32" t="str">
        <f t="shared" si="65"/>
        <v/>
      </c>
      <c r="J1285" s="33" t="str">
        <f t="shared" si="25"/>
        <v/>
      </c>
      <c r="K1285" s="33"/>
      <c r="L1285" s="33"/>
      <c r="M1285" s="33"/>
      <c r="N1285" s="34"/>
      <c r="O1285" s="35" t="str">
        <f>IFERROR(__xludf.DUMMYFUNCTION("IFERROR(
  VLOOKUP(C1285,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C1285
    ), 
    7, FALSE
  ), 
  """"
)
"),"")</f>
        <v/>
      </c>
      <c r="P1285" s="35"/>
      <c r="Q1285" s="36" t="str">
        <f t="shared" si="4"/>
        <v/>
      </c>
      <c r="R1285" s="33"/>
      <c r="S1285" s="31"/>
      <c r="T1285" s="37"/>
      <c r="U1285" s="37"/>
      <c r="V1285" s="37"/>
      <c r="W1285" s="37"/>
      <c r="X1285" s="25"/>
      <c r="Y1285" s="25"/>
      <c r="Z1285" s="25"/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</row>
    <row r="1286">
      <c r="A1286" s="24"/>
      <c r="B1286" s="13"/>
      <c r="C1286" s="62"/>
      <c r="D1286" s="14"/>
      <c r="E1286" s="15"/>
      <c r="F1286" s="16"/>
      <c r="G1286" s="17" t="str">
        <f t="shared" si="61"/>
        <v/>
      </c>
      <c r="H1286" s="18" t="str">
        <f t="shared" si="73"/>
        <v/>
      </c>
      <c r="I1286" s="19" t="str">
        <f t="shared" si="65"/>
        <v/>
      </c>
      <c r="J1286" s="20" t="str">
        <f t="shared" si="25"/>
        <v/>
      </c>
      <c r="K1286" s="20"/>
      <c r="L1286" s="20"/>
      <c r="M1286" s="20"/>
      <c r="N1286" s="21"/>
      <c r="O1286" s="22" t="str">
        <f>IFERROR(__xludf.DUMMYFUNCTION("IFERROR(
  VLOOKUP(C1286,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C1286
    ), 
    7, FALSE
  ), 
  """"
)
"),"")</f>
        <v/>
      </c>
      <c r="P1286" s="22"/>
      <c r="Q1286" s="23" t="str">
        <f t="shared" si="4"/>
        <v/>
      </c>
      <c r="R1286" s="20"/>
      <c r="S1286" s="18"/>
      <c r="T1286" s="24"/>
      <c r="U1286" s="24"/>
      <c r="V1286" s="24"/>
      <c r="W1286" s="24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</row>
    <row r="1287">
      <c r="A1287" s="37"/>
      <c r="B1287" s="25"/>
      <c r="C1287" s="60"/>
      <c r="D1287" s="27"/>
      <c r="E1287" s="28"/>
      <c r="F1287" s="29"/>
      <c r="G1287" s="30" t="str">
        <f t="shared" si="61"/>
        <v/>
      </c>
      <c r="H1287" s="31" t="str">
        <f t="shared" si="73"/>
        <v/>
      </c>
      <c r="I1287" s="32" t="str">
        <f t="shared" si="65"/>
        <v/>
      </c>
      <c r="J1287" s="33" t="str">
        <f t="shared" si="25"/>
        <v/>
      </c>
      <c r="K1287" s="33"/>
      <c r="L1287" s="33"/>
      <c r="M1287" s="33"/>
      <c r="N1287" s="34"/>
      <c r="O1287" s="35" t="str">
        <f>IFERROR(__xludf.DUMMYFUNCTION("IFERROR(
  VLOOKUP(C1287,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C1287
    ), 
    7, FALSE
  ), 
  """"
)
"),"")</f>
        <v/>
      </c>
      <c r="P1287" s="35"/>
      <c r="Q1287" s="36" t="str">
        <f t="shared" si="4"/>
        <v/>
      </c>
      <c r="R1287" s="33"/>
      <c r="S1287" s="31"/>
      <c r="T1287" s="37"/>
      <c r="U1287" s="37"/>
      <c r="V1287" s="37"/>
      <c r="W1287" s="37"/>
      <c r="X1287" s="25"/>
      <c r="Y1287" s="25"/>
      <c r="Z1287" s="25"/>
      <c r="AA1287" s="25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  <c r="AL1287" s="25"/>
      <c r="AM1287" s="25"/>
    </row>
    <row r="1288">
      <c r="A1288" s="24"/>
      <c r="B1288" s="13"/>
      <c r="C1288" s="62"/>
      <c r="D1288" s="14"/>
      <c r="E1288" s="15"/>
      <c r="F1288" s="16"/>
      <c r="G1288" s="17" t="str">
        <f t="shared" si="61"/>
        <v/>
      </c>
      <c r="H1288" s="18" t="str">
        <f t="shared" si="73"/>
        <v/>
      </c>
      <c r="I1288" s="19" t="str">
        <f t="shared" si="65"/>
        <v/>
      </c>
      <c r="J1288" s="20" t="str">
        <f t="shared" si="25"/>
        <v/>
      </c>
      <c r="K1288" s="20"/>
      <c r="L1288" s="20"/>
      <c r="M1288" s="20"/>
      <c r="N1288" s="21"/>
      <c r="O1288" s="22" t="str">
        <f>IFERROR(__xludf.DUMMYFUNCTION("IFERROR(
  VLOOKUP(C1288,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C1288
    ), 
    7, FALSE
  ), 
  """"
)
"),"")</f>
        <v/>
      </c>
      <c r="P1288" s="22"/>
      <c r="Q1288" s="23" t="str">
        <f t="shared" si="4"/>
        <v/>
      </c>
      <c r="R1288" s="20"/>
      <c r="S1288" s="18"/>
      <c r="T1288" s="24"/>
      <c r="U1288" s="24"/>
      <c r="V1288" s="24"/>
      <c r="W1288" s="24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</row>
    <row r="1289">
      <c r="A1289" s="37"/>
      <c r="B1289" s="25"/>
      <c r="C1289" s="60"/>
      <c r="D1289" s="27"/>
      <c r="E1289" s="28"/>
      <c r="F1289" s="29"/>
      <c r="G1289" s="30" t="str">
        <f t="shared" si="61"/>
        <v/>
      </c>
      <c r="H1289" s="31" t="str">
        <f t="shared" si="73"/>
        <v/>
      </c>
      <c r="I1289" s="32" t="str">
        <f t="shared" si="65"/>
        <v/>
      </c>
      <c r="J1289" s="33" t="str">
        <f t="shared" si="25"/>
        <v/>
      </c>
      <c r="K1289" s="33"/>
      <c r="L1289" s="33"/>
      <c r="M1289" s="33"/>
      <c r="N1289" s="34"/>
      <c r="O1289" s="35" t="str">
        <f>IFERROR(__xludf.DUMMYFUNCTION("IFERROR(
  VLOOKUP(C1289,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C1289
    ), 
    7, FALSE
  ), 
  """"
)
"),"")</f>
        <v/>
      </c>
      <c r="P1289" s="35"/>
      <c r="Q1289" s="36" t="str">
        <f t="shared" si="4"/>
        <v/>
      </c>
      <c r="R1289" s="33"/>
      <c r="S1289" s="31"/>
      <c r="T1289" s="37"/>
      <c r="U1289" s="37"/>
      <c r="V1289" s="37"/>
      <c r="W1289" s="37"/>
      <c r="X1289" s="25"/>
      <c r="Y1289" s="25"/>
      <c r="Z1289" s="25"/>
      <c r="AA1289" s="25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</row>
    <row r="1290">
      <c r="A1290" s="24"/>
      <c r="B1290" s="13"/>
      <c r="C1290" s="62"/>
      <c r="D1290" s="14"/>
      <c r="E1290" s="15"/>
      <c r="F1290" s="16"/>
      <c r="G1290" s="17" t="str">
        <f t="shared" si="61"/>
        <v/>
      </c>
      <c r="H1290" s="18" t="str">
        <f t="shared" si="73"/>
        <v/>
      </c>
      <c r="I1290" s="19" t="str">
        <f t="shared" si="65"/>
        <v/>
      </c>
      <c r="J1290" s="20" t="str">
        <f t="shared" si="25"/>
        <v/>
      </c>
      <c r="K1290" s="20"/>
      <c r="L1290" s="20"/>
      <c r="M1290" s="20"/>
      <c r="N1290" s="21"/>
      <c r="O1290" s="22" t="str">
        <f>IFERROR(__xludf.DUMMYFUNCTION("IFERROR(
  VLOOKUP(C1290,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C1290
    ), 
    7, FALSE
  ), 
  """"
)
"),"")</f>
        <v/>
      </c>
      <c r="P1290" s="22"/>
      <c r="Q1290" s="23" t="str">
        <f t="shared" si="4"/>
        <v/>
      </c>
      <c r="R1290" s="20"/>
      <c r="S1290" s="18"/>
      <c r="T1290" s="24"/>
      <c r="U1290" s="24"/>
      <c r="V1290" s="24"/>
      <c r="W1290" s="24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</row>
    <row r="1291">
      <c r="A1291" s="37"/>
      <c r="B1291" s="25"/>
      <c r="C1291" s="60"/>
      <c r="D1291" s="27"/>
      <c r="E1291" s="28"/>
      <c r="F1291" s="29"/>
      <c r="G1291" s="30" t="str">
        <f t="shared" si="61"/>
        <v/>
      </c>
      <c r="H1291" s="31" t="str">
        <f t="shared" si="73"/>
        <v/>
      </c>
      <c r="I1291" s="32" t="str">
        <f t="shared" si="65"/>
        <v/>
      </c>
      <c r="J1291" s="33" t="str">
        <f t="shared" si="25"/>
        <v/>
      </c>
      <c r="K1291" s="33"/>
      <c r="L1291" s="33"/>
      <c r="M1291" s="33"/>
      <c r="N1291" s="34"/>
      <c r="O1291" s="35" t="str">
        <f>IFERROR(__xludf.DUMMYFUNCTION("IFERROR(
  VLOOKUP(C1291,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C1291
    ), 
    7, FALSE
  ), 
  """"
)
"),"")</f>
        <v/>
      </c>
      <c r="P1291" s="35"/>
      <c r="Q1291" s="36" t="str">
        <f t="shared" si="4"/>
        <v/>
      </c>
      <c r="R1291" s="33"/>
      <c r="S1291" s="31"/>
      <c r="T1291" s="37"/>
      <c r="U1291" s="37"/>
      <c r="V1291" s="37"/>
      <c r="W1291" s="37"/>
      <c r="X1291" s="25"/>
      <c r="Y1291" s="25"/>
      <c r="Z1291" s="25"/>
      <c r="AA1291" s="25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</row>
    <row r="1292">
      <c r="A1292" s="24"/>
      <c r="B1292" s="13"/>
      <c r="C1292" s="62"/>
      <c r="D1292" s="14"/>
      <c r="E1292" s="15"/>
      <c r="F1292" s="16"/>
      <c r="G1292" s="17" t="str">
        <f t="shared" si="61"/>
        <v/>
      </c>
      <c r="H1292" s="18" t="str">
        <f t="shared" si="73"/>
        <v/>
      </c>
      <c r="I1292" s="19" t="str">
        <f t="shared" si="65"/>
        <v/>
      </c>
      <c r="J1292" s="20" t="str">
        <f t="shared" si="25"/>
        <v/>
      </c>
      <c r="K1292" s="20"/>
      <c r="L1292" s="20"/>
      <c r="M1292" s="20"/>
      <c r="N1292" s="21"/>
      <c r="O1292" s="22" t="str">
        <f>IFERROR(__xludf.DUMMYFUNCTION("IFERROR(
  VLOOKUP(C1292,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C1292
    ), 
    7, FALSE
  ), 
  """"
)
"),"")</f>
        <v/>
      </c>
      <c r="P1292" s="22"/>
      <c r="Q1292" s="23" t="str">
        <f t="shared" si="4"/>
        <v/>
      </c>
      <c r="R1292" s="20"/>
      <c r="S1292" s="18"/>
      <c r="T1292" s="24"/>
      <c r="U1292" s="24"/>
      <c r="V1292" s="24"/>
      <c r="W1292" s="24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</row>
    <row r="1293">
      <c r="A1293" s="37"/>
      <c r="B1293" s="25"/>
      <c r="C1293" s="60"/>
      <c r="D1293" s="27"/>
      <c r="E1293" s="28"/>
      <c r="F1293" s="29"/>
      <c r="G1293" s="30" t="str">
        <f t="shared" si="61"/>
        <v/>
      </c>
      <c r="H1293" s="31" t="str">
        <f t="shared" si="73"/>
        <v/>
      </c>
      <c r="I1293" s="32" t="str">
        <f t="shared" si="65"/>
        <v/>
      </c>
      <c r="J1293" s="33" t="str">
        <f t="shared" si="25"/>
        <v/>
      </c>
      <c r="K1293" s="33"/>
      <c r="L1293" s="33"/>
      <c r="M1293" s="33"/>
      <c r="N1293" s="34"/>
      <c r="O1293" s="35" t="str">
        <f>IFERROR(__xludf.DUMMYFUNCTION("IFERROR(
  VLOOKUP(C1293,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C1293
    ), 
    7, FALSE
  ), 
  """"
)
"),"")</f>
        <v/>
      </c>
      <c r="P1293" s="35"/>
      <c r="Q1293" s="36" t="str">
        <f t="shared" si="4"/>
        <v/>
      </c>
      <c r="R1293" s="33"/>
      <c r="S1293" s="31"/>
      <c r="T1293" s="37"/>
      <c r="U1293" s="37"/>
      <c r="V1293" s="37"/>
      <c r="W1293" s="37"/>
      <c r="X1293" s="25"/>
      <c r="Y1293" s="25"/>
      <c r="Z1293" s="25"/>
      <c r="AA1293" s="25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</row>
    <row r="1294">
      <c r="A1294" s="24"/>
      <c r="B1294" s="13"/>
      <c r="C1294" s="62"/>
      <c r="D1294" s="14"/>
      <c r="E1294" s="15"/>
      <c r="F1294" s="16"/>
      <c r="G1294" s="17" t="str">
        <f t="shared" si="61"/>
        <v/>
      </c>
      <c r="H1294" s="18" t="str">
        <f t="shared" si="73"/>
        <v/>
      </c>
      <c r="I1294" s="19" t="str">
        <f t="shared" si="65"/>
        <v/>
      </c>
      <c r="J1294" s="20" t="str">
        <f t="shared" si="25"/>
        <v/>
      </c>
      <c r="K1294" s="20"/>
      <c r="L1294" s="20"/>
      <c r="M1294" s="20"/>
      <c r="N1294" s="21"/>
      <c r="O1294" s="22" t="str">
        <f>IFERROR(__xludf.DUMMYFUNCTION("IFERROR(
  VLOOKUP(C1294,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C1294
    ), 
    7, FALSE
  ), 
  """"
)
"),"")</f>
        <v/>
      </c>
      <c r="P1294" s="22"/>
      <c r="Q1294" s="23" t="str">
        <f t="shared" si="4"/>
        <v/>
      </c>
      <c r="R1294" s="20"/>
      <c r="S1294" s="18"/>
      <c r="T1294" s="24"/>
      <c r="U1294" s="24"/>
      <c r="V1294" s="24"/>
      <c r="W1294" s="24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</row>
    <row r="1295">
      <c r="A1295" s="37"/>
      <c r="B1295" s="25"/>
      <c r="C1295" s="60"/>
      <c r="D1295" s="27"/>
      <c r="E1295" s="28"/>
      <c r="F1295" s="29"/>
      <c r="G1295" s="30" t="str">
        <f t="shared" si="61"/>
        <v/>
      </c>
      <c r="H1295" s="31" t="str">
        <f t="shared" si="73"/>
        <v/>
      </c>
      <c r="I1295" s="32" t="str">
        <f t="shared" si="65"/>
        <v/>
      </c>
      <c r="J1295" s="33" t="str">
        <f t="shared" si="25"/>
        <v/>
      </c>
      <c r="K1295" s="33"/>
      <c r="L1295" s="33"/>
      <c r="M1295" s="33"/>
      <c r="N1295" s="34"/>
      <c r="O1295" s="35" t="str">
        <f>IFERROR(__xludf.DUMMYFUNCTION("IFERROR(
  VLOOKUP(C1295,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C1295
    ), 
    7, FALSE
  ), 
  """"
)
"),"")</f>
        <v/>
      </c>
      <c r="P1295" s="35"/>
      <c r="Q1295" s="36" t="str">
        <f t="shared" si="4"/>
        <v/>
      </c>
      <c r="R1295" s="33"/>
      <c r="S1295" s="31"/>
      <c r="T1295" s="37"/>
      <c r="U1295" s="37"/>
      <c r="V1295" s="37"/>
      <c r="W1295" s="37"/>
      <c r="X1295" s="25"/>
      <c r="Y1295" s="25"/>
      <c r="Z1295" s="25"/>
      <c r="AA1295" s="25"/>
      <c r="AB1295" s="25"/>
      <c r="AC1295" s="25"/>
      <c r="AD1295" s="25"/>
      <c r="AE1295" s="25"/>
      <c r="AF1295" s="25"/>
      <c r="AG1295" s="25"/>
      <c r="AH1295" s="25"/>
      <c r="AI1295" s="25"/>
      <c r="AJ1295" s="25"/>
      <c r="AK1295" s="25"/>
      <c r="AL1295" s="25"/>
      <c r="AM1295" s="25"/>
    </row>
    <row r="1296">
      <c r="A1296" s="24"/>
      <c r="B1296" s="13"/>
      <c r="C1296" s="62"/>
      <c r="D1296" s="14"/>
      <c r="E1296" s="15"/>
      <c r="F1296" s="16"/>
      <c r="G1296" s="17" t="str">
        <f t="shared" si="61"/>
        <v/>
      </c>
      <c r="H1296" s="18" t="str">
        <f t="shared" si="73"/>
        <v/>
      </c>
      <c r="I1296" s="19" t="str">
        <f t="shared" si="65"/>
        <v/>
      </c>
      <c r="J1296" s="20" t="str">
        <f t="shared" si="25"/>
        <v/>
      </c>
      <c r="K1296" s="20"/>
      <c r="L1296" s="20"/>
      <c r="M1296" s="20"/>
      <c r="N1296" s="21"/>
      <c r="O1296" s="22" t="str">
        <f>IFERROR(__xludf.DUMMYFUNCTION("IFERROR(
  VLOOKUP(C1296,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C1296
    ), 
    7, FALSE
  ), 
  """"
)
"),"")</f>
        <v/>
      </c>
      <c r="P1296" s="22"/>
      <c r="Q1296" s="23" t="str">
        <f t="shared" si="4"/>
        <v/>
      </c>
      <c r="R1296" s="20"/>
      <c r="S1296" s="18"/>
      <c r="T1296" s="24"/>
      <c r="U1296" s="24"/>
      <c r="V1296" s="24"/>
      <c r="W1296" s="24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</row>
    <row r="1297">
      <c r="A1297" s="37"/>
      <c r="B1297" s="25"/>
      <c r="C1297" s="60"/>
      <c r="D1297" s="27"/>
      <c r="E1297" s="28"/>
      <c r="F1297" s="29"/>
      <c r="G1297" s="30" t="str">
        <f t="shared" si="61"/>
        <v/>
      </c>
      <c r="H1297" s="31" t="str">
        <f t="shared" si="73"/>
        <v/>
      </c>
      <c r="I1297" s="32" t="str">
        <f t="shared" si="65"/>
        <v/>
      </c>
      <c r="J1297" s="33" t="str">
        <f t="shared" si="25"/>
        <v/>
      </c>
      <c r="K1297" s="33"/>
      <c r="L1297" s="33"/>
      <c r="M1297" s="33"/>
      <c r="N1297" s="34"/>
      <c r="O1297" s="35" t="str">
        <f>IFERROR(__xludf.DUMMYFUNCTION("IFERROR(
  VLOOKUP(C1297,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C1297
    ), 
    7, FALSE
  ), 
  """"
)
"),"")</f>
        <v/>
      </c>
      <c r="P1297" s="35"/>
      <c r="Q1297" s="36" t="str">
        <f t="shared" si="4"/>
        <v/>
      </c>
      <c r="R1297" s="33"/>
      <c r="S1297" s="31"/>
      <c r="T1297" s="37"/>
      <c r="U1297" s="37"/>
      <c r="V1297" s="37"/>
      <c r="W1297" s="37"/>
      <c r="X1297" s="25"/>
      <c r="Y1297" s="25"/>
      <c r="Z1297" s="25"/>
      <c r="AA1297" s="25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</row>
    <row r="1298">
      <c r="A1298" s="24"/>
      <c r="B1298" s="13"/>
      <c r="C1298" s="62"/>
      <c r="D1298" s="14"/>
      <c r="E1298" s="15"/>
      <c r="F1298" s="16"/>
      <c r="G1298" s="17" t="str">
        <f t="shared" si="61"/>
        <v/>
      </c>
      <c r="H1298" s="18" t="str">
        <f t="shared" si="73"/>
        <v/>
      </c>
      <c r="I1298" s="19" t="str">
        <f t="shared" si="65"/>
        <v/>
      </c>
      <c r="J1298" s="20" t="str">
        <f t="shared" si="25"/>
        <v/>
      </c>
      <c r="K1298" s="20"/>
      <c r="L1298" s="20"/>
      <c r="M1298" s="20"/>
      <c r="N1298" s="21"/>
      <c r="O1298" s="22" t="str">
        <f>IFERROR(__xludf.DUMMYFUNCTION("IFERROR(
  VLOOKUP(C1298,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C1298
    ), 
    7, FALSE
  ), 
  """"
)
"),"")</f>
        <v/>
      </c>
      <c r="P1298" s="22"/>
      <c r="Q1298" s="23" t="str">
        <f t="shared" si="4"/>
        <v/>
      </c>
      <c r="R1298" s="20"/>
      <c r="S1298" s="18"/>
      <c r="T1298" s="24"/>
      <c r="U1298" s="24"/>
      <c r="V1298" s="24"/>
      <c r="W1298" s="24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</row>
    <row r="1299">
      <c r="A1299" s="37"/>
      <c r="B1299" s="25"/>
      <c r="C1299" s="60"/>
      <c r="D1299" s="27"/>
      <c r="E1299" s="28"/>
      <c r="F1299" s="29"/>
      <c r="G1299" s="30" t="str">
        <f t="shared" si="61"/>
        <v/>
      </c>
      <c r="H1299" s="31" t="str">
        <f t="shared" si="73"/>
        <v/>
      </c>
      <c r="I1299" s="32" t="str">
        <f t="shared" si="65"/>
        <v/>
      </c>
      <c r="J1299" s="33" t="str">
        <f t="shared" si="25"/>
        <v/>
      </c>
      <c r="K1299" s="33"/>
      <c r="L1299" s="33"/>
      <c r="M1299" s="33"/>
      <c r="N1299" s="34"/>
      <c r="O1299" s="35" t="str">
        <f>IFERROR(__xludf.DUMMYFUNCTION("IFERROR(
  VLOOKUP(C1299,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C1299
    ), 
    7, FALSE
  ), 
  """"
)
"),"")</f>
        <v/>
      </c>
      <c r="P1299" s="35"/>
      <c r="Q1299" s="36" t="str">
        <f t="shared" si="4"/>
        <v/>
      </c>
      <c r="R1299" s="33"/>
      <c r="S1299" s="31"/>
      <c r="T1299" s="37"/>
      <c r="U1299" s="37"/>
      <c r="V1299" s="37"/>
      <c r="W1299" s="37"/>
      <c r="X1299" s="25"/>
      <c r="Y1299" s="25"/>
      <c r="Z1299" s="25"/>
      <c r="AA1299" s="25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</row>
    <row r="1300">
      <c r="A1300" s="24"/>
      <c r="B1300" s="13"/>
      <c r="C1300" s="62"/>
      <c r="D1300" s="14"/>
      <c r="E1300" s="15"/>
      <c r="F1300" s="16"/>
      <c r="G1300" s="17" t="str">
        <f t="shared" si="61"/>
        <v/>
      </c>
      <c r="H1300" s="18" t="str">
        <f t="shared" si="73"/>
        <v/>
      </c>
      <c r="I1300" s="19" t="str">
        <f t="shared" si="65"/>
        <v/>
      </c>
      <c r="J1300" s="20" t="str">
        <f t="shared" si="25"/>
        <v/>
      </c>
      <c r="K1300" s="20"/>
      <c r="L1300" s="20"/>
      <c r="M1300" s="20"/>
      <c r="N1300" s="21"/>
      <c r="O1300" s="22" t="str">
        <f>IFERROR(__xludf.DUMMYFUNCTION("IFERROR(
  VLOOKUP(C1300,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C1300
    ), 
    7, FALSE
  ), 
  """"
)
"),"")</f>
        <v/>
      </c>
      <c r="P1300" s="22"/>
      <c r="Q1300" s="23" t="str">
        <f t="shared" si="4"/>
        <v/>
      </c>
      <c r="R1300" s="20"/>
      <c r="S1300" s="18"/>
      <c r="T1300" s="24"/>
      <c r="U1300" s="24"/>
      <c r="V1300" s="24"/>
      <c r="W1300" s="24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</row>
    <row r="1301">
      <c r="A1301" s="37"/>
      <c r="B1301" s="25"/>
      <c r="C1301" s="60"/>
      <c r="D1301" s="27"/>
      <c r="E1301" s="28"/>
      <c r="F1301" s="29"/>
      <c r="G1301" s="30" t="str">
        <f t="shared" si="61"/>
        <v/>
      </c>
      <c r="H1301" s="31" t="str">
        <f t="shared" si="73"/>
        <v/>
      </c>
      <c r="I1301" s="32" t="str">
        <f t="shared" si="65"/>
        <v/>
      </c>
      <c r="J1301" s="33" t="str">
        <f t="shared" si="25"/>
        <v/>
      </c>
      <c r="K1301" s="33"/>
      <c r="L1301" s="33"/>
      <c r="M1301" s="33"/>
      <c r="N1301" s="34"/>
      <c r="O1301" s="35" t="str">
        <f>IFERROR(__xludf.DUMMYFUNCTION("IFERROR(
  VLOOKUP(C1301,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C1301
    ), 
    7, FALSE
  ), 
  """"
)
"),"")</f>
        <v/>
      </c>
      <c r="P1301" s="35"/>
      <c r="Q1301" s="36" t="str">
        <f t="shared" si="4"/>
        <v/>
      </c>
      <c r="R1301" s="33"/>
      <c r="S1301" s="31"/>
      <c r="T1301" s="37"/>
      <c r="U1301" s="37"/>
      <c r="V1301" s="37"/>
      <c r="W1301" s="37"/>
      <c r="X1301" s="25"/>
      <c r="Y1301" s="25"/>
      <c r="Z1301" s="25"/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</row>
    <row r="1302">
      <c r="A1302" s="24"/>
      <c r="B1302" s="13"/>
      <c r="C1302" s="62"/>
      <c r="D1302" s="14"/>
      <c r="E1302" s="15"/>
      <c r="F1302" s="16"/>
      <c r="G1302" s="17" t="str">
        <f t="shared" si="61"/>
        <v/>
      </c>
      <c r="H1302" s="18" t="str">
        <f t="shared" si="73"/>
        <v/>
      </c>
      <c r="I1302" s="19" t="str">
        <f t="shared" si="65"/>
        <v/>
      </c>
      <c r="J1302" s="20" t="str">
        <f t="shared" si="25"/>
        <v/>
      </c>
      <c r="K1302" s="20"/>
      <c r="L1302" s="20"/>
      <c r="M1302" s="20"/>
      <c r="N1302" s="21"/>
      <c r="O1302" s="22" t="str">
        <f>IFERROR(__xludf.DUMMYFUNCTION("IFERROR(
  VLOOKUP(C1302,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C1302
    ), 
    7, FALSE
  ), 
  """"
)
"),"")</f>
        <v/>
      </c>
      <c r="P1302" s="22"/>
      <c r="Q1302" s="23" t="str">
        <f t="shared" si="4"/>
        <v/>
      </c>
      <c r="R1302" s="20"/>
      <c r="S1302" s="18"/>
      <c r="T1302" s="24"/>
      <c r="U1302" s="24"/>
      <c r="V1302" s="24"/>
      <c r="W1302" s="24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</row>
    <row r="1303">
      <c r="A1303" s="37"/>
      <c r="B1303" s="25"/>
      <c r="C1303" s="60"/>
      <c r="D1303" s="27"/>
      <c r="E1303" s="28"/>
      <c r="F1303" s="29"/>
      <c r="G1303" s="30" t="str">
        <f t="shared" si="61"/>
        <v/>
      </c>
      <c r="H1303" s="31" t="str">
        <f t="shared" si="73"/>
        <v/>
      </c>
      <c r="I1303" s="32" t="str">
        <f t="shared" si="65"/>
        <v/>
      </c>
      <c r="J1303" s="33" t="str">
        <f t="shared" si="25"/>
        <v/>
      </c>
      <c r="K1303" s="33"/>
      <c r="L1303" s="33"/>
      <c r="M1303" s="33"/>
      <c r="N1303" s="34"/>
      <c r="O1303" s="35" t="str">
        <f>IFERROR(__xludf.DUMMYFUNCTION("IFERROR(
  VLOOKUP(C1303,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C1303
    ), 
    7, FALSE
  ), 
  """"
)
"),"")</f>
        <v/>
      </c>
      <c r="P1303" s="35"/>
      <c r="Q1303" s="36" t="str">
        <f t="shared" si="4"/>
        <v/>
      </c>
      <c r="R1303" s="33"/>
      <c r="S1303" s="31"/>
      <c r="T1303" s="37"/>
      <c r="U1303" s="37"/>
      <c r="V1303" s="37"/>
      <c r="W1303" s="37"/>
      <c r="X1303" s="25"/>
      <c r="Y1303" s="25"/>
      <c r="Z1303" s="25"/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</row>
    <row r="1304">
      <c r="A1304" s="24"/>
      <c r="B1304" s="13"/>
      <c r="C1304" s="62"/>
      <c r="D1304" s="14"/>
      <c r="E1304" s="15"/>
      <c r="F1304" s="16"/>
      <c r="G1304" s="17" t="str">
        <f t="shared" si="61"/>
        <v/>
      </c>
      <c r="H1304" s="18" t="str">
        <f t="shared" si="73"/>
        <v/>
      </c>
      <c r="I1304" s="19" t="str">
        <f t="shared" si="65"/>
        <v/>
      </c>
      <c r="J1304" s="20" t="str">
        <f t="shared" si="25"/>
        <v/>
      </c>
      <c r="K1304" s="20"/>
      <c r="L1304" s="20"/>
      <c r="M1304" s="20"/>
      <c r="N1304" s="21"/>
      <c r="O1304" s="22" t="str">
        <f>IFERROR(__xludf.DUMMYFUNCTION("IFERROR(
  VLOOKUP(C1304,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C1304
    ), 
    7, FALSE
  ), 
  """"
)
"),"")</f>
        <v/>
      </c>
      <c r="P1304" s="22"/>
      <c r="Q1304" s="23" t="str">
        <f t="shared" si="4"/>
        <v/>
      </c>
      <c r="R1304" s="20"/>
      <c r="S1304" s="18"/>
      <c r="T1304" s="24"/>
      <c r="U1304" s="24"/>
      <c r="V1304" s="24"/>
      <c r="W1304" s="24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</row>
    <row r="1305">
      <c r="A1305" s="37"/>
      <c r="B1305" s="25"/>
      <c r="C1305" s="60"/>
      <c r="D1305" s="27"/>
      <c r="E1305" s="28"/>
      <c r="F1305" s="29"/>
      <c r="G1305" s="30" t="str">
        <f t="shared" si="61"/>
        <v/>
      </c>
      <c r="H1305" s="31" t="str">
        <f t="shared" si="73"/>
        <v/>
      </c>
      <c r="I1305" s="32" t="str">
        <f t="shared" si="65"/>
        <v/>
      </c>
      <c r="J1305" s="33" t="str">
        <f t="shared" si="25"/>
        <v/>
      </c>
      <c r="K1305" s="33"/>
      <c r="L1305" s="33"/>
      <c r="M1305" s="33"/>
      <c r="N1305" s="34"/>
      <c r="O1305" s="35" t="str">
        <f>IFERROR(__xludf.DUMMYFUNCTION("IFERROR(
  VLOOKUP(C1305,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C1305
    ), 
    7, FALSE
  ), 
  """"
)
"),"")</f>
        <v/>
      </c>
      <c r="P1305" s="35"/>
      <c r="Q1305" s="36" t="str">
        <f t="shared" si="4"/>
        <v/>
      </c>
      <c r="R1305" s="33"/>
      <c r="S1305" s="31"/>
      <c r="T1305" s="37"/>
      <c r="U1305" s="37"/>
      <c r="V1305" s="37"/>
      <c r="W1305" s="37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</row>
    <row r="1306">
      <c r="A1306" s="24"/>
      <c r="B1306" s="13"/>
      <c r="C1306" s="62"/>
      <c r="D1306" s="14"/>
      <c r="E1306" s="15"/>
      <c r="F1306" s="16"/>
      <c r="G1306" s="17" t="str">
        <f t="shared" si="61"/>
        <v/>
      </c>
      <c r="H1306" s="18" t="str">
        <f t="shared" si="73"/>
        <v/>
      </c>
      <c r="I1306" s="19" t="str">
        <f t="shared" si="65"/>
        <v/>
      </c>
      <c r="J1306" s="20" t="str">
        <f t="shared" si="25"/>
        <v/>
      </c>
      <c r="K1306" s="20"/>
      <c r="L1306" s="20"/>
      <c r="M1306" s="20"/>
      <c r="N1306" s="21"/>
      <c r="O1306" s="22" t="str">
        <f>IFERROR(__xludf.DUMMYFUNCTION("IFERROR(
  VLOOKUP(C1306,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C1306
    ), 
    7, FALSE
  ), 
  """"
)
"),"")</f>
        <v/>
      </c>
      <c r="P1306" s="22"/>
      <c r="Q1306" s="23" t="str">
        <f t="shared" si="4"/>
        <v/>
      </c>
      <c r="R1306" s="20"/>
      <c r="S1306" s="18"/>
      <c r="T1306" s="24"/>
      <c r="U1306" s="24"/>
      <c r="V1306" s="24"/>
      <c r="W1306" s="24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</row>
    <row r="1307">
      <c r="A1307" s="37"/>
      <c r="B1307" s="25"/>
      <c r="C1307" s="60"/>
      <c r="D1307" s="27"/>
      <c r="E1307" s="28"/>
      <c r="F1307" s="29"/>
      <c r="G1307" s="30" t="str">
        <f t="shared" si="61"/>
        <v/>
      </c>
      <c r="H1307" s="31" t="str">
        <f t="shared" si="73"/>
        <v/>
      </c>
      <c r="I1307" s="32" t="str">
        <f t="shared" si="65"/>
        <v/>
      </c>
      <c r="J1307" s="33" t="str">
        <f t="shared" si="25"/>
        <v/>
      </c>
      <c r="K1307" s="33"/>
      <c r="L1307" s="33"/>
      <c r="M1307" s="33"/>
      <c r="N1307" s="34"/>
      <c r="O1307" s="35" t="str">
        <f>IFERROR(__xludf.DUMMYFUNCTION("IFERROR(
  VLOOKUP(C1307,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C1307
    ), 
    7, FALSE
  ), 
  """"
)
"),"")</f>
        <v/>
      </c>
      <c r="P1307" s="35"/>
      <c r="Q1307" s="36" t="str">
        <f t="shared" si="4"/>
        <v/>
      </c>
      <c r="R1307" s="33"/>
      <c r="S1307" s="31"/>
      <c r="T1307" s="37"/>
      <c r="U1307" s="37"/>
      <c r="V1307" s="37"/>
      <c r="W1307" s="37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</row>
    <row r="1308">
      <c r="A1308" s="24"/>
      <c r="B1308" s="13"/>
      <c r="C1308" s="62"/>
      <c r="D1308" s="14"/>
      <c r="E1308" s="15"/>
      <c r="F1308" s="16"/>
      <c r="G1308" s="17" t="str">
        <f t="shared" si="61"/>
        <v/>
      </c>
      <c r="H1308" s="18" t="str">
        <f t="shared" si="73"/>
        <v/>
      </c>
      <c r="I1308" s="19" t="str">
        <f t="shared" si="65"/>
        <v/>
      </c>
      <c r="J1308" s="20" t="str">
        <f t="shared" si="25"/>
        <v/>
      </c>
      <c r="K1308" s="20"/>
      <c r="L1308" s="20"/>
      <c r="M1308" s="20"/>
      <c r="N1308" s="21"/>
      <c r="O1308" s="22" t="str">
        <f>IFERROR(__xludf.DUMMYFUNCTION("IFERROR(
  VLOOKUP(C1308,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C1308
    ), 
    7, FALSE
  ), 
  """"
)
"),"")</f>
        <v/>
      </c>
      <c r="P1308" s="22"/>
      <c r="Q1308" s="23" t="str">
        <f t="shared" si="4"/>
        <v/>
      </c>
      <c r="R1308" s="20"/>
      <c r="S1308" s="18"/>
      <c r="T1308" s="24"/>
      <c r="U1308" s="24"/>
      <c r="V1308" s="24"/>
      <c r="W1308" s="24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</row>
    <row r="1309">
      <c r="A1309" s="37"/>
      <c r="B1309" s="25"/>
      <c r="C1309" s="60"/>
      <c r="D1309" s="27"/>
      <c r="E1309" s="28"/>
      <c r="F1309" s="29"/>
      <c r="G1309" s="30" t="str">
        <f t="shared" si="61"/>
        <v/>
      </c>
      <c r="H1309" s="31" t="str">
        <f t="shared" si="73"/>
        <v/>
      </c>
      <c r="I1309" s="32" t="str">
        <f t="shared" si="65"/>
        <v/>
      </c>
      <c r="J1309" s="33" t="str">
        <f t="shared" si="25"/>
        <v/>
      </c>
      <c r="K1309" s="33"/>
      <c r="L1309" s="33"/>
      <c r="M1309" s="33"/>
      <c r="N1309" s="34"/>
      <c r="O1309" s="35" t="str">
        <f>IFERROR(__xludf.DUMMYFUNCTION("IFERROR(
  VLOOKUP(C1309,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C1309
    ), 
    7, FALSE
  ), 
  """"
)
"),"")</f>
        <v/>
      </c>
      <c r="P1309" s="35"/>
      <c r="Q1309" s="36" t="str">
        <f t="shared" si="4"/>
        <v/>
      </c>
      <c r="R1309" s="33"/>
      <c r="S1309" s="31"/>
      <c r="T1309" s="37"/>
      <c r="U1309" s="37"/>
      <c r="V1309" s="37"/>
      <c r="W1309" s="37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</row>
    <row r="1310">
      <c r="A1310" s="24"/>
      <c r="B1310" s="13"/>
      <c r="C1310" s="62"/>
      <c r="D1310" s="14"/>
      <c r="E1310" s="15"/>
      <c r="F1310" s="16"/>
      <c r="G1310" s="17" t="str">
        <f t="shared" si="61"/>
        <v/>
      </c>
      <c r="H1310" s="18" t="str">
        <f t="shared" si="73"/>
        <v/>
      </c>
      <c r="I1310" s="19" t="str">
        <f t="shared" si="65"/>
        <v/>
      </c>
      <c r="J1310" s="20" t="str">
        <f t="shared" si="25"/>
        <v/>
      </c>
      <c r="K1310" s="20"/>
      <c r="L1310" s="20"/>
      <c r="M1310" s="20"/>
      <c r="N1310" s="21"/>
      <c r="O1310" s="22" t="str">
        <f>IFERROR(__xludf.DUMMYFUNCTION("IFERROR(
  VLOOKUP(C1310,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C1310
    ), 
    7, FALSE
  ), 
  """"
)
"),"")</f>
        <v/>
      </c>
      <c r="P1310" s="22"/>
      <c r="Q1310" s="23" t="str">
        <f t="shared" si="4"/>
        <v/>
      </c>
      <c r="R1310" s="20"/>
      <c r="S1310" s="18"/>
      <c r="T1310" s="24"/>
      <c r="U1310" s="24"/>
      <c r="V1310" s="24"/>
      <c r="W1310" s="24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</row>
    <row r="1311">
      <c r="A1311" s="37"/>
      <c r="B1311" s="25"/>
      <c r="C1311" s="60"/>
      <c r="D1311" s="27"/>
      <c r="E1311" s="28"/>
      <c r="F1311" s="29"/>
      <c r="G1311" s="30" t="str">
        <f t="shared" si="61"/>
        <v/>
      </c>
      <c r="H1311" s="31" t="str">
        <f t="shared" si="73"/>
        <v/>
      </c>
      <c r="I1311" s="32" t="str">
        <f t="shared" si="65"/>
        <v/>
      </c>
      <c r="J1311" s="33" t="str">
        <f t="shared" si="25"/>
        <v/>
      </c>
      <c r="K1311" s="33"/>
      <c r="L1311" s="33"/>
      <c r="M1311" s="33"/>
      <c r="N1311" s="34"/>
      <c r="O1311" s="35" t="str">
        <f>IFERROR(__xludf.DUMMYFUNCTION("IFERROR(
  VLOOKUP(C1311,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C1311
    ), 
    7, FALSE
  ), 
  """"
)
"),"")</f>
        <v/>
      </c>
      <c r="P1311" s="35"/>
      <c r="Q1311" s="36" t="str">
        <f t="shared" si="4"/>
        <v/>
      </c>
      <c r="R1311" s="33"/>
      <c r="S1311" s="31"/>
      <c r="T1311" s="37"/>
      <c r="U1311" s="37"/>
      <c r="V1311" s="37"/>
      <c r="W1311" s="37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</row>
    <row r="1312">
      <c r="A1312" s="24"/>
      <c r="B1312" s="13"/>
      <c r="C1312" s="62"/>
      <c r="D1312" s="14"/>
      <c r="E1312" s="15"/>
      <c r="F1312" s="16"/>
      <c r="G1312" s="17" t="str">
        <f t="shared" si="61"/>
        <v/>
      </c>
      <c r="H1312" s="18" t="str">
        <f t="shared" si="73"/>
        <v/>
      </c>
      <c r="I1312" s="19" t="str">
        <f t="shared" si="65"/>
        <v/>
      </c>
      <c r="J1312" s="20" t="str">
        <f t="shared" si="25"/>
        <v/>
      </c>
      <c r="K1312" s="20"/>
      <c r="L1312" s="20"/>
      <c r="M1312" s="20"/>
      <c r="N1312" s="21"/>
      <c r="O1312" s="22" t="str">
        <f>IFERROR(__xludf.DUMMYFUNCTION("IFERROR(
  VLOOKUP(C1312,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C1312
    ), 
    7, FALSE
  ), 
  """"
)
"),"")</f>
        <v/>
      </c>
      <c r="P1312" s="22"/>
      <c r="Q1312" s="23" t="str">
        <f t="shared" si="4"/>
        <v/>
      </c>
      <c r="R1312" s="20"/>
      <c r="S1312" s="18"/>
      <c r="T1312" s="24"/>
      <c r="U1312" s="24"/>
      <c r="V1312" s="24"/>
      <c r="W1312" s="24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</row>
    <row r="1313">
      <c r="A1313" s="37"/>
      <c r="B1313" s="25"/>
      <c r="C1313" s="60"/>
      <c r="D1313" s="27"/>
      <c r="E1313" s="28"/>
      <c r="F1313" s="29"/>
      <c r="G1313" s="30" t="str">
        <f t="shared" si="61"/>
        <v/>
      </c>
      <c r="H1313" s="31" t="str">
        <f t="shared" si="73"/>
        <v/>
      </c>
      <c r="I1313" s="32" t="str">
        <f t="shared" si="65"/>
        <v/>
      </c>
      <c r="J1313" s="33" t="str">
        <f t="shared" si="25"/>
        <v/>
      </c>
      <c r="K1313" s="33"/>
      <c r="L1313" s="33"/>
      <c r="M1313" s="33"/>
      <c r="N1313" s="34"/>
      <c r="O1313" s="35" t="str">
        <f>IFERROR(__xludf.DUMMYFUNCTION("IFERROR(
  VLOOKUP(C1313,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C1313
    ), 
    7, FALSE
  ), 
  """"
)
"),"")</f>
        <v/>
      </c>
      <c r="P1313" s="35"/>
      <c r="Q1313" s="36" t="str">
        <f t="shared" si="4"/>
        <v/>
      </c>
      <c r="R1313" s="33"/>
      <c r="S1313" s="31"/>
      <c r="T1313" s="37"/>
      <c r="U1313" s="37"/>
      <c r="V1313" s="37"/>
      <c r="W1313" s="37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</row>
    <row r="1314">
      <c r="A1314" s="24"/>
      <c r="B1314" s="13"/>
      <c r="C1314" s="62"/>
      <c r="D1314" s="14"/>
      <c r="E1314" s="15"/>
      <c r="F1314" s="16"/>
      <c r="G1314" s="17" t="str">
        <f t="shared" si="61"/>
        <v/>
      </c>
      <c r="H1314" s="18" t="str">
        <f t="shared" si="73"/>
        <v/>
      </c>
      <c r="I1314" s="19" t="str">
        <f t="shared" si="65"/>
        <v/>
      </c>
      <c r="J1314" s="20" t="str">
        <f t="shared" si="25"/>
        <v/>
      </c>
      <c r="K1314" s="20"/>
      <c r="L1314" s="20"/>
      <c r="M1314" s="20"/>
      <c r="N1314" s="21"/>
      <c r="O1314" s="22" t="str">
        <f>IFERROR(__xludf.DUMMYFUNCTION("IFERROR(
  VLOOKUP(C1314,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C1314
    ), 
    7, FALSE
  ), 
  """"
)
"),"")</f>
        <v/>
      </c>
      <c r="P1314" s="22"/>
      <c r="Q1314" s="23" t="str">
        <f t="shared" si="4"/>
        <v/>
      </c>
      <c r="R1314" s="20"/>
      <c r="S1314" s="18"/>
      <c r="T1314" s="24"/>
      <c r="U1314" s="24"/>
      <c r="V1314" s="24"/>
      <c r="W1314" s="24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</row>
    <row r="1315">
      <c r="A1315" s="37"/>
      <c r="B1315" s="25"/>
      <c r="C1315" s="60"/>
      <c r="D1315" s="27"/>
      <c r="E1315" s="28"/>
      <c r="F1315" s="29"/>
      <c r="G1315" s="30" t="str">
        <f t="shared" si="61"/>
        <v/>
      </c>
      <c r="H1315" s="31" t="str">
        <f t="shared" si="73"/>
        <v/>
      </c>
      <c r="I1315" s="32" t="str">
        <f t="shared" si="65"/>
        <v/>
      </c>
      <c r="J1315" s="33" t="str">
        <f t="shared" si="25"/>
        <v/>
      </c>
      <c r="K1315" s="33"/>
      <c r="L1315" s="33"/>
      <c r="M1315" s="33"/>
      <c r="N1315" s="34"/>
      <c r="O1315" s="35" t="str">
        <f>IFERROR(__xludf.DUMMYFUNCTION("IFERROR(
  VLOOKUP(C1315,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C1315
    ), 
    7, FALSE
  ), 
  """"
)
"),"")</f>
        <v/>
      </c>
      <c r="P1315" s="35"/>
      <c r="Q1315" s="36" t="str">
        <f t="shared" si="4"/>
        <v/>
      </c>
      <c r="R1315" s="33"/>
      <c r="S1315" s="31"/>
      <c r="T1315" s="37"/>
      <c r="U1315" s="37"/>
      <c r="V1315" s="37"/>
      <c r="W1315" s="37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</row>
    <row r="1316">
      <c r="A1316" s="24"/>
      <c r="B1316" s="13"/>
      <c r="C1316" s="62"/>
      <c r="D1316" s="14"/>
      <c r="E1316" s="15"/>
      <c r="F1316" s="16"/>
      <c r="G1316" s="17" t="str">
        <f t="shared" si="61"/>
        <v/>
      </c>
      <c r="H1316" s="18" t="str">
        <f t="shared" si="73"/>
        <v/>
      </c>
      <c r="I1316" s="19" t="str">
        <f t="shared" si="65"/>
        <v/>
      </c>
      <c r="J1316" s="20" t="str">
        <f t="shared" si="25"/>
        <v/>
      </c>
      <c r="K1316" s="20"/>
      <c r="L1316" s="20"/>
      <c r="M1316" s="20"/>
      <c r="N1316" s="21"/>
      <c r="O1316" s="22" t="str">
        <f>IFERROR(__xludf.DUMMYFUNCTION("IFERROR(
  VLOOKUP(C1316,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C1316
    ), 
    7, FALSE
  ), 
  """"
)
"),"")</f>
        <v/>
      </c>
      <c r="P1316" s="22"/>
      <c r="Q1316" s="23" t="str">
        <f t="shared" si="4"/>
        <v/>
      </c>
      <c r="R1316" s="20"/>
      <c r="S1316" s="18"/>
      <c r="T1316" s="24"/>
      <c r="U1316" s="24"/>
      <c r="V1316" s="24"/>
      <c r="W1316" s="24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</row>
    <row r="1317">
      <c r="A1317" s="37"/>
      <c r="B1317" s="25"/>
      <c r="C1317" s="60"/>
      <c r="D1317" s="27"/>
      <c r="E1317" s="28"/>
      <c r="F1317" s="29"/>
      <c r="G1317" s="30" t="str">
        <f t="shared" si="61"/>
        <v/>
      </c>
      <c r="H1317" s="31" t="str">
        <f t="shared" si="73"/>
        <v/>
      </c>
      <c r="I1317" s="32" t="str">
        <f t="shared" si="65"/>
        <v/>
      </c>
      <c r="J1317" s="33" t="str">
        <f t="shared" si="25"/>
        <v/>
      </c>
      <c r="K1317" s="33"/>
      <c r="L1317" s="33"/>
      <c r="M1317" s="33"/>
      <c r="N1317" s="34"/>
      <c r="O1317" s="35" t="str">
        <f>IFERROR(__xludf.DUMMYFUNCTION("IFERROR(
  VLOOKUP(C1317,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C1317
    ), 
    7, FALSE
  ), 
  """"
)
"),"")</f>
        <v/>
      </c>
      <c r="P1317" s="35"/>
      <c r="Q1317" s="36" t="str">
        <f t="shared" si="4"/>
        <v/>
      </c>
      <c r="R1317" s="33"/>
      <c r="S1317" s="31"/>
      <c r="T1317" s="37"/>
      <c r="U1317" s="37"/>
      <c r="V1317" s="37"/>
      <c r="W1317" s="37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</row>
    <row r="1318">
      <c r="A1318" s="24"/>
      <c r="B1318" s="13"/>
      <c r="C1318" s="62"/>
      <c r="D1318" s="14"/>
      <c r="E1318" s="15"/>
      <c r="F1318" s="16"/>
      <c r="G1318" s="17" t="str">
        <f t="shared" si="61"/>
        <v/>
      </c>
      <c r="H1318" s="18" t="str">
        <f t="shared" si="73"/>
        <v/>
      </c>
      <c r="I1318" s="19" t="str">
        <f t="shared" si="65"/>
        <v/>
      </c>
      <c r="J1318" s="20" t="str">
        <f t="shared" si="25"/>
        <v/>
      </c>
      <c r="K1318" s="20"/>
      <c r="L1318" s="20"/>
      <c r="M1318" s="20"/>
      <c r="N1318" s="21"/>
      <c r="O1318" s="22" t="str">
        <f>IFERROR(__xludf.DUMMYFUNCTION("IFERROR(
  VLOOKUP(C1318,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C1318
    ), 
    7, FALSE
  ), 
  """"
)
"),"")</f>
        <v/>
      </c>
      <c r="P1318" s="22"/>
      <c r="Q1318" s="23" t="str">
        <f t="shared" si="4"/>
        <v/>
      </c>
      <c r="R1318" s="20"/>
      <c r="S1318" s="18"/>
      <c r="T1318" s="24"/>
      <c r="U1318" s="24"/>
      <c r="V1318" s="24"/>
      <c r="W1318" s="24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</row>
    <row r="1319">
      <c r="A1319" s="37"/>
      <c r="B1319" s="25"/>
      <c r="C1319" s="60"/>
      <c r="D1319" s="27"/>
      <c r="E1319" s="28"/>
      <c r="F1319" s="29"/>
      <c r="G1319" s="30" t="str">
        <f t="shared" si="61"/>
        <v/>
      </c>
      <c r="H1319" s="31" t="str">
        <f t="shared" si="73"/>
        <v/>
      </c>
      <c r="I1319" s="32" t="str">
        <f t="shared" si="65"/>
        <v/>
      </c>
      <c r="J1319" s="33" t="str">
        <f t="shared" si="25"/>
        <v/>
      </c>
      <c r="K1319" s="33"/>
      <c r="L1319" s="33"/>
      <c r="M1319" s="33"/>
      <c r="N1319" s="34"/>
      <c r="O1319" s="35" t="str">
        <f>IFERROR(__xludf.DUMMYFUNCTION("IFERROR(
  VLOOKUP(C1319,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C1319
    ), 
    7, FALSE
  ), 
  """"
)
"),"")</f>
        <v/>
      </c>
      <c r="P1319" s="35"/>
      <c r="Q1319" s="36" t="str">
        <f t="shared" si="4"/>
        <v/>
      </c>
      <c r="R1319" s="33"/>
      <c r="S1319" s="31"/>
      <c r="T1319" s="37"/>
      <c r="U1319" s="37"/>
      <c r="V1319" s="37"/>
      <c r="W1319" s="37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</row>
    <row r="1320">
      <c r="A1320" s="24"/>
      <c r="B1320" s="13"/>
      <c r="C1320" s="62"/>
      <c r="D1320" s="14"/>
      <c r="E1320" s="15"/>
      <c r="F1320" s="16"/>
      <c r="G1320" s="17" t="str">
        <f t="shared" si="61"/>
        <v/>
      </c>
      <c r="H1320" s="18" t="str">
        <f t="shared" si="73"/>
        <v/>
      </c>
      <c r="I1320" s="19" t="str">
        <f t="shared" si="65"/>
        <v/>
      </c>
      <c r="J1320" s="20" t="str">
        <f t="shared" si="25"/>
        <v/>
      </c>
      <c r="K1320" s="20"/>
      <c r="L1320" s="20"/>
      <c r="M1320" s="20"/>
      <c r="N1320" s="21"/>
      <c r="O1320" s="22" t="str">
        <f>IFERROR(__xludf.DUMMYFUNCTION("IFERROR(
  VLOOKUP(C1320,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C1320
    ), 
    7, FALSE
  ), 
  """"
)
"),"")</f>
        <v/>
      </c>
      <c r="P1320" s="22"/>
      <c r="Q1320" s="23" t="str">
        <f t="shared" si="4"/>
        <v/>
      </c>
      <c r="R1320" s="20"/>
      <c r="S1320" s="18"/>
      <c r="T1320" s="24"/>
      <c r="U1320" s="24"/>
      <c r="V1320" s="24"/>
      <c r="W1320" s="24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</row>
    <row r="1321">
      <c r="A1321" s="37"/>
      <c r="B1321" s="25"/>
      <c r="C1321" s="60"/>
      <c r="D1321" s="27"/>
      <c r="E1321" s="28"/>
      <c r="F1321" s="29"/>
      <c r="G1321" s="30" t="str">
        <f t="shared" si="61"/>
        <v/>
      </c>
      <c r="H1321" s="31" t="str">
        <f t="shared" si="73"/>
        <v/>
      </c>
      <c r="I1321" s="32" t="str">
        <f t="shared" si="65"/>
        <v/>
      </c>
      <c r="J1321" s="33" t="str">
        <f t="shared" si="25"/>
        <v/>
      </c>
      <c r="K1321" s="33"/>
      <c r="L1321" s="33"/>
      <c r="M1321" s="33"/>
      <c r="N1321" s="34"/>
      <c r="O1321" s="35" t="str">
        <f>IFERROR(__xludf.DUMMYFUNCTION("IFERROR(
  VLOOKUP(C1321,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C1321
    ), 
    7, FALSE
  ), 
  """"
)
"),"")</f>
        <v/>
      </c>
      <c r="P1321" s="35"/>
      <c r="Q1321" s="36" t="str">
        <f t="shared" si="4"/>
        <v/>
      </c>
      <c r="R1321" s="33"/>
      <c r="S1321" s="31"/>
      <c r="T1321" s="37"/>
      <c r="U1321" s="37"/>
      <c r="V1321" s="37"/>
      <c r="W1321" s="37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</row>
    <row r="1322">
      <c r="A1322" s="24"/>
      <c r="B1322" s="13"/>
      <c r="C1322" s="62"/>
      <c r="D1322" s="14"/>
      <c r="E1322" s="15"/>
      <c r="F1322" s="16"/>
      <c r="G1322" s="17" t="str">
        <f t="shared" si="61"/>
        <v/>
      </c>
      <c r="H1322" s="18" t="str">
        <f t="shared" si="73"/>
        <v/>
      </c>
      <c r="I1322" s="19" t="str">
        <f t="shared" si="65"/>
        <v/>
      </c>
      <c r="J1322" s="20" t="str">
        <f t="shared" si="25"/>
        <v/>
      </c>
      <c r="K1322" s="20"/>
      <c r="L1322" s="20"/>
      <c r="M1322" s="20"/>
      <c r="N1322" s="21"/>
      <c r="O1322" s="22" t="str">
        <f>IFERROR(__xludf.DUMMYFUNCTION("IFERROR(
  VLOOKUP(C1322,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C1322
    ), 
    7, FALSE
  ), 
  """"
)
"),"")</f>
        <v/>
      </c>
      <c r="P1322" s="22"/>
      <c r="Q1322" s="23" t="str">
        <f t="shared" si="4"/>
        <v/>
      </c>
      <c r="R1322" s="20"/>
      <c r="S1322" s="18"/>
      <c r="T1322" s="24"/>
      <c r="U1322" s="24"/>
      <c r="V1322" s="24"/>
      <c r="W1322" s="24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</row>
    <row r="1323">
      <c r="A1323" s="37"/>
      <c r="B1323" s="25"/>
      <c r="C1323" s="60"/>
      <c r="D1323" s="27"/>
      <c r="E1323" s="28"/>
      <c r="F1323" s="29"/>
      <c r="G1323" s="30" t="str">
        <f t="shared" si="61"/>
        <v/>
      </c>
      <c r="H1323" s="31" t="str">
        <f t="shared" si="73"/>
        <v/>
      </c>
      <c r="I1323" s="32" t="str">
        <f t="shared" si="65"/>
        <v/>
      </c>
      <c r="J1323" s="33" t="str">
        <f t="shared" si="25"/>
        <v/>
      </c>
      <c r="K1323" s="33"/>
      <c r="L1323" s="33"/>
      <c r="M1323" s="33"/>
      <c r="N1323" s="34"/>
      <c r="O1323" s="35" t="str">
        <f>IFERROR(__xludf.DUMMYFUNCTION("IFERROR(
  VLOOKUP(C1323,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C1323
    ), 
    7, FALSE
  ), 
  """"
)
"),"")</f>
        <v/>
      </c>
      <c r="P1323" s="35"/>
      <c r="Q1323" s="36" t="str">
        <f t="shared" si="4"/>
        <v/>
      </c>
      <c r="R1323" s="33"/>
      <c r="S1323" s="31"/>
      <c r="T1323" s="37"/>
      <c r="U1323" s="37"/>
      <c r="V1323" s="37"/>
      <c r="W1323" s="37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</row>
    <row r="1324">
      <c r="A1324" s="24"/>
      <c r="B1324" s="13"/>
      <c r="C1324" s="62"/>
      <c r="D1324" s="14"/>
      <c r="E1324" s="15"/>
      <c r="F1324" s="16"/>
      <c r="G1324" s="17" t="str">
        <f t="shared" si="61"/>
        <v/>
      </c>
      <c r="H1324" s="18" t="str">
        <f t="shared" si="73"/>
        <v/>
      </c>
      <c r="I1324" s="19" t="str">
        <f t="shared" si="65"/>
        <v/>
      </c>
      <c r="J1324" s="20" t="str">
        <f t="shared" si="25"/>
        <v/>
      </c>
      <c r="K1324" s="20"/>
      <c r="L1324" s="20"/>
      <c r="M1324" s="20"/>
      <c r="N1324" s="21"/>
      <c r="O1324" s="22" t="str">
        <f>IFERROR(__xludf.DUMMYFUNCTION("IFERROR(
  VLOOKUP(C1324,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C1324
    ), 
    7, FALSE
  ), 
  """"
)
"),"")</f>
        <v/>
      </c>
      <c r="P1324" s="22"/>
      <c r="Q1324" s="23" t="str">
        <f t="shared" si="4"/>
        <v/>
      </c>
      <c r="R1324" s="20"/>
      <c r="S1324" s="18"/>
      <c r="T1324" s="24"/>
      <c r="U1324" s="24"/>
      <c r="V1324" s="24"/>
      <c r="W1324" s="24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</row>
    <row r="1325">
      <c r="A1325" s="37"/>
      <c r="B1325" s="25"/>
      <c r="C1325" s="60"/>
      <c r="D1325" s="27"/>
      <c r="E1325" s="28"/>
      <c r="F1325" s="29"/>
      <c r="G1325" s="30" t="str">
        <f t="shared" si="61"/>
        <v/>
      </c>
      <c r="H1325" s="31" t="str">
        <f t="shared" si="73"/>
        <v/>
      </c>
      <c r="I1325" s="32" t="str">
        <f t="shared" si="65"/>
        <v/>
      </c>
      <c r="J1325" s="33" t="str">
        <f t="shared" si="25"/>
        <v/>
      </c>
      <c r="K1325" s="33"/>
      <c r="L1325" s="33"/>
      <c r="M1325" s="33"/>
      <c r="N1325" s="34"/>
      <c r="O1325" s="35" t="str">
        <f>IFERROR(__xludf.DUMMYFUNCTION("IFERROR(
  VLOOKUP(C1325,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C1325
    ), 
    7, FALSE
  ), 
  """"
)
"),"")</f>
        <v/>
      </c>
      <c r="P1325" s="35"/>
      <c r="Q1325" s="36" t="str">
        <f t="shared" si="4"/>
        <v/>
      </c>
      <c r="R1325" s="33"/>
      <c r="S1325" s="31"/>
      <c r="T1325" s="37"/>
      <c r="U1325" s="37"/>
      <c r="V1325" s="37"/>
      <c r="W1325" s="37"/>
      <c r="X1325" s="25"/>
      <c r="Y1325" s="25"/>
      <c r="Z1325" s="25"/>
      <c r="AA1325" s="25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</row>
    <row r="1326">
      <c r="A1326" s="24"/>
      <c r="B1326" s="13"/>
      <c r="C1326" s="62"/>
      <c r="D1326" s="14"/>
      <c r="E1326" s="15"/>
      <c r="F1326" s="16"/>
      <c r="G1326" s="17" t="str">
        <f t="shared" si="61"/>
        <v/>
      </c>
      <c r="H1326" s="18" t="str">
        <f t="shared" si="73"/>
        <v/>
      </c>
      <c r="I1326" s="19" t="str">
        <f t="shared" si="65"/>
        <v/>
      </c>
      <c r="J1326" s="20" t="str">
        <f t="shared" si="25"/>
        <v/>
      </c>
      <c r="K1326" s="20"/>
      <c r="L1326" s="20"/>
      <c r="M1326" s="20"/>
      <c r="N1326" s="21"/>
      <c r="O1326" s="22" t="str">
        <f>IFERROR(__xludf.DUMMYFUNCTION("IFERROR(
  VLOOKUP(C1326,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C1326
    ), 
    7, FALSE
  ), 
  """"
)
"),"")</f>
        <v/>
      </c>
      <c r="P1326" s="22"/>
      <c r="Q1326" s="23" t="str">
        <f t="shared" si="4"/>
        <v/>
      </c>
      <c r="R1326" s="20"/>
      <c r="S1326" s="18"/>
      <c r="T1326" s="24"/>
      <c r="U1326" s="24"/>
      <c r="V1326" s="24"/>
      <c r="W1326" s="24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</row>
    <row r="1327">
      <c r="A1327" s="37"/>
      <c r="B1327" s="25"/>
      <c r="C1327" s="60"/>
      <c r="D1327" s="27"/>
      <c r="E1327" s="28"/>
      <c r="F1327" s="29"/>
      <c r="G1327" s="30" t="str">
        <f t="shared" si="61"/>
        <v/>
      </c>
      <c r="H1327" s="31" t="str">
        <f t="shared" si="73"/>
        <v/>
      </c>
      <c r="I1327" s="32" t="str">
        <f t="shared" si="65"/>
        <v/>
      </c>
      <c r="J1327" s="33" t="str">
        <f t="shared" si="25"/>
        <v/>
      </c>
      <c r="K1327" s="33"/>
      <c r="L1327" s="33"/>
      <c r="M1327" s="33"/>
      <c r="N1327" s="34"/>
      <c r="O1327" s="35" t="str">
        <f>IFERROR(__xludf.DUMMYFUNCTION("IFERROR(
  VLOOKUP(C1327,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C1327
    ), 
    7, FALSE
  ), 
  """"
)
"),"")</f>
        <v/>
      </c>
      <c r="P1327" s="35"/>
      <c r="Q1327" s="36" t="str">
        <f t="shared" si="4"/>
        <v/>
      </c>
      <c r="R1327" s="33"/>
      <c r="S1327" s="31"/>
      <c r="T1327" s="37"/>
      <c r="U1327" s="37"/>
      <c r="V1327" s="37"/>
      <c r="W1327" s="37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</row>
    <row r="1328">
      <c r="A1328" s="24"/>
      <c r="B1328" s="13"/>
      <c r="C1328" s="62"/>
      <c r="D1328" s="14"/>
      <c r="E1328" s="15"/>
      <c r="F1328" s="16"/>
      <c r="G1328" s="17" t="str">
        <f t="shared" si="61"/>
        <v/>
      </c>
      <c r="H1328" s="18" t="str">
        <f t="shared" si="73"/>
        <v/>
      </c>
      <c r="I1328" s="19" t="str">
        <f t="shared" si="65"/>
        <v/>
      </c>
      <c r="J1328" s="20" t="str">
        <f t="shared" si="25"/>
        <v/>
      </c>
      <c r="K1328" s="20"/>
      <c r="L1328" s="20"/>
      <c r="M1328" s="20"/>
      <c r="N1328" s="21"/>
      <c r="O1328" s="22" t="str">
        <f>IFERROR(__xludf.DUMMYFUNCTION("IFERROR(
  VLOOKUP(C1328,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C1328
    ), 
    7, FALSE
  ), 
  """"
)
"),"")</f>
        <v/>
      </c>
      <c r="P1328" s="22"/>
      <c r="Q1328" s="23" t="str">
        <f t="shared" si="4"/>
        <v/>
      </c>
      <c r="R1328" s="20"/>
      <c r="S1328" s="18"/>
      <c r="T1328" s="24"/>
      <c r="U1328" s="24"/>
      <c r="V1328" s="24"/>
      <c r="W1328" s="24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</row>
    <row r="1329">
      <c r="A1329" s="37"/>
      <c r="B1329" s="25"/>
      <c r="C1329" s="60"/>
      <c r="D1329" s="27"/>
      <c r="E1329" s="28"/>
      <c r="F1329" s="29"/>
      <c r="G1329" s="30" t="str">
        <f t="shared" si="61"/>
        <v/>
      </c>
      <c r="H1329" s="31" t="str">
        <f t="shared" si="73"/>
        <v/>
      </c>
      <c r="I1329" s="32" t="str">
        <f t="shared" si="65"/>
        <v/>
      </c>
      <c r="J1329" s="33" t="str">
        <f t="shared" si="25"/>
        <v/>
      </c>
      <c r="K1329" s="33"/>
      <c r="L1329" s="33"/>
      <c r="M1329" s="33"/>
      <c r="N1329" s="34"/>
      <c r="O1329" s="35" t="str">
        <f>IFERROR(__xludf.DUMMYFUNCTION("IFERROR(
  VLOOKUP(C1329,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C1329
    ), 
    7, FALSE
  ), 
  """"
)
"),"")</f>
        <v/>
      </c>
      <c r="P1329" s="35"/>
      <c r="Q1329" s="36" t="str">
        <f t="shared" si="4"/>
        <v/>
      </c>
      <c r="R1329" s="33"/>
      <c r="S1329" s="31"/>
      <c r="T1329" s="37"/>
      <c r="U1329" s="37"/>
      <c r="V1329" s="37"/>
      <c r="W1329" s="37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25"/>
      <c r="AH1329" s="25"/>
      <c r="AI1329" s="25"/>
      <c r="AJ1329" s="25"/>
      <c r="AK1329" s="25"/>
      <c r="AL1329" s="25"/>
      <c r="AM1329" s="25"/>
    </row>
    <row r="1330">
      <c r="A1330" s="24"/>
      <c r="B1330" s="13"/>
      <c r="C1330" s="62"/>
      <c r="D1330" s="14"/>
      <c r="E1330" s="15"/>
      <c r="F1330" s="16"/>
      <c r="G1330" s="17" t="str">
        <f t="shared" si="61"/>
        <v/>
      </c>
      <c r="H1330" s="18" t="str">
        <f t="shared" si="73"/>
        <v/>
      </c>
      <c r="I1330" s="19" t="str">
        <f t="shared" si="65"/>
        <v/>
      </c>
      <c r="J1330" s="20" t="str">
        <f t="shared" si="25"/>
        <v/>
      </c>
      <c r="K1330" s="20"/>
      <c r="L1330" s="20"/>
      <c r="M1330" s="20"/>
      <c r="N1330" s="21"/>
      <c r="O1330" s="22" t="str">
        <f>IFERROR(__xludf.DUMMYFUNCTION("IFERROR(
  VLOOKUP(C1330,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C1330
    ), 
    7, FALSE
  ), 
  """"
)
"),"")</f>
        <v/>
      </c>
      <c r="P1330" s="22"/>
      <c r="Q1330" s="23" t="str">
        <f t="shared" si="4"/>
        <v/>
      </c>
      <c r="R1330" s="20"/>
      <c r="S1330" s="18"/>
      <c r="T1330" s="24"/>
      <c r="U1330" s="24"/>
      <c r="V1330" s="24"/>
      <c r="W1330" s="24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</row>
    <row r="1331">
      <c r="A1331" s="37"/>
      <c r="B1331" s="25"/>
      <c r="C1331" s="60"/>
      <c r="D1331" s="27"/>
      <c r="E1331" s="28"/>
      <c r="F1331" s="29"/>
      <c r="G1331" s="30" t="str">
        <f t="shared" si="61"/>
        <v/>
      </c>
      <c r="H1331" s="31" t="str">
        <f t="shared" si="73"/>
        <v/>
      </c>
      <c r="I1331" s="32" t="str">
        <f t="shared" si="65"/>
        <v/>
      </c>
      <c r="J1331" s="33" t="str">
        <f t="shared" si="25"/>
        <v/>
      </c>
      <c r="K1331" s="33"/>
      <c r="L1331" s="33"/>
      <c r="M1331" s="33"/>
      <c r="N1331" s="34"/>
      <c r="O1331" s="35" t="str">
        <f>IFERROR(__xludf.DUMMYFUNCTION("IFERROR(
  VLOOKUP(C1331,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C1331
    ), 
    7, FALSE
  ), 
  """"
)
"),"")</f>
        <v/>
      </c>
      <c r="P1331" s="35"/>
      <c r="Q1331" s="36" t="str">
        <f t="shared" si="4"/>
        <v/>
      </c>
      <c r="R1331" s="33"/>
      <c r="S1331" s="31"/>
      <c r="T1331" s="37"/>
      <c r="U1331" s="37"/>
      <c r="V1331" s="37"/>
      <c r="W1331" s="37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  <c r="AL1331" s="25"/>
      <c r="AM1331" s="25"/>
    </row>
    <row r="1332">
      <c r="A1332" s="24"/>
      <c r="B1332" s="13"/>
      <c r="C1332" s="62"/>
      <c r="D1332" s="14"/>
      <c r="E1332" s="15"/>
      <c r="F1332" s="16"/>
      <c r="G1332" s="17" t="str">
        <f t="shared" si="61"/>
        <v/>
      </c>
      <c r="H1332" s="18" t="str">
        <f t="shared" si="73"/>
        <v/>
      </c>
      <c r="I1332" s="19" t="str">
        <f t="shared" si="65"/>
        <v/>
      </c>
      <c r="J1332" s="20" t="str">
        <f t="shared" si="25"/>
        <v/>
      </c>
      <c r="K1332" s="20"/>
      <c r="L1332" s="20"/>
      <c r="M1332" s="20"/>
      <c r="N1332" s="21"/>
      <c r="O1332" s="22" t="str">
        <f>IFERROR(__xludf.DUMMYFUNCTION("IFERROR(
  VLOOKUP(C1332,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C1332
    ), 
    7, FALSE
  ), 
  """"
)
"),"")</f>
        <v/>
      </c>
      <c r="P1332" s="22"/>
      <c r="Q1332" s="23" t="str">
        <f t="shared" si="4"/>
        <v/>
      </c>
      <c r="R1332" s="20"/>
      <c r="S1332" s="18"/>
      <c r="T1332" s="24"/>
      <c r="U1332" s="24"/>
      <c r="V1332" s="24"/>
      <c r="W1332" s="24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</row>
    <row r="1333">
      <c r="A1333" s="37"/>
      <c r="B1333" s="25"/>
      <c r="C1333" s="60"/>
      <c r="D1333" s="27"/>
      <c r="E1333" s="28"/>
      <c r="F1333" s="29"/>
      <c r="G1333" s="30" t="str">
        <f t="shared" si="61"/>
        <v/>
      </c>
      <c r="H1333" s="31" t="str">
        <f t="shared" si="73"/>
        <v/>
      </c>
      <c r="I1333" s="32" t="str">
        <f t="shared" si="65"/>
        <v/>
      </c>
      <c r="J1333" s="33" t="str">
        <f t="shared" si="25"/>
        <v/>
      </c>
      <c r="K1333" s="33"/>
      <c r="L1333" s="33"/>
      <c r="M1333" s="33"/>
      <c r="N1333" s="34"/>
      <c r="O1333" s="35" t="str">
        <f>IFERROR(__xludf.DUMMYFUNCTION("IFERROR(
  VLOOKUP(C1333,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C1333
    ), 
    7, FALSE
  ), 
  """"
)
"),"")</f>
        <v/>
      </c>
      <c r="P1333" s="35"/>
      <c r="Q1333" s="36" t="str">
        <f t="shared" si="4"/>
        <v/>
      </c>
      <c r="R1333" s="33"/>
      <c r="S1333" s="31"/>
      <c r="T1333" s="37"/>
      <c r="U1333" s="37"/>
      <c r="V1333" s="37"/>
      <c r="W1333" s="37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</row>
    <row r="1334">
      <c r="A1334" s="24"/>
      <c r="B1334" s="13"/>
      <c r="C1334" s="62"/>
      <c r="D1334" s="14"/>
      <c r="E1334" s="15"/>
      <c r="F1334" s="16"/>
      <c r="G1334" s="17" t="str">
        <f t="shared" si="61"/>
        <v/>
      </c>
      <c r="H1334" s="18" t="str">
        <f t="shared" si="73"/>
        <v/>
      </c>
      <c r="I1334" s="19" t="str">
        <f t="shared" si="65"/>
        <v/>
      </c>
      <c r="J1334" s="20" t="str">
        <f t="shared" si="25"/>
        <v/>
      </c>
      <c r="K1334" s="20"/>
      <c r="L1334" s="20"/>
      <c r="M1334" s="20"/>
      <c r="N1334" s="21"/>
      <c r="O1334" s="22" t="str">
        <f>IFERROR(__xludf.DUMMYFUNCTION("IFERROR(
  VLOOKUP(C1334,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C1334
    ), 
    7, FALSE
  ), 
  """"
)
"),"")</f>
        <v/>
      </c>
      <c r="P1334" s="22"/>
      <c r="Q1334" s="23" t="str">
        <f t="shared" si="4"/>
        <v/>
      </c>
      <c r="R1334" s="20"/>
      <c r="S1334" s="18"/>
      <c r="T1334" s="24"/>
      <c r="U1334" s="24"/>
      <c r="V1334" s="24"/>
      <c r="W1334" s="24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</row>
    <row r="1335">
      <c r="A1335" s="37"/>
      <c r="B1335" s="25"/>
      <c r="C1335" s="60"/>
      <c r="D1335" s="27"/>
      <c r="E1335" s="28"/>
      <c r="F1335" s="29"/>
      <c r="G1335" s="30" t="str">
        <f t="shared" si="61"/>
        <v/>
      </c>
      <c r="H1335" s="31" t="str">
        <f t="shared" si="73"/>
        <v/>
      </c>
      <c r="I1335" s="32" t="str">
        <f t="shared" si="65"/>
        <v/>
      </c>
      <c r="J1335" s="33" t="str">
        <f t="shared" si="25"/>
        <v/>
      </c>
      <c r="K1335" s="33"/>
      <c r="L1335" s="33"/>
      <c r="M1335" s="33"/>
      <c r="N1335" s="34"/>
      <c r="O1335" s="35" t="str">
        <f>IFERROR(__xludf.DUMMYFUNCTION("IFERROR(
  VLOOKUP(C1335,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C1335
    ), 
    7, FALSE
  ), 
  """"
)
"),"")</f>
        <v/>
      </c>
      <c r="P1335" s="35"/>
      <c r="Q1335" s="36" t="str">
        <f t="shared" si="4"/>
        <v/>
      </c>
      <c r="R1335" s="33"/>
      <c r="S1335" s="31"/>
      <c r="T1335" s="37"/>
      <c r="U1335" s="37"/>
      <c r="V1335" s="37"/>
      <c r="W1335" s="37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  <c r="AL1335" s="25"/>
      <c r="AM1335" s="25"/>
    </row>
    <row r="1336">
      <c r="A1336" s="24"/>
      <c r="B1336" s="13"/>
      <c r="C1336" s="62"/>
      <c r="D1336" s="14"/>
      <c r="E1336" s="15"/>
      <c r="F1336" s="16"/>
      <c r="G1336" s="17" t="str">
        <f t="shared" si="61"/>
        <v/>
      </c>
      <c r="H1336" s="18" t="str">
        <f t="shared" si="73"/>
        <v/>
      </c>
      <c r="I1336" s="19" t="str">
        <f t="shared" si="65"/>
        <v/>
      </c>
      <c r="J1336" s="20" t="str">
        <f t="shared" si="25"/>
        <v/>
      </c>
      <c r="K1336" s="20"/>
      <c r="L1336" s="20"/>
      <c r="M1336" s="20"/>
      <c r="N1336" s="21"/>
      <c r="O1336" s="22" t="str">
        <f>IFERROR(__xludf.DUMMYFUNCTION("IFERROR(
  VLOOKUP(C1336,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C1336
    ), 
    7, FALSE
  ), 
  """"
)
"),"")</f>
        <v/>
      </c>
      <c r="P1336" s="22"/>
      <c r="Q1336" s="23" t="str">
        <f t="shared" si="4"/>
        <v/>
      </c>
      <c r="R1336" s="20"/>
      <c r="S1336" s="18"/>
      <c r="T1336" s="24"/>
      <c r="U1336" s="24"/>
      <c r="V1336" s="24"/>
      <c r="W1336" s="24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</row>
    <row r="1337">
      <c r="A1337" s="37"/>
      <c r="B1337" s="25"/>
      <c r="C1337" s="60"/>
      <c r="D1337" s="27"/>
      <c r="E1337" s="28"/>
      <c r="F1337" s="29"/>
      <c r="G1337" s="30" t="str">
        <f t="shared" si="61"/>
        <v/>
      </c>
      <c r="H1337" s="31" t="str">
        <f t="shared" si="73"/>
        <v/>
      </c>
      <c r="I1337" s="32" t="str">
        <f t="shared" si="65"/>
        <v/>
      </c>
      <c r="J1337" s="33" t="str">
        <f t="shared" si="25"/>
        <v/>
      </c>
      <c r="K1337" s="33"/>
      <c r="L1337" s="33"/>
      <c r="M1337" s="33"/>
      <c r="N1337" s="34"/>
      <c r="O1337" s="35" t="str">
        <f>IFERROR(__xludf.DUMMYFUNCTION("IFERROR(
  VLOOKUP(C1337,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C1337
    ), 
    7, FALSE
  ), 
  """"
)
"),"")</f>
        <v/>
      </c>
      <c r="P1337" s="35"/>
      <c r="Q1337" s="36" t="str">
        <f t="shared" si="4"/>
        <v/>
      </c>
      <c r="R1337" s="33"/>
      <c r="S1337" s="31"/>
      <c r="T1337" s="37"/>
      <c r="U1337" s="37"/>
      <c r="V1337" s="37"/>
      <c r="W1337" s="37"/>
      <c r="X1337" s="25"/>
      <c r="Y1337" s="25"/>
      <c r="Z1337" s="25"/>
      <c r="AA1337" s="25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  <c r="AL1337" s="25"/>
      <c r="AM1337" s="25"/>
    </row>
    <row r="1338">
      <c r="A1338" s="24"/>
      <c r="B1338" s="13"/>
      <c r="C1338" s="62"/>
      <c r="D1338" s="14"/>
      <c r="E1338" s="15"/>
      <c r="F1338" s="16"/>
      <c r="G1338" s="17" t="str">
        <f t="shared" si="61"/>
        <v/>
      </c>
      <c r="H1338" s="18" t="str">
        <f t="shared" si="73"/>
        <v/>
      </c>
      <c r="I1338" s="19" t="str">
        <f t="shared" si="65"/>
        <v/>
      </c>
      <c r="J1338" s="20" t="str">
        <f t="shared" si="25"/>
        <v/>
      </c>
      <c r="K1338" s="20"/>
      <c r="L1338" s="20"/>
      <c r="M1338" s="20"/>
      <c r="N1338" s="21"/>
      <c r="O1338" s="22" t="str">
        <f>IFERROR(__xludf.DUMMYFUNCTION("IFERROR(
  VLOOKUP(C1338,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C1338
    ), 
    7, FALSE
  ), 
  """"
)
"),"")</f>
        <v/>
      </c>
      <c r="P1338" s="22"/>
      <c r="Q1338" s="23" t="str">
        <f t="shared" si="4"/>
        <v/>
      </c>
      <c r="R1338" s="20"/>
      <c r="S1338" s="18"/>
      <c r="T1338" s="24"/>
      <c r="U1338" s="24"/>
      <c r="V1338" s="24"/>
      <c r="W1338" s="24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</row>
    <row r="1339">
      <c r="A1339" s="37"/>
      <c r="B1339" s="25"/>
      <c r="C1339" s="60"/>
      <c r="D1339" s="27"/>
      <c r="E1339" s="28"/>
      <c r="F1339" s="29"/>
      <c r="G1339" s="30" t="str">
        <f t="shared" si="61"/>
        <v/>
      </c>
      <c r="H1339" s="31" t="str">
        <f t="shared" si="73"/>
        <v/>
      </c>
      <c r="I1339" s="32" t="str">
        <f t="shared" si="65"/>
        <v/>
      </c>
      <c r="J1339" s="33" t="str">
        <f t="shared" si="25"/>
        <v/>
      </c>
      <c r="K1339" s="33"/>
      <c r="L1339" s="33"/>
      <c r="M1339" s="33"/>
      <c r="N1339" s="34"/>
      <c r="O1339" s="35" t="str">
        <f>IFERROR(__xludf.DUMMYFUNCTION("IFERROR(
  VLOOKUP(C1339,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C1339
    ), 
    7, FALSE
  ), 
  """"
)
"),"")</f>
        <v/>
      </c>
      <c r="P1339" s="35"/>
      <c r="Q1339" s="36" t="str">
        <f t="shared" si="4"/>
        <v/>
      </c>
      <c r="R1339" s="33"/>
      <c r="S1339" s="31"/>
      <c r="T1339" s="37"/>
      <c r="U1339" s="37"/>
      <c r="V1339" s="37"/>
      <c r="W1339" s="37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</row>
    <row r="1340">
      <c r="A1340" s="24"/>
      <c r="B1340" s="13"/>
      <c r="C1340" s="62"/>
      <c r="D1340" s="14"/>
      <c r="E1340" s="15"/>
      <c r="F1340" s="16"/>
      <c r="G1340" s="17" t="str">
        <f t="shared" si="61"/>
        <v/>
      </c>
      <c r="H1340" s="18" t="str">
        <f t="shared" si="73"/>
        <v/>
      </c>
      <c r="I1340" s="19" t="str">
        <f t="shared" si="65"/>
        <v/>
      </c>
      <c r="J1340" s="20" t="str">
        <f t="shared" si="25"/>
        <v/>
      </c>
      <c r="K1340" s="20"/>
      <c r="L1340" s="20"/>
      <c r="M1340" s="20"/>
      <c r="N1340" s="21"/>
      <c r="O1340" s="22" t="str">
        <f>IFERROR(__xludf.DUMMYFUNCTION("IFERROR(
  VLOOKUP(C1340,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C1340
    ), 
    7, FALSE
  ), 
  """"
)
"),"")</f>
        <v/>
      </c>
      <c r="P1340" s="22"/>
      <c r="Q1340" s="23" t="str">
        <f t="shared" si="4"/>
        <v/>
      </c>
      <c r="R1340" s="20"/>
      <c r="S1340" s="18"/>
      <c r="T1340" s="24"/>
      <c r="U1340" s="24"/>
      <c r="V1340" s="24"/>
      <c r="W1340" s="24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</row>
    <row r="1341">
      <c r="A1341" s="37"/>
      <c r="B1341" s="25"/>
      <c r="C1341" s="60"/>
      <c r="D1341" s="27"/>
      <c r="E1341" s="28"/>
      <c r="F1341" s="29"/>
      <c r="G1341" s="30" t="str">
        <f t="shared" si="61"/>
        <v/>
      </c>
      <c r="H1341" s="31" t="str">
        <f t="shared" si="73"/>
        <v/>
      </c>
      <c r="I1341" s="32" t="str">
        <f t="shared" si="65"/>
        <v/>
      </c>
      <c r="J1341" s="33" t="str">
        <f t="shared" si="25"/>
        <v/>
      </c>
      <c r="K1341" s="33"/>
      <c r="L1341" s="33"/>
      <c r="M1341" s="33"/>
      <c r="N1341" s="34"/>
      <c r="O1341" s="35" t="str">
        <f>IFERROR(__xludf.DUMMYFUNCTION("IFERROR(
  VLOOKUP(C1341,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C1341
    ), 
    7, FALSE
  ), 
  """"
)
"),"")</f>
        <v/>
      </c>
      <c r="P1341" s="35"/>
      <c r="Q1341" s="36" t="str">
        <f t="shared" si="4"/>
        <v/>
      </c>
      <c r="R1341" s="33"/>
      <c r="S1341" s="31"/>
      <c r="T1341" s="37"/>
      <c r="U1341" s="37"/>
      <c r="V1341" s="37"/>
      <c r="W1341" s="37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5"/>
      <c r="AM1341" s="25"/>
    </row>
    <row r="1342">
      <c r="A1342" s="24"/>
      <c r="B1342" s="13"/>
      <c r="C1342" s="62"/>
      <c r="D1342" s="14"/>
      <c r="E1342" s="15"/>
      <c r="F1342" s="16"/>
      <c r="G1342" s="17" t="str">
        <f t="shared" si="61"/>
        <v/>
      </c>
      <c r="H1342" s="18" t="str">
        <f t="shared" si="73"/>
        <v/>
      </c>
      <c r="I1342" s="19" t="str">
        <f t="shared" si="65"/>
        <v/>
      </c>
      <c r="J1342" s="20" t="str">
        <f t="shared" si="25"/>
        <v/>
      </c>
      <c r="K1342" s="20"/>
      <c r="L1342" s="20"/>
      <c r="M1342" s="20"/>
      <c r="N1342" s="21"/>
      <c r="O1342" s="22" t="str">
        <f>IFERROR(__xludf.DUMMYFUNCTION("IFERROR(
  VLOOKUP(C1342,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C1342
    ), 
    7, FALSE
  ), 
  """"
)
"),"")</f>
        <v/>
      </c>
      <c r="P1342" s="22"/>
      <c r="Q1342" s="23" t="str">
        <f t="shared" si="4"/>
        <v/>
      </c>
      <c r="R1342" s="20"/>
      <c r="S1342" s="18"/>
      <c r="T1342" s="24"/>
      <c r="U1342" s="24"/>
      <c r="V1342" s="24"/>
      <c r="W1342" s="24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</row>
    <row r="1343">
      <c r="A1343" s="37"/>
      <c r="B1343" s="25"/>
      <c r="C1343" s="60"/>
      <c r="D1343" s="27"/>
      <c r="E1343" s="28"/>
      <c r="F1343" s="29"/>
      <c r="G1343" s="30" t="str">
        <f t="shared" si="61"/>
        <v/>
      </c>
      <c r="H1343" s="31" t="str">
        <f t="shared" si="73"/>
        <v/>
      </c>
      <c r="I1343" s="32" t="str">
        <f t="shared" si="65"/>
        <v/>
      </c>
      <c r="J1343" s="33" t="str">
        <f t="shared" si="25"/>
        <v/>
      </c>
      <c r="K1343" s="33"/>
      <c r="L1343" s="33"/>
      <c r="M1343" s="33"/>
      <c r="N1343" s="34"/>
      <c r="O1343" s="35" t="str">
        <f>IFERROR(__xludf.DUMMYFUNCTION("IFERROR(
  VLOOKUP(C1343,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C1343
    ), 
    7, FALSE
  ), 
  """"
)
"),"")</f>
        <v/>
      </c>
      <c r="P1343" s="35"/>
      <c r="Q1343" s="36" t="str">
        <f t="shared" si="4"/>
        <v/>
      </c>
      <c r="R1343" s="33"/>
      <c r="S1343" s="31"/>
      <c r="T1343" s="37"/>
      <c r="U1343" s="37"/>
      <c r="V1343" s="37"/>
      <c r="W1343" s="37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5"/>
      <c r="AM1343" s="25"/>
    </row>
    <row r="1344">
      <c r="A1344" s="24"/>
      <c r="B1344" s="13"/>
      <c r="C1344" s="62"/>
      <c r="D1344" s="14"/>
      <c r="E1344" s="15"/>
      <c r="F1344" s="16"/>
      <c r="G1344" s="17" t="str">
        <f t="shared" si="61"/>
        <v/>
      </c>
      <c r="H1344" s="18" t="str">
        <f t="shared" si="73"/>
        <v/>
      </c>
      <c r="I1344" s="19" t="str">
        <f t="shared" si="65"/>
        <v/>
      </c>
      <c r="J1344" s="20" t="str">
        <f t="shared" si="25"/>
        <v/>
      </c>
      <c r="K1344" s="20"/>
      <c r="L1344" s="20"/>
      <c r="M1344" s="20"/>
      <c r="N1344" s="21"/>
      <c r="O1344" s="22" t="str">
        <f>IFERROR(__xludf.DUMMYFUNCTION("IFERROR(
  VLOOKUP(C1344,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C1344
    ), 
    7, FALSE
  ), 
  """"
)
"),"")</f>
        <v/>
      </c>
      <c r="P1344" s="22"/>
      <c r="Q1344" s="23" t="str">
        <f t="shared" si="4"/>
        <v/>
      </c>
      <c r="R1344" s="20"/>
      <c r="S1344" s="18"/>
      <c r="T1344" s="24"/>
      <c r="U1344" s="24"/>
      <c r="V1344" s="24"/>
      <c r="W1344" s="24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</row>
    <row r="1345">
      <c r="A1345" s="37"/>
      <c r="B1345" s="25"/>
      <c r="C1345" s="60"/>
      <c r="D1345" s="27"/>
      <c r="E1345" s="28"/>
      <c r="F1345" s="29"/>
      <c r="G1345" s="30" t="str">
        <f t="shared" si="61"/>
        <v/>
      </c>
      <c r="H1345" s="31" t="str">
        <f t="shared" si="73"/>
        <v/>
      </c>
      <c r="I1345" s="32" t="str">
        <f t="shared" si="65"/>
        <v/>
      </c>
      <c r="J1345" s="33" t="str">
        <f t="shared" si="25"/>
        <v/>
      </c>
      <c r="K1345" s="33"/>
      <c r="L1345" s="33"/>
      <c r="M1345" s="33"/>
      <c r="N1345" s="34"/>
      <c r="O1345" s="35" t="str">
        <f>IFERROR(__xludf.DUMMYFUNCTION("IFERROR(
  VLOOKUP(C1345,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C1345
    ), 
    7, FALSE
  ), 
  """"
)
"),"")</f>
        <v/>
      </c>
      <c r="P1345" s="35"/>
      <c r="Q1345" s="36" t="str">
        <f t="shared" si="4"/>
        <v/>
      </c>
      <c r="R1345" s="33"/>
      <c r="S1345" s="31"/>
      <c r="T1345" s="37"/>
      <c r="U1345" s="37"/>
      <c r="V1345" s="37"/>
      <c r="W1345" s="37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</row>
    <row r="1346">
      <c r="A1346" s="24"/>
      <c r="B1346" s="13"/>
      <c r="C1346" s="62"/>
      <c r="D1346" s="14"/>
      <c r="E1346" s="15"/>
      <c r="F1346" s="16"/>
      <c r="G1346" s="17" t="str">
        <f t="shared" si="61"/>
        <v/>
      </c>
      <c r="H1346" s="18" t="str">
        <f t="shared" si="73"/>
        <v/>
      </c>
      <c r="I1346" s="19" t="str">
        <f t="shared" si="65"/>
        <v/>
      </c>
      <c r="J1346" s="20" t="str">
        <f t="shared" si="25"/>
        <v/>
      </c>
      <c r="K1346" s="20"/>
      <c r="L1346" s="20"/>
      <c r="M1346" s="20"/>
      <c r="N1346" s="21"/>
      <c r="O1346" s="22" t="str">
        <f>IFERROR(__xludf.DUMMYFUNCTION("IFERROR(
  VLOOKUP(C1346,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C1346
    ), 
    7, FALSE
  ), 
  """"
)
"),"")</f>
        <v/>
      </c>
      <c r="P1346" s="22"/>
      <c r="Q1346" s="23" t="str">
        <f t="shared" si="4"/>
        <v/>
      </c>
      <c r="R1346" s="20"/>
      <c r="S1346" s="18"/>
      <c r="T1346" s="24"/>
      <c r="U1346" s="24"/>
      <c r="V1346" s="24"/>
      <c r="W1346" s="24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</row>
    <row r="1347">
      <c r="A1347" s="37"/>
      <c r="B1347" s="25"/>
      <c r="C1347" s="60"/>
      <c r="D1347" s="27"/>
      <c r="E1347" s="28"/>
      <c r="F1347" s="29"/>
      <c r="G1347" s="30" t="str">
        <f t="shared" si="61"/>
        <v/>
      </c>
      <c r="H1347" s="31" t="str">
        <f t="shared" si="73"/>
        <v/>
      </c>
      <c r="I1347" s="32" t="str">
        <f t="shared" si="65"/>
        <v/>
      </c>
      <c r="J1347" s="33" t="str">
        <f t="shared" si="25"/>
        <v/>
      </c>
      <c r="K1347" s="33"/>
      <c r="L1347" s="33"/>
      <c r="M1347" s="33"/>
      <c r="N1347" s="34"/>
      <c r="O1347" s="35" t="str">
        <f>IFERROR(__xludf.DUMMYFUNCTION("IFERROR(
  VLOOKUP(C1347,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C1347
    ), 
    7, FALSE
  ), 
  """"
)
"),"")</f>
        <v/>
      </c>
      <c r="P1347" s="35"/>
      <c r="Q1347" s="36" t="str">
        <f t="shared" si="4"/>
        <v/>
      </c>
      <c r="R1347" s="33"/>
      <c r="S1347" s="31"/>
      <c r="T1347" s="37"/>
      <c r="U1347" s="37"/>
      <c r="V1347" s="37"/>
      <c r="W1347" s="37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/>
    </row>
    <row r="1348">
      <c r="A1348" s="24"/>
      <c r="B1348" s="13"/>
      <c r="C1348" s="62"/>
      <c r="D1348" s="14"/>
      <c r="E1348" s="15"/>
      <c r="F1348" s="16"/>
      <c r="G1348" s="17" t="str">
        <f t="shared" si="61"/>
        <v/>
      </c>
      <c r="H1348" s="18" t="str">
        <f t="shared" si="73"/>
        <v/>
      </c>
      <c r="I1348" s="19" t="str">
        <f t="shared" si="65"/>
        <v/>
      </c>
      <c r="J1348" s="20" t="str">
        <f t="shared" si="25"/>
        <v/>
      </c>
      <c r="K1348" s="20"/>
      <c r="L1348" s="20"/>
      <c r="M1348" s="20"/>
      <c r="N1348" s="21"/>
      <c r="O1348" s="22" t="str">
        <f>IFERROR(__xludf.DUMMYFUNCTION("IFERROR(
  VLOOKUP(C1348,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C1348
    ), 
    7, FALSE
  ), 
  """"
)
"),"")</f>
        <v/>
      </c>
      <c r="P1348" s="22"/>
      <c r="Q1348" s="23" t="str">
        <f t="shared" si="4"/>
        <v/>
      </c>
      <c r="R1348" s="20"/>
      <c r="S1348" s="18"/>
      <c r="T1348" s="24"/>
      <c r="U1348" s="24"/>
      <c r="V1348" s="24"/>
      <c r="W1348" s="24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</row>
    <row r="1349">
      <c r="A1349" s="37"/>
      <c r="B1349" s="25"/>
      <c r="C1349" s="60"/>
      <c r="D1349" s="27"/>
      <c r="E1349" s="28"/>
      <c r="F1349" s="29"/>
      <c r="G1349" s="30" t="str">
        <f t="shared" si="61"/>
        <v/>
      </c>
      <c r="H1349" s="31" t="str">
        <f t="shared" si="73"/>
        <v/>
      </c>
      <c r="I1349" s="32" t="str">
        <f t="shared" si="65"/>
        <v/>
      </c>
      <c r="J1349" s="33" t="str">
        <f t="shared" si="25"/>
        <v/>
      </c>
      <c r="K1349" s="33"/>
      <c r="L1349" s="33"/>
      <c r="M1349" s="33"/>
      <c r="N1349" s="34"/>
      <c r="O1349" s="35" t="str">
        <f>IFERROR(__xludf.DUMMYFUNCTION("IFERROR(
  VLOOKUP(C1349,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C1349
    ), 
    7, FALSE
  ), 
  """"
)
"),"")</f>
        <v/>
      </c>
      <c r="P1349" s="35"/>
      <c r="Q1349" s="36" t="str">
        <f t="shared" si="4"/>
        <v/>
      </c>
      <c r="R1349" s="33"/>
      <c r="S1349" s="31"/>
      <c r="T1349" s="37"/>
      <c r="U1349" s="37"/>
      <c r="V1349" s="37"/>
      <c r="W1349" s="37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</row>
    <row r="1350">
      <c r="A1350" s="24"/>
      <c r="B1350" s="13"/>
      <c r="C1350" s="62"/>
      <c r="D1350" s="14"/>
      <c r="E1350" s="15"/>
      <c r="F1350" s="16"/>
      <c r="G1350" s="17" t="str">
        <f t="shared" si="61"/>
        <v/>
      </c>
      <c r="H1350" s="18" t="str">
        <f t="shared" si="73"/>
        <v/>
      </c>
      <c r="I1350" s="19" t="str">
        <f t="shared" si="65"/>
        <v/>
      </c>
      <c r="J1350" s="20" t="str">
        <f t="shared" si="25"/>
        <v/>
      </c>
      <c r="K1350" s="20"/>
      <c r="L1350" s="20"/>
      <c r="M1350" s="20"/>
      <c r="N1350" s="21"/>
      <c r="O1350" s="22" t="str">
        <f>IFERROR(__xludf.DUMMYFUNCTION("IFERROR(
  VLOOKUP(C1350,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C1350
    ), 
    7, FALSE
  ), 
  """"
)
"),"")</f>
        <v/>
      </c>
      <c r="P1350" s="22"/>
      <c r="Q1350" s="23" t="str">
        <f t="shared" si="4"/>
        <v/>
      </c>
      <c r="R1350" s="20"/>
      <c r="S1350" s="18"/>
      <c r="T1350" s="24"/>
      <c r="U1350" s="24"/>
      <c r="V1350" s="24"/>
      <c r="W1350" s="24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</row>
    <row r="1351">
      <c r="A1351" s="37"/>
      <c r="B1351" s="25"/>
      <c r="C1351" s="60"/>
      <c r="D1351" s="27"/>
      <c r="E1351" s="28"/>
      <c r="F1351" s="29"/>
      <c r="G1351" s="30" t="str">
        <f t="shared" si="61"/>
        <v/>
      </c>
      <c r="H1351" s="31" t="str">
        <f t="shared" si="73"/>
        <v/>
      </c>
      <c r="I1351" s="32" t="str">
        <f t="shared" si="65"/>
        <v/>
      </c>
      <c r="J1351" s="33" t="str">
        <f t="shared" si="25"/>
        <v/>
      </c>
      <c r="K1351" s="33"/>
      <c r="L1351" s="33"/>
      <c r="M1351" s="33"/>
      <c r="N1351" s="34"/>
      <c r="O1351" s="35" t="str">
        <f>IFERROR(__xludf.DUMMYFUNCTION("IFERROR(
  VLOOKUP(C1351,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C1351
    ), 
    7, FALSE
  ), 
  """"
)
"),"")</f>
        <v/>
      </c>
      <c r="P1351" s="35"/>
      <c r="Q1351" s="36" t="str">
        <f t="shared" si="4"/>
        <v/>
      </c>
      <c r="R1351" s="33"/>
      <c r="S1351" s="31"/>
      <c r="T1351" s="37"/>
      <c r="U1351" s="37"/>
      <c r="V1351" s="37"/>
      <c r="W1351" s="37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5"/>
      <c r="AM1351" s="25"/>
    </row>
    <row r="1352">
      <c r="A1352" s="24"/>
      <c r="B1352" s="13"/>
      <c r="C1352" s="62"/>
      <c r="D1352" s="14"/>
      <c r="E1352" s="15"/>
      <c r="F1352" s="16"/>
      <c r="G1352" s="17" t="str">
        <f t="shared" si="61"/>
        <v/>
      </c>
      <c r="H1352" s="18" t="str">
        <f t="shared" si="73"/>
        <v/>
      </c>
      <c r="I1352" s="19" t="str">
        <f t="shared" si="65"/>
        <v/>
      </c>
      <c r="J1352" s="20" t="str">
        <f t="shared" si="25"/>
        <v/>
      </c>
      <c r="K1352" s="20"/>
      <c r="L1352" s="20"/>
      <c r="M1352" s="20"/>
      <c r="N1352" s="21"/>
      <c r="O1352" s="22" t="str">
        <f>IFERROR(__xludf.DUMMYFUNCTION("IFERROR(
  VLOOKUP(C1352,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C1352
    ), 
    7, FALSE
  ), 
  """"
)
"),"")</f>
        <v/>
      </c>
      <c r="P1352" s="22"/>
      <c r="Q1352" s="23" t="str">
        <f t="shared" si="4"/>
        <v/>
      </c>
      <c r="R1352" s="20"/>
      <c r="S1352" s="18"/>
      <c r="T1352" s="24"/>
      <c r="U1352" s="24"/>
      <c r="V1352" s="24"/>
      <c r="W1352" s="24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</row>
    <row r="1353">
      <c r="A1353" s="37"/>
      <c r="B1353" s="25"/>
      <c r="C1353" s="60"/>
      <c r="D1353" s="27"/>
      <c r="E1353" s="28"/>
      <c r="F1353" s="29"/>
      <c r="G1353" s="30" t="str">
        <f t="shared" si="61"/>
        <v/>
      </c>
      <c r="H1353" s="31" t="str">
        <f t="shared" si="73"/>
        <v/>
      </c>
      <c r="I1353" s="32" t="str">
        <f t="shared" si="65"/>
        <v/>
      </c>
      <c r="J1353" s="33" t="str">
        <f t="shared" si="25"/>
        <v/>
      </c>
      <c r="K1353" s="33"/>
      <c r="L1353" s="33"/>
      <c r="M1353" s="33"/>
      <c r="N1353" s="34"/>
      <c r="O1353" s="35" t="str">
        <f>IFERROR(__xludf.DUMMYFUNCTION("IFERROR(
  VLOOKUP(C1353,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C1353
    ), 
    7, FALSE
  ), 
  """"
)
"),"")</f>
        <v/>
      </c>
      <c r="P1353" s="35"/>
      <c r="Q1353" s="36" t="str">
        <f t="shared" si="4"/>
        <v/>
      </c>
      <c r="R1353" s="33"/>
      <c r="S1353" s="31"/>
      <c r="T1353" s="37"/>
      <c r="U1353" s="37"/>
      <c r="V1353" s="37"/>
      <c r="W1353" s="37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</row>
    <row r="1354">
      <c r="A1354" s="24"/>
      <c r="B1354" s="13"/>
      <c r="C1354" s="62"/>
      <c r="D1354" s="14"/>
      <c r="E1354" s="15"/>
      <c r="F1354" s="16"/>
      <c r="G1354" s="17" t="str">
        <f t="shared" si="61"/>
        <v/>
      </c>
      <c r="H1354" s="18" t="str">
        <f t="shared" si="73"/>
        <v/>
      </c>
      <c r="I1354" s="19" t="str">
        <f t="shared" si="65"/>
        <v/>
      </c>
      <c r="J1354" s="20" t="str">
        <f t="shared" si="25"/>
        <v/>
      </c>
      <c r="K1354" s="20"/>
      <c r="L1354" s="20"/>
      <c r="M1354" s="20"/>
      <c r="N1354" s="21"/>
      <c r="O1354" s="22" t="str">
        <f>IFERROR(__xludf.DUMMYFUNCTION("IFERROR(
  VLOOKUP(C1354,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C1354
    ), 
    7, FALSE
  ), 
  """"
)
"),"")</f>
        <v/>
      </c>
      <c r="P1354" s="22"/>
      <c r="Q1354" s="23" t="str">
        <f t="shared" si="4"/>
        <v/>
      </c>
      <c r="R1354" s="20"/>
      <c r="S1354" s="18"/>
      <c r="T1354" s="24"/>
      <c r="U1354" s="24"/>
      <c r="V1354" s="24"/>
      <c r="W1354" s="24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</row>
    <row r="1355">
      <c r="A1355" s="37"/>
      <c r="B1355" s="25"/>
      <c r="C1355" s="60"/>
      <c r="D1355" s="27"/>
      <c r="E1355" s="28"/>
      <c r="F1355" s="29"/>
      <c r="G1355" s="30" t="str">
        <f t="shared" si="61"/>
        <v/>
      </c>
      <c r="H1355" s="31" t="str">
        <f t="shared" si="73"/>
        <v/>
      </c>
      <c r="I1355" s="32" t="str">
        <f t="shared" si="65"/>
        <v/>
      </c>
      <c r="J1355" s="33" t="str">
        <f t="shared" si="25"/>
        <v/>
      </c>
      <c r="K1355" s="33"/>
      <c r="L1355" s="33"/>
      <c r="M1355" s="33"/>
      <c r="N1355" s="34"/>
      <c r="O1355" s="35" t="str">
        <f>IFERROR(__xludf.DUMMYFUNCTION("IFERROR(
  VLOOKUP(C1355,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C1355
    ), 
    7, FALSE
  ), 
  """"
)
"),"")</f>
        <v/>
      </c>
      <c r="P1355" s="35"/>
      <c r="Q1355" s="36" t="str">
        <f t="shared" si="4"/>
        <v/>
      </c>
      <c r="R1355" s="33"/>
      <c r="S1355" s="31"/>
      <c r="T1355" s="37"/>
      <c r="U1355" s="37"/>
      <c r="V1355" s="37"/>
      <c r="W1355" s="37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</row>
    <row r="1356">
      <c r="A1356" s="24"/>
      <c r="B1356" s="13"/>
      <c r="C1356" s="62"/>
      <c r="D1356" s="14"/>
      <c r="E1356" s="15"/>
      <c r="F1356" s="16"/>
      <c r="G1356" s="17" t="str">
        <f t="shared" si="61"/>
        <v/>
      </c>
      <c r="H1356" s="18" t="str">
        <f t="shared" si="73"/>
        <v/>
      </c>
      <c r="I1356" s="19" t="str">
        <f t="shared" si="65"/>
        <v/>
      </c>
      <c r="J1356" s="20" t="str">
        <f t="shared" si="25"/>
        <v/>
      </c>
      <c r="K1356" s="20"/>
      <c r="L1356" s="20"/>
      <c r="M1356" s="20"/>
      <c r="N1356" s="21"/>
      <c r="O1356" s="22" t="str">
        <f>IFERROR(__xludf.DUMMYFUNCTION("IFERROR(
  VLOOKUP(C1356,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C1356
    ), 
    7, FALSE
  ), 
  """"
)
"),"")</f>
        <v/>
      </c>
      <c r="P1356" s="22"/>
      <c r="Q1356" s="23" t="str">
        <f t="shared" si="4"/>
        <v/>
      </c>
      <c r="R1356" s="20"/>
      <c r="S1356" s="18"/>
      <c r="T1356" s="24"/>
      <c r="U1356" s="24"/>
      <c r="V1356" s="24"/>
      <c r="W1356" s="24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</row>
    <row r="1357">
      <c r="A1357" s="37"/>
      <c r="B1357" s="25"/>
      <c r="C1357" s="60"/>
      <c r="D1357" s="27"/>
      <c r="E1357" s="28"/>
      <c r="F1357" s="29"/>
      <c r="G1357" s="30" t="str">
        <f t="shared" si="61"/>
        <v/>
      </c>
      <c r="H1357" s="31" t="str">
        <f t="shared" si="73"/>
        <v/>
      </c>
      <c r="I1357" s="32" t="str">
        <f t="shared" si="65"/>
        <v/>
      </c>
      <c r="J1357" s="33" t="str">
        <f t="shared" si="25"/>
        <v/>
      </c>
      <c r="K1357" s="33"/>
      <c r="L1357" s="33"/>
      <c r="M1357" s="33"/>
      <c r="N1357" s="34"/>
      <c r="O1357" s="35" t="str">
        <f>IFERROR(__xludf.DUMMYFUNCTION("IFERROR(
  VLOOKUP(C1357,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C1357
    ), 
    7, FALSE
  ), 
  """"
)
"),"")</f>
        <v/>
      </c>
      <c r="P1357" s="35"/>
      <c r="Q1357" s="36" t="str">
        <f t="shared" si="4"/>
        <v/>
      </c>
      <c r="R1357" s="33"/>
      <c r="S1357" s="31"/>
      <c r="T1357" s="37"/>
      <c r="U1357" s="37"/>
      <c r="V1357" s="37"/>
      <c r="W1357" s="37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</row>
    <row r="1358">
      <c r="A1358" s="24"/>
      <c r="B1358" s="13"/>
      <c r="C1358" s="62"/>
      <c r="D1358" s="14"/>
      <c r="E1358" s="15"/>
      <c r="F1358" s="16"/>
      <c r="G1358" s="17" t="str">
        <f t="shared" si="61"/>
        <v/>
      </c>
      <c r="H1358" s="18" t="str">
        <f t="shared" si="73"/>
        <v/>
      </c>
      <c r="I1358" s="19" t="str">
        <f t="shared" si="65"/>
        <v/>
      </c>
      <c r="J1358" s="20" t="str">
        <f t="shared" si="25"/>
        <v/>
      </c>
      <c r="K1358" s="20"/>
      <c r="L1358" s="20"/>
      <c r="M1358" s="20"/>
      <c r="N1358" s="21"/>
      <c r="O1358" s="22" t="str">
        <f>IFERROR(__xludf.DUMMYFUNCTION("IFERROR(
  VLOOKUP(C1358,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C1358
    ), 
    7, FALSE
  ), 
  """"
)
"),"")</f>
        <v/>
      </c>
      <c r="P1358" s="22"/>
      <c r="Q1358" s="23" t="str">
        <f t="shared" si="4"/>
        <v/>
      </c>
      <c r="R1358" s="20"/>
      <c r="S1358" s="18"/>
      <c r="T1358" s="24"/>
      <c r="U1358" s="24"/>
      <c r="V1358" s="24"/>
      <c r="W1358" s="24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</row>
    <row r="1359">
      <c r="A1359" s="37"/>
      <c r="B1359" s="25"/>
      <c r="C1359" s="60"/>
      <c r="D1359" s="27"/>
      <c r="E1359" s="28"/>
      <c r="F1359" s="29"/>
      <c r="G1359" s="30" t="str">
        <f t="shared" si="61"/>
        <v/>
      </c>
      <c r="H1359" s="31" t="str">
        <f t="shared" si="73"/>
        <v/>
      </c>
      <c r="I1359" s="32" t="str">
        <f t="shared" si="65"/>
        <v/>
      </c>
      <c r="J1359" s="33" t="str">
        <f t="shared" si="25"/>
        <v/>
      </c>
      <c r="K1359" s="33"/>
      <c r="L1359" s="33"/>
      <c r="M1359" s="33"/>
      <c r="N1359" s="34"/>
      <c r="O1359" s="35" t="str">
        <f>IFERROR(__xludf.DUMMYFUNCTION("IFERROR(
  VLOOKUP(C1359,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C1359
    ), 
    7, FALSE
  ), 
  """"
)
"),"")</f>
        <v/>
      </c>
      <c r="P1359" s="35"/>
      <c r="Q1359" s="36" t="str">
        <f t="shared" si="4"/>
        <v/>
      </c>
      <c r="R1359" s="33"/>
      <c r="S1359" s="31"/>
      <c r="T1359" s="37"/>
      <c r="U1359" s="37"/>
      <c r="V1359" s="37"/>
      <c r="W1359" s="37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</row>
    <row r="1360">
      <c r="A1360" s="24"/>
      <c r="B1360" s="13"/>
      <c r="C1360" s="62"/>
      <c r="D1360" s="14"/>
      <c r="E1360" s="15"/>
      <c r="F1360" s="16"/>
      <c r="G1360" s="17" t="str">
        <f t="shared" si="61"/>
        <v/>
      </c>
      <c r="H1360" s="18" t="str">
        <f t="shared" si="73"/>
        <v/>
      </c>
      <c r="I1360" s="19" t="str">
        <f t="shared" si="65"/>
        <v/>
      </c>
      <c r="J1360" s="20" t="str">
        <f t="shared" si="25"/>
        <v/>
      </c>
      <c r="K1360" s="20"/>
      <c r="L1360" s="20"/>
      <c r="M1360" s="20"/>
      <c r="N1360" s="21"/>
      <c r="O1360" s="22" t="str">
        <f>IFERROR(__xludf.DUMMYFUNCTION("IFERROR(
  VLOOKUP(C1360,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C1360
    ), 
    7, FALSE
  ), 
  """"
)
"),"")</f>
        <v/>
      </c>
      <c r="P1360" s="22"/>
      <c r="Q1360" s="23" t="str">
        <f t="shared" si="4"/>
        <v/>
      </c>
      <c r="R1360" s="20"/>
      <c r="S1360" s="18"/>
      <c r="T1360" s="24"/>
      <c r="U1360" s="24"/>
      <c r="V1360" s="24"/>
      <c r="W1360" s="24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</row>
    <row r="1361">
      <c r="A1361" s="37"/>
      <c r="B1361" s="25"/>
      <c r="C1361" s="60"/>
      <c r="D1361" s="27"/>
      <c r="E1361" s="28"/>
      <c r="F1361" s="29"/>
      <c r="G1361" s="30" t="str">
        <f t="shared" si="61"/>
        <v/>
      </c>
      <c r="H1361" s="31" t="str">
        <f t="shared" si="73"/>
        <v/>
      </c>
      <c r="I1361" s="32" t="str">
        <f t="shared" si="65"/>
        <v/>
      </c>
      <c r="J1361" s="33" t="str">
        <f t="shared" si="25"/>
        <v/>
      </c>
      <c r="K1361" s="33"/>
      <c r="L1361" s="33"/>
      <c r="M1361" s="33"/>
      <c r="N1361" s="34"/>
      <c r="O1361" s="35" t="str">
        <f>IFERROR(__xludf.DUMMYFUNCTION("IFERROR(
  VLOOKUP(C1361,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C1361
    ), 
    7, FALSE
  ), 
  """"
)
"),"")</f>
        <v/>
      </c>
      <c r="P1361" s="35"/>
      <c r="Q1361" s="36" t="str">
        <f t="shared" si="4"/>
        <v/>
      </c>
      <c r="R1361" s="33"/>
      <c r="S1361" s="31"/>
      <c r="T1361" s="37"/>
      <c r="U1361" s="37"/>
      <c r="V1361" s="37"/>
      <c r="W1361" s="37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</row>
    <row r="1362">
      <c r="A1362" s="24"/>
      <c r="B1362" s="13"/>
      <c r="C1362" s="62"/>
      <c r="D1362" s="14"/>
      <c r="E1362" s="15"/>
      <c r="F1362" s="16"/>
      <c r="G1362" s="17" t="str">
        <f t="shared" si="61"/>
        <v/>
      </c>
      <c r="H1362" s="18" t="str">
        <f t="shared" si="73"/>
        <v/>
      </c>
      <c r="I1362" s="19" t="str">
        <f t="shared" si="65"/>
        <v/>
      </c>
      <c r="J1362" s="20" t="str">
        <f t="shared" si="25"/>
        <v/>
      </c>
      <c r="K1362" s="20"/>
      <c r="L1362" s="20"/>
      <c r="M1362" s="20"/>
      <c r="N1362" s="21"/>
      <c r="O1362" s="22" t="str">
        <f>IFERROR(__xludf.DUMMYFUNCTION("IFERROR(
  VLOOKUP(C1362,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C1362
    ), 
    7, FALSE
  ), 
  """"
)
"),"")</f>
        <v/>
      </c>
      <c r="P1362" s="22"/>
      <c r="Q1362" s="23" t="str">
        <f t="shared" si="4"/>
        <v/>
      </c>
      <c r="R1362" s="20"/>
      <c r="S1362" s="18"/>
      <c r="T1362" s="24"/>
      <c r="U1362" s="24"/>
      <c r="V1362" s="24"/>
      <c r="W1362" s="24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</row>
    <row r="1363">
      <c r="A1363" s="37"/>
      <c r="B1363" s="25"/>
      <c r="C1363" s="60"/>
      <c r="D1363" s="27"/>
      <c r="E1363" s="28"/>
      <c r="F1363" s="29"/>
      <c r="G1363" s="30" t="str">
        <f t="shared" si="61"/>
        <v/>
      </c>
      <c r="H1363" s="31" t="str">
        <f t="shared" si="73"/>
        <v/>
      </c>
      <c r="I1363" s="32" t="str">
        <f t="shared" si="65"/>
        <v/>
      </c>
      <c r="J1363" s="33" t="str">
        <f t="shared" si="25"/>
        <v/>
      </c>
      <c r="K1363" s="33"/>
      <c r="L1363" s="33"/>
      <c r="M1363" s="33"/>
      <c r="N1363" s="34"/>
      <c r="O1363" s="35" t="str">
        <f>IFERROR(__xludf.DUMMYFUNCTION("IFERROR(
  VLOOKUP(C1363,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C1363
    ), 
    7, FALSE
  ), 
  """"
)
"),"")</f>
        <v/>
      </c>
      <c r="P1363" s="35"/>
      <c r="Q1363" s="36" t="str">
        <f t="shared" si="4"/>
        <v/>
      </c>
      <c r="R1363" s="33"/>
      <c r="S1363" s="31"/>
      <c r="T1363" s="37"/>
      <c r="U1363" s="37"/>
      <c r="V1363" s="37"/>
      <c r="W1363" s="37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</row>
    <row r="1364">
      <c r="A1364" s="24"/>
      <c r="B1364" s="13"/>
      <c r="C1364" s="62"/>
      <c r="D1364" s="14"/>
      <c r="E1364" s="15"/>
      <c r="F1364" s="16"/>
      <c r="G1364" s="17" t="str">
        <f t="shared" si="61"/>
        <v/>
      </c>
      <c r="H1364" s="18" t="str">
        <f t="shared" si="73"/>
        <v/>
      </c>
      <c r="I1364" s="19" t="str">
        <f t="shared" si="65"/>
        <v/>
      </c>
      <c r="J1364" s="20" t="str">
        <f t="shared" si="25"/>
        <v/>
      </c>
      <c r="K1364" s="20"/>
      <c r="L1364" s="20"/>
      <c r="M1364" s="20"/>
      <c r="N1364" s="21"/>
      <c r="O1364" s="22" t="str">
        <f>IFERROR(__xludf.DUMMYFUNCTION("IFERROR(
  VLOOKUP(C1364,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C1364
    ), 
    7, FALSE
  ), 
  """"
)
"),"")</f>
        <v/>
      </c>
      <c r="P1364" s="22"/>
      <c r="Q1364" s="23" t="str">
        <f t="shared" si="4"/>
        <v/>
      </c>
      <c r="R1364" s="20"/>
      <c r="S1364" s="18"/>
      <c r="T1364" s="24"/>
      <c r="U1364" s="24"/>
      <c r="V1364" s="24"/>
      <c r="W1364" s="24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</row>
    <row r="1365">
      <c r="A1365" s="37"/>
      <c r="B1365" s="25"/>
      <c r="C1365" s="60"/>
      <c r="D1365" s="27"/>
      <c r="E1365" s="28"/>
      <c r="F1365" s="29"/>
      <c r="G1365" s="30" t="str">
        <f t="shared" si="61"/>
        <v/>
      </c>
      <c r="H1365" s="31" t="str">
        <f t="shared" si="73"/>
        <v/>
      </c>
      <c r="I1365" s="32" t="str">
        <f t="shared" si="65"/>
        <v/>
      </c>
      <c r="J1365" s="33" t="str">
        <f t="shared" si="25"/>
        <v/>
      </c>
      <c r="K1365" s="33"/>
      <c r="L1365" s="33"/>
      <c r="M1365" s="33"/>
      <c r="N1365" s="34"/>
      <c r="O1365" s="35" t="str">
        <f>IFERROR(__xludf.DUMMYFUNCTION("IFERROR(
  VLOOKUP(C1365,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C1365
    ), 
    7, FALSE
  ), 
  """"
)
"),"")</f>
        <v/>
      </c>
      <c r="P1365" s="35"/>
      <c r="Q1365" s="36" t="str">
        <f t="shared" si="4"/>
        <v/>
      </c>
      <c r="R1365" s="33"/>
      <c r="S1365" s="31"/>
      <c r="T1365" s="37"/>
      <c r="U1365" s="37"/>
      <c r="V1365" s="37"/>
      <c r="W1365" s="37"/>
      <c r="X1365" s="25"/>
      <c r="Y1365" s="25"/>
      <c r="Z1365" s="25"/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</row>
    <row r="1366">
      <c r="A1366" s="24"/>
      <c r="B1366" s="13"/>
      <c r="C1366" s="62"/>
      <c r="D1366" s="14"/>
      <c r="E1366" s="15"/>
      <c r="F1366" s="16"/>
      <c r="G1366" s="17" t="str">
        <f t="shared" si="61"/>
        <v/>
      </c>
      <c r="H1366" s="18" t="str">
        <f t="shared" si="73"/>
        <v/>
      </c>
      <c r="I1366" s="19" t="str">
        <f t="shared" si="65"/>
        <v/>
      </c>
      <c r="J1366" s="20" t="str">
        <f t="shared" si="25"/>
        <v/>
      </c>
      <c r="K1366" s="20"/>
      <c r="L1366" s="20"/>
      <c r="M1366" s="20"/>
      <c r="N1366" s="21"/>
      <c r="O1366" s="22" t="str">
        <f>IFERROR(__xludf.DUMMYFUNCTION("IFERROR(
  VLOOKUP(C1366,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C1366
    ), 
    7, FALSE
  ), 
  """"
)
"),"")</f>
        <v/>
      </c>
      <c r="P1366" s="22"/>
      <c r="Q1366" s="23" t="str">
        <f t="shared" si="4"/>
        <v/>
      </c>
      <c r="R1366" s="20"/>
      <c r="S1366" s="18"/>
      <c r="T1366" s="24"/>
      <c r="U1366" s="24"/>
      <c r="V1366" s="24"/>
      <c r="W1366" s="24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</row>
    <row r="1367">
      <c r="A1367" s="37"/>
      <c r="B1367" s="25"/>
      <c r="C1367" s="60"/>
      <c r="D1367" s="27"/>
      <c r="E1367" s="28"/>
      <c r="F1367" s="29"/>
      <c r="G1367" s="30" t="str">
        <f t="shared" si="61"/>
        <v/>
      </c>
      <c r="H1367" s="31" t="str">
        <f t="shared" si="73"/>
        <v/>
      </c>
      <c r="I1367" s="32" t="str">
        <f t="shared" si="65"/>
        <v/>
      </c>
      <c r="J1367" s="33" t="str">
        <f t="shared" si="25"/>
        <v/>
      </c>
      <c r="K1367" s="33"/>
      <c r="L1367" s="33"/>
      <c r="M1367" s="33"/>
      <c r="N1367" s="34"/>
      <c r="O1367" s="35" t="str">
        <f>IFERROR(__xludf.DUMMYFUNCTION("IFERROR(
  VLOOKUP(C1367,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C1367
    ), 
    7, FALSE
  ), 
  """"
)
"),"")</f>
        <v/>
      </c>
      <c r="P1367" s="35"/>
      <c r="Q1367" s="36" t="str">
        <f t="shared" si="4"/>
        <v/>
      </c>
      <c r="R1367" s="33"/>
      <c r="S1367" s="31"/>
      <c r="T1367" s="37"/>
      <c r="U1367" s="37"/>
      <c r="V1367" s="37"/>
      <c r="W1367" s="37"/>
      <c r="X1367" s="25"/>
      <c r="Y1367" s="25"/>
      <c r="Z1367" s="25"/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</row>
    <row r="1368">
      <c r="A1368" s="24"/>
      <c r="B1368" s="13"/>
      <c r="C1368" s="62"/>
      <c r="D1368" s="14"/>
      <c r="E1368" s="15"/>
      <c r="F1368" s="16"/>
      <c r="G1368" s="17" t="str">
        <f t="shared" si="61"/>
        <v/>
      </c>
      <c r="H1368" s="18" t="str">
        <f t="shared" si="73"/>
        <v/>
      </c>
      <c r="I1368" s="19" t="str">
        <f t="shared" si="65"/>
        <v/>
      </c>
      <c r="J1368" s="20" t="str">
        <f t="shared" si="25"/>
        <v/>
      </c>
      <c r="K1368" s="20"/>
      <c r="L1368" s="20"/>
      <c r="M1368" s="20"/>
      <c r="N1368" s="21"/>
      <c r="O1368" s="22" t="str">
        <f>IFERROR(__xludf.DUMMYFUNCTION("IFERROR(
  VLOOKUP(C1368,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C1368
    ), 
    7, FALSE
  ), 
  """"
)
"),"")</f>
        <v/>
      </c>
      <c r="P1368" s="22"/>
      <c r="Q1368" s="23" t="str">
        <f t="shared" si="4"/>
        <v/>
      </c>
      <c r="R1368" s="20"/>
      <c r="S1368" s="18"/>
      <c r="T1368" s="24"/>
      <c r="U1368" s="24"/>
      <c r="V1368" s="24"/>
      <c r="W1368" s="24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</row>
    <row r="1369">
      <c r="A1369" s="37"/>
      <c r="B1369" s="25"/>
      <c r="C1369" s="60"/>
      <c r="D1369" s="27"/>
      <c r="E1369" s="28"/>
      <c r="F1369" s="29"/>
      <c r="G1369" s="30" t="str">
        <f t="shared" si="61"/>
        <v/>
      </c>
      <c r="H1369" s="31" t="str">
        <f t="shared" si="73"/>
        <v/>
      </c>
      <c r="I1369" s="32" t="str">
        <f t="shared" si="65"/>
        <v/>
      </c>
      <c r="J1369" s="33" t="str">
        <f t="shared" si="25"/>
        <v/>
      </c>
      <c r="K1369" s="33"/>
      <c r="L1369" s="33"/>
      <c r="M1369" s="33"/>
      <c r="N1369" s="34"/>
      <c r="O1369" s="35" t="str">
        <f>IFERROR(__xludf.DUMMYFUNCTION("IFERROR(
  VLOOKUP(C1369,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C1369
    ), 
    7, FALSE
  ), 
  """"
)
"),"")</f>
        <v/>
      </c>
      <c r="P1369" s="35"/>
      <c r="Q1369" s="36" t="str">
        <f t="shared" si="4"/>
        <v/>
      </c>
      <c r="R1369" s="33"/>
      <c r="S1369" s="31"/>
      <c r="T1369" s="37"/>
      <c r="U1369" s="37"/>
      <c r="V1369" s="37"/>
      <c r="W1369" s="37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</row>
    <row r="1370">
      <c r="A1370" s="24"/>
      <c r="B1370" s="13"/>
      <c r="C1370" s="62"/>
      <c r="D1370" s="14"/>
      <c r="E1370" s="15"/>
      <c r="F1370" s="16"/>
      <c r="G1370" s="17" t="str">
        <f t="shared" si="61"/>
        <v/>
      </c>
      <c r="H1370" s="18" t="str">
        <f t="shared" si="73"/>
        <v/>
      </c>
      <c r="I1370" s="19" t="str">
        <f t="shared" si="65"/>
        <v/>
      </c>
      <c r="J1370" s="20" t="str">
        <f t="shared" si="25"/>
        <v/>
      </c>
      <c r="K1370" s="20"/>
      <c r="L1370" s="20"/>
      <c r="M1370" s="20"/>
      <c r="N1370" s="21"/>
      <c r="O1370" s="22" t="str">
        <f>IFERROR(__xludf.DUMMYFUNCTION("IFERROR(
  VLOOKUP(C1370,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C1370
    ), 
    7, FALSE
  ), 
  """"
)
"),"")</f>
        <v/>
      </c>
      <c r="P1370" s="22"/>
      <c r="Q1370" s="23" t="str">
        <f t="shared" si="4"/>
        <v/>
      </c>
      <c r="R1370" s="20"/>
      <c r="S1370" s="18"/>
      <c r="T1370" s="24"/>
      <c r="U1370" s="24"/>
      <c r="V1370" s="24"/>
      <c r="W1370" s="24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</row>
    <row r="1371">
      <c r="A1371" s="37"/>
      <c r="B1371" s="25"/>
      <c r="C1371" s="60"/>
      <c r="D1371" s="27"/>
      <c r="E1371" s="28"/>
      <c r="F1371" s="29"/>
      <c r="G1371" s="30" t="str">
        <f t="shared" si="61"/>
        <v/>
      </c>
      <c r="H1371" s="31" t="str">
        <f t="shared" si="73"/>
        <v/>
      </c>
      <c r="I1371" s="32" t="str">
        <f t="shared" si="65"/>
        <v/>
      </c>
      <c r="J1371" s="33" t="str">
        <f t="shared" si="25"/>
        <v/>
      </c>
      <c r="K1371" s="33"/>
      <c r="L1371" s="33"/>
      <c r="M1371" s="33"/>
      <c r="N1371" s="34"/>
      <c r="O1371" s="35" t="str">
        <f>IFERROR(__xludf.DUMMYFUNCTION("IFERROR(
  VLOOKUP(C1371,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C1371
    ), 
    7, FALSE
  ), 
  """"
)
"),"")</f>
        <v/>
      </c>
      <c r="P1371" s="35"/>
      <c r="Q1371" s="36" t="str">
        <f t="shared" si="4"/>
        <v/>
      </c>
      <c r="R1371" s="33"/>
      <c r="S1371" s="31"/>
      <c r="T1371" s="37"/>
      <c r="U1371" s="37"/>
      <c r="V1371" s="37"/>
      <c r="W1371" s="37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</row>
    <row r="1372">
      <c r="A1372" s="24"/>
      <c r="B1372" s="13"/>
      <c r="C1372" s="62"/>
      <c r="D1372" s="14"/>
      <c r="E1372" s="15"/>
      <c r="F1372" s="16"/>
      <c r="G1372" s="17" t="str">
        <f t="shared" si="61"/>
        <v/>
      </c>
      <c r="H1372" s="18" t="str">
        <f t="shared" si="73"/>
        <v/>
      </c>
      <c r="I1372" s="19" t="str">
        <f t="shared" si="65"/>
        <v/>
      </c>
      <c r="J1372" s="20" t="str">
        <f t="shared" si="25"/>
        <v/>
      </c>
      <c r="K1372" s="20"/>
      <c r="L1372" s="20"/>
      <c r="M1372" s="20"/>
      <c r="N1372" s="21"/>
      <c r="O1372" s="22" t="str">
        <f>IFERROR(__xludf.DUMMYFUNCTION("IFERROR(
  VLOOKUP(C1372,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C1372
    ), 
    7, FALSE
  ), 
  """"
)
"),"")</f>
        <v/>
      </c>
      <c r="P1372" s="22"/>
      <c r="Q1372" s="23" t="str">
        <f t="shared" si="4"/>
        <v/>
      </c>
      <c r="R1372" s="20"/>
      <c r="S1372" s="18"/>
      <c r="T1372" s="24"/>
      <c r="U1372" s="24"/>
      <c r="V1372" s="24"/>
      <c r="W1372" s="24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</row>
    <row r="1373">
      <c r="A1373" s="37"/>
      <c r="B1373" s="25"/>
      <c r="C1373" s="60"/>
      <c r="D1373" s="27"/>
      <c r="E1373" s="28"/>
      <c r="F1373" s="29"/>
      <c r="G1373" s="30" t="str">
        <f t="shared" si="61"/>
        <v/>
      </c>
      <c r="H1373" s="31" t="str">
        <f t="shared" si="73"/>
        <v/>
      </c>
      <c r="I1373" s="32" t="str">
        <f t="shared" si="65"/>
        <v/>
      </c>
      <c r="J1373" s="33" t="str">
        <f t="shared" si="25"/>
        <v/>
      </c>
      <c r="K1373" s="33"/>
      <c r="L1373" s="33"/>
      <c r="M1373" s="33"/>
      <c r="N1373" s="34"/>
      <c r="O1373" s="35" t="str">
        <f>IFERROR(__xludf.DUMMYFUNCTION("IFERROR(
  VLOOKUP(C1373,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C1373
    ), 
    7, FALSE
  ), 
  """"
)
"),"")</f>
        <v/>
      </c>
      <c r="P1373" s="35"/>
      <c r="Q1373" s="36" t="str">
        <f t="shared" si="4"/>
        <v/>
      </c>
      <c r="R1373" s="33"/>
      <c r="S1373" s="31"/>
      <c r="T1373" s="37"/>
      <c r="U1373" s="37"/>
      <c r="V1373" s="37"/>
      <c r="W1373" s="37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</row>
    <row r="1374">
      <c r="A1374" s="24"/>
      <c r="B1374" s="13"/>
      <c r="C1374" s="62"/>
      <c r="D1374" s="14"/>
      <c r="E1374" s="15"/>
      <c r="F1374" s="16"/>
      <c r="G1374" s="17" t="str">
        <f t="shared" si="61"/>
        <v/>
      </c>
      <c r="H1374" s="18" t="str">
        <f t="shared" si="73"/>
        <v/>
      </c>
      <c r="I1374" s="19" t="str">
        <f t="shared" si="65"/>
        <v/>
      </c>
      <c r="J1374" s="20" t="str">
        <f t="shared" si="25"/>
        <v/>
      </c>
      <c r="K1374" s="20"/>
      <c r="L1374" s="20"/>
      <c r="M1374" s="20"/>
      <c r="N1374" s="21"/>
      <c r="O1374" s="22" t="str">
        <f>IFERROR(__xludf.DUMMYFUNCTION("IFERROR(
  VLOOKUP(C1374,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C1374
    ), 
    7, FALSE
  ), 
  """"
)
"),"")</f>
        <v/>
      </c>
      <c r="P1374" s="22"/>
      <c r="Q1374" s="23" t="str">
        <f t="shared" si="4"/>
        <v/>
      </c>
      <c r="R1374" s="20"/>
      <c r="S1374" s="18"/>
      <c r="T1374" s="24"/>
      <c r="U1374" s="24"/>
      <c r="V1374" s="24"/>
      <c r="W1374" s="24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</row>
    <row r="1375">
      <c r="A1375" s="37"/>
      <c r="B1375" s="25"/>
      <c r="C1375" s="60"/>
      <c r="D1375" s="27"/>
      <c r="E1375" s="28"/>
      <c r="F1375" s="29"/>
      <c r="G1375" s="30" t="str">
        <f t="shared" si="61"/>
        <v/>
      </c>
      <c r="H1375" s="31" t="str">
        <f t="shared" si="73"/>
        <v/>
      </c>
      <c r="I1375" s="32" t="str">
        <f t="shared" si="65"/>
        <v/>
      </c>
      <c r="J1375" s="33" t="str">
        <f t="shared" si="25"/>
        <v/>
      </c>
      <c r="K1375" s="33"/>
      <c r="L1375" s="33"/>
      <c r="M1375" s="33"/>
      <c r="N1375" s="34"/>
      <c r="O1375" s="35" t="str">
        <f>IFERROR(__xludf.DUMMYFUNCTION("IFERROR(
  VLOOKUP(C1375,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C1375
    ), 
    7, FALSE
  ), 
  """"
)
"),"")</f>
        <v/>
      </c>
      <c r="P1375" s="35"/>
      <c r="Q1375" s="36" t="str">
        <f t="shared" si="4"/>
        <v/>
      </c>
      <c r="R1375" s="33"/>
      <c r="S1375" s="31"/>
      <c r="T1375" s="37"/>
      <c r="U1375" s="37"/>
      <c r="V1375" s="37"/>
      <c r="W1375" s="37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5"/>
      <c r="AM1375" s="25"/>
    </row>
    <row r="1376">
      <c r="A1376" s="24"/>
      <c r="B1376" s="13"/>
      <c r="C1376" s="62"/>
      <c r="D1376" s="14"/>
      <c r="E1376" s="15"/>
      <c r="F1376" s="16"/>
      <c r="G1376" s="17" t="str">
        <f t="shared" si="61"/>
        <v/>
      </c>
      <c r="H1376" s="18" t="str">
        <f t="shared" si="73"/>
        <v/>
      </c>
      <c r="I1376" s="19" t="str">
        <f t="shared" si="65"/>
        <v/>
      </c>
      <c r="J1376" s="20" t="str">
        <f t="shared" si="25"/>
        <v/>
      </c>
      <c r="K1376" s="20"/>
      <c r="L1376" s="20"/>
      <c r="M1376" s="20"/>
      <c r="N1376" s="21"/>
      <c r="O1376" s="22" t="str">
        <f>IFERROR(__xludf.DUMMYFUNCTION("IFERROR(
  VLOOKUP(C1376,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C1376
    ), 
    7, FALSE
  ), 
  """"
)
"),"")</f>
        <v/>
      </c>
      <c r="P1376" s="22"/>
      <c r="Q1376" s="23" t="str">
        <f t="shared" si="4"/>
        <v/>
      </c>
      <c r="R1376" s="20"/>
      <c r="S1376" s="18"/>
      <c r="T1376" s="24"/>
      <c r="U1376" s="24"/>
      <c r="V1376" s="24"/>
      <c r="W1376" s="24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</row>
    <row r="1377">
      <c r="A1377" s="37"/>
      <c r="B1377" s="25"/>
      <c r="C1377" s="60"/>
      <c r="D1377" s="27"/>
      <c r="E1377" s="28"/>
      <c r="F1377" s="29"/>
      <c r="G1377" s="30" t="str">
        <f t="shared" si="61"/>
        <v/>
      </c>
      <c r="H1377" s="31" t="str">
        <f t="shared" si="73"/>
        <v/>
      </c>
      <c r="I1377" s="32" t="str">
        <f t="shared" si="65"/>
        <v/>
      </c>
      <c r="J1377" s="33" t="str">
        <f t="shared" si="25"/>
        <v/>
      </c>
      <c r="K1377" s="33"/>
      <c r="L1377" s="33"/>
      <c r="M1377" s="33"/>
      <c r="N1377" s="34"/>
      <c r="O1377" s="35" t="str">
        <f>IFERROR(__xludf.DUMMYFUNCTION("IFERROR(
  VLOOKUP(C1377,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C1377
    ), 
    7, FALSE
  ), 
  """"
)
"),"")</f>
        <v/>
      </c>
      <c r="P1377" s="35"/>
      <c r="Q1377" s="36" t="str">
        <f t="shared" si="4"/>
        <v/>
      </c>
      <c r="R1377" s="33"/>
      <c r="S1377" s="31"/>
      <c r="T1377" s="37"/>
      <c r="U1377" s="37"/>
      <c r="V1377" s="37"/>
      <c r="W1377" s="37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</row>
    <row r="1378">
      <c r="A1378" s="24"/>
      <c r="B1378" s="13"/>
      <c r="C1378" s="62"/>
      <c r="D1378" s="14"/>
      <c r="E1378" s="15"/>
      <c r="F1378" s="16"/>
      <c r="G1378" s="17" t="str">
        <f t="shared" si="61"/>
        <v/>
      </c>
      <c r="H1378" s="18" t="str">
        <f t="shared" si="73"/>
        <v/>
      </c>
      <c r="I1378" s="19" t="str">
        <f t="shared" si="65"/>
        <v/>
      </c>
      <c r="J1378" s="20" t="str">
        <f t="shared" si="25"/>
        <v/>
      </c>
      <c r="K1378" s="20"/>
      <c r="L1378" s="20"/>
      <c r="M1378" s="20"/>
      <c r="N1378" s="21"/>
      <c r="O1378" s="22" t="str">
        <f>IFERROR(__xludf.DUMMYFUNCTION("IFERROR(
  VLOOKUP(C1378,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C1378
    ), 
    7, FALSE
  ), 
  """"
)
"),"")</f>
        <v/>
      </c>
      <c r="P1378" s="22"/>
      <c r="Q1378" s="23" t="str">
        <f t="shared" si="4"/>
        <v/>
      </c>
      <c r="R1378" s="20"/>
      <c r="S1378" s="18"/>
      <c r="T1378" s="24"/>
      <c r="U1378" s="24"/>
      <c r="V1378" s="24"/>
      <c r="W1378" s="24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</row>
    <row r="1379">
      <c r="A1379" s="37"/>
      <c r="B1379" s="25"/>
      <c r="C1379" s="60"/>
      <c r="D1379" s="27"/>
      <c r="E1379" s="28"/>
      <c r="F1379" s="29"/>
      <c r="G1379" s="30" t="str">
        <f t="shared" si="61"/>
        <v/>
      </c>
      <c r="H1379" s="31" t="str">
        <f t="shared" si="73"/>
        <v/>
      </c>
      <c r="I1379" s="32" t="str">
        <f t="shared" si="65"/>
        <v/>
      </c>
      <c r="J1379" s="33" t="str">
        <f t="shared" si="25"/>
        <v/>
      </c>
      <c r="K1379" s="33"/>
      <c r="L1379" s="33"/>
      <c r="M1379" s="33"/>
      <c r="N1379" s="34"/>
      <c r="O1379" s="35" t="str">
        <f>IFERROR(__xludf.DUMMYFUNCTION("IFERROR(
  VLOOKUP(C1379,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C1379
    ), 
    7, FALSE
  ), 
  """"
)
"),"")</f>
        <v/>
      </c>
      <c r="P1379" s="35"/>
      <c r="Q1379" s="36" t="str">
        <f t="shared" si="4"/>
        <v/>
      </c>
      <c r="R1379" s="33"/>
      <c r="S1379" s="31"/>
      <c r="T1379" s="37"/>
      <c r="U1379" s="37"/>
      <c r="V1379" s="37"/>
      <c r="W1379" s="37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</row>
    <row r="1380">
      <c r="A1380" s="24"/>
      <c r="B1380" s="13"/>
      <c r="C1380" s="62"/>
      <c r="D1380" s="14"/>
      <c r="E1380" s="15"/>
      <c r="F1380" s="16"/>
      <c r="G1380" s="17" t="str">
        <f t="shared" si="61"/>
        <v/>
      </c>
      <c r="H1380" s="18" t="str">
        <f t="shared" si="73"/>
        <v/>
      </c>
      <c r="I1380" s="19" t="str">
        <f t="shared" si="65"/>
        <v/>
      </c>
      <c r="J1380" s="20" t="str">
        <f t="shared" si="25"/>
        <v/>
      </c>
      <c r="K1380" s="20"/>
      <c r="L1380" s="20"/>
      <c r="M1380" s="20"/>
      <c r="N1380" s="21"/>
      <c r="O1380" s="22" t="str">
        <f>IFERROR(__xludf.DUMMYFUNCTION("IFERROR(
  VLOOKUP(C1380,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C1380
    ), 
    7, FALSE
  ), 
  """"
)
"),"")</f>
        <v/>
      </c>
      <c r="P1380" s="22"/>
      <c r="Q1380" s="23" t="str">
        <f t="shared" si="4"/>
        <v/>
      </c>
      <c r="R1380" s="20"/>
      <c r="S1380" s="18"/>
      <c r="T1380" s="24"/>
      <c r="U1380" s="24"/>
      <c r="V1380" s="24"/>
      <c r="W1380" s="24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</row>
    <row r="1381">
      <c r="A1381" s="37"/>
      <c r="B1381" s="25"/>
      <c r="C1381" s="60"/>
      <c r="D1381" s="27"/>
      <c r="E1381" s="28"/>
      <c r="F1381" s="29"/>
      <c r="G1381" s="30" t="str">
        <f t="shared" si="61"/>
        <v/>
      </c>
      <c r="H1381" s="31" t="str">
        <f t="shared" si="73"/>
        <v/>
      </c>
      <c r="I1381" s="32" t="str">
        <f t="shared" si="65"/>
        <v/>
      </c>
      <c r="J1381" s="33" t="str">
        <f t="shared" si="25"/>
        <v/>
      </c>
      <c r="K1381" s="33"/>
      <c r="L1381" s="33"/>
      <c r="M1381" s="33"/>
      <c r="N1381" s="34"/>
      <c r="O1381" s="35" t="str">
        <f>IFERROR(__xludf.DUMMYFUNCTION("IFERROR(
  VLOOKUP(C1381,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C1381
    ), 
    7, FALSE
  ), 
  """"
)
"),"")</f>
        <v/>
      </c>
      <c r="P1381" s="35"/>
      <c r="Q1381" s="36" t="str">
        <f t="shared" si="4"/>
        <v/>
      </c>
      <c r="R1381" s="33"/>
      <c r="S1381" s="31"/>
      <c r="T1381" s="37"/>
      <c r="U1381" s="37"/>
      <c r="V1381" s="37"/>
      <c r="W1381" s="37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</row>
    <row r="1382">
      <c r="A1382" s="24"/>
      <c r="B1382" s="13"/>
      <c r="C1382" s="62"/>
      <c r="D1382" s="14"/>
      <c r="E1382" s="15"/>
      <c r="F1382" s="16"/>
      <c r="G1382" s="17" t="str">
        <f t="shared" si="61"/>
        <v/>
      </c>
      <c r="H1382" s="18" t="str">
        <f t="shared" si="73"/>
        <v/>
      </c>
      <c r="I1382" s="19" t="str">
        <f t="shared" si="65"/>
        <v/>
      </c>
      <c r="J1382" s="20" t="str">
        <f t="shared" si="25"/>
        <v/>
      </c>
      <c r="K1382" s="20"/>
      <c r="L1382" s="20"/>
      <c r="M1382" s="20"/>
      <c r="N1382" s="21"/>
      <c r="O1382" s="22" t="str">
        <f>IFERROR(__xludf.DUMMYFUNCTION("IFERROR(
  VLOOKUP(C1382,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C1382
    ), 
    7, FALSE
  ), 
  """"
)
"),"")</f>
        <v/>
      </c>
      <c r="P1382" s="22"/>
      <c r="Q1382" s="23" t="str">
        <f t="shared" si="4"/>
        <v/>
      </c>
      <c r="R1382" s="20"/>
      <c r="S1382" s="18"/>
      <c r="T1382" s="24"/>
      <c r="U1382" s="24"/>
      <c r="V1382" s="24"/>
      <c r="W1382" s="24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</row>
    <row r="1383">
      <c r="A1383" s="37"/>
      <c r="B1383" s="25"/>
      <c r="C1383" s="60"/>
      <c r="D1383" s="27"/>
      <c r="E1383" s="28"/>
      <c r="F1383" s="29"/>
      <c r="G1383" s="30" t="str">
        <f t="shared" si="61"/>
        <v/>
      </c>
      <c r="H1383" s="31" t="str">
        <f t="shared" si="73"/>
        <v/>
      </c>
      <c r="I1383" s="32" t="str">
        <f t="shared" si="65"/>
        <v/>
      </c>
      <c r="J1383" s="33" t="str">
        <f t="shared" si="25"/>
        <v/>
      </c>
      <c r="K1383" s="33"/>
      <c r="L1383" s="33"/>
      <c r="M1383" s="33"/>
      <c r="N1383" s="34"/>
      <c r="O1383" s="35" t="str">
        <f>IFERROR(__xludf.DUMMYFUNCTION("IFERROR(
  VLOOKUP(C1383,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C1383
    ), 
    7, FALSE
  ), 
  """"
)
"),"")</f>
        <v/>
      </c>
      <c r="P1383" s="35"/>
      <c r="Q1383" s="36" t="str">
        <f t="shared" si="4"/>
        <v/>
      </c>
      <c r="R1383" s="33"/>
      <c r="S1383" s="31"/>
      <c r="T1383" s="37"/>
      <c r="U1383" s="37"/>
      <c r="V1383" s="37"/>
      <c r="W1383" s="37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</row>
    <row r="1384">
      <c r="A1384" s="24"/>
      <c r="B1384" s="13"/>
      <c r="C1384" s="62"/>
      <c r="D1384" s="14"/>
      <c r="E1384" s="15"/>
      <c r="F1384" s="16"/>
      <c r="G1384" s="17" t="str">
        <f t="shared" si="61"/>
        <v/>
      </c>
      <c r="H1384" s="18" t="str">
        <f t="shared" si="73"/>
        <v/>
      </c>
      <c r="I1384" s="19" t="str">
        <f t="shared" si="65"/>
        <v/>
      </c>
      <c r="J1384" s="20" t="str">
        <f t="shared" si="25"/>
        <v/>
      </c>
      <c r="K1384" s="20"/>
      <c r="L1384" s="20"/>
      <c r="M1384" s="20"/>
      <c r="N1384" s="21"/>
      <c r="O1384" s="22" t="str">
        <f>IFERROR(__xludf.DUMMYFUNCTION("IFERROR(
  VLOOKUP(C1384,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C1384
    ), 
    7, FALSE
  ), 
  """"
)
"),"")</f>
        <v/>
      </c>
      <c r="P1384" s="22"/>
      <c r="Q1384" s="23" t="str">
        <f t="shared" si="4"/>
        <v/>
      </c>
      <c r="R1384" s="20"/>
      <c r="S1384" s="18"/>
      <c r="T1384" s="24"/>
      <c r="U1384" s="24"/>
      <c r="V1384" s="24"/>
      <c r="W1384" s="24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</row>
    <row r="1385">
      <c r="A1385" s="37"/>
      <c r="B1385" s="25"/>
      <c r="C1385" s="60"/>
      <c r="D1385" s="27"/>
      <c r="E1385" s="28"/>
      <c r="F1385" s="29"/>
      <c r="G1385" s="30" t="str">
        <f t="shared" si="61"/>
        <v/>
      </c>
      <c r="H1385" s="31" t="str">
        <f t="shared" si="73"/>
        <v/>
      </c>
      <c r="I1385" s="32" t="str">
        <f t="shared" si="65"/>
        <v/>
      </c>
      <c r="J1385" s="33" t="str">
        <f t="shared" si="25"/>
        <v/>
      </c>
      <c r="K1385" s="33"/>
      <c r="L1385" s="33"/>
      <c r="M1385" s="33"/>
      <c r="N1385" s="34"/>
      <c r="O1385" s="35" t="str">
        <f>IFERROR(__xludf.DUMMYFUNCTION("IFERROR(
  VLOOKUP(C1385,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C1385
    ), 
    7, FALSE
  ), 
  """"
)
"),"")</f>
        <v/>
      </c>
      <c r="P1385" s="35"/>
      <c r="Q1385" s="36" t="str">
        <f t="shared" si="4"/>
        <v/>
      </c>
      <c r="R1385" s="33"/>
      <c r="S1385" s="31"/>
      <c r="T1385" s="37"/>
      <c r="U1385" s="37"/>
      <c r="V1385" s="37"/>
      <c r="W1385" s="37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</row>
    <row r="1386">
      <c r="A1386" s="24"/>
      <c r="B1386" s="13"/>
      <c r="C1386" s="62"/>
      <c r="D1386" s="14"/>
      <c r="E1386" s="15"/>
      <c r="F1386" s="16"/>
      <c r="G1386" s="17" t="str">
        <f t="shared" si="61"/>
        <v/>
      </c>
      <c r="H1386" s="18" t="str">
        <f t="shared" si="73"/>
        <v/>
      </c>
      <c r="I1386" s="19" t="str">
        <f t="shared" si="65"/>
        <v/>
      </c>
      <c r="J1386" s="20" t="str">
        <f t="shared" si="25"/>
        <v/>
      </c>
      <c r="K1386" s="20"/>
      <c r="L1386" s="20"/>
      <c r="M1386" s="20"/>
      <c r="N1386" s="21"/>
      <c r="O1386" s="22" t="str">
        <f>IFERROR(__xludf.DUMMYFUNCTION("IFERROR(
  VLOOKUP(C1386,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C1386
    ), 
    7, FALSE
  ), 
  """"
)
"),"")</f>
        <v/>
      </c>
      <c r="P1386" s="22"/>
      <c r="Q1386" s="23" t="str">
        <f t="shared" si="4"/>
        <v/>
      </c>
      <c r="R1386" s="20"/>
      <c r="S1386" s="18"/>
      <c r="T1386" s="24"/>
      <c r="U1386" s="24"/>
      <c r="V1386" s="24"/>
      <c r="W1386" s="24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</row>
    <row r="1387">
      <c r="A1387" s="37"/>
      <c r="B1387" s="25"/>
      <c r="C1387" s="60"/>
      <c r="D1387" s="27"/>
      <c r="E1387" s="28"/>
      <c r="F1387" s="29"/>
      <c r="G1387" s="30" t="str">
        <f t="shared" si="61"/>
        <v/>
      </c>
      <c r="H1387" s="31" t="str">
        <f t="shared" si="73"/>
        <v/>
      </c>
      <c r="I1387" s="32" t="str">
        <f t="shared" si="65"/>
        <v/>
      </c>
      <c r="J1387" s="33" t="str">
        <f t="shared" si="25"/>
        <v/>
      </c>
      <c r="K1387" s="33"/>
      <c r="L1387" s="33"/>
      <c r="M1387" s="33"/>
      <c r="N1387" s="34"/>
      <c r="O1387" s="35" t="str">
        <f>IFERROR(__xludf.DUMMYFUNCTION("IFERROR(
  VLOOKUP(C1387,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C1387
    ), 
    7, FALSE
  ), 
  """"
)
"),"")</f>
        <v/>
      </c>
      <c r="P1387" s="35"/>
      <c r="Q1387" s="36" t="str">
        <f t="shared" si="4"/>
        <v/>
      </c>
      <c r="R1387" s="33"/>
      <c r="S1387" s="31"/>
      <c r="T1387" s="37"/>
      <c r="U1387" s="37"/>
      <c r="V1387" s="37"/>
      <c r="W1387" s="37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</row>
    <row r="1388">
      <c r="A1388" s="24"/>
      <c r="B1388" s="13"/>
      <c r="C1388" s="62"/>
      <c r="D1388" s="14"/>
      <c r="E1388" s="15"/>
      <c r="F1388" s="16"/>
      <c r="G1388" s="17" t="str">
        <f t="shared" si="61"/>
        <v/>
      </c>
      <c r="H1388" s="18" t="str">
        <f t="shared" si="73"/>
        <v/>
      </c>
      <c r="I1388" s="19" t="str">
        <f t="shared" si="65"/>
        <v/>
      </c>
      <c r="J1388" s="20" t="str">
        <f t="shared" si="25"/>
        <v/>
      </c>
      <c r="K1388" s="20"/>
      <c r="L1388" s="20"/>
      <c r="M1388" s="20"/>
      <c r="N1388" s="21"/>
      <c r="O1388" s="22" t="str">
        <f>IFERROR(__xludf.DUMMYFUNCTION("IFERROR(
  VLOOKUP(C1388,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C1388
    ), 
    7, FALSE
  ), 
  """"
)
"),"")</f>
        <v/>
      </c>
      <c r="P1388" s="22"/>
      <c r="Q1388" s="23" t="str">
        <f t="shared" si="4"/>
        <v/>
      </c>
      <c r="R1388" s="20"/>
      <c r="S1388" s="18"/>
      <c r="T1388" s="24"/>
      <c r="U1388" s="24"/>
      <c r="V1388" s="24"/>
      <c r="W1388" s="24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</row>
    <row r="1389">
      <c r="A1389" s="37"/>
      <c r="B1389" s="25"/>
      <c r="C1389" s="60"/>
      <c r="D1389" s="27"/>
      <c r="E1389" s="28"/>
      <c r="F1389" s="29"/>
      <c r="G1389" s="30" t="str">
        <f t="shared" si="61"/>
        <v/>
      </c>
      <c r="H1389" s="31" t="str">
        <f t="shared" si="73"/>
        <v/>
      </c>
      <c r="I1389" s="32" t="str">
        <f t="shared" si="65"/>
        <v/>
      </c>
      <c r="J1389" s="33" t="str">
        <f t="shared" si="25"/>
        <v/>
      </c>
      <c r="K1389" s="33"/>
      <c r="L1389" s="33"/>
      <c r="M1389" s="33"/>
      <c r="N1389" s="34"/>
      <c r="O1389" s="35" t="str">
        <f>IFERROR(__xludf.DUMMYFUNCTION("IFERROR(
  VLOOKUP(C1389,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C1389
    ), 
    7, FALSE
  ), 
  """"
)
"),"")</f>
        <v/>
      </c>
      <c r="P1389" s="35"/>
      <c r="Q1389" s="36" t="str">
        <f t="shared" si="4"/>
        <v/>
      </c>
      <c r="R1389" s="33"/>
      <c r="S1389" s="31"/>
      <c r="T1389" s="37"/>
      <c r="U1389" s="37"/>
      <c r="V1389" s="37"/>
      <c r="W1389" s="37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</row>
    <row r="1390">
      <c r="A1390" s="24"/>
      <c r="B1390" s="13"/>
      <c r="C1390" s="62"/>
      <c r="D1390" s="14"/>
      <c r="E1390" s="15"/>
      <c r="F1390" s="16"/>
      <c r="G1390" s="17" t="str">
        <f t="shared" si="61"/>
        <v/>
      </c>
      <c r="H1390" s="18" t="str">
        <f t="shared" si="73"/>
        <v/>
      </c>
      <c r="I1390" s="19" t="str">
        <f t="shared" si="65"/>
        <v/>
      </c>
      <c r="J1390" s="20" t="str">
        <f t="shared" si="25"/>
        <v/>
      </c>
      <c r="K1390" s="20"/>
      <c r="L1390" s="20"/>
      <c r="M1390" s="20"/>
      <c r="N1390" s="21"/>
      <c r="O1390" s="22" t="str">
        <f>IFERROR(__xludf.DUMMYFUNCTION("IFERROR(
  VLOOKUP(C1390,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C1390
    ), 
    7, FALSE
  ), 
  """"
)
"),"")</f>
        <v/>
      </c>
      <c r="P1390" s="22"/>
      <c r="Q1390" s="23" t="str">
        <f t="shared" si="4"/>
        <v/>
      </c>
      <c r="R1390" s="20"/>
      <c r="S1390" s="18"/>
      <c r="T1390" s="24"/>
      <c r="U1390" s="24"/>
      <c r="V1390" s="24"/>
      <c r="W1390" s="24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</row>
    <row r="1391">
      <c r="A1391" s="37"/>
      <c r="B1391" s="25"/>
      <c r="C1391" s="60"/>
      <c r="D1391" s="27"/>
      <c r="E1391" s="28"/>
      <c r="F1391" s="29"/>
      <c r="G1391" s="30" t="str">
        <f t="shared" si="61"/>
        <v/>
      </c>
      <c r="H1391" s="31" t="str">
        <f t="shared" si="73"/>
        <v/>
      </c>
      <c r="I1391" s="32" t="str">
        <f t="shared" si="65"/>
        <v/>
      </c>
      <c r="J1391" s="33" t="str">
        <f t="shared" si="25"/>
        <v/>
      </c>
      <c r="K1391" s="33"/>
      <c r="L1391" s="33"/>
      <c r="M1391" s="33"/>
      <c r="N1391" s="34"/>
      <c r="O1391" s="35" t="str">
        <f>IFERROR(__xludf.DUMMYFUNCTION("IFERROR(
  VLOOKUP(C1391,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C1391
    ), 
    7, FALSE
  ), 
  """"
)
"),"")</f>
        <v/>
      </c>
      <c r="P1391" s="35"/>
      <c r="Q1391" s="36" t="str">
        <f t="shared" si="4"/>
        <v/>
      </c>
      <c r="R1391" s="33"/>
      <c r="S1391" s="31"/>
      <c r="T1391" s="37"/>
      <c r="U1391" s="37"/>
      <c r="V1391" s="37"/>
      <c r="W1391" s="37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</row>
    <row r="1392">
      <c r="A1392" s="24"/>
      <c r="B1392" s="13"/>
      <c r="C1392" s="62"/>
      <c r="D1392" s="14"/>
      <c r="E1392" s="15"/>
      <c r="F1392" s="16"/>
      <c r="G1392" s="17" t="str">
        <f t="shared" si="61"/>
        <v/>
      </c>
      <c r="H1392" s="18" t="str">
        <f t="shared" si="73"/>
        <v/>
      </c>
      <c r="I1392" s="19" t="str">
        <f t="shared" si="65"/>
        <v/>
      </c>
      <c r="J1392" s="20" t="str">
        <f t="shared" si="25"/>
        <v/>
      </c>
      <c r="K1392" s="20"/>
      <c r="L1392" s="20"/>
      <c r="M1392" s="20"/>
      <c r="N1392" s="21"/>
      <c r="O1392" s="22" t="str">
        <f>IFERROR(__xludf.DUMMYFUNCTION("IFERROR(
  VLOOKUP(C1392,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C1392
    ), 
    7, FALSE
  ), 
  """"
)
"),"")</f>
        <v/>
      </c>
      <c r="P1392" s="22"/>
      <c r="Q1392" s="23" t="str">
        <f t="shared" si="4"/>
        <v/>
      </c>
      <c r="R1392" s="20"/>
      <c r="S1392" s="18"/>
      <c r="T1392" s="24"/>
      <c r="U1392" s="24"/>
      <c r="V1392" s="24"/>
      <c r="W1392" s="24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</row>
    <row r="1393">
      <c r="A1393" s="37"/>
      <c r="B1393" s="25"/>
      <c r="C1393" s="60"/>
      <c r="D1393" s="27"/>
      <c r="E1393" s="28"/>
      <c r="F1393" s="29"/>
      <c r="G1393" s="30" t="str">
        <f t="shared" si="61"/>
        <v/>
      </c>
      <c r="H1393" s="31" t="str">
        <f t="shared" si="73"/>
        <v/>
      </c>
      <c r="I1393" s="32" t="str">
        <f t="shared" si="65"/>
        <v/>
      </c>
      <c r="J1393" s="33" t="str">
        <f t="shared" si="25"/>
        <v/>
      </c>
      <c r="K1393" s="33"/>
      <c r="L1393" s="33"/>
      <c r="M1393" s="33"/>
      <c r="N1393" s="34"/>
      <c r="O1393" s="35" t="str">
        <f>IFERROR(__xludf.DUMMYFUNCTION("IFERROR(
  VLOOKUP(C1393,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C1393
    ), 
    7, FALSE
  ), 
  """"
)
"),"")</f>
        <v/>
      </c>
      <c r="P1393" s="35"/>
      <c r="Q1393" s="36" t="str">
        <f t="shared" si="4"/>
        <v/>
      </c>
      <c r="R1393" s="33"/>
      <c r="S1393" s="31"/>
      <c r="T1393" s="37"/>
      <c r="U1393" s="37"/>
      <c r="V1393" s="37"/>
      <c r="W1393" s="37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</row>
    <row r="1394">
      <c r="A1394" s="24"/>
      <c r="B1394" s="13"/>
      <c r="C1394" s="62"/>
      <c r="D1394" s="14"/>
      <c r="E1394" s="15"/>
      <c r="F1394" s="16"/>
      <c r="G1394" s="17" t="str">
        <f t="shared" si="61"/>
        <v/>
      </c>
      <c r="H1394" s="18" t="str">
        <f t="shared" si="73"/>
        <v/>
      </c>
      <c r="I1394" s="19" t="str">
        <f t="shared" si="65"/>
        <v/>
      </c>
      <c r="J1394" s="20" t="str">
        <f t="shared" si="25"/>
        <v/>
      </c>
      <c r="K1394" s="20"/>
      <c r="L1394" s="20"/>
      <c r="M1394" s="20"/>
      <c r="N1394" s="21"/>
      <c r="O1394" s="22" t="str">
        <f>IFERROR(__xludf.DUMMYFUNCTION("IFERROR(
  VLOOKUP(C1394,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C1394
    ), 
    7, FALSE
  ), 
  """"
)
"),"")</f>
        <v/>
      </c>
      <c r="P1394" s="22"/>
      <c r="Q1394" s="23" t="str">
        <f t="shared" si="4"/>
        <v/>
      </c>
      <c r="R1394" s="20"/>
      <c r="S1394" s="18"/>
      <c r="T1394" s="24"/>
      <c r="U1394" s="24"/>
      <c r="V1394" s="24"/>
      <c r="W1394" s="24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</row>
    <row r="1395">
      <c r="A1395" s="37"/>
      <c r="B1395" s="25"/>
      <c r="C1395" s="60"/>
      <c r="D1395" s="27"/>
      <c r="E1395" s="28"/>
      <c r="F1395" s="29"/>
      <c r="G1395" s="30" t="str">
        <f t="shared" si="61"/>
        <v/>
      </c>
      <c r="H1395" s="31" t="str">
        <f t="shared" si="73"/>
        <v/>
      </c>
      <c r="I1395" s="32" t="str">
        <f t="shared" si="65"/>
        <v/>
      </c>
      <c r="J1395" s="33" t="str">
        <f t="shared" si="25"/>
        <v/>
      </c>
      <c r="K1395" s="33"/>
      <c r="L1395" s="33"/>
      <c r="M1395" s="33"/>
      <c r="N1395" s="34"/>
      <c r="O1395" s="35" t="str">
        <f>IFERROR(__xludf.DUMMYFUNCTION("IFERROR(
  VLOOKUP(C1395,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C1395
    ), 
    7, FALSE
  ), 
  """"
)
"),"")</f>
        <v/>
      </c>
      <c r="P1395" s="35"/>
      <c r="Q1395" s="36" t="str">
        <f t="shared" si="4"/>
        <v/>
      </c>
      <c r="R1395" s="33"/>
      <c r="S1395" s="31"/>
      <c r="T1395" s="37"/>
      <c r="U1395" s="37"/>
      <c r="V1395" s="37"/>
      <c r="W1395" s="37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</row>
    <row r="1396">
      <c r="A1396" s="24"/>
      <c r="B1396" s="13"/>
      <c r="C1396" s="62"/>
      <c r="D1396" s="14"/>
      <c r="E1396" s="15"/>
      <c r="F1396" s="16"/>
      <c r="G1396" s="17" t="str">
        <f t="shared" si="61"/>
        <v/>
      </c>
      <c r="H1396" s="18" t="str">
        <f t="shared" si="73"/>
        <v/>
      </c>
      <c r="I1396" s="19" t="str">
        <f t="shared" si="65"/>
        <v/>
      </c>
      <c r="J1396" s="20" t="str">
        <f t="shared" si="25"/>
        <v/>
      </c>
      <c r="K1396" s="20"/>
      <c r="L1396" s="20"/>
      <c r="M1396" s="20"/>
      <c r="N1396" s="21"/>
      <c r="O1396" s="22" t="str">
        <f>IFERROR(__xludf.DUMMYFUNCTION("IFERROR(
  VLOOKUP(C1396,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C1396
    ), 
    7, FALSE
  ), 
  """"
)
"),"")</f>
        <v/>
      </c>
      <c r="P1396" s="22"/>
      <c r="Q1396" s="23" t="str">
        <f t="shared" si="4"/>
        <v/>
      </c>
      <c r="R1396" s="20"/>
      <c r="S1396" s="18"/>
      <c r="T1396" s="24"/>
      <c r="U1396" s="24"/>
      <c r="V1396" s="24"/>
      <c r="W1396" s="24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</row>
    <row r="1397">
      <c r="A1397" s="37"/>
      <c r="B1397" s="25"/>
      <c r="C1397" s="60"/>
      <c r="D1397" s="27"/>
      <c r="E1397" s="28"/>
      <c r="F1397" s="29"/>
      <c r="G1397" s="30" t="str">
        <f t="shared" si="61"/>
        <v/>
      </c>
      <c r="H1397" s="31" t="str">
        <f t="shared" si="73"/>
        <v/>
      </c>
      <c r="I1397" s="32" t="str">
        <f t="shared" si="65"/>
        <v/>
      </c>
      <c r="J1397" s="33" t="str">
        <f t="shared" si="25"/>
        <v/>
      </c>
      <c r="K1397" s="33"/>
      <c r="L1397" s="33"/>
      <c r="M1397" s="33"/>
      <c r="N1397" s="34"/>
      <c r="O1397" s="35" t="str">
        <f>IFERROR(__xludf.DUMMYFUNCTION("IFERROR(
  VLOOKUP(C1397,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C1397
    ), 
    7, FALSE
  ), 
  """"
)
"),"")</f>
        <v/>
      </c>
      <c r="P1397" s="35"/>
      <c r="Q1397" s="36" t="str">
        <f t="shared" si="4"/>
        <v/>
      </c>
      <c r="R1397" s="33"/>
      <c r="S1397" s="31"/>
      <c r="T1397" s="37"/>
      <c r="U1397" s="37"/>
      <c r="V1397" s="37"/>
      <c r="W1397" s="37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5"/>
      <c r="AM1397" s="25"/>
    </row>
    <row r="1398">
      <c r="A1398" s="24"/>
      <c r="B1398" s="13"/>
      <c r="C1398" s="62"/>
      <c r="D1398" s="14"/>
      <c r="E1398" s="15"/>
      <c r="F1398" s="16"/>
      <c r="G1398" s="17" t="str">
        <f t="shared" si="61"/>
        <v/>
      </c>
      <c r="H1398" s="18" t="str">
        <f t="shared" si="73"/>
        <v/>
      </c>
      <c r="I1398" s="19" t="str">
        <f t="shared" si="65"/>
        <v/>
      </c>
      <c r="J1398" s="20" t="str">
        <f t="shared" si="25"/>
        <v/>
      </c>
      <c r="K1398" s="20"/>
      <c r="L1398" s="20"/>
      <c r="M1398" s="20"/>
      <c r="N1398" s="21"/>
      <c r="O1398" s="22" t="str">
        <f>IFERROR(__xludf.DUMMYFUNCTION("IFERROR(
  VLOOKUP(C1398,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C1398
    ), 
    7, FALSE
  ), 
  """"
)
"),"")</f>
        <v/>
      </c>
      <c r="P1398" s="22"/>
      <c r="Q1398" s="23" t="str">
        <f t="shared" si="4"/>
        <v/>
      </c>
      <c r="R1398" s="20"/>
      <c r="S1398" s="18"/>
      <c r="T1398" s="24"/>
      <c r="U1398" s="24"/>
      <c r="V1398" s="24"/>
      <c r="W1398" s="24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</row>
    <row r="1399">
      <c r="A1399" s="37"/>
      <c r="B1399" s="25"/>
      <c r="C1399" s="60"/>
      <c r="D1399" s="27"/>
      <c r="E1399" s="28"/>
      <c r="F1399" s="29"/>
      <c r="G1399" s="30" t="str">
        <f t="shared" si="61"/>
        <v/>
      </c>
      <c r="H1399" s="31" t="str">
        <f t="shared" si="73"/>
        <v/>
      </c>
      <c r="I1399" s="32" t="str">
        <f t="shared" si="65"/>
        <v/>
      </c>
      <c r="J1399" s="33" t="str">
        <f t="shared" si="25"/>
        <v/>
      </c>
      <c r="K1399" s="33"/>
      <c r="L1399" s="33"/>
      <c r="M1399" s="33"/>
      <c r="N1399" s="34"/>
      <c r="O1399" s="35" t="str">
        <f>IFERROR(__xludf.DUMMYFUNCTION("IFERROR(
  VLOOKUP(C1399,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C1399
    ), 
    7, FALSE
  ), 
  """"
)
"),"")</f>
        <v/>
      </c>
      <c r="P1399" s="35"/>
      <c r="Q1399" s="36" t="str">
        <f t="shared" si="4"/>
        <v/>
      </c>
      <c r="R1399" s="33"/>
      <c r="S1399" s="31"/>
      <c r="T1399" s="37"/>
      <c r="U1399" s="37"/>
      <c r="V1399" s="37"/>
      <c r="W1399" s="37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</row>
    <row r="1400">
      <c r="A1400" s="24"/>
      <c r="B1400" s="13"/>
      <c r="C1400" s="62"/>
      <c r="D1400" s="14"/>
      <c r="E1400" s="15"/>
      <c r="F1400" s="16"/>
      <c r="G1400" s="17" t="str">
        <f t="shared" si="61"/>
        <v/>
      </c>
      <c r="H1400" s="18" t="str">
        <f t="shared" si="73"/>
        <v/>
      </c>
      <c r="I1400" s="19" t="str">
        <f t="shared" si="65"/>
        <v/>
      </c>
      <c r="J1400" s="20" t="str">
        <f t="shared" si="25"/>
        <v/>
      </c>
      <c r="K1400" s="20"/>
      <c r="L1400" s="20"/>
      <c r="M1400" s="20"/>
      <c r="N1400" s="21"/>
      <c r="O1400" s="22" t="str">
        <f>IFERROR(__xludf.DUMMYFUNCTION("IFERROR(
  VLOOKUP(C1400,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C1400
    ), 
    7, FALSE
  ), 
  """"
)
"),"")</f>
        <v/>
      </c>
      <c r="P1400" s="22"/>
      <c r="Q1400" s="23" t="str">
        <f t="shared" si="4"/>
        <v/>
      </c>
      <c r="R1400" s="20"/>
      <c r="S1400" s="18"/>
      <c r="T1400" s="24"/>
      <c r="U1400" s="24"/>
      <c r="V1400" s="24"/>
      <c r="W1400" s="24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</row>
    <row r="1401">
      <c r="A1401" s="37"/>
      <c r="B1401" s="25"/>
      <c r="C1401" s="60"/>
      <c r="D1401" s="27"/>
      <c r="E1401" s="28"/>
      <c r="F1401" s="29"/>
      <c r="G1401" s="30" t="str">
        <f t="shared" si="61"/>
        <v/>
      </c>
      <c r="H1401" s="31" t="str">
        <f t="shared" si="73"/>
        <v/>
      </c>
      <c r="I1401" s="32" t="str">
        <f t="shared" si="65"/>
        <v/>
      </c>
      <c r="J1401" s="33" t="str">
        <f t="shared" si="25"/>
        <v/>
      </c>
      <c r="K1401" s="33"/>
      <c r="L1401" s="33"/>
      <c r="M1401" s="33"/>
      <c r="N1401" s="34"/>
      <c r="O1401" s="35" t="str">
        <f>IFERROR(__xludf.DUMMYFUNCTION("IFERROR(
  VLOOKUP(C1401,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C1401
    ), 
    7, FALSE
  ), 
  """"
)
"),"")</f>
        <v/>
      </c>
      <c r="P1401" s="35"/>
      <c r="Q1401" s="36" t="str">
        <f t="shared" si="4"/>
        <v/>
      </c>
      <c r="R1401" s="33"/>
      <c r="S1401" s="31"/>
      <c r="T1401" s="37"/>
      <c r="U1401" s="37"/>
      <c r="V1401" s="37"/>
      <c r="W1401" s="37"/>
      <c r="X1401" s="25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5"/>
      <c r="AM1401" s="25"/>
    </row>
    <row r="1402">
      <c r="A1402" s="24"/>
      <c r="B1402" s="13"/>
      <c r="C1402" s="62"/>
      <c r="D1402" s="14"/>
      <c r="E1402" s="15"/>
      <c r="F1402" s="16"/>
      <c r="G1402" s="17" t="str">
        <f t="shared" si="61"/>
        <v/>
      </c>
      <c r="H1402" s="18" t="str">
        <f t="shared" si="73"/>
        <v/>
      </c>
      <c r="I1402" s="19" t="str">
        <f t="shared" si="65"/>
        <v/>
      </c>
      <c r="J1402" s="20" t="str">
        <f t="shared" si="25"/>
        <v/>
      </c>
      <c r="K1402" s="20"/>
      <c r="L1402" s="20"/>
      <c r="M1402" s="20"/>
      <c r="N1402" s="21"/>
      <c r="O1402" s="22" t="str">
        <f>IFERROR(__xludf.DUMMYFUNCTION("IFERROR(
  VLOOKUP(C1402,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C1402
    ), 
    7, FALSE
  ), 
  """"
)
"),"")</f>
        <v/>
      </c>
      <c r="P1402" s="22"/>
      <c r="Q1402" s="23" t="str">
        <f t="shared" si="4"/>
        <v/>
      </c>
      <c r="R1402" s="20"/>
      <c r="S1402" s="18"/>
      <c r="T1402" s="24"/>
      <c r="U1402" s="24"/>
      <c r="V1402" s="24"/>
      <c r="W1402" s="24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</row>
    <row r="1403">
      <c r="A1403" s="37"/>
      <c r="B1403" s="25"/>
      <c r="C1403" s="60"/>
      <c r="D1403" s="27"/>
      <c r="E1403" s="28"/>
      <c r="F1403" s="29"/>
      <c r="G1403" s="30" t="str">
        <f t="shared" si="61"/>
        <v/>
      </c>
      <c r="H1403" s="31" t="str">
        <f t="shared" si="73"/>
        <v/>
      </c>
      <c r="I1403" s="32" t="str">
        <f t="shared" si="65"/>
        <v/>
      </c>
      <c r="J1403" s="33" t="str">
        <f t="shared" si="25"/>
        <v/>
      </c>
      <c r="K1403" s="33"/>
      <c r="L1403" s="33"/>
      <c r="M1403" s="33"/>
      <c r="N1403" s="34"/>
      <c r="O1403" s="35" t="str">
        <f>IFERROR(__xludf.DUMMYFUNCTION("IFERROR(
  VLOOKUP(C1403,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C1403
    ), 
    7, FALSE
  ), 
  """"
)
"),"")</f>
        <v/>
      </c>
      <c r="P1403" s="35"/>
      <c r="Q1403" s="36" t="str">
        <f t="shared" si="4"/>
        <v/>
      </c>
      <c r="R1403" s="33"/>
      <c r="S1403" s="31"/>
      <c r="T1403" s="37"/>
      <c r="U1403" s="37"/>
      <c r="V1403" s="37"/>
      <c r="W1403" s="37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  <c r="AL1403" s="25"/>
      <c r="AM1403" s="25"/>
    </row>
    <row r="1404">
      <c r="A1404" s="24"/>
      <c r="B1404" s="13"/>
      <c r="C1404" s="62"/>
      <c r="D1404" s="14"/>
      <c r="E1404" s="15"/>
      <c r="F1404" s="16"/>
      <c r="G1404" s="17" t="str">
        <f t="shared" si="61"/>
        <v/>
      </c>
      <c r="H1404" s="18" t="str">
        <f t="shared" si="73"/>
        <v/>
      </c>
      <c r="I1404" s="19" t="str">
        <f t="shared" si="65"/>
        <v/>
      </c>
      <c r="J1404" s="20" t="str">
        <f t="shared" si="25"/>
        <v/>
      </c>
      <c r="K1404" s="20"/>
      <c r="L1404" s="20"/>
      <c r="M1404" s="20"/>
      <c r="N1404" s="21"/>
      <c r="O1404" s="22" t="str">
        <f>IFERROR(__xludf.DUMMYFUNCTION("IFERROR(
  VLOOKUP(C1404,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C1404
    ), 
    7, FALSE
  ), 
  """"
)
"),"")</f>
        <v/>
      </c>
      <c r="P1404" s="22"/>
      <c r="Q1404" s="23" t="str">
        <f t="shared" si="4"/>
        <v/>
      </c>
      <c r="R1404" s="20"/>
      <c r="S1404" s="18"/>
      <c r="T1404" s="24"/>
      <c r="U1404" s="24"/>
      <c r="V1404" s="24"/>
      <c r="W1404" s="24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</row>
    <row r="1405">
      <c r="A1405" s="37"/>
      <c r="B1405" s="25"/>
      <c r="C1405" s="60"/>
      <c r="D1405" s="27"/>
      <c r="E1405" s="28"/>
      <c r="F1405" s="29"/>
      <c r="G1405" s="30" t="str">
        <f t="shared" si="61"/>
        <v/>
      </c>
      <c r="H1405" s="31" t="str">
        <f t="shared" si="73"/>
        <v/>
      </c>
      <c r="I1405" s="32" t="str">
        <f t="shared" si="65"/>
        <v/>
      </c>
      <c r="J1405" s="33" t="str">
        <f t="shared" si="25"/>
        <v/>
      </c>
      <c r="K1405" s="33"/>
      <c r="L1405" s="33"/>
      <c r="M1405" s="33"/>
      <c r="N1405" s="34"/>
      <c r="O1405" s="35" t="str">
        <f>IFERROR(__xludf.DUMMYFUNCTION("IFERROR(
  VLOOKUP(C1405,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C1405
    ), 
    7, FALSE
  ), 
  """"
)
"),"")</f>
        <v/>
      </c>
      <c r="P1405" s="35"/>
      <c r="Q1405" s="36" t="str">
        <f t="shared" si="4"/>
        <v/>
      </c>
      <c r="R1405" s="33"/>
      <c r="S1405" s="31"/>
      <c r="T1405" s="37"/>
      <c r="U1405" s="37"/>
      <c r="V1405" s="37"/>
      <c r="W1405" s="37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  <c r="AL1405" s="25"/>
      <c r="AM1405" s="25"/>
    </row>
    <row r="1406">
      <c r="A1406" s="24"/>
      <c r="B1406" s="13"/>
      <c r="C1406" s="62"/>
      <c r="D1406" s="14"/>
      <c r="E1406" s="15"/>
      <c r="F1406" s="16"/>
      <c r="G1406" s="17" t="str">
        <f t="shared" si="61"/>
        <v/>
      </c>
      <c r="H1406" s="18" t="str">
        <f t="shared" si="73"/>
        <v/>
      </c>
      <c r="I1406" s="19" t="str">
        <f t="shared" si="65"/>
        <v/>
      </c>
      <c r="J1406" s="20" t="str">
        <f t="shared" si="25"/>
        <v/>
      </c>
      <c r="K1406" s="20"/>
      <c r="L1406" s="20"/>
      <c r="M1406" s="20"/>
      <c r="N1406" s="21"/>
      <c r="O1406" s="22" t="str">
        <f>IFERROR(__xludf.DUMMYFUNCTION("IFERROR(
  VLOOKUP(C1406,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C1406
    ), 
    7, FALSE
  ), 
  """"
)
"),"")</f>
        <v/>
      </c>
      <c r="P1406" s="22"/>
      <c r="Q1406" s="23" t="str">
        <f t="shared" si="4"/>
        <v/>
      </c>
      <c r="R1406" s="20"/>
      <c r="S1406" s="18"/>
      <c r="T1406" s="24"/>
      <c r="U1406" s="24"/>
      <c r="V1406" s="24"/>
      <c r="W1406" s="24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</row>
    <row r="1407">
      <c r="A1407" s="37"/>
      <c r="B1407" s="25"/>
      <c r="C1407" s="60"/>
      <c r="D1407" s="27"/>
      <c r="E1407" s="28"/>
      <c r="F1407" s="29"/>
      <c r="G1407" s="30" t="str">
        <f t="shared" si="61"/>
        <v/>
      </c>
      <c r="H1407" s="31" t="str">
        <f t="shared" si="73"/>
        <v/>
      </c>
      <c r="I1407" s="32" t="str">
        <f t="shared" si="65"/>
        <v/>
      </c>
      <c r="J1407" s="33" t="str">
        <f t="shared" si="25"/>
        <v/>
      </c>
      <c r="K1407" s="33"/>
      <c r="L1407" s="33"/>
      <c r="M1407" s="33"/>
      <c r="N1407" s="34"/>
      <c r="O1407" s="35" t="str">
        <f>IFERROR(__xludf.DUMMYFUNCTION("IFERROR(
  VLOOKUP(C1407,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C1407
    ), 
    7, FALSE
  ), 
  """"
)
"),"")</f>
        <v/>
      </c>
      <c r="P1407" s="35"/>
      <c r="Q1407" s="36" t="str">
        <f t="shared" si="4"/>
        <v/>
      </c>
      <c r="R1407" s="33"/>
      <c r="S1407" s="31"/>
      <c r="T1407" s="37"/>
      <c r="U1407" s="37"/>
      <c r="V1407" s="37"/>
      <c r="W1407" s="37"/>
      <c r="X1407" s="25"/>
      <c r="Y1407" s="25"/>
      <c r="Z1407" s="25"/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</row>
    <row r="1408">
      <c r="A1408" s="24"/>
      <c r="B1408" s="13"/>
      <c r="C1408" s="62"/>
      <c r="D1408" s="14"/>
      <c r="E1408" s="15"/>
      <c r="F1408" s="16"/>
      <c r="G1408" s="17" t="str">
        <f t="shared" si="61"/>
        <v/>
      </c>
      <c r="H1408" s="18" t="str">
        <f t="shared" si="73"/>
        <v/>
      </c>
      <c r="I1408" s="19" t="str">
        <f t="shared" si="65"/>
        <v/>
      </c>
      <c r="J1408" s="20" t="str">
        <f t="shared" si="25"/>
        <v/>
      </c>
      <c r="K1408" s="20"/>
      <c r="L1408" s="20"/>
      <c r="M1408" s="20"/>
      <c r="N1408" s="21"/>
      <c r="O1408" s="22" t="str">
        <f>IFERROR(__xludf.DUMMYFUNCTION("IFERROR(
  VLOOKUP(C1408,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C1408
    ), 
    7, FALSE
  ), 
  """"
)
"),"")</f>
        <v/>
      </c>
      <c r="P1408" s="22"/>
      <c r="Q1408" s="23" t="str">
        <f t="shared" si="4"/>
        <v/>
      </c>
      <c r="R1408" s="20"/>
      <c r="S1408" s="18"/>
      <c r="T1408" s="24"/>
      <c r="U1408" s="24"/>
      <c r="V1408" s="24"/>
      <c r="W1408" s="24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</row>
    <row r="1409">
      <c r="A1409" s="37"/>
      <c r="B1409" s="25"/>
      <c r="C1409" s="60"/>
      <c r="D1409" s="27"/>
      <c r="E1409" s="28"/>
      <c r="F1409" s="29"/>
      <c r="G1409" s="30" t="str">
        <f t="shared" si="61"/>
        <v/>
      </c>
      <c r="H1409" s="31" t="str">
        <f t="shared" si="73"/>
        <v/>
      </c>
      <c r="I1409" s="32" t="str">
        <f t="shared" si="65"/>
        <v/>
      </c>
      <c r="J1409" s="33" t="str">
        <f t="shared" si="25"/>
        <v/>
      </c>
      <c r="K1409" s="33"/>
      <c r="L1409" s="33"/>
      <c r="M1409" s="33"/>
      <c r="N1409" s="34"/>
      <c r="O1409" s="35" t="str">
        <f>IFERROR(__xludf.DUMMYFUNCTION("IFERROR(
  VLOOKUP(C1409,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C1409
    ), 
    7, FALSE
  ), 
  """"
)
"),"")</f>
        <v/>
      </c>
      <c r="P1409" s="35"/>
      <c r="Q1409" s="36" t="str">
        <f t="shared" si="4"/>
        <v/>
      </c>
      <c r="R1409" s="33"/>
      <c r="S1409" s="31"/>
      <c r="T1409" s="37"/>
      <c r="U1409" s="37"/>
      <c r="V1409" s="37"/>
      <c r="W1409" s="37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5"/>
      <c r="AK1409" s="25"/>
      <c r="AL1409" s="25"/>
      <c r="AM1409" s="25"/>
    </row>
    <row r="1410">
      <c r="A1410" s="24"/>
      <c r="B1410" s="13"/>
      <c r="C1410" s="62"/>
      <c r="D1410" s="14"/>
      <c r="E1410" s="15"/>
      <c r="F1410" s="16"/>
      <c r="G1410" s="17" t="str">
        <f t="shared" si="61"/>
        <v/>
      </c>
      <c r="H1410" s="18" t="str">
        <f t="shared" si="73"/>
        <v/>
      </c>
      <c r="I1410" s="19" t="str">
        <f t="shared" si="65"/>
        <v/>
      </c>
      <c r="J1410" s="20" t="str">
        <f t="shared" si="25"/>
        <v/>
      </c>
      <c r="K1410" s="20"/>
      <c r="L1410" s="20"/>
      <c r="M1410" s="20"/>
      <c r="N1410" s="21"/>
      <c r="O1410" s="22" t="str">
        <f>IFERROR(__xludf.DUMMYFUNCTION("IFERROR(
  VLOOKUP(C1410,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C1410
    ), 
    7, FALSE
  ), 
  """"
)
"),"")</f>
        <v/>
      </c>
      <c r="P1410" s="22"/>
      <c r="Q1410" s="23" t="str">
        <f t="shared" si="4"/>
        <v/>
      </c>
      <c r="R1410" s="20"/>
      <c r="S1410" s="18"/>
      <c r="T1410" s="24"/>
      <c r="U1410" s="24"/>
      <c r="V1410" s="24"/>
      <c r="W1410" s="24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</row>
    <row r="1411">
      <c r="A1411" s="37"/>
      <c r="B1411" s="25"/>
      <c r="C1411" s="60"/>
      <c r="D1411" s="27"/>
      <c r="E1411" s="28"/>
      <c r="F1411" s="29"/>
      <c r="G1411" s="30" t="str">
        <f t="shared" si="61"/>
        <v/>
      </c>
      <c r="H1411" s="31" t="str">
        <f t="shared" si="73"/>
        <v/>
      </c>
      <c r="I1411" s="32" t="str">
        <f t="shared" si="65"/>
        <v/>
      </c>
      <c r="J1411" s="33" t="str">
        <f t="shared" si="25"/>
        <v/>
      </c>
      <c r="K1411" s="33"/>
      <c r="L1411" s="33"/>
      <c r="M1411" s="33"/>
      <c r="N1411" s="34"/>
      <c r="O1411" s="35" t="str">
        <f>IFERROR(__xludf.DUMMYFUNCTION("IFERROR(
  VLOOKUP(C1411,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C1411
    ), 
    7, FALSE
  ), 
  """"
)
"),"")</f>
        <v/>
      </c>
      <c r="P1411" s="35"/>
      <c r="Q1411" s="36" t="str">
        <f t="shared" si="4"/>
        <v/>
      </c>
      <c r="R1411" s="33"/>
      <c r="S1411" s="31"/>
      <c r="T1411" s="37"/>
      <c r="U1411" s="37"/>
      <c r="V1411" s="37"/>
      <c r="W1411" s="37"/>
      <c r="X1411" s="25"/>
      <c r="Y1411" s="25"/>
      <c r="Z1411" s="25"/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</row>
    <row r="1412">
      <c r="A1412" s="24"/>
      <c r="B1412" s="13"/>
      <c r="C1412" s="62"/>
      <c r="D1412" s="14"/>
      <c r="E1412" s="15"/>
      <c r="F1412" s="16"/>
      <c r="G1412" s="17" t="str">
        <f t="shared" si="61"/>
        <v/>
      </c>
      <c r="H1412" s="18" t="str">
        <f t="shared" si="73"/>
        <v/>
      </c>
      <c r="I1412" s="19" t="str">
        <f t="shared" si="65"/>
        <v/>
      </c>
      <c r="J1412" s="20" t="str">
        <f t="shared" si="25"/>
        <v/>
      </c>
      <c r="K1412" s="20"/>
      <c r="L1412" s="20"/>
      <c r="M1412" s="20"/>
      <c r="N1412" s="21"/>
      <c r="O1412" s="22" t="str">
        <f>IFERROR(__xludf.DUMMYFUNCTION("IFERROR(
  VLOOKUP(C1412,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C1412
    ), 
    7, FALSE
  ), 
  """"
)
"),"")</f>
        <v/>
      </c>
      <c r="P1412" s="22"/>
      <c r="Q1412" s="23" t="str">
        <f t="shared" si="4"/>
        <v/>
      </c>
      <c r="R1412" s="20"/>
      <c r="S1412" s="18"/>
      <c r="T1412" s="24"/>
      <c r="U1412" s="24"/>
      <c r="V1412" s="24"/>
      <c r="W1412" s="24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</row>
    <row r="1413">
      <c r="A1413" s="37"/>
      <c r="B1413" s="25"/>
      <c r="C1413" s="60"/>
      <c r="D1413" s="27"/>
      <c r="E1413" s="28"/>
      <c r="F1413" s="29"/>
      <c r="G1413" s="30" t="str">
        <f t="shared" si="61"/>
        <v/>
      </c>
      <c r="H1413" s="31" t="str">
        <f t="shared" si="73"/>
        <v/>
      </c>
      <c r="I1413" s="32" t="str">
        <f t="shared" si="65"/>
        <v/>
      </c>
      <c r="J1413" s="33" t="str">
        <f t="shared" si="25"/>
        <v/>
      </c>
      <c r="K1413" s="33"/>
      <c r="L1413" s="33"/>
      <c r="M1413" s="33"/>
      <c r="N1413" s="34"/>
      <c r="O1413" s="35" t="str">
        <f>IFERROR(__xludf.DUMMYFUNCTION("IFERROR(
  VLOOKUP(C1413,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C1413
    ), 
    7, FALSE
  ), 
  """"
)
"),"")</f>
        <v/>
      </c>
      <c r="P1413" s="35"/>
      <c r="Q1413" s="36" t="str">
        <f t="shared" si="4"/>
        <v/>
      </c>
      <c r="R1413" s="33"/>
      <c r="S1413" s="31"/>
      <c r="T1413" s="37"/>
      <c r="U1413" s="37"/>
      <c r="V1413" s="37"/>
      <c r="W1413" s="37"/>
      <c r="X1413" s="25"/>
      <c r="Y1413" s="25"/>
      <c r="Z1413" s="25"/>
      <c r="AA1413" s="25"/>
      <c r="AB1413" s="25"/>
      <c r="AC1413" s="25"/>
      <c r="AD1413" s="25"/>
      <c r="AE1413" s="25"/>
      <c r="AF1413" s="25"/>
      <c r="AG1413" s="25"/>
      <c r="AH1413" s="25"/>
      <c r="AI1413" s="25"/>
      <c r="AJ1413" s="25"/>
      <c r="AK1413" s="25"/>
      <c r="AL1413" s="25"/>
      <c r="AM1413" s="25"/>
    </row>
    <row r="1414">
      <c r="A1414" s="24"/>
      <c r="B1414" s="13"/>
      <c r="C1414" s="62"/>
      <c r="D1414" s="14"/>
      <c r="E1414" s="15"/>
      <c r="F1414" s="16"/>
      <c r="G1414" s="17" t="str">
        <f t="shared" si="61"/>
        <v/>
      </c>
      <c r="H1414" s="18" t="str">
        <f t="shared" si="73"/>
        <v/>
      </c>
      <c r="I1414" s="19" t="str">
        <f t="shared" si="65"/>
        <v/>
      </c>
      <c r="J1414" s="20" t="str">
        <f t="shared" si="25"/>
        <v/>
      </c>
      <c r="K1414" s="20"/>
      <c r="L1414" s="20"/>
      <c r="M1414" s="20"/>
      <c r="N1414" s="21"/>
      <c r="O1414" s="22" t="str">
        <f>IFERROR(__xludf.DUMMYFUNCTION("IFERROR(
  VLOOKUP(C1414,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C1414
    ), 
    7, FALSE
  ), 
  """"
)
"),"")</f>
        <v/>
      </c>
      <c r="P1414" s="22"/>
      <c r="Q1414" s="23" t="str">
        <f t="shared" si="4"/>
        <v/>
      </c>
      <c r="R1414" s="20"/>
      <c r="S1414" s="18"/>
      <c r="T1414" s="24"/>
      <c r="U1414" s="24"/>
      <c r="V1414" s="24"/>
      <c r="W1414" s="24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</row>
    <row r="1415">
      <c r="A1415" s="37"/>
      <c r="B1415" s="25"/>
      <c r="C1415" s="60"/>
      <c r="D1415" s="27"/>
      <c r="E1415" s="28"/>
      <c r="F1415" s="29"/>
      <c r="G1415" s="30" t="str">
        <f t="shared" si="61"/>
        <v/>
      </c>
      <c r="H1415" s="31" t="str">
        <f t="shared" si="73"/>
        <v/>
      </c>
      <c r="I1415" s="32" t="str">
        <f t="shared" si="65"/>
        <v/>
      </c>
      <c r="J1415" s="33" t="str">
        <f t="shared" si="25"/>
        <v/>
      </c>
      <c r="K1415" s="33"/>
      <c r="L1415" s="33"/>
      <c r="M1415" s="33"/>
      <c r="N1415" s="34"/>
      <c r="O1415" s="35" t="str">
        <f>IFERROR(__xludf.DUMMYFUNCTION("IFERROR(
  VLOOKUP(C1415,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C1415
    ), 
    7, FALSE
  ), 
  """"
)
"),"")</f>
        <v/>
      </c>
      <c r="P1415" s="35"/>
      <c r="Q1415" s="36" t="str">
        <f t="shared" si="4"/>
        <v/>
      </c>
      <c r="R1415" s="33"/>
      <c r="S1415" s="31"/>
      <c r="T1415" s="37"/>
      <c r="U1415" s="37"/>
      <c r="V1415" s="37"/>
      <c r="W1415" s="37"/>
      <c r="X1415" s="25"/>
      <c r="Y1415" s="25"/>
      <c r="Z1415" s="25"/>
      <c r="AA1415" s="25"/>
      <c r="AB1415" s="25"/>
      <c r="AC1415" s="25"/>
      <c r="AD1415" s="25"/>
      <c r="AE1415" s="25"/>
      <c r="AF1415" s="25"/>
      <c r="AG1415" s="25"/>
      <c r="AH1415" s="25"/>
      <c r="AI1415" s="25"/>
      <c r="AJ1415" s="25"/>
      <c r="AK1415" s="25"/>
      <c r="AL1415" s="25"/>
      <c r="AM1415" s="25"/>
    </row>
    <row r="1416">
      <c r="A1416" s="24"/>
      <c r="B1416" s="13"/>
      <c r="C1416" s="62"/>
      <c r="D1416" s="14"/>
      <c r="E1416" s="15"/>
      <c r="F1416" s="16"/>
      <c r="G1416" s="17" t="str">
        <f t="shared" si="61"/>
        <v/>
      </c>
      <c r="H1416" s="18" t="str">
        <f t="shared" si="73"/>
        <v/>
      </c>
      <c r="I1416" s="19" t="str">
        <f t="shared" si="65"/>
        <v/>
      </c>
      <c r="J1416" s="20" t="str">
        <f t="shared" si="25"/>
        <v/>
      </c>
      <c r="K1416" s="20"/>
      <c r="L1416" s="20"/>
      <c r="M1416" s="20"/>
      <c r="N1416" s="21"/>
      <c r="O1416" s="22" t="str">
        <f>IFERROR(__xludf.DUMMYFUNCTION("IFERROR(
  VLOOKUP(C1416,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C1416
    ), 
    7, FALSE
  ), 
  """"
)
"),"")</f>
        <v/>
      </c>
      <c r="P1416" s="22"/>
      <c r="Q1416" s="23" t="str">
        <f t="shared" si="4"/>
        <v/>
      </c>
      <c r="R1416" s="20"/>
      <c r="S1416" s="18"/>
      <c r="T1416" s="24"/>
      <c r="U1416" s="24"/>
      <c r="V1416" s="24"/>
      <c r="W1416" s="24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</row>
    <row r="1417">
      <c r="A1417" s="37"/>
      <c r="B1417" s="25"/>
      <c r="C1417" s="60"/>
      <c r="D1417" s="27"/>
      <c r="E1417" s="28"/>
      <c r="F1417" s="29"/>
      <c r="G1417" s="30" t="str">
        <f t="shared" si="61"/>
        <v/>
      </c>
      <c r="H1417" s="31" t="str">
        <f t="shared" si="73"/>
        <v/>
      </c>
      <c r="I1417" s="32" t="str">
        <f t="shared" si="65"/>
        <v/>
      </c>
      <c r="J1417" s="33" t="str">
        <f t="shared" si="25"/>
        <v/>
      </c>
      <c r="K1417" s="33"/>
      <c r="L1417" s="33"/>
      <c r="M1417" s="33"/>
      <c r="N1417" s="34"/>
      <c r="O1417" s="35" t="str">
        <f>IFERROR(__xludf.DUMMYFUNCTION("IFERROR(
  VLOOKUP(C1417,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C1417
    ), 
    7, FALSE
  ), 
  """"
)
"),"")</f>
        <v/>
      </c>
      <c r="P1417" s="35"/>
      <c r="Q1417" s="36" t="str">
        <f t="shared" si="4"/>
        <v/>
      </c>
      <c r="R1417" s="33"/>
      <c r="S1417" s="31"/>
      <c r="T1417" s="37"/>
      <c r="U1417" s="37"/>
      <c r="V1417" s="37"/>
      <c r="W1417" s="37"/>
      <c r="X1417" s="25"/>
      <c r="Y1417" s="25"/>
      <c r="Z1417" s="25"/>
      <c r="AA1417" s="25"/>
      <c r="AB1417" s="25"/>
      <c r="AC1417" s="25"/>
      <c r="AD1417" s="25"/>
      <c r="AE1417" s="25"/>
      <c r="AF1417" s="25"/>
      <c r="AG1417" s="25"/>
      <c r="AH1417" s="25"/>
      <c r="AI1417" s="25"/>
      <c r="AJ1417" s="25"/>
      <c r="AK1417" s="25"/>
      <c r="AL1417" s="25"/>
      <c r="AM1417" s="25"/>
    </row>
    <row r="1418">
      <c r="A1418" s="24"/>
      <c r="B1418" s="13"/>
      <c r="C1418" s="62"/>
      <c r="D1418" s="14"/>
      <c r="E1418" s="15"/>
      <c r="F1418" s="16"/>
      <c r="G1418" s="17" t="str">
        <f t="shared" si="61"/>
        <v/>
      </c>
      <c r="H1418" s="18" t="str">
        <f t="shared" si="73"/>
        <v/>
      </c>
      <c r="I1418" s="19" t="str">
        <f t="shared" si="65"/>
        <v/>
      </c>
      <c r="J1418" s="20" t="str">
        <f t="shared" si="25"/>
        <v/>
      </c>
      <c r="K1418" s="20"/>
      <c r="L1418" s="20"/>
      <c r="M1418" s="20"/>
      <c r="N1418" s="21"/>
      <c r="O1418" s="22" t="str">
        <f>IFERROR(__xludf.DUMMYFUNCTION("IFERROR(
  VLOOKUP(C1418,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C1418
    ), 
    7, FALSE
  ), 
  """"
)
"),"")</f>
        <v/>
      </c>
      <c r="P1418" s="22"/>
      <c r="Q1418" s="23" t="str">
        <f t="shared" si="4"/>
        <v/>
      </c>
      <c r="R1418" s="20"/>
      <c r="S1418" s="18"/>
      <c r="T1418" s="24"/>
      <c r="U1418" s="24"/>
      <c r="V1418" s="24"/>
      <c r="W1418" s="24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</row>
    <row r="1419">
      <c r="A1419" s="37"/>
      <c r="B1419" s="25"/>
      <c r="C1419" s="60"/>
      <c r="D1419" s="27"/>
      <c r="E1419" s="28"/>
      <c r="F1419" s="29"/>
      <c r="G1419" s="30" t="str">
        <f t="shared" si="61"/>
        <v/>
      </c>
      <c r="H1419" s="31" t="str">
        <f t="shared" si="73"/>
        <v/>
      </c>
      <c r="I1419" s="32" t="str">
        <f t="shared" si="65"/>
        <v/>
      </c>
      <c r="J1419" s="33" t="str">
        <f t="shared" si="25"/>
        <v/>
      </c>
      <c r="K1419" s="33"/>
      <c r="L1419" s="33"/>
      <c r="M1419" s="33"/>
      <c r="N1419" s="34"/>
      <c r="O1419" s="35" t="str">
        <f>IFERROR(__xludf.DUMMYFUNCTION("IFERROR(
  VLOOKUP(C1419,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C1419
    ), 
    7, FALSE
  ), 
  """"
)
"),"")</f>
        <v/>
      </c>
      <c r="P1419" s="35"/>
      <c r="Q1419" s="36" t="str">
        <f t="shared" si="4"/>
        <v/>
      </c>
      <c r="R1419" s="33"/>
      <c r="S1419" s="31"/>
      <c r="T1419" s="37"/>
      <c r="U1419" s="37"/>
      <c r="V1419" s="37"/>
      <c r="W1419" s="37"/>
      <c r="X1419" s="25"/>
      <c r="Y1419" s="25"/>
      <c r="Z1419" s="25"/>
      <c r="AA1419" s="25"/>
      <c r="AB1419" s="25"/>
      <c r="AC1419" s="25"/>
      <c r="AD1419" s="25"/>
      <c r="AE1419" s="25"/>
      <c r="AF1419" s="25"/>
      <c r="AG1419" s="25"/>
      <c r="AH1419" s="25"/>
      <c r="AI1419" s="25"/>
      <c r="AJ1419" s="25"/>
      <c r="AK1419" s="25"/>
      <c r="AL1419" s="25"/>
      <c r="AM1419" s="25"/>
    </row>
    <row r="1420">
      <c r="A1420" s="24"/>
      <c r="B1420" s="13"/>
      <c r="C1420" s="62"/>
      <c r="D1420" s="14"/>
      <c r="E1420" s="15"/>
      <c r="F1420" s="16"/>
      <c r="G1420" s="17" t="str">
        <f t="shared" si="61"/>
        <v/>
      </c>
      <c r="H1420" s="18" t="str">
        <f t="shared" si="73"/>
        <v/>
      </c>
      <c r="I1420" s="19" t="str">
        <f t="shared" si="65"/>
        <v/>
      </c>
      <c r="J1420" s="20" t="str">
        <f t="shared" si="25"/>
        <v/>
      </c>
      <c r="K1420" s="20"/>
      <c r="L1420" s="20"/>
      <c r="M1420" s="20"/>
      <c r="N1420" s="21"/>
      <c r="O1420" s="22" t="str">
        <f>IFERROR(__xludf.DUMMYFUNCTION("IFERROR(
  VLOOKUP(C1420,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C1420
    ), 
    7, FALSE
  ), 
  """"
)
"),"")</f>
        <v/>
      </c>
      <c r="P1420" s="22"/>
      <c r="Q1420" s="23" t="str">
        <f t="shared" si="4"/>
        <v/>
      </c>
      <c r="R1420" s="20"/>
      <c r="S1420" s="18"/>
      <c r="T1420" s="24"/>
      <c r="U1420" s="24"/>
      <c r="V1420" s="24"/>
      <c r="W1420" s="24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</row>
    <row r="1421">
      <c r="A1421" s="37"/>
      <c r="B1421" s="25"/>
      <c r="C1421" s="60"/>
      <c r="D1421" s="27"/>
      <c r="E1421" s="28"/>
      <c r="F1421" s="29"/>
      <c r="G1421" s="30" t="str">
        <f t="shared" si="61"/>
        <v/>
      </c>
      <c r="H1421" s="31" t="str">
        <f t="shared" si="73"/>
        <v/>
      </c>
      <c r="I1421" s="32" t="str">
        <f t="shared" si="65"/>
        <v/>
      </c>
      <c r="J1421" s="33" t="str">
        <f t="shared" si="25"/>
        <v/>
      </c>
      <c r="K1421" s="33"/>
      <c r="L1421" s="33"/>
      <c r="M1421" s="33"/>
      <c r="N1421" s="34"/>
      <c r="O1421" s="35" t="str">
        <f>IFERROR(__xludf.DUMMYFUNCTION("IFERROR(
  VLOOKUP(C1421,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C1421
    ), 
    7, FALSE
  ), 
  """"
)
"),"")</f>
        <v/>
      </c>
      <c r="P1421" s="35"/>
      <c r="Q1421" s="36" t="str">
        <f t="shared" si="4"/>
        <v/>
      </c>
      <c r="R1421" s="33"/>
      <c r="S1421" s="31"/>
      <c r="T1421" s="37"/>
      <c r="U1421" s="37"/>
      <c r="V1421" s="37"/>
      <c r="W1421" s="37"/>
      <c r="X1421" s="25"/>
      <c r="Y1421" s="25"/>
      <c r="Z1421" s="25"/>
      <c r="AA1421" s="25"/>
      <c r="AB1421" s="25"/>
      <c r="AC1421" s="25"/>
      <c r="AD1421" s="25"/>
      <c r="AE1421" s="25"/>
      <c r="AF1421" s="25"/>
      <c r="AG1421" s="25"/>
      <c r="AH1421" s="25"/>
      <c r="AI1421" s="25"/>
      <c r="AJ1421" s="25"/>
      <c r="AK1421" s="25"/>
      <c r="AL1421" s="25"/>
      <c r="AM1421" s="25"/>
    </row>
    <row r="1422">
      <c r="A1422" s="24"/>
      <c r="B1422" s="13"/>
      <c r="C1422" s="62"/>
      <c r="D1422" s="14"/>
      <c r="E1422" s="15"/>
      <c r="F1422" s="16"/>
      <c r="G1422" s="17" t="str">
        <f t="shared" si="61"/>
        <v/>
      </c>
      <c r="H1422" s="18" t="str">
        <f t="shared" si="73"/>
        <v/>
      </c>
      <c r="I1422" s="19" t="str">
        <f t="shared" si="65"/>
        <v/>
      </c>
      <c r="J1422" s="20" t="str">
        <f t="shared" si="25"/>
        <v/>
      </c>
      <c r="K1422" s="20"/>
      <c r="L1422" s="20"/>
      <c r="M1422" s="20"/>
      <c r="N1422" s="21"/>
      <c r="O1422" s="22" t="str">
        <f>IFERROR(__xludf.DUMMYFUNCTION("IFERROR(
  VLOOKUP(C1422,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C1422
    ), 
    7, FALSE
  ), 
  """"
)
"),"")</f>
        <v/>
      </c>
      <c r="P1422" s="22"/>
      <c r="Q1422" s="23" t="str">
        <f t="shared" si="4"/>
        <v/>
      </c>
      <c r="R1422" s="20"/>
      <c r="S1422" s="18"/>
      <c r="T1422" s="24"/>
      <c r="U1422" s="24"/>
      <c r="V1422" s="24"/>
      <c r="W1422" s="24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</row>
    <row r="1423">
      <c r="A1423" s="37"/>
      <c r="B1423" s="25"/>
      <c r="C1423" s="60"/>
      <c r="D1423" s="27"/>
      <c r="E1423" s="28"/>
      <c r="F1423" s="29"/>
      <c r="G1423" s="30" t="str">
        <f t="shared" si="61"/>
        <v/>
      </c>
      <c r="H1423" s="31" t="str">
        <f t="shared" si="73"/>
        <v/>
      </c>
      <c r="I1423" s="32" t="str">
        <f t="shared" si="65"/>
        <v/>
      </c>
      <c r="J1423" s="33" t="str">
        <f t="shared" si="25"/>
        <v/>
      </c>
      <c r="K1423" s="33"/>
      <c r="L1423" s="33"/>
      <c r="M1423" s="33"/>
      <c r="N1423" s="34"/>
      <c r="O1423" s="35" t="str">
        <f>IFERROR(__xludf.DUMMYFUNCTION("IFERROR(
  VLOOKUP(C1423,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C1423
    ), 
    7, FALSE
  ), 
  """"
)
"),"")</f>
        <v/>
      </c>
      <c r="P1423" s="35"/>
      <c r="Q1423" s="36" t="str">
        <f t="shared" si="4"/>
        <v/>
      </c>
      <c r="R1423" s="33"/>
      <c r="S1423" s="31"/>
      <c r="T1423" s="37"/>
      <c r="U1423" s="37"/>
      <c r="V1423" s="37"/>
      <c r="W1423" s="37"/>
      <c r="X1423" s="25"/>
      <c r="Y1423" s="25"/>
      <c r="Z1423" s="25"/>
      <c r="AA1423" s="25"/>
      <c r="AB1423" s="25"/>
      <c r="AC1423" s="25"/>
      <c r="AD1423" s="25"/>
      <c r="AE1423" s="25"/>
      <c r="AF1423" s="25"/>
      <c r="AG1423" s="25"/>
      <c r="AH1423" s="25"/>
      <c r="AI1423" s="25"/>
      <c r="AJ1423" s="25"/>
      <c r="AK1423" s="25"/>
      <c r="AL1423" s="25"/>
      <c r="AM1423" s="25"/>
    </row>
    <row r="1424">
      <c r="A1424" s="24"/>
      <c r="B1424" s="13"/>
      <c r="C1424" s="62"/>
      <c r="D1424" s="14"/>
      <c r="E1424" s="15"/>
      <c r="F1424" s="16"/>
      <c r="G1424" s="17" t="str">
        <f t="shared" si="61"/>
        <v/>
      </c>
      <c r="H1424" s="18" t="str">
        <f t="shared" si="73"/>
        <v/>
      </c>
      <c r="I1424" s="19" t="str">
        <f t="shared" si="65"/>
        <v/>
      </c>
      <c r="J1424" s="20" t="str">
        <f t="shared" si="25"/>
        <v/>
      </c>
      <c r="K1424" s="20"/>
      <c r="L1424" s="20"/>
      <c r="M1424" s="20"/>
      <c r="N1424" s="21"/>
      <c r="O1424" s="22" t="str">
        <f>IFERROR(__xludf.DUMMYFUNCTION("IFERROR(
  VLOOKUP(C1424,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C1424
    ), 
    7, FALSE
  ), 
  """"
)
"),"")</f>
        <v/>
      </c>
      <c r="P1424" s="22"/>
      <c r="Q1424" s="23" t="str">
        <f t="shared" si="4"/>
        <v/>
      </c>
      <c r="R1424" s="20"/>
      <c r="S1424" s="18"/>
      <c r="T1424" s="24"/>
      <c r="U1424" s="24"/>
      <c r="V1424" s="24"/>
      <c r="W1424" s="24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</row>
    <row r="1425">
      <c r="A1425" s="37"/>
      <c r="B1425" s="25"/>
      <c r="C1425" s="60"/>
      <c r="D1425" s="27"/>
      <c r="E1425" s="28"/>
      <c r="F1425" s="29"/>
      <c r="G1425" s="30" t="str">
        <f t="shared" si="61"/>
        <v/>
      </c>
      <c r="H1425" s="31" t="str">
        <f t="shared" si="73"/>
        <v/>
      </c>
      <c r="I1425" s="32" t="str">
        <f t="shared" si="65"/>
        <v/>
      </c>
      <c r="J1425" s="33" t="str">
        <f t="shared" si="25"/>
        <v/>
      </c>
      <c r="K1425" s="33"/>
      <c r="L1425" s="33"/>
      <c r="M1425" s="33"/>
      <c r="N1425" s="34"/>
      <c r="O1425" s="35" t="str">
        <f>IFERROR(__xludf.DUMMYFUNCTION("IFERROR(
  VLOOKUP(C1425,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C1425
    ), 
    7, FALSE
  ), 
  """"
)
"),"")</f>
        <v/>
      </c>
      <c r="P1425" s="35"/>
      <c r="Q1425" s="36" t="str">
        <f t="shared" si="4"/>
        <v/>
      </c>
      <c r="R1425" s="33"/>
      <c r="S1425" s="31"/>
      <c r="T1425" s="37"/>
      <c r="U1425" s="37"/>
      <c r="V1425" s="37"/>
      <c r="W1425" s="37"/>
      <c r="X1425" s="25"/>
      <c r="Y1425" s="25"/>
      <c r="Z1425" s="25"/>
      <c r="AA1425" s="25"/>
      <c r="AB1425" s="25"/>
      <c r="AC1425" s="25"/>
      <c r="AD1425" s="25"/>
      <c r="AE1425" s="25"/>
      <c r="AF1425" s="25"/>
      <c r="AG1425" s="25"/>
      <c r="AH1425" s="25"/>
      <c r="AI1425" s="25"/>
      <c r="AJ1425" s="25"/>
      <c r="AK1425" s="25"/>
      <c r="AL1425" s="25"/>
      <c r="AM1425" s="25"/>
    </row>
    <row r="1426">
      <c r="A1426" s="24"/>
      <c r="B1426" s="13"/>
      <c r="C1426" s="62"/>
      <c r="D1426" s="14"/>
      <c r="E1426" s="15"/>
      <c r="F1426" s="16"/>
      <c r="G1426" s="17" t="str">
        <f t="shared" si="61"/>
        <v/>
      </c>
      <c r="H1426" s="18" t="str">
        <f t="shared" si="73"/>
        <v/>
      </c>
      <c r="I1426" s="19" t="str">
        <f t="shared" si="65"/>
        <v/>
      </c>
      <c r="J1426" s="20" t="str">
        <f t="shared" si="25"/>
        <v/>
      </c>
      <c r="K1426" s="20"/>
      <c r="L1426" s="20"/>
      <c r="M1426" s="20"/>
      <c r="N1426" s="21"/>
      <c r="O1426" s="22" t="str">
        <f>IFERROR(__xludf.DUMMYFUNCTION("IFERROR(
  VLOOKUP(C1426,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C1426
    ), 
    7, FALSE
  ), 
  """"
)
"),"")</f>
        <v/>
      </c>
      <c r="P1426" s="22"/>
      <c r="Q1426" s="23" t="str">
        <f t="shared" si="4"/>
        <v/>
      </c>
      <c r="R1426" s="20"/>
      <c r="S1426" s="18"/>
      <c r="T1426" s="24"/>
      <c r="U1426" s="24"/>
      <c r="V1426" s="24"/>
      <c r="W1426" s="24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</row>
    <row r="1427">
      <c r="A1427" s="37"/>
      <c r="B1427" s="25"/>
      <c r="C1427" s="60"/>
      <c r="D1427" s="27"/>
      <c r="E1427" s="28"/>
      <c r="F1427" s="29"/>
      <c r="G1427" s="30" t="str">
        <f t="shared" si="61"/>
        <v/>
      </c>
      <c r="H1427" s="31" t="str">
        <f t="shared" si="73"/>
        <v/>
      </c>
      <c r="I1427" s="32" t="str">
        <f t="shared" si="65"/>
        <v/>
      </c>
      <c r="J1427" s="33" t="str">
        <f t="shared" si="25"/>
        <v/>
      </c>
      <c r="K1427" s="33"/>
      <c r="L1427" s="33"/>
      <c r="M1427" s="33"/>
      <c r="N1427" s="34"/>
      <c r="O1427" s="35" t="str">
        <f>IFERROR(__xludf.DUMMYFUNCTION("IFERROR(
  VLOOKUP(C1427,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C1427
    ), 
    7, FALSE
  ), 
  """"
)
"),"")</f>
        <v/>
      </c>
      <c r="P1427" s="35"/>
      <c r="Q1427" s="36" t="str">
        <f t="shared" si="4"/>
        <v/>
      </c>
      <c r="R1427" s="33"/>
      <c r="S1427" s="31"/>
      <c r="T1427" s="37"/>
      <c r="U1427" s="37"/>
      <c r="V1427" s="37"/>
      <c r="W1427" s="37"/>
      <c r="X1427" s="25"/>
      <c r="Y1427" s="25"/>
      <c r="Z1427" s="25"/>
      <c r="AA1427" s="25"/>
      <c r="AB1427" s="25"/>
      <c r="AC1427" s="25"/>
      <c r="AD1427" s="25"/>
      <c r="AE1427" s="25"/>
      <c r="AF1427" s="25"/>
      <c r="AG1427" s="25"/>
      <c r="AH1427" s="25"/>
      <c r="AI1427" s="25"/>
      <c r="AJ1427" s="25"/>
      <c r="AK1427" s="25"/>
      <c r="AL1427" s="25"/>
      <c r="AM1427" s="25"/>
    </row>
    <row r="1428">
      <c r="A1428" s="24"/>
      <c r="B1428" s="13"/>
      <c r="C1428" s="62"/>
      <c r="D1428" s="14"/>
      <c r="E1428" s="15"/>
      <c r="F1428" s="16"/>
      <c r="G1428" s="17" t="str">
        <f t="shared" si="61"/>
        <v/>
      </c>
      <c r="H1428" s="18" t="str">
        <f t="shared" si="73"/>
        <v/>
      </c>
      <c r="I1428" s="19" t="str">
        <f t="shared" si="65"/>
        <v/>
      </c>
      <c r="J1428" s="20" t="str">
        <f t="shared" si="25"/>
        <v/>
      </c>
      <c r="K1428" s="20"/>
      <c r="L1428" s="20"/>
      <c r="M1428" s="20"/>
      <c r="N1428" s="21"/>
      <c r="O1428" s="22" t="str">
        <f>IFERROR(__xludf.DUMMYFUNCTION("IFERROR(
  VLOOKUP(C1428,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C1428
    ), 
    7, FALSE
  ), 
  """"
)
"),"")</f>
        <v/>
      </c>
      <c r="P1428" s="22"/>
      <c r="Q1428" s="23" t="str">
        <f t="shared" si="4"/>
        <v/>
      </c>
      <c r="R1428" s="20"/>
      <c r="S1428" s="18"/>
      <c r="T1428" s="24"/>
      <c r="U1428" s="24"/>
      <c r="V1428" s="24"/>
      <c r="W1428" s="24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</row>
    <row r="1429">
      <c r="A1429" s="37"/>
      <c r="B1429" s="25"/>
      <c r="C1429" s="60"/>
      <c r="D1429" s="27"/>
      <c r="E1429" s="28"/>
      <c r="F1429" s="29"/>
      <c r="G1429" s="30" t="str">
        <f t="shared" si="61"/>
        <v/>
      </c>
      <c r="H1429" s="31" t="str">
        <f t="shared" si="73"/>
        <v/>
      </c>
      <c r="I1429" s="32" t="str">
        <f t="shared" si="65"/>
        <v/>
      </c>
      <c r="J1429" s="33" t="str">
        <f t="shared" si="25"/>
        <v/>
      </c>
      <c r="K1429" s="33"/>
      <c r="L1429" s="33"/>
      <c r="M1429" s="33"/>
      <c r="N1429" s="34"/>
      <c r="O1429" s="35" t="str">
        <f>IFERROR(__xludf.DUMMYFUNCTION("IFERROR(
  VLOOKUP(C1429,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C1429
    ), 
    7, FALSE
  ), 
  """"
)
"),"")</f>
        <v/>
      </c>
      <c r="P1429" s="35"/>
      <c r="Q1429" s="36" t="str">
        <f t="shared" si="4"/>
        <v/>
      </c>
      <c r="R1429" s="33"/>
      <c r="S1429" s="31"/>
      <c r="T1429" s="37"/>
      <c r="U1429" s="37"/>
      <c r="V1429" s="37"/>
      <c r="W1429" s="37"/>
      <c r="X1429" s="25"/>
      <c r="Y1429" s="25"/>
      <c r="Z1429" s="25"/>
      <c r="AA1429" s="25"/>
      <c r="AB1429" s="25"/>
      <c r="AC1429" s="25"/>
      <c r="AD1429" s="25"/>
      <c r="AE1429" s="25"/>
      <c r="AF1429" s="25"/>
      <c r="AG1429" s="25"/>
      <c r="AH1429" s="25"/>
      <c r="AI1429" s="25"/>
      <c r="AJ1429" s="25"/>
      <c r="AK1429" s="25"/>
      <c r="AL1429" s="25"/>
      <c r="AM1429" s="25"/>
    </row>
    <row r="1430">
      <c r="A1430" s="24"/>
      <c r="B1430" s="13"/>
      <c r="C1430" s="62"/>
      <c r="D1430" s="14"/>
      <c r="E1430" s="15"/>
      <c r="F1430" s="16"/>
      <c r="G1430" s="17" t="str">
        <f t="shared" si="61"/>
        <v/>
      </c>
      <c r="H1430" s="18" t="str">
        <f t="shared" si="73"/>
        <v/>
      </c>
      <c r="I1430" s="19" t="str">
        <f t="shared" si="65"/>
        <v/>
      </c>
      <c r="J1430" s="20" t="str">
        <f t="shared" si="25"/>
        <v/>
      </c>
      <c r="K1430" s="20"/>
      <c r="L1430" s="20"/>
      <c r="M1430" s="20"/>
      <c r="N1430" s="21"/>
      <c r="O1430" s="22" t="str">
        <f>IFERROR(__xludf.DUMMYFUNCTION("IFERROR(
  VLOOKUP(C1430,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C1430
    ), 
    7, FALSE
  ), 
  """"
)
"),"")</f>
        <v/>
      </c>
      <c r="P1430" s="22"/>
      <c r="Q1430" s="23" t="str">
        <f t="shared" si="4"/>
        <v/>
      </c>
      <c r="R1430" s="20"/>
      <c r="S1430" s="18"/>
      <c r="T1430" s="24"/>
      <c r="U1430" s="24"/>
      <c r="V1430" s="24"/>
      <c r="W1430" s="24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</row>
    <row r="1431">
      <c r="A1431" s="37"/>
      <c r="B1431" s="25"/>
      <c r="C1431" s="60"/>
      <c r="D1431" s="27"/>
      <c r="E1431" s="28"/>
      <c r="F1431" s="29"/>
      <c r="G1431" s="30" t="str">
        <f t="shared" si="61"/>
        <v/>
      </c>
      <c r="H1431" s="31" t="str">
        <f t="shared" si="73"/>
        <v/>
      </c>
      <c r="I1431" s="32" t="str">
        <f t="shared" si="65"/>
        <v/>
      </c>
      <c r="J1431" s="33" t="str">
        <f t="shared" si="25"/>
        <v/>
      </c>
      <c r="K1431" s="33"/>
      <c r="L1431" s="33"/>
      <c r="M1431" s="33"/>
      <c r="N1431" s="34"/>
      <c r="O1431" s="35" t="str">
        <f>IFERROR(__xludf.DUMMYFUNCTION("IFERROR(
  VLOOKUP(C1431,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C1431
    ), 
    7, FALSE
  ), 
  """"
)
"),"")</f>
        <v/>
      </c>
      <c r="P1431" s="35"/>
      <c r="Q1431" s="36" t="str">
        <f t="shared" si="4"/>
        <v/>
      </c>
      <c r="R1431" s="33"/>
      <c r="S1431" s="31"/>
      <c r="T1431" s="37"/>
      <c r="U1431" s="37"/>
      <c r="V1431" s="37"/>
      <c r="W1431" s="37"/>
      <c r="X1431" s="25"/>
      <c r="Y1431" s="25"/>
      <c r="Z1431" s="25"/>
      <c r="AA1431" s="25"/>
      <c r="AB1431" s="25"/>
      <c r="AC1431" s="25"/>
      <c r="AD1431" s="25"/>
      <c r="AE1431" s="25"/>
      <c r="AF1431" s="25"/>
      <c r="AG1431" s="25"/>
      <c r="AH1431" s="25"/>
      <c r="AI1431" s="25"/>
      <c r="AJ1431" s="25"/>
      <c r="AK1431" s="25"/>
      <c r="AL1431" s="25"/>
      <c r="AM1431" s="25"/>
    </row>
    <row r="1432">
      <c r="A1432" s="24"/>
      <c r="B1432" s="13"/>
      <c r="C1432" s="62"/>
      <c r="D1432" s="14"/>
      <c r="E1432" s="15"/>
      <c r="F1432" s="16"/>
      <c r="G1432" s="17" t="str">
        <f t="shared" si="61"/>
        <v/>
      </c>
      <c r="H1432" s="18" t="str">
        <f t="shared" si="73"/>
        <v/>
      </c>
      <c r="I1432" s="19" t="str">
        <f t="shared" si="65"/>
        <v/>
      </c>
      <c r="J1432" s="20" t="str">
        <f t="shared" si="25"/>
        <v/>
      </c>
      <c r="K1432" s="20"/>
      <c r="L1432" s="20"/>
      <c r="M1432" s="20"/>
      <c r="N1432" s="21"/>
      <c r="O1432" s="22" t="str">
        <f>IFERROR(__xludf.DUMMYFUNCTION("IFERROR(
  VLOOKUP(C1432,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C1432
    ), 
    7, FALSE
  ), 
  """"
)
"),"")</f>
        <v/>
      </c>
      <c r="P1432" s="22"/>
      <c r="Q1432" s="23" t="str">
        <f t="shared" si="4"/>
        <v/>
      </c>
      <c r="R1432" s="20"/>
      <c r="S1432" s="18"/>
      <c r="T1432" s="24"/>
      <c r="U1432" s="24"/>
      <c r="V1432" s="24"/>
      <c r="W1432" s="24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</row>
    <row r="1433">
      <c r="A1433" s="37"/>
      <c r="B1433" s="25"/>
      <c r="C1433" s="60"/>
      <c r="D1433" s="27"/>
      <c r="E1433" s="28"/>
      <c r="F1433" s="29"/>
      <c r="G1433" s="30" t="str">
        <f t="shared" si="61"/>
        <v/>
      </c>
      <c r="H1433" s="31" t="str">
        <f t="shared" si="73"/>
        <v/>
      </c>
      <c r="I1433" s="32" t="str">
        <f t="shared" si="65"/>
        <v/>
      </c>
      <c r="J1433" s="33" t="str">
        <f t="shared" si="25"/>
        <v/>
      </c>
      <c r="K1433" s="33"/>
      <c r="L1433" s="33"/>
      <c r="M1433" s="33"/>
      <c r="N1433" s="34"/>
      <c r="O1433" s="35" t="str">
        <f>IFERROR(__xludf.DUMMYFUNCTION("IFERROR(
  VLOOKUP(C1433,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C1433
    ), 
    7, FALSE
  ), 
  """"
)
"),"")</f>
        <v/>
      </c>
      <c r="P1433" s="35"/>
      <c r="Q1433" s="36" t="str">
        <f t="shared" si="4"/>
        <v/>
      </c>
      <c r="R1433" s="33"/>
      <c r="S1433" s="31"/>
      <c r="T1433" s="37"/>
      <c r="U1433" s="37"/>
      <c r="V1433" s="37"/>
      <c r="W1433" s="37"/>
      <c r="X1433" s="25"/>
      <c r="Y1433" s="25"/>
      <c r="Z1433" s="25"/>
      <c r="AA1433" s="25"/>
      <c r="AB1433" s="25"/>
      <c r="AC1433" s="25"/>
      <c r="AD1433" s="25"/>
      <c r="AE1433" s="25"/>
      <c r="AF1433" s="25"/>
      <c r="AG1433" s="25"/>
      <c r="AH1433" s="25"/>
      <c r="AI1433" s="25"/>
      <c r="AJ1433" s="25"/>
      <c r="AK1433" s="25"/>
      <c r="AL1433" s="25"/>
      <c r="AM1433" s="25"/>
    </row>
    <row r="1434">
      <c r="A1434" s="24"/>
      <c r="B1434" s="13"/>
      <c r="C1434" s="62"/>
      <c r="D1434" s="14"/>
      <c r="E1434" s="15"/>
      <c r="F1434" s="16"/>
      <c r="G1434" s="17" t="str">
        <f t="shared" si="61"/>
        <v/>
      </c>
      <c r="H1434" s="18" t="str">
        <f t="shared" si="73"/>
        <v/>
      </c>
      <c r="I1434" s="19" t="str">
        <f t="shared" si="65"/>
        <v/>
      </c>
      <c r="J1434" s="20" t="str">
        <f t="shared" si="25"/>
        <v/>
      </c>
      <c r="K1434" s="20"/>
      <c r="L1434" s="20"/>
      <c r="M1434" s="20"/>
      <c r="N1434" s="21"/>
      <c r="O1434" s="22" t="str">
        <f>IFERROR(__xludf.DUMMYFUNCTION("IFERROR(
  VLOOKUP(C1434,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C1434
    ), 
    7, FALSE
  ), 
  """"
)
"),"")</f>
        <v/>
      </c>
      <c r="P1434" s="22"/>
      <c r="Q1434" s="23" t="str">
        <f t="shared" si="4"/>
        <v/>
      </c>
      <c r="R1434" s="20"/>
      <c r="S1434" s="18"/>
      <c r="T1434" s="24"/>
      <c r="U1434" s="24"/>
      <c r="V1434" s="24"/>
      <c r="W1434" s="24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</row>
    <row r="1435">
      <c r="A1435" s="37"/>
      <c r="B1435" s="25"/>
      <c r="C1435" s="60"/>
      <c r="D1435" s="27"/>
      <c r="E1435" s="28"/>
      <c r="F1435" s="29"/>
      <c r="G1435" s="30" t="str">
        <f t="shared" si="61"/>
        <v/>
      </c>
      <c r="H1435" s="31" t="str">
        <f t="shared" si="73"/>
        <v/>
      </c>
      <c r="I1435" s="32" t="str">
        <f t="shared" si="65"/>
        <v/>
      </c>
      <c r="J1435" s="33" t="str">
        <f t="shared" si="25"/>
        <v/>
      </c>
      <c r="K1435" s="33"/>
      <c r="L1435" s="33"/>
      <c r="M1435" s="33"/>
      <c r="N1435" s="34"/>
      <c r="O1435" s="35" t="str">
        <f>IFERROR(__xludf.DUMMYFUNCTION("IFERROR(
  VLOOKUP(C1435,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C1435
    ), 
    7, FALSE
  ), 
  """"
)
"),"")</f>
        <v/>
      </c>
      <c r="P1435" s="35"/>
      <c r="Q1435" s="36" t="str">
        <f t="shared" si="4"/>
        <v/>
      </c>
      <c r="R1435" s="33"/>
      <c r="S1435" s="31"/>
      <c r="T1435" s="37"/>
      <c r="U1435" s="37"/>
      <c r="V1435" s="37"/>
      <c r="W1435" s="37"/>
      <c r="X1435" s="25"/>
      <c r="Y1435" s="25"/>
      <c r="Z1435" s="25"/>
      <c r="AA1435" s="25"/>
      <c r="AB1435" s="25"/>
      <c r="AC1435" s="25"/>
      <c r="AD1435" s="25"/>
      <c r="AE1435" s="25"/>
      <c r="AF1435" s="25"/>
      <c r="AG1435" s="25"/>
      <c r="AH1435" s="25"/>
      <c r="AI1435" s="25"/>
      <c r="AJ1435" s="25"/>
      <c r="AK1435" s="25"/>
      <c r="AL1435" s="25"/>
      <c r="AM1435" s="25"/>
    </row>
    <row r="1436">
      <c r="A1436" s="24"/>
      <c r="B1436" s="13"/>
      <c r="C1436" s="62"/>
      <c r="D1436" s="14"/>
      <c r="E1436" s="15"/>
      <c r="F1436" s="16"/>
      <c r="G1436" s="17" t="str">
        <f t="shared" si="61"/>
        <v/>
      </c>
      <c r="H1436" s="18" t="str">
        <f t="shared" si="73"/>
        <v/>
      </c>
      <c r="I1436" s="19" t="str">
        <f t="shared" si="65"/>
        <v/>
      </c>
      <c r="J1436" s="20" t="str">
        <f t="shared" si="25"/>
        <v/>
      </c>
      <c r="K1436" s="20"/>
      <c r="L1436" s="20"/>
      <c r="M1436" s="20"/>
      <c r="N1436" s="21"/>
      <c r="O1436" s="22" t="str">
        <f>IFERROR(__xludf.DUMMYFUNCTION("IFERROR(
  VLOOKUP(C1436,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C1436
    ), 
    7, FALSE
  ), 
  """"
)
"),"")</f>
        <v/>
      </c>
      <c r="P1436" s="22"/>
      <c r="Q1436" s="23" t="str">
        <f t="shared" si="4"/>
        <v/>
      </c>
      <c r="R1436" s="20"/>
      <c r="S1436" s="18"/>
      <c r="T1436" s="24"/>
      <c r="U1436" s="24"/>
      <c r="V1436" s="24"/>
      <c r="W1436" s="24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</row>
    <row r="1437">
      <c r="A1437" s="37"/>
      <c r="B1437" s="25"/>
      <c r="C1437" s="60"/>
      <c r="D1437" s="27"/>
      <c r="E1437" s="28"/>
      <c r="F1437" s="29"/>
      <c r="G1437" s="30" t="str">
        <f t="shared" si="61"/>
        <v/>
      </c>
      <c r="H1437" s="31" t="str">
        <f t="shared" si="73"/>
        <v/>
      </c>
      <c r="I1437" s="32" t="str">
        <f t="shared" si="65"/>
        <v/>
      </c>
      <c r="J1437" s="33" t="str">
        <f t="shared" si="25"/>
        <v/>
      </c>
      <c r="K1437" s="33"/>
      <c r="L1437" s="33"/>
      <c r="M1437" s="33"/>
      <c r="N1437" s="34"/>
      <c r="O1437" s="35" t="str">
        <f>IFERROR(__xludf.DUMMYFUNCTION("IFERROR(
  VLOOKUP(C1437,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C1437
    ), 
    7, FALSE
  ), 
  """"
)
"),"")</f>
        <v/>
      </c>
      <c r="P1437" s="35"/>
      <c r="Q1437" s="36" t="str">
        <f t="shared" si="4"/>
        <v/>
      </c>
      <c r="R1437" s="33"/>
      <c r="S1437" s="31"/>
      <c r="T1437" s="37"/>
      <c r="U1437" s="37"/>
      <c r="V1437" s="37"/>
      <c r="W1437" s="37"/>
      <c r="X1437" s="25"/>
      <c r="Y1437" s="25"/>
      <c r="Z1437" s="25"/>
      <c r="AA1437" s="25"/>
      <c r="AB1437" s="25"/>
      <c r="AC1437" s="25"/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</row>
    <row r="1438">
      <c r="A1438" s="24"/>
      <c r="B1438" s="13"/>
      <c r="C1438" s="62"/>
      <c r="D1438" s="14"/>
      <c r="E1438" s="15"/>
      <c r="F1438" s="16"/>
      <c r="G1438" s="17" t="str">
        <f t="shared" si="61"/>
        <v/>
      </c>
      <c r="H1438" s="18" t="str">
        <f t="shared" si="73"/>
        <v/>
      </c>
      <c r="I1438" s="19" t="str">
        <f t="shared" si="65"/>
        <v/>
      </c>
      <c r="J1438" s="20" t="str">
        <f t="shared" si="25"/>
        <v/>
      </c>
      <c r="K1438" s="20"/>
      <c r="L1438" s="20"/>
      <c r="M1438" s="20"/>
      <c r="N1438" s="21"/>
      <c r="O1438" s="22" t="str">
        <f>IFERROR(__xludf.DUMMYFUNCTION("IFERROR(
  VLOOKUP(C1438,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C1438
    ), 
    7, FALSE
  ), 
  """"
)
"),"")</f>
        <v/>
      </c>
      <c r="P1438" s="22"/>
      <c r="Q1438" s="23" t="str">
        <f t="shared" si="4"/>
        <v/>
      </c>
      <c r="R1438" s="20"/>
      <c r="S1438" s="18"/>
      <c r="T1438" s="24"/>
      <c r="U1438" s="24"/>
      <c r="V1438" s="24"/>
      <c r="W1438" s="24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</row>
    <row r="1439">
      <c r="A1439" s="37"/>
      <c r="B1439" s="25"/>
      <c r="C1439" s="60"/>
      <c r="D1439" s="27"/>
      <c r="E1439" s="28"/>
      <c r="F1439" s="29"/>
      <c r="G1439" s="30" t="str">
        <f t="shared" si="61"/>
        <v/>
      </c>
      <c r="H1439" s="31" t="str">
        <f t="shared" si="73"/>
        <v/>
      </c>
      <c r="I1439" s="32" t="str">
        <f t="shared" si="65"/>
        <v/>
      </c>
      <c r="J1439" s="33" t="str">
        <f t="shared" si="25"/>
        <v/>
      </c>
      <c r="K1439" s="33"/>
      <c r="L1439" s="33"/>
      <c r="M1439" s="33"/>
      <c r="N1439" s="34"/>
      <c r="O1439" s="35" t="str">
        <f>IFERROR(__xludf.DUMMYFUNCTION("IFERROR(
  VLOOKUP(C1439,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C1439
    ), 
    7, FALSE
  ), 
  """"
)
"),"")</f>
        <v/>
      </c>
      <c r="P1439" s="35"/>
      <c r="Q1439" s="36" t="str">
        <f t="shared" si="4"/>
        <v/>
      </c>
      <c r="R1439" s="33"/>
      <c r="S1439" s="31"/>
      <c r="T1439" s="37"/>
      <c r="U1439" s="37"/>
      <c r="V1439" s="37"/>
      <c r="W1439" s="37"/>
      <c r="X1439" s="25"/>
      <c r="Y1439" s="25"/>
      <c r="Z1439" s="25"/>
      <c r="AA1439" s="25"/>
      <c r="AB1439" s="25"/>
      <c r="AC1439" s="25"/>
      <c r="AD1439" s="25"/>
      <c r="AE1439" s="25"/>
      <c r="AF1439" s="25"/>
      <c r="AG1439" s="25"/>
      <c r="AH1439" s="25"/>
      <c r="AI1439" s="25"/>
      <c r="AJ1439" s="25"/>
      <c r="AK1439" s="25"/>
      <c r="AL1439" s="25"/>
      <c r="AM1439" s="25"/>
    </row>
    <row r="1440">
      <c r="A1440" s="24"/>
      <c r="B1440" s="13"/>
      <c r="C1440" s="62"/>
      <c r="D1440" s="14"/>
      <c r="E1440" s="15"/>
      <c r="F1440" s="16"/>
      <c r="G1440" s="17" t="str">
        <f t="shared" si="61"/>
        <v/>
      </c>
      <c r="H1440" s="18" t="str">
        <f t="shared" si="73"/>
        <v/>
      </c>
      <c r="I1440" s="19" t="str">
        <f t="shared" si="65"/>
        <v/>
      </c>
      <c r="J1440" s="20" t="str">
        <f t="shared" si="25"/>
        <v/>
      </c>
      <c r="K1440" s="20"/>
      <c r="L1440" s="20"/>
      <c r="M1440" s="20"/>
      <c r="N1440" s="21"/>
      <c r="O1440" s="22" t="str">
        <f>IFERROR(__xludf.DUMMYFUNCTION("IFERROR(
  VLOOKUP(C1440,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C1440
    ), 
    7, FALSE
  ), 
  """"
)
"),"")</f>
        <v/>
      </c>
      <c r="P1440" s="22"/>
      <c r="Q1440" s="23" t="str">
        <f t="shared" si="4"/>
        <v/>
      </c>
      <c r="R1440" s="20"/>
      <c r="S1440" s="18"/>
      <c r="T1440" s="24"/>
      <c r="U1440" s="24"/>
      <c r="V1440" s="24"/>
      <c r="W1440" s="24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</row>
    <row r="1441">
      <c r="A1441" s="37"/>
      <c r="B1441" s="25"/>
      <c r="C1441" s="60"/>
      <c r="D1441" s="27"/>
      <c r="E1441" s="28"/>
      <c r="F1441" s="29"/>
      <c r="G1441" s="30" t="str">
        <f t="shared" si="61"/>
        <v/>
      </c>
      <c r="H1441" s="31" t="str">
        <f t="shared" si="73"/>
        <v/>
      </c>
      <c r="I1441" s="32" t="str">
        <f t="shared" si="65"/>
        <v/>
      </c>
      <c r="J1441" s="33" t="str">
        <f t="shared" si="25"/>
        <v/>
      </c>
      <c r="K1441" s="33"/>
      <c r="L1441" s="33"/>
      <c r="M1441" s="33"/>
      <c r="N1441" s="34"/>
      <c r="O1441" s="35" t="str">
        <f>IFERROR(__xludf.DUMMYFUNCTION("IFERROR(
  VLOOKUP(C1441,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C1441
    ), 
    7, FALSE
  ), 
  """"
)
"),"")</f>
        <v/>
      </c>
      <c r="P1441" s="35"/>
      <c r="Q1441" s="36" t="str">
        <f t="shared" si="4"/>
        <v/>
      </c>
      <c r="R1441" s="33"/>
      <c r="S1441" s="31"/>
      <c r="T1441" s="37"/>
      <c r="U1441" s="37"/>
      <c r="V1441" s="37"/>
      <c r="W1441" s="37"/>
      <c r="X1441" s="25"/>
      <c r="Y1441" s="25"/>
      <c r="Z1441" s="25"/>
      <c r="AA1441" s="25"/>
      <c r="AB1441" s="25"/>
      <c r="AC1441" s="25"/>
      <c r="AD1441" s="25"/>
      <c r="AE1441" s="25"/>
      <c r="AF1441" s="25"/>
      <c r="AG1441" s="25"/>
      <c r="AH1441" s="25"/>
      <c r="AI1441" s="25"/>
      <c r="AJ1441" s="25"/>
      <c r="AK1441" s="25"/>
      <c r="AL1441" s="25"/>
      <c r="AM1441" s="25"/>
    </row>
    <row r="1442">
      <c r="A1442" s="24"/>
      <c r="B1442" s="13"/>
      <c r="C1442" s="62"/>
      <c r="D1442" s="14"/>
      <c r="E1442" s="15"/>
      <c r="F1442" s="16"/>
      <c r="G1442" s="17" t="str">
        <f t="shared" si="61"/>
        <v/>
      </c>
      <c r="H1442" s="18" t="str">
        <f t="shared" si="73"/>
        <v/>
      </c>
      <c r="I1442" s="19" t="str">
        <f t="shared" si="65"/>
        <v/>
      </c>
      <c r="J1442" s="20" t="str">
        <f t="shared" si="25"/>
        <v/>
      </c>
      <c r="K1442" s="20"/>
      <c r="L1442" s="20"/>
      <c r="M1442" s="20"/>
      <c r="N1442" s="21"/>
      <c r="O1442" s="22" t="str">
        <f>IFERROR(__xludf.DUMMYFUNCTION("IFERROR(
  VLOOKUP(C1442,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C1442
    ), 
    7, FALSE
  ), 
  """"
)
"),"")</f>
        <v/>
      </c>
      <c r="P1442" s="22"/>
      <c r="Q1442" s="23" t="str">
        <f t="shared" si="4"/>
        <v/>
      </c>
      <c r="R1442" s="20"/>
      <c r="S1442" s="18"/>
      <c r="T1442" s="24"/>
      <c r="U1442" s="24"/>
      <c r="V1442" s="24"/>
      <c r="W1442" s="24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</row>
    <row r="1443">
      <c r="A1443" s="37"/>
      <c r="B1443" s="25"/>
      <c r="C1443" s="60"/>
      <c r="D1443" s="27"/>
      <c r="E1443" s="28"/>
      <c r="F1443" s="29"/>
      <c r="G1443" s="30" t="str">
        <f t="shared" si="61"/>
        <v/>
      </c>
      <c r="H1443" s="31" t="str">
        <f t="shared" si="73"/>
        <v/>
      </c>
      <c r="I1443" s="32" t="str">
        <f t="shared" si="65"/>
        <v/>
      </c>
      <c r="J1443" s="33" t="str">
        <f t="shared" si="25"/>
        <v/>
      </c>
      <c r="K1443" s="33"/>
      <c r="L1443" s="33"/>
      <c r="M1443" s="33"/>
      <c r="N1443" s="34"/>
      <c r="O1443" s="35" t="str">
        <f>IFERROR(__xludf.DUMMYFUNCTION("IFERROR(
  VLOOKUP(C1443,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C1443
    ), 
    7, FALSE
  ), 
  """"
)
"),"")</f>
        <v/>
      </c>
      <c r="P1443" s="35"/>
      <c r="Q1443" s="36" t="str">
        <f t="shared" si="4"/>
        <v/>
      </c>
      <c r="R1443" s="33"/>
      <c r="S1443" s="31"/>
      <c r="T1443" s="37"/>
      <c r="U1443" s="37"/>
      <c r="V1443" s="37"/>
      <c r="W1443" s="37"/>
      <c r="X1443" s="25"/>
      <c r="Y1443" s="25"/>
      <c r="Z1443" s="25"/>
      <c r="AA1443" s="25"/>
      <c r="AB1443" s="25"/>
      <c r="AC1443" s="25"/>
      <c r="AD1443" s="25"/>
      <c r="AE1443" s="25"/>
      <c r="AF1443" s="25"/>
      <c r="AG1443" s="25"/>
      <c r="AH1443" s="25"/>
      <c r="AI1443" s="25"/>
      <c r="AJ1443" s="25"/>
      <c r="AK1443" s="25"/>
      <c r="AL1443" s="25"/>
      <c r="AM1443" s="25"/>
    </row>
    <row r="1444">
      <c r="A1444" s="24"/>
      <c r="B1444" s="13"/>
      <c r="C1444" s="62"/>
      <c r="D1444" s="14"/>
      <c r="E1444" s="15"/>
      <c r="F1444" s="16"/>
      <c r="G1444" s="17" t="str">
        <f t="shared" si="61"/>
        <v/>
      </c>
      <c r="H1444" s="18" t="str">
        <f t="shared" si="73"/>
        <v/>
      </c>
      <c r="I1444" s="19" t="str">
        <f t="shared" si="65"/>
        <v/>
      </c>
      <c r="J1444" s="20" t="str">
        <f t="shared" si="25"/>
        <v/>
      </c>
      <c r="K1444" s="20"/>
      <c r="L1444" s="20"/>
      <c r="M1444" s="20"/>
      <c r="N1444" s="21"/>
      <c r="O1444" s="22" t="str">
        <f>IFERROR(__xludf.DUMMYFUNCTION("IFERROR(
  VLOOKUP(C1444,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C1444
    ), 
    7, FALSE
  ), 
  """"
)
"),"")</f>
        <v/>
      </c>
      <c r="P1444" s="22"/>
      <c r="Q1444" s="23" t="str">
        <f t="shared" si="4"/>
        <v/>
      </c>
      <c r="R1444" s="20"/>
      <c r="S1444" s="18"/>
      <c r="T1444" s="24"/>
      <c r="U1444" s="24"/>
      <c r="V1444" s="24"/>
      <c r="W1444" s="24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</row>
    <row r="1445">
      <c r="A1445" s="37"/>
      <c r="B1445" s="25"/>
      <c r="C1445" s="60"/>
      <c r="D1445" s="27"/>
      <c r="E1445" s="28"/>
      <c r="F1445" s="29"/>
      <c r="G1445" s="30" t="str">
        <f t="shared" si="61"/>
        <v/>
      </c>
      <c r="H1445" s="31" t="str">
        <f t="shared" si="73"/>
        <v/>
      </c>
      <c r="I1445" s="32" t="str">
        <f t="shared" si="65"/>
        <v/>
      </c>
      <c r="J1445" s="33" t="str">
        <f t="shared" si="25"/>
        <v/>
      </c>
      <c r="K1445" s="33"/>
      <c r="L1445" s="33"/>
      <c r="M1445" s="33"/>
      <c r="N1445" s="34"/>
      <c r="O1445" s="35" t="str">
        <f>IFERROR(__xludf.DUMMYFUNCTION("IFERROR(
  VLOOKUP(C1445,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C1445
    ), 
    7, FALSE
  ), 
  """"
)
"),"")</f>
        <v/>
      </c>
      <c r="P1445" s="35"/>
      <c r="Q1445" s="36" t="str">
        <f t="shared" si="4"/>
        <v/>
      </c>
      <c r="R1445" s="33"/>
      <c r="S1445" s="31"/>
      <c r="T1445" s="37"/>
      <c r="U1445" s="37"/>
      <c r="V1445" s="37"/>
      <c r="W1445" s="37"/>
      <c r="X1445" s="25"/>
      <c r="Y1445" s="25"/>
      <c r="Z1445" s="25"/>
      <c r="AA1445" s="25"/>
      <c r="AB1445" s="25"/>
      <c r="AC1445" s="25"/>
      <c r="AD1445" s="25"/>
      <c r="AE1445" s="25"/>
      <c r="AF1445" s="25"/>
      <c r="AG1445" s="25"/>
      <c r="AH1445" s="25"/>
      <c r="AI1445" s="25"/>
      <c r="AJ1445" s="25"/>
      <c r="AK1445" s="25"/>
      <c r="AL1445" s="25"/>
      <c r="AM1445" s="25"/>
    </row>
    <row r="1446">
      <c r="A1446" s="24"/>
      <c r="B1446" s="13"/>
      <c r="C1446" s="62"/>
      <c r="D1446" s="14"/>
      <c r="E1446" s="15"/>
      <c r="F1446" s="16"/>
      <c r="G1446" s="17" t="str">
        <f t="shared" si="61"/>
        <v/>
      </c>
      <c r="H1446" s="18" t="str">
        <f t="shared" si="73"/>
        <v/>
      </c>
      <c r="I1446" s="19" t="str">
        <f t="shared" si="65"/>
        <v/>
      </c>
      <c r="J1446" s="20" t="str">
        <f t="shared" si="25"/>
        <v/>
      </c>
      <c r="K1446" s="20"/>
      <c r="L1446" s="20"/>
      <c r="M1446" s="20"/>
      <c r="N1446" s="21"/>
      <c r="O1446" s="22" t="str">
        <f>IFERROR(__xludf.DUMMYFUNCTION("IFERROR(
  VLOOKUP(C1446,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C1446
    ), 
    7, FALSE
  ), 
  """"
)
"),"")</f>
        <v/>
      </c>
      <c r="P1446" s="22"/>
      <c r="Q1446" s="23" t="str">
        <f t="shared" si="4"/>
        <v/>
      </c>
      <c r="R1446" s="20"/>
      <c r="S1446" s="18"/>
      <c r="T1446" s="24"/>
      <c r="U1446" s="24"/>
      <c r="V1446" s="24"/>
      <c r="W1446" s="24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</row>
    <row r="1447">
      <c r="A1447" s="37"/>
      <c r="B1447" s="25"/>
      <c r="C1447" s="60"/>
      <c r="D1447" s="27"/>
      <c r="E1447" s="28"/>
      <c r="F1447" s="29"/>
      <c r="G1447" s="30" t="str">
        <f t="shared" si="61"/>
        <v/>
      </c>
      <c r="H1447" s="31" t="str">
        <f t="shared" si="73"/>
        <v/>
      </c>
      <c r="I1447" s="32" t="str">
        <f t="shared" si="65"/>
        <v/>
      </c>
      <c r="J1447" s="33" t="str">
        <f t="shared" si="25"/>
        <v/>
      </c>
      <c r="K1447" s="33"/>
      <c r="L1447" s="33"/>
      <c r="M1447" s="33"/>
      <c r="N1447" s="34"/>
      <c r="O1447" s="35" t="str">
        <f>IFERROR(__xludf.DUMMYFUNCTION("IFERROR(
  VLOOKUP(C1447,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C1447
    ), 
    7, FALSE
  ), 
  """"
)
"),"")</f>
        <v/>
      </c>
      <c r="P1447" s="35"/>
      <c r="Q1447" s="36" t="str">
        <f t="shared" si="4"/>
        <v/>
      </c>
      <c r="R1447" s="33"/>
      <c r="S1447" s="31"/>
      <c r="T1447" s="37"/>
      <c r="U1447" s="37"/>
      <c r="V1447" s="37"/>
      <c r="W1447" s="37"/>
      <c r="X1447" s="25"/>
      <c r="Y1447" s="25"/>
      <c r="Z1447" s="25"/>
      <c r="AA1447" s="25"/>
      <c r="AB1447" s="25"/>
      <c r="AC1447" s="25"/>
      <c r="AD1447" s="25"/>
      <c r="AE1447" s="25"/>
      <c r="AF1447" s="25"/>
      <c r="AG1447" s="25"/>
      <c r="AH1447" s="25"/>
      <c r="AI1447" s="25"/>
      <c r="AJ1447" s="25"/>
      <c r="AK1447" s="25"/>
      <c r="AL1447" s="25"/>
      <c r="AM1447" s="25"/>
    </row>
    <row r="1448">
      <c r="A1448" s="24"/>
      <c r="B1448" s="13"/>
      <c r="C1448" s="62"/>
      <c r="D1448" s="14"/>
      <c r="E1448" s="15"/>
      <c r="F1448" s="16"/>
      <c r="G1448" s="17" t="str">
        <f t="shared" si="61"/>
        <v/>
      </c>
      <c r="H1448" s="18" t="str">
        <f t="shared" si="73"/>
        <v/>
      </c>
      <c r="I1448" s="19" t="str">
        <f t="shared" si="65"/>
        <v/>
      </c>
      <c r="J1448" s="20" t="str">
        <f t="shared" si="25"/>
        <v/>
      </c>
      <c r="K1448" s="20"/>
      <c r="L1448" s="20"/>
      <c r="M1448" s="20"/>
      <c r="N1448" s="21"/>
      <c r="O1448" s="22" t="str">
        <f>IFERROR(__xludf.DUMMYFUNCTION("IFERROR(
  VLOOKUP(C1448,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C1448
    ), 
    7, FALSE
  ), 
  """"
)
"),"")</f>
        <v/>
      </c>
      <c r="P1448" s="22"/>
      <c r="Q1448" s="23" t="str">
        <f t="shared" si="4"/>
        <v/>
      </c>
      <c r="R1448" s="20"/>
      <c r="S1448" s="18"/>
      <c r="T1448" s="24"/>
      <c r="U1448" s="24"/>
      <c r="V1448" s="24"/>
      <c r="W1448" s="24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</row>
    <row r="1449">
      <c r="A1449" s="37"/>
      <c r="B1449" s="25"/>
      <c r="C1449" s="60"/>
      <c r="D1449" s="27"/>
      <c r="E1449" s="28"/>
      <c r="F1449" s="29"/>
      <c r="G1449" s="30" t="str">
        <f t="shared" si="61"/>
        <v/>
      </c>
      <c r="H1449" s="31" t="str">
        <f t="shared" si="73"/>
        <v/>
      </c>
      <c r="I1449" s="32" t="str">
        <f t="shared" si="65"/>
        <v/>
      </c>
      <c r="J1449" s="33" t="str">
        <f t="shared" si="25"/>
        <v/>
      </c>
      <c r="K1449" s="33"/>
      <c r="L1449" s="33"/>
      <c r="M1449" s="33"/>
      <c r="N1449" s="34"/>
      <c r="O1449" s="35" t="str">
        <f>IFERROR(__xludf.DUMMYFUNCTION("IFERROR(
  VLOOKUP(C1449,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C1449
    ), 
    7, FALSE
  ), 
  """"
)
"),"")</f>
        <v/>
      </c>
      <c r="P1449" s="35"/>
      <c r="Q1449" s="36" t="str">
        <f t="shared" si="4"/>
        <v/>
      </c>
      <c r="R1449" s="33"/>
      <c r="S1449" s="31"/>
      <c r="T1449" s="37"/>
      <c r="U1449" s="37"/>
      <c r="V1449" s="37"/>
      <c r="W1449" s="37"/>
      <c r="X1449" s="25"/>
      <c r="Y1449" s="25"/>
      <c r="Z1449" s="25"/>
      <c r="AA1449" s="25"/>
      <c r="AB1449" s="25"/>
      <c r="AC1449" s="25"/>
      <c r="AD1449" s="25"/>
      <c r="AE1449" s="25"/>
      <c r="AF1449" s="25"/>
      <c r="AG1449" s="25"/>
      <c r="AH1449" s="25"/>
      <c r="AI1449" s="25"/>
      <c r="AJ1449" s="25"/>
      <c r="AK1449" s="25"/>
      <c r="AL1449" s="25"/>
      <c r="AM1449" s="25"/>
    </row>
    <row r="1450">
      <c r="A1450" s="24"/>
      <c r="B1450" s="13"/>
      <c r="C1450" s="62"/>
      <c r="D1450" s="14"/>
      <c r="E1450" s="15"/>
      <c r="F1450" s="16"/>
      <c r="G1450" s="17" t="str">
        <f t="shared" si="61"/>
        <v/>
      </c>
      <c r="H1450" s="18" t="str">
        <f t="shared" si="73"/>
        <v/>
      </c>
      <c r="I1450" s="19" t="str">
        <f t="shared" si="65"/>
        <v/>
      </c>
      <c r="J1450" s="20" t="str">
        <f t="shared" si="25"/>
        <v/>
      </c>
      <c r="K1450" s="20"/>
      <c r="L1450" s="20"/>
      <c r="M1450" s="20"/>
      <c r="N1450" s="21"/>
      <c r="O1450" s="22" t="str">
        <f>IFERROR(__xludf.DUMMYFUNCTION("IFERROR(
  VLOOKUP(C1450,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C1450
    ), 
    7, FALSE
  ), 
  """"
)
"),"")</f>
        <v/>
      </c>
      <c r="P1450" s="22"/>
      <c r="Q1450" s="23" t="str">
        <f t="shared" si="4"/>
        <v/>
      </c>
      <c r="R1450" s="20"/>
      <c r="S1450" s="18"/>
      <c r="T1450" s="24"/>
      <c r="U1450" s="24"/>
      <c r="V1450" s="24"/>
      <c r="W1450" s="24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</row>
    <row r="1451">
      <c r="A1451" s="37"/>
      <c r="B1451" s="25"/>
      <c r="C1451" s="60"/>
      <c r="D1451" s="27"/>
      <c r="E1451" s="28"/>
      <c r="F1451" s="29"/>
      <c r="G1451" s="30" t="str">
        <f t="shared" si="61"/>
        <v/>
      </c>
      <c r="H1451" s="31" t="str">
        <f t="shared" si="73"/>
        <v/>
      </c>
      <c r="I1451" s="32" t="str">
        <f t="shared" si="65"/>
        <v/>
      </c>
      <c r="J1451" s="33" t="str">
        <f t="shared" si="25"/>
        <v/>
      </c>
      <c r="K1451" s="33"/>
      <c r="L1451" s="33"/>
      <c r="M1451" s="33"/>
      <c r="N1451" s="34"/>
      <c r="O1451" s="35" t="str">
        <f>IFERROR(__xludf.DUMMYFUNCTION("IFERROR(
  VLOOKUP(C1451,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C1451
    ), 
    7, FALSE
  ), 
  """"
)
"),"")</f>
        <v/>
      </c>
      <c r="P1451" s="35"/>
      <c r="Q1451" s="36" t="str">
        <f t="shared" si="4"/>
        <v/>
      </c>
      <c r="R1451" s="33"/>
      <c r="S1451" s="31"/>
      <c r="T1451" s="37"/>
      <c r="U1451" s="37"/>
      <c r="V1451" s="37"/>
      <c r="W1451" s="37"/>
      <c r="X1451" s="25"/>
      <c r="Y1451" s="25"/>
      <c r="Z1451" s="25"/>
      <c r="AA1451" s="25"/>
      <c r="AB1451" s="25"/>
      <c r="AC1451" s="25"/>
      <c r="AD1451" s="25"/>
      <c r="AE1451" s="25"/>
      <c r="AF1451" s="25"/>
      <c r="AG1451" s="25"/>
      <c r="AH1451" s="25"/>
      <c r="AI1451" s="25"/>
      <c r="AJ1451" s="25"/>
      <c r="AK1451" s="25"/>
      <c r="AL1451" s="25"/>
      <c r="AM1451" s="25"/>
    </row>
    <row r="1452">
      <c r="A1452" s="24"/>
      <c r="B1452" s="13"/>
      <c r="C1452" s="62"/>
      <c r="D1452" s="14"/>
      <c r="E1452" s="15"/>
      <c r="F1452" s="16"/>
      <c r="G1452" s="17" t="str">
        <f t="shared" si="61"/>
        <v/>
      </c>
      <c r="H1452" s="18" t="str">
        <f t="shared" si="73"/>
        <v/>
      </c>
      <c r="I1452" s="19" t="str">
        <f t="shared" si="65"/>
        <v/>
      </c>
      <c r="J1452" s="20" t="str">
        <f t="shared" si="25"/>
        <v/>
      </c>
      <c r="K1452" s="20"/>
      <c r="L1452" s="20"/>
      <c r="M1452" s="20"/>
      <c r="N1452" s="21"/>
      <c r="O1452" s="22" t="str">
        <f>IFERROR(__xludf.DUMMYFUNCTION("IFERROR(
  VLOOKUP(C1452,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C1452
    ), 
    7, FALSE
  ), 
  """"
)
"),"")</f>
        <v/>
      </c>
      <c r="P1452" s="22"/>
      <c r="Q1452" s="23" t="str">
        <f t="shared" si="4"/>
        <v/>
      </c>
      <c r="R1452" s="20"/>
      <c r="S1452" s="18"/>
      <c r="T1452" s="24"/>
      <c r="U1452" s="24"/>
      <c r="V1452" s="24"/>
      <c r="W1452" s="24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</row>
    <row r="1453">
      <c r="A1453" s="37"/>
      <c r="B1453" s="25"/>
      <c r="C1453" s="60"/>
      <c r="D1453" s="27"/>
      <c r="E1453" s="28"/>
      <c r="F1453" s="29"/>
      <c r="G1453" s="30" t="str">
        <f t="shared" si="61"/>
        <v/>
      </c>
      <c r="H1453" s="31" t="str">
        <f t="shared" si="73"/>
        <v/>
      </c>
      <c r="I1453" s="32" t="str">
        <f t="shared" si="65"/>
        <v/>
      </c>
      <c r="J1453" s="33" t="str">
        <f t="shared" si="25"/>
        <v/>
      </c>
      <c r="K1453" s="33"/>
      <c r="L1453" s="33"/>
      <c r="M1453" s="33"/>
      <c r="N1453" s="34"/>
      <c r="O1453" s="35" t="str">
        <f>IFERROR(__xludf.DUMMYFUNCTION("IFERROR(
  VLOOKUP(C1453,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C1453
    ), 
    7, FALSE
  ), 
  """"
)
"),"")</f>
        <v/>
      </c>
      <c r="P1453" s="35"/>
      <c r="Q1453" s="36" t="str">
        <f t="shared" si="4"/>
        <v/>
      </c>
      <c r="R1453" s="33"/>
      <c r="S1453" s="31"/>
      <c r="T1453" s="37"/>
      <c r="U1453" s="37"/>
      <c r="V1453" s="37"/>
      <c r="W1453" s="37"/>
      <c r="X1453" s="25"/>
      <c r="Y1453" s="25"/>
      <c r="Z1453" s="25"/>
      <c r="AA1453" s="25"/>
      <c r="AB1453" s="25"/>
      <c r="AC1453" s="25"/>
      <c r="AD1453" s="25"/>
      <c r="AE1453" s="25"/>
      <c r="AF1453" s="25"/>
      <c r="AG1453" s="25"/>
      <c r="AH1453" s="25"/>
      <c r="AI1453" s="25"/>
      <c r="AJ1453" s="25"/>
      <c r="AK1453" s="25"/>
      <c r="AL1453" s="25"/>
      <c r="AM1453" s="25"/>
    </row>
    <row r="1454">
      <c r="A1454" s="24"/>
      <c r="B1454" s="13"/>
      <c r="C1454" s="62"/>
      <c r="D1454" s="14"/>
      <c r="E1454" s="15"/>
      <c r="F1454" s="16"/>
      <c r="G1454" s="17" t="str">
        <f t="shared" si="61"/>
        <v/>
      </c>
      <c r="H1454" s="18" t="str">
        <f t="shared" si="73"/>
        <v/>
      </c>
      <c r="I1454" s="19" t="str">
        <f t="shared" si="65"/>
        <v/>
      </c>
      <c r="J1454" s="20" t="str">
        <f t="shared" si="25"/>
        <v/>
      </c>
      <c r="K1454" s="20"/>
      <c r="L1454" s="20"/>
      <c r="M1454" s="20"/>
      <c r="N1454" s="21"/>
      <c r="O1454" s="22" t="str">
        <f>IFERROR(__xludf.DUMMYFUNCTION("IFERROR(
  VLOOKUP(C1454,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C1454
    ), 
    7, FALSE
  ), 
  """"
)
"),"")</f>
        <v/>
      </c>
      <c r="P1454" s="22"/>
      <c r="Q1454" s="23" t="str">
        <f t="shared" si="4"/>
        <v/>
      </c>
      <c r="R1454" s="20"/>
      <c r="S1454" s="18"/>
      <c r="T1454" s="24"/>
      <c r="U1454" s="24"/>
      <c r="V1454" s="24"/>
      <c r="W1454" s="24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</row>
    <row r="1455">
      <c r="A1455" s="37"/>
      <c r="B1455" s="25"/>
      <c r="C1455" s="60"/>
      <c r="D1455" s="27"/>
      <c r="E1455" s="28"/>
      <c r="F1455" s="29"/>
      <c r="G1455" s="30" t="str">
        <f t="shared" si="61"/>
        <v/>
      </c>
      <c r="H1455" s="31" t="str">
        <f t="shared" si="73"/>
        <v/>
      </c>
      <c r="I1455" s="32" t="str">
        <f t="shared" si="65"/>
        <v/>
      </c>
      <c r="J1455" s="33" t="str">
        <f t="shared" si="25"/>
        <v/>
      </c>
      <c r="K1455" s="33"/>
      <c r="L1455" s="33"/>
      <c r="M1455" s="33"/>
      <c r="N1455" s="34"/>
      <c r="O1455" s="35" t="str">
        <f>IFERROR(__xludf.DUMMYFUNCTION("IFERROR(
  VLOOKUP(C1455,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C1455
    ), 
    7, FALSE
  ), 
  """"
)
"),"")</f>
        <v/>
      </c>
      <c r="P1455" s="35"/>
      <c r="Q1455" s="36" t="str">
        <f t="shared" si="4"/>
        <v/>
      </c>
      <c r="R1455" s="33"/>
      <c r="S1455" s="31"/>
      <c r="T1455" s="37"/>
      <c r="U1455" s="37"/>
      <c r="V1455" s="37"/>
      <c r="W1455" s="37"/>
      <c r="X1455" s="25"/>
      <c r="Y1455" s="25"/>
      <c r="Z1455" s="25"/>
      <c r="AA1455" s="25"/>
      <c r="AB1455" s="25"/>
      <c r="AC1455" s="25"/>
      <c r="AD1455" s="25"/>
      <c r="AE1455" s="25"/>
      <c r="AF1455" s="25"/>
      <c r="AG1455" s="25"/>
      <c r="AH1455" s="25"/>
      <c r="AI1455" s="25"/>
      <c r="AJ1455" s="25"/>
      <c r="AK1455" s="25"/>
      <c r="AL1455" s="25"/>
      <c r="AM1455" s="25"/>
    </row>
    <row r="1456">
      <c r="A1456" s="24"/>
      <c r="B1456" s="13"/>
      <c r="C1456" s="62"/>
      <c r="D1456" s="14"/>
      <c r="E1456" s="15"/>
      <c r="F1456" s="16"/>
      <c r="G1456" s="17" t="str">
        <f t="shared" si="61"/>
        <v/>
      </c>
      <c r="H1456" s="18" t="str">
        <f t="shared" si="73"/>
        <v/>
      </c>
      <c r="I1456" s="19" t="str">
        <f t="shared" si="65"/>
        <v/>
      </c>
      <c r="J1456" s="20" t="str">
        <f t="shared" si="25"/>
        <v/>
      </c>
      <c r="K1456" s="20"/>
      <c r="L1456" s="20"/>
      <c r="M1456" s="20"/>
      <c r="N1456" s="21"/>
      <c r="O1456" s="22" t="str">
        <f>IFERROR(__xludf.DUMMYFUNCTION("IFERROR(
  VLOOKUP(C1456,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C1456
    ), 
    7, FALSE
  ), 
  """"
)
"),"")</f>
        <v/>
      </c>
      <c r="P1456" s="22"/>
      <c r="Q1456" s="23" t="str">
        <f t="shared" si="4"/>
        <v/>
      </c>
      <c r="R1456" s="20"/>
      <c r="S1456" s="18"/>
      <c r="T1456" s="24"/>
      <c r="U1456" s="24"/>
      <c r="V1456" s="24"/>
      <c r="W1456" s="24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</row>
    <row r="1457">
      <c r="A1457" s="37"/>
      <c r="B1457" s="25"/>
      <c r="C1457" s="60"/>
      <c r="D1457" s="27"/>
      <c r="E1457" s="28"/>
      <c r="F1457" s="29"/>
      <c r="G1457" s="30" t="str">
        <f t="shared" si="61"/>
        <v/>
      </c>
      <c r="H1457" s="31" t="str">
        <f t="shared" si="73"/>
        <v/>
      </c>
      <c r="I1457" s="32" t="str">
        <f t="shared" si="65"/>
        <v/>
      </c>
      <c r="J1457" s="33" t="str">
        <f t="shared" si="25"/>
        <v/>
      </c>
      <c r="K1457" s="33"/>
      <c r="L1457" s="33"/>
      <c r="M1457" s="33"/>
      <c r="N1457" s="34"/>
      <c r="O1457" s="35" t="str">
        <f>IFERROR(__xludf.DUMMYFUNCTION("IFERROR(
  VLOOKUP(C1457,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C1457
    ), 
    7, FALSE
  ), 
  """"
)
"),"")</f>
        <v/>
      </c>
      <c r="P1457" s="35"/>
      <c r="Q1457" s="36" t="str">
        <f t="shared" si="4"/>
        <v/>
      </c>
      <c r="R1457" s="33"/>
      <c r="S1457" s="31"/>
      <c r="T1457" s="37"/>
      <c r="U1457" s="37"/>
      <c r="V1457" s="37"/>
      <c r="W1457" s="37"/>
      <c r="X1457" s="25"/>
      <c r="Y1457" s="25"/>
      <c r="Z1457" s="25"/>
      <c r="AA1457" s="25"/>
      <c r="AB1457" s="25"/>
      <c r="AC1457" s="25"/>
      <c r="AD1457" s="25"/>
      <c r="AE1457" s="25"/>
      <c r="AF1457" s="25"/>
      <c r="AG1457" s="25"/>
      <c r="AH1457" s="25"/>
      <c r="AI1457" s="25"/>
      <c r="AJ1457" s="25"/>
      <c r="AK1457" s="25"/>
      <c r="AL1457" s="25"/>
      <c r="AM1457" s="25"/>
    </row>
    <row r="1458">
      <c r="A1458" s="24"/>
      <c r="B1458" s="13"/>
      <c r="C1458" s="62"/>
      <c r="D1458" s="14"/>
      <c r="E1458" s="15"/>
      <c r="F1458" s="16"/>
      <c r="G1458" s="17" t="str">
        <f t="shared" si="61"/>
        <v/>
      </c>
      <c r="H1458" s="18" t="str">
        <f t="shared" si="73"/>
        <v/>
      </c>
      <c r="I1458" s="19" t="str">
        <f t="shared" si="65"/>
        <v/>
      </c>
      <c r="J1458" s="20" t="str">
        <f t="shared" si="25"/>
        <v/>
      </c>
      <c r="K1458" s="20"/>
      <c r="L1458" s="20"/>
      <c r="M1458" s="20"/>
      <c r="N1458" s="21"/>
      <c r="O1458" s="22" t="str">
        <f>IFERROR(__xludf.DUMMYFUNCTION("IFERROR(
  VLOOKUP(C1458,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C1458
    ), 
    7, FALSE
  ), 
  """"
)
"),"")</f>
        <v/>
      </c>
      <c r="P1458" s="22"/>
      <c r="Q1458" s="23" t="str">
        <f t="shared" si="4"/>
        <v/>
      </c>
      <c r="R1458" s="20"/>
      <c r="S1458" s="18"/>
      <c r="T1458" s="24"/>
      <c r="U1458" s="24"/>
      <c r="V1458" s="24"/>
      <c r="W1458" s="24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</row>
    <row r="1459">
      <c r="A1459" s="37"/>
      <c r="B1459" s="25"/>
      <c r="C1459" s="60"/>
      <c r="D1459" s="27"/>
      <c r="E1459" s="28"/>
      <c r="F1459" s="29"/>
      <c r="G1459" s="30" t="str">
        <f t="shared" si="61"/>
        <v/>
      </c>
      <c r="H1459" s="31" t="str">
        <f t="shared" si="73"/>
        <v/>
      </c>
      <c r="I1459" s="32" t="str">
        <f t="shared" si="65"/>
        <v/>
      </c>
      <c r="J1459" s="33" t="str">
        <f t="shared" si="25"/>
        <v/>
      </c>
      <c r="K1459" s="33"/>
      <c r="L1459" s="33"/>
      <c r="M1459" s="33"/>
      <c r="N1459" s="34"/>
      <c r="O1459" s="35" t="str">
        <f>IFERROR(__xludf.DUMMYFUNCTION("IFERROR(
  VLOOKUP(C1459,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C1459
    ), 
    7, FALSE
  ), 
  """"
)
"),"")</f>
        <v/>
      </c>
      <c r="P1459" s="35"/>
      <c r="Q1459" s="36" t="str">
        <f t="shared" si="4"/>
        <v/>
      </c>
      <c r="R1459" s="33"/>
      <c r="S1459" s="31"/>
      <c r="T1459" s="37"/>
      <c r="U1459" s="37"/>
      <c r="V1459" s="37"/>
      <c r="W1459" s="37"/>
      <c r="X1459" s="25"/>
      <c r="Y1459" s="25"/>
      <c r="Z1459" s="25"/>
      <c r="AA1459" s="25"/>
      <c r="AB1459" s="25"/>
      <c r="AC1459" s="25"/>
      <c r="AD1459" s="25"/>
      <c r="AE1459" s="25"/>
      <c r="AF1459" s="25"/>
      <c r="AG1459" s="25"/>
      <c r="AH1459" s="25"/>
      <c r="AI1459" s="25"/>
      <c r="AJ1459" s="25"/>
      <c r="AK1459" s="25"/>
      <c r="AL1459" s="25"/>
      <c r="AM1459" s="25"/>
    </row>
    <row r="1460">
      <c r="A1460" s="24"/>
      <c r="B1460" s="13"/>
      <c r="C1460" s="62"/>
      <c r="D1460" s="14"/>
      <c r="E1460" s="15"/>
      <c r="F1460" s="16"/>
      <c r="G1460" s="17" t="str">
        <f t="shared" si="61"/>
        <v/>
      </c>
      <c r="H1460" s="18" t="str">
        <f t="shared" si="73"/>
        <v/>
      </c>
      <c r="I1460" s="19" t="str">
        <f t="shared" si="65"/>
        <v/>
      </c>
      <c r="J1460" s="20" t="str">
        <f t="shared" si="25"/>
        <v/>
      </c>
      <c r="K1460" s="20"/>
      <c r="L1460" s="20"/>
      <c r="M1460" s="20"/>
      <c r="N1460" s="21"/>
      <c r="O1460" s="22" t="str">
        <f>IFERROR(__xludf.DUMMYFUNCTION("IFERROR(
  VLOOKUP(C1460,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C1460
    ), 
    7, FALSE
  ), 
  """"
)
"),"")</f>
        <v/>
      </c>
      <c r="P1460" s="22"/>
      <c r="Q1460" s="23" t="str">
        <f t="shared" si="4"/>
        <v/>
      </c>
      <c r="R1460" s="20"/>
      <c r="S1460" s="18"/>
      <c r="T1460" s="24"/>
      <c r="U1460" s="24"/>
      <c r="V1460" s="24"/>
      <c r="W1460" s="24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</row>
    <row r="1461">
      <c r="A1461" s="37"/>
      <c r="B1461" s="25"/>
      <c r="C1461" s="60"/>
      <c r="D1461" s="27"/>
      <c r="E1461" s="28"/>
      <c r="F1461" s="29"/>
      <c r="G1461" s="30" t="str">
        <f t="shared" si="61"/>
        <v/>
      </c>
      <c r="H1461" s="31" t="str">
        <f t="shared" si="73"/>
        <v/>
      </c>
      <c r="I1461" s="32" t="str">
        <f t="shared" si="65"/>
        <v/>
      </c>
      <c r="J1461" s="33" t="str">
        <f t="shared" si="25"/>
        <v/>
      </c>
      <c r="K1461" s="33"/>
      <c r="L1461" s="33"/>
      <c r="M1461" s="33"/>
      <c r="N1461" s="34"/>
      <c r="O1461" s="35" t="str">
        <f>IFERROR(__xludf.DUMMYFUNCTION("IFERROR(
  VLOOKUP(C1461,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C1461
    ), 
    7, FALSE
  ), 
  """"
)
"),"")</f>
        <v/>
      </c>
      <c r="P1461" s="35"/>
      <c r="Q1461" s="36" t="str">
        <f t="shared" si="4"/>
        <v/>
      </c>
      <c r="R1461" s="33"/>
      <c r="S1461" s="31"/>
      <c r="T1461" s="37"/>
      <c r="U1461" s="37"/>
      <c r="V1461" s="37"/>
      <c r="W1461" s="37"/>
      <c r="X1461" s="25"/>
      <c r="Y1461" s="25"/>
      <c r="Z1461" s="25"/>
      <c r="AA1461" s="25"/>
      <c r="AB1461" s="25"/>
      <c r="AC1461" s="25"/>
      <c r="AD1461" s="25"/>
      <c r="AE1461" s="25"/>
      <c r="AF1461" s="25"/>
      <c r="AG1461" s="25"/>
      <c r="AH1461" s="25"/>
      <c r="AI1461" s="25"/>
      <c r="AJ1461" s="25"/>
      <c r="AK1461" s="25"/>
      <c r="AL1461" s="25"/>
      <c r="AM1461" s="25"/>
    </row>
    <row r="1462">
      <c r="A1462" s="24"/>
      <c r="B1462" s="13"/>
      <c r="C1462" s="62"/>
      <c r="D1462" s="14"/>
      <c r="E1462" s="15"/>
      <c r="F1462" s="16"/>
      <c r="G1462" s="17" t="str">
        <f t="shared" si="61"/>
        <v/>
      </c>
      <c r="H1462" s="18" t="str">
        <f t="shared" si="73"/>
        <v/>
      </c>
      <c r="I1462" s="19" t="str">
        <f t="shared" si="65"/>
        <v/>
      </c>
      <c r="J1462" s="20" t="str">
        <f t="shared" si="25"/>
        <v/>
      </c>
      <c r="K1462" s="20"/>
      <c r="L1462" s="20"/>
      <c r="M1462" s="20"/>
      <c r="N1462" s="21"/>
      <c r="O1462" s="22" t="str">
        <f>IFERROR(__xludf.DUMMYFUNCTION("IFERROR(
  VLOOKUP(C1462,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C1462
    ), 
    7, FALSE
  ), 
  """"
)
"),"")</f>
        <v/>
      </c>
      <c r="P1462" s="22"/>
      <c r="Q1462" s="23" t="str">
        <f t="shared" si="4"/>
        <v/>
      </c>
      <c r="R1462" s="20"/>
      <c r="S1462" s="18"/>
      <c r="T1462" s="24"/>
      <c r="U1462" s="24"/>
      <c r="V1462" s="24"/>
      <c r="W1462" s="24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</row>
    <row r="1463">
      <c r="A1463" s="37"/>
      <c r="B1463" s="25"/>
      <c r="C1463" s="60"/>
      <c r="D1463" s="27"/>
      <c r="E1463" s="28"/>
      <c r="F1463" s="29"/>
      <c r="G1463" s="30" t="str">
        <f t="shared" si="61"/>
        <v/>
      </c>
      <c r="H1463" s="31" t="str">
        <f t="shared" si="73"/>
        <v/>
      </c>
      <c r="I1463" s="32" t="str">
        <f t="shared" si="65"/>
        <v/>
      </c>
      <c r="J1463" s="33" t="str">
        <f t="shared" si="25"/>
        <v/>
      </c>
      <c r="K1463" s="33"/>
      <c r="L1463" s="33"/>
      <c r="M1463" s="33"/>
      <c r="N1463" s="34"/>
      <c r="O1463" s="35" t="str">
        <f>IFERROR(__xludf.DUMMYFUNCTION("IFERROR(
  VLOOKUP(C1463,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C1463
    ), 
    7, FALSE
  ), 
  """"
)
"),"")</f>
        <v/>
      </c>
      <c r="P1463" s="35"/>
      <c r="Q1463" s="36" t="str">
        <f t="shared" si="4"/>
        <v/>
      </c>
      <c r="R1463" s="33"/>
      <c r="S1463" s="31"/>
      <c r="T1463" s="37"/>
      <c r="U1463" s="37"/>
      <c r="V1463" s="37"/>
      <c r="W1463" s="37"/>
      <c r="X1463" s="25"/>
      <c r="Y1463" s="25"/>
      <c r="Z1463" s="25"/>
      <c r="AA1463" s="25"/>
      <c r="AB1463" s="25"/>
      <c r="AC1463" s="25"/>
      <c r="AD1463" s="25"/>
      <c r="AE1463" s="25"/>
      <c r="AF1463" s="25"/>
      <c r="AG1463" s="25"/>
      <c r="AH1463" s="25"/>
      <c r="AI1463" s="25"/>
      <c r="AJ1463" s="25"/>
      <c r="AK1463" s="25"/>
      <c r="AL1463" s="25"/>
      <c r="AM1463" s="25"/>
    </row>
    <row r="1464">
      <c r="A1464" s="24"/>
      <c r="B1464" s="13"/>
      <c r="C1464" s="62"/>
      <c r="D1464" s="14"/>
      <c r="E1464" s="15"/>
      <c r="F1464" s="16"/>
      <c r="G1464" s="17" t="str">
        <f t="shared" si="61"/>
        <v/>
      </c>
      <c r="H1464" s="18" t="str">
        <f t="shared" si="73"/>
        <v/>
      </c>
      <c r="I1464" s="19" t="str">
        <f t="shared" si="65"/>
        <v/>
      </c>
      <c r="J1464" s="20" t="str">
        <f t="shared" si="25"/>
        <v/>
      </c>
      <c r="K1464" s="20"/>
      <c r="L1464" s="20"/>
      <c r="M1464" s="20"/>
      <c r="N1464" s="21"/>
      <c r="O1464" s="22" t="str">
        <f>IFERROR(__xludf.DUMMYFUNCTION("IFERROR(
  VLOOKUP(C1464,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C1464
    ), 
    7, FALSE
  ), 
  """"
)
"),"")</f>
        <v/>
      </c>
      <c r="P1464" s="22"/>
      <c r="Q1464" s="23" t="str">
        <f t="shared" si="4"/>
        <v/>
      </c>
      <c r="R1464" s="20"/>
      <c r="S1464" s="18"/>
      <c r="T1464" s="24"/>
      <c r="U1464" s="24"/>
      <c r="V1464" s="24"/>
      <c r="W1464" s="24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</row>
    <row r="1465">
      <c r="A1465" s="37"/>
      <c r="B1465" s="25"/>
      <c r="C1465" s="60"/>
      <c r="D1465" s="27"/>
      <c r="E1465" s="28"/>
      <c r="F1465" s="29"/>
      <c r="G1465" s="30" t="str">
        <f t="shared" si="61"/>
        <v/>
      </c>
      <c r="H1465" s="31" t="str">
        <f t="shared" si="73"/>
        <v/>
      </c>
      <c r="I1465" s="32" t="str">
        <f t="shared" si="65"/>
        <v/>
      </c>
      <c r="J1465" s="33" t="str">
        <f t="shared" si="25"/>
        <v/>
      </c>
      <c r="K1465" s="33"/>
      <c r="L1465" s="33"/>
      <c r="M1465" s="33"/>
      <c r="N1465" s="34"/>
      <c r="O1465" s="35" t="str">
        <f>IFERROR(__xludf.DUMMYFUNCTION("IFERROR(
  VLOOKUP(C1465,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C1465
    ), 
    7, FALSE
  ), 
  """"
)
"),"")</f>
        <v/>
      </c>
      <c r="P1465" s="35"/>
      <c r="Q1465" s="36" t="str">
        <f t="shared" si="4"/>
        <v/>
      </c>
      <c r="R1465" s="33"/>
      <c r="S1465" s="31"/>
      <c r="T1465" s="37"/>
      <c r="U1465" s="37"/>
      <c r="V1465" s="37"/>
      <c r="W1465" s="37"/>
      <c r="X1465" s="25"/>
      <c r="Y1465" s="25"/>
      <c r="Z1465" s="25"/>
      <c r="AA1465" s="25"/>
      <c r="AB1465" s="25"/>
      <c r="AC1465" s="25"/>
      <c r="AD1465" s="25"/>
      <c r="AE1465" s="25"/>
      <c r="AF1465" s="25"/>
      <c r="AG1465" s="25"/>
      <c r="AH1465" s="25"/>
      <c r="AI1465" s="25"/>
      <c r="AJ1465" s="25"/>
      <c r="AK1465" s="25"/>
      <c r="AL1465" s="25"/>
      <c r="AM1465" s="25"/>
    </row>
    <row r="1466">
      <c r="A1466" s="24"/>
      <c r="B1466" s="13"/>
      <c r="C1466" s="62"/>
      <c r="D1466" s="14"/>
      <c r="E1466" s="15"/>
      <c r="F1466" s="16"/>
      <c r="G1466" s="17" t="str">
        <f t="shared" si="61"/>
        <v/>
      </c>
      <c r="H1466" s="18" t="str">
        <f t="shared" si="73"/>
        <v/>
      </c>
      <c r="I1466" s="19" t="str">
        <f t="shared" si="65"/>
        <v/>
      </c>
      <c r="J1466" s="20" t="str">
        <f t="shared" si="25"/>
        <v/>
      </c>
      <c r="K1466" s="20"/>
      <c r="L1466" s="20"/>
      <c r="M1466" s="20"/>
      <c r="N1466" s="21"/>
      <c r="O1466" s="22" t="str">
        <f>IFERROR(__xludf.DUMMYFUNCTION("IFERROR(
  VLOOKUP(C1466,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C1466
    ), 
    7, FALSE
  ), 
  """"
)
"),"")</f>
        <v/>
      </c>
      <c r="P1466" s="22"/>
      <c r="Q1466" s="23" t="str">
        <f t="shared" si="4"/>
        <v/>
      </c>
      <c r="R1466" s="20"/>
      <c r="S1466" s="18"/>
      <c r="T1466" s="24"/>
      <c r="U1466" s="24"/>
      <c r="V1466" s="24"/>
      <c r="W1466" s="24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</row>
    <row r="1467">
      <c r="A1467" s="37"/>
      <c r="B1467" s="25"/>
      <c r="C1467" s="60"/>
      <c r="D1467" s="27"/>
      <c r="E1467" s="28"/>
      <c r="F1467" s="29"/>
      <c r="G1467" s="30" t="str">
        <f t="shared" si="61"/>
        <v/>
      </c>
      <c r="H1467" s="31" t="str">
        <f t="shared" si="73"/>
        <v/>
      </c>
      <c r="I1467" s="32" t="str">
        <f t="shared" si="65"/>
        <v/>
      </c>
      <c r="J1467" s="33" t="str">
        <f t="shared" si="25"/>
        <v/>
      </c>
      <c r="K1467" s="33"/>
      <c r="L1467" s="33"/>
      <c r="M1467" s="33"/>
      <c r="N1467" s="34"/>
      <c r="O1467" s="35" t="str">
        <f>IFERROR(__xludf.DUMMYFUNCTION("IFERROR(
  VLOOKUP(C1467,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C1467
    ), 
    7, FALSE
  ), 
  """"
)
"),"")</f>
        <v/>
      </c>
      <c r="P1467" s="35"/>
      <c r="Q1467" s="36" t="str">
        <f t="shared" si="4"/>
        <v/>
      </c>
      <c r="R1467" s="33"/>
      <c r="S1467" s="31"/>
      <c r="T1467" s="37"/>
      <c r="U1467" s="37"/>
      <c r="V1467" s="37"/>
      <c r="W1467" s="37"/>
      <c r="X1467" s="25"/>
      <c r="Y1467" s="25"/>
      <c r="Z1467" s="25"/>
      <c r="AA1467" s="25"/>
      <c r="AB1467" s="25"/>
      <c r="AC1467" s="25"/>
      <c r="AD1467" s="25"/>
      <c r="AE1467" s="25"/>
      <c r="AF1467" s="25"/>
      <c r="AG1467" s="25"/>
      <c r="AH1467" s="25"/>
      <c r="AI1467" s="25"/>
      <c r="AJ1467" s="25"/>
      <c r="AK1467" s="25"/>
      <c r="AL1467" s="25"/>
      <c r="AM1467" s="25"/>
    </row>
    <row r="1468">
      <c r="A1468" s="24"/>
      <c r="B1468" s="13"/>
      <c r="C1468" s="62"/>
      <c r="D1468" s="14"/>
      <c r="E1468" s="15"/>
      <c r="F1468" s="16"/>
      <c r="G1468" s="17" t="str">
        <f t="shared" si="61"/>
        <v/>
      </c>
      <c r="H1468" s="18" t="str">
        <f t="shared" si="73"/>
        <v/>
      </c>
      <c r="I1468" s="19" t="str">
        <f t="shared" si="65"/>
        <v/>
      </c>
      <c r="J1468" s="20" t="str">
        <f t="shared" si="25"/>
        <v/>
      </c>
      <c r="K1468" s="20"/>
      <c r="L1468" s="20"/>
      <c r="M1468" s="20"/>
      <c r="N1468" s="21"/>
      <c r="O1468" s="22" t="str">
        <f>IFERROR(__xludf.DUMMYFUNCTION("IFERROR(
  VLOOKUP(C1468,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C1468
    ), 
    7, FALSE
  ), 
  """"
)
"),"")</f>
        <v/>
      </c>
      <c r="P1468" s="22"/>
      <c r="Q1468" s="23" t="str">
        <f t="shared" si="4"/>
        <v/>
      </c>
      <c r="R1468" s="20"/>
      <c r="S1468" s="18"/>
      <c r="T1468" s="24"/>
      <c r="U1468" s="24"/>
      <c r="V1468" s="24"/>
      <c r="W1468" s="24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</row>
    <row r="1469">
      <c r="A1469" s="37"/>
      <c r="B1469" s="25"/>
      <c r="C1469" s="60"/>
      <c r="D1469" s="27"/>
      <c r="E1469" s="28"/>
      <c r="F1469" s="29"/>
      <c r="G1469" s="30" t="str">
        <f t="shared" si="61"/>
        <v/>
      </c>
      <c r="H1469" s="31" t="str">
        <f t="shared" si="73"/>
        <v/>
      </c>
      <c r="I1469" s="32" t="str">
        <f t="shared" si="65"/>
        <v/>
      </c>
      <c r="J1469" s="33" t="str">
        <f t="shared" si="25"/>
        <v/>
      </c>
      <c r="K1469" s="33"/>
      <c r="L1469" s="33"/>
      <c r="M1469" s="33"/>
      <c r="N1469" s="34"/>
      <c r="O1469" s="35" t="str">
        <f>IFERROR(__xludf.DUMMYFUNCTION("IFERROR(
  VLOOKUP(C1469,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C1469
    ), 
    7, FALSE
  ), 
  """"
)
"),"")</f>
        <v/>
      </c>
      <c r="P1469" s="35"/>
      <c r="Q1469" s="36" t="str">
        <f t="shared" si="4"/>
        <v/>
      </c>
      <c r="R1469" s="33"/>
      <c r="S1469" s="31"/>
      <c r="T1469" s="37"/>
      <c r="U1469" s="37"/>
      <c r="V1469" s="37"/>
      <c r="W1469" s="37"/>
      <c r="X1469" s="25"/>
      <c r="Y1469" s="25"/>
      <c r="Z1469" s="25"/>
      <c r="AA1469" s="25"/>
      <c r="AB1469" s="25"/>
      <c r="AC1469" s="25"/>
      <c r="AD1469" s="25"/>
      <c r="AE1469" s="25"/>
      <c r="AF1469" s="25"/>
      <c r="AG1469" s="25"/>
      <c r="AH1469" s="25"/>
      <c r="AI1469" s="25"/>
      <c r="AJ1469" s="25"/>
      <c r="AK1469" s="25"/>
      <c r="AL1469" s="25"/>
      <c r="AM1469" s="25"/>
    </row>
    <row r="1470">
      <c r="A1470" s="24"/>
      <c r="B1470" s="13"/>
      <c r="C1470" s="62"/>
      <c r="D1470" s="14"/>
      <c r="E1470" s="15"/>
      <c r="F1470" s="16"/>
      <c r="G1470" s="17" t="str">
        <f t="shared" si="61"/>
        <v/>
      </c>
      <c r="H1470" s="18" t="str">
        <f t="shared" si="73"/>
        <v/>
      </c>
      <c r="I1470" s="19" t="str">
        <f t="shared" si="65"/>
        <v/>
      </c>
      <c r="J1470" s="20" t="str">
        <f t="shared" si="25"/>
        <v/>
      </c>
      <c r="K1470" s="20"/>
      <c r="L1470" s="20"/>
      <c r="M1470" s="20"/>
      <c r="N1470" s="21"/>
      <c r="O1470" s="22" t="str">
        <f>IFERROR(__xludf.DUMMYFUNCTION("IFERROR(
  VLOOKUP(C1470,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C1470
    ), 
    7, FALSE
  ), 
  """"
)
"),"")</f>
        <v/>
      </c>
      <c r="P1470" s="22"/>
      <c r="Q1470" s="23" t="str">
        <f t="shared" si="4"/>
        <v/>
      </c>
      <c r="R1470" s="20"/>
      <c r="S1470" s="18"/>
      <c r="T1470" s="24"/>
      <c r="U1470" s="24"/>
      <c r="V1470" s="24"/>
      <c r="W1470" s="24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</row>
    <row r="1471">
      <c r="A1471" s="37"/>
      <c r="B1471" s="25"/>
      <c r="C1471" s="60"/>
      <c r="D1471" s="27"/>
      <c r="E1471" s="28"/>
      <c r="F1471" s="29"/>
      <c r="G1471" s="30" t="str">
        <f t="shared" si="61"/>
        <v/>
      </c>
      <c r="H1471" s="31" t="str">
        <f t="shared" si="73"/>
        <v/>
      </c>
      <c r="I1471" s="32" t="str">
        <f t="shared" si="65"/>
        <v/>
      </c>
      <c r="J1471" s="33" t="str">
        <f t="shared" si="25"/>
        <v/>
      </c>
      <c r="K1471" s="33"/>
      <c r="L1471" s="33"/>
      <c r="M1471" s="33"/>
      <c r="N1471" s="34"/>
      <c r="O1471" s="35" t="str">
        <f>IFERROR(__xludf.DUMMYFUNCTION("IFERROR(
  VLOOKUP(C1471,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C1471
    ), 
    7, FALSE
  ), 
  """"
)
"),"")</f>
        <v/>
      </c>
      <c r="P1471" s="35"/>
      <c r="Q1471" s="36" t="str">
        <f t="shared" si="4"/>
        <v/>
      </c>
      <c r="R1471" s="33"/>
      <c r="S1471" s="31"/>
      <c r="T1471" s="37"/>
      <c r="U1471" s="37"/>
      <c r="V1471" s="37"/>
      <c r="W1471" s="37"/>
      <c r="X1471" s="25"/>
      <c r="Y1471" s="25"/>
      <c r="Z1471" s="25"/>
      <c r="AA1471" s="25"/>
      <c r="AB1471" s="25"/>
      <c r="AC1471" s="25"/>
      <c r="AD1471" s="25"/>
      <c r="AE1471" s="25"/>
      <c r="AF1471" s="25"/>
      <c r="AG1471" s="25"/>
      <c r="AH1471" s="25"/>
      <c r="AI1471" s="25"/>
      <c r="AJ1471" s="25"/>
      <c r="AK1471" s="25"/>
      <c r="AL1471" s="25"/>
      <c r="AM1471" s="25"/>
    </row>
    <row r="1472">
      <c r="A1472" s="24"/>
      <c r="B1472" s="13"/>
      <c r="C1472" s="62"/>
      <c r="D1472" s="14"/>
      <c r="E1472" s="15"/>
      <c r="F1472" s="16"/>
      <c r="G1472" s="17" t="str">
        <f t="shared" si="61"/>
        <v/>
      </c>
      <c r="H1472" s="18" t="str">
        <f t="shared" si="73"/>
        <v/>
      </c>
      <c r="I1472" s="19" t="str">
        <f t="shared" si="65"/>
        <v/>
      </c>
      <c r="J1472" s="20" t="str">
        <f t="shared" si="25"/>
        <v/>
      </c>
      <c r="K1472" s="20"/>
      <c r="L1472" s="20"/>
      <c r="M1472" s="20"/>
      <c r="N1472" s="21"/>
      <c r="O1472" s="22" t="str">
        <f>IFERROR(__xludf.DUMMYFUNCTION("IFERROR(
  VLOOKUP(C1472,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C1472
    ), 
    7, FALSE
  ), 
  """"
)
"),"")</f>
        <v/>
      </c>
      <c r="P1472" s="22"/>
      <c r="Q1472" s="23" t="str">
        <f t="shared" si="4"/>
        <v/>
      </c>
      <c r="R1472" s="20"/>
      <c r="S1472" s="18"/>
      <c r="T1472" s="24"/>
      <c r="U1472" s="24"/>
      <c r="V1472" s="24"/>
      <c r="W1472" s="24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</row>
    <row r="1473">
      <c r="A1473" s="37"/>
      <c r="B1473" s="25"/>
      <c r="C1473" s="60"/>
      <c r="D1473" s="27"/>
      <c r="E1473" s="28"/>
      <c r="F1473" s="29"/>
      <c r="G1473" s="30" t="str">
        <f t="shared" si="61"/>
        <v/>
      </c>
      <c r="H1473" s="31" t="str">
        <f t="shared" si="73"/>
        <v/>
      </c>
      <c r="I1473" s="32" t="str">
        <f t="shared" si="65"/>
        <v/>
      </c>
      <c r="J1473" s="33" t="str">
        <f t="shared" si="25"/>
        <v/>
      </c>
      <c r="K1473" s="33"/>
      <c r="L1473" s="33"/>
      <c r="M1473" s="33"/>
      <c r="N1473" s="34"/>
      <c r="O1473" s="35" t="str">
        <f>IFERROR(__xludf.DUMMYFUNCTION("IFERROR(
  VLOOKUP(C1473,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C1473
    ), 
    7, FALSE
  ), 
  """"
)
"),"")</f>
        <v/>
      </c>
      <c r="P1473" s="35"/>
      <c r="Q1473" s="36" t="str">
        <f t="shared" si="4"/>
        <v/>
      </c>
      <c r="R1473" s="33"/>
      <c r="S1473" s="31"/>
      <c r="T1473" s="37"/>
      <c r="U1473" s="37"/>
      <c r="V1473" s="37"/>
      <c r="W1473" s="37"/>
      <c r="X1473" s="25"/>
      <c r="Y1473" s="25"/>
      <c r="Z1473" s="25"/>
      <c r="AA1473" s="25"/>
      <c r="AB1473" s="25"/>
      <c r="AC1473" s="25"/>
      <c r="AD1473" s="25"/>
      <c r="AE1473" s="25"/>
      <c r="AF1473" s="25"/>
      <c r="AG1473" s="25"/>
      <c r="AH1473" s="25"/>
      <c r="AI1473" s="25"/>
      <c r="AJ1473" s="25"/>
      <c r="AK1473" s="25"/>
      <c r="AL1473" s="25"/>
      <c r="AM1473" s="25"/>
    </row>
    <row r="1474">
      <c r="A1474" s="24"/>
      <c r="B1474" s="13"/>
      <c r="C1474" s="62"/>
      <c r="D1474" s="14"/>
      <c r="E1474" s="15"/>
      <c r="F1474" s="16"/>
      <c r="G1474" s="17" t="str">
        <f t="shared" si="61"/>
        <v/>
      </c>
      <c r="H1474" s="18" t="str">
        <f t="shared" si="73"/>
        <v/>
      </c>
      <c r="I1474" s="19" t="str">
        <f t="shared" si="65"/>
        <v/>
      </c>
      <c r="J1474" s="20" t="str">
        <f t="shared" si="25"/>
        <v/>
      </c>
      <c r="K1474" s="20"/>
      <c r="L1474" s="20"/>
      <c r="M1474" s="20"/>
      <c r="N1474" s="21"/>
      <c r="O1474" s="22" t="str">
        <f>IFERROR(__xludf.DUMMYFUNCTION("IFERROR(
  VLOOKUP(C1474,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C1474
    ), 
    7, FALSE
  ), 
  """"
)
"),"")</f>
        <v/>
      </c>
      <c r="P1474" s="22"/>
      <c r="Q1474" s="23" t="str">
        <f t="shared" si="4"/>
        <v/>
      </c>
      <c r="R1474" s="20"/>
      <c r="S1474" s="18"/>
      <c r="T1474" s="24"/>
      <c r="U1474" s="24"/>
      <c r="V1474" s="24"/>
      <c r="W1474" s="24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</row>
    <row r="1475">
      <c r="A1475" s="37"/>
      <c r="B1475" s="25"/>
      <c r="C1475" s="60"/>
      <c r="D1475" s="27"/>
      <c r="E1475" s="28"/>
      <c r="F1475" s="29"/>
      <c r="G1475" s="30" t="str">
        <f t="shared" si="61"/>
        <v/>
      </c>
      <c r="H1475" s="31" t="str">
        <f t="shared" si="73"/>
        <v/>
      </c>
      <c r="I1475" s="32" t="str">
        <f t="shared" si="65"/>
        <v/>
      </c>
      <c r="J1475" s="33" t="str">
        <f t="shared" si="25"/>
        <v/>
      </c>
      <c r="K1475" s="33"/>
      <c r="L1475" s="33"/>
      <c r="M1475" s="33"/>
      <c r="N1475" s="34"/>
      <c r="O1475" s="35" t="str">
        <f>IFERROR(__xludf.DUMMYFUNCTION("IFERROR(
  VLOOKUP(C1475,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C1475
    ), 
    7, FALSE
  ), 
  """"
)
"),"")</f>
        <v/>
      </c>
      <c r="P1475" s="35"/>
      <c r="Q1475" s="36" t="str">
        <f t="shared" si="4"/>
        <v/>
      </c>
      <c r="R1475" s="33"/>
      <c r="S1475" s="31"/>
      <c r="T1475" s="37"/>
      <c r="U1475" s="37"/>
      <c r="V1475" s="37"/>
      <c r="W1475" s="37"/>
      <c r="X1475" s="25"/>
      <c r="Y1475" s="25"/>
      <c r="Z1475" s="25"/>
      <c r="AA1475" s="25"/>
      <c r="AB1475" s="25"/>
      <c r="AC1475" s="25"/>
      <c r="AD1475" s="25"/>
      <c r="AE1475" s="25"/>
      <c r="AF1475" s="25"/>
      <c r="AG1475" s="25"/>
      <c r="AH1475" s="25"/>
      <c r="AI1475" s="25"/>
      <c r="AJ1475" s="25"/>
      <c r="AK1475" s="25"/>
      <c r="AL1475" s="25"/>
      <c r="AM1475" s="25"/>
    </row>
    <row r="1476">
      <c r="A1476" s="24"/>
      <c r="B1476" s="13"/>
      <c r="C1476" s="62"/>
      <c r="D1476" s="14"/>
      <c r="E1476" s="15"/>
      <c r="F1476" s="16"/>
      <c r="G1476" s="17" t="str">
        <f t="shared" si="61"/>
        <v/>
      </c>
      <c r="H1476" s="18" t="str">
        <f t="shared" si="73"/>
        <v/>
      </c>
      <c r="I1476" s="19" t="str">
        <f t="shared" si="65"/>
        <v/>
      </c>
      <c r="J1476" s="20" t="str">
        <f t="shared" si="25"/>
        <v/>
      </c>
      <c r="K1476" s="20"/>
      <c r="L1476" s="20"/>
      <c r="M1476" s="20"/>
      <c r="N1476" s="21"/>
      <c r="O1476" s="22" t="str">
        <f>IFERROR(__xludf.DUMMYFUNCTION("IFERROR(
  VLOOKUP(C1476,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C1476
    ), 
    7, FALSE
  ), 
  """"
)
"),"")</f>
        <v/>
      </c>
      <c r="P1476" s="22"/>
      <c r="Q1476" s="23" t="str">
        <f t="shared" si="4"/>
        <v/>
      </c>
      <c r="R1476" s="20"/>
      <c r="S1476" s="18"/>
      <c r="T1476" s="24"/>
      <c r="U1476" s="24"/>
      <c r="V1476" s="24"/>
      <c r="W1476" s="24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</row>
    <row r="1477">
      <c r="A1477" s="37"/>
      <c r="B1477" s="25"/>
      <c r="C1477" s="60"/>
      <c r="D1477" s="27"/>
      <c r="E1477" s="28"/>
      <c r="F1477" s="29"/>
      <c r="G1477" s="30" t="str">
        <f t="shared" si="61"/>
        <v/>
      </c>
      <c r="H1477" s="31" t="str">
        <f t="shared" si="73"/>
        <v/>
      </c>
      <c r="I1477" s="32" t="str">
        <f t="shared" si="65"/>
        <v/>
      </c>
      <c r="J1477" s="33" t="str">
        <f t="shared" si="25"/>
        <v/>
      </c>
      <c r="K1477" s="33"/>
      <c r="L1477" s="33"/>
      <c r="M1477" s="33"/>
      <c r="N1477" s="34"/>
      <c r="O1477" s="35" t="str">
        <f>IFERROR(__xludf.DUMMYFUNCTION("IFERROR(
  VLOOKUP(C1477,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C1477
    ), 
    7, FALSE
  ), 
  """"
)
"),"")</f>
        <v/>
      </c>
      <c r="P1477" s="35"/>
      <c r="Q1477" s="36" t="str">
        <f t="shared" si="4"/>
        <v/>
      </c>
      <c r="R1477" s="33"/>
      <c r="S1477" s="31"/>
      <c r="T1477" s="37"/>
      <c r="U1477" s="37"/>
      <c r="V1477" s="37"/>
      <c r="W1477" s="37"/>
      <c r="X1477" s="25"/>
      <c r="Y1477" s="25"/>
      <c r="Z1477" s="25"/>
      <c r="AA1477" s="25"/>
      <c r="AB1477" s="25"/>
      <c r="AC1477" s="25"/>
      <c r="AD1477" s="25"/>
      <c r="AE1477" s="25"/>
      <c r="AF1477" s="25"/>
      <c r="AG1477" s="25"/>
      <c r="AH1477" s="25"/>
      <c r="AI1477" s="25"/>
      <c r="AJ1477" s="25"/>
      <c r="AK1477" s="25"/>
      <c r="AL1477" s="25"/>
      <c r="AM1477" s="25"/>
    </row>
    <row r="1478">
      <c r="A1478" s="24"/>
      <c r="B1478" s="13"/>
      <c r="C1478" s="62"/>
      <c r="D1478" s="14"/>
      <c r="E1478" s="15"/>
      <c r="F1478" s="16"/>
      <c r="G1478" s="17" t="str">
        <f t="shared" si="61"/>
        <v/>
      </c>
      <c r="H1478" s="18" t="str">
        <f t="shared" si="73"/>
        <v/>
      </c>
      <c r="I1478" s="19" t="str">
        <f t="shared" si="65"/>
        <v/>
      </c>
      <c r="J1478" s="20" t="str">
        <f t="shared" si="25"/>
        <v/>
      </c>
      <c r="K1478" s="20"/>
      <c r="L1478" s="20"/>
      <c r="M1478" s="20"/>
      <c r="N1478" s="21"/>
      <c r="O1478" s="22" t="str">
        <f>IFERROR(__xludf.DUMMYFUNCTION("IFERROR(
  VLOOKUP(C1478,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C1478
    ), 
    7, FALSE
  ), 
  """"
)
"),"")</f>
        <v/>
      </c>
      <c r="P1478" s="22"/>
      <c r="Q1478" s="23" t="str">
        <f t="shared" si="4"/>
        <v/>
      </c>
      <c r="R1478" s="20"/>
      <c r="S1478" s="18"/>
      <c r="T1478" s="24"/>
      <c r="U1478" s="24"/>
      <c r="V1478" s="24"/>
      <c r="W1478" s="24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</row>
    <row r="1479">
      <c r="A1479" s="37"/>
      <c r="B1479" s="25"/>
      <c r="C1479" s="60"/>
      <c r="D1479" s="27"/>
      <c r="E1479" s="28"/>
      <c r="F1479" s="29"/>
      <c r="G1479" s="30" t="str">
        <f t="shared" si="61"/>
        <v/>
      </c>
      <c r="H1479" s="31" t="str">
        <f t="shared" si="73"/>
        <v/>
      </c>
      <c r="I1479" s="32" t="str">
        <f t="shared" si="65"/>
        <v/>
      </c>
      <c r="J1479" s="33" t="str">
        <f t="shared" si="25"/>
        <v/>
      </c>
      <c r="K1479" s="33"/>
      <c r="L1479" s="33"/>
      <c r="M1479" s="33"/>
      <c r="N1479" s="34"/>
      <c r="O1479" s="35" t="str">
        <f>IFERROR(__xludf.DUMMYFUNCTION("IFERROR(
  VLOOKUP(C1479,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C1479
    ), 
    7, FALSE
  ), 
  """"
)
"),"")</f>
        <v/>
      </c>
      <c r="P1479" s="35"/>
      <c r="Q1479" s="36" t="str">
        <f t="shared" si="4"/>
        <v/>
      </c>
      <c r="R1479" s="33"/>
      <c r="S1479" s="31"/>
      <c r="T1479" s="37"/>
      <c r="U1479" s="37"/>
      <c r="V1479" s="37"/>
      <c r="W1479" s="37"/>
      <c r="X1479" s="25"/>
      <c r="Y1479" s="25"/>
      <c r="Z1479" s="25"/>
      <c r="AA1479" s="25"/>
      <c r="AB1479" s="25"/>
      <c r="AC1479" s="25"/>
      <c r="AD1479" s="25"/>
      <c r="AE1479" s="25"/>
      <c r="AF1479" s="25"/>
      <c r="AG1479" s="25"/>
      <c r="AH1479" s="25"/>
      <c r="AI1479" s="25"/>
      <c r="AJ1479" s="25"/>
      <c r="AK1479" s="25"/>
      <c r="AL1479" s="25"/>
      <c r="AM1479" s="25"/>
    </row>
    <row r="1480">
      <c r="A1480" s="24"/>
      <c r="B1480" s="13"/>
      <c r="C1480" s="62"/>
      <c r="D1480" s="14"/>
      <c r="E1480" s="15"/>
      <c r="F1480" s="16"/>
      <c r="G1480" s="17" t="str">
        <f t="shared" si="61"/>
        <v/>
      </c>
      <c r="H1480" s="18" t="str">
        <f t="shared" si="73"/>
        <v/>
      </c>
      <c r="I1480" s="19" t="str">
        <f t="shared" si="65"/>
        <v/>
      </c>
      <c r="J1480" s="20" t="str">
        <f t="shared" si="25"/>
        <v/>
      </c>
      <c r="K1480" s="20"/>
      <c r="L1480" s="20"/>
      <c r="M1480" s="20"/>
      <c r="N1480" s="21"/>
      <c r="O1480" s="22" t="str">
        <f>IFERROR(__xludf.DUMMYFUNCTION("IFERROR(
  VLOOKUP(C1480,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C1480
    ), 
    7, FALSE
  ), 
  """"
)
"),"")</f>
        <v/>
      </c>
      <c r="P1480" s="22"/>
      <c r="Q1480" s="23" t="str">
        <f t="shared" si="4"/>
        <v/>
      </c>
      <c r="R1480" s="20"/>
      <c r="S1480" s="18"/>
      <c r="T1480" s="24"/>
      <c r="U1480" s="24"/>
      <c r="V1480" s="24"/>
      <c r="W1480" s="24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</row>
    <row r="1481">
      <c r="A1481" s="37"/>
      <c r="B1481" s="25"/>
      <c r="C1481" s="60"/>
      <c r="D1481" s="27"/>
      <c r="E1481" s="28"/>
      <c r="F1481" s="29"/>
      <c r="G1481" s="30" t="str">
        <f t="shared" si="61"/>
        <v/>
      </c>
      <c r="H1481" s="31" t="str">
        <f t="shared" si="73"/>
        <v/>
      </c>
      <c r="I1481" s="32" t="str">
        <f t="shared" si="65"/>
        <v/>
      </c>
      <c r="J1481" s="33" t="str">
        <f t="shared" si="25"/>
        <v/>
      </c>
      <c r="K1481" s="33"/>
      <c r="L1481" s="33"/>
      <c r="M1481" s="33"/>
      <c r="N1481" s="34"/>
      <c r="O1481" s="35" t="str">
        <f>IFERROR(__xludf.DUMMYFUNCTION("IFERROR(
  VLOOKUP(C1481,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C1481
    ), 
    7, FALSE
  ), 
  """"
)
"),"")</f>
        <v/>
      </c>
      <c r="P1481" s="35"/>
      <c r="Q1481" s="36" t="str">
        <f t="shared" si="4"/>
        <v/>
      </c>
      <c r="R1481" s="33"/>
      <c r="S1481" s="31"/>
      <c r="T1481" s="37"/>
      <c r="U1481" s="37"/>
      <c r="V1481" s="37"/>
      <c r="W1481" s="37"/>
      <c r="X1481" s="25"/>
      <c r="Y1481" s="25"/>
      <c r="Z1481" s="25"/>
      <c r="AA1481" s="25"/>
      <c r="AB1481" s="25"/>
      <c r="AC1481" s="25"/>
      <c r="AD1481" s="25"/>
      <c r="AE1481" s="25"/>
      <c r="AF1481" s="25"/>
      <c r="AG1481" s="25"/>
      <c r="AH1481" s="25"/>
      <c r="AI1481" s="25"/>
      <c r="AJ1481" s="25"/>
      <c r="AK1481" s="25"/>
      <c r="AL1481" s="25"/>
      <c r="AM1481" s="25"/>
    </row>
    <row r="1482">
      <c r="A1482" s="24"/>
      <c r="B1482" s="13"/>
      <c r="C1482" s="62"/>
      <c r="D1482" s="14"/>
      <c r="E1482" s="15"/>
      <c r="F1482" s="16"/>
      <c r="G1482" s="17" t="str">
        <f t="shared" si="61"/>
        <v/>
      </c>
      <c r="H1482" s="18" t="str">
        <f t="shared" si="73"/>
        <v/>
      </c>
      <c r="I1482" s="19" t="str">
        <f t="shared" si="65"/>
        <v/>
      </c>
      <c r="J1482" s="20" t="str">
        <f t="shared" si="25"/>
        <v/>
      </c>
      <c r="K1482" s="20"/>
      <c r="L1482" s="20"/>
      <c r="M1482" s="20"/>
      <c r="N1482" s="21"/>
      <c r="O1482" s="22" t="str">
        <f>IFERROR(__xludf.DUMMYFUNCTION("IFERROR(
  VLOOKUP(C1482,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C1482
    ), 
    7, FALSE
  ), 
  """"
)
"),"")</f>
        <v/>
      </c>
      <c r="P1482" s="22"/>
      <c r="Q1482" s="23" t="str">
        <f t="shared" si="4"/>
        <v/>
      </c>
      <c r="R1482" s="20"/>
      <c r="S1482" s="18"/>
      <c r="T1482" s="24"/>
      <c r="U1482" s="24"/>
      <c r="V1482" s="24"/>
      <c r="W1482" s="24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</row>
    <row r="1483">
      <c r="A1483" s="37"/>
      <c r="B1483" s="25"/>
      <c r="C1483" s="60"/>
      <c r="D1483" s="27"/>
      <c r="E1483" s="28"/>
      <c r="F1483" s="29"/>
      <c r="G1483" s="30" t="str">
        <f t="shared" si="61"/>
        <v/>
      </c>
      <c r="H1483" s="31" t="str">
        <f t="shared" si="73"/>
        <v/>
      </c>
      <c r="I1483" s="32" t="str">
        <f t="shared" si="65"/>
        <v/>
      </c>
      <c r="J1483" s="33" t="str">
        <f t="shared" si="25"/>
        <v/>
      </c>
      <c r="K1483" s="33"/>
      <c r="L1483" s="33"/>
      <c r="M1483" s="33"/>
      <c r="N1483" s="34"/>
      <c r="O1483" s="35" t="str">
        <f>IFERROR(__xludf.DUMMYFUNCTION("IFERROR(
  VLOOKUP(C1483,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C1483
    ), 
    7, FALSE
  ), 
  """"
)
"),"")</f>
        <v/>
      </c>
      <c r="P1483" s="35"/>
      <c r="Q1483" s="36" t="str">
        <f t="shared" si="4"/>
        <v/>
      </c>
      <c r="R1483" s="33"/>
      <c r="S1483" s="31"/>
      <c r="T1483" s="37"/>
      <c r="U1483" s="37"/>
      <c r="V1483" s="37"/>
      <c r="W1483" s="37"/>
      <c r="X1483" s="25"/>
      <c r="Y1483" s="25"/>
      <c r="Z1483" s="25"/>
      <c r="AA1483" s="25"/>
      <c r="AB1483" s="25"/>
      <c r="AC1483" s="25"/>
      <c r="AD1483" s="25"/>
      <c r="AE1483" s="25"/>
      <c r="AF1483" s="25"/>
      <c r="AG1483" s="25"/>
      <c r="AH1483" s="25"/>
      <c r="AI1483" s="25"/>
      <c r="AJ1483" s="25"/>
      <c r="AK1483" s="25"/>
      <c r="AL1483" s="25"/>
      <c r="AM1483" s="25"/>
    </row>
    <row r="1484">
      <c r="A1484" s="24"/>
      <c r="B1484" s="13"/>
      <c r="C1484" s="62"/>
      <c r="D1484" s="14"/>
      <c r="E1484" s="15"/>
      <c r="F1484" s="16"/>
      <c r="G1484" s="17" t="str">
        <f t="shared" si="61"/>
        <v/>
      </c>
      <c r="H1484" s="18" t="str">
        <f t="shared" si="73"/>
        <v/>
      </c>
      <c r="I1484" s="19" t="str">
        <f t="shared" si="65"/>
        <v/>
      </c>
      <c r="J1484" s="20" t="str">
        <f t="shared" si="25"/>
        <v/>
      </c>
      <c r="K1484" s="20"/>
      <c r="L1484" s="20"/>
      <c r="M1484" s="20"/>
      <c r="N1484" s="21"/>
      <c r="O1484" s="22" t="str">
        <f>IFERROR(__xludf.DUMMYFUNCTION("IFERROR(
  VLOOKUP(C1484,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C1484
    ), 
    7, FALSE
  ), 
  """"
)
"),"")</f>
        <v/>
      </c>
      <c r="P1484" s="22"/>
      <c r="Q1484" s="23" t="str">
        <f t="shared" si="4"/>
        <v/>
      </c>
      <c r="R1484" s="20"/>
      <c r="S1484" s="18"/>
      <c r="T1484" s="24"/>
      <c r="U1484" s="24"/>
      <c r="V1484" s="24"/>
      <c r="W1484" s="24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</row>
    <row r="1485">
      <c r="A1485" s="37"/>
      <c r="B1485" s="25"/>
      <c r="C1485" s="60"/>
      <c r="D1485" s="27"/>
      <c r="E1485" s="28"/>
      <c r="F1485" s="29"/>
      <c r="G1485" s="30" t="str">
        <f t="shared" si="61"/>
        <v/>
      </c>
      <c r="H1485" s="31" t="str">
        <f t="shared" si="73"/>
        <v/>
      </c>
      <c r="I1485" s="32" t="str">
        <f t="shared" si="65"/>
        <v/>
      </c>
      <c r="J1485" s="33" t="str">
        <f t="shared" si="25"/>
        <v/>
      </c>
      <c r="K1485" s="33"/>
      <c r="L1485" s="33"/>
      <c r="M1485" s="33"/>
      <c r="N1485" s="34"/>
      <c r="O1485" s="35" t="str">
        <f>IFERROR(__xludf.DUMMYFUNCTION("IFERROR(
  VLOOKUP(C1485,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C1485
    ), 
    7, FALSE
  ), 
  """"
)
"),"")</f>
        <v/>
      </c>
      <c r="P1485" s="35"/>
      <c r="Q1485" s="36" t="str">
        <f t="shared" si="4"/>
        <v/>
      </c>
      <c r="R1485" s="33"/>
      <c r="S1485" s="31"/>
      <c r="T1485" s="37"/>
      <c r="U1485" s="37"/>
      <c r="V1485" s="37"/>
      <c r="W1485" s="37"/>
      <c r="X1485" s="25"/>
      <c r="Y1485" s="25"/>
      <c r="Z1485" s="25"/>
      <c r="AA1485" s="25"/>
      <c r="AB1485" s="25"/>
      <c r="AC1485" s="25"/>
      <c r="AD1485" s="25"/>
      <c r="AE1485" s="25"/>
      <c r="AF1485" s="25"/>
      <c r="AG1485" s="25"/>
      <c r="AH1485" s="25"/>
      <c r="AI1485" s="25"/>
      <c r="AJ1485" s="25"/>
      <c r="AK1485" s="25"/>
      <c r="AL1485" s="25"/>
      <c r="AM1485" s="25"/>
    </row>
    <row r="1486">
      <c r="A1486" s="24"/>
      <c r="B1486" s="13"/>
      <c r="C1486" s="62"/>
      <c r="D1486" s="14"/>
      <c r="E1486" s="15"/>
      <c r="F1486" s="16"/>
      <c r="G1486" s="17" t="str">
        <f t="shared" si="61"/>
        <v/>
      </c>
      <c r="H1486" s="18" t="str">
        <f t="shared" si="73"/>
        <v/>
      </c>
      <c r="I1486" s="19" t="str">
        <f t="shared" si="65"/>
        <v/>
      </c>
      <c r="J1486" s="20" t="str">
        <f t="shared" si="25"/>
        <v/>
      </c>
      <c r="K1486" s="20"/>
      <c r="L1486" s="20"/>
      <c r="M1486" s="20"/>
      <c r="N1486" s="21"/>
      <c r="O1486" s="22" t="str">
        <f>IFERROR(__xludf.DUMMYFUNCTION("IFERROR(
  VLOOKUP(C1486,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C1486
    ), 
    7, FALSE
  ), 
  """"
)
"),"")</f>
        <v/>
      </c>
      <c r="P1486" s="22"/>
      <c r="Q1486" s="23" t="str">
        <f t="shared" si="4"/>
        <v/>
      </c>
      <c r="R1486" s="20"/>
      <c r="S1486" s="18"/>
      <c r="T1486" s="24"/>
      <c r="U1486" s="24"/>
      <c r="V1486" s="24"/>
      <c r="W1486" s="24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</row>
    <row r="1487">
      <c r="A1487" s="37"/>
      <c r="B1487" s="25"/>
      <c r="C1487" s="60"/>
      <c r="D1487" s="27"/>
      <c r="E1487" s="28"/>
      <c r="F1487" s="29"/>
      <c r="G1487" s="30" t="str">
        <f t="shared" si="61"/>
        <v/>
      </c>
      <c r="H1487" s="31" t="str">
        <f t="shared" si="73"/>
        <v/>
      </c>
      <c r="I1487" s="32" t="str">
        <f t="shared" si="65"/>
        <v/>
      </c>
      <c r="J1487" s="33" t="str">
        <f t="shared" si="25"/>
        <v/>
      </c>
      <c r="K1487" s="33"/>
      <c r="L1487" s="33"/>
      <c r="M1487" s="33"/>
      <c r="N1487" s="34"/>
      <c r="O1487" s="35" t="str">
        <f>IFERROR(__xludf.DUMMYFUNCTION("IFERROR(
  VLOOKUP(C1487,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C1487
    ), 
    7, FALSE
  ), 
  """"
)
"),"")</f>
        <v/>
      </c>
      <c r="P1487" s="35"/>
      <c r="Q1487" s="36" t="str">
        <f t="shared" si="4"/>
        <v/>
      </c>
      <c r="R1487" s="33"/>
      <c r="S1487" s="31"/>
      <c r="T1487" s="37"/>
      <c r="U1487" s="37"/>
      <c r="V1487" s="37"/>
      <c r="W1487" s="37"/>
      <c r="X1487" s="25"/>
      <c r="Y1487" s="25"/>
      <c r="Z1487" s="25"/>
      <c r="AA1487" s="25"/>
      <c r="AB1487" s="25"/>
      <c r="AC1487" s="25"/>
      <c r="AD1487" s="25"/>
      <c r="AE1487" s="25"/>
      <c r="AF1487" s="25"/>
      <c r="AG1487" s="25"/>
      <c r="AH1487" s="25"/>
      <c r="AI1487" s="25"/>
      <c r="AJ1487" s="25"/>
      <c r="AK1487" s="25"/>
      <c r="AL1487" s="25"/>
      <c r="AM1487" s="25"/>
    </row>
    <row r="1488">
      <c r="A1488" s="24"/>
      <c r="B1488" s="13"/>
      <c r="C1488" s="62"/>
      <c r="D1488" s="14"/>
      <c r="E1488" s="15"/>
      <c r="F1488" s="16"/>
      <c r="G1488" s="17" t="str">
        <f t="shared" si="61"/>
        <v/>
      </c>
      <c r="H1488" s="18" t="str">
        <f t="shared" si="73"/>
        <v/>
      </c>
      <c r="I1488" s="19" t="str">
        <f t="shared" si="65"/>
        <v/>
      </c>
      <c r="J1488" s="20" t="str">
        <f t="shared" si="25"/>
        <v/>
      </c>
      <c r="K1488" s="20"/>
      <c r="L1488" s="20"/>
      <c r="M1488" s="20"/>
      <c r="N1488" s="21"/>
      <c r="O1488" s="22" t="str">
        <f>IFERROR(__xludf.DUMMYFUNCTION("IFERROR(
  VLOOKUP(C1488,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C1488
    ), 
    7, FALSE
  ), 
  """"
)
"),"")</f>
        <v/>
      </c>
      <c r="P1488" s="22"/>
      <c r="Q1488" s="23" t="str">
        <f t="shared" si="4"/>
        <v/>
      </c>
      <c r="R1488" s="20"/>
      <c r="S1488" s="18"/>
      <c r="T1488" s="24"/>
      <c r="U1488" s="24"/>
      <c r="V1488" s="24"/>
      <c r="W1488" s="24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</row>
    <row r="1489">
      <c r="A1489" s="37"/>
      <c r="B1489" s="25"/>
      <c r="C1489" s="60"/>
      <c r="D1489" s="27"/>
      <c r="E1489" s="28"/>
      <c r="F1489" s="29"/>
      <c r="G1489" s="30" t="str">
        <f t="shared" si="61"/>
        <v/>
      </c>
      <c r="H1489" s="31" t="str">
        <f t="shared" si="73"/>
        <v/>
      </c>
      <c r="I1489" s="32" t="str">
        <f t="shared" si="65"/>
        <v/>
      </c>
      <c r="J1489" s="33" t="str">
        <f t="shared" si="25"/>
        <v/>
      </c>
      <c r="K1489" s="33"/>
      <c r="L1489" s="33"/>
      <c r="M1489" s="33"/>
      <c r="N1489" s="34"/>
      <c r="O1489" s="35" t="str">
        <f>IFERROR(__xludf.DUMMYFUNCTION("IFERROR(
  VLOOKUP(C1489,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C1489
    ), 
    7, FALSE
  ), 
  """"
)
"),"")</f>
        <v/>
      </c>
      <c r="P1489" s="35"/>
      <c r="Q1489" s="36" t="str">
        <f t="shared" si="4"/>
        <v/>
      </c>
      <c r="R1489" s="33"/>
      <c r="S1489" s="31"/>
      <c r="T1489" s="37"/>
      <c r="U1489" s="37"/>
      <c r="V1489" s="37"/>
      <c r="W1489" s="37"/>
      <c r="X1489" s="25"/>
      <c r="Y1489" s="25"/>
      <c r="Z1489" s="25"/>
      <c r="AA1489" s="25"/>
      <c r="AB1489" s="25"/>
      <c r="AC1489" s="25"/>
      <c r="AD1489" s="25"/>
      <c r="AE1489" s="25"/>
      <c r="AF1489" s="25"/>
      <c r="AG1489" s="25"/>
      <c r="AH1489" s="25"/>
      <c r="AI1489" s="25"/>
      <c r="AJ1489" s="25"/>
      <c r="AK1489" s="25"/>
      <c r="AL1489" s="25"/>
      <c r="AM1489" s="25"/>
    </row>
    <row r="1490">
      <c r="A1490" s="24"/>
      <c r="B1490" s="13"/>
      <c r="C1490" s="62"/>
      <c r="D1490" s="14"/>
      <c r="E1490" s="15"/>
      <c r="F1490" s="16"/>
      <c r="G1490" s="17" t="str">
        <f t="shared" si="61"/>
        <v/>
      </c>
      <c r="H1490" s="18" t="str">
        <f t="shared" si="73"/>
        <v/>
      </c>
      <c r="I1490" s="19" t="str">
        <f t="shared" si="65"/>
        <v/>
      </c>
      <c r="J1490" s="20" t="str">
        <f t="shared" si="25"/>
        <v/>
      </c>
      <c r="K1490" s="20"/>
      <c r="L1490" s="20"/>
      <c r="M1490" s="20"/>
      <c r="N1490" s="21"/>
      <c r="O1490" s="22" t="str">
        <f>IFERROR(__xludf.DUMMYFUNCTION("IFERROR(
  VLOOKUP(C1490,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C1490
    ), 
    7, FALSE
  ), 
  """"
)
"),"")</f>
        <v/>
      </c>
      <c r="P1490" s="22"/>
      <c r="Q1490" s="23" t="str">
        <f t="shared" si="4"/>
        <v/>
      </c>
      <c r="R1490" s="20"/>
      <c r="S1490" s="18"/>
      <c r="T1490" s="24"/>
      <c r="U1490" s="24"/>
      <c r="V1490" s="24"/>
      <c r="W1490" s="24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</row>
    <row r="1491">
      <c r="A1491" s="37"/>
      <c r="B1491" s="25"/>
      <c r="C1491" s="60"/>
      <c r="D1491" s="27"/>
      <c r="E1491" s="28"/>
      <c r="F1491" s="29"/>
      <c r="G1491" s="30" t="str">
        <f t="shared" si="61"/>
        <v/>
      </c>
      <c r="H1491" s="31" t="str">
        <f t="shared" si="73"/>
        <v/>
      </c>
      <c r="I1491" s="32" t="str">
        <f t="shared" si="65"/>
        <v/>
      </c>
      <c r="J1491" s="33" t="str">
        <f t="shared" si="25"/>
        <v/>
      </c>
      <c r="K1491" s="33"/>
      <c r="L1491" s="33"/>
      <c r="M1491" s="33"/>
      <c r="N1491" s="34"/>
      <c r="O1491" s="35" t="str">
        <f>IFERROR(__xludf.DUMMYFUNCTION("IFERROR(
  VLOOKUP(C1491,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C1491
    ), 
    7, FALSE
  ), 
  """"
)
"),"")</f>
        <v/>
      </c>
      <c r="P1491" s="35"/>
      <c r="Q1491" s="36" t="str">
        <f t="shared" si="4"/>
        <v/>
      </c>
      <c r="R1491" s="33"/>
      <c r="S1491" s="31"/>
      <c r="T1491" s="37"/>
      <c r="U1491" s="37"/>
      <c r="V1491" s="37"/>
      <c r="W1491" s="37"/>
      <c r="X1491" s="25"/>
      <c r="Y1491" s="25"/>
      <c r="Z1491" s="25"/>
      <c r="AA1491" s="25"/>
      <c r="AB1491" s="25"/>
      <c r="AC1491" s="25"/>
      <c r="AD1491" s="25"/>
      <c r="AE1491" s="25"/>
      <c r="AF1491" s="25"/>
      <c r="AG1491" s="25"/>
      <c r="AH1491" s="25"/>
      <c r="AI1491" s="25"/>
      <c r="AJ1491" s="25"/>
      <c r="AK1491" s="25"/>
      <c r="AL1491" s="25"/>
      <c r="AM1491" s="25"/>
    </row>
    <row r="1492">
      <c r="A1492" s="24"/>
      <c r="B1492" s="13"/>
      <c r="C1492" s="62"/>
      <c r="D1492" s="14"/>
      <c r="E1492" s="15"/>
      <c r="F1492" s="16"/>
      <c r="G1492" s="17" t="str">
        <f t="shared" si="61"/>
        <v/>
      </c>
      <c r="H1492" s="18" t="str">
        <f t="shared" si="73"/>
        <v/>
      </c>
      <c r="I1492" s="19" t="str">
        <f t="shared" si="65"/>
        <v/>
      </c>
      <c r="J1492" s="20" t="str">
        <f t="shared" si="25"/>
        <v/>
      </c>
      <c r="K1492" s="20"/>
      <c r="L1492" s="20"/>
      <c r="M1492" s="20"/>
      <c r="N1492" s="21"/>
      <c r="O1492" s="22" t="str">
        <f>IFERROR(__xludf.DUMMYFUNCTION("IFERROR(
  VLOOKUP(C1492,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C1492
    ), 
    7, FALSE
  ), 
  """"
)
"),"")</f>
        <v/>
      </c>
      <c r="P1492" s="22"/>
      <c r="Q1492" s="23" t="str">
        <f t="shared" si="4"/>
        <v/>
      </c>
      <c r="R1492" s="20"/>
      <c r="S1492" s="18"/>
      <c r="T1492" s="24"/>
      <c r="U1492" s="24"/>
      <c r="V1492" s="24"/>
      <c r="W1492" s="24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</row>
    <row r="1493">
      <c r="A1493" s="37"/>
      <c r="B1493" s="25"/>
      <c r="C1493" s="60"/>
      <c r="D1493" s="27"/>
      <c r="E1493" s="28"/>
      <c r="F1493" s="29"/>
      <c r="G1493" s="30" t="str">
        <f t="shared" si="61"/>
        <v/>
      </c>
      <c r="H1493" s="31" t="str">
        <f t="shared" si="73"/>
        <v/>
      </c>
      <c r="I1493" s="32" t="str">
        <f t="shared" si="65"/>
        <v/>
      </c>
      <c r="J1493" s="33" t="str">
        <f t="shared" si="25"/>
        <v/>
      </c>
      <c r="K1493" s="33"/>
      <c r="L1493" s="33"/>
      <c r="M1493" s="33"/>
      <c r="N1493" s="34"/>
      <c r="O1493" s="35" t="str">
        <f>IFERROR(__xludf.DUMMYFUNCTION("IFERROR(
  VLOOKUP(C1493,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C1493
    ), 
    7, FALSE
  ), 
  """"
)
"),"")</f>
        <v/>
      </c>
      <c r="P1493" s="35"/>
      <c r="Q1493" s="36" t="str">
        <f t="shared" si="4"/>
        <v/>
      </c>
      <c r="R1493" s="33"/>
      <c r="S1493" s="31"/>
      <c r="T1493" s="37"/>
      <c r="U1493" s="37"/>
      <c r="V1493" s="37"/>
      <c r="W1493" s="37"/>
      <c r="X1493" s="25"/>
      <c r="Y1493" s="25"/>
      <c r="Z1493" s="25"/>
      <c r="AA1493" s="25"/>
      <c r="AB1493" s="25"/>
      <c r="AC1493" s="25"/>
      <c r="AD1493" s="25"/>
      <c r="AE1493" s="25"/>
      <c r="AF1493" s="25"/>
      <c r="AG1493" s="25"/>
      <c r="AH1493" s="25"/>
      <c r="AI1493" s="25"/>
      <c r="AJ1493" s="25"/>
      <c r="AK1493" s="25"/>
      <c r="AL1493" s="25"/>
      <c r="AM1493" s="25"/>
    </row>
    <row r="1494">
      <c r="A1494" s="24"/>
      <c r="B1494" s="13"/>
      <c r="C1494" s="62"/>
      <c r="D1494" s="14"/>
      <c r="E1494" s="15"/>
      <c r="F1494" s="16"/>
      <c r="G1494" s="17" t="str">
        <f t="shared" si="61"/>
        <v/>
      </c>
      <c r="H1494" s="18" t="str">
        <f t="shared" si="73"/>
        <v/>
      </c>
      <c r="I1494" s="19" t="str">
        <f t="shared" si="65"/>
        <v/>
      </c>
      <c r="J1494" s="20" t="str">
        <f t="shared" si="25"/>
        <v/>
      </c>
      <c r="K1494" s="20"/>
      <c r="L1494" s="20"/>
      <c r="M1494" s="20"/>
      <c r="N1494" s="21"/>
      <c r="O1494" s="22" t="str">
        <f>IFERROR(__xludf.DUMMYFUNCTION("IFERROR(
  VLOOKUP(C1494,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C1494
    ), 
    7, FALSE
  ), 
  """"
)
"),"")</f>
        <v/>
      </c>
      <c r="P1494" s="22"/>
      <c r="Q1494" s="23" t="str">
        <f t="shared" si="4"/>
        <v/>
      </c>
      <c r="R1494" s="20"/>
      <c r="S1494" s="18"/>
      <c r="T1494" s="24"/>
      <c r="U1494" s="24"/>
      <c r="V1494" s="24"/>
      <c r="W1494" s="24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</row>
    <row r="1495">
      <c r="A1495" s="37"/>
      <c r="B1495" s="25"/>
      <c r="C1495" s="60"/>
      <c r="D1495" s="27"/>
      <c r="E1495" s="28"/>
      <c r="F1495" s="29"/>
      <c r="G1495" s="30" t="str">
        <f t="shared" si="61"/>
        <v/>
      </c>
      <c r="H1495" s="31" t="str">
        <f t="shared" si="73"/>
        <v/>
      </c>
      <c r="I1495" s="32" t="str">
        <f t="shared" si="65"/>
        <v/>
      </c>
      <c r="J1495" s="33" t="str">
        <f t="shared" si="25"/>
        <v/>
      </c>
      <c r="K1495" s="33"/>
      <c r="L1495" s="33"/>
      <c r="M1495" s="33"/>
      <c r="N1495" s="34"/>
      <c r="O1495" s="35" t="str">
        <f>IFERROR(__xludf.DUMMYFUNCTION("IFERROR(
  VLOOKUP(C1495,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C1495
    ), 
    7, FALSE
  ), 
  """"
)
"),"")</f>
        <v/>
      </c>
      <c r="P1495" s="35"/>
      <c r="Q1495" s="36" t="str">
        <f t="shared" si="4"/>
        <v/>
      </c>
      <c r="R1495" s="33"/>
      <c r="S1495" s="31"/>
      <c r="T1495" s="37"/>
      <c r="U1495" s="37"/>
      <c r="V1495" s="37"/>
      <c r="W1495" s="37"/>
      <c r="X1495" s="25"/>
      <c r="Y1495" s="25"/>
      <c r="Z1495" s="25"/>
      <c r="AA1495" s="25"/>
      <c r="AB1495" s="25"/>
      <c r="AC1495" s="25"/>
      <c r="AD1495" s="25"/>
      <c r="AE1495" s="25"/>
      <c r="AF1495" s="25"/>
      <c r="AG1495" s="25"/>
      <c r="AH1495" s="25"/>
      <c r="AI1495" s="25"/>
      <c r="AJ1495" s="25"/>
      <c r="AK1495" s="25"/>
      <c r="AL1495" s="25"/>
      <c r="AM1495" s="25"/>
    </row>
    <row r="1496">
      <c r="A1496" s="24"/>
      <c r="B1496" s="13"/>
      <c r="C1496" s="62"/>
      <c r="D1496" s="14"/>
      <c r="E1496" s="15"/>
      <c r="F1496" s="16"/>
      <c r="G1496" s="17" t="str">
        <f t="shared" si="61"/>
        <v/>
      </c>
      <c r="H1496" s="18" t="str">
        <f t="shared" si="73"/>
        <v/>
      </c>
      <c r="I1496" s="19" t="str">
        <f t="shared" si="65"/>
        <v/>
      </c>
      <c r="J1496" s="20" t="str">
        <f t="shared" si="25"/>
        <v/>
      </c>
      <c r="K1496" s="20"/>
      <c r="L1496" s="20"/>
      <c r="M1496" s="20"/>
      <c r="N1496" s="21"/>
      <c r="O1496" s="22" t="str">
        <f>IFERROR(__xludf.DUMMYFUNCTION("IFERROR(
  VLOOKUP(C1496,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C1496
    ), 
    7, FALSE
  ), 
  """"
)
"),"")</f>
        <v/>
      </c>
      <c r="P1496" s="22"/>
      <c r="Q1496" s="23" t="str">
        <f t="shared" si="4"/>
        <v/>
      </c>
      <c r="R1496" s="20"/>
      <c r="S1496" s="18"/>
      <c r="T1496" s="24"/>
      <c r="U1496" s="24"/>
      <c r="V1496" s="24"/>
      <c r="W1496" s="24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</row>
    <row r="1497">
      <c r="A1497" s="37"/>
      <c r="B1497" s="25"/>
      <c r="C1497" s="60"/>
      <c r="D1497" s="27"/>
      <c r="E1497" s="28"/>
      <c r="F1497" s="29"/>
      <c r="G1497" s="30" t="str">
        <f t="shared" si="61"/>
        <v/>
      </c>
      <c r="H1497" s="31" t="str">
        <f t="shared" si="73"/>
        <v/>
      </c>
      <c r="I1497" s="32" t="str">
        <f t="shared" si="65"/>
        <v/>
      </c>
      <c r="J1497" s="33" t="str">
        <f t="shared" si="25"/>
        <v/>
      </c>
      <c r="K1497" s="33"/>
      <c r="L1497" s="33"/>
      <c r="M1497" s="33"/>
      <c r="N1497" s="34"/>
      <c r="O1497" s="35" t="str">
        <f>IFERROR(__xludf.DUMMYFUNCTION("IFERROR(
  VLOOKUP(C1497,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C1497
    ), 
    7, FALSE
  ), 
  """"
)
"),"")</f>
        <v/>
      </c>
      <c r="P1497" s="35"/>
      <c r="Q1497" s="36" t="str">
        <f t="shared" si="4"/>
        <v/>
      </c>
      <c r="R1497" s="33"/>
      <c r="S1497" s="31"/>
      <c r="T1497" s="37"/>
      <c r="U1497" s="37"/>
      <c r="V1497" s="37"/>
      <c r="W1497" s="37"/>
      <c r="X1497" s="25"/>
      <c r="Y1497" s="25"/>
      <c r="Z1497" s="25"/>
      <c r="AA1497" s="25"/>
      <c r="AB1497" s="25"/>
      <c r="AC1497" s="25"/>
      <c r="AD1497" s="25"/>
      <c r="AE1497" s="25"/>
      <c r="AF1497" s="25"/>
      <c r="AG1497" s="25"/>
      <c r="AH1497" s="25"/>
      <c r="AI1497" s="25"/>
      <c r="AJ1497" s="25"/>
      <c r="AK1497" s="25"/>
      <c r="AL1497" s="25"/>
      <c r="AM1497" s="25"/>
    </row>
    <row r="1498">
      <c r="A1498" s="24"/>
      <c r="B1498" s="13"/>
      <c r="C1498" s="62"/>
      <c r="D1498" s="14"/>
      <c r="E1498" s="15"/>
      <c r="F1498" s="16"/>
      <c r="G1498" s="17" t="str">
        <f t="shared" si="61"/>
        <v/>
      </c>
      <c r="H1498" s="18" t="str">
        <f t="shared" si="73"/>
        <v/>
      </c>
      <c r="I1498" s="19" t="str">
        <f t="shared" si="65"/>
        <v/>
      </c>
      <c r="J1498" s="20" t="str">
        <f t="shared" si="25"/>
        <v/>
      </c>
      <c r="K1498" s="20"/>
      <c r="L1498" s="20"/>
      <c r="M1498" s="20"/>
      <c r="N1498" s="21"/>
      <c r="O1498" s="22" t="str">
        <f>IFERROR(__xludf.DUMMYFUNCTION("IFERROR(
  VLOOKUP(C1498,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C1498
    ), 
    7, FALSE
  ), 
  """"
)
"),"")</f>
        <v/>
      </c>
      <c r="P1498" s="22"/>
      <c r="Q1498" s="23" t="str">
        <f t="shared" si="4"/>
        <v/>
      </c>
      <c r="R1498" s="20"/>
      <c r="S1498" s="18"/>
      <c r="T1498" s="24"/>
      <c r="U1498" s="24"/>
      <c r="V1498" s="24"/>
      <c r="W1498" s="24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</row>
    <row r="1499">
      <c r="A1499" s="37"/>
      <c r="B1499" s="25"/>
      <c r="C1499" s="60"/>
      <c r="D1499" s="27"/>
      <c r="E1499" s="28"/>
      <c r="F1499" s="29"/>
      <c r="G1499" s="30" t="str">
        <f t="shared" si="61"/>
        <v/>
      </c>
      <c r="H1499" s="31" t="str">
        <f t="shared" si="73"/>
        <v/>
      </c>
      <c r="I1499" s="32" t="str">
        <f t="shared" si="65"/>
        <v/>
      </c>
      <c r="J1499" s="33" t="str">
        <f t="shared" si="25"/>
        <v/>
      </c>
      <c r="K1499" s="33"/>
      <c r="L1499" s="33"/>
      <c r="M1499" s="33"/>
      <c r="N1499" s="34"/>
      <c r="O1499" s="35" t="str">
        <f>IFERROR(__xludf.DUMMYFUNCTION("IFERROR(
  VLOOKUP(C1499,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C1499
    ), 
    7, FALSE
  ), 
  """"
)
"),"")</f>
        <v/>
      </c>
      <c r="P1499" s="35"/>
      <c r="Q1499" s="36" t="str">
        <f t="shared" si="4"/>
        <v/>
      </c>
      <c r="R1499" s="33"/>
      <c r="S1499" s="31"/>
      <c r="T1499" s="37"/>
      <c r="U1499" s="37"/>
      <c r="V1499" s="37"/>
      <c r="W1499" s="37"/>
      <c r="X1499" s="25"/>
      <c r="Y1499" s="25"/>
      <c r="Z1499" s="25"/>
      <c r="AA1499" s="25"/>
      <c r="AB1499" s="25"/>
      <c r="AC1499" s="25"/>
      <c r="AD1499" s="25"/>
      <c r="AE1499" s="25"/>
      <c r="AF1499" s="25"/>
      <c r="AG1499" s="25"/>
      <c r="AH1499" s="25"/>
      <c r="AI1499" s="25"/>
      <c r="AJ1499" s="25"/>
      <c r="AK1499" s="25"/>
      <c r="AL1499" s="25"/>
      <c r="AM1499" s="25"/>
    </row>
    <row r="1500">
      <c r="A1500" s="24"/>
      <c r="B1500" s="13"/>
      <c r="C1500" s="62"/>
      <c r="D1500" s="14"/>
      <c r="E1500" s="15"/>
      <c r="F1500" s="16"/>
      <c r="G1500" s="17" t="str">
        <f t="shared" si="61"/>
        <v/>
      </c>
      <c r="H1500" s="18" t="str">
        <f t="shared" si="73"/>
        <v/>
      </c>
      <c r="I1500" s="19" t="str">
        <f t="shared" si="65"/>
        <v/>
      </c>
      <c r="J1500" s="20" t="str">
        <f t="shared" si="25"/>
        <v/>
      </c>
      <c r="K1500" s="20"/>
      <c r="L1500" s="20"/>
      <c r="M1500" s="20"/>
      <c r="N1500" s="21"/>
      <c r="O1500" s="22" t="str">
        <f>IFERROR(__xludf.DUMMYFUNCTION("IFERROR(
  VLOOKUP(C1500,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C1500
    ), 
    7, FALSE
  ), 
  """"
)
"),"")</f>
        <v/>
      </c>
      <c r="P1500" s="22"/>
      <c r="Q1500" s="23" t="str">
        <f t="shared" si="4"/>
        <v/>
      </c>
      <c r="R1500" s="20"/>
      <c r="S1500" s="18"/>
      <c r="T1500" s="24"/>
      <c r="U1500" s="24"/>
      <c r="V1500" s="24"/>
      <c r="W1500" s="24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</row>
    <row r="1501">
      <c r="A1501" s="37"/>
      <c r="B1501" s="25"/>
      <c r="C1501" s="60"/>
      <c r="D1501" s="27"/>
      <c r="E1501" s="28"/>
      <c r="F1501" s="29"/>
      <c r="G1501" s="30" t="str">
        <f t="shared" si="61"/>
        <v/>
      </c>
      <c r="H1501" s="31" t="str">
        <f t="shared" si="73"/>
        <v/>
      </c>
      <c r="I1501" s="32" t="str">
        <f t="shared" si="65"/>
        <v/>
      </c>
      <c r="J1501" s="33" t="str">
        <f t="shared" si="25"/>
        <v/>
      </c>
      <c r="K1501" s="33"/>
      <c r="L1501" s="33"/>
      <c r="M1501" s="33"/>
      <c r="N1501" s="34"/>
      <c r="O1501" s="35" t="str">
        <f>IFERROR(__xludf.DUMMYFUNCTION("IFERROR(
  VLOOKUP(C1501,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C1501
    ), 
    7, FALSE
  ), 
  """"
)
"),"")</f>
        <v/>
      </c>
      <c r="P1501" s="35"/>
      <c r="Q1501" s="36" t="str">
        <f t="shared" si="4"/>
        <v/>
      </c>
      <c r="R1501" s="33"/>
      <c r="S1501" s="31"/>
      <c r="T1501" s="37"/>
      <c r="U1501" s="37"/>
      <c r="V1501" s="37"/>
      <c r="W1501" s="37"/>
      <c r="X1501" s="25"/>
      <c r="Y1501" s="25"/>
      <c r="Z1501" s="25"/>
      <c r="AA1501" s="25"/>
      <c r="AB1501" s="25"/>
      <c r="AC1501" s="25"/>
      <c r="AD1501" s="25"/>
      <c r="AE1501" s="25"/>
      <c r="AF1501" s="25"/>
      <c r="AG1501" s="25"/>
      <c r="AH1501" s="25"/>
      <c r="AI1501" s="25"/>
      <c r="AJ1501" s="25"/>
      <c r="AK1501" s="25"/>
      <c r="AL1501" s="25"/>
      <c r="AM1501" s="25"/>
    </row>
    <row r="1502">
      <c r="A1502" s="24"/>
      <c r="B1502" s="13"/>
      <c r="C1502" s="62"/>
      <c r="D1502" s="14"/>
      <c r="E1502" s="15"/>
      <c r="F1502" s="16"/>
      <c r="G1502" s="17" t="str">
        <f t="shared" si="61"/>
        <v/>
      </c>
      <c r="H1502" s="18" t="str">
        <f t="shared" si="73"/>
        <v/>
      </c>
      <c r="I1502" s="19" t="str">
        <f t="shared" si="65"/>
        <v/>
      </c>
      <c r="J1502" s="20" t="str">
        <f t="shared" si="25"/>
        <v/>
      </c>
      <c r="K1502" s="20"/>
      <c r="L1502" s="20"/>
      <c r="M1502" s="20"/>
      <c r="N1502" s="21"/>
      <c r="O1502" s="22" t="str">
        <f>IFERROR(__xludf.DUMMYFUNCTION("IFERROR(
  VLOOKUP(C1502,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C1502
    ), 
    7, FALSE
  ), 
  """"
)
"),"")</f>
        <v/>
      </c>
      <c r="P1502" s="22"/>
      <c r="Q1502" s="23" t="str">
        <f t="shared" si="4"/>
        <v/>
      </c>
      <c r="R1502" s="20"/>
      <c r="S1502" s="18"/>
      <c r="T1502" s="24"/>
      <c r="U1502" s="24"/>
      <c r="V1502" s="24"/>
      <c r="W1502" s="24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</row>
    <row r="1503">
      <c r="A1503" s="37"/>
      <c r="B1503" s="25"/>
      <c r="C1503" s="60"/>
      <c r="D1503" s="27"/>
      <c r="E1503" s="28"/>
      <c r="F1503" s="29"/>
      <c r="G1503" s="30" t="str">
        <f t="shared" si="61"/>
        <v/>
      </c>
      <c r="H1503" s="31" t="str">
        <f t="shared" si="73"/>
        <v/>
      </c>
      <c r="I1503" s="32" t="str">
        <f t="shared" si="65"/>
        <v/>
      </c>
      <c r="J1503" s="33" t="str">
        <f t="shared" si="25"/>
        <v/>
      </c>
      <c r="K1503" s="33"/>
      <c r="L1503" s="33"/>
      <c r="M1503" s="33"/>
      <c r="N1503" s="34"/>
      <c r="O1503" s="35" t="str">
        <f>IFERROR(__xludf.DUMMYFUNCTION("IFERROR(
  VLOOKUP(C1503,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C1503
    ), 
    7, FALSE
  ), 
  """"
)
"),"")</f>
        <v/>
      </c>
      <c r="P1503" s="35"/>
      <c r="Q1503" s="36" t="str">
        <f t="shared" si="4"/>
        <v/>
      </c>
      <c r="R1503" s="33"/>
      <c r="S1503" s="31"/>
      <c r="T1503" s="37"/>
      <c r="U1503" s="37"/>
      <c r="V1503" s="37"/>
      <c r="W1503" s="37"/>
      <c r="X1503" s="25"/>
      <c r="Y1503" s="25"/>
      <c r="Z1503" s="25"/>
      <c r="AA1503" s="25"/>
      <c r="AB1503" s="25"/>
      <c r="AC1503" s="25"/>
      <c r="AD1503" s="25"/>
      <c r="AE1503" s="25"/>
      <c r="AF1503" s="25"/>
      <c r="AG1503" s="25"/>
      <c r="AH1503" s="25"/>
      <c r="AI1503" s="25"/>
      <c r="AJ1503" s="25"/>
      <c r="AK1503" s="25"/>
      <c r="AL1503" s="25"/>
      <c r="AM1503" s="25"/>
    </row>
    <row r="1504">
      <c r="A1504" s="24"/>
      <c r="B1504" s="13"/>
      <c r="C1504" s="62"/>
      <c r="D1504" s="14"/>
      <c r="E1504" s="15"/>
      <c r="F1504" s="16"/>
      <c r="G1504" s="17" t="str">
        <f t="shared" si="61"/>
        <v/>
      </c>
      <c r="H1504" s="18" t="str">
        <f t="shared" si="73"/>
        <v/>
      </c>
      <c r="I1504" s="19" t="str">
        <f t="shared" si="65"/>
        <v/>
      </c>
      <c r="J1504" s="20" t="str">
        <f t="shared" si="25"/>
        <v/>
      </c>
      <c r="K1504" s="20"/>
      <c r="L1504" s="20"/>
      <c r="M1504" s="20"/>
      <c r="N1504" s="21"/>
      <c r="O1504" s="22" t="str">
        <f>IFERROR(__xludf.DUMMYFUNCTION("IFERROR(
  VLOOKUP(C1504,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C1504
    ), 
    7, FALSE
  ), 
  """"
)
"),"")</f>
        <v/>
      </c>
      <c r="P1504" s="22"/>
      <c r="Q1504" s="23" t="str">
        <f t="shared" si="4"/>
        <v/>
      </c>
      <c r="R1504" s="20"/>
      <c r="S1504" s="18"/>
      <c r="T1504" s="24"/>
      <c r="U1504" s="24"/>
      <c r="V1504" s="24"/>
      <c r="W1504" s="24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  <c r="AL1504" s="13"/>
      <c r="AM1504" s="13"/>
    </row>
    <row r="1505">
      <c r="A1505" s="37"/>
      <c r="B1505" s="25"/>
      <c r="C1505" s="60"/>
      <c r="D1505" s="27"/>
      <c r="E1505" s="28"/>
      <c r="F1505" s="29"/>
      <c r="G1505" s="30" t="str">
        <f t="shared" si="61"/>
        <v/>
      </c>
      <c r="H1505" s="31" t="str">
        <f t="shared" si="73"/>
        <v/>
      </c>
      <c r="I1505" s="32" t="str">
        <f t="shared" si="65"/>
        <v/>
      </c>
      <c r="J1505" s="33" t="str">
        <f t="shared" si="25"/>
        <v/>
      </c>
      <c r="K1505" s="33"/>
      <c r="L1505" s="33"/>
      <c r="M1505" s="33"/>
      <c r="N1505" s="34"/>
      <c r="O1505" s="35" t="str">
        <f>IFERROR(__xludf.DUMMYFUNCTION("IFERROR(
  VLOOKUP(C1505,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C1505
    ), 
    7, FALSE
  ), 
  """"
)
"),"")</f>
        <v/>
      </c>
      <c r="P1505" s="35"/>
      <c r="Q1505" s="36" t="str">
        <f t="shared" si="4"/>
        <v/>
      </c>
      <c r="R1505" s="33"/>
      <c r="S1505" s="31"/>
      <c r="T1505" s="37"/>
      <c r="U1505" s="37"/>
      <c r="V1505" s="37"/>
      <c r="W1505" s="37"/>
      <c r="X1505" s="25"/>
      <c r="Y1505" s="25"/>
      <c r="Z1505" s="25"/>
      <c r="AA1505" s="25"/>
      <c r="AB1505" s="25"/>
      <c r="AC1505" s="25"/>
      <c r="AD1505" s="25"/>
      <c r="AE1505" s="25"/>
      <c r="AF1505" s="25"/>
      <c r="AG1505" s="25"/>
      <c r="AH1505" s="25"/>
      <c r="AI1505" s="25"/>
      <c r="AJ1505" s="25"/>
      <c r="AK1505" s="25"/>
      <c r="AL1505" s="25"/>
      <c r="AM1505" s="25"/>
    </row>
    <row r="1506">
      <c r="A1506" s="24"/>
      <c r="B1506" s="13"/>
      <c r="C1506" s="62"/>
      <c r="D1506" s="14"/>
      <c r="E1506" s="15"/>
      <c r="F1506" s="16"/>
      <c r="G1506" s="17" t="str">
        <f t="shared" si="61"/>
        <v/>
      </c>
      <c r="H1506" s="18" t="str">
        <f t="shared" si="73"/>
        <v/>
      </c>
      <c r="I1506" s="19" t="str">
        <f t="shared" si="65"/>
        <v/>
      </c>
      <c r="J1506" s="20" t="str">
        <f t="shared" si="25"/>
        <v/>
      </c>
      <c r="K1506" s="20"/>
      <c r="L1506" s="20"/>
      <c r="M1506" s="20"/>
      <c r="N1506" s="21"/>
      <c r="O1506" s="22" t="str">
        <f>IFERROR(__xludf.DUMMYFUNCTION("IFERROR(
  VLOOKUP(C1506,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C1506
    ), 
    7, FALSE
  ), 
  """"
)
"),"")</f>
        <v/>
      </c>
      <c r="P1506" s="22"/>
      <c r="Q1506" s="23" t="str">
        <f t="shared" si="4"/>
        <v/>
      </c>
      <c r="R1506" s="20"/>
      <c r="S1506" s="18"/>
      <c r="T1506" s="24"/>
      <c r="U1506" s="24"/>
      <c r="V1506" s="24"/>
      <c r="W1506" s="24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</row>
    <row r="1507">
      <c r="A1507" s="37"/>
      <c r="B1507" s="25"/>
      <c r="C1507" s="60"/>
      <c r="D1507" s="27"/>
      <c r="E1507" s="28"/>
      <c r="F1507" s="29"/>
      <c r="G1507" s="30" t="str">
        <f t="shared" si="61"/>
        <v/>
      </c>
      <c r="H1507" s="31" t="str">
        <f t="shared" si="73"/>
        <v/>
      </c>
      <c r="I1507" s="32" t="str">
        <f t="shared" si="65"/>
        <v/>
      </c>
      <c r="J1507" s="33" t="str">
        <f t="shared" si="25"/>
        <v/>
      </c>
      <c r="K1507" s="33"/>
      <c r="L1507" s="33"/>
      <c r="M1507" s="33"/>
      <c r="N1507" s="34"/>
      <c r="O1507" s="35" t="str">
        <f>IFERROR(__xludf.DUMMYFUNCTION("IFERROR(
  VLOOKUP(C1507,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C1507
    ), 
    7, FALSE
  ), 
  """"
)
"),"")</f>
        <v/>
      </c>
      <c r="P1507" s="35"/>
      <c r="Q1507" s="36" t="str">
        <f t="shared" si="4"/>
        <v/>
      </c>
      <c r="R1507" s="33"/>
      <c r="S1507" s="31"/>
      <c r="T1507" s="37"/>
      <c r="U1507" s="37"/>
      <c r="V1507" s="37"/>
      <c r="W1507" s="37"/>
      <c r="X1507" s="25"/>
      <c r="Y1507" s="25"/>
      <c r="Z1507" s="25"/>
      <c r="AA1507" s="25"/>
      <c r="AB1507" s="25"/>
      <c r="AC1507" s="25"/>
      <c r="AD1507" s="25"/>
      <c r="AE1507" s="25"/>
      <c r="AF1507" s="25"/>
      <c r="AG1507" s="25"/>
      <c r="AH1507" s="25"/>
      <c r="AI1507" s="25"/>
      <c r="AJ1507" s="25"/>
      <c r="AK1507" s="25"/>
      <c r="AL1507" s="25"/>
      <c r="AM1507" s="25"/>
    </row>
    <row r="1508">
      <c r="A1508" s="24"/>
      <c r="B1508" s="13"/>
      <c r="C1508" s="62"/>
      <c r="D1508" s="14"/>
      <c r="E1508" s="15"/>
      <c r="F1508" s="16"/>
      <c r="G1508" s="17" t="str">
        <f t="shared" si="61"/>
        <v/>
      </c>
      <c r="H1508" s="18" t="str">
        <f t="shared" si="73"/>
        <v/>
      </c>
      <c r="I1508" s="19" t="str">
        <f t="shared" si="65"/>
        <v/>
      </c>
      <c r="J1508" s="20" t="str">
        <f t="shared" si="25"/>
        <v/>
      </c>
      <c r="K1508" s="20"/>
      <c r="L1508" s="20"/>
      <c r="M1508" s="20"/>
      <c r="N1508" s="21"/>
      <c r="O1508" s="22" t="str">
        <f>IFERROR(__xludf.DUMMYFUNCTION("IFERROR(
  VLOOKUP(C1508,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C1508
    ), 
    7, FALSE
  ), 
  """"
)
"),"")</f>
        <v/>
      </c>
      <c r="P1508" s="22"/>
      <c r="Q1508" s="23" t="str">
        <f t="shared" si="4"/>
        <v/>
      </c>
      <c r="R1508" s="20"/>
      <c r="S1508" s="18"/>
      <c r="T1508" s="24"/>
      <c r="U1508" s="24"/>
      <c r="V1508" s="24"/>
      <c r="W1508" s="24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</row>
    <row r="1509">
      <c r="A1509" s="37"/>
      <c r="B1509" s="25"/>
      <c r="C1509" s="60"/>
      <c r="D1509" s="27"/>
      <c r="E1509" s="28"/>
      <c r="F1509" s="29"/>
      <c r="G1509" s="30" t="str">
        <f t="shared" si="61"/>
        <v/>
      </c>
      <c r="H1509" s="31" t="str">
        <f t="shared" si="73"/>
        <v/>
      </c>
      <c r="I1509" s="32" t="str">
        <f t="shared" si="65"/>
        <v/>
      </c>
      <c r="J1509" s="33" t="str">
        <f t="shared" si="25"/>
        <v/>
      </c>
      <c r="K1509" s="33"/>
      <c r="L1509" s="33"/>
      <c r="M1509" s="33"/>
      <c r="N1509" s="34"/>
      <c r="O1509" s="35" t="str">
        <f>IFERROR(__xludf.DUMMYFUNCTION("IFERROR(
  VLOOKUP(C1509,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C1509
    ), 
    7, FALSE
  ), 
  """"
)
"),"")</f>
        <v/>
      </c>
      <c r="P1509" s="35"/>
      <c r="Q1509" s="36" t="str">
        <f t="shared" si="4"/>
        <v/>
      </c>
      <c r="R1509" s="33"/>
      <c r="S1509" s="31"/>
      <c r="T1509" s="37"/>
      <c r="U1509" s="37"/>
      <c r="V1509" s="37"/>
      <c r="W1509" s="37"/>
      <c r="X1509" s="25"/>
      <c r="Y1509" s="25"/>
      <c r="Z1509" s="25"/>
      <c r="AA1509" s="25"/>
      <c r="AB1509" s="25"/>
      <c r="AC1509" s="25"/>
      <c r="AD1509" s="25"/>
      <c r="AE1509" s="25"/>
      <c r="AF1509" s="25"/>
      <c r="AG1509" s="25"/>
      <c r="AH1509" s="25"/>
      <c r="AI1509" s="25"/>
      <c r="AJ1509" s="25"/>
      <c r="AK1509" s="25"/>
      <c r="AL1509" s="25"/>
      <c r="AM1509" s="25"/>
    </row>
    <row r="1510">
      <c r="A1510" s="24"/>
      <c r="B1510" s="13"/>
      <c r="C1510" s="62"/>
      <c r="D1510" s="14"/>
      <c r="E1510" s="15"/>
      <c r="F1510" s="16"/>
      <c r="G1510" s="17" t="str">
        <f t="shared" si="61"/>
        <v/>
      </c>
      <c r="H1510" s="18" t="str">
        <f t="shared" si="73"/>
        <v/>
      </c>
      <c r="I1510" s="19" t="str">
        <f t="shared" si="65"/>
        <v/>
      </c>
      <c r="J1510" s="20" t="str">
        <f t="shared" si="25"/>
        <v/>
      </c>
      <c r="K1510" s="20"/>
      <c r="L1510" s="20"/>
      <c r="M1510" s="20"/>
      <c r="N1510" s="21"/>
      <c r="O1510" s="22" t="str">
        <f>IFERROR(__xludf.DUMMYFUNCTION("IFERROR(
  VLOOKUP(C1510,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C1510
    ), 
    7, FALSE
  ), 
  """"
)
"),"")</f>
        <v/>
      </c>
      <c r="P1510" s="22"/>
      <c r="Q1510" s="23" t="str">
        <f t="shared" si="4"/>
        <v/>
      </c>
      <c r="R1510" s="20"/>
      <c r="S1510" s="18"/>
      <c r="T1510" s="24"/>
      <c r="U1510" s="24"/>
      <c r="V1510" s="24"/>
      <c r="W1510" s="24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</row>
    <row r="1511">
      <c r="A1511" s="37"/>
      <c r="B1511" s="25"/>
      <c r="C1511" s="60"/>
      <c r="D1511" s="27"/>
      <c r="E1511" s="28"/>
      <c r="F1511" s="29"/>
      <c r="G1511" s="30" t="str">
        <f t="shared" si="61"/>
        <v/>
      </c>
      <c r="H1511" s="31" t="str">
        <f t="shared" si="73"/>
        <v/>
      </c>
      <c r="I1511" s="32" t="str">
        <f t="shared" si="65"/>
        <v/>
      </c>
      <c r="J1511" s="33" t="str">
        <f t="shared" si="25"/>
        <v/>
      </c>
      <c r="K1511" s="33"/>
      <c r="L1511" s="33"/>
      <c r="M1511" s="33"/>
      <c r="N1511" s="34"/>
      <c r="O1511" s="35" t="str">
        <f>IFERROR(__xludf.DUMMYFUNCTION("IFERROR(
  VLOOKUP(C1511,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C1511
    ), 
    7, FALSE
  ), 
  """"
)
"),"")</f>
        <v/>
      </c>
      <c r="P1511" s="35"/>
      <c r="Q1511" s="36" t="str">
        <f t="shared" si="4"/>
        <v/>
      </c>
      <c r="R1511" s="33"/>
      <c r="S1511" s="31"/>
      <c r="T1511" s="37"/>
      <c r="U1511" s="37"/>
      <c r="V1511" s="37"/>
      <c r="W1511" s="37"/>
      <c r="X1511" s="25"/>
      <c r="Y1511" s="25"/>
      <c r="Z1511" s="25"/>
      <c r="AA1511" s="25"/>
      <c r="AB1511" s="25"/>
      <c r="AC1511" s="25"/>
      <c r="AD1511" s="25"/>
      <c r="AE1511" s="25"/>
      <c r="AF1511" s="25"/>
      <c r="AG1511" s="25"/>
      <c r="AH1511" s="25"/>
      <c r="AI1511" s="25"/>
      <c r="AJ1511" s="25"/>
      <c r="AK1511" s="25"/>
      <c r="AL1511" s="25"/>
      <c r="AM1511" s="25"/>
    </row>
    <row r="1512">
      <c r="A1512" s="24"/>
      <c r="B1512" s="13"/>
      <c r="C1512" s="62"/>
      <c r="D1512" s="14"/>
      <c r="E1512" s="15"/>
      <c r="F1512" s="16"/>
      <c r="G1512" s="17" t="str">
        <f t="shared" si="61"/>
        <v/>
      </c>
      <c r="H1512" s="18" t="str">
        <f t="shared" si="73"/>
        <v/>
      </c>
      <c r="I1512" s="19" t="str">
        <f t="shared" si="65"/>
        <v/>
      </c>
      <c r="J1512" s="20" t="str">
        <f t="shared" si="25"/>
        <v/>
      </c>
      <c r="K1512" s="20"/>
      <c r="L1512" s="20"/>
      <c r="M1512" s="20"/>
      <c r="N1512" s="21"/>
      <c r="O1512" s="22" t="str">
        <f>IFERROR(__xludf.DUMMYFUNCTION("IFERROR(
  VLOOKUP(C1512,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C1512
    ), 
    7, FALSE
  ), 
  """"
)
"),"")</f>
        <v/>
      </c>
      <c r="P1512" s="22"/>
      <c r="Q1512" s="23" t="str">
        <f t="shared" si="4"/>
        <v/>
      </c>
      <c r="R1512" s="20"/>
      <c r="S1512" s="18"/>
      <c r="T1512" s="24"/>
      <c r="U1512" s="24"/>
      <c r="V1512" s="24"/>
      <c r="W1512" s="24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  <c r="AL1512" s="13"/>
      <c r="AM1512" s="13"/>
    </row>
    <row r="1513">
      <c r="A1513" s="37"/>
      <c r="B1513" s="25"/>
      <c r="C1513" s="60"/>
      <c r="D1513" s="27"/>
      <c r="E1513" s="28"/>
      <c r="F1513" s="29"/>
      <c r="G1513" s="30" t="str">
        <f t="shared" si="61"/>
        <v/>
      </c>
      <c r="H1513" s="31" t="str">
        <f t="shared" si="73"/>
        <v/>
      </c>
      <c r="I1513" s="32" t="str">
        <f t="shared" si="65"/>
        <v/>
      </c>
      <c r="J1513" s="33" t="str">
        <f t="shared" si="25"/>
        <v/>
      </c>
      <c r="K1513" s="33"/>
      <c r="L1513" s="33"/>
      <c r="M1513" s="33"/>
      <c r="N1513" s="34"/>
      <c r="O1513" s="35" t="str">
        <f>IFERROR(__xludf.DUMMYFUNCTION("IFERROR(
  VLOOKUP(C1513,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C1513
    ), 
    7, FALSE
  ), 
  """"
)
"),"")</f>
        <v/>
      </c>
      <c r="P1513" s="35"/>
      <c r="Q1513" s="36" t="str">
        <f t="shared" si="4"/>
        <v/>
      </c>
      <c r="R1513" s="33"/>
      <c r="S1513" s="31"/>
      <c r="T1513" s="37"/>
      <c r="U1513" s="37"/>
      <c r="V1513" s="37"/>
      <c r="W1513" s="37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25"/>
      <c r="AH1513" s="25"/>
      <c r="AI1513" s="25"/>
      <c r="AJ1513" s="25"/>
      <c r="AK1513" s="25"/>
      <c r="AL1513" s="25"/>
      <c r="AM1513" s="25"/>
    </row>
    <row r="1514">
      <c r="A1514" s="24"/>
      <c r="B1514" s="13"/>
      <c r="C1514" s="62"/>
      <c r="D1514" s="14"/>
      <c r="E1514" s="15"/>
      <c r="F1514" s="16"/>
      <c r="G1514" s="17" t="str">
        <f t="shared" si="61"/>
        <v/>
      </c>
      <c r="H1514" s="18" t="str">
        <f t="shared" si="73"/>
        <v/>
      </c>
      <c r="I1514" s="19" t="str">
        <f t="shared" si="65"/>
        <v/>
      </c>
      <c r="J1514" s="20" t="str">
        <f t="shared" si="25"/>
        <v/>
      </c>
      <c r="K1514" s="20"/>
      <c r="L1514" s="20"/>
      <c r="M1514" s="20"/>
      <c r="N1514" s="21"/>
      <c r="O1514" s="22" t="str">
        <f>IFERROR(__xludf.DUMMYFUNCTION("IFERROR(
  VLOOKUP(C1514,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C1514
    ), 
    7, FALSE
  ), 
  """"
)
"),"")</f>
        <v/>
      </c>
      <c r="P1514" s="22"/>
      <c r="Q1514" s="23" t="str">
        <f t="shared" si="4"/>
        <v/>
      </c>
      <c r="R1514" s="20"/>
      <c r="S1514" s="18"/>
      <c r="T1514" s="24"/>
      <c r="U1514" s="24"/>
      <c r="V1514" s="24"/>
      <c r="W1514" s="24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</row>
    <row r="1515">
      <c r="A1515" s="37"/>
      <c r="B1515" s="25"/>
      <c r="C1515" s="60"/>
      <c r="D1515" s="27"/>
      <c r="E1515" s="28"/>
      <c r="F1515" s="29"/>
      <c r="G1515" s="30" t="str">
        <f t="shared" si="61"/>
        <v/>
      </c>
      <c r="H1515" s="31" t="str">
        <f t="shared" si="73"/>
        <v/>
      </c>
      <c r="I1515" s="32" t="str">
        <f t="shared" si="65"/>
        <v/>
      </c>
      <c r="J1515" s="33" t="str">
        <f t="shared" si="25"/>
        <v/>
      </c>
      <c r="K1515" s="33"/>
      <c r="L1515" s="33"/>
      <c r="M1515" s="33"/>
      <c r="N1515" s="34"/>
      <c r="O1515" s="35" t="str">
        <f>IFERROR(__xludf.DUMMYFUNCTION("IFERROR(
  VLOOKUP(C1515,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C1515
    ), 
    7, FALSE
  ), 
  """"
)
"),"")</f>
        <v/>
      </c>
      <c r="P1515" s="35"/>
      <c r="Q1515" s="36" t="str">
        <f t="shared" si="4"/>
        <v/>
      </c>
      <c r="R1515" s="33"/>
      <c r="S1515" s="31"/>
      <c r="T1515" s="37"/>
      <c r="U1515" s="37"/>
      <c r="V1515" s="37"/>
      <c r="W1515" s="37"/>
      <c r="X1515" s="25"/>
      <c r="Y1515" s="25"/>
      <c r="Z1515" s="25"/>
      <c r="AA1515" s="25"/>
      <c r="AB1515" s="25"/>
      <c r="AC1515" s="25"/>
      <c r="AD1515" s="25"/>
      <c r="AE1515" s="25"/>
      <c r="AF1515" s="25"/>
      <c r="AG1515" s="25"/>
      <c r="AH1515" s="25"/>
      <c r="AI1515" s="25"/>
      <c r="AJ1515" s="25"/>
      <c r="AK1515" s="25"/>
      <c r="AL1515" s="25"/>
      <c r="AM1515" s="25"/>
    </row>
    <row r="1516">
      <c r="A1516" s="24"/>
      <c r="B1516" s="13"/>
      <c r="C1516" s="62"/>
      <c r="D1516" s="14"/>
      <c r="E1516" s="15"/>
      <c r="F1516" s="16"/>
      <c r="G1516" s="17" t="str">
        <f t="shared" si="61"/>
        <v/>
      </c>
      <c r="H1516" s="18" t="str">
        <f t="shared" si="73"/>
        <v/>
      </c>
      <c r="I1516" s="19" t="str">
        <f t="shared" si="65"/>
        <v/>
      </c>
      <c r="J1516" s="20" t="str">
        <f t="shared" si="25"/>
        <v/>
      </c>
      <c r="K1516" s="20"/>
      <c r="L1516" s="20"/>
      <c r="M1516" s="20"/>
      <c r="N1516" s="21"/>
      <c r="O1516" s="22" t="str">
        <f>IFERROR(__xludf.DUMMYFUNCTION("IFERROR(
  VLOOKUP(C1516,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C1516
    ), 
    7, FALSE
  ), 
  """"
)
"),"")</f>
        <v/>
      </c>
      <c r="P1516" s="22"/>
      <c r="Q1516" s="23" t="str">
        <f t="shared" si="4"/>
        <v/>
      </c>
      <c r="R1516" s="20"/>
      <c r="S1516" s="18"/>
      <c r="T1516" s="24"/>
      <c r="U1516" s="24"/>
      <c r="V1516" s="24"/>
      <c r="W1516" s="24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</row>
    <row r="1517">
      <c r="A1517" s="37"/>
      <c r="B1517" s="25"/>
      <c r="C1517" s="60"/>
      <c r="D1517" s="27"/>
      <c r="E1517" s="28"/>
      <c r="F1517" s="29"/>
      <c r="G1517" s="30" t="str">
        <f t="shared" si="61"/>
        <v/>
      </c>
      <c r="H1517" s="31" t="str">
        <f t="shared" si="73"/>
        <v/>
      </c>
      <c r="I1517" s="32" t="str">
        <f t="shared" si="65"/>
        <v/>
      </c>
      <c r="J1517" s="33" t="str">
        <f t="shared" si="25"/>
        <v/>
      </c>
      <c r="K1517" s="33"/>
      <c r="L1517" s="33"/>
      <c r="M1517" s="33"/>
      <c r="N1517" s="34"/>
      <c r="O1517" s="35" t="str">
        <f>IFERROR(__xludf.DUMMYFUNCTION("IFERROR(
  VLOOKUP(C1517,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C1517
    ), 
    7, FALSE
  ), 
  """"
)
"),"")</f>
        <v/>
      </c>
      <c r="P1517" s="35"/>
      <c r="Q1517" s="36" t="str">
        <f t="shared" si="4"/>
        <v/>
      </c>
      <c r="R1517" s="33"/>
      <c r="S1517" s="31"/>
      <c r="T1517" s="37"/>
      <c r="U1517" s="37"/>
      <c r="V1517" s="37"/>
      <c r="W1517" s="37"/>
      <c r="X1517" s="25"/>
      <c r="Y1517" s="25"/>
      <c r="Z1517" s="25"/>
      <c r="AA1517" s="25"/>
      <c r="AB1517" s="25"/>
      <c r="AC1517" s="25"/>
      <c r="AD1517" s="25"/>
      <c r="AE1517" s="25"/>
      <c r="AF1517" s="25"/>
      <c r="AG1517" s="25"/>
      <c r="AH1517" s="25"/>
      <c r="AI1517" s="25"/>
      <c r="AJ1517" s="25"/>
      <c r="AK1517" s="25"/>
      <c r="AL1517" s="25"/>
      <c r="AM1517" s="25"/>
    </row>
    <row r="1518">
      <c r="A1518" s="24"/>
      <c r="B1518" s="13"/>
      <c r="C1518" s="62"/>
      <c r="D1518" s="14"/>
      <c r="E1518" s="15"/>
      <c r="F1518" s="16"/>
      <c r="G1518" s="17" t="str">
        <f t="shared" si="61"/>
        <v/>
      </c>
      <c r="H1518" s="18" t="str">
        <f t="shared" si="73"/>
        <v/>
      </c>
      <c r="I1518" s="19" t="str">
        <f t="shared" si="65"/>
        <v/>
      </c>
      <c r="J1518" s="20" t="str">
        <f t="shared" si="25"/>
        <v/>
      </c>
      <c r="K1518" s="20"/>
      <c r="L1518" s="20"/>
      <c r="M1518" s="20"/>
      <c r="N1518" s="21"/>
      <c r="O1518" s="22" t="str">
        <f>IFERROR(__xludf.DUMMYFUNCTION("IFERROR(
  VLOOKUP(C1518,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C1518
    ), 
    7, FALSE
  ), 
  """"
)
"),"")</f>
        <v/>
      </c>
      <c r="P1518" s="22"/>
      <c r="Q1518" s="23" t="str">
        <f t="shared" si="4"/>
        <v/>
      </c>
      <c r="R1518" s="20"/>
      <c r="S1518" s="18"/>
      <c r="T1518" s="24"/>
      <c r="U1518" s="24"/>
      <c r="V1518" s="24"/>
      <c r="W1518" s="24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</row>
    <row r="1519">
      <c r="A1519" s="37"/>
      <c r="B1519" s="25"/>
      <c r="C1519" s="60"/>
      <c r="D1519" s="27"/>
      <c r="E1519" s="28"/>
      <c r="F1519" s="29"/>
      <c r="G1519" s="30" t="str">
        <f t="shared" si="61"/>
        <v/>
      </c>
      <c r="H1519" s="31" t="str">
        <f t="shared" si="73"/>
        <v/>
      </c>
      <c r="I1519" s="32" t="str">
        <f t="shared" si="65"/>
        <v/>
      </c>
      <c r="J1519" s="33" t="str">
        <f t="shared" si="25"/>
        <v/>
      </c>
      <c r="K1519" s="33"/>
      <c r="L1519" s="33"/>
      <c r="M1519" s="33"/>
      <c r="N1519" s="34"/>
      <c r="O1519" s="35" t="str">
        <f>IFERROR(__xludf.DUMMYFUNCTION("IFERROR(
  VLOOKUP(C1519,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C1519
    ), 
    7, FALSE
  ), 
  """"
)
"),"")</f>
        <v/>
      </c>
      <c r="P1519" s="35"/>
      <c r="Q1519" s="36" t="str">
        <f t="shared" si="4"/>
        <v/>
      </c>
      <c r="R1519" s="33"/>
      <c r="S1519" s="31"/>
      <c r="T1519" s="37"/>
      <c r="U1519" s="37"/>
      <c r="V1519" s="37"/>
      <c r="W1519" s="37"/>
      <c r="X1519" s="25"/>
      <c r="Y1519" s="25"/>
      <c r="Z1519" s="25"/>
      <c r="AA1519" s="25"/>
      <c r="AB1519" s="25"/>
      <c r="AC1519" s="25"/>
      <c r="AD1519" s="25"/>
      <c r="AE1519" s="25"/>
      <c r="AF1519" s="25"/>
      <c r="AG1519" s="25"/>
      <c r="AH1519" s="25"/>
      <c r="AI1519" s="25"/>
      <c r="AJ1519" s="25"/>
      <c r="AK1519" s="25"/>
      <c r="AL1519" s="25"/>
      <c r="AM1519" s="25"/>
    </row>
    <row r="1520">
      <c r="A1520" s="24"/>
      <c r="B1520" s="13"/>
      <c r="C1520" s="62"/>
      <c r="D1520" s="14"/>
      <c r="E1520" s="15"/>
      <c r="F1520" s="16"/>
      <c r="G1520" s="17" t="str">
        <f t="shared" si="61"/>
        <v/>
      </c>
      <c r="H1520" s="18" t="str">
        <f t="shared" si="73"/>
        <v/>
      </c>
      <c r="I1520" s="19" t="str">
        <f t="shared" si="65"/>
        <v/>
      </c>
      <c r="J1520" s="20" t="str">
        <f t="shared" si="25"/>
        <v/>
      </c>
      <c r="K1520" s="20"/>
      <c r="L1520" s="20"/>
      <c r="M1520" s="20"/>
      <c r="N1520" s="21"/>
      <c r="O1520" s="22" t="str">
        <f>IFERROR(__xludf.DUMMYFUNCTION("IFERROR(
  VLOOKUP(C1520,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C1520
    ), 
    7, FALSE
  ), 
  """"
)
"),"")</f>
        <v/>
      </c>
      <c r="P1520" s="22"/>
      <c r="Q1520" s="23" t="str">
        <f t="shared" si="4"/>
        <v/>
      </c>
      <c r="R1520" s="20"/>
      <c r="S1520" s="18"/>
      <c r="T1520" s="24"/>
      <c r="U1520" s="24"/>
      <c r="V1520" s="24"/>
      <c r="W1520" s="24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</row>
    <row r="1521">
      <c r="A1521" s="37"/>
      <c r="B1521" s="25"/>
      <c r="C1521" s="60"/>
      <c r="D1521" s="27"/>
      <c r="E1521" s="28"/>
      <c r="F1521" s="29"/>
      <c r="G1521" s="30" t="str">
        <f t="shared" si="61"/>
        <v/>
      </c>
      <c r="H1521" s="31" t="str">
        <f t="shared" si="73"/>
        <v/>
      </c>
      <c r="I1521" s="32" t="str">
        <f t="shared" si="65"/>
        <v/>
      </c>
      <c r="J1521" s="33" t="str">
        <f t="shared" si="25"/>
        <v/>
      </c>
      <c r="K1521" s="33"/>
      <c r="L1521" s="33"/>
      <c r="M1521" s="33"/>
      <c r="N1521" s="34"/>
      <c r="O1521" s="35" t="str">
        <f>IFERROR(__xludf.DUMMYFUNCTION("IFERROR(
  VLOOKUP(C1521,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C1521
    ), 
    7, FALSE
  ), 
  """"
)
"),"")</f>
        <v/>
      </c>
      <c r="P1521" s="35"/>
      <c r="Q1521" s="36" t="str">
        <f t="shared" si="4"/>
        <v/>
      </c>
      <c r="R1521" s="33"/>
      <c r="S1521" s="31"/>
      <c r="T1521" s="37"/>
      <c r="U1521" s="37"/>
      <c r="V1521" s="37"/>
      <c r="W1521" s="37"/>
      <c r="X1521" s="25"/>
      <c r="Y1521" s="25"/>
      <c r="Z1521" s="25"/>
      <c r="AA1521" s="25"/>
      <c r="AB1521" s="25"/>
      <c r="AC1521" s="25"/>
      <c r="AD1521" s="25"/>
      <c r="AE1521" s="25"/>
      <c r="AF1521" s="25"/>
      <c r="AG1521" s="25"/>
      <c r="AH1521" s="25"/>
      <c r="AI1521" s="25"/>
      <c r="AJ1521" s="25"/>
      <c r="AK1521" s="25"/>
      <c r="AL1521" s="25"/>
      <c r="AM1521" s="25"/>
    </row>
    <row r="1522">
      <c r="A1522" s="24"/>
      <c r="B1522" s="13"/>
      <c r="C1522" s="62"/>
      <c r="D1522" s="14"/>
      <c r="E1522" s="15"/>
      <c r="F1522" s="16"/>
      <c r="G1522" s="17" t="str">
        <f t="shared" si="61"/>
        <v/>
      </c>
      <c r="H1522" s="18" t="str">
        <f t="shared" si="73"/>
        <v/>
      </c>
      <c r="I1522" s="19" t="str">
        <f t="shared" si="65"/>
        <v/>
      </c>
      <c r="J1522" s="20" t="str">
        <f t="shared" si="25"/>
        <v/>
      </c>
      <c r="K1522" s="20"/>
      <c r="L1522" s="20"/>
      <c r="M1522" s="20"/>
      <c r="N1522" s="21"/>
      <c r="O1522" s="22" t="str">
        <f>IFERROR(__xludf.DUMMYFUNCTION("IFERROR(
  VLOOKUP(C1522,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C1522
    ), 
    7, FALSE
  ), 
  """"
)
"),"")</f>
        <v/>
      </c>
      <c r="P1522" s="22"/>
      <c r="Q1522" s="23" t="str">
        <f t="shared" si="4"/>
        <v/>
      </c>
      <c r="R1522" s="20"/>
      <c r="S1522" s="18"/>
      <c r="T1522" s="24"/>
      <c r="U1522" s="24"/>
      <c r="V1522" s="24"/>
      <c r="W1522" s="24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</row>
    <row r="1523">
      <c r="A1523" s="37"/>
      <c r="B1523" s="25"/>
      <c r="C1523" s="60"/>
      <c r="D1523" s="27"/>
      <c r="E1523" s="28"/>
      <c r="F1523" s="29"/>
      <c r="G1523" s="30" t="str">
        <f t="shared" si="61"/>
        <v/>
      </c>
      <c r="H1523" s="31" t="str">
        <f t="shared" si="73"/>
        <v/>
      </c>
      <c r="I1523" s="32" t="str">
        <f t="shared" si="65"/>
        <v/>
      </c>
      <c r="J1523" s="33" t="str">
        <f t="shared" si="25"/>
        <v/>
      </c>
      <c r="K1523" s="33"/>
      <c r="L1523" s="33"/>
      <c r="M1523" s="33"/>
      <c r="N1523" s="34"/>
      <c r="O1523" s="35" t="str">
        <f>IFERROR(__xludf.DUMMYFUNCTION("IFERROR(
  VLOOKUP(C1523,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C1523
    ), 
    7, FALSE
  ), 
  """"
)
"),"")</f>
        <v/>
      </c>
      <c r="P1523" s="35"/>
      <c r="Q1523" s="36" t="str">
        <f t="shared" si="4"/>
        <v/>
      </c>
      <c r="R1523" s="33"/>
      <c r="S1523" s="31"/>
      <c r="T1523" s="37"/>
      <c r="U1523" s="37"/>
      <c r="V1523" s="37"/>
      <c r="W1523" s="37"/>
      <c r="X1523" s="25"/>
      <c r="Y1523" s="25"/>
      <c r="Z1523" s="25"/>
      <c r="AA1523" s="25"/>
      <c r="AB1523" s="25"/>
      <c r="AC1523" s="25"/>
      <c r="AD1523" s="25"/>
      <c r="AE1523" s="25"/>
      <c r="AF1523" s="25"/>
      <c r="AG1523" s="25"/>
      <c r="AH1523" s="25"/>
      <c r="AI1523" s="25"/>
      <c r="AJ1523" s="25"/>
      <c r="AK1523" s="25"/>
      <c r="AL1523" s="25"/>
      <c r="AM1523" s="25"/>
    </row>
    <row r="1524">
      <c r="A1524" s="24"/>
      <c r="B1524" s="13"/>
      <c r="C1524" s="62"/>
      <c r="D1524" s="14"/>
      <c r="E1524" s="15"/>
      <c r="F1524" s="16"/>
      <c r="G1524" s="17" t="str">
        <f t="shared" si="61"/>
        <v/>
      </c>
      <c r="H1524" s="18" t="str">
        <f t="shared" si="73"/>
        <v/>
      </c>
      <c r="I1524" s="19" t="str">
        <f t="shared" si="65"/>
        <v/>
      </c>
      <c r="J1524" s="20" t="str">
        <f t="shared" si="25"/>
        <v/>
      </c>
      <c r="K1524" s="20"/>
      <c r="L1524" s="20"/>
      <c r="M1524" s="20"/>
      <c r="N1524" s="21"/>
      <c r="O1524" s="22" t="str">
        <f>IFERROR(__xludf.DUMMYFUNCTION("IFERROR(
  VLOOKUP(C1524,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C1524
    ), 
    7, FALSE
  ), 
  """"
)
"),"")</f>
        <v/>
      </c>
      <c r="P1524" s="22"/>
      <c r="Q1524" s="23" t="str">
        <f t="shared" si="4"/>
        <v/>
      </c>
      <c r="R1524" s="20"/>
      <c r="S1524" s="18"/>
      <c r="T1524" s="24"/>
      <c r="U1524" s="24"/>
      <c r="V1524" s="24"/>
      <c r="W1524" s="24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</row>
    <row r="1525">
      <c r="A1525" s="37"/>
      <c r="B1525" s="25"/>
      <c r="C1525" s="60"/>
      <c r="D1525" s="27"/>
      <c r="E1525" s="28"/>
      <c r="F1525" s="29"/>
      <c r="G1525" s="30" t="str">
        <f t="shared" si="61"/>
        <v/>
      </c>
      <c r="H1525" s="31" t="str">
        <f t="shared" si="73"/>
        <v/>
      </c>
      <c r="I1525" s="32" t="str">
        <f t="shared" si="65"/>
        <v/>
      </c>
      <c r="J1525" s="33" t="str">
        <f t="shared" si="25"/>
        <v/>
      </c>
      <c r="K1525" s="33"/>
      <c r="L1525" s="33"/>
      <c r="M1525" s="33"/>
      <c r="N1525" s="34"/>
      <c r="O1525" s="35" t="str">
        <f>IFERROR(__xludf.DUMMYFUNCTION("IFERROR(
  VLOOKUP(C1525,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C1525
    ), 
    7, FALSE
  ), 
  """"
)
"),"")</f>
        <v/>
      </c>
      <c r="P1525" s="35"/>
      <c r="Q1525" s="36" t="str">
        <f t="shared" si="4"/>
        <v/>
      </c>
      <c r="R1525" s="33"/>
      <c r="S1525" s="31"/>
      <c r="T1525" s="37"/>
      <c r="U1525" s="37"/>
      <c r="V1525" s="37"/>
      <c r="W1525" s="37"/>
      <c r="X1525" s="25"/>
      <c r="Y1525" s="25"/>
      <c r="Z1525" s="25"/>
      <c r="AA1525" s="25"/>
      <c r="AB1525" s="25"/>
      <c r="AC1525" s="25"/>
      <c r="AD1525" s="25"/>
      <c r="AE1525" s="25"/>
      <c r="AF1525" s="25"/>
      <c r="AG1525" s="25"/>
      <c r="AH1525" s="25"/>
      <c r="AI1525" s="25"/>
      <c r="AJ1525" s="25"/>
      <c r="AK1525" s="25"/>
      <c r="AL1525" s="25"/>
      <c r="AM1525" s="25"/>
    </row>
    <row r="1526">
      <c r="A1526" s="24"/>
      <c r="B1526" s="13"/>
      <c r="C1526" s="62"/>
      <c r="D1526" s="14"/>
      <c r="E1526" s="15"/>
      <c r="F1526" s="16"/>
      <c r="G1526" s="17" t="str">
        <f t="shared" si="61"/>
        <v/>
      </c>
      <c r="H1526" s="18" t="str">
        <f t="shared" si="73"/>
        <v/>
      </c>
      <c r="I1526" s="19" t="str">
        <f t="shared" si="65"/>
        <v/>
      </c>
      <c r="J1526" s="20" t="str">
        <f t="shared" si="25"/>
        <v/>
      </c>
      <c r="K1526" s="20"/>
      <c r="L1526" s="20"/>
      <c r="M1526" s="20"/>
      <c r="N1526" s="21"/>
      <c r="O1526" s="22" t="str">
        <f>IFERROR(__xludf.DUMMYFUNCTION("IFERROR(
  VLOOKUP(C1526,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C1526
    ), 
    7, FALSE
  ), 
  """"
)
"),"")</f>
        <v/>
      </c>
      <c r="P1526" s="22"/>
      <c r="Q1526" s="23" t="str">
        <f t="shared" si="4"/>
        <v/>
      </c>
      <c r="R1526" s="20"/>
      <c r="S1526" s="18"/>
      <c r="T1526" s="24"/>
      <c r="U1526" s="24"/>
      <c r="V1526" s="24"/>
      <c r="W1526" s="24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</row>
    <row r="1527">
      <c r="A1527" s="37"/>
      <c r="B1527" s="25"/>
      <c r="C1527" s="60"/>
      <c r="D1527" s="27"/>
      <c r="E1527" s="28"/>
      <c r="F1527" s="29"/>
      <c r="G1527" s="30" t="str">
        <f t="shared" si="61"/>
        <v/>
      </c>
      <c r="H1527" s="31" t="str">
        <f t="shared" si="73"/>
        <v/>
      </c>
      <c r="I1527" s="32" t="str">
        <f t="shared" si="65"/>
        <v/>
      </c>
      <c r="J1527" s="33" t="str">
        <f t="shared" si="25"/>
        <v/>
      </c>
      <c r="K1527" s="33"/>
      <c r="L1527" s="33"/>
      <c r="M1527" s="33"/>
      <c r="N1527" s="34"/>
      <c r="O1527" s="35" t="str">
        <f>IFERROR(__xludf.DUMMYFUNCTION("IFERROR(
  VLOOKUP(C1527,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C1527
    ), 
    7, FALSE
  ), 
  """"
)
"),"")</f>
        <v/>
      </c>
      <c r="P1527" s="35"/>
      <c r="Q1527" s="36" t="str">
        <f t="shared" si="4"/>
        <v/>
      </c>
      <c r="R1527" s="33"/>
      <c r="S1527" s="31"/>
      <c r="T1527" s="37"/>
      <c r="U1527" s="37"/>
      <c r="V1527" s="37"/>
      <c r="W1527" s="37"/>
      <c r="X1527" s="25"/>
      <c r="Y1527" s="25"/>
      <c r="Z1527" s="25"/>
      <c r="AA1527" s="25"/>
      <c r="AB1527" s="25"/>
      <c r="AC1527" s="25"/>
      <c r="AD1527" s="25"/>
      <c r="AE1527" s="25"/>
      <c r="AF1527" s="25"/>
      <c r="AG1527" s="25"/>
      <c r="AH1527" s="25"/>
      <c r="AI1527" s="25"/>
      <c r="AJ1527" s="25"/>
      <c r="AK1527" s="25"/>
      <c r="AL1527" s="25"/>
      <c r="AM1527" s="25"/>
    </row>
    <row r="1528">
      <c r="A1528" s="24"/>
      <c r="B1528" s="13"/>
      <c r="C1528" s="62"/>
      <c r="D1528" s="14"/>
      <c r="E1528" s="15"/>
      <c r="F1528" s="16"/>
      <c r="G1528" s="17" t="str">
        <f t="shared" si="61"/>
        <v/>
      </c>
      <c r="H1528" s="18" t="str">
        <f t="shared" si="73"/>
        <v/>
      </c>
      <c r="I1528" s="19" t="str">
        <f t="shared" si="65"/>
        <v/>
      </c>
      <c r="J1528" s="20" t="str">
        <f t="shared" si="25"/>
        <v/>
      </c>
      <c r="K1528" s="20"/>
      <c r="L1528" s="20"/>
      <c r="M1528" s="20"/>
      <c r="N1528" s="21"/>
      <c r="O1528" s="22" t="str">
        <f>IFERROR(__xludf.DUMMYFUNCTION("IFERROR(
  VLOOKUP(C1528,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C1528
    ), 
    7, FALSE
  ), 
  """"
)
"),"")</f>
        <v/>
      </c>
      <c r="P1528" s="22"/>
      <c r="Q1528" s="23" t="str">
        <f t="shared" si="4"/>
        <v/>
      </c>
      <c r="R1528" s="20"/>
      <c r="S1528" s="18"/>
      <c r="T1528" s="24"/>
      <c r="U1528" s="24"/>
      <c r="V1528" s="24"/>
      <c r="W1528" s="24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</row>
    <row r="1529">
      <c r="A1529" s="37"/>
      <c r="B1529" s="25"/>
      <c r="C1529" s="60"/>
      <c r="D1529" s="27"/>
      <c r="E1529" s="28"/>
      <c r="F1529" s="29"/>
      <c r="G1529" s="30" t="str">
        <f t="shared" si="61"/>
        <v/>
      </c>
      <c r="H1529" s="31" t="str">
        <f t="shared" si="73"/>
        <v/>
      </c>
      <c r="I1529" s="32" t="str">
        <f t="shared" si="65"/>
        <v/>
      </c>
      <c r="J1529" s="33" t="str">
        <f t="shared" si="25"/>
        <v/>
      </c>
      <c r="K1529" s="33"/>
      <c r="L1529" s="33"/>
      <c r="M1529" s="33"/>
      <c r="N1529" s="34"/>
      <c r="O1529" s="35" t="str">
        <f>IFERROR(__xludf.DUMMYFUNCTION("IFERROR(
  VLOOKUP(C1529,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C1529
    ), 
    7, FALSE
  ), 
  """"
)
"),"")</f>
        <v/>
      </c>
      <c r="P1529" s="35"/>
      <c r="Q1529" s="36" t="str">
        <f t="shared" si="4"/>
        <v/>
      </c>
      <c r="R1529" s="33"/>
      <c r="S1529" s="31"/>
      <c r="T1529" s="37"/>
      <c r="U1529" s="37"/>
      <c r="V1529" s="37"/>
      <c r="W1529" s="37"/>
      <c r="X1529" s="25"/>
      <c r="Y1529" s="25"/>
      <c r="Z1529" s="25"/>
      <c r="AA1529" s="25"/>
      <c r="AB1529" s="25"/>
      <c r="AC1529" s="25"/>
      <c r="AD1529" s="25"/>
      <c r="AE1529" s="25"/>
      <c r="AF1529" s="25"/>
      <c r="AG1529" s="25"/>
      <c r="AH1529" s="25"/>
      <c r="AI1529" s="25"/>
      <c r="AJ1529" s="25"/>
      <c r="AK1529" s="25"/>
      <c r="AL1529" s="25"/>
      <c r="AM1529" s="25"/>
    </row>
    <row r="1530">
      <c r="A1530" s="24"/>
      <c r="B1530" s="13"/>
      <c r="C1530" s="62"/>
      <c r="D1530" s="14"/>
      <c r="E1530" s="15"/>
      <c r="F1530" s="16"/>
      <c r="G1530" s="17" t="str">
        <f t="shared" si="61"/>
        <v/>
      </c>
      <c r="H1530" s="18" t="str">
        <f t="shared" si="73"/>
        <v/>
      </c>
      <c r="I1530" s="19" t="str">
        <f t="shared" si="65"/>
        <v/>
      </c>
      <c r="J1530" s="20" t="str">
        <f t="shared" si="25"/>
        <v/>
      </c>
      <c r="K1530" s="20"/>
      <c r="L1530" s="20"/>
      <c r="M1530" s="20"/>
      <c r="N1530" s="21"/>
      <c r="O1530" s="22" t="str">
        <f>IFERROR(__xludf.DUMMYFUNCTION("IFERROR(
  VLOOKUP(C1530,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C1530
    ), 
    7, FALSE
  ), 
  """"
)
"),"")</f>
        <v/>
      </c>
      <c r="P1530" s="22"/>
      <c r="Q1530" s="23" t="str">
        <f t="shared" si="4"/>
        <v/>
      </c>
      <c r="R1530" s="20"/>
      <c r="S1530" s="18"/>
      <c r="T1530" s="24"/>
      <c r="U1530" s="24"/>
      <c r="V1530" s="24"/>
      <c r="W1530" s="24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</row>
    <row r="1531">
      <c r="A1531" s="37"/>
      <c r="B1531" s="25"/>
      <c r="C1531" s="60"/>
      <c r="D1531" s="27"/>
      <c r="E1531" s="28"/>
      <c r="F1531" s="29"/>
      <c r="G1531" s="30" t="str">
        <f t="shared" si="61"/>
        <v/>
      </c>
      <c r="H1531" s="31" t="str">
        <f t="shared" si="73"/>
        <v/>
      </c>
      <c r="I1531" s="32" t="str">
        <f t="shared" si="65"/>
        <v/>
      </c>
      <c r="J1531" s="33" t="str">
        <f t="shared" si="25"/>
        <v/>
      </c>
      <c r="K1531" s="33"/>
      <c r="L1531" s="33"/>
      <c r="M1531" s="33"/>
      <c r="N1531" s="34"/>
      <c r="O1531" s="35" t="str">
        <f>IFERROR(__xludf.DUMMYFUNCTION("IFERROR(
  VLOOKUP(C1531,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C1531
    ), 
    7, FALSE
  ), 
  """"
)
"),"")</f>
        <v/>
      </c>
      <c r="P1531" s="35"/>
      <c r="Q1531" s="36" t="str">
        <f t="shared" si="4"/>
        <v/>
      </c>
      <c r="R1531" s="33"/>
      <c r="S1531" s="31"/>
      <c r="T1531" s="37"/>
      <c r="U1531" s="37"/>
      <c r="V1531" s="37"/>
      <c r="W1531" s="37"/>
      <c r="X1531" s="25"/>
      <c r="Y1531" s="25"/>
      <c r="Z1531" s="25"/>
      <c r="AA1531" s="25"/>
      <c r="AB1531" s="25"/>
      <c r="AC1531" s="25"/>
      <c r="AD1531" s="25"/>
      <c r="AE1531" s="25"/>
      <c r="AF1531" s="25"/>
      <c r="AG1531" s="25"/>
      <c r="AH1531" s="25"/>
      <c r="AI1531" s="25"/>
      <c r="AJ1531" s="25"/>
      <c r="AK1531" s="25"/>
      <c r="AL1531" s="25"/>
      <c r="AM1531" s="25"/>
    </row>
    <row r="1532">
      <c r="A1532" s="24"/>
      <c r="B1532" s="13"/>
      <c r="C1532" s="62"/>
      <c r="D1532" s="14"/>
      <c r="E1532" s="15"/>
      <c r="F1532" s="16"/>
      <c r="G1532" s="17" t="str">
        <f t="shared" si="61"/>
        <v/>
      </c>
      <c r="H1532" s="18" t="str">
        <f t="shared" si="73"/>
        <v/>
      </c>
      <c r="I1532" s="19" t="str">
        <f t="shared" si="65"/>
        <v/>
      </c>
      <c r="J1532" s="20" t="str">
        <f t="shared" si="25"/>
        <v/>
      </c>
      <c r="K1532" s="20"/>
      <c r="L1532" s="20"/>
      <c r="M1532" s="20"/>
      <c r="N1532" s="21"/>
      <c r="O1532" s="22" t="str">
        <f>IFERROR(__xludf.DUMMYFUNCTION("IFERROR(
  VLOOKUP(C1532,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C1532
    ), 
    7, FALSE
  ), 
  """"
)
"),"")</f>
        <v/>
      </c>
      <c r="P1532" s="22"/>
      <c r="Q1532" s="23" t="str">
        <f t="shared" si="4"/>
        <v/>
      </c>
      <c r="R1532" s="20"/>
      <c r="S1532" s="18"/>
      <c r="T1532" s="24"/>
      <c r="U1532" s="24"/>
      <c r="V1532" s="24"/>
      <c r="W1532" s="24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</row>
    <row r="1533">
      <c r="A1533" s="37"/>
      <c r="B1533" s="25"/>
      <c r="C1533" s="60"/>
      <c r="D1533" s="27"/>
      <c r="E1533" s="28"/>
      <c r="F1533" s="29"/>
      <c r="G1533" s="30" t="str">
        <f t="shared" si="61"/>
        <v/>
      </c>
      <c r="H1533" s="31" t="str">
        <f t="shared" si="73"/>
        <v/>
      </c>
      <c r="I1533" s="32" t="str">
        <f t="shared" si="65"/>
        <v/>
      </c>
      <c r="J1533" s="33" t="str">
        <f t="shared" si="25"/>
        <v/>
      </c>
      <c r="K1533" s="33"/>
      <c r="L1533" s="33"/>
      <c r="M1533" s="33"/>
      <c r="N1533" s="34"/>
      <c r="O1533" s="35" t="str">
        <f>IFERROR(__xludf.DUMMYFUNCTION("IFERROR(
  VLOOKUP(C1533,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C1533
    ), 
    7, FALSE
  ), 
  """"
)
"),"")</f>
        <v/>
      </c>
      <c r="P1533" s="35"/>
      <c r="Q1533" s="36" t="str">
        <f t="shared" si="4"/>
        <v/>
      </c>
      <c r="R1533" s="33"/>
      <c r="S1533" s="31"/>
      <c r="T1533" s="37"/>
      <c r="U1533" s="37"/>
      <c r="V1533" s="37"/>
      <c r="W1533" s="37"/>
      <c r="X1533" s="25"/>
      <c r="Y1533" s="25"/>
      <c r="Z1533" s="25"/>
      <c r="AA1533" s="25"/>
      <c r="AB1533" s="25"/>
      <c r="AC1533" s="25"/>
      <c r="AD1533" s="25"/>
      <c r="AE1533" s="25"/>
      <c r="AF1533" s="25"/>
      <c r="AG1533" s="25"/>
      <c r="AH1533" s="25"/>
      <c r="AI1533" s="25"/>
      <c r="AJ1533" s="25"/>
      <c r="AK1533" s="25"/>
      <c r="AL1533" s="25"/>
      <c r="AM1533" s="25"/>
    </row>
    <row r="1534">
      <c r="A1534" s="24"/>
      <c r="B1534" s="13"/>
      <c r="C1534" s="62"/>
      <c r="D1534" s="14"/>
      <c r="E1534" s="15"/>
      <c r="F1534" s="16"/>
      <c r="G1534" s="17" t="str">
        <f t="shared" si="61"/>
        <v/>
      </c>
      <c r="H1534" s="18" t="str">
        <f t="shared" si="73"/>
        <v/>
      </c>
      <c r="I1534" s="19" t="str">
        <f t="shared" si="65"/>
        <v/>
      </c>
      <c r="J1534" s="20" t="str">
        <f t="shared" si="25"/>
        <v/>
      </c>
      <c r="K1534" s="20"/>
      <c r="L1534" s="20"/>
      <c r="M1534" s="20"/>
      <c r="N1534" s="21"/>
      <c r="O1534" s="22" t="str">
        <f>IFERROR(__xludf.DUMMYFUNCTION("IFERROR(
  VLOOKUP(C1534,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C1534
    ), 
    7, FALSE
  ), 
  """"
)
"),"")</f>
        <v/>
      </c>
      <c r="P1534" s="22"/>
      <c r="Q1534" s="23" t="str">
        <f t="shared" si="4"/>
        <v/>
      </c>
      <c r="R1534" s="20"/>
      <c r="S1534" s="18"/>
      <c r="T1534" s="24"/>
      <c r="U1534" s="24"/>
      <c r="V1534" s="24"/>
      <c r="W1534" s="24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</row>
    <row r="1535">
      <c r="A1535" s="37"/>
      <c r="B1535" s="25"/>
      <c r="C1535" s="60"/>
      <c r="D1535" s="27"/>
      <c r="E1535" s="28"/>
      <c r="F1535" s="29"/>
      <c r="G1535" s="30" t="str">
        <f t="shared" si="61"/>
        <v/>
      </c>
      <c r="H1535" s="31" t="str">
        <f t="shared" si="73"/>
        <v/>
      </c>
      <c r="I1535" s="32" t="str">
        <f t="shared" si="65"/>
        <v/>
      </c>
      <c r="J1535" s="33" t="str">
        <f t="shared" si="25"/>
        <v/>
      </c>
      <c r="K1535" s="33"/>
      <c r="L1535" s="33"/>
      <c r="M1535" s="33"/>
      <c r="N1535" s="34"/>
      <c r="O1535" s="35" t="str">
        <f>IFERROR(__xludf.DUMMYFUNCTION("IFERROR(
  VLOOKUP(C1535,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C1535
    ), 
    7, FALSE
  ), 
  """"
)
"),"")</f>
        <v/>
      </c>
      <c r="P1535" s="35"/>
      <c r="Q1535" s="36" t="str">
        <f t="shared" si="4"/>
        <v/>
      </c>
      <c r="R1535" s="33"/>
      <c r="S1535" s="31"/>
      <c r="T1535" s="37"/>
      <c r="U1535" s="37"/>
      <c r="V1535" s="37"/>
      <c r="W1535" s="37"/>
      <c r="X1535" s="25"/>
      <c r="Y1535" s="25"/>
      <c r="Z1535" s="25"/>
      <c r="AA1535" s="25"/>
      <c r="AB1535" s="25"/>
      <c r="AC1535" s="25"/>
      <c r="AD1535" s="25"/>
      <c r="AE1535" s="25"/>
      <c r="AF1535" s="25"/>
      <c r="AG1535" s="25"/>
      <c r="AH1535" s="25"/>
      <c r="AI1535" s="25"/>
      <c r="AJ1535" s="25"/>
      <c r="AK1535" s="25"/>
      <c r="AL1535" s="25"/>
      <c r="AM1535" s="25"/>
    </row>
    <row r="1536">
      <c r="A1536" s="24"/>
      <c r="B1536" s="13"/>
      <c r="C1536" s="62"/>
      <c r="D1536" s="14"/>
      <c r="E1536" s="15"/>
      <c r="F1536" s="16"/>
      <c r="G1536" s="17" t="str">
        <f t="shared" si="61"/>
        <v/>
      </c>
      <c r="H1536" s="18" t="str">
        <f t="shared" si="73"/>
        <v/>
      </c>
      <c r="I1536" s="19" t="str">
        <f t="shared" si="65"/>
        <v/>
      </c>
      <c r="J1536" s="20" t="str">
        <f t="shared" si="25"/>
        <v/>
      </c>
      <c r="K1536" s="20"/>
      <c r="L1536" s="20"/>
      <c r="M1536" s="20"/>
      <c r="N1536" s="21"/>
      <c r="O1536" s="22" t="str">
        <f>IFERROR(__xludf.DUMMYFUNCTION("IFERROR(
  VLOOKUP(C1536,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C1536
    ), 
    7, FALSE
  ), 
  """"
)
"),"")</f>
        <v/>
      </c>
      <c r="P1536" s="22"/>
      <c r="Q1536" s="23" t="str">
        <f t="shared" si="4"/>
        <v/>
      </c>
      <c r="R1536" s="20"/>
      <c r="S1536" s="18"/>
      <c r="T1536" s="24"/>
      <c r="U1536" s="24"/>
      <c r="V1536" s="24"/>
      <c r="W1536" s="24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</row>
    <row r="1537">
      <c r="A1537" s="37"/>
      <c r="B1537" s="25"/>
      <c r="C1537" s="60"/>
      <c r="D1537" s="27"/>
      <c r="E1537" s="28"/>
      <c r="F1537" s="29"/>
      <c r="G1537" s="30" t="str">
        <f t="shared" si="61"/>
        <v/>
      </c>
      <c r="H1537" s="31" t="str">
        <f t="shared" si="73"/>
        <v/>
      </c>
      <c r="I1537" s="32" t="str">
        <f t="shared" si="65"/>
        <v/>
      </c>
      <c r="J1537" s="33" t="str">
        <f t="shared" si="25"/>
        <v/>
      </c>
      <c r="K1537" s="33"/>
      <c r="L1537" s="33"/>
      <c r="M1537" s="33"/>
      <c r="N1537" s="34"/>
      <c r="O1537" s="35" t="str">
        <f>IFERROR(__xludf.DUMMYFUNCTION("IFERROR(
  VLOOKUP(C1537,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C1537
    ), 
    7, FALSE
  ), 
  """"
)
"),"")</f>
        <v/>
      </c>
      <c r="P1537" s="35"/>
      <c r="Q1537" s="36" t="str">
        <f t="shared" si="4"/>
        <v/>
      </c>
      <c r="R1537" s="33"/>
      <c r="S1537" s="31"/>
      <c r="T1537" s="37"/>
      <c r="U1537" s="37"/>
      <c r="V1537" s="37"/>
      <c r="W1537" s="37"/>
      <c r="X1537" s="25"/>
      <c r="Y1537" s="25"/>
      <c r="Z1537" s="25"/>
      <c r="AA1537" s="25"/>
      <c r="AB1537" s="25"/>
      <c r="AC1537" s="25"/>
      <c r="AD1537" s="25"/>
      <c r="AE1537" s="25"/>
      <c r="AF1537" s="25"/>
      <c r="AG1537" s="25"/>
      <c r="AH1537" s="25"/>
      <c r="AI1537" s="25"/>
      <c r="AJ1537" s="25"/>
      <c r="AK1537" s="25"/>
      <c r="AL1537" s="25"/>
      <c r="AM1537" s="25"/>
    </row>
    <row r="1538">
      <c r="A1538" s="24"/>
      <c r="B1538" s="13"/>
      <c r="C1538" s="62"/>
      <c r="D1538" s="14"/>
      <c r="E1538" s="15"/>
      <c r="F1538" s="16"/>
      <c r="G1538" s="17" t="str">
        <f t="shared" si="61"/>
        <v/>
      </c>
      <c r="H1538" s="18" t="str">
        <f t="shared" si="73"/>
        <v/>
      </c>
      <c r="I1538" s="19" t="str">
        <f t="shared" si="65"/>
        <v/>
      </c>
      <c r="J1538" s="20" t="str">
        <f t="shared" si="25"/>
        <v/>
      </c>
      <c r="K1538" s="20"/>
      <c r="L1538" s="20"/>
      <c r="M1538" s="20"/>
      <c r="N1538" s="21"/>
      <c r="O1538" s="22" t="str">
        <f>IFERROR(__xludf.DUMMYFUNCTION("IFERROR(
  VLOOKUP(C1538,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C1538
    ), 
    7, FALSE
  ), 
  """"
)
"),"")</f>
        <v/>
      </c>
      <c r="P1538" s="22"/>
      <c r="Q1538" s="23" t="str">
        <f t="shared" si="4"/>
        <v/>
      </c>
      <c r="R1538" s="20"/>
      <c r="S1538" s="18"/>
      <c r="T1538" s="24"/>
      <c r="U1538" s="24"/>
      <c r="V1538" s="24"/>
      <c r="W1538" s="24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</row>
    <row r="1539">
      <c r="A1539" s="37"/>
      <c r="B1539" s="25"/>
      <c r="C1539" s="60"/>
      <c r="D1539" s="27"/>
      <c r="E1539" s="28"/>
      <c r="F1539" s="29"/>
      <c r="G1539" s="30" t="str">
        <f t="shared" si="61"/>
        <v/>
      </c>
      <c r="H1539" s="31" t="str">
        <f t="shared" si="73"/>
        <v/>
      </c>
      <c r="I1539" s="32" t="str">
        <f t="shared" si="65"/>
        <v/>
      </c>
      <c r="J1539" s="33" t="str">
        <f t="shared" si="25"/>
        <v/>
      </c>
      <c r="K1539" s="33"/>
      <c r="L1539" s="33"/>
      <c r="M1539" s="33"/>
      <c r="N1539" s="34"/>
      <c r="O1539" s="35" t="str">
        <f>IFERROR(__xludf.DUMMYFUNCTION("IFERROR(
  VLOOKUP(C1539,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C1539
    ), 
    7, FALSE
  ), 
  """"
)
"),"")</f>
        <v/>
      </c>
      <c r="P1539" s="35"/>
      <c r="Q1539" s="36" t="str">
        <f t="shared" si="4"/>
        <v/>
      </c>
      <c r="R1539" s="33"/>
      <c r="S1539" s="31"/>
      <c r="T1539" s="37"/>
      <c r="U1539" s="37"/>
      <c r="V1539" s="37"/>
      <c r="W1539" s="37"/>
      <c r="X1539" s="25"/>
      <c r="Y1539" s="25"/>
      <c r="Z1539" s="25"/>
      <c r="AA1539" s="25"/>
      <c r="AB1539" s="25"/>
      <c r="AC1539" s="25"/>
      <c r="AD1539" s="25"/>
      <c r="AE1539" s="25"/>
      <c r="AF1539" s="25"/>
      <c r="AG1539" s="25"/>
      <c r="AH1539" s="25"/>
      <c r="AI1539" s="25"/>
      <c r="AJ1539" s="25"/>
      <c r="AK1539" s="25"/>
      <c r="AL1539" s="25"/>
      <c r="AM1539" s="25"/>
    </row>
    <row r="1540">
      <c r="A1540" s="24"/>
      <c r="B1540" s="13"/>
      <c r="C1540" s="62"/>
      <c r="D1540" s="14"/>
      <c r="E1540" s="15"/>
      <c r="F1540" s="16"/>
      <c r="G1540" s="17" t="str">
        <f t="shared" si="61"/>
        <v/>
      </c>
      <c r="H1540" s="18" t="str">
        <f t="shared" si="73"/>
        <v/>
      </c>
      <c r="I1540" s="19" t="str">
        <f t="shared" si="65"/>
        <v/>
      </c>
      <c r="J1540" s="20" t="str">
        <f t="shared" si="25"/>
        <v/>
      </c>
      <c r="K1540" s="20"/>
      <c r="L1540" s="20"/>
      <c r="M1540" s="20"/>
      <c r="N1540" s="21"/>
      <c r="O1540" s="22" t="str">
        <f>IFERROR(__xludf.DUMMYFUNCTION("IFERROR(
  VLOOKUP(C1540,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C1540
    ), 
    7, FALSE
  ), 
  """"
)
"),"")</f>
        <v/>
      </c>
      <c r="P1540" s="22"/>
      <c r="Q1540" s="23" t="str">
        <f t="shared" si="4"/>
        <v/>
      </c>
      <c r="R1540" s="20"/>
      <c r="S1540" s="18"/>
      <c r="T1540" s="24"/>
      <c r="U1540" s="24"/>
      <c r="V1540" s="24"/>
      <c r="W1540" s="24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</row>
    <row r="1541">
      <c r="A1541" s="37"/>
      <c r="B1541" s="25"/>
      <c r="C1541" s="60"/>
      <c r="D1541" s="27"/>
      <c r="E1541" s="28"/>
      <c r="F1541" s="29"/>
      <c r="G1541" s="30" t="str">
        <f t="shared" si="61"/>
        <v/>
      </c>
      <c r="H1541" s="31" t="str">
        <f t="shared" si="73"/>
        <v/>
      </c>
      <c r="I1541" s="32" t="str">
        <f t="shared" si="65"/>
        <v/>
      </c>
      <c r="J1541" s="33" t="str">
        <f t="shared" si="25"/>
        <v/>
      </c>
      <c r="K1541" s="33"/>
      <c r="L1541" s="33"/>
      <c r="M1541" s="33"/>
      <c r="N1541" s="34"/>
      <c r="O1541" s="35" t="str">
        <f>IFERROR(__xludf.DUMMYFUNCTION("IFERROR(
  VLOOKUP(C1541,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C1541
    ), 
    7, FALSE
  ), 
  """"
)
"),"")</f>
        <v/>
      </c>
      <c r="P1541" s="35"/>
      <c r="Q1541" s="36" t="str">
        <f t="shared" si="4"/>
        <v/>
      </c>
      <c r="R1541" s="33"/>
      <c r="S1541" s="31"/>
      <c r="T1541" s="37"/>
      <c r="U1541" s="37"/>
      <c r="V1541" s="37"/>
      <c r="W1541" s="37"/>
      <c r="X1541" s="25"/>
      <c r="Y1541" s="25"/>
      <c r="Z1541" s="25"/>
      <c r="AA1541" s="25"/>
      <c r="AB1541" s="25"/>
      <c r="AC1541" s="25"/>
      <c r="AD1541" s="25"/>
      <c r="AE1541" s="25"/>
      <c r="AF1541" s="25"/>
      <c r="AG1541" s="25"/>
      <c r="AH1541" s="25"/>
      <c r="AI1541" s="25"/>
      <c r="AJ1541" s="25"/>
      <c r="AK1541" s="25"/>
      <c r="AL1541" s="25"/>
      <c r="AM1541" s="25"/>
    </row>
    <row r="1542">
      <c r="A1542" s="24"/>
      <c r="B1542" s="13"/>
      <c r="C1542" s="62"/>
      <c r="D1542" s="14"/>
      <c r="E1542" s="15"/>
      <c r="F1542" s="16"/>
      <c r="G1542" s="17" t="str">
        <f t="shared" si="61"/>
        <v/>
      </c>
      <c r="H1542" s="18" t="str">
        <f t="shared" si="73"/>
        <v/>
      </c>
      <c r="I1542" s="19" t="str">
        <f t="shared" si="65"/>
        <v/>
      </c>
      <c r="J1542" s="20" t="str">
        <f t="shared" si="25"/>
        <v/>
      </c>
      <c r="K1542" s="20"/>
      <c r="L1542" s="20"/>
      <c r="M1542" s="20"/>
      <c r="N1542" s="21"/>
      <c r="O1542" s="22" t="str">
        <f>IFERROR(__xludf.DUMMYFUNCTION("IFERROR(
  VLOOKUP(C1542,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C1542
    ), 
    7, FALSE
  ), 
  """"
)
"),"")</f>
        <v/>
      </c>
      <c r="P1542" s="22"/>
      <c r="Q1542" s="23" t="str">
        <f t="shared" si="4"/>
        <v/>
      </c>
      <c r="R1542" s="20"/>
      <c r="S1542" s="18"/>
      <c r="T1542" s="24"/>
      <c r="U1542" s="24"/>
      <c r="V1542" s="24"/>
      <c r="W1542" s="24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</row>
    <row r="1543">
      <c r="A1543" s="37"/>
      <c r="B1543" s="25"/>
      <c r="C1543" s="60"/>
      <c r="D1543" s="27"/>
      <c r="E1543" s="28"/>
      <c r="F1543" s="29"/>
      <c r="G1543" s="30" t="str">
        <f t="shared" si="61"/>
        <v/>
      </c>
      <c r="H1543" s="31" t="str">
        <f t="shared" si="73"/>
        <v/>
      </c>
      <c r="I1543" s="32" t="str">
        <f t="shared" si="65"/>
        <v/>
      </c>
      <c r="J1543" s="33" t="str">
        <f t="shared" si="25"/>
        <v/>
      </c>
      <c r="K1543" s="33"/>
      <c r="L1543" s="33"/>
      <c r="M1543" s="33"/>
      <c r="N1543" s="34"/>
      <c r="O1543" s="35" t="str">
        <f>IFERROR(__xludf.DUMMYFUNCTION("IFERROR(
  VLOOKUP(C1543,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C1543
    ), 
    7, FALSE
  ), 
  """"
)
"),"")</f>
        <v/>
      </c>
      <c r="P1543" s="35"/>
      <c r="Q1543" s="36" t="str">
        <f t="shared" si="4"/>
        <v/>
      </c>
      <c r="R1543" s="33"/>
      <c r="S1543" s="31"/>
      <c r="T1543" s="37"/>
      <c r="U1543" s="37"/>
      <c r="V1543" s="37"/>
      <c r="W1543" s="37"/>
      <c r="X1543" s="25"/>
      <c r="Y1543" s="25"/>
      <c r="Z1543" s="25"/>
      <c r="AA1543" s="25"/>
      <c r="AB1543" s="25"/>
      <c r="AC1543" s="25"/>
      <c r="AD1543" s="25"/>
      <c r="AE1543" s="25"/>
      <c r="AF1543" s="25"/>
      <c r="AG1543" s="25"/>
      <c r="AH1543" s="25"/>
      <c r="AI1543" s="25"/>
      <c r="AJ1543" s="25"/>
      <c r="AK1543" s="25"/>
      <c r="AL1543" s="25"/>
      <c r="AM1543" s="25"/>
    </row>
    <row r="1544">
      <c r="A1544" s="24"/>
      <c r="B1544" s="13"/>
      <c r="C1544" s="62"/>
      <c r="D1544" s="14"/>
      <c r="E1544" s="15"/>
      <c r="F1544" s="16"/>
      <c r="G1544" s="17" t="str">
        <f t="shared" si="61"/>
        <v/>
      </c>
      <c r="H1544" s="18" t="str">
        <f t="shared" si="73"/>
        <v/>
      </c>
      <c r="I1544" s="19" t="str">
        <f t="shared" si="65"/>
        <v/>
      </c>
      <c r="J1544" s="20" t="str">
        <f t="shared" si="25"/>
        <v/>
      </c>
      <c r="K1544" s="20"/>
      <c r="L1544" s="20"/>
      <c r="M1544" s="20"/>
      <c r="N1544" s="21"/>
      <c r="O1544" s="22" t="str">
        <f>IFERROR(__xludf.DUMMYFUNCTION("IFERROR(
  VLOOKUP(C1544,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C1544
    ), 
    7, FALSE
  ), 
  """"
)
"),"")</f>
        <v/>
      </c>
      <c r="P1544" s="22"/>
      <c r="Q1544" s="23" t="str">
        <f t="shared" si="4"/>
        <v/>
      </c>
      <c r="R1544" s="20"/>
      <c r="S1544" s="18"/>
      <c r="T1544" s="24"/>
      <c r="U1544" s="24"/>
      <c r="V1544" s="24"/>
      <c r="W1544" s="24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</row>
    <row r="1545">
      <c r="A1545" s="37"/>
      <c r="B1545" s="25"/>
      <c r="C1545" s="60"/>
      <c r="D1545" s="27"/>
      <c r="E1545" s="28"/>
      <c r="F1545" s="29"/>
      <c r="G1545" s="30" t="str">
        <f t="shared" si="61"/>
        <v/>
      </c>
      <c r="H1545" s="31" t="str">
        <f t="shared" si="73"/>
        <v/>
      </c>
      <c r="I1545" s="32" t="str">
        <f t="shared" si="65"/>
        <v/>
      </c>
      <c r="J1545" s="33" t="str">
        <f t="shared" si="25"/>
        <v/>
      </c>
      <c r="K1545" s="33"/>
      <c r="L1545" s="33"/>
      <c r="M1545" s="33"/>
      <c r="N1545" s="34"/>
      <c r="O1545" s="35" t="str">
        <f>IFERROR(__xludf.DUMMYFUNCTION("IFERROR(
  VLOOKUP(C1545,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C1545
    ), 
    7, FALSE
  ), 
  """"
)
"),"")</f>
        <v/>
      </c>
      <c r="P1545" s="35"/>
      <c r="Q1545" s="36" t="str">
        <f t="shared" si="4"/>
        <v/>
      </c>
      <c r="R1545" s="33"/>
      <c r="S1545" s="31"/>
      <c r="T1545" s="37"/>
      <c r="U1545" s="37"/>
      <c r="V1545" s="37"/>
      <c r="W1545" s="37"/>
      <c r="X1545" s="25"/>
      <c r="Y1545" s="25"/>
      <c r="Z1545" s="25"/>
      <c r="AA1545" s="25"/>
      <c r="AB1545" s="25"/>
      <c r="AC1545" s="25"/>
      <c r="AD1545" s="25"/>
      <c r="AE1545" s="25"/>
      <c r="AF1545" s="25"/>
      <c r="AG1545" s="25"/>
      <c r="AH1545" s="25"/>
      <c r="AI1545" s="25"/>
      <c r="AJ1545" s="25"/>
      <c r="AK1545" s="25"/>
      <c r="AL1545" s="25"/>
      <c r="AM1545" s="25"/>
    </row>
    <row r="1546">
      <c r="A1546" s="24"/>
      <c r="B1546" s="13"/>
      <c r="C1546" s="62"/>
      <c r="D1546" s="14"/>
      <c r="E1546" s="15"/>
      <c r="F1546" s="16"/>
      <c r="G1546" s="17" t="str">
        <f t="shared" si="61"/>
        <v/>
      </c>
      <c r="H1546" s="18" t="str">
        <f t="shared" si="73"/>
        <v/>
      </c>
      <c r="I1546" s="19" t="str">
        <f t="shared" si="65"/>
        <v/>
      </c>
      <c r="J1546" s="20" t="str">
        <f t="shared" si="25"/>
        <v/>
      </c>
      <c r="K1546" s="20"/>
      <c r="L1546" s="20"/>
      <c r="M1546" s="20"/>
      <c r="N1546" s="21"/>
      <c r="O1546" s="22" t="str">
        <f>IFERROR(__xludf.DUMMYFUNCTION("IFERROR(
  VLOOKUP(C1546,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C1546
    ), 
    7, FALSE
  ), 
  """"
)
"),"")</f>
        <v/>
      </c>
      <c r="P1546" s="22"/>
      <c r="Q1546" s="23" t="str">
        <f t="shared" si="4"/>
        <v/>
      </c>
      <c r="R1546" s="20"/>
      <c r="S1546" s="18"/>
      <c r="T1546" s="24"/>
      <c r="U1546" s="24"/>
      <c r="V1546" s="24"/>
      <c r="W1546" s="24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</row>
    <row r="1547">
      <c r="A1547" s="37"/>
      <c r="B1547" s="25"/>
      <c r="C1547" s="60"/>
      <c r="D1547" s="27"/>
      <c r="E1547" s="28"/>
      <c r="F1547" s="29"/>
      <c r="G1547" s="30" t="str">
        <f t="shared" si="61"/>
        <v/>
      </c>
      <c r="H1547" s="31" t="str">
        <f t="shared" si="73"/>
        <v/>
      </c>
      <c r="I1547" s="32" t="str">
        <f t="shared" si="65"/>
        <v/>
      </c>
      <c r="J1547" s="33" t="str">
        <f t="shared" si="25"/>
        <v/>
      </c>
      <c r="K1547" s="33"/>
      <c r="L1547" s="33"/>
      <c r="M1547" s="33"/>
      <c r="N1547" s="34"/>
      <c r="O1547" s="35" t="str">
        <f>IFERROR(__xludf.DUMMYFUNCTION("IFERROR(
  VLOOKUP(C1547,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C1547
    ), 
    7, FALSE
  ), 
  """"
)
"),"")</f>
        <v/>
      </c>
      <c r="P1547" s="35"/>
      <c r="Q1547" s="36" t="str">
        <f t="shared" si="4"/>
        <v/>
      </c>
      <c r="R1547" s="33"/>
      <c r="S1547" s="31"/>
      <c r="T1547" s="37"/>
      <c r="U1547" s="37"/>
      <c r="V1547" s="37"/>
      <c r="W1547" s="37"/>
      <c r="X1547" s="25"/>
      <c r="Y1547" s="25"/>
      <c r="Z1547" s="25"/>
      <c r="AA1547" s="25"/>
      <c r="AB1547" s="25"/>
      <c r="AC1547" s="25"/>
      <c r="AD1547" s="25"/>
      <c r="AE1547" s="25"/>
      <c r="AF1547" s="25"/>
      <c r="AG1547" s="25"/>
      <c r="AH1547" s="25"/>
      <c r="AI1547" s="25"/>
      <c r="AJ1547" s="25"/>
      <c r="AK1547" s="25"/>
      <c r="AL1547" s="25"/>
      <c r="AM1547" s="25"/>
    </row>
    <row r="1548">
      <c r="A1548" s="24"/>
      <c r="B1548" s="13"/>
      <c r="C1548" s="62"/>
      <c r="D1548" s="14"/>
      <c r="E1548" s="15"/>
      <c r="F1548" s="16"/>
      <c r="G1548" s="17" t="str">
        <f t="shared" si="61"/>
        <v/>
      </c>
      <c r="H1548" s="18" t="str">
        <f t="shared" si="73"/>
        <v/>
      </c>
      <c r="I1548" s="19" t="str">
        <f t="shared" si="65"/>
        <v/>
      </c>
      <c r="J1548" s="20" t="str">
        <f t="shared" si="25"/>
        <v/>
      </c>
      <c r="K1548" s="20"/>
      <c r="L1548" s="20"/>
      <c r="M1548" s="20"/>
      <c r="N1548" s="21"/>
      <c r="O1548" s="22" t="str">
        <f>IFERROR(__xludf.DUMMYFUNCTION("IFERROR(
  VLOOKUP(C1548,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C1548
    ), 
    7, FALSE
  ), 
  """"
)
"),"")</f>
        <v/>
      </c>
      <c r="P1548" s="22"/>
      <c r="Q1548" s="23" t="str">
        <f t="shared" si="4"/>
        <v/>
      </c>
      <c r="R1548" s="20"/>
      <c r="S1548" s="18"/>
      <c r="T1548" s="24"/>
      <c r="U1548" s="24"/>
      <c r="V1548" s="24"/>
      <c r="W1548" s="24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  <c r="AL1548" s="13"/>
      <c r="AM1548" s="13"/>
    </row>
    <row r="1549">
      <c r="A1549" s="37"/>
      <c r="B1549" s="25"/>
      <c r="C1549" s="60"/>
      <c r="D1549" s="27"/>
      <c r="E1549" s="28"/>
      <c r="F1549" s="29"/>
      <c r="G1549" s="30" t="str">
        <f t="shared" si="61"/>
        <v/>
      </c>
      <c r="H1549" s="31" t="str">
        <f t="shared" si="73"/>
        <v/>
      </c>
      <c r="I1549" s="32" t="str">
        <f t="shared" si="65"/>
        <v/>
      </c>
      <c r="J1549" s="33" t="str">
        <f t="shared" si="25"/>
        <v/>
      </c>
      <c r="K1549" s="33"/>
      <c r="L1549" s="33"/>
      <c r="M1549" s="33"/>
      <c r="N1549" s="34"/>
      <c r="O1549" s="35" t="str">
        <f>IFERROR(__xludf.DUMMYFUNCTION("IFERROR(
  VLOOKUP(C1549,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C1549
    ), 
    7, FALSE
  ), 
  """"
)
"),"")</f>
        <v/>
      </c>
      <c r="P1549" s="35"/>
      <c r="Q1549" s="36" t="str">
        <f t="shared" si="4"/>
        <v/>
      </c>
      <c r="R1549" s="33"/>
      <c r="S1549" s="31"/>
      <c r="T1549" s="37"/>
      <c r="U1549" s="37"/>
      <c r="V1549" s="37"/>
      <c r="W1549" s="37"/>
      <c r="X1549" s="25"/>
      <c r="Y1549" s="25"/>
      <c r="Z1549" s="25"/>
      <c r="AA1549" s="25"/>
      <c r="AB1549" s="25"/>
      <c r="AC1549" s="25"/>
      <c r="AD1549" s="25"/>
      <c r="AE1549" s="25"/>
      <c r="AF1549" s="25"/>
      <c r="AG1549" s="25"/>
      <c r="AH1549" s="25"/>
      <c r="AI1549" s="25"/>
      <c r="AJ1549" s="25"/>
      <c r="AK1549" s="25"/>
      <c r="AL1549" s="25"/>
      <c r="AM1549" s="25"/>
    </row>
    <row r="1550">
      <c r="A1550" s="24"/>
      <c r="B1550" s="13"/>
      <c r="C1550" s="62"/>
      <c r="D1550" s="14"/>
      <c r="E1550" s="15"/>
      <c r="F1550" s="16"/>
      <c r="G1550" s="17" t="str">
        <f t="shared" si="61"/>
        <v/>
      </c>
      <c r="H1550" s="18" t="str">
        <f t="shared" si="73"/>
        <v/>
      </c>
      <c r="I1550" s="19" t="str">
        <f t="shared" si="65"/>
        <v/>
      </c>
      <c r="J1550" s="20" t="str">
        <f t="shared" si="25"/>
        <v/>
      </c>
      <c r="K1550" s="20"/>
      <c r="L1550" s="20"/>
      <c r="M1550" s="20"/>
      <c r="N1550" s="21"/>
      <c r="O1550" s="22" t="str">
        <f>IFERROR(__xludf.DUMMYFUNCTION("IFERROR(
  VLOOKUP(C1550,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C1550
    ), 
    7, FALSE
  ), 
  """"
)
"),"")</f>
        <v/>
      </c>
      <c r="P1550" s="22"/>
      <c r="Q1550" s="23" t="str">
        <f t="shared" si="4"/>
        <v/>
      </c>
      <c r="R1550" s="20"/>
      <c r="S1550" s="18"/>
      <c r="T1550" s="24"/>
      <c r="U1550" s="24"/>
      <c r="V1550" s="24"/>
      <c r="W1550" s="24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</row>
    <row r="1551">
      <c r="A1551" s="37"/>
      <c r="B1551" s="25"/>
      <c r="C1551" s="60"/>
      <c r="D1551" s="27"/>
      <c r="E1551" s="28"/>
      <c r="F1551" s="29"/>
      <c r="G1551" s="30" t="str">
        <f t="shared" si="61"/>
        <v/>
      </c>
      <c r="H1551" s="31" t="str">
        <f t="shared" si="73"/>
        <v/>
      </c>
      <c r="I1551" s="32" t="str">
        <f t="shared" si="65"/>
        <v/>
      </c>
      <c r="J1551" s="33" t="str">
        <f t="shared" si="25"/>
        <v/>
      </c>
      <c r="K1551" s="33"/>
      <c r="L1551" s="33"/>
      <c r="M1551" s="33"/>
      <c r="N1551" s="34"/>
      <c r="O1551" s="35" t="str">
        <f>IFERROR(__xludf.DUMMYFUNCTION("IFERROR(
  VLOOKUP(C1551,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C1551
    ), 
    7, FALSE
  ), 
  """"
)
"),"")</f>
        <v/>
      </c>
      <c r="P1551" s="35"/>
      <c r="Q1551" s="36" t="str">
        <f t="shared" si="4"/>
        <v/>
      </c>
      <c r="R1551" s="33"/>
      <c r="S1551" s="31"/>
      <c r="T1551" s="37"/>
      <c r="U1551" s="37"/>
      <c r="V1551" s="37"/>
      <c r="W1551" s="37"/>
      <c r="X1551" s="25"/>
      <c r="Y1551" s="25"/>
      <c r="Z1551" s="25"/>
      <c r="AA1551" s="25"/>
      <c r="AB1551" s="25"/>
      <c r="AC1551" s="25"/>
      <c r="AD1551" s="25"/>
      <c r="AE1551" s="25"/>
      <c r="AF1551" s="25"/>
      <c r="AG1551" s="25"/>
      <c r="AH1551" s="25"/>
      <c r="AI1551" s="25"/>
      <c r="AJ1551" s="25"/>
      <c r="AK1551" s="25"/>
      <c r="AL1551" s="25"/>
      <c r="AM1551" s="25"/>
    </row>
    <row r="1552">
      <c r="A1552" s="24"/>
      <c r="B1552" s="13"/>
      <c r="C1552" s="62"/>
      <c r="D1552" s="14"/>
      <c r="E1552" s="15"/>
      <c r="F1552" s="16"/>
      <c r="G1552" s="17" t="str">
        <f t="shared" si="61"/>
        <v/>
      </c>
      <c r="H1552" s="18" t="str">
        <f t="shared" si="73"/>
        <v/>
      </c>
      <c r="I1552" s="19" t="str">
        <f t="shared" si="65"/>
        <v/>
      </c>
      <c r="J1552" s="20" t="str">
        <f t="shared" si="25"/>
        <v/>
      </c>
      <c r="K1552" s="20"/>
      <c r="L1552" s="20"/>
      <c r="M1552" s="20"/>
      <c r="N1552" s="21"/>
      <c r="O1552" s="22" t="str">
        <f>IFERROR(__xludf.DUMMYFUNCTION("IFERROR(
  VLOOKUP(C1552,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C1552
    ), 
    7, FALSE
  ), 
  """"
)
"),"")</f>
        <v/>
      </c>
      <c r="P1552" s="22"/>
      <c r="Q1552" s="23" t="str">
        <f t="shared" si="4"/>
        <v/>
      </c>
      <c r="R1552" s="20"/>
      <c r="S1552" s="18"/>
      <c r="T1552" s="24"/>
      <c r="U1552" s="24"/>
      <c r="V1552" s="24"/>
      <c r="W1552" s="24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</row>
    <row r="1553">
      <c r="A1553" s="37"/>
      <c r="B1553" s="25"/>
      <c r="C1553" s="60"/>
      <c r="D1553" s="27"/>
      <c r="E1553" s="28"/>
      <c r="F1553" s="29"/>
      <c r="G1553" s="30" t="str">
        <f t="shared" si="61"/>
        <v/>
      </c>
      <c r="H1553" s="31" t="str">
        <f t="shared" si="73"/>
        <v/>
      </c>
      <c r="I1553" s="32" t="str">
        <f t="shared" si="65"/>
        <v/>
      </c>
      <c r="J1553" s="33" t="str">
        <f t="shared" si="25"/>
        <v/>
      </c>
      <c r="K1553" s="33"/>
      <c r="L1553" s="33"/>
      <c r="M1553" s="33"/>
      <c r="N1553" s="34"/>
      <c r="O1553" s="35" t="str">
        <f>IFERROR(__xludf.DUMMYFUNCTION("IFERROR(
  VLOOKUP(C1553,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C1553
    ), 
    7, FALSE
  ), 
  """"
)
"),"")</f>
        <v/>
      </c>
      <c r="P1553" s="35"/>
      <c r="Q1553" s="36" t="str">
        <f t="shared" si="4"/>
        <v/>
      </c>
      <c r="R1553" s="33"/>
      <c r="S1553" s="31"/>
      <c r="T1553" s="37"/>
      <c r="U1553" s="37"/>
      <c r="V1553" s="37"/>
      <c r="W1553" s="37"/>
      <c r="X1553" s="25"/>
      <c r="Y1553" s="25"/>
      <c r="Z1553" s="25"/>
      <c r="AA1553" s="25"/>
      <c r="AB1553" s="25"/>
      <c r="AC1553" s="25"/>
      <c r="AD1553" s="25"/>
      <c r="AE1553" s="25"/>
      <c r="AF1553" s="25"/>
      <c r="AG1553" s="25"/>
      <c r="AH1553" s="25"/>
      <c r="AI1553" s="25"/>
      <c r="AJ1553" s="25"/>
      <c r="AK1553" s="25"/>
      <c r="AL1553" s="25"/>
      <c r="AM1553" s="25"/>
    </row>
    <row r="1554">
      <c r="A1554" s="24"/>
      <c r="B1554" s="13"/>
      <c r="C1554" s="62"/>
      <c r="D1554" s="14"/>
      <c r="E1554" s="15"/>
      <c r="F1554" s="16"/>
      <c r="G1554" s="17" t="str">
        <f t="shared" si="61"/>
        <v/>
      </c>
      <c r="H1554" s="18" t="str">
        <f t="shared" si="73"/>
        <v/>
      </c>
      <c r="I1554" s="19" t="str">
        <f t="shared" si="65"/>
        <v/>
      </c>
      <c r="J1554" s="20" t="str">
        <f t="shared" si="25"/>
        <v/>
      </c>
      <c r="K1554" s="20"/>
      <c r="L1554" s="20"/>
      <c r="M1554" s="20"/>
      <c r="N1554" s="21"/>
      <c r="O1554" s="22" t="str">
        <f>IFERROR(__xludf.DUMMYFUNCTION("IFERROR(
  VLOOKUP(C1554,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C1554
    ), 
    7, FALSE
  ), 
  """"
)
"),"")</f>
        <v/>
      </c>
      <c r="P1554" s="22"/>
      <c r="Q1554" s="23" t="str">
        <f t="shared" si="4"/>
        <v/>
      </c>
      <c r="R1554" s="20"/>
      <c r="S1554" s="18"/>
      <c r="T1554" s="24"/>
      <c r="U1554" s="24"/>
      <c r="V1554" s="24"/>
      <c r="W1554" s="24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</row>
    <row r="1555">
      <c r="A1555" s="37"/>
      <c r="B1555" s="25"/>
      <c r="C1555" s="60"/>
      <c r="D1555" s="27"/>
      <c r="E1555" s="28"/>
      <c r="F1555" s="29"/>
      <c r="G1555" s="30" t="str">
        <f t="shared" si="61"/>
        <v/>
      </c>
      <c r="H1555" s="31" t="str">
        <f t="shared" si="73"/>
        <v/>
      </c>
      <c r="I1555" s="32" t="str">
        <f t="shared" si="65"/>
        <v/>
      </c>
      <c r="J1555" s="33" t="str">
        <f t="shared" si="25"/>
        <v/>
      </c>
      <c r="K1555" s="33"/>
      <c r="L1555" s="33"/>
      <c r="M1555" s="33"/>
      <c r="N1555" s="34"/>
      <c r="O1555" s="35" t="str">
        <f>IFERROR(__xludf.DUMMYFUNCTION("IFERROR(
  VLOOKUP(C1555,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C1555
    ), 
    7, FALSE
  ), 
  """"
)
"),"")</f>
        <v/>
      </c>
      <c r="P1555" s="35"/>
      <c r="Q1555" s="36" t="str">
        <f t="shared" si="4"/>
        <v/>
      </c>
      <c r="R1555" s="33"/>
      <c r="S1555" s="31"/>
      <c r="T1555" s="37"/>
      <c r="U1555" s="37"/>
      <c r="V1555" s="37"/>
      <c r="W1555" s="37"/>
      <c r="X1555" s="25"/>
      <c r="Y1555" s="25"/>
      <c r="Z1555" s="25"/>
      <c r="AA1555" s="25"/>
      <c r="AB1555" s="25"/>
      <c r="AC1555" s="25"/>
      <c r="AD1555" s="25"/>
      <c r="AE1555" s="25"/>
      <c r="AF1555" s="25"/>
      <c r="AG1555" s="25"/>
      <c r="AH1555" s="25"/>
      <c r="AI1555" s="25"/>
      <c r="AJ1555" s="25"/>
      <c r="AK1555" s="25"/>
      <c r="AL1555" s="25"/>
      <c r="AM1555" s="25"/>
    </row>
    <row r="1556">
      <c r="A1556" s="24"/>
      <c r="B1556" s="13"/>
      <c r="C1556" s="62"/>
      <c r="D1556" s="14"/>
      <c r="E1556" s="15"/>
      <c r="F1556" s="16"/>
      <c r="G1556" s="17" t="str">
        <f t="shared" si="61"/>
        <v/>
      </c>
      <c r="H1556" s="18" t="str">
        <f t="shared" si="73"/>
        <v/>
      </c>
      <c r="I1556" s="19" t="str">
        <f t="shared" si="65"/>
        <v/>
      </c>
      <c r="J1556" s="20" t="str">
        <f t="shared" si="25"/>
        <v/>
      </c>
      <c r="K1556" s="20"/>
      <c r="L1556" s="20"/>
      <c r="M1556" s="20"/>
      <c r="N1556" s="21"/>
      <c r="O1556" s="22" t="str">
        <f>IFERROR(__xludf.DUMMYFUNCTION("IFERROR(
  VLOOKUP(C1556,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C1556
    ), 
    7, FALSE
  ), 
  """"
)
"),"")</f>
        <v/>
      </c>
      <c r="P1556" s="22"/>
      <c r="Q1556" s="23" t="str">
        <f t="shared" si="4"/>
        <v/>
      </c>
      <c r="R1556" s="20"/>
      <c r="S1556" s="18"/>
      <c r="T1556" s="24"/>
      <c r="U1556" s="24"/>
      <c r="V1556" s="24"/>
      <c r="W1556" s="24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</row>
    <row r="1557">
      <c r="A1557" s="37"/>
      <c r="B1557" s="25"/>
      <c r="C1557" s="60"/>
      <c r="D1557" s="27"/>
      <c r="E1557" s="28"/>
      <c r="F1557" s="29"/>
      <c r="G1557" s="30" t="str">
        <f t="shared" si="61"/>
        <v/>
      </c>
      <c r="H1557" s="31" t="str">
        <f t="shared" si="73"/>
        <v/>
      </c>
      <c r="I1557" s="32" t="str">
        <f t="shared" si="65"/>
        <v/>
      </c>
      <c r="J1557" s="33" t="str">
        <f t="shared" si="25"/>
        <v/>
      </c>
      <c r="K1557" s="33"/>
      <c r="L1557" s="33"/>
      <c r="M1557" s="33"/>
      <c r="N1557" s="34"/>
      <c r="O1557" s="35" t="str">
        <f>IFERROR(__xludf.DUMMYFUNCTION("IFERROR(
  VLOOKUP(C1557,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C1557
    ), 
    7, FALSE
  ), 
  """"
)
"),"")</f>
        <v/>
      </c>
      <c r="P1557" s="35"/>
      <c r="Q1557" s="36" t="str">
        <f t="shared" si="4"/>
        <v/>
      </c>
      <c r="R1557" s="33"/>
      <c r="S1557" s="31"/>
      <c r="T1557" s="37"/>
      <c r="U1557" s="37"/>
      <c r="V1557" s="37"/>
      <c r="W1557" s="37"/>
      <c r="X1557" s="25"/>
      <c r="Y1557" s="25"/>
      <c r="Z1557" s="25"/>
      <c r="AA1557" s="25"/>
      <c r="AB1557" s="25"/>
      <c r="AC1557" s="25"/>
      <c r="AD1557" s="25"/>
      <c r="AE1557" s="25"/>
      <c r="AF1557" s="25"/>
      <c r="AG1557" s="25"/>
      <c r="AH1557" s="25"/>
      <c r="AI1557" s="25"/>
      <c r="AJ1557" s="25"/>
      <c r="AK1557" s="25"/>
      <c r="AL1557" s="25"/>
      <c r="AM1557" s="25"/>
    </row>
    <row r="1558">
      <c r="A1558" s="24"/>
      <c r="B1558" s="13"/>
      <c r="C1558" s="62"/>
      <c r="D1558" s="14"/>
      <c r="E1558" s="15"/>
      <c r="F1558" s="16"/>
      <c r="G1558" s="17" t="str">
        <f t="shared" si="61"/>
        <v/>
      </c>
      <c r="H1558" s="18" t="str">
        <f t="shared" si="73"/>
        <v/>
      </c>
      <c r="I1558" s="19" t="str">
        <f t="shared" si="65"/>
        <v/>
      </c>
      <c r="J1558" s="20" t="str">
        <f t="shared" si="25"/>
        <v/>
      </c>
      <c r="K1558" s="20"/>
      <c r="L1558" s="20"/>
      <c r="M1558" s="20"/>
      <c r="N1558" s="21"/>
      <c r="O1558" s="22" t="str">
        <f>IFERROR(__xludf.DUMMYFUNCTION("IFERROR(
  VLOOKUP(C1558,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C1558
    ), 
    7, FALSE
  ), 
  """"
)
"),"")</f>
        <v/>
      </c>
      <c r="P1558" s="22"/>
      <c r="Q1558" s="23" t="str">
        <f t="shared" si="4"/>
        <v/>
      </c>
      <c r="R1558" s="20"/>
      <c r="S1558" s="18"/>
      <c r="T1558" s="24"/>
      <c r="U1558" s="24"/>
      <c r="V1558" s="24"/>
      <c r="W1558" s="24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</row>
    <row r="1559">
      <c r="A1559" s="37"/>
      <c r="B1559" s="25"/>
      <c r="C1559" s="60"/>
      <c r="D1559" s="27"/>
      <c r="E1559" s="28"/>
      <c r="F1559" s="29"/>
      <c r="G1559" s="30" t="str">
        <f t="shared" si="61"/>
        <v/>
      </c>
      <c r="H1559" s="31" t="str">
        <f t="shared" si="73"/>
        <v/>
      </c>
      <c r="I1559" s="32" t="str">
        <f t="shared" si="65"/>
        <v/>
      </c>
      <c r="J1559" s="33" t="str">
        <f t="shared" si="25"/>
        <v/>
      </c>
      <c r="K1559" s="33"/>
      <c r="L1559" s="33"/>
      <c r="M1559" s="33"/>
      <c r="N1559" s="34"/>
      <c r="O1559" s="35" t="str">
        <f>IFERROR(__xludf.DUMMYFUNCTION("IFERROR(
  VLOOKUP(C1559,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C1559
    ), 
    7, FALSE
  ), 
  """"
)
"),"")</f>
        <v/>
      </c>
      <c r="P1559" s="35"/>
      <c r="Q1559" s="36" t="str">
        <f t="shared" si="4"/>
        <v/>
      </c>
      <c r="R1559" s="33"/>
      <c r="S1559" s="31"/>
      <c r="T1559" s="37"/>
      <c r="U1559" s="37"/>
      <c r="V1559" s="37"/>
      <c r="W1559" s="37"/>
      <c r="X1559" s="25"/>
      <c r="Y1559" s="25"/>
      <c r="Z1559" s="25"/>
      <c r="AA1559" s="25"/>
      <c r="AB1559" s="25"/>
      <c r="AC1559" s="25"/>
      <c r="AD1559" s="25"/>
      <c r="AE1559" s="25"/>
      <c r="AF1559" s="25"/>
      <c r="AG1559" s="25"/>
      <c r="AH1559" s="25"/>
      <c r="AI1559" s="25"/>
      <c r="AJ1559" s="25"/>
      <c r="AK1559" s="25"/>
      <c r="AL1559" s="25"/>
      <c r="AM1559" s="25"/>
    </row>
    <row r="1560">
      <c r="A1560" s="24"/>
      <c r="B1560" s="13"/>
      <c r="C1560" s="62"/>
      <c r="D1560" s="14"/>
      <c r="E1560" s="15"/>
      <c r="F1560" s="16"/>
      <c r="G1560" s="17" t="str">
        <f t="shared" si="61"/>
        <v/>
      </c>
      <c r="H1560" s="18" t="str">
        <f t="shared" si="73"/>
        <v/>
      </c>
      <c r="I1560" s="19" t="str">
        <f t="shared" si="65"/>
        <v/>
      </c>
      <c r="J1560" s="20" t="str">
        <f t="shared" si="25"/>
        <v/>
      </c>
      <c r="K1560" s="20"/>
      <c r="L1560" s="20"/>
      <c r="M1560" s="20"/>
      <c r="N1560" s="21"/>
      <c r="O1560" s="22" t="str">
        <f>IFERROR(__xludf.DUMMYFUNCTION("IFERROR(
  VLOOKUP(C1560,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C1560
    ), 
    7, FALSE
  ), 
  """"
)
"),"")</f>
        <v/>
      </c>
      <c r="P1560" s="22"/>
      <c r="Q1560" s="23" t="str">
        <f t="shared" si="4"/>
        <v/>
      </c>
      <c r="R1560" s="20"/>
      <c r="S1560" s="18"/>
      <c r="T1560" s="24"/>
      <c r="U1560" s="24"/>
      <c r="V1560" s="24"/>
      <c r="W1560" s="24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</row>
    <row r="1561">
      <c r="A1561" s="37"/>
      <c r="B1561" s="25"/>
      <c r="C1561" s="60"/>
      <c r="D1561" s="27"/>
      <c r="E1561" s="28"/>
      <c r="F1561" s="29"/>
      <c r="G1561" s="30" t="str">
        <f t="shared" si="61"/>
        <v/>
      </c>
      <c r="H1561" s="31" t="str">
        <f t="shared" si="73"/>
        <v/>
      </c>
      <c r="I1561" s="32" t="str">
        <f t="shared" si="65"/>
        <v/>
      </c>
      <c r="J1561" s="33" t="str">
        <f t="shared" si="25"/>
        <v/>
      </c>
      <c r="K1561" s="33"/>
      <c r="L1561" s="33"/>
      <c r="M1561" s="33"/>
      <c r="N1561" s="34"/>
      <c r="O1561" s="35" t="str">
        <f>IFERROR(__xludf.DUMMYFUNCTION("IFERROR(
  VLOOKUP(C1561,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C1561
    ), 
    7, FALSE
  ), 
  """"
)
"),"")</f>
        <v/>
      </c>
      <c r="P1561" s="35"/>
      <c r="Q1561" s="36" t="str">
        <f t="shared" si="4"/>
        <v/>
      </c>
      <c r="R1561" s="33"/>
      <c r="S1561" s="31"/>
      <c r="T1561" s="37"/>
      <c r="U1561" s="37"/>
      <c r="V1561" s="37"/>
      <c r="W1561" s="37"/>
      <c r="X1561" s="25"/>
      <c r="Y1561" s="25"/>
      <c r="Z1561" s="25"/>
      <c r="AA1561" s="25"/>
      <c r="AB1561" s="25"/>
      <c r="AC1561" s="25"/>
      <c r="AD1561" s="25"/>
      <c r="AE1561" s="25"/>
      <c r="AF1561" s="25"/>
      <c r="AG1561" s="25"/>
      <c r="AH1561" s="25"/>
      <c r="AI1561" s="25"/>
      <c r="AJ1561" s="25"/>
      <c r="AK1561" s="25"/>
      <c r="AL1561" s="25"/>
      <c r="AM1561" s="25"/>
    </row>
    <row r="1562">
      <c r="A1562" s="24"/>
      <c r="B1562" s="13"/>
      <c r="C1562" s="62"/>
      <c r="D1562" s="14"/>
      <c r="E1562" s="15"/>
      <c r="F1562" s="16"/>
      <c r="G1562" s="17" t="str">
        <f t="shared" si="61"/>
        <v/>
      </c>
      <c r="H1562" s="18" t="str">
        <f t="shared" si="73"/>
        <v/>
      </c>
      <c r="I1562" s="19" t="str">
        <f t="shared" si="65"/>
        <v/>
      </c>
      <c r="J1562" s="20" t="str">
        <f t="shared" si="25"/>
        <v/>
      </c>
      <c r="K1562" s="20"/>
      <c r="L1562" s="20"/>
      <c r="M1562" s="20"/>
      <c r="N1562" s="21"/>
      <c r="O1562" s="22" t="str">
        <f>IFERROR(__xludf.DUMMYFUNCTION("IFERROR(
  VLOOKUP(C1562,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C1562
    ), 
    7, FALSE
  ), 
  """"
)
"),"")</f>
        <v/>
      </c>
      <c r="P1562" s="22"/>
      <c r="Q1562" s="23" t="str">
        <f t="shared" si="4"/>
        <v/>
      </c>
      <c r="R1562" s="20"/>
      <c r="S1562" s="18"/>
      <c r="T1562" s="24"/>
      <c r="U1562" s="24"/>
      <c r="V1562" s="24"/>
      <c r="W1562" s="24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</row>
    <row r="1563">
      <c r="A1563" s="37"/>
      <c r="B1563" s="25"/>
      <c r="C1563" s="60"/>
      <c r="D1563" s="27"/>
      <c r="E1563" s="28"/>
      <c r="F1563" s="29"/>
      <c r="G1563" s="30" t="str">
        <f t="shared" si="61"/>
        <v/>
      </c>
      <c r="H1563" s="31" t="str">
        <f t="shared" si="73"/>
        <v/>
      </c>
      <c r="I1563" s="32" t="str">
        <f t="shared" si="65"/>
        <v/>
      </c>
      <c r="J1563" s="33" t="str">
        <f t="shared" si="25"/>
        <v/>
      </c>
      <c r="K1563" s="33"/>
      <c r="L1563" s="33"/>
      <c r="M1563" s="33"/>
      <c r="N1563" s="34"/>
      <c r="O1563" s="35" t="str">
        <f>IFERROR(__xludf.DUMMYFUNCTION("IFERROR(
  VLOOKUP(C1563,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C1563
    ), 
    7, FALSE
  ), 
  """"
)
"),"")</f>
        <v/>
      </c>
      <c r="P1563" s="35"/>
      <c r="Q1563" s="36" t="str">
        <f t="shared" si="4"/>
        <v/>
      </c>
      <c r="R1563" s="33"/>
      <c r="S1563" s="31"/>
      <c r="T1563" s="37"/>
      <c r="U1563" s="37"/>
      <c r="V1563" s="37"/>
      <c r="W1563" s="37"/>
      <c r="X1563" s="25"/>
      <c r="Y1563" s="25"/>
      <c r="Z1563" s="25"/>
      <c r="AA1563" s="25"/>
      <c r="AB1563" s="25"/>
      <c r="AC1563" s="25"/>
      <c r="AD1563" s="25"/>
      <c r="AE1563" s="25"/>
      <c r="AF1563" s="25"/>
      <c r="AG1563" s="25"/>
      <c r="AH1563" s="25"/>
      <c r="AI1563" s="25"/>
      <c r="AJ1563" s="25"/>
      <c r="AK1563" s="25"/>
      <c r="AL1563" s="25"/>
      <c r="AM1563" s="25"/>
    </row>
    <row r="1564">
      <c r="A1564" s="24"/>
      <c r="B1564" s="13"/>
      <c r="C1564" s="62"/>
      <c r="D1564" s="14"/>
      <c r="E1564" s="15"/>
      <c r="F1564" s="16"/>
      <c r="G1564" s="17" t="str">
        <f t="shared" si="61"/>
        <v/>
      </c>
      <c r="H1564" s="18" t="str">
        <f t="shared" si="73"/>
        <v/>
      </c>
      <c r="I1564" s="19" t="str">
        <f t="shared" si="65"/>
        <v/>
      </c>
      <c r="J1564" s="20" t="str">
        <f t="shared" si="25"/>
        <v/>
      </c>
      <c r="K1564" s="20"/>
      <c r="L1564" s="20"/>
      <c r="M1564" s="20"/>
      <c r="N1564" s="21"/>
      <c r="O1564" s="22" t="str">
        <f>IFERROR(__xludf.DUMMYFUNCTION("IFERROR(
  VLOOKUP(C1564,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C1564
    ), 
    7, FALSE
  ), 
  """"
)
"),"")</f>
        <v/>
      </c>
      <c r="P1564" s="22"/>
      <c r="Q1564" s="23" t="str">
        <f t="shared" si="4"/>
        <v/>
      </c>
      <c r="R1564" s="20"/>
      <c r="S1564" s="18"/>
      <c r="T1564" s="24"/>
      <c r="U1564" s="24"/>
      <c r="V1564" s="24"/>
      <c r="W1564" s="24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</row>
    <row r="1565">
      <c r="A1565" s="37"/>
      <c r="B1565" s="25"/>
      <c r="C1565" s="60"/>
      <c r="D1565" s="27"/>
      <c r="E1565" s="28"/>
      <c r="F1565" s="29"/>
      <c r="G1565" s="30" t="str">
        <f t="shared" si="61"/>
        <v/>
      </c>
      <c r="H1565" s="31" t="str">
        <f t="shared" si="73"/>
        <v/>
      </c>
      <c r="I1565" s="32" t="str">
        <f t="shared" si="65"/>
        <v/>
      </c>
      <c r="J1565" s="33" t="str">
        <f t="shared" si="25"/>
        <v/>
      </c>
      <c r="K1565" s="33"/>
      <c r="L1565" s="33"/>
      <c r="M1565" s="33"/>
      <c r="N1565" s="34"/>
      <c r="O1565" s="35" t="str">
        <f>IFERROR(__xludf.DUMMYFUNCTION("IFERROR(
  VLOOKUP(C1565,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C1565
    ), 
    7, FALSE
  ), 
  """"
)
"),"")</f>
        <v/>
      </c>
      <c r="P1565" s="35"/>
      <c r="Q1565" s="36" t="str">
        <f t="shared" si="4"/>
        <v/>
      </c>
      <c r="R1565" s="33"/>
      <c r="S1565" s="31"/>
      <c r="T1565" s="37"/>
      <c r="U1565" s="37"/>
      <c r="V1565" s="37"/>
      <c r="W1565" s="37"/>
      <c r="X1565" s="25"/>
      <c r="Y1565" s="25"/>
      <c r="Z1565" s="25"/>
      <c r="AA1565" s="25"/>
      <c r="AB1565" s="25"/>
      <c r="AC1565" s="25"/>
      <c r="AD1565" s="25"/>
      <c r="AE1565" s="25"/>
      <c r="AF1565" s="25"/>
      <c r="AG1565" s="25"/>
      <c r="AH1565" s="25"/>
      <c r="AI1565" s="25"/>
      <c r="AJ1565" s="25"/>
      <c r="AK1565" s="25"/>
      <c r="AL1565" s="25"/>
      <c r="AM1565" s="25"/>
    </row>
    <row r="1566">
      <c r="A1566" s="24"/>
      <c r="B1566" s="13"/>
      <c r="C1566" s="62"/>
      <c r="D1566" s="14"/>
      <c r="E1566" s="15"/>
      <c r="F1566" s="16"/>
      <c r="G1566" s="17" t="str">
        <f t="shared" si="61"/>
        <v/>
      </c>
      <c r="H1566" s="18" t="str">
        <f t="shared" si="73"/>
        <v/>
      </c>
      <c r="I1566" s="19" t="str">
        <f t="shared" si="65"/>
        <v/>
      </c>
      <c r="J1566" s="20" t="str">
        <f t="shared" si="25"/>
        <v/>
      </c>
      <c r="K1566" s="20"/>
      <c r="L1566" s="20"/>
      <c r="M1566" s="20"/>
      <c r="N1566" s="21"/>
      <c r="O1566" s="22" t="str">
        <f>IFERROR(__xludf.DUMMYFUNCTION("IFERROR(
  VLOOKUP(C1566,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C1566
    ), 
    7, FALSE
  ), 
  """"
)
"),"")</f>
        <v/>
      </c>
      <c r="P1566" s="22"/>
      <c r="Q1566" s="23" t="str">
        <f t="shared" si="4"/>
        <v/>
      </c>
      <c r="R1566" s="20"/>
      <c r="S1566" s="18"/>
      <c r="T1566" s="24"/>
      <c r="U1566" s="24"/>
      <c r="V1566" s="24"/>
      <c r="W1566" s="24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3"/>
      <c r="AM1566" s="13"/>
    </row>
    <row r="1567">
      <c r="A1567" s="37"/>
      <c r="B1567" s="25"/>
      <c r="C1567" s="60"/>
      <c r="D1567" s="27"/>
      <c r="E1567" s="28"/>
      <c r="F1567" s="29"/>
      <c r="G1567" s="30" t="str">
        <f t="shared" si="61"/>
        <v/>
      </c>
      <c r="H1567" s="31" t="str">
        <f t="shared" si="73"/>
        <v/>
      </c>
      <c r="I1567" s="32" t="str">
        <f t="shared" si="65"/>
        <v/>
      </c>
      <c r="J1567" s="33" t="str">
        <f t="shared" si="25"/>
        <v/>
      </c>
      <c r="K1567" s="33"/>
      <c r="L1567" s="33"/>
      <c r="M1567" s="33"/>
      <c r="N1567" s="34"/>
      <c r="O1567" s="35" t="str">
        <f>IFERROR(__xludf.DUMMYFUNCTION("IFERROR(
  VLOOKUP(C1567,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C1567
    ), 
    7, FALSE
  ), 
  """"
)
"),"")</f>
        <v/>
      </c>
      <c r="P1567" s="35"/>
      <c r="Q1567" s="36" t="str">
        <f t="shared" si="4"/>
        <v/>
      </c>
      <c r="R1567" s="33"/>
      <c r="S1567" s="31"/>
      <c r="T1567" s="37"/>
      <c r="U1567" s="37"/>
      <c r="V1567" s="37"/>
      <c r="W1567" s="37"/>
      <c r="X1567" s="25"/>
      <c r="Y1567" s="25"/>
      <c r="Z1567" s="25"/>
      <c r="AA1567" s="25"/>
      <c r="AB1567" s="25"/>
      <c r="AC1567" s="25"/>
      <c r="AD1567" s="25"/>
      <c r="AE1567" s="25"/>
      <c r="AF1567" s="25"/>
      <c r="AG1567" s="25"/>
      <c r="AH1567" s="25"/>
      <c r="AI1567" s="25"/>
      <c r="AJ1567" s="25"/>
      <c r="AK1567" s="25"/>
      <c r="AL1567" s="25"/>
      <c r="AM1567" s="25"/>
    </row>
    <row r="1568">
      <c r="A1568" s="24"/>
      <c r="B1568" s="13"/>
      <c r="C1568" s="62"/>
      <c r="D1568" s="14"/>
      <c r="E1568" s="15"/>
      <c r="F1568" s="16"/>
      <c r="G1568" s="17" t="str">
        <f t="shared" si="61"/>
        <v/>
      </c>
      <c r="H1568" s="18" t="str">
        <f t="shared" si="73"/>
        <v/>
      </c>
      <c r="I1568" s="19" t="str">
        <f t="shared" si="65"/>
        <v/>
      </c>
      <c r="J1568" s="20" t="str">
        <f t="shared" si="25"/>
        <v/>
      </c>
      <c r="K1568" s="20"/>
      <c r="L1568" s="20"/>
      <c r="M1568" s="20"/>
      <c r="N1568" s="21"/>
      <c r="O1568" s="22" t="str">
        <f>IFERROR(__xludf.DUMMYFUNCTION("IFERROR(
  VLOOKUP(C1568,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C1568
    ), 
    7, FALSE
  ), 
  """"
)
"),"")</f>
        <v/>
      </c>
      <c r="P1568" s="22"/>
      <c r="Q1568" s="23" t="str">
        <f t="shared" si="4"/>
        <v/>
      </c>
      <c r="R1568" s="20"/>
      <c r="S1568" s="18"/>
      <c r="T1568" s="24"/>
      <c r="U1568" s="24"/>
      <c r="V1568" s="24"/>
      <c r="W1568" s="24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3"/>
      <c r="AM1568" s="13"/>
    </row>
    <row r="1569">
      <c r="A1569" s="37"/>
      <c r="B1569" s="25"/>
      <c r="C1569" s="60"/>
      <c r="D1569" s="27"/>
      <c r="E1569" s="28"/>
      <c r="F1569" s="29"/>
      <c r="G1569" s="30" t="str">
        <f t="shared" si="61"/>
        <v/>
      </c>
      <c r="H1569" s="31" t="str">
        <f t="shared" si="73"/>
        <v/>
      </c>
      <c r="I1569" s="32" t="str">
        <f t="shared" si="65"/>
        <v/>
      </c>
      <c r="J1569" s="33" t="str">
        <f t="shared" si="25"/>
        <v/>
      </c>
      <c r="K1569" s="33"/>
      <c r="L1569" s="33"/>
      <c r="M1569" s="33"/>
      <c r="N1569" s="34"/>
      <c r="O1569" s="35" t="str">
        <f>IFERROR(__xludf.DUMMYFUNCTION("IFERROR(
  VLOOKUP(C1569,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C1569
    ), 
    7, FALSE
  ), 
  """"
)
"),"")</f>
        <v/>
      </c>
      <c r="P1569" s="35"/>
      <c r="Q1569" s="36" t="str">
        <f t="shared" si="4"/>
        <v/>
      </c>
      <c r="R1569" s="33"/>
      <c r="S1569" s="31"/>
      <c r="T1569" s="37"/>
      <c r="U1569" s="37"/>
      <c r="V1569" s="37"/>
      <c r="W1569" s="37"/>
      <c r="X1569" s="25"/>
      <c r="Y1569" s="25"/>
      <c r="Z1569" s="25"/>
      <c r="AA1569" s="25"/>
      <c r="AB1569" s="25"/>
      <c r="AC1569" s="25"/>
      <c r="AD1569" s="25"/>
      <c r="AE1569" s="25"/>
      <c r="AF1569" s="25"/>
      <c r="AG1569" s="25"/>
      <c r="AH1569" s="25"/>
      <c r="AI1569" s="25"/>
      <c r="AJ1569" s="25"/>
      <c r="AK1569" s="25"/>
      <c r="AL1569" s="25"/>
      <c r="AM1569" s="25"/>
    </row>
    <row r="1570">
      <c r="A1570" s="24"/>
      <c r="B1570" s="13"/>
      <c r="C1570" s="62"/>
      <c r="D1570" s="14"/>
      <c r="E1570" s="15"/>
      <c r="F1570" s="16"/>
      <c r="G1570" s="17" t="str">
        <f t="shared" si="61"/>
        <v/>
      </c>
      <c r="H1570" s="18" t="str">
        <f t="shared" si="73"/>
        <v/>
      </c>
      <c r="I1570" s="19" t="str">
        <f t="shared" si="65"/>
        <v/>
      </c>
      <c r="J1570" s="20" t="str">
        <f t="shared" si="25"/>
        <v/>
      </c>
      <c r="K1570" s="20"/>
      <c r="L1570" s="20"/>
      <c r="M1570" s="20"/>
      <c r="N1570" s="21"/>
      <c r="O1570" s="22" t="str">
        <f>IFERROR(__xludf.DUMMYFUNCTION("IFERROR(
  VLOOKUP(C1570,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C1570
    ), 
    7, FALSE
  ), 
  """"
)
"),"")</f>
        <v/>
      </c>
      <c r="P1570" s="22"/>
      <c r="Q1570" s="23" t="str">
        <f t="shared" si="4"/>
        <v/>
      </c>
      <c r="R1570" s="20"/>
      <c r="S1570" s="18"/>
      <c r="T1570" s="24"/>
      <c r="U1570" s="24"/>
      <c r="V1570" s="24"/>
      <c r="W1570" s="24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</row>
    <row r="1571">
      <c r="A1571" s="37"/>
      <c r="B1571" s="25"/>
      <c r="C1571" s="60"/>
      <c r="D1571" s="27"/>
      <c r="E1571" s="28"/>
      <c r="F1571" s="29"/>
      <c r="G1571" s="30" t="str">
        <f t="shared" si="61"/>
        <v/>
      </c>
      <c r="H1571" s="31" t="str">
        <f t="shared" si="73"/>
        <v/>
      </c>
      <c r="I1571" s="32" t="str">
        <f t="shared" si="65"/>
        <v/>
      </c>
      <c r="J1571" s="33" t="str">
        <f t="shared" si="25"/>
        <v/>
      </c>
      <c r="K1571" s="33"/>
      <c r="L1571" s="33"/>
      <c r="M1571" s="33"/>
      <c r="N1571" s="34"/>
      <c r="O1571" s="35" t="str">
        <f>IFERROR(__xludf.DUMMYFUNCTION("IFERROR(
  VLOOKUP(C1571,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C1571
    ), 
    7, FALSE
  ), 
  """"
)
"),"")</f>
        <v/>
      </c>
      <c r="P1571" s="35"/>
      <c r="Q1571" s="36" t="str">
        <f t="shared" si="4"/>
        <v/>
      </c>
      <c r="R1571" s="33"/>
      <c r="S1571" s="31"/>
      <c r="T1571" s="37"/>
      <c r="U1571" s="37"/>
      <c r="V1571" s="37"/>
      <c r="W1571" s="37"/>
      <c r="X1571" s="25"/>
      <c r="Y1571" s="25"/>
      <c r="Z1571" s="25"/>
      <c r="AA1571" s="25"/>
      <c r="AB1571" s="25"/>
      <c r="AC1571" s="25"/>
      <c r="AD1571" s="25"/>
      <c r="AE1571" s="25"/>
      <c r="AF1571" s="25"/>
      <c r="AG1571" s="25"/>
      <c r="AH1571" s="25"/>
      <c r="AI1571" s="25"/>
      <c r="AJ1571" s="25"/>
      <c r="AK1571" s="25"/>
      <c r="AL1571" s="25"/>
      <c r="AM1571" s="25"/>
    </row>
    <row r="1572">
      <c r="A1572" s="24"/>
      <c r="B1572" s="13"/>
      <c r="C1572" s="62"/>
      <c r="D1572" s="14"/>
      <c r="E1572" s="15"/>
      <c r="F1572" s="16"/>
      <c r="G1572" s="17" t="str">
        <f t="shared" si="61"/>
        <v/>
      </c>
      <c r="H1572" s="18" t="str">
        <f t="shared" si="73"/>
        <v/>
      </c>
      <c r="I1572" s="19" t="str">
        <f t="shared" si="65"/>
        <v/>
      </c>
      <c r="J1572" s="20" t="str">
        <f t="shared" si="25"/>
        <v/>
      </c>
      <c r="K1572" s="20"/>
      <c r="L1572" s="20"/>
      <c r="M1572" s="20"/>
      <c r="N1572" s="21"/>
      <c r="O1572" s="22" t="str">
        <f>IFERROR(__xludf.DUMMYFUNCTION("IFERROR(
  VLOOKUP(C1572,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C1572
    ), 
    7, FALSE
  ), 
  """"
)
"),"")</f>
        <v/>
      </c>
      <c r="P1572" s="22"/>
      <c r="Q1572" s="23" t="str">
        <f t="shared" si="4"/>
        <v/>
      </c>
      <c r="R1572" s="20"/>
      <c r="S1572" s="18"/>
      <c r="T1572" s="24"/>
      <c r="U1572" s="24"/>
      <c r="V1572" s="24"/>
      <c r="W1572" s="24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13"/>
      <c r="AK1572" s="13"/>
      <c r="AL1572" s="13"/>
      <c r="AM1572" s="13"/>
    </row>
    <row r="1573">
      <c r="A1573" s="37"/>
      <c r="B1573" s="25"/>
      <c r="C1573" s="60"/>
      <c r="D1573" s="27"/>
      <c r="E1573" s="28"/>
      <c r="F1573" s="29"/>
      <c r="G1573" s="30" t="str">
        <f t="shared" si="61"/>
        <v/>
      </c>
      <c r="H1573" s="31" t="str">
        <f t="shared" si="73"/>
        <v/>
      </c>
      <c r="I1573" s="32" t="str">
        <f t="shared" si="65"/>
        <v/>
      </c>
      <c r="J1573" s="33" t="str">
        <f t="shared" si="25"/>
        <v/>
      </c>
      <c r="K1573" s="33"/>
      <c r="L1573" s="33"/>
      <c r="M1573" s="33"/>
      <c r="N1573" s="34"/>
      <c r="O1573" s="35" t="str">
        <f>IFERROR(__xludf.DUMMYFUNCTION("IFERROR(
  VLOOKUP(C1573,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C1573
    ), 
    7, FALSE
  ), 
  """"
)
"),"")</f>
        <v/>
      </c>
      <c r="P1573" s="35"/>
      <c r="Q1573" s="36" t="str">
        <f t="shared" si="4"/>
        <v/>
      </c>
      <c r="R1573" s="33"/>
      <c r="S1573" s="31"/>
      <c r="T1573" s="37"/>
      <c r="U1573" s="37"/>
      <c r="V1573" s="37"/>
      <c r="W1573" s="37"/>
      <c r="X1573" s="25"/>
      <c r="Y1573" s="25"/>
      <c r="Z1573" s="25"/>
      <c r="AA1573" s="25"/>
      <c r="AB1573" s="25"/>
      <c r="AC1573" s="25"/>
      <c r="AD1573" s="25"/>
      <c r="AE1573" s="25"/>
      <c r="AF1573" s="25"/>
      <c r="AG1573" s="25"/>
      <c r="AH1573" s="25"/>
      <c r="AI1573" s="25"/>
      <c r="AJ1573" s="25"/>
      <c r="AK1573" s="25"/>
      <c r="AL1573" s="25"/>
      <c r="AM1573" s="25"/>
    </row>
    <row r="1574">
      <c r="A1574" s="24"/>
      <c r="B1574" s="13"/>
      <c r="C1574" s="62"/>
      <c r="D1574" s="14"/>
      <c r="E1574" s="15"/>
      <c r="F1574" s="16"/>
      <c r="G1574" s="17" t="str">
        <f t="shared" si="61"/>
        <v/>
      </c>
      <c r="H1574" s="18" t="str">
        <f t="shared" si="73"/>
        <v/>
      </c>
      <c r="I1574" s="19" t="str">
        <f t="shared" si="65"/>
        <v/>
      </c>
      <c r="J1574" s="20" t="str">
        <f t="shared" si="25"/>
        <v/>
      </c>
      <c r="K1574" s="20"/>
      <c r="L1574" s="20"/>
      <c r="M1574" s="20"/>
      <c r="N1574" s="21"/>
      <c r="O1574" s="22" t="str">
        <f>IFERROR(__xludf.DUMMYFUNCTION("IFERROR(
  VLOOKUP(C1574,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C1574
    ), 
    7, FALSE
  ), 
  """"
)
"),"")</f>
        <v/>
      </c>
      <c r="P1574" s="22"/>
      <c r="Q1574" s="23" t="str">
        <f t="shared" si="4"/>
        <v/>
      </c>
      <c r="R1574" s="20"/>
      <c r="S1574" s="18"/>
      <c r="T1574" s="24"/>
      <c r="U1574" s="24"/>
      <c r="V1574" s="24"/>
      <c r="W1574" s="24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</row>
    <row r="1575">
      <c r="A1575" s="37"/>
      <c r="B1575" s="25"/>
      <c r="C1575" s="60"/>
      <c r="D1575" s="27"/>
      <c r="E1575" s="28"/>
      <c r="F1575" s="29"/>
      <c r="G1575" s="30" t="str">
        <f t="shared" si="61"/>
        <v/>
      </c>
      <c r="H1575" s="31" t="str">
        <f t="shared" si="73"/>
        <v/>
      </c>
      <c r="I1575" s="32" t="str">
        <f t="shared" si="65"/>
        <v/>
      </c>
      <c r="J1575" s="33" t="str">
        <f t="shared" si="25"/>
        <v/>
      </c>
      <c r="K1575" s="33"/>
      <c r="L1575" s="33"/>
      <c r="M1575" s="33"/>
      <c r="N1575" s="34"/>
      <c r="O1575" s="35" t="str">
        <f>IFERROR(__xludf.DUMMYFUNCTION("IFERROR(
  VLOOKUP(C1575,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C1575
    ), 
    7, FALSE
  ), 
  """"
)
"),"")</f>
        <v/>
      </c>
      <c r="P1575" s="35"/>
      <c r="Q1575" s="36" t="str">
        <f t="shared" si="4"/>
        <v/>
      </c>
      <c r="R1575" s="33"/>
      <c r="S1575" s="31"/>
      <c r="T1575" s="37"/>
      <c r="U1575" s="37"/>
      <c r="V1575" s="37"/>
      <c r="W1575" s="37"/>
      <c r="X1575" s="25"/>
      <c r="Y1575" s="25"/>
      <c r="Z1575" s="25"/>
      <c r="AA1575" s="25"/>
      <c r="AB1575" s="25"/>
      <c r="AC1575" s="25"/>
      <c r="AD1575" s="25"/>
      <c r="AE1575" s="25"/>
      <c r="AF1575" s="25"/>
      <c r="AG1575" s="25"/>
      <c r="AH1575" s="25"/>
      <c r="AI1575" s="25"/>
      <c r="AJ1575" s="25"/>
      <c r="AK1575" s="25"/>
      <c r="AL1575" s="25"/>
      <c r="AM1575" s="25"/>
    </row>
    <row r="1576">
      <c r="A1576" s="24"/>
      <c r="B1576" s="13"/>
      <c r="C1576" s="62"/>
      <c r="D1576" s="14"/>
      <c r="E1576" s="15"/>
      <c r="F1576" s="16"/>
      <c r="G1576" s="17" t="str">
        <f t="shared" si="61"/>
        <v/>
      </c>
      <c r="H1576" s="18" t="str">
        <f t="shared" si="73"/>
        <v/>
      </c>
      <c r="I1576" s="19" t="str">
        <f t="shared" si="65"/>
        <v/>
      </c>
      <c r="J1576" s="20" t="str">
        <f t="shared" si="25"/>
        <v/>
      </c>
      <c r="K1576" s="20"/>
      <c r="L1576" s="20"/>
      <c r="M1576" s="20"/>
      <c r="N1576" s="21"/>
      <c r="O1576" s="22" t="str">
        <f>IFERROR(__xludf.DUMMYFUNCTION("IFERROR(
  VLOOKUP(C1576,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C1576
    ), 
    7, FALSE
  ), 
  """"
)
"),"")</f>
        <v/>
      </c>
      <c r="P1576" s="22"/>
      <c r="Q1576" s="23" t="str">
        <f t="shared" si="4"/>
        <v/>
      </c>
      <c r="R1576" s="20"/>
      <c r="S1576" s="18"/>
      <c r="T1576" s="24"/>
      <c r="U1576" s="24"/>
      <c r="V1576" s="24"/>
      <c r="W1576" s="24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</row>
    <row r="1577">
      <c r="A1577" s="37"/>
      <c r="B1577" s="25"/>
      <c r="C1577" s="60"/>
      <c r="D1577" s="27"/>
      <c r="E1577" s="28"/>
      <c r="F1577" s="29"/>
      <c r="G1577" s="30" t="str">
        <f t="shared" si="61"/>
        <v/>
      </c>
      <c r="H1577" s="31" t="str">
        <f t="shared" si="73"/>
        <v/>
      </c>
      <c r="I1577" s="32" t="str">
        <f t="shared" si="65"/>
        <v/>
      </c>
      <c r="J1577" s="33" t="str">
        <f t="shared" si="25"/>
        <v/>
      </c>
      <c r="K1577" s="33"/>
      <c r="L1577" s="33"/>
      <c r="M1577" s="33"/>
      <c r="N1577" s="34"/>
      <c r="O1577" s="35" t="str">
        <f>IFERROR(__xludf.DUMMYFUNCTION("IFERROR(
  VLOOKUP(C1577,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C1577
    ), 
    7, FALSE
  ), 
  """"
)
"),"")</f>
        <v/>
      </c>
      <c r="P1577" s="35"/>
      <c r="Q1577" s="36" t="str">
        <f t="shared" si="4"/>
        <v/>
      </c>
      <c r="R1577" s="33"/>
      <c r="S1577" s="31"/>
      <c r="T1577" s="37"/>
      <c r="U1577" s="37"/>
      <c r="V1577" s="37"/>
      <c r="W1577" s="37"/>
      <c r="X1577" s="25"/>
      <c r="Y1577" s="25"/>
      <c r="Z1577" s="25"/>
      <c r="AA1577" s="25"/>
      <c r="AB1577" s="25"/>
      <c r="AC1577" s="25"/>
      <c r="AD1577" s="25"/>
      <c r="AE1577" s="25"/>
      <c r="AF1577" s="25"/>
      <c r="AG1577" s="25"/>
      <c r="AH1577" s="25"/>
      <c r="AI1577" s="25"/>
      <c r="AJ1577" s="25"/>
      <c r="AK1577" s="25"/>
      <c r="AL1577" s="25"/>
      <c r="AM1577" s="25"/>
    </row>
    <row r="1578">
      <c r="A1578" s="24"/>
      <c r="B1578" s="13"/>
      <c r="C1578" s="62"/>
      <c r="D1578" s="14"/>
      <c r="E1578" s="15"/>
      <c r="F1578" s="16"/>
      <c r="G1578" s="17" t="str">
        <f t="shared" si="61"/>
        <v/>
      </c>
      <c r="H1578" s="18" t="str">
        <f t="shared" si="73"/>
        <v/>
      </c>
      <c r="I1578" s="19" t="str">
        <f t="shared" si="65"/>
        <v/>
      </c>
      <c r="J1578" s="20" t="str">
        <f t="shared" si="25"/>
        <v/>
      </c>
      <c r="K1578" s="20"/>
      <c r="L1578" s="20"/>
      <c r="M1578" s="20"/>
      <c r="N1578" s="21"/>
      <c r="O1578" s="22" t="str">
        <f>IFERROR(__xludf.DUMMYFUNCTION("IFERROR(
  VLOOKUP(C1578,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C1578
    ), 
    7, FALSE
  ), 
  """"
)
"),"")</f>
        <v/>
      </c>
      <c r="P1578" s="22"/>
      <c r="Q1578" s="23" t="str">
        <f t="shared" si="4"/>
        <v/>
      </c>
      <c r="R1578" s="20"/>
      <c r="S1578" s="18"/>
      <c r="T1578" s="24"/>
      <c r="U1578" s="24"/>
      <c r="V1578" s="24"/>
      <c r="W1578" s="24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  <c r="AL1578" s="13"/>
      <c r="AM1578" s="13"/>
    </row>
    <row r="1579">
      <c r="A1579" s="37"/>
      <c r="B1579" s="25"/>
      <c r="C1579" s="60"/>
      <c r="D1579" s="27"/>
      <c r="E1579" s="28"/>
      <c r="F1579" s="29"/>
      <c r="G1579" s="30" t="str">
        <f t="shared" si="61"/>
        <v/>
      </c>
      <c r="H1579" s="31" t="str">
        <f t="shared" si="73"/>
        <v/>
      </c>
      <c r="I1579" s="32" t="str">
        <f t="shared" si="65"/>
        <v/>
      </c>
      <c r="J1579" s="33" t="str">
        <f t="shared" si="25"/>
        <v/>
      </c>
      <c r="K1579" s="33"/>
      <c r="L1579" s="33"/>
      <c r="M1579" s="33"/>
      <c r="N1579" s="34"/>
      <c r="O1579" s="35" t="str">
        <f>IFERROR(__xludf.DUMMYFUNCTION("IFERROR(
  VLOOKUP(C1579,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C1579
    ), 
    7, FALSE
  ), 
  """"
)
"),"")</f>
        <v/>
      </c>
      <c r="P1579" s="35"/>
      <c r="Q1579" s="36" t="str">
        <f t="shared" si="4"/>
        <v/>
      </c>
      <c r="R1579" s="33"/>
      <c r="S1579" s="31"/>
      <c r="T1579" s="37"/>
      <c r="U1579" s="37"/>
      <c r="V1579" s="37"/>
      <c r="W1579" s="37"/>
      <c r="X1579" s="25"/>
      <c r="Y1579" s="25"/>
      <c r="Z1579" s="25"/>
      <c r="AA1579" s="25"/>
      <c r="AB1579" s="25"/>
      <c r="AC1579" s="25"/>
      <c r="AD1579" s="25"/>
      <c r="AE1579" s="25"/>
      <c r="AF1579" s="25"/>
      <c r="AG1579" s="25"/>
      <c r="AH1579" s="25"/>
      <c r="AI1579" s="25"/>
      <c r="AJ1579" s="25"/>
      <c r="AK1579" s="25"/>
      <c r="AL1579" s="25"/>
      <c r="AM1579" s="25"/>
    </row>
    <row r="1580">
      <c r="A1580" s="24"/>
      <c r="B1580" s="13"/>
      <c r="C1580" s="62"/>
      <c r="D1580" s="14"/>
      <c r="E1580" s="15"/>
      <c r="F1580" s="16"/>
      <c r="G1580" s="17" t="str">
        <f t="shared" si="61"/>
        <v/>
      </c>
      <c r="H1580" s="18" t="str">
        <f t="shared" si="73"/>
        <v/>
      </c>
      <c r="I1580" s="19" t="str">
        <f t="shared" si="65"/>
        <v/>
      </c>
      <c r="J1580" s="20" t="str">
        <f t="shared" si="25"/>
        <v/>
      </c>
      <c r="K1580" s="20"/>
      <c r="L1580" s="20"/>
      <c r="M1580" s="20"/>
      <c r="N1580" s="21"/>
      <c r="O1580" s="22" t="str">
        <f>IFERROR(__xludf.DUMMYFUNCTION("IFERROR(
  VLOOKUP(C1580,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C1580
    ), 
    7, FALSE
  ), 
  """"
)
"),"")</f>
        <v/>
      </c>
      <c r="P1580" s="22"/>
      <c r="Q1580" s="23" t="str">
        <f t="shared" si="4"/>
        <v/>
      </c>
      <c r="R1580" s="20"/>
      <c r="S1580" s="18"/>
      <c r="T1580" s="24"/>
      <c r="U1580" s="24"/>
      <c r="V1580" s="24"/>
      <c r="W1580" s="24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</row>
    <row r="1581">
      <c r="A1581" s="37"/>
      <c r="B1581" s="25"/>
      <c r="C1581" s="60"/>
      <c r="D1581" s="27"/>
      <c r="E1581" s="28"/>
      <c r="F1581" s="29"/>
      <c r="G1581" s="30" t="str">
        <f t="shared" si="61"/>
        <v/>
      </c>
      <c r="H1581" s="31" t="str">
        <f t="shared" si="73"/>
        <v/>
      </c>
      <c r="I1581" s="32" t="str">
        <f t="shared" si="65"/>
        <v/>
      </c>
      <c r="J1581" s="33" t="str">
        <f t="shared" si="25"/>
        <v/>
      </c>
      <c r="K1581" s="33"/>
      <c r="L1581" s="33"/>
      <c r="M1581" s="33"/>
      <c r="N1581" s="34"/>
      <c r="O1581" s="35" t="str">
        <f>IFERROR(__xludf.DUMMYFUNCTION("IFERROR(
  VLOOKUP(C1581,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C1581
    ), 
    7, FALSE
  ), 
  """"
)
"),"")</f>
        <v/>
      </c>
      <c r="P1581" s="35"/>
      <c r="Q1581" s="36" t="str">
        <f t="shared" si="4"/>
        <v/>
      </c>
      <c r="R1581" s="33"/>
      <c r="S1581" s="31"/>
      <c r="T1581" s="37"/>
      <c r="U1581" s="37"/>
      <c r="V1581" s="37"/>
      <c r="W1581" s="37"/>
      <c r="X1581" s="25"/>
      <c r="Y1581" s="25"/>
      <c r="Z1581" s="25"/>
      <c r="AA1581" s="25"/>
      <c r="AB1581" s="25"/>
      <c r="AC1581" s="25"/>
      <c r="AD1581" s="25"/>
      <c r="AE1581" s="25"/>
      <c r="AF1581" s="25"/>
      <c r="AG1581" s="25"/>
      <c r="AH1581" s="25"/>
      <c r="AI1581" s="25"/>
      <c r="AJ1581" s="25"/>
      <c r="AK1581" s="25"/>
      <c r="AL1581" s="25"/>
      <c r="AM1581" s="25"/>
    </row>
    <row r="1582">
      <c r="A1582" s="24"/>
      <c r="B1582" s="13"/>
      <c r="C1582" s="62"/>
      <c r="D1582" s="14"/>
      <c r="E1582" s="15"/>
      <c r="F1582" s="16"/>
      <c r="G1582" s="17" t="str">
        <f t="shared" si="61"/>
        <v/>
      </c>
      <c r="H1582" s="18" t="str">
        <f t="shared" si="73"/>
        <v/>
      </c>
      <c r="I1582" s="19" t="str">
        <f t="shared" si="65"/>
        <v/>
      </c>
      <c r="J1582" s="20" t="str">
        <f t="shared" si="25"/>
        <v/>
      </c>
      <c r="K1582" s="20"/>
      <c r="L1582" s="20"/>
      <c r="M1582" s="20"/>
      <c r="N1582" s="21"/>
      <c r="O1582" s="22" t="str">
        <f>IFERROR(__xludf.DUMMYFUNCTION("IFERROR(
  VLOOKUP(C1582,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C1582
    ), 
    7, FALSE
  ), 
  """"
)
"),"")</f>
        <v/>
      </c>
      <c r="P1582" s="22"/>
      <c r="Q1582" s="23" t="str">
        <f t="shared" si="4"/>
        <v/>
      </c>
      <c r="R1582" s="20"/>
      <c r="S1582" s="18"/>
      <c r="T1582" s="24"/>
      <c r="U1582" s="24"/>
      <c r="V1582" s="24"/>
      <c r="W1582" s="24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</row>
    <row r="1583">
      <c r="A1583" s="37"/>
      <c r="B1583" s="25"/>
      <c r="C1583" s="60"/>
      <c r="D1583" s="27"/>
      <c r="E1583" s="28"/>
      <c r="F1583" s="29"/>
      <c r="G1583" s="30" t="str">
        <f t="shared" si="61"/>
        <v/>
      </c>
      <c r="H1583" s="31" t="str">
        <f t="shared" si="73"/>
        <v/>
      </c>
      <c r="I1583" s="32" t="str">
        <f t="shared" si="65"/>
        <v/>
      </c>
      <c r="J1583" s="33" t="str">
        <f t="shared" si="25"/>
        <v/>
      </c>
      <c r="K1583" s="33"/>
      <c r="L1583" s="33"/>
      <c r="M1583" s="33"/>
      <c r="N1583" s="34"/>
      <c r="O1583" s="35" t="str">
        <f>IFERROR(__xludf.DUMMYFUNCTION("IFERROR(
  VLOOKUP(C1583,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C1583
    ), 
    7, FALSE
  ), 
  """"
)
"),"")</f>
        <v/>
      </c>
      <c r="P1583" s="35"/>
      <c r="Q1583" s="36" t="str">
        <f t="shared" si="4"/>
        <v/>
      </c>
      <c r="R1583" s="33"/>
      <c r="S1583" s="31"/>
      <c r="T1583" s="37"/>
      <c r="U1583" s="37"/>
      <c r="V1583" s="37"/>
      <c r="W1583" s="37"/>
      <c r="X1583" s="25"/>
      <c r="Y1583" s="25"/>
      <c r="Z1583" s="25"/>
      <c r="AA1583" s="25"/>
      <c r="AB1583" s="25"/>
      <c r="AC1583" s="25"/>
      <c r="AD1583" s="25"/>
      <c r="AE1583" s="25"/>
      <c r="AF1583" s="25"/>
      <c r="AG1583" s="25"/>
      <c r="AH1583" s="25"/>
      <c r="AI1583" s="25"/>
      <c r="AJ1583" s="25"/>
      <c r="AK1583" s="25"/>
      <c r="AL1583" s="25"/>
      <c r="AM1583" s="25"/>
    </row>
    <row r="1584">
      <c r="A1584" s="24"/>
      <c r="B1584" s="13"/>
      <c r="C1584" s="62"/>
      <c r="D1584" s="14"/>
      <c r="E1584" s="15"/>
      <c r="F1584" s="16"/>
      <c r="G1584" s="17" t="str">
        <f t="shared" si="61"/>
        <v/>
      </c>
      <c r="H1584" s="18" t="str">
        <f t="shared" si="73"/>
        <v/>
      </c>
      <c r="I1584" s="19" t="str">
        <f t="shared" si="65"/>
        <v/>
      </c>
      <c r="J1584" s="20" t="str">
        <f t="shared" si="25"/>
        <v/>
      </c>
      <c r="K1584" s="20"/>
      <c r="L1584" s="20"/>
      <c r="M1584" s="20"/>
      <c r="N1584" s="21"/>
      <c r="O1584" s="22" t="str">
        <f>IFERROR(__xludf.DUMMYFUNCTION("IFERROR(
  VLOOKUP(C1584,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C1584
    ), 
    7, FALSE
  ), 
  """"
)
"),"")</f>
        <v/>
      </c>
      <c r="P1584" s="22"/>
      <c r="Q1584" s="23" t="str">
        <f t="shared" si="4"/>
        <v/>
      </c>
      <c r="R1584" s="20"/>
      <c r="S1584" s="18"/>
      <c r="T1584" s="24"/>
      <c r="U1584" s="24"/>
      <c r="V1584" s="24"/>
      <c r="W1584" s="24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  <c r="AL1584" s="13"/>
      <c r="AM1584" s="13"/>
    </row>
    <row r="1585">
      <c r="A1585" s="37"/>
      <c r="B1585" s="25"/>
      <c r="C1585" s="60"/>
      <c r="D1585" s="27"/>
      <c r="E1585" s="28"/>
      <c r="F1585" s="29"/>
      <c r="G1585" s="30" t="str">
        <f t="shared" si="61"/>
        <v/>
      </c>
      <c r="H1585" s="31" t="str">
        <f t="shared" si="73"/>
        <v/>
      </c>
      <c r="I1585" s="32" t="str">
        <f t="shared" si="65"/>
        <v/>
      </c>
      <c r="J1585" s="33" t="str">
        <f t="shared" si="25"/>
        <v/>
      </c>
      <c r="K1585" s="33"/>
      <c r="L1585" s="33"/>
      <c r="M1585" s="33"/>
      <c r="N1585" s="34"/>
      <c r="O1585" s="35" t="str">
        <f>IFERROR(__xludf.DUMMYFUNCTION("IFERROR(
  VLOOKUP(C1585,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C1585
    ), 
    7, FALSE
  ), 
  """"
)
"),"")</f>
        <v/>
      </c>
      <c r="P1585" s="35"/>
      <c r="Q1585" s="36" t="str">
        <f t="shared" si="4"/>
        <v/>
      </c>
      <c r="R1585" s="33"/>
      <c r="S1585" s="31"/>
      <c r="T1585" s="37"/>
      <c r="U1585" s="37"/>
      <c r="V1585" s="37"/>
      <c r="W1585" s="37"/>
      <c r="X1585" s="25"/>
      <c r="Y1585" s="25"/>
      <c r="Z1585" s="25"/>
      <c r="AA1585" s="25"/>
      <c r="AB1585" s="25"/>
      <c r="AC1585" s="25"/>
      <c r="AD1585" s="25"/>
      <c r="AE1585" s="25"/>
      <c r="AF1585" s="25"/>
      <c r="AG1585" s="25"/>
      <c r="AH1585" s="25"/>
      <c r="AI1585" s="25"/>
      <c r="AJ1585" s="25"/>
      <c r="AK1585" s="25"/>
      <c r="AL1585" s="25"/>
      <c r="AM1585" s="25"/>
    </row>
    <row r="1586">
      <c r="A1586" s="24"/>
      <c r="B1586" s="13"/>
      <c r="C1586" s="62"/>
      <c r="D1586" s="14"/>
      <c r="E1586" s="15"/>
      <c r="F1586" s="16"/>
      <c r="G1586" s="17" t="str">
        <f t="shared" si="61"/>
        <v/>
      </c>
      <c r="H1586" s="18" t="str">
        <f t="shared" si="73"/>
        <v/>
      </c>
      <c r="I1586" s="19" t="str">
        <f t="shared" si="65"/>
        <v/>
      </c>
      <c r="J1586" s="20" t="str">
        <f t="shared" si="25"/>
        <v/>
      </c>
      <c r="K1586" s="20"/>
      <c r="L1586" s="20"/>
      <c r="M1586" s="20"/>
      <c r="N1586" s="21"/>
      <c r="O1586" s="22" t="str">
        <f>IFERROR(__xludf.DUMMYFUNCTION("IFERROR(
  VLOOKUP(C1586,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C1586
    ), 
    7, FALSE
  ), 
  """"
)
"),"")</f>
        <v/>
      </c>
      <c r="P1586" s="22"/>
      <c r="Q1586" s="23" t="str">
        <f t="shared" si="4"/>
        <v/>
      </c>
      <c r="R1586" s="20"/>
      <c r="S1586" s="18"/>
      <c r="T1586" s="24"/>
      <c r="U1586" s="24"/>
      <c r="V1586" s="24"/>
      <c r="W1586" s="24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  <c r="AL1586" s="13"/>
      <c r="AM1586" s="13"/>
    </row>
    <row r="1587">
      <c r="A1587" s="37"/>
      <c r="B1587" s="25"/>
      <c r="C1587" s="60"/>
      <c r="D1587" s="27"/>
      <c r="E1587" s="28"/>
      <c r="F1587" s="29"/>
      <c r="G1587" s="30" t="str">
        <f t="shared" si="61"/>
        <v/>
      </c>
      <c r="H1587" s="31" t="str">
        <f t="shared" si="73"/>
        <v/>
      </c>
      <c r="I1587" s="32" t="str">
        <f t="shared" si="65"/>
        <v/>
      </c>
      <c r="J1587" s="33" t="str">
        <f t="shared" si="25"/>
        <v/>
      </c>
      <c r="K1587" s="33"/>
      <c r="L1587" s="33"/>
      <c r="M1587" s="33"/>
      <c r="N1587" s="34"/>
      <c r="O1587" s="35" t="str">
        <f>IFERROR(__xludf.DUMMYFUNCTION("IFERROR(
  VLOOKUP(C1587,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C1587
    ), 
    7, FALSE
  ), 
  """"
)
"),"")</f>
        <v/>
      </c>
      <c r="P1587" s="35"/>
      <c r="Q1587" s="36" t="str">
        <f t="shared" si="4"/>
        <v/>
      </c>
      <c r="R1587" s="33"/>
      <c r="S1587" s="31"/>
      <c r="T1587" s="37"/>
      <c r="U1587" s="37"/>
      <c r="V1587" s="37"/>
      <c r="W1587" s="37"/>
      <c r="X1587" s="25"/>
      <c r="Y1587" s="25"/>
      <c r="Z1587" s="25"/>
      <c r="AA1587" s="25"/>
      <c r="AB1587" s="25"/>
      <c r="AC1587" s="25"/>
      <c r="AD1587" s="25"/>
      <c r="AE1587" s="25"/>
      <c r="AF1587" s="25"/>
      <c r="AG1587" s="25"/>
      <c r="AH1587" s="25"/>
      <c r="AI1587" s="25"/>
      <c r="AJ1587" s="25"/>
      <c r="AK1587" s="25"/>
      <c r="AL1587" s="25"/>
      <c r="AM1587" s="25"/>
    </row>
    <row r="1588">
      <c r="A1588" s="24"/>
      <c r="B1588" s="13"/>
      <c r="C1588" s="62"/>
      <c r="D1588" s="14"/>
      <c r="E1588" s="15"/>
      <c r="F1588" s="16"/>
      <c r="G1588" s="17" t="str">
        <f t="shared" si="61"/>
        <v/>
      </c>
      <c r="H1588" s="18" t="str">
        <f t="shared" si="73"/>
        <v/>
      </c>
      <c r="I1588" s="19" t="str">
        <f t="shared" si="65"/>
        <v/>
      </c>
      <c r="J1588" s="20" t="str">
        <f t="shared" si="25"/>
        <v/>
      </c>
      <c r="K1588" s="20"/>
      <c r="L1588" s="20"/>
      <c r="M1588" s="20"/>
      <c r="N1588" s="21"/>
      <c r="O1588" s="22" t="str">
        <f>IFERROR(__xludf.DUMMYFUNCTION("IFERROR(
  VLOOKUP(C1588,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C1588
    ), 
    7, FALSE
  ), 
  """"
)
"),"")</f>
        <v/>
      </c>
      <c r="P1588" s="22"/>
      <c r="Q1588" s="23" t="str">
        <f t="shared" si="4"/>
        <v/>
      </c>
      <c r="R1588" s="20"/>
      <c r="S1588" s="18"/>
      <c r="T1588" s="24"/>
      <c r="U1588" s="24"/>
      <c r="V1588" s="24"/>
      <c r="W1588" s="24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</row>
    <row r="1589">
      <c r="A1589" s="37"/>
      <c r="B1589" s="25"/>
      <c r="C1589" s="60"/>
      <c r="D1589" s="27"/>
      <c r="E1589" s="28"/>
      <c r="F1589" s="29"/>
      <c r="G1589" s="30" t="str">
        <f t="shared" si="61"/>
        <v/>
      </c>
      <c r="H1589" s="31" t="str">
        <f t="shared" si="73"/>
        <v/>
      </c>
      <c r="I1589" s="32" t="str">
        <f t="shared" si="65"/>
        <v/>
      </c>
      <c r="J1589" s="33" t="str">
        <f t="shared" si="25"/>
        <v/>
      </c>
      <c r="K1589" s="33"/>
      <c r="L1589" s="33"/>
      <c r="M1589" s="33"/>
      <c r="N1589" s="34"/>
      <c r="O1589" s="35" t="str">
        <f>IFERROR(__xludf.DUMMYFUNCTION("IFERROR(
  VLOOKUP(C1589,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C1589
    ), 
    7, FALSE
  ), 
  """"
)
"),"")</f>
        <v/>
      </c>
      <c r="P1589" s="35"/>
      <c r="Q1589" s="36" t="str">
        <f t="shared" si="4"/>
        <v/>
      </c>
      <c r="R1589" s="33"/>
      <c r="S1589" s="31"/>
      <c r="T1589" s="37"/>
      <c r="U1589" s="37"/>
      <c r="V1589" s="37"/>
      <c r="W1589" s="37"/>
      <c r="X1589" s="25"/>
      <c r="Y1589" s="25"/>
      <c r="Z1589" s="25"/>
      <c r="AA1589" s="25"/>
      <c r="AB1589" s="25"/>
      <c r="AC1589" s="25"/>
      <c r="AD1589" s="25"/>
      <c r="AE1589" s="25"/>
      <c r="AF1589" s="25"/>
      <c r="AG1589" s="25"/>
      <c r="AH1589" s="25"/>
      <c r="AI1589" s="25"/>
      <c r="AJ1589" s="25"/>
      <c r="AK1589" s="25"/>
      <c r="AL1589" s="25"/>
      <c r="AM1589" s="25"/>
    </row>
    <row r="1590">
      <c r="A1590" s="24"/>
      <c r="B1590" s="13"/>
      <c r="C1590" s="62"/>
      <c r="D1590" s="14"/>
      <c r="E1590" s="15"/>
      <c r="F1590" s="16"/>
      <c r="G1590" s="17" t="str">
        <f t="shared" si="61"/>
        <v/>
      </c>
      <c r="H1590" s="18" t="str">
        <f t="shared" si="73"/>
        <v/>
      </c>
      <c r="I1590" s="19" t="str">
        <f t="shared" si="65"/>
        <v/>
      </c>
      <c r="J1590" s="20" t="str">
        <f t="shared" si="25"/>
        <v/>
      </c>
      <c r="K1590" s="20"/>
      <c r="L1590" s="20"/>
      <c r="M1590" s="20"/>
      <c r="N1590" s="21"/>
      <c r="O1590" s="22" t="str">
        <f>IFERROR(__xludf.DUMMYFUNCTION("IFERROR(
  VLOOKUP(C1590,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C1590
    ), 
    7, FALSE
  ), 
  """"
)
"),"")</f>
        <v/>
      </c>
      <c r="P1590" s="22"/>
      <c r="Q1590" s="23" t="str">
        <f t="shared" si="4"/>
        <v/>
      </c>
      <c r="R1590" s="20"/>
      <c r="S1590" s="18"/>
      <c r="T1590" s="24"/>
      <c r="U1590" s="24"/>
      <c r="V1590" s="24"/>
      <c r="W1590" s="24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</row>
    <row r="1591">
      <c r="A1591" s="37"/>
      <c r="B1591" s="25"/>
      <c r="C1591" s="60"/>
      <c r="D1591" s="27"/>
      <c r="E1591" s="28"/>
      <c r="F1591" s="29"/>
      <c r="G1591" s="30" t="str">
        <f t="shared" si="61"/>
        <v/>
      </c>
      <c r="H1591" s="31" t="str">
        <f t="shared" si="73"/>
        <v/>
      </c>
      <c r="I1591" s="32" t="str">
        <f t="shared" si="65"/>
        <v/>
      </c>
      <c r="J1591" s="33" t="str">
        <f t="shared" si="25"/>
        <v/>
      </c>
      <c r="K1591" s="33"/>
      <c r="L1591" s="33"/>
      <c r="M1591" s="33"/>
      <c r="N1591" s="34"/>
      <c r="O1591" s="35" t="str">
        <f>IFERROR(__xludf.DUMMYFUNCTION("IFERROR(
  VLOOKUP(C1591,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C1591
    ), 
    7, FALSE
  ), 
  """"
)
"),"")</f>
        <v/>
      </c>
      <c r="P1591" s="35"/>
      <c r="Q1591" s="36" t="str">
        <f t="shared" si="4"/>
        <v/>
      </c>
      <c r="R1591" s="33"/>
      <c r="S1591" s="31"/>
      <c r="T1591" s="37"/>
      <c r="U1591" s="37"/>
      <c r="V1591" s="37"/>
      <c r="W1591" s="37"/>
      <c r="X1591" s="25"/>
      <c r="Y1591" s="25"/>
      <c r="Z1591" s="25"/>
      <c r="AA1591" s="25"/>
      <c r="AB1591" s="25"/>
      <c r="AC1591" s="25"/>
      <c r="AD1591" s="25"/>
      <c r="AE1591" s="25"/>
      <c r="AF1591" s="25"/>
      <c r="AG1591" s="25"/>
      <c r="AH1591" s="25"/>
      <c r="AI1591" s="25"/>
      <c r="AJ1591" s="25"/>
      <c r="AK1591" s="25"/>
      <c r="AL1591" s="25"/>
      <c r="AM1591" s="25"/>
    </row>
    <row r="1592">
      <c r="A1592" s="24"/>
      <c r="B1592" s="13"/>
      <c r="C1592" s="62"/>
      <c r="D1592" s="14"/>
      <c r="E1592" s="15"/>
      <c r="F1592" s="16"/>
      <c r="G1592" s="17" t="str">
        <f t="shared" si="61"/>
        <v/>
      </c>
      <c r="H1592" s="18" t="str">
        <f t="shared" si="73"/>
        <v/>
      </c>
      <c r="I1592" s="19" t="str">
        <f t="shared" si="65"/>
        <v/>
      </c>
      <c r="J1592" s="20" t="str">
        <f t="shared" si="25"/>
        <v/>
      </c>
      <c r="K1592" s="20"/>
      <c r="L1592" s="20"/>
      <c r="M1592" s="20"/>
      <c r="N1592" s="21"/>
      <c r="O1592" s="22" t="str">
        <f>IFERROR(__xludf.DUMMYFUNCTION("IFERROR(
  VLOOKUP(C1592,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C1592
    ), 
    7, FALSE
  ), 
  """"
)
"),"")</f>
        <v/>
      </c>
      <c r="P1592" s="22"/>
      <c r="Q1592" s="23" t="str">
        <f t="shared" si="4"/>
        <v/>
      </c>
      <c r="R1592" s="20"/>
      <c r="S1592" s="18"/>
      <c r="T1592" s="24"/>
      <c r="U1592" s="24"/>
      <c r="V1592" s="24"/>
      <c r="W1592" s="24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</row>
    <row r="1593">
      <c r="A1593" s="37"/>
      <c r="B1593" s="25"/>
      <c r="C1593" s="60"/>
      <c r="D1593" s="27"/>
      <c r="E1593" s="28"/>
      <c r="F1593" s="29"/>
      <c r="G1593" s="30" t="str">
        <f t="shared" si="61"/>
        <v/>
      </c>
      <c r="H1593" s="31" t="str">
        <f t="shared" si="73"/>
        <v/>
      </c>
      <c r="I1593" s="32" t="str">
        <f t="shared" si="65"/>
        <v/>
      </c>
      <c r="J1593" s="33" t="str">
        <f t="shared" si="25"/>
        <v/>
      </c>
      <c r="K1593" s="33"/>
      <c r="L1593" s="33"/>
      <c r="M1593" s="33"/>
      <c r="N1593" s="34"/>
      <c r="O1593" s="35" t="str">
        <f>IFERROR(__xludf.DUMMYFUNCTION("IFERROR(
  VLOOKUP(C1593,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C1593
    ), 
    7, FALSE
  ), 
  """"
)
"),"")</f>
        <v/>
      </c>
      <c r="P1593" s="35"/>
      <c r="Q1593" s="36" t="str">
        <f t="shared" si="4"/>
        <v/>
      </c>
      <c r="R1593" s="33"/>
      <c r="S1593" s="31"/>
      <c r="T1593" s="37"/>
      <c r="U1593" s="37"/>
      <c r="V1593" s="37"/>
      <c r="W1593" s="37"/>
      <c r="X1593" s="25"/>
      <c r="Y1593" s="25"/>
      <c r="Z1593" s="25"/>
      <c r="AA1593" s="25"/>
      <c r="AB1593" s="25"/>
      <c r="AC1593" s="25"/>
      <c r="AD1593" s="25"/>
      <c r="AE1593" s="25"/>
      <c r="AF1593" s="25"/>
      <c r="AG1593" s="25"/>
      <c r="AH1593" s="25"/>
      <c r="AI1593" s="25"/>
      <c r="AJ1593" s="25"/>
      <c r="AK1593" s="25"/>
      <c r="AL1593" s="25"/>
      <c r="AM1593" s="25"/>
    </row>
    <row r="1594">
      <c r="A1594" s="24"/>
      <c r="B1594" s="13"/>
      <c r="C1594" s="62"/>
      <c r="D1594" s="14"/>
      <c r="E1594" s="15"/>
      <c r="F1594" s="16"/>
      <c r="G1594" s="17" t="str">
        <f t="shared" si="61"/>
        <v/>
      </c>
      <c r="H1594" s="18" t="str">
        <f t="shared" si="73"/>
        <v/>
      </c>
      <c r="I1594" s="19" t="str">
        <f t="shared" si="65"/>
        <v/>
      </c>
      <c r="J1594" s="20" t="str">
        <f t="shared" si="25"/>
        <v/>
      </c>
      <c r="K1594" s="20"/>
      <c r="L1594" s="20"/>
      <c r="M1594" s="20"/>
      <c r="N1594" s="21"/>
      <c r="O1594" s="22" t="str">
        <f>IFERROR(__xludf.DUMMYFUNCTION("IFERROR(
  VLOOKUP(C1594,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C1594
    ), 
    7, FALSE
  ), 
  """"
)
"),"")</f>
        <v/>
      </c>
      <c r="P1594" s="22"/>
      <c r="Q1594" s="23" t="str">
        <f t="shared" si="4"/>
        <v/>
      </c>
      <c r="R1594" s="20"/>
      <c r="S1594" s="18"/>
      <c r="T1594" s="24"/>
      <c r="U1594" s="24"/>
      <c r="V1594" s="24"/>
      <c r="W1594" s="24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</row>
    <row r="1595">
      <c r="A1595" s="37"/>
      <c r="B1595" s="25"/>
      <c r="C1595" s="60"/>
      <c r="D1595" s="27"/>
      <c r="E1595" s="28"/>
      <c r="F1595" s="29"/>
      <c r="G1595" s="30" t="str">
        <f t="shared" si="61"/>
        <v/>
      </c>
      <c r="H1595" s="31" t="str">
        <f t="shared" si="73"/>
        <v/>
      </c>
      <c r="I1595" s="32" t="str">
        <f t="shared" si="65"/>
        <v/>
      </c>
      <c r="J1595" s="33" t="str">
        <f t="shared" si="25"/>
        <v/>
      </c>
      <c r="K1595" s="33"/>
      <c r="L1595" s="33"/>
      <c r="M1595" s="33"/>
      <c r="N1595" s="34"/>
      <c r="O1595" s="35" t="str">
        <f>IFERROR(__xludf.DUMMYFUNCTION("IFERROR(
  VLOOKUP(C1595,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C1595
    ), 
    7, FALSE
  ), 
  """"
)
"),"")</f>
        <v/>
      </c>
      <c r="P1595" s="35"/>
      <c r="Q1595" s="36" t="str">
        <f t="shared" si="4"/>
        <v/>
      </c>
      <c r="R1595" s="33"/>
      <c r="S1595" s="31"/>
      <c r="T1595" s="37"/>
      <c r="U1595" s="37"/>
      <c r="V1595" s="37"/>
      <c r="W1595" s="37"/>
      <c r="X1595" s="25"/>
      <c r="Y1595" s="25"/>
      <c r="Z1595" s="25"/>
      <c r="AA1595" s="25"/>
      <c r="AB1595" s="25"/>
      <c r="AC1595" s="25"/>
      <c r="AD1595" s="25"/>
      <c r="AE1595" s="25"/>
      <c r="AF1595" s="25"/>
      <c r="AG1595" s="25"/>
      <c r="AH1595" s="25"/>
      <c r="AI1595" s="25"/>
      <c r="AJ1595" s="25"/>
      <c r="AK1595" s="25"/>
      <c r="AL1595" s="25"/>
      <c r="AM1595" s="25"/>
    </row>
    <row r="1596">
      <c r="A1596" s="24"/>
      <c r="B1596" s="13"/>
      <c r="C1596" s="62"/>
      <c r="D1596" s="14"/>
      <c r="E1596" s="15"/>
      <c r="F1596" s="16"/>
      <c r="G1596" s="17" t="str">
        <f t="shared" si="61"/>
        <v/>
      </c>
      <c r="H1596" s="18" t="str">
        <f t="shared" si="73"/>
        <v/>
      </c>
      <c r="I1596" s="19" t="str">
        <f t="shared" si="65"/>
        <v/>
      </c>
      <c r="J1596" s="20" t="str">
        <f t="shared" si="25"/>
        <v/>
      </c>
      <c r="K1596" s="20"/>
      <c r="L1596" s="20"/>
      <c r="M1596" s="20"/>
      <c r="N1596" s="21"/>
      <c r="O1596" s="22" t="str">
        <f>IFERROR(__xludf.DUMMYFUNCTION("IFERROR(
  VLOOKUP(C1596,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C1596
    ), 
    7, FALSE
  ), 
  """"
)
"),"")</f>
        <v/>
      </c>
      <c r="P1596" s="22"/>
      <c r="Q1596" s="23" t="str">
        <f t="shared" si="4"/>
        <v/>
      </c>
      <c r="R1596" s="20"/>
      <c r="S1596" s="18"/>
      <c r="T1596" s="24"/>
      <c r="U1596" s="24"/>
      <c r="V1596" s="24"/>
      <c r="W1596" s="24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  <c r="AH1596" s="13"/>
      <c r="AI1596" s="13"/>
      <c r="AJ1596" s="13"/>
      <c r="AK1596" s="13"/>
      <c r="AL1596" s="13"/>
      <c r="AM1596" s="13"/>
    </row>
    <row r="1597">
      <c r="A1597" s="37"/>
      <c r="B1597" s="25"/>
      <c r="C1597" s="60"/>
      <c r="D1597" s="27"/>
      <c r="E1597" s="28"/>
      <c r="F1597" s="29"/>
      <c r="G1597" s="30" t="str">
        <f t="shared" si="61"/>
        <v/>
      </c>
      <c r="H1597" s="31" t="str">
        <f t="shared" si="73"/>
        <v/>
      </c>
      <c r="I1597" s="32" t="str">
        <f t="shared" si="65"/>
        <v/>
      </c>
      <c r="J1597" s="33" t="str">
        <f t="shared" si="25"/>
        <v/>
      </c>
      <c r="K1597" s="33"/>
      <c r="L1597" s="33"/>
      <c r="M1597" s="33"/>
      <c r="N1597" s="34"/>
      <c r="O1597" s="35" t="str">
        <f>IFERROR(__xludf.DUMMYFUNCTION("IFERROR(
  VLOOKUP(C1597,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C1597
    ), 
    7, FALSE
  ), 
  """"
)
"),"")</f>
        <v/>
      </c>
      <c r="P1597" s="35"/>
      <c r="Q1597" s="36" t="str">
        <f t="shared" si="4"/>
        <v/>
      </c>
      <c r="R1597" s="33"/>
      <c r="S1597" s="31"/>
      <c r="T1597" s="37"/>
      <c r="U1597" s="37"/>
      <c r="V1597" s="37"/>
      <c r="W1597" s="37"/>
      <c r="X1597" s="25"/>
      <c r="Y1597" s="25"/>
      <c r="Z1597" s="25"/>
      <c r="AA1597" s="25"/>
      <c r="AB1597" s="25"/>
      <c r="AC1597" s="25"/>
      <c r="AD1597" s="25"/>
      <c r="AE1597" s="25"/>
      <c r="AF1597" s="25"/>
      <c r="AG1597" s="25"/>
      <c r="AH1597" s="25"/>
      <c r="AI1597" s="25"/>
      <c r="AJ1597" s="25"/>
      <c r="AK1597" s="25"/>
      <c r="AL1597" s="25"/>
      <c r="AM1597" s="25"/>
    </row>
    <row r="1598">
      <c r="A1598" s="24"/>
      <c r="B1598" s="13"/>
      <c r="C1598" s="62"/>
      <c r="D1598" s="14"/>
      <c r="E1598" s="15"/>
      <c r="F1598" s="16"/>
      <c r="G1598" s="17" t="str">
        <f t="shared" si="61"/>
        <v/>
      </c>
      <c r="H1598" s="18" t="str">
        <f t="shared" si="73"/>
        <v/>
      </c>
      <c r="I1598" s="19" t="str">
        <f t="shared" si="65"/>
        <v/>
      </c>
      <c r="J1598" s="20" t="str">
        <f t="shared" si="25"/>
        <v/>
      </c>
      <c r="K1598" s="20"/>
      <c r="L1598" s="20"/>
      <c r="M1598" s="20"/>
      <c r="N1598" s="21"/>
      <c r="O1598" s="22" t="str">
        <f>IFERROR(__xludf.DUMMYFUNCTION("IFERROR(
  VLOOKUP(C1598,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C1598
    ), 
    7, FALSE
  ), 
  """"
)
"),"")</f>
        <v/>
      </c>
      <c r="P1598" s="22"/>
      <c r="Q1598" s="23" t="str">
        <f t="shared" si="4"/>
        <v/>
      </c>
      <c r="R1598" s="20"/>
      <c r="S1598" s="18"/>
      <c r="T1598" s="24"/>
      <c r="U1598" s="24"/>
      <c r="V1598" s="24"/>
      <c r="W1598" s="24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</row>
    <row r="1599">
      <c r="A1599" s="37"/>
      <c r="B1599" s="25"/>
      <c r="C1599" s="60"/>
      <c r="D1599" s="27"/>
      <c r="E1599" s="28"/>
      <c r="F1599" s="29"/>
      <c r="G1599" s="30" t="str">
        <f t="shared" si="61"/>
        <v/>
      </c>
      <c r="H1599" s="31" t="str">
        <f t="shared" si="73"/>
        <v/>
      </c>
      <c r="I1599" s="32" t="str">
        <f t="shared" si="65"/>
        <v/>
      </c>
      <c r="J1599" s="33" t="str">
        <f t="shared" si="25"/>
        <v/>
      </c>
      <c r="K1599" s="33"/>
      <c r="L1599" s="33"/>
      <c r="M1599" s="33"/>
      <c r="N1599" s="34"/>
      <c r="O1599" s="35" t="str">
        <f>IFERROR(__xludf.DUMMYFUNCTION("IFERROR(
  VLOOKUP(C1599,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C1599
    ), 
    7, FALSE
  ), 
  """"
)
"),"")</f>
        <v/>
      </c>
      <c r="P1599" s="35"/>
      <c r="Q1599" s="36" t="str">
        <f t="shared" si="4"/>
        <v/>
      </c>
      <c r="R1599" s="33"/>
      <c r="S1599" s="31"/>
      <c r="T1599" s="37"/>
      <c r="U1599" s="37"/>
      <c r="V1599" s="37"/>
      <c r="W1599" s="37"/>
      <c r="X1599" s="25"/>
      <c r="Y1599" s="25"/>
      <c r="Z1599" s="25"/>
      <c r="AA1599" s="25"/>
      <c r="AB1599" s="25"/>
      <c r="AC1599" s="25"/>
      <c r="AD1599" s="25"/>
      <c r="AE1599" s="25"/>
      <c r="AF1599" s="25"/>
      <c r="AG1599" s="25"/>
      <c r="AH1599" s="25"/>
      <c r="AI1599" s="25"/>
      <c r="AJ1599" s="25"/>
      <c r="AK1599" s="25"/>
      <c r="AL1599" s="25"/>
      <c r="AM1599" s="25"/>
    </row>
    <row r="1600">
      <c r="A1600" s="24"/>
      <c r="B1600" s="13"/>
      <c r="C1600" s="62"/>
      <c r="D1600" s="14"/>
      <c r="E1600" s="15"/>
      <c r="F1600" s="16"/>
      <c r="G1600" s="17" t="str">
        <f t="shared" si="61"/>
        <v/>
      </c>
      <c r="H1600" s="18" t="str">
        <f t="shared" si="73"/>
        <v/>
      </c>
      <c r="I1600" s="19" t="str">
        <f t="shared" si="65"/>
        <v/>
      </c>
      <c r="J1600" s="20" t="str">
        <f t="shared" si="25"/>
        <v/>
      </c>
      <c r="K1600" s="20"/>
      <c r="L1600" s="20"/>
      <c r="M1600" s="20"/>
      <c r="N1600" s="21"/>
      <c r="O1600" s="22" t="str">
        <f>IFERROR(__xludf.DUMMYFUNCTION("IFERROR(
  VLOOKUP(C1600,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C1600
    ), 
    7, FALSE
  ), 
  """"
)
"),"")</f>
        <v/>
      </c>
      <c r="P1600" s="22"/>
      <c r="Q1600" s="23" t="str">
        <f t="shared" si="4"/>
        <v/>
      </c>
      <c r="R1600" s="20"/>
      <c r="S1600" s="18"/>
      <c r="T1600" s="24"/>
      <c r="U1600" s="24"/>
      <c r="V1600" s="24"/>
      <c r="W1600" s="24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13"/>
      <c r="AK1600" s="13"/>
      <c r="AL1600" s="13"/>
      <c r="AM1600" s="13"/>
    </row>
    <row r="1601">
      <c r="A1601" s="37"/>
      <c r="B1601" s="25"/>
      <c r="C1601" s="60"/>
      <c r="D1601" s="27"/>
      <c r="E1601" s="28"/>
      <c r="F1601" s="29"/>
      <c r="G1601" s="30" t="str">
        <f t="shared" si="61"/>
        <v/>
      </c>
      <c r="H1601" s="31" t="str">
        <f t="shared" si="73"/>
        <v/>
      </c>
      <c r="I1601" s="32" t="str">
        <f t="shared" si="65"/>
        <v/>
      </c>
      <c r="J1601" s="33" t="str">
        <f t="shared" si="25"/>
        <v/>
      </c>
      <c r="K1601" s="33"/>
      <c r="L1601" s="33"/>
      <c r="M1601" s="33"/>
      <c r="N1601" s="34"/>
      <c r="O1601" s="35" t="str">
        <f>IFERROR(__xludf.DUMMYFUNCTION("IFERROR(
  VLOOKUP(C1601,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C1601
    ), 
    7, FALSE
  ), 
  """"
)
"),"")</f>
        <v/>
      </c>
      <c r="P1601" s="35"/>
      <c r="Q1601" s="36" t="str">
        <f t="shared" si="4"/>
        <v/>
      </c>
      <c r="R1601" s="33"/>
      <c r="S1601" s="31"/>
      <c r="T1601" s="37"/>
      <c r="U1601" s="37"/>
      <c r="V1601" s="37"/>
      <c r="W1601" s="37"/>
      <c r="X1601" s="25"/>
      <c r="Y1601" s="25"/>
      <c r="Z1601" s="25"/>
      <c r="AA1601" s="25"/>
      <c r="AB1601" s="25"/>
      <c r="AC1601" s="25"/>
      <c r="AD1601" s="25"/>
      <c r="AE1601" s="25"/>
      <c r="AF1601" s="25"/>
      <c r="AG1601" s="25"/>
      <c r="AH1601" s="25"/>
      <c r="AI1601" s="25"/>
      <c r="AJ1601" s="25"/>
      <c r="AK1601" s="25"/>
      <c r="AL1601" s="25"/>
      <c r="AM1601" s="25"/>
    </row>
    <row r="1602">
      <c r="A1602" s="24"/>
      <c r="B1602" s="13"/>
      <c r="C1602" s="62"/>
      <c r="D1602" s="14"/>
      <c r="E1602" s="15"/>
      <c r="F1602" s="16"/>
      <c r="G1602" s="17" t="str">
        <f t="shared" si="61"/>
        <v/>
      </c>
      <c r="H1602" s="18" t="str">
        <f t="shared" si="73"/>
        <v/>
      </c>
      <c r="I1602" s="19" t="str">
        <f t="shared" si="65"/>
        <v/>
      </c>
      <c r="J1602" s="20" t="str">
        <f t="shared" si="25"/>
        <v/>
      </c>
      <c r="K1602" s="20"/>
      <c r="L1602" s="20"/>
      <c r="M1602" s="20"/>
      <c r="N1602" s="21"/>
      <c r="O1602" s="22" t="str">
        <f>IFERROR(__xludf.DUMMYFUNCTION("IFERROR(
  VLOOKUP(C1602,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C1602
    ), 
    7, FALSE
  ), 
  """"
)
"),"")</f>
        <v/>
      </c>
      <c r="P1602" s="22"/>
      <c r="Q1602" s="23" t="str">
        <f t="shared" si="4"/>
        <v/>
      </c>
      <c r="R1602" s="20"/>
      <c r="S1602" s="18"/>
      <c r="T1602" s="24"/>
      <c r="U1602" s="24"/>
      <c r="V1602" s="24"/>
      <c r="W1602" s="24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</row>
    <row r="1603">
      <c r="A1603" s="37"/>
      <c r="B1603" s="25"/>
      <c r="C1603" s="60"/>
      <c r="D1603" s="27"/>
      <c r="E1603" s="28"/>
      <c r="F1603" s="29"/>
      <c r="G1603" s="30" t="str">
        <f t="shared" si="61"/>
        <v/>
      </c>
      <c r="H1603" s="31" t="str">
        <f t="shared" si="73"/>
        <v/>
      </c>
      <c r="I1603" s="32" t="str">
        <f t="shared" si="65"/>
        <v/>
      </c>
      <c r="J1603" s="33" t="str">
        <f t="shared" si="25"/>
        <v/>
      </c>
      <c r="K1603" s="33"/>
      <c r="L1603" s="33"/>
      <c r="M1603" s="33"/>
      <c r="N1603" s="34"/>
      <c r="O1603" s="35" t="str">
        <f>IFERROR(__xludf.DUMMYFUNCTION("IFERROR(
  VLOOKUP(C1603,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C1603
    ), 
    7, FALSE
  ), 
  """"
)
"),"")</f>
        <v/>
      </c>
      <c r="P1603" s="35"/>
      <c r="Q1603" s="36" t="str">
        <f t="shared" si="4"/>
        <v/>
      </c>
      <c r="R1603" s="33"/>
      <c r="S1603" s="31"/>
      <c r="T1603" s="37"/>
      <c r="U1603" s="37"/>
      <c r="V1603" s="37"/>
      <c r="W1603" s="37"/>
      <c r="X1603" s="25"/>
      <c r="Y1603" s="25"/>
      <c r="Z1603" s="25"/>
      <c r="AA1603" s="25"/>
      <c r="AB1603" s="25"/>
      <c r="AC1603" s="25"/>
      <c r="AD1603" s="25"/>
      <c r="AE1603" s="25"/>
      <c r="AF1603" s="25"/>
      <c r="AG1603" s="25"/>
      <c r="AH1603" s="25"/>
      <c r="AI1603" s="25"/>
      <c r="AJ1603" s="25"/>
      <c r="AK1603" s="25"/>
      <c r="AL1603" s="25"/>
      <c r="AM1603" s="25"/>
    </row>
    <row r="1604">
      <c r="A1604" s="24"/>
      <c r="B1604" s="13"/>
      <c r="C1604" s="62"/>
      <c r="D1604" s="14"/>
      <c r="E1604" s="15"/>
      <c r="F1604" s="16"/>
      <c r="G1604" s="17" t="str">
        <f t="shared" si="61"/>
        <v/>
      </c>
      <c r="H1604" s="18" t="str">
        <f t="shared" si="73"/>
        <v/>
      </c>
      <c r="I1604" s="19" t="str">
        <f t="shared" si="65"/>
        <v/>
      </c>
      <c r="J1604" s="20" t="str">
        <f t="shared" si="25"/>
        <v/>
      </c>
      <c r="K1604" s="20"/>
      <c r="L1604" s="20"/>
      <c r="M1604" s="20"/>
      <c r="N1604" s="21"/>
      <c r="O1604" s="22" t="str">
        <f>IFERROR(__xludf.DUMMYFUNCTION("IFERROR(
  VLOOKUP(C1604,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C1604
    ), 
    7, FALSE
  ), 
  """"
)
"),"")</f>
        <v/>
      </c>
      <c r="P1604" s="22"/>
      <c r="Q1604" s="23" t="str">
        <f t="shared" si="4"/>
        <v/>
      </c>
      <c r="R1604" s="20"/>
      <c r="S1604" s="18"/>
      <c r="T1604" s="24"/>
      <c r="U1604" s="24"/>
      <c r="V1604" s="24"/>
      <c r="W1604" s="24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</row>
    <row r="1605">
      <c r="A1605" s="37"/>
      <c r="B1605" s="25"/>
      <c r="C1605" s="60"/>
      <c r="D1605" s="27"/>
      <c r="E1605" s="28"/>
      <c r="F1605" s="29"/>
      <c r="G1605" s="30" t="str">
        <f t="shared" si="61"/>
        <v/>
      </c>
      <c r="H1605" s="31" t="str">
        <f t="shared" si="73"/>
        <v/>
      </c>
      <c r="I1605" s="32" t="str">
        <f t="shared" si="65"/>
        <v/>
      </c>
      <c r="J1605" s="33" t="str">
        <f t="shared" si="25"/>
        <v/>
      </c>
      <c r="K1605" s="33"/>
      <c r="L1605" s="33"/>
      <c r="M1605" s="33"/>
      <c r="N1605" s="34"/>
      <c r="O1605" s="35" t="str">
        <f>IFERROR(__xludf.DUMMYFUNCTION("IFERROR(
  VLOOKUP(C1605,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C1605
    ), 
    7, FALSE
  ), 
  """"
)
"),"")</f>
        <v/>
      </c>
      <c r="P1605" s="35"/>
      <c r="Q1605" s="36" t="str">
        <f t="shared" si="4"/>
        <v/>
      </c>
      <c r="R1605" s="33"/>
      <c r="S1605" s="31"/>
      <c r="T1605" s="37"/>
      <c r="U1605" s="37"/>
      <c r="V1605" s="37"/>
      <c r="W1605" s="37"/>
      <c r="X1605" s="25"/>
      <c r="Y1605" s="25"/>
      <c r="Z1605" s="25"/>
      <c r="AA1605" s="25"/>
      <c r="AB1605" s="25"/>
      <c r="AC1605" s="25"/>
      <c r="AD1605" s="25"/>
      <c r="AE1605" s="25"/>
      <c r="AF1605" s="25"/>
      <c r="AG1605" s="25"/>
      <c r="AH1605" s="25"/>
      <c r="AI1605" s="25"/>
      <c r="AJ1605" s="25"/>
      <c r="AK1605" s="25"/>
      <c r="AL1605" s="25"/>
      <c r="AM1605" s="25"/>
    </row>
    <row r="1606">
      <c r="A1606" s="24"/>
      <c r="B1606" s="13"/>
      <c r="C1606" s="62"/>
      <c r="D1606" s="14"/>
      <c r="E1606" s="15"/>
      <c r="F1606" s="16"/>
      <c r="G1606" s="17" t="str">
        <f t="shared" si="61"/>
        <v/>
      </c>
      <c r="H1606" s="18" t="str">
        <f t="shared" si="73"/>
        <v/>
      </c>
      <c r="I1606" s="19" t="str">
        <f t="shared" si="65"/>
        <v/>
      </c>
      <c r="J1606" s="20" t="str">
        <f t="shared" si="25"/>
        <v/>
      </c>
      <c r="K1606" s="20"/>
      <c r="L1606" s="20"/>
      <c r="M1606" s="20"/>
      <c r="N1606" s="21"/>
      <c r="O1606" s="22" t="str">
        <f>IFERROR(__xludf.DUMMYFUNCTION("IFERROR(
  VLOOKUP(C1606,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C1606
    ), 
    7, FALSE
  ), 
  """"
)
"),"")</f>
        <v/>
      </c>
      <c r="P1606" s="22"/>
      <c r="Q1606" s="23" t="str">
        <f t="shared" si="4"/>
        <v/>
      </c>
      <c r="R1606" s="20"/>
      <c r="S1606" s="18"/>
      <c r="T1606" s="24"/>
      <c r="U1606" s="24"/>
      <c r="V1606" s="24"/>
      <c r="W1606" s="24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</row>
    <row r="1607">
      <c r="A1607" s="37"/>
      <c r="B1607" s="25"/>
      <c r="C1607" s="60"/>
      <c r="D1607" s="27"/>
      <c r="E1607" s="28"/>
      <c r="F1607" s="29"/>
      <c r="G1607" s="30" t="str">
        <f t="shared" si="61"/>
        <v/>
      </c>
      <c r="H1607" s="31" t="str">
        <f t="shared" si="73"/>
        <v/>
      </c>
      <c r="I1607" s="32" t="str">
        <f t="shared" si="65"/>
        <v/>
      </c>
      <c r="J1607" s="33" t="str">
        <f t="shared" si="25"/>
        <v/>
      </c>
      <c r="K1607" s="33"/>
      <c r="L1607" s="33"/>
      <c r="M1607" s="33"/>
      <c r="N1607" s="34"/>
      <c r="O1607" s="35" t="str">
        <f>IFERROR(__xludf.DUMMYFUNCTION("IFERROR(
  VLOOKUP(C1607,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C1607
    ), 
    7, FALSE
  ), 
  """"
)
"),"")</f>
        <v/>
      </c>
      <c r="P1607" s="35"/>
      <c r="Q1607" s="36" t="str">
        <f t="shared" si="4"/>
        <v/>
      </c>
      <c r="R1607" s="33"/>
      <c r="S1607" s="31"/>
      <c r="T1607" s="37"/>
      <c r="U1607" s="37"/>
      <c r="V1607" s="37"/>
      <c r="W1607" s="37"/>
      <c r="X1607" s="25"/>
      <c r="Y1607" s="25"/>
      <c r="Z1607" s="25"/>
      <c r="AA1607" s="25"/>
      <c r="AB1607" s="25"/>
      <c r="AC1607" s="25"/>
      <c r="AD1607" s="25"/>
      <c r="AE1607" s="25"/>
      <c r="AF1607" s="25"/>
      <c r="AG1607" s="25"/>
      <c r="AH1607" s="25"/>
      <c r="AI1607" s="25"/>
      <c r="AJ1607" s="25"/>
      <c r="AK1607" s="25"/>
      <c r="AL1607" s="25"/>
      <c r="AM1607" s="25"/>
    </row>
    <row r="1608">
      <c r="A1608" s="24"/>
      <c r="B1608" s="13"/>
      <c r="C1608" s="62"/>
      <c r="D1608" s="14"/>
      <c r="E1608" s="15"/>
      <c r="F1608" s="16"/>
      <c r="G1608" s="17" t="str">
        <f t="shared" si="61"/>
        <v/>
      </c>
      <c r="H1608" s="18" t="str">
        <f t="shared" si="73"/>
        <v/>
      </c>
      <c r="I1608" s="19" t="str">
        <f t="shared" si="65"/>
        <v/>
      </c>
      <c r="J1608" s="20" t="str">
        <f t="shared" si="25"/>
        <v/>
      </c>
      <c r="K1608" s="20"/>
      <c r="L1608" s="20"/>
      <c r="M1608" s="20"/>
      <c r="N1608" s="21"/>
      <c r="O1608" s="22" t="str">
        <f>IFERROR(__xludf.DUMMYFUNCTION("IFERROR(
  VLOOKUP(C1608,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C1608
    ), 
    7, FALSE
  ), 
  """"
)
"),"")</f>
        <v/>
      </c>
      <c r="P1608" s="22"/>
      <c r="Q1608" s="23" t="str">
        <f t="shared" si="4"/>
        <v/>
      </c>
      <c r="R1608" s="20"/>
      <c r="S1608" s="18"/>
      <c r="T1608" s="24"/>
      <c r="U1608" s="24"/>
      <c r="V1608" s="24"/>
      <c r="W1608" s="24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</row>
    <row r="1609">
      <c r="A1609" s="37"/>
      <c r="B1609" s="25"/>
      <c r="C1609" s="60"/>
      <c r="D1609" s="27"/>
      <c r="E1609" s="28"/>
      <c r="F1609" s="29"/>
      <c r="G1609" s="30" t="str">
        <f t="shared" si="61"/>
        <v/>
      </c>
      <c r="H1609" s="31" t="str">
        <f t="shared" si="73"/>
        <v/>
      </c>
      <c r="I1609" s="32" t="str">
        <f t="shared" si="65"/>
        <v/>
      </c>
      <c r="J1609" s="33" t="str">
        <f t="shared" si="25"/>
        <v/>
      </c>
      <c r="K1609" s="33"/>
      <c r="L1609" s="33"/>
      <c r="M1609" s="33"/>
      <c r="N1609" s="34"/>
      <c r="O1609" s="35" t="str">
        <f>IFERROR(__xludf.DUMMYFUNCTION("IFERROR(
  VLOOKUP(C1609,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C1609
    ), 
    7, FALSE
  ), 
  """"
)
"),"")</f>
        <v/>
      </c>
      <c r="P1609" s="35"/>
      <c r="Q1609" s="36" t="str">
        <f t="shared" si="4"/>
        <v/>
      </c>
      <c r="R1609" s="33"/>
      <c r="S1609" s="31"/>
      <c r="T1609" s="37"/>
      <c r="U1609" s="37"/>
      <c r="V1609" s="37"/>
      <c r="W1609" s="37"/>
      <c r="X1609" s="25"/>
      <c r="Y1609" s="25"/>
      <c r="Z1609" s="25"/>
      <c r="AA1609" s="25"/>
      <c r="AB1609" s="25"/>
      <c r="AC1609" s="25"/>
      <c r="AD1609" s="25"/>
      <c r="AE1609" s="25"/>
      <c r="AF1609" s="25"/>
      <c r="AG1609" s="25"/>
      <c r="AH1609" s="25"/>
      <c r="AI1609" s="25"/>
      <c r="AJ1609" s="25"/>
      <c r="AK1609" s="25"/>
      <c r="AL1609" s="25"/>
      <c r="AM1609" s="25"/>
    </row>
    <row r="1610">
      <c r="A1610" s="24"/>
      <c r="B1610" s="13"/>
      <c r="C1610" s="62"/>
      <c r="D1610" s="14"/>
      <c r="E1610" s="15"/>
      <c r="F1610" s="16"/>
      <c r="G1610" s="17" t="str">
        <f t="shared" si="61"/>
        <v/>
      </c>
      <c r="H1610" s="18" t="str">
        <f t="shared" si="73"/>
        <v/>
      </c>
      <c r="I1610" s="19" t="str">
        <f t="shared" si="65"/>
        <v/>
      </c>
      <c r="J1610" s="20" t="str">
        <f t="shared" si="25"/>
        <v/>
      </c>
      <c r="K1610" s="20"/>
      <c r="L1610" s="20"/>
      <c r="M1610" s="20"/>
      <c r="N1610" s="21"/>
      <c r="O1610" s="22" t="str">
        <f>IFERROR(__xludf.DUMMYFUNCTION("IFERROR(
  VLOOKUP(C1610,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C1610
    ), 
    7, FALSE
  ), 
  """"
)
"),"")</f>
        <v/>
      </c>
      <c r="P1610" s="22"/>
      <c r="Q1610" s="23" t="str">
        <f t="shared" si="4"/>
        <v/>
      </c>
      <c r="R1610" s="20"/>
      <c r="S1610" s="18"/>
      <c r="T1610" s="24"/>
      <c r="U1610" s="24"/>
      <c r="V1610" s="24"/>
      <c r="W1610" s="24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</row>
    <row r="1611">
      <c r="A1611" s="37"/>
      <c r="B1611" s="25"/>
      <c r="C1611" s="60"/>
      <c r="D1611" s="27"/>
      <c r="E1611" s="28"/>
      <c r="F1611" s="29"/>
      <c r="G1611" s="30" t="str">
        <f t="shared" si="61"/>
        <v/>
      </c>
      <c r="H1611" s="31" t="str">
        <f t="shared" si="73"/>
        <v/>
      </c>
      <c r="I1611" s="32" t="str">
        <f t="shared" si="65"/>
        <v/>
      </c>
      <c r="J1611" s="33" t="str">
        <f t="shared" si="25"/>
        <v/>
      </c>
      <c r="K1611" s="33"/>
      <c r="L1611" s="33"/>
      <c r="M1611" s="33"/>
      <c r="N1611" s="34"/>
      <c r="O1611" s="35" t="str">
        <f>IFERROR(__xludf.DUMMYFUNCTION("IFERROR(
  VLOOKUP(C1611,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C1611
    ), 
    7, FALSE
  ), 
  """"
)
"),"")</f>
        <v/>
      </c>
      <c r="P1611" s="35"/>
      <c r="Q1611" s="36" t="str">
        <f t="shared" si="4"/>
        <v/>
      </c>
      <c r="R1611" s="33"/>
      <c r="S1611" s="31"/>
      <c r="T1611" s="37"/>
      <c r="U1611" s="37"/>
      <c r="V1611" s="37"/>
      <c r="W1611" s="37"/>
      <c r="X1611" s="25"/>
      <c r="Y1611" s="25"/>
      <c r="Z1611" s="25"/>
      <c r="AA1611" s="25"/>
      <c r="AB1611" s="25"/>
      <c r="AC1611" s="25"/>
      <c r="AD1611" s="25"/>
      <c r="AE1611" s="25"/>
      <c r="AF1611" s="25"/>
      <c r="AG1611" s="25"/>
      <c r="AH1611" s="25"/>
      <c r="AI1611" s="25"/>
      <c r="AJ1611" s="25"/>
      <c r="AK1611" s="25"/>
      <c r="AL1611" s="25"/>
      <c r="AM1611" s="25"/>
    </row>
    <row r="1612">
      <c r="A1612" s="24"/>
      <c r="B1612" s="13"/>
      <c r="C1612" s="62"/>
      <c r="D1612" s="14"/>
      <c r="E1612" s="15"/>
      <c r="F1612" s="16"/>
      <c r="G1612" s="17" t="str">
        <f t="shared" si="61"/>
        <v/>
      </c>
      <c r="H1612" s="18" t="str">
        <f t="shared" si="73"/>
        <v/>
      </c>
      <c r="I1612" s="19" t="str">
        <f t="shared" si="65"/>
        <v/>
      </c>
      <c r="J1612" s="20" t="str">
        <f t="shared" si="25"/>
        <v/>
      </c>
      <c r="K1612" s="20"/>
      <c r="L1612" s="20"/>
      <c r="M1612" s="20"/>
      <c r="N1612" s="21"/>
      <c r="O1612" s="22" t="str">
        <f>IFERROR(__xludf.DUMMYFUNCTION("IFERROR(
  VLOOKUP(C1612,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C1612
    ), 
    7, FALSE
  ), 
  """"
)
"),"")</f>
        <v/>
      </c>
      <c r="P1612" s="22"/>
      <c r="Q1612" s="23" t="str">
        <f t="shared" si="4"/>
        <v/>
      </c>
      <c r="R1612" s="20"/>
      <c r="S1612" s="18"/>
      <c r="T1612" s="24"/>
      <c r="U1612" s="24"/>
      <c r="V1612" s="24"/>
      <c r="W1612" s="24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</row>
    <row r="1613">
      <c r="A1613" s="37"/>
      <c r="B1613" s="25"/>
      <c r="C1613" s="60"/>
      <c r="D1613" s="27"/>
      <c r="E1613" s="28"/>
      <c r="F1613" s="29"/>
      <c r="G1613" s="30" t="str">
        <f t="shared" si="61"/>
        <v/>
      </c>
      <c r="H1613" s="31" t="str">
        <f t="shared" si="73"/>
        <v/>
      </c>
      <c r="I1613" s="32" t="str">
        <f t="shared" si="65"/>
        <v/>
      </c>
      <c r="J1613" s="33" t="str">
        <f t="shared" si="25"/>
        <v/>
      </c>
      <c r="K1613" s="33"/>
      <c r="L1613" s="33"/>
      <c r="M1613" s="33"/>
      <c r="N1613" s="34"/>
      <c r="O1613" s="35" t="str">
        <f>IFERROR(__xludf.DUMMYFUNCTION("IFERROR(
  VLOOKUP(C1613,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C1613
    ), 
    7, FALSE
  ), 
  """"
)
"),"")</f>
        <v/>
      </c>
      <c r="P1613" s="35"/>
      <c r="Q1613" s="36" t="str">
        <f t="shared" si="4"/>
        <v/>
      </c>
      <c r="R1613" s="33"/>
      <c r="S1613" s="31"/>
      <c r="T1613" s="37"/>
      <c r="U1613" s="37"/>
      <c r="V1613" s="37"/>
      <c r="W1613" s="37"/>
      <c r="X1613" s="25"/>
      <c r="Y1613" s="25"/>
      <c r="Z1613" s="25"/>
      <c r="AA1613" s="25"/>
      <c r="AB1613" s="25"/>
      <c r="AC1613" s="25"/>
      <c r="AD1613" s="25"/>
      <c r="AE1613" s="25"/>
      <c r="AF1613" s="25"/>
      <c r="AG1613" s="25"/>
      <c r="AH1613" s="25"/>
      <c r="AI1613" s="25"/>
      <c r="AJ1613" s="25"/>
      <c r="AK1613" s="25"/>
      <c r="AL1613" s="25"/>
      <c r="AM1613" s="25"/>
    </row>
    <row r="1614">
      <c r="A1614" s="24"/>
      <c r="B1614" s="13"/>
      <c r="C1614" s="62"/>
      <c r="D1614" s="14"/>
      <c r="E1614" s="15"/>
      <c r="F1614" s="16"/>
      <c r="G1614" s="17" t="str">
        <f t="shared" si="61"/>
        <v/>
      </c>
      <c r="H1614" s="18" t="str">
        <f t="shared" si="73"/>
        <v/>
      </c>
      <c r="I1614" s="19" t="str">
        <f t="shared" si="65"/>
        <v/>
      </c>
      <c r="J1614" s="20" t="str">
        <f t="shared" si="25"/>
        <v/>
      </c>
      <c r="K1614" s="20"/>
      <c r="L1614" s="20"/>
      <c r="M1614" s="20"/>
      <c r="N1614" s="21"/>
      <c r="O1614" s="22" t="str">
        <f>IFERROR(__xludf.DUMMYFUNCTION("IFERROR(
  VLOOKUP(C1614,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C1614
    ), 
    7, FALSE
  ), 
  """"
)
"),"")</f>
        <v/>
      </c>
      <c r="P1614" s="22"/>
      <c r="Q1614" s="23" t="str">
        <f t="shared" si="4"/>
        <v/>
      </c>
      <c r="R1614" s="20"/>
      <c r="S1614" s="18"/>
      <c r="T1614" s="24"/>
      <c r="U1614" s="24"/>
      <c r="V1614" s="24"/>
      <c r="W1614" s="24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</row>
    <row r="1615">
      <c r="A1615" s="37"/>
      <c r="B1615" s="25"/>
      <c r="C1615" s="60"/>
      <c r="D1615" s="27"/>
      <c r="E1615" s="28"/>
      <c r="F1615" s="29"/>
      <c r="G1615" s="30" t="str">
        <f t="shared" si="61"/>
        <v/>
      </c>
      <c r="H1615" s="31" t="str">
        <f t="shared" si="73"/>
        <v/>
      </c>
      <c r="I1615" s="32" t="str">
        <f t="shared" si="65"/>
        <v/>
      </c>
      <c r="J1615" s="33" t="str">
        <f t="shared" si="25"/>
        <v/>
      </c>
      <c r="K1615" s="33"/>
      <c r="L1615" s="33"/>
      <c r="M1615" s="33"/>
      <c r="N1615" s="34"/>
      <c r="O1615" s="35" t="str">
        <f>IFERROR(__xludf.DUMMYFUNCTION("IFERROR(
  VLOOKUP(C1615,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C1615
    ), 
    7, FALSE
  ), 
  """"
)
"),"")</f>
        <v/>
      </c>
      <c r="P1615" s="35"/>
      <c r="Q1615" s="36" t="str">
        <f t="shared" si="4"/>
        <v/>
      </c>
      <c r="R1615" s="33"/>
      <c r="S1615" s="31"/>
      <c r="T1615" s="37"/>
      <c r="U1615" s="37"/>
      <c r="V1615" s="37"/>
      <c r="W1615" s="37"/>
      <c r="X1615" s="25"/>
      <c r="Y1615" s="25"/>
      <c r="Z1615" s="25"/>
      <c r="AA1615" s="25"/>
      <c r="AB1615" s="25"/>
      <c r="AC1615" s="25"/>
      <c r="AD1615" s="25"/>
      <c r="AE1615" s="25"/>
      <c r="AF1615" s="25"/>
      <c r="AG1615" s="25"/>
      <c r="AH1615" s="25"/>
      <c r="AI1615" s="25"/>
      <c r="AJ1615" s="25"/>
      <c r="AK1615" s="25"/>
      <c r="AL1615" s="25"/>
      <c r="AM1615" s="25"/>
    </row>
    <row r="1616">
      <c r="A1616" s="24"/>
      <c r="B1616" s="13"/>
      <c r="C1616" s="62"/>
      <c r="D1616" s="14"/>
      <c r="E1616" s="15"/>
      <c r="F1616" s="16"/>
      <c r="G1616" s="17" t="str">
        <f t="shared" si="61"/>
        <v/>
      </c>
      <c r="H1616" s="18" t="str">
        <f t="shared" si="73"/>
        <v/>
      </c>
      <c r="I1616" s="19" t="str">
        <f t="shared" si="65"/>
        <v/>
      </c>
      <c r="J1616" s="20" t="str">
        <f t="shared" si="25"/>
        <v/>
      </c>
      <c r="K1616" s="20"/>
      <c r="L1616" s="20"/>
      <c r="M1616" s="20"/>
      <c r="N1616" s="21"/>
      <c r="O1616" s="22" t="str">
        <f>IFERROR(__xludf.DUMMYFUNCTION("IFERROR(
  VLOOKUP(C1616,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C1616
    ), 
    7, FALSE
  ), 
  """"
)
"),"")</f>
        <v/>
      </c>
      <c r="P1616" s="22"/>
      <c r="Q1616" s="23" t="str">
        <f t="shared" si="4"/>
        <v/>
      </c>
      <c r="R1616" s="20"/>
      <c r="S1616" s="18"/>
      <c r="T1616" s="24"/>
      <c r="U1616" s="24"/>
      <c r="V1616" s="24"/>
      <c r="W1616" s="24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  <c r="AH1616" s="13"/>
      <c r="AI1616" s="13"/>
      <c r="AJ1616" s="13"/>
      <c r="AK1616" s="13"/>
      <c r="AL1616" s="13"/>
      <c r="AM1616" s="13"/>
    </row>
    <row r="1617">
      <c r="A1617" s="37"/>
      <c r="B1617" s="25"/>
      <c r="C1617" s="60"/>
      <c r="D1617" s="27"/>
      <c r="E1617" s="28"/>
      <c r="F1617" s="29"/>
      <c r="G1617" s="30" t="str">
        <f t="shared" si="61"/>
        <v/>
      </c>
      <c r="H1617" s="31" t="str">
        <f t="shared" si="73"/>
        <v/>
      </c>
      <c r="I1617" s="32" t="str">
        <f t="shared" si="65"/>
        <v/>
      </c>
      <c r="J1617" s="33" t="str">
        <f t="shared" si="25"/>
        <v/>
      </c>
      <c r="K1617" s="33"/>
      <c r="L1617" s="33"/>
      <c r="M1617" s="33"/>
      <c r="N1617" s="34"/>
      <c r="O1617" s="35" t="str">
        <f>IFERROR(__xludf.DUMMYFUNCTION("IFERROR(
  VLOOKUP(C1617,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C1617
    ), 
    7, FALSE
  ), 
  """"
)
"),"")</f>
        <v/>
      </c>
      <c r="P1617" s="35"/>
      <c r="Q1617" s="36" t="str">
        <f t="shared" si="4"/>
        <v/>
      </c>
      <c r="R1617" s="33"/>
      <c r="S1617" s="31"/>
      <c r="T1617" s="37"/>
      <c r="U1617" s="37"/>
      <c r="V1617" s="37"/>
      <c r="W1617" s="37"/>
      <c r="X1617" s="25"/>
      <c r="Y1617" s="25"/>
      <c r="Z1617" s="25"/>
      <c r="AA1617" s="25"/>
      <c r="AB1617" s="25"/>
      <c r="AC1617" s="25"/>
      <c r="AD1617" s="25"/>
      <c r="AE1617" s="25"/>
      <c r="AF1617" s="25"/>
      <c r="AG1617" s="25"/>
      <c r="AH1617" s="25"/>
      <c r="AI1617" s="25"/>
      <c r="AJ1617" s="25"/>
      <c r="AK1617" s="25"/>
      <c r="AL1617" s="25"/>
      <c r="AM1617" s="25"/>
    </row>
    <row r="1618">
      <c r="A1618" s="24"/>
      <c r="B1618" s="13"/>
      <c r="C1618" s="62"/>
      <c r="D1618" s="14"/>
      <c r="E1618" s="15"/>
      <c r="F1618" s="16"/>
      <c r="G1618" s="17" t="str">
        <f t="shared" si="61"/>
        <v/>
      </c>
      <c r="H1618" s="18" t="str">
        <f t="shared" si="73"/>
        <v/>
      </c>
      <c r="I1618" s="19" t="str">
        <f t="shared" si="65"/>
        <v/>
      </c>
      <c r="J1618" s="20" t="str">
        <f t="shared" si="25"/>
        <v/>
      </c>
      <c r="K1618" s="20"/>
      <c r="L1618" s="20"/>
      <c r="M1618" s="20"/>
      <c r="N1618" s="21"/>
      <c r="O1618" s="22" t="str">
        <f>IFERROR(__xludf.DUMMYFUNCTION("IFERROR(
  VLOOKUP(C1618,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C1618
    ), 
    7, FALSE
  ), 
  """"
)
"),"")</f>
        <v/>
      </c>
      <c r="P1618" s="22"/>
      <c r="Q1618" s="23" t="str">
        <f t="shared" si="4"/>
        <v/>
      </c>
      <c r="R1618" s="20"/>
      <c r="S1618" s="18"/>
      <c r="T1618" s="24"/>
      <c r="U1618" s="24"/>
      <c r="V1618" s="24"/>
      <c r="W1618" s="24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</row>
    <row r="1619">
      <c r="A1619" s="37"/>
      <c r="B1619" s="25"/>
      <c r="C1619" s="60"/>
      <c r="D1619" s="27"/>
      <c r="E1619" s="28"/>
      <c r="F1619" s="29"/>
      <c r="G1619" s="30" t="str">
        <f t="shared" si="61"/>
        <v/>
      </c>
      <c r="H1619" s="31" t="str">
        <f t="shared" si="73"/>
        <v/>
      </c>
      <c r="I1619" s="32" t="str">
        <f t="shared" si="65"/>
        <v/>
      </c>
      <c r="J1619" s="33" t="str">
        <f t="shared" si="25"/>
        <v/>
      </c>
      <c r="K1619" s="33"/>
      <c r="L1619" s="33"/>
      <c r="M1619" s="33"/>
      <c r="N1619" s="34"/>
      <c r="O1619" s="35" t="str">
        <f>IFERROR(__xludf.DUMMYFUNCTION("IFERROR(
  VLOOKUP(C1619,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C1619
    ), 
    7, FALSE
  ), 
  """"
)
"),"")</f>
        <v/>
      </c>
      <c r="P1619" s="35"/>
      <c r="Q1619" s="36" t="str">
        <f t="shared" si="4"/>
        <v/>
      </c>
      <c r="R1619" s="33"/>
      <c r="S1619" s="31"/>
      <c r="T1619" s="37"/>
      <c r="U1619" s="37"/>
      <c r="V1619" s="37"/>
      <c r="W1619" s="37"/>
      <c r="X1619" s="25"/>
      <c r="Y1619" s="25"/>
      <c r="Z1619" s="25"/>
      <c r="AA1619" s="25"/>
      <c r="AB1619" s="25"/>
      <c r="AC1619" s="25"/>
      <c r="AD1619" s="25"/>
      <c r="AE1619" s="25"/>
      <c r="AF1619" s="25"/>
      <c r="AG1619" s="25"/>
      <c r="AH1619" s="25"/>
      <c r="AI1619" s="25"/>
      <c r="AJ1619" s="25"/>
      <c r="AK1619" s="25"/>
      <c r="AL1619" s="25"/>
      <c r="AM1619" s="25"/>
    </row>
    <row r="1620">
      <c r="A1620" s="24"/>
      <c r="B1620" s="13"/>
      <c r="C1620" s="62"/>
      <c r="D1620" s="14"/>
      <c r="E1620" s="15"/>
      <c r="F1620" s="16"/>
      <c r="G1620" s="17" t="str">
        <f t="shared" si="61"/>
        <v/>
      </c>
      <c r="H1620" s="18" t="str">
        <f t="shared" si="73"/>
        <v/>
      </c>
      <c r="I1620" s="19" t="str">
        <f t="shared" si="65"/>
        <v/>
      </c>
      <c r="J1620" s="20" t="str">
        <f t="shared" si="25"/>
        <v/>
      </c>
      <c r="K1620" s="20"/>
      <c r="L1620" s="20"/>
      <c r="M1620" s="20"/>
      <c r="N1620" s="21"/>
      <c r="O1620" s="22" t="str">
        <f>IFERROR(__xludf.DUMMYFUNCTION("IFERROR(
  VLOOKUP(C1620,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C1620
    ), 
    7, FALSE
  ), 
  """"
)
"),"")</f>
        <v/>
      </c>
      <c r="P1620" s="22"/>
      <c r="Q1620" s="23" t="str">
        <f t="shared" si="4"/>
        <v/>
      </c>
      <c r="R1620" s="20"/>
      <c r="S1620" s="18"/>
      <c r="T1620" s="24"/>
      <c r="U1620" s="24"/>
      <c r="V1620" s="24"/>
      <c r="W1620" s="24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</row>
    <row r="1621">
      <c r="A1621" s="37"/>
      <c r="B1621" s="25"/>
      <c r="C1621" s="60"/>
      <c r="D1621" s="27"/>
      <c r="E1621" s="28"/>
      <c r="F1621" s="29"/>
      <c r="G1621" s="30" t="str">
        <f t="shared" si="61"/>
        <v/>
      </c>
      <c r="H1621" s="31" t="str">
        <f t="shared" si="73"/>
        <v/>
      </c>
      <c r="I1621" s="32" t="str">
        <f t="shared" si="65"/>
        <v/>
      </c>
      <c r="J1621" s="33" t="str">
        <f t="shared" si="25"/>
        <v/>
      </c>
      <c r="K1621" s="33"/>
      <c r="L1621" s="33"/>
      <c r="M1621" s="33"/>
      <c r="N1621" s="34"/>
      <c r="O1621" s="35" t="str">
        <f>IFERROR(__xludf.DUMMYFUNCTION("IFERROR(
  VLOOKUP(C1621,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C1621
    ), 
    7, FALSE
  ), 
  """"
)
"),"")</f>
        <v/>
      </c>
      <c r="P1621" s="35"/>
      <c r="Q1621" s="36" t="str">
        <f t="shared" si="4"/>
        <v/>
      </c>
      <c r="R1621" s="33"/>
      <c r="S1621" s="31"/>
      <c r="T1621" s="37"/>
      <c r="U1621" s="37"/>
      <c r="V1621" s="37"/>
      <c r="W1621" s="37"/>
      <c r="X1621" s="25"/>
      <c r="Y1621" s="25"/>
      <c r="Z1621" s="25"/>
      <c r="AA1621" s="25"/>
      <c r="AB1621" s="25"/>
      <c r="AC1621" s="25"/>
      <c r="AD1621" s="25"/>
      <c r="AE1621" s="25"/>
      <c r="AF1621" s="25"/>
      <c r="AG1621" s="25"/>
      <c r="AH1621" s="25"/>
      <c r="AI1621" s="25"/>
      <c r="AJ1621" s="25"/>
      <c r="AK1621" s="25"/>
      <c r="AL1621" s="25"/>
      <c r="AM1621" s="25"/>
    </row>
    <row r="1622">
      <c r="A1622" s="24"/>
      <c r="B1622" s="13"/>
      <c r="C1622" s="62"/>
      <c r="D1622" s="14"/>
      <c r="E1622" s="15"/>
      <c r="F1622" s="16"/>
      <c r="G1622" s="17" t="str">
        <f t="shared" si="61"/>
        <v/>
      </c>
      <c r="H1622" s="18" t="str">
        <f t="shared" si="73"/>
        <v/>
      </c>
      <c r="I1622" s="19" t="str">
        <f t="shared" si="65"/>
        <v/>
      </c>
      <c r="J1622" s="20" t="str">
        <f t="shared" si="25"/>
        <v/>
      </c>
      <c r="K1622" s="20"/>
      <c r="L1622" s="20"/>
      <c r="M1622" s="20"/>
      <c r="N1622" s="21"/>
      <c r="O1622" s="22" t="str">
        <f>IFERROR(__xludf.DUMMYFUNCTION("IFERROR(
  VLOOKUP(C1622,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C1622
    ), 
    7, FALSE
  ), 
  """"
)
"),"")</f>
        <v/>
      </c>
      <c r="P1622" s="22"/>
      <c r="Q1622" s="23" t="str">
        <f t="shared" si="4"/>
        <v/>
      </c>
      <c r="R1622" s="20"/>
      <c r="S1622" s="18"/>
      <c r="T1622" s="24"/>
      <c r="U1622" s="24"/>
      <c r="V1622" s="24"/>
      <c r="W1622" s="24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</row>
    <row r="1623">
      <c r="A1623" s="37"/>
      <c r="B1623" s="25"/>
      <c r="C1623" s="60"/>
      <c r="D1623" s="27"/>
      <c r="E1623" s="28"/>
      <c r="F1623" s="29"/>
      <c r="G1623" s="30" t="str">
        <f t="shared" si="61"/>
        <v/>
      </c>
      <c r="H1623" s="31" t="str">
        <f t="shared" si="73"/>
        <v/>
      </c>
      <c r="I1623" s="32" t="str">
        <f t="shared" si="65"/>
        <v/>
      </c>
      <c r="J1623" s="33" t="str">
        <f t="shared" si="25"/>
        <v/>
      </c>
      <c r="K1623" s="33"/>
      <c r="L1623" s="33"/>
      <c r="M1623" s="33"/>
      <c r="N1623" s="34"/>
      <c r="O1623" s="35" t="str">
        <f>IFERROR(__xludf.DUMMYFUNCTION("IFERROR(
  VLOOKUP(C1623,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C1623
    ), 
    7, FALSE
  ), 
  """"
)
"),"")</f>
        <v/>
      </c>
      <c r="P1623" s="35"/>
      <c r="Q1623" s="36" t="str">
        <f t="shared" si="4"/>
        <v/>
      </c>
      <c r="R1623" s="33"/>
      <c r="S1623" s="31"/>
      <c r="T1623" s="37"/>
      <c r="U1623" s="37"/>
      <c r="V1623" s="37"/>
      <c r="W1623" s="37"/>
      <c r="X1623" s="25"/>
      <c r="Y1623" s="25"/>
      <c r="Z1623" s="25"/>
      <c r="AA1623" s="25"/>
      <c r="AB1623" s="25"/>
      <c r="AC1623" s="25"/>
      <c r="AD1623" s="25"/>
      <c r="AE1623" s="25"/>
      <c r="AF1623" s="25"/>
      <c r="AG1623" s="25"/>
      <c r="AH1623" s="25"/>
      <c r="AI1623" s="25"/>
      <c r="AJ1623" s="25"/>
      <c r="AK1623" s="25"/>
      <c r="AL1623" s="25"/>
      <c r="AM1623" s="25"/>
    </row>
    <row r="1624">
      <c r="A1624" s="24"/>
      <c r="B1624" s="13"/>
      <c r="C1624" s="62"/>
      <c r="D1624" s="14"/>
      <c r="E1624" s="15"/>
      <c r="F1624" s="16"/>
      <c r="G1624" s="17" t="str">
        <f t="shared" si="61"/>
        <v/>
      </c>
      <c r="H1624" s="18" t="str">
        <f t="shared" si="73"/>
        <v/>
      </c>
      <c r="I1624" s="19" t="str">
        <f t="shared" si="65"/>
        <v/>
      </c>
      <c r="J1624" s="20" t="str">
        <f t="shared" si="25"/>
        <v/>
      </c>
      <c r="K1624" s="20"/>
      <c r="L1624" s="20"/>
      <c r="M1624" s="20"/>
      <c r="N1624" s="21"/>
      <c r="O1624" s="22" t="str">
        <f>IFERROR(__xludf.DUMMYFUNCTION("IFERROR(
  VLOOKUP(C1624,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C1624
    ), 
    7, FALSE
  ), 
  """"
)
"),"")</f>
        <v/>
      </c>
      <c r="P1624" s="22"/>
      <c r="Q1624" s="23" t="str">
        <f t="shared" si="4"/>
        <v/>
      </c>
      <c r="R1624" s="20"/>
      <c r="S1624" s="18"/>
      <c r="T1624" s="24"/>
      <c r="U1624" s="24"/>
      <c r="V1624" s="24"/>
      <c r="W1624" s="24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  <c r="AL1624" s="13"/>
      <c r="AM1624" s="13"/>
    </row>
    <row r="1625">
      <c r="A1625" s="37"/>
      <c r="B1625" s="25"/>
      <c r="C1625" s="60"/>
      <c r="D1625" s="27"/>
      <c r="E1625" s="28"/>
      <c r="F1625" s="29"/>
      <c r="G1625" s="30" t="str">
        <f t="shared" si="61"/>
        <v/>
      </c>
      <c r="H1625" s="31" t="str">
        <f t="shared" si="73"/>
        <v/>
      </c>
      <c r="I1625" s="32" t="str">
        <f t="shared" si="65"/>
        <v/>
      </c>
      <c r="J1625" s="33" t="str">
        <f t="shared" si="25"/>
        <v/>
      </c>
      <c r="K1625" s="33"/>
      <c r="L1625" s="33"/>
      <c r="M1625" s="33"/>
      <c r="N1625" s="34"/>
      <c r="O1625" s="35" t="str">
        <f>IFERROR(__xludf.DUMMYFUNCTION("IFERROR(
  VLOOKUP(C1625,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C1625
    ), 
    7, FALSE
  ), 
  """"
)
"),"")</f>
        <v/>
      </c>
      <c r="P1625" s="35"/>
      <c r="Q1625" s="36" t="str">
        <f t="shared" si="4"/>
        <v/>
      </c>
      <c r="R1625" s="33"/>
      <c r="S1625" s="31"/>
      <c r="T1625" s="37"/>
      <c r="U1625" s="37"/>
      <c r="V1625" s="37"/>
      <c r="W1625" s="37"/>
      <c r="X1625" s="25"/>
      <c r="Y1625" s="25"/>
      <c r="Z1625" s="25"/>
      <c r="AA1625" s="25"/>
      <c r="AB1625" s="25"/>
      <c r="AC1625" s="25"/>
      <c r="AD1625" s="25"/>
      <c r="AE1625" s="25"/>
      <c r="AF1625" s="25"/>
      <c r="AG1625" s="25"/>
      <c r="AH1625" s="25"/>
      <c r="AI1625" s="25"/>
      <c r="AJ1625" s="25"/>
      <c r="AK1625" s="25"/>
      <c r="AL1625" s="25"/>
      <c r="AM1625" s="25"/>
    </row>
    <row r="1626">
      <c r="A1626" s="24"/>
      <c r="B1626" s="13"/>
      <c r="C1626" s="62"/>
      <c r="D1626" s="14"/>
      <c r="E1626" s="15"/>
      <c r="F1626" s="16"/>
      <c r="G1626" s="17" t="str">
        <f t="shared" si="61"/>
        <v/>
      </c>
      <c r="H1626" s="18" t="str">
        <f t="shared" si="73"/>
        <v/>
      </c>
      <c r="I1626" s="19" t="str">
        <f t="shared" si="65"/>
        <v/>
      </c>
      <c r="J1626" s="20" t="str">
        <f t="shared" si="25"/>
        <v/>
      </c>
      <c r="K1626" s="20"/>
      <c r="L1626" s="20"/>
      <c r="M1626" s="20"/>
      <c r="N1626" s="21"/>
      <c r="O1626" s="22" t="str">
        <f>IFERROR(__xludf.DUMMYFUNCTION("IFERROR(
  VLOOKUP(C1626,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C1626
    ), 
    7, FALSE
  ), 
  """"
)
"),"")</f>
        <v/>
      </c>
      <c r="P1626" s="22"/>
      <c r="Q1626" s="23" t="str">
        <f t="shared" si="4"/>
        <v/>
      </c>
      <c r="R1626" s="20"/>
      <c r="S1626" s="18"/>
      <c r="T1626" s="24"/>
      <c r="U1626" s="24"/>
      <c r="V1626" s="24"/>
      <c r="W1626" s="24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</row>
    <row r="1627">
      <c r="A1627" s="37"/>
      <c r="B1627" s="25"/>
      <c r="C1627" s="60"/>
      <c r="D1627" s="27"/>
      <c r="E1627" s="28"/>
      <c r="F1627" s="29"/>
      <c r="G1627" s="30" t="str">
        <f t="shared" si="61"/>
        <v/>
      </c>
      <c r="H1627" s="31" t="str">
        <f t="shared" si="73"/>
        <v/>
      </c>
      <c r="I1627" s="32" t="str">
        <f t="shared" si="65"/>
        <v/>
      </c>
      <c r="J1627" s="33" t="str">
        <f t="shared" si="25"/>
        <v/>
      </c>
      <c r="K1627" s="33"/>
      <c r="L1627" s="33"/>
      <c r="M1627" s="33"/>
      <c r="N1627" s="34"/>
      <c r="O1627" s="35" t="str">
        <f>IFERROR(__xludf.DUMMYFUNCTION("IFERROR(
  VLOOKUP(C1627,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C1627
    ), 
    7, FALSE
  ), 
  """"
)
"),"")</f>
        <v/>
      </c>
      <c r="P1627" s="35"/>
      <c r="Q1627" s="36" t="str">
        <f t="shared" si="4"/>
        <v/>
      </c>
      <c r="R1627" s="33"/>
      <c r="S1627" s="31"/>
      <c r="T1627" s="37"/>
      <c r="U1627" s="37"/>
      <c r="V1627" s="37"/>
      <c r="W1627" s="37"/>
      <c r="X1627" s="25"/>
      <c r="Y1627" s="25"/>
      <c r="Z1627" s="25"/>
      <c r="AA1627" s="25"/>
      <c r="AB1627" s="25"/>
      <c r="AC1627" s="25"/>
      <c r="AD1627" s="25"/>
      <c r="AE1627" s="25"/>
      <c r="AF1627" s="25"/>
      <c r="AG1627" s="25"/>
      <c r="AH1627" s="25"/>
      <c r="AI1627" s="25"/>
      <c r="AJ1627" s="25"/>
      <c r="AK1627" s="25"/>
      <c r="AL1627" s="25"/>
      <c r="AM1627" s="25"/>
    </row>
    <row r="1628">
      <c r="A1628" s="24"/>
      <c r="B1628" s="13"/>
      <c r="C1628" s="62"/>
      <c r="D1628" s="14"/>
      <c r="E1628" s="15"/>
      <c r="F1628" s="16"/>
      <c r="G1628" s="17" t="str">
        <f t="shared" si="61"/>
        <v/>
      </c>
      <c r="H1628" s="18" t="str">
        <f t="shared" si="73"/>
        <v/>
      </c>
      <c r="I1628" s="19" t="str">
        <f t="shared" si="65"/>
        <v/>
      </c>
      <c r="J1628" s="20" t="str">
        <f t="shared" si="25"/>
        <v/>
      </c>
      <c r="K1628" s="20"/>
      <c r="L1628" s="20"/>
      <c r="M1628" s="20"/>
      <c r="N1628" s="21"/>
      <c r="O1628" s="22" t="str">
        <f>IFERROR(__xludf.DUMMYFUNCTION("IFERROR(
  VLOOKUP(C1628,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C1628
    ), 
    7, FALSE
  ), 
  """"
)
"),"")</f>
        <v/>
      </c>
      <c r="P1628" s="22"/>
      <c r="Q1628" s="23" t="str">
        <f t="shared" si="4"/>
        <v/>
      </c>
      <c r="R1628" s="20"/>
      <c r="S1628" s="18"/>
      <c r="T1628" s="24"/>
      <c r="U1628" s="24"/>
      <c r="V1628" s="24"/>
      <c r="W1628" s="24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</row>
    <row r="1629">
      <c r="A1629" s="37"/>
      <c r="B1629" s="25"/>
      <c r="C1629" s="60"/>
      <c r="D1629" s="27"/>
      <c r="E1629" s="28"/>
      <c r="F1629" s="29"/>
      <c r="G1629" s="30" t="str">
        <f t="shared" si="61"/>
        <v/>
      </c>
      <c r="H1629" s="31" t="str">
        <f t="shared" si="73"/>
        <v/>
      </c>
      <c r="I1629" s="32" t="str">
        <f t="shared" si="65"/>
        <v/>
      </c>
      <c r="J1629" s="33" t="str">
        <f t="shared" si="25"/>
        <v/>
      </c>
      <c r="K1629" s="33"/>
      <c r="L1629" s="33"/>
      <c r="M1629" s="33"/>
      <c r="N1629" s="34"/>
      <c r="O1629" s="35" t="str">
        <f>IFERROR(__xludf.DUMMYFUNCTION("IFERROR(
  VLOOKUP(C1629,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C1629
    ), 
    7, FALSE
  ), 
  """"
)
"),"")</f>
        <v/>
      </c>
      <c r="P1629" s="35"/>
      <c r="Q1629" s="36" t="str">
        <f t="shared" si="4"/>
        <v/>
      </c>
      <c r="R1629" s="33"/>
      <c r="S1629" s="31"/>
      <c r="T1629" s="37"/>
      <c r="U1629" s="37"/>
      <c r="V1629" s="37"/>
      <c r="W1629" s="37"/>
      <c r="X1629" s="25"/>
      <c r="Y1629" s="25"/>
      <c r="Z1629" s="25"/>
      <c r="AA1629" s="25"/>
      <c r="AB1629" s="25"/>
      <c r="AC1629" s="25"/>
      <c r="AD1629" s="25"/>
      <c r="AE1629" s="25"/>
      <c r="AF1629" s="25"/>
      <c r="AG1629" s="25"/>
      <c r="AH1629" s="25"/>
      <c r="AI1629" s="25"/>
      <c r="AJ1629" s="25"/>
      <c r="AK1629" s="25"/>
      <c r="AL1629" s="25"/>
      <c r="AM1629" s="25"/>
    </row>
    <row r="1630">
      <c r="A1630" s="24"/>
      <c r="B1630" s="13"/>
      <c r="C1630" s="62"/>
      <c r="D1630" s="14"/>
      <c r="E1630" s="15"/>
      <c r="F1630" s="16"/>
      <c r="G1630" s="17" t="str">
        <f t="shared" si="61"/>
        <v/>
      </c>
      <c r="H1630" s="18" t="str">
        <f t="shared" si="73"/>
        <v/>
      </c>
      <c r="I1630" s="19" t="str">
        <f t="shared" si="65"/>
        <v/>
      </c>
      <c r="J1630" s="20" t="str">
        <f t="shared" si="25"/>
        <v/>
      </c>
      <c r="K1630" s="20"/>
      <c r="L1630" s="20"/>
      <c r="M1630" s="20"/>
      <c r="N1630" s="21"/>
      <c r="O1630" s="22" t="str">
        <f>IFERROR(__xludf.DUMMYFUNCTION("IFERROR(
  VLOOKUP(C1630,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C1630
    ), 
    7, FALSE
  ), 
  """"
)
"),"")</f>
        <v/>
      </c>
      <c r="P1630" s="22"/>
      <c r="Q1630" s="23" t="str">
        <f t="shared" si="4"/>
        <v/>
      </c>
      <c r="R1630" s="20"/>
      <c r="S1630" s="18"/>
      <c r="T1630" s="24"/>
      <c r="U1630" s="24"/>
      <c r="V1630" s="24"/>
      <c r="W1630" s="24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</row>
    <row r="1631">
      <c r="A1631" s="37"/>
      <c r="B1631" s="25"/>
      <c r="C1631" s="60"/>
      <c r="D1631" s="27"/>
      <c r="E1631" s="28"/>
      <c r="F1631" s="29"/>
      <c r="G1631" s="30" t="str">
        <f t="shared" si="61"/>
        <v/>
      </c>
      <c r="H1631" s="31" t="str">
        <f t="shared" si="73"/>
        <v/>
      </c>
      <c r="I1631" s="32" t="str">
        <f t="shared" si="65"/>
        <v/>
      </c>
      <c r="J1631" s="33" t="str">
        <f t="shared" si="25"/>
        <v/>
      </c>
      <c r="K1631" s="33"/>
      <c r="L1631" s="33"/>
      <c r="M1631" s="33"/>
      <c r="N1631" s="34"/>
      <c r="O1631" s="35" t="str">
        <f>IFERROR(__xludf.DUMMYFUNCTION("IFERROR(
  VLOOKUP(C1631,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C1631
    ), 
    7, FALSE
  ), 
  """"
)
"),"")</f>
        <v/>
      </c>
      <c r="P1631" s="35"/>
      <c r="Q1631" s="36" t="str">
        <f t="shared" si="4"/>
        <v/>
      </c>
      <c r="R1631" s="33"/>
      <c r="S1631" s="31"/>
      <c r="T1631" s="37"/>
      <c r="U1631" s="37"/>
      <c r="V1631" s="37"/>
      <c r="W1631" s="37"/>
      <c r="X1631" s="25"/>
      <c r="Y1631" s="25"/>
      <c r="Z1631" s="25"/>
      <c r="AA1631" s="25"/>
      <c r="AB1631" s="25"/>
      <c r="AC1631" s="25"/>
      <c r="AD1631" s="25"/>
      <c r="AE1631" s="25"/>
      <c r="AF1631" s="25"/>
      <c r="AG1631" s="25"/>
      <c r="AH1631" s="25"/>
      <c r="AI1631" s="25"/>
      <c r="AJ1631" s="25"/>
      <c r="AK1631" s="25"/>
      <c r="AL1631" s="25"/>
      <c r="AM1631" s="25"/>
    </row>
    <row r="1632">
      <c r="A1632" s="24"/>
      <c r="B1632" s="13"/>
      <c r="C1632" s="62"/>
      <c r="D1632" s="14"/>
      <c r="E1632" s="15"/>
      <c r="F1632" s="16"/>
      <c r="G1632" s="17" t="str">
        <f t="shared" si="61"/>
        <v/>
      </c>
      <c r="H1632" s="18" t="str">
        <f t="shared" si="73"/>
        <v/>
      </c>
      <c r="I1632" s="19" t="str">
        <f t="shared" si="65"/>
        <v/>
      </c>
      <c r="J1632" s="20" t="str">
        <f t="shared" si="25"/>
        <v/>
      </c>
      <c r="K1632" s="20"/>
      <c r="L1632" s="20"/>
      <c r="M1632" s="20"/>
      <c r="N1632" s="21"/>
      <c r="O1632" s="22" t="str">
        <f>IFERROR(__xludf.DUMMYFUNCTION("IFERROR(
  VLOOKUP(C1632,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C1632
    ), 
    7, FALSE
  ), 
  """"
)
"),"")</f>
        <v/>
      </c>
      <c r="P1632" s="22"/>
      <c r="Q1632" s="23" t="str">
        <f t="shared" si="4"/>
        <v/>
      </c>
      <c r="R1632" s="20"/>
      <c r="S1632" s="18"/>
      <c r="T1632" s="24"/>
      <c r="U1632" s="24"/>
      <c r="V1632" s="24"/>
      <c r="W1632" s="24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</row>
    <row r="1633">
      <c r="A1633" s="37"/>
      <c r="B1633" s="25"/>
      <c r="C1633" s="60"/>
      <c r="D1633" s="27"/>
      <c r="E1633" s="28"/>
      <c r="F1633" s="29"/>
      <c r="G1633" s="30" t="str">
        <f t="shared" si="61"/>
        <v/>
      </c>
      <c r="H1633" s="31" t="str">
        <f t="shared" si="73"/>
        <v/>
      </c>
      <c r="I1633" s="32" t="str">
        <f t="shared" si="65"/>
        <v/>
      </c>
      <c r="J1633" s="33" t="str">
        <f t="shared" si="25"/>
        <v/>
      </c>
      <c r="K1633" s="33"/>
      <c r="L1633" s="33"/>
      <c r="M1633" s="33"/>
      <c r="N1633" s="34"/>
      <c r="O1633" s="35" t="str">
        <f>IFERROR(__xludf.DUMMYFUNCTION("IFERROR(
  VLOOKUP(C1633,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C1633
    ), 
    7, FALSE
  ), 
  """"
)
"),"")</f>
        <v/>
      </c>
      <c r="P1633" s="35"/>
      <c r="Q1633" s="36" t="str">
        <f t="shared" si="4"/>
        <v/>
      </c>
      <c r="R1633" s="33"/>
      <c r="S1633" s="31"/>
      <c r="T1633" s="37"/>
      <c r="U1633" s="37"/>
      <c r="V1633" s="37"/>
      <c r="W1633" s="37"/>
      <c r="X1633" s="25"/>
      <c r="Y1633" s="25"/>
      <c r="Z1633" s="25"/>
      <c r="AA1633" s="25"/>
      <c r="AB1633" s="25"/>
      <c r="AC1633" s="25"/>
      <c r="AD1633" s="25"/>
      <c r="AE1633" s="25"/>
      <c r="AF1633" s="25"/>
      <c r="AG1633" s="25"/>
      <c r="AH1633" s="25"/>
      <c r="AI1633" s="25"/>
      <c r="AJ1633" s="25"/>
      <c r="AK1633" s="25"/>
      <c r="AL1633" s="25"/>
      <c r="AM1633" s="25"/>
    </row>
    <row r="1634">
      <c r="A1634" s="24"/>
      <c r="B1634" s="13"/>
      <c r="C1634" s="62"/>
      <c r="D1634" s="14"/>
      <c r="E1634" s="15"/>
      <c r="F1634" s="16"/>
      <c r="G1634" s="17" t="str">
        <f t="shared" si="61"/>
        <v/>
      </c>
      <c r="H1634" s="18" t="str">
        <f t="shared" si="73"/>
        <v/>
      </c>
      <c r="I1634" s="19" t="str">
        <f t="shared" si="65"/>
        <v/>
      </c>
      <c r="J1634" s="20" t="str">
        <f t="shared" si="25"/>
        <v/>
      </c>
      <c r="K1634" s="20"/>
      <c r="L1634" s="20"/>
      <c r="M1634" s="20"/>
      <c r="N1634" s="21"/>
      <c r="O1634" s="22" t="str">
        <f>IFERROR(__xludf.DUMMYFUNCTION("IFERROR(
  VLOOKUP(C1634,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C1634
    ), 
    7, FALSE
  ), 
  """"
)
"),"")</f>
        <v/>
      </c>
      <c r="P1634" s="22"/>
      <c r="Q1634" s="23" t="str">
        <f t="shared" si="4"/>
        <v/>
      </c>
      <c r="R1634" s="20"/>
      <c r="S1634" s="18"/>
      <c r="T1634" s="24"/>
      <c r="U1634" s="24"/>
      <c r="V1634" s="24"/>
      <c r="W1634" s="24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/>
      <c r="AK1634" s="13"/>
      <c r="AL1634" s="13"/>
      <c r="AM1634" s="13"/>
    </row>
    <row r="1635">
      <c r="A1635" s="37"/>
      <c r="B1635" s="25"/>
      <c r="C1635" s="60"/>
      <c r="D1635" s="27"/>
      <c r="E1635" s="28"/>
      <c r="F1635" s="29"/>
      <c r="G1635" s="30" t="str">
        <f t="shared" si="61"/>
        <v/>
      </c>
      <c r="H1635" s="31" t="str">
        <f t="shared" si="73"/>
        <v/>
      </c>
      <c r="I1635" s="32" t="str">
        <f t="shared" si="65"/>
        <v/>
      </c>
      <c r="J1635" s="33" t="str">
        <f t="shared" si="25"/>
        <v/>
      </c>
      <c r="K1635" s="33"/>
      <c r="L1635" s="33"/>
      <c r="M1635" s="33"/>
      <c r="N1635" s="34"/>
      <c r="O1635" s="35" t="str">
        <f>IFERROR(__xludf.DUMMYFUNCTION("IFERROR(
  VLOOKUP(C1635,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C1635
    ), 
    7, FALSE
  ), 
  """"
)
"),"")</f>
        <v/>
      </c>
      <c r="P1635" s="35"/>
      <c r="Q1635" s="36" t="str">
        <f t="shared" si="4"/>
        <v/>
      </c>
      <c r="R1635" s="33"/>
      <c r="S1635" s="31"/>
      <c r="T1635" s="37"/>
      <c r="U1635" s="37"/>
      <c r="V1635" s="37"/>
      <c r="W1635" s="37"/>
      <c r="X1635" s="25"/>
      <c r="Y1635" s="25"/>
      <c r="Z1635" s="25"/>
      <c r="AA1635" s="25"/>
      <c r="AB1635" s="25"/>
      <c r="AC1635" s="25"/>
      <c r="AD1635" s="25"/>
      <c r="AE1635" s="25"/>
      <c r="AF1635" s="25"/>
      <c r="AG1635" s="25"/>
      <c r="AH1635" s="25"/>
      <c r="AI1635" s="25"/>
      <c r="AJ1635" s="25"/>
      <c r="AK1635" s="25"/>
      <c r="AL1635" s="25"/>
      <c r="AM1635" s="25"/>
    </row>
    <row r="1636">
      <c r="A1636" s="24"/>
      <c r="B1636" s="13"/>
      <c r="C1636" s="62"/>
      <c r="D1636" s="14"/>
      <c r="E1636" s="15"/>
      <c r="F1636" s="16"/>
      <c r="G1636" s="17" t="str">
        <f t="shared" si="61"/>
        <v/>
      </c>
      <c r="H1636" s="18" t="str">
        <f t="shared" si="73"/>
        <v/>
      </c>
      <c r="I1636" s="19" t="str">
        <f t="shared" si="65"/>
        <v/>
      </c>
      <c r="J1636" s="20" t="str">
        <f t="shared" si="25"/>
        <v/>
      </c>
      <c r="K1636" s="20"/>
      <c r="L1636" s="20"/>
      <c r="M1636" s="20"/>
      <c r="N1636" s="21"/>
      <c r="O1636" s="22" t="str">
        <f>IFERROR(__xludf.DUMMYFUNCTION("IFERROR(
  VLOOKUP(C1636,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C1636
    ), 
    7, FALSE
  ), 
  """"
)
"),"")</f>
        <v/>
      </c>
      <c r="P1636" s="22"/>
      <c r="Q1636" s="23" t="str">
        <f t="shared" si="4"/>
        <v/>
      </c>
      <c r="R1636" s="20"/>
      <c r="S1636" s="18"/>
      <c r="T1636" s="24"/>
      <c r="U1636" s="24"/>
      <c r="V1636" s="24"/>
      <c r="W1636" s="24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  <c r="AL1636" s="13"/>
      <c r="AM1636" s="13"/>
    </row>
    <row r="1637">
      <c r="A1637" s="37"/>
      <c r="B1637" s="25"/>
      <c r="C1637" s="60"/>
      <c r="D1637" s="27"/>
      <c r="E1637" s="28"/>
      <c r="F1637" s="29"/>
      <c r="G1637" s="30" t="str">
        <f t="shared" si="61"/>
        <v/>
      </c>
      <c r="H1637" s="31" t="str">
        <f t="shared" si="73"/>
        <v/>
      </c>
      <c r="I1637" s="32" t="str">
        <f t="shared" si="65"/>
        <v/>
      </c>
      <c r="J1637" s="33" t="str">
        <f t="shared" si="25"/>
        <v/>
      </c>
      <c r="K1637" s="33"/>
      <c r="L1637" s="33"/>
      <c r="M1637" s="33"/>
      <c r="N1637" s="34"/>
      <c r="O1637" s="35" t="str">
        <f>IFERROR(__xludf.DUMMYFUNCTION("IFERROR(
  VLOOKUP(C1637,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C1637
    ), 
    7, FALSE
  ), 
  """"
)
"),"")</f>
        <v/>
      </c>
      <c r="P1637" s="35"/>
      <c r="Q1637" s="36" t="str">
        <f t="shared" si="4"/>
        <v/>
      </c>
      <c r="R1637" s="33"/>
      <c r="S1637" s="31"/>
      <c r="T1637" s="37"/>
      <c r="U1637" s="37"/>
      <c r="V1637" s="37"/>
      <c r="W1637" s="37"/>
      <c r="X1637" s="25"/>
      <c r="Y1637" s="25"/>
      <c r="Z1637" s="25"/>
      <c r="AA1637" s="25"/>
      <c r="AB1637" s="25"/>
      <c r="AC1637" s="25"/>
      <c r="AD1637" s="25"/>
      <c r="AE1637" s="25"/>
      <c r="AF1637" s="25"/>
      <c r="AG1637" s="25"/>
      <c r="AH1637" s="25"/>
      <c r="AI1637" s="25"/>
      <c r="AJ1637" s="25"/>
      <c r="AK1637" s="25"/>
      <c r="AL1637" s="25"/>
      <c r="AM1637" s="25"/>
    </row>
    <row r="1638">
      <c r="A1638" s="24"/>
      <c r="B1638" s="13"/>
      <c r="C1638" s="62"/>
      <c r="D1638" s="14"/>
      <c r="E1638" s="15"/>
      <c r="F1638" s="16"/>
      <c r="G1638" s="17" t="str">
        <f t="shared" si="61"/>
        <v/>
      </c>
      <c r="H1638" s="18" t="str">
        <f t="shared" si="73"/>
        <v/>
      </c>
      <c r="I1638" s="19" t="str">
        <f t="shared" si="65"/>
        <v/>
      </c>
      <c r="J1638" s="20" t="str">
        <f t="shared" si="25"/>
        <v/>
      </c>
      <c r="K1638" s="20"/>
      <c r="L1638" s="20"/>
      <c r="M1638" s="20"/>
      <c r="N1638" s="21"/>
      <c r="O1638" s="22" t="str">
        <f>IFERROR(__xludf.DUMMYFUNCTION("IFERROR(
  VLOOKUP(C1638,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C1638
    ), 
    7, FALSE
  ), 
  """"
)
"),"")</f>
        <v/>
      </c>
      <c r="P1638" s="22"/>
      <c r="Q1638" s="23" t="str">
        <f t="shared" si="4"/>
        <v/>
      </c>
      <c r="R1638" s="20"/>
      <c r="S1638" s="18"/>
      <c r="T1638" s="24"/>
      <c r="U1638" s="24"/>
      <c r="V1638" s="24"/>
      <c r="W1638" s="24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</row>
    <row r="1639">
      <c r="A1639" s="37"/>
      <c r="B1639" s="25"/>
      <c r="C1639" s="60"/>
      <c r="D1639" s="27"/>
      <c r="E1639" s="28"/>
      <c r="F1639" s="29"/>
      <c r="G1639" s="30" t="str">
        <f t="shared" si="61"/>
        <v/>
      </c>
      <c r="H1639" s="31" t="str">
        <f t="shared" si="73"/>
        <v/>
      </c>
      <c r="I1639" s="32" t="str">
        <f t="shared" si="65"/>
        <v/>
      </c>
      <c r="J1639" s="33" t="str">
        <f t="shared" si="25"/>
        <v/>
      </c>
      <c r="K1639" s="33"/>
      <c r="L1639" s="33"/>
      <c r="M1639" s="33"/>
      <c r="N1639" s="34"/>
      <c r="O1639" s="35" t="str">
        <f>IFERROR(__xludf.DUMMYFUNCTION("IFERROR(
  VLOOKUP(C1639,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C1639
    ), 
    7, FALSE
  ), 
  """"
)
"),"")</f>
        <v/>
      </c>
      <c r="P1639" s="35"/>
      <c r="Q1639" s="36" t="str">
        <f t="shared" si="4"/>
        <v/>
      </c>
      <c r="R1639" s="33"/>
      <c r="S1639" s="31"/>
      <c r="T1639" s="37"/>
      <c r="U1639" s="37"/>
      <c r="V1639" s="37"/>
      <c r="W1639" s="37"/>
      <c r="X1639" s="25"/>
      <c r="Y1639" s="25"/>
      <c r="Z1639" s="25"/>
      <c r="AA1639" s="25"/>
      <c r="AB1639" s="25"/>
      <c r="AC1639" s="25"/>
      <c r="AD1639" s="25"/>
      <c r="AE1639" s="25"/>
      <c r="AF1639" s="25"/>
      <c r="AG1639" s="25"/>
      <c r="AH1639" s="25"/>
      <c r="AI1639" s="25"/>
      <c r="AJ1639" s="25"/>
      <c r="AK1639" s="25"/>
      <c r="AL1639" s="25"/>
      <c r="AM1639" s="25"/>
    </row>
    <row r="1640">
      <c r="A1640" s="24"/>
      <c r="B1640" s="13"/>
      <c r="C1640" s="62"/>
      <c r="D1640" s="14"/>
      <c r="E1640" s="15"/>
      <c r="F1640" s="16"/>
      <c r="G1640" s="17" t="str">
        <f t="shared" si="61"/>
        <v/>
      </c>
      <c r="H1640" s="18" t="str">
        <f t="shared" si="73"/>
        <v/>
      </c>
      <c r="I1640" s="19" t="str">
        <f t="shared" si="65"/>
        <v/>
      </c>
      <c r="J1640" s="20" t="str">
        <f t="shared" si="25"/>
        <v/>
      </c>
      <c r="K1640" s="20"/>
      <c r="L1640" s="20"/>
      <c r="M1640" s="20"/>
      <c r="N1640" s="21"/>
      <c r="O1640" s="22" t="str">
        <f>IFERROR(__xludf.DUMMYFUNCTION("IFERROR(
  VLOOKUP(C1640,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C1640
    ), 
    7, FALSE
  ), 
  """"
)
"),"")</f>
        <v/>
      </c>
      <c r="P1640" s="22"/>
      <c r="Q1640" s="23" t="str">
        <f t="shared" si="4"/>
        <v/>
      </c>
      <c r="R1640" s="20"/>
      <c r="S1640" s="18"/>
      <c r="T1640" s="24"/>
      <c r="U1640" s="24"/>
      <c r="V1640" s="24"/>
      <c r="W1640" s="24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</row>
    <row r="1641">
      <c r="A1641" s="37"/>
      <c r="B1641" s="25"/>
      <c r="C1641" s="60"/>
      <c r="D1641" s="27"/>
      <c r="E1641" s="28"/>
      <c r="F1641" s="29"/>
      <c r="G1641" s="30" t="str">
        <f t="shared" si="61"/>
        <v/>
      </c>
      <c r="H1641" s="31" t="str">
        <f t="shared" si="73"/>
        <v/>
      </c>
      <c r="I1641" s="32" t="str">
        <f t="shared" si="65"/>
        <v/>
      </c>
      <c r="J1641" s="33" t="str">
        <f t="shared" si="25"/>
        <v/>
      </c>
      <c r="K1641" s="33"/>
      <c r="L1641" s="33"/>
      <c r="M1641" s="33"/>
      <c r="N1641" s="34"/>
      <c r="O1641" s="35" t="str">
        <f>IFERROR(__xludf.DUMMYFUNCTION("IFERROR(
  VLOOKUP(C1641,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C1641
    ), 
    7, FALSE
  ), 
  """"
)
"),"")</f>
        <v/>
      </c>
      <c r="P1641" s="35"/>
      <c r="Q1641" s="36" t="str">
        <f t="shared" si="4"/>
        <v/>
      </c>
      <c r="R1641" s="33"/>
      <c r="S1641" s="31"/>
      <c r="T1641" s="37"/>
      <c r="U1641" s="37"/>
      <c r="V1641" s="37"/>
      <c r="W1641" s="37"/>
      <c r="X1641" s="25"/>
      <c r="Y1641" s="25"/>
      <c r="Z1641" s="25"/>
      <c r="AA1641" s="25"/>
      <c r="AB1641" s="25"/>
      <c r="AC1641" s="25"/>
      <c r="AD1641" s="25"/>
      <c r="AE1641" s="25"/>
      <c r="AF1641" s="25"/>
      <c r="AG1641" s="25"/>
      <c r="AH1641" s="25"/>
      <c r="AI1641" s="25"/>
      <c r="AJ1641" s="25"/>
      <c r="AK1641" s="25"/>
      <c r="AL1641" s="25"/>
      <c r="AM1641" s="25"/>
    </row>
    <row r="1642">
      <c r="A1642" s="24"/>
      <c r="B1642" s="13"/>
      <c r="C1642" s="62"/>
      <c r="D1642" s="14"/>
      <c r="E1642" s="15"/>
      <c r="F1642" s="16"/>
      <c r="G1642" s="17" t="str">
        <f t="shared" si="61"/>
        <v/>
      </c>
      <c r="H1642" s="18" t="str">
        <f t="shared" si="73"/>
        <v/>
      </c>
      <c r="I1642" s="19" t="str">
        <f t="shared" si="65"/>
        <v/>
      </c>
      <c r="J1642" s="20" t="str">
        <f t="shared" si="25"/>
        <v/>
      </c>
      <c r="K1642" s="20"/>
      <c r="L1642" s="20"/>
      <c r="M1642" s="20"/>
      <c r="N1642" s="21"/>
      <c r="O1642" s="22" t="str">
        <f>IFERROR(__xludf.DUMMYFUNCTION("IFERROR(
  VLOOKUP(C1642,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C1642
    ), 
    7, FALSE
  ), 
  """"
)
"),"")</f>
        <v/>
      </c>
      <c r="P1642" s="22"/>
      <c r="Q1642" s="23" t="str">
        <f t="shared" si="4"/>
        <v/>
      </c>
      <c r="R1642" s="20"/>
      <c r="S1642" s="18"/>
      <c r="T1642" s="24"/>
      <c r="U1642" s="24"/>
      <c r="V1642" s="24"/>
      <c r="W1642" s="24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  <c r="AL1642" s="13"/>
      <c r="AM1642" s="13"/>
    </row>
    <row r="1643">
      <c r="A1643" s="37"/>
      <c r="B1643" s="25"/>
      <c r="C1643" s="60"/>
      <c r="D1643" s="27"/>
      <c r="E1643" s="28"/>
      <c r="F1643" s="29"/>
      <c r="G1643" s="30" t="str">
        <f t="shared" si="61"/>
        <v/>
      </c>
      <c r="H1643" s="31" t="str">
        <f t="shared" si="73"/>
        <v/>
      </c>
      <c r="I1643" s="32" t="str">
        <f t="shared" si="65"/>
        <v/>
      </c>
      <c r="J1643" s="33" t="str">
        <f t="shared" si="25"/>
        <v/>
      </c>
      <c r="K1643" s="33"/>
      <c r="L1643" s="33"/>
      <c r="M1643" s="33"/>
      <c r="N1643" s="34"/>
      <c r="O1643" s="35" t="str">
        <f>IFERROR(__xludf.DUMMYFUNCTION("IFERROR(
  VLOOKUP(C1643,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C1643
    ), 
    7, FALSE
  ), 
  """"
)
"),"")</f>
        <v/>
      </c>
      <c r="P1643" s="35"/>
      <c r="Q1643" s="36" t="str">
        <f t="shared" si="4"/>
        <v/>
      </c>
      <c r="R1643" s="33"/>
      <c r="S1643" s="31"/>
      <c r="T1643" s="37"/>
      <c r="U1643" s="37"/>
      <c r="V1643" s="37"/>
      <c r="W1643" s="37"/>
      <c r="X1643" s="25"/>
      <c r="Y1643" s="25"/>
      <c r="Z1643" s="25"/>
      <c r="AA1643" s="25"/>
      <c r="AB1643" s="25"/>
      <c r="AC1643" s="25"/>
      <c r="AD1643" s="25"/>
      <c r="AE1643" s="25"/>
      <c r="AF1643" s="25"/>
      <c r="AG1643" s="25"/>
      <c r="AH1643" s="25"/>
      <c r="AI1643" s="25"/>
      <c r="AJ1643" s="25"/>
      <c r="AK1643" s="25"/>
      <c r="AL1643" s="25"/>
      <c r="AM1643" s="25"/>
    </row>
    <row r="1644">
      <c r="A1644" s="24"/>
      <c r="B1644" s="13"/>
      <c r="C1644" s="62"/>
      <c r="D1644" s="14"/>
      <c r="E1644" s="15"/>
      <c r="F1644" s="16"/>
      <c r="G1644" s="17" t="str">
        <f t="shared" si="61"/>
        <v/>
      </c>
      <c r="H1644" s="18" t="str">
        <f t="shared" si="73"/>
        <v/>
      </c>
      <c r="I1644" s="19" t="str">
        <f t="shared" si="65"/>
        <v/>
      </c>
      <c r="J1644" s="20" t="str">
        <f t="shared" si="25"/>
        <v/>
      </c>
      <c r="K1644" s="20"/>
      <c r="L1644" s="20"/>
      <c r="M1644" s="20"/>
      <c r="N1644" s="21"/>
      <c r="O1644" s="22" t="str">
        <f>IFERROR(__xludf.DUMMYFUNCTION("IFERROR(
  VLOOKUP(C1644,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C1644
    ), 
    7, FALSE
  ), 
  """"
)
"),"")</f>
        <v/>
      </c>
      <c r="P1644" s="22"/>
      <c r="Q1644" s="23" t="str">
        <f t="shared" si="4"/>
        <v/>
      </c>
      <c r="R1644" s="20"/>
      <c r="S1644" s="18"/>
      <c r="T1644" s="24"/>
      <c r="U1644" s="24"/>
      <c r="V1644" s="24"/>
      <c r="W1644" s="24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</row>
    <row r="1645">
      <c r="A1645" s="37"/>
      <c r="B1645" s="25"/>
      <c r="C1645" s="60"/>
      <c r="D1645" s="27"/>
      <c r="E1645" s="28"/>
      <c r="F1645" s="29"/>
      <c r="G1645" s="30" t="str">
        <f t="shared" si="61"/>
        <v/>
      </c>
      <c r="H1645" s="31" t="str">
        <f t="shared" si="73"/>
        <v/>
      </c>
      <c r="I1645" s="32" t="str">
        <f t="shared" si="65"/>
        <v/>
      </c>
      <c r="J1645" s="33" t="str">
        <f t="shared" si="25"/>
        <v/>
      </c>
      <c r="K1645" s="33"/>
      <c r="L1645" s="33"/>
      <c r="M1645" s="33"/>
      <c r="N1645" s="34"/>
      <c r="O1645" s="35" t="str">
        <f>IFERROR(__xludf.DUMMYFUNCTION("IFERROR(
  VLOOKUP(C1645,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C1645
    ), 
    7, FALSE
  ), 
  """"
)
"),"")</f>
        <v/>
      </c>
      <c r="P1645" s="35"/>
      <c r="Q1645" s="36" t="str">
        <f t="shared" si="4"/>
        <v/>
      </c>
      <c r="R1645" s="33"/>
      <c r="S1645" s="31"/>
      <c r="T1645" s="37"/>
      <c r="U1645" s="37"/>
      <c r="V1645" s="37"/>
      <c r="W1645" s="37"/>
      <c r="X1645" s="25"/>
      <c r="Y1645" s="25"/>
      <c r="Z1645" s="25"/>
      <c r="AA1645" s="25"/>
      <c r="AB1645" s="25"/>
      <c r="AC1645" s="25"/>
      <c r="AD1645" s="25"/>
      <c r="AE1645" s="25"/>
      <c r="AF1645" s="25"/>
      <c r="AG1645" s="25"/>
      <c r="AH1645" s="25"/>
      <c r="AI1645" s="25"/>
      <c r="AJ1645" s="25"/>
      <c r="AK1645" s="25"/>
      <c r="AL1645" s="25"/>
      <c r="AM1645" s="25"/>
    </row>
    <row r="1646">
      <c r="A1646" s="24"/>
      <c r="B1646" s="13"/>
      <c r="C1646" s="62"/>
      <c r="D1646" s="14"/>
      <c r="E1646" s="15"/>
      <c r="F1646" s="16"/>
      <c r="G1646" s="17" t="str">
        <f t="shared" si="61"/>
        <v/>
      </c>
      <c r="H1646" s="18" t="str">
        <f t="shared" si="73"/>
        <v/>
      </c>
      <c r="I1646" s="19" t="str">
        <f t="shared" si="65"/>
        <v/>
      </c>
      <c r="J1646" s="20" t="str">
        <f t="shared" si="25"/>
        <v/>
      </c>
      <c r="K1646" s="20"/>
      <c r="L1646" s="20"/>
      <c r="M1646" s="20"/>
      <c r="N1646" s="21"/>
      <c r="O1646" s="22" t="str">
        <f>IFERROR(__xludf.DUMMYFUNCTION("IFERROR(
  VLOOKUP(C1646,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C1646
    ), 
    7, FALSE
  ), 
  """"
)
"),"")</f>
        <v/>
      </c>
      <c r="P1646" s="22"/>
      <c r="Q1646" s="23" t="str">
        <f t="shared" si="4"/>
        <v/>
      </c>
      <c r="R1646" s="20"/>
      <c r="S1646" s="18"/>
      <c r="T1646" s="24"/>
      <c r="U1646" s="24"/>
      <c r="V1646" s="24"/>
      <c r="W1646" s="24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</row>
    <row r="1647">
      <c r="A1647" s="37"/>
      <c r="B1647" s="25"/>
      <c r="C1647" s="60"/>
      <c r="D1647" s="27"/>
      <c r="E1647" s="28"/>
      <c r="F1647" s="29"/>
      <c r="G1647" s="30" t="str">
        <f t="shared" si="61"/>
        <v/>
      </c>
      <c r="H1647" s="31" t="str">
        <f t="shared" si="73"/>
        <v/>
      </c>
      <c r="I1647" s="32" t="str">
        <f t="shared" si="65"/>
        <v/>
      </c>
      <c r="J1647" s="33" t="str">
        <f t="shared" si="25"/>
        <v/>
      </c>
      <c r="K1647" s="33"/>
      <c r="L1647" s="33"/>
      <c r="M1647" s="33"/>
      <c r="N1647" s="34"/>
      <c r="O1647" s="35" t="str">
        <f>IFERROR(__xludf.DUMMYFUNCTION("IFERROR(
  VLOOKUP(C1647,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C1647
    ), 
    7, FALSE
  ), 
  """"
)
"),"")</f>
        <v/>
      </c>
      <c r="P1647" s="35"/>
      <c r="Q1647" s="36" t="str">
        <f t="shared" si="4"/>
        <v/>
      </c>
      <c r="R1647" s="33"/>
      <c r="S1647" s="31"/>
      <c r="T1647" s="37"/>
      <c r="U1647" s="37"/>
      <c r="V1647" s="37"/>
      <c r="W1647" s="37"/>
      <c r="X1647" s="25"/>
      <c r="Y1647" s="25"/>
      <c r="Z1647" s="25"/>
      <c r="AA1647" s="25"/>
      <c r="AB1647" s="25"/>
      <c r="AC1647" s="25"/>
      <c r="AD1647" s="25"/>
      <c r="AE1647" s="25"/>
      <c r="AF1647" s="25"/>
      <c r="AG1647" s="25"/>
      <c r="AH1647" s="25"/>
      <c r="AI1647" s="25"/>
      <c r="AJ1647" s="25"/>
      <c r="AK1647" s="25"/>
      <c r="AL1647" s="25"/>
      <c r="AM1647" s="25"/>
    </row>
    <row r="1648">
      <c r="A1648" s="24"/>
      <c r="B1648" s="13"/>
      <c r="C1648" s="62"/>
      <c r="D1648" s="14"/>
      <c r="E1648" s="15"/>
      <c r="F1648" s="16"/>
      <c r="G1648" s="17" t="str">
        <f t="shared" si="61"/>
        <v/>
      </c>
      <c r="H1648" s="18" t="str">
        <f t="shared" si="73"/>
        <v/>
      </c>
      <c r="I1648" s="19" t="str">
        <f t="shared" si="65"/>
        <v/>
      </c>
      <c r="J1648" s="20" t="str">
        <f t="shared" si="25"/>
        <v/>
      </c>
      <c r="K1648" s="20"/>
      <c r="L1648" s="20"/>
      <c r="M1648" s="20"/>
      <c r="N1648" s="21"/>
      <c r="O1648" s="22" t="str">
        <f>IFERROR(__xludf.DUMMYFUNCTION("IFERROR(
  VLOOKUP(C1648,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C1648
    ), 
    7, FALSE
  ), 
  """"
)
"),"")</f>
        <v/>
      </c>
      <c r="P1648" s="22"/>
      <c r="Q1648" s="23" t="str">
        <f t="shared" si="4"/>
        <v/>
      </c>
      <c r="R1648" s="20"/>
      <c r="S1648" s="18"/>
      <c r="T1648" s="24"/>
      <c r="U1648" s="24"/>
      <c r="V1648" s="24"/>
      <c r="W1648" s="24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</row>
    <row r="1649">
      <c r="A1649" s="37"/>
      <c r="B1649" s="25"/>
      <c r="C1649" s="60"/>
      <c r="D1649" s="27"/>
      <c r="E1649" s="28"/>
      <c r="F1649" s="29"/>
      <c r="G1649" s="30" t="str">
        <f t="shared" si="61"/>
        <v/>
      </c>
      <c r="H1649" s="31" t="str">
        <f t="shared" si="73"/>
        <v/>
      </c>
      <c r="I1649" s="32" t="str">
        <f t="shared" si="65"/>
        <v/>
      </c>
      <c r="J1649" s="33" t="str">
        <f t="shared" si="25"/>
        <v/>
      </c>
      <c r="K1649" s="33"/>
      <c r="L1649" s="33"/>
      <c r="M1649" s="33"/>
      <c r="N1649" s="34"/>
      <c r="O1649" s="35" t="str">
        <f>IFERROR(__xludf.DUMMYFUNCTION("IFERROR(
  VLOOKUP(C1649,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C1649
    ), 
    7, FALSE
  ), 
  """"
)
"),"")</f>
        <v/>
      </c>
      <c r="P1649" s="35"/>
      <c r="Q1649" s="36" t="str">
        <f t="shared" si="4"/>
        <v/>
      </c>
      <c r="R1649" s="33"/>
      <c r="S1649" s="31"/>
      <c r="T1649" s="37"/>
      <c r="U1649" s="37"/>
      <c r="V1649" s="37"/>
      <c r="W1649" s="37"/>
      <c r="X1649" s="25"/>
      <c r="Y1649" s="25"/>
      <c r="Z1649" s="25"/>
      <c r="AA1649" s="25"/>
      <c r="AB1649" s="25"/>
      <c r="AC1649" s="25"/>
      <c r="AD1649" s="25"/>
      <c r="AE1649" s="25"/>
      <c r="AF1649" s="25"/>
      <c r="AG1649" s="25"/>
      <c r="AH1649" s="25"/>
      <c r="AI1649" s="25"/>
      <c r="AJ1649" s="25"/>
      <c r="AK1649" s="25"/>
      <c r="AL1649" s="25"/>
      <c r="AM1649" s="25"/>
    </row>
    <row r="1650">
      <c r="A1650" s="24"/>
      <c r="B1650" s="13"/>
      <c r="C1650" s="62"/>
      <c r="D1650" s="14"/>
      <c r="E1650" s="15"/>
      <c r="F1650" s="16"/>
      <c r="G1650" s="17" t="str">
        <f t="shared" si="61"/>
        <v/>
      </c>
      <c r="H1650" s="18" t="str">
        <f t="shared" si="73"/>
        <v/>
      </c>
      <c r="I1650" s="19" t="str">
        <f t="shared" si="65"/>
        <v/>
      </c>
      <c r="J1650" s="20" t="str">
        <f t="shared" si="25"/>
        <v/>
      </c>
      <c r="K1650" s="20"/>
      <c r="L1650" s="20"/>
      <c r="M1650" s="20"/>
      <c r="N1650" s="21"/>
      <c r="O1650" s="22" t="str">
        <f>IFERROR(__xludf.DUMMYFUNCTION("IFERROR(
  VLOOKUP(C1650,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C1650
    ), 
    7, FALSE
  ), 
  """"
)
"),"")</f>
        <v/>
      </c>
      <c r="P1650" s="22"/>
      <c r="Q1650" s="23" t="str">
        <f t="shared" si="4"/>
        <v/>
      </c>
      <c r="R1650" s="20"/>
      <c r="S1650" s="18"/>
      <c r="T1650" s="24"/>
      <c r="U1650" s="24"/>
      <c r="V1650" s="24"/>
      <c r="W1650" s="24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  <c r="AL1650" s="13"/>
      <c r="AM1650" s="13"/>
    </row>
    <row r="1651">
      <c r="A1651" s="37"/>
      <c r="B1651" s="25"/>
      <c r="C1651" s="60"/>
      <c r="D1651" s="27"/>
      <c r="E1651" s="28"/>
      <c r="F1651" s="29"/>
      <c r="G1651" s="30" t="str">
        <f t="shared" si="61"/>
        <v/>
      </c>
      <c r="H1651" s="31" t="str">
        <f t="shared" si="73"/>
        <v/>
      </c>
      <c r="I1651" s="32" t="str">
        <f t="shared" si="65"/>
        <v/>
      </c>
      <c r="J1651" s="33" t="str">
        <f t="shared" si="25"/>
        <v/>
      </c>
      <c r="K1651" s="33"/>
      <c r="L1651" s="33"/>
      <c r="M1651" s="33"/>
      <c r="N1651" s="34"/>
      <c r="O1651" s="35" t="str">
        <f>IFERROR(__xludf.DUMMYFUNCTION("IFERROR(
  VLOOKUP(C1651,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C1651
    ), 
    7, FALSE
  ), 
  """"
)
"),"")</f>
        <v/>
      </c>
      <c r="P1651" s="35"/>
      <c r="Q1651" s="36" t="str">
        <f t="shared" si="4"/>
        <v/>
      </c>
      <c r="R1651" s="33"/>
      <c r="S1651" s="31"/>
      <c r="T1651" s="37"/>
      <c r="U1651" s="37"/>
      <c r="V1651" s="37"/>
      <c r="W1651" s="37"/>
      <c r="X1651" s="25"/>
      <c r="Y1651" s="25"/>
      <c r="Z1651" s="25"/>
      <c r="AA1651" s="25"/>
      <c r="AB1651" s="25"/>
      <c r="AC1651" s="25"/>
      <c r="AD1651" s="25"/>
      <c r="AE1651" s="25"/>
      <c r="AF1651" s="25"/>
      <c r="AG1651" s="25"/>
      <c r="AH1651" s="25"/>
      <c r="AI1651" s="25"/>
      <c r="AJ1651" s="25"/>
      <c r="AK1651" s="25"/>
      <c r="AL1651" s="25"/>
      <c r="AM1651" s="25"/>
    </row>
    <row r="1652">
      <c r="A1652" s="24"/>
      <c r="B1652" s="13"/>
      <c r="C1652" s="62"/>
      <c r="D1652" s="14"/>
      <c r="E1652" s="15"/>
      <c r="F1652" s="16"/>
      <c r="G1652" s="17" t="str">
        <f t="shared" si="61"/>
        <v/>
      </c>
      <c r="H1652" s="18" t="str">
        <f t="shared" si="73"/>
        <v/>
      </c>
      <c r="I1652" s="19" t="str">
        <f t="shared" si="65"/>
        <v/>
      </c>
      <c r="J1652" s="20" t="str">
        <f t="shared" si="25"/>
        <v/>
      </c>
      <c r="K1652" s="20"/>
      <c r="L1652" s="20"/>
      <c r="M1652" s="20"/>
      <c r="N1652" s="21"/>
      <c r="O1652" s="22" t="str">
        <f>IFERROR(__xludf.DUMMYFUNCTION("IFERROR(
  VLOOKUP(C1652,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C1652
    ), 
    7, FALSE
  ), 
  """"
)
"),"")</f>
        <v/>
      </c>
      <c r="P1652" s="22"/>
      <c r="Q1652" s="23" t="str">
        <f t="shared" si="4"/>
        <v/>
      </c>
      <c r="R1652" s="20"/>
      <c r="S1652" s="18"/>
      <c r="T1652" s="24"/>
      <c r="U1652" s="24"/>
      <c r="V1652" s="24"/>
      <c r="W1652" s="24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</row>
    <row r="1653">
      <c r="A1653" s="37"/>
      <c r="B1653" s="25"/>
      <c r="C1653" s="60"/>
      <c r="D1653" s="27"/>
      <c r="E1653" s="28"/>
      <c r="F1653" s="29"/>
      <c r="G1653" s="30" t="str">
        <f t="shared" si="61"/>
        <v/>
      </c>
      <c r="H1653" s="31" t="str">
        <f t="shared" si="73"/>
        <v/>
      </c>
      <c r="I1653" s="32" t="str">
        <f t="shared" si="65"/>
        <v/>
      </c>
      <c r="J1653" s="33" t="str">
        <f t="shared" si="25"/>
        <v/>
      </c>
      <c r="K1653" s="33"/>
      <c r="L1653" s="33"/>
      <c r="M1653" s="33"/>
      <c r="N1653" s="34"/>
      <c r="O1653" s="35" t="str">
        <f>IFERROR(__xludf.DUMMYFUNCTION("IFERROR(
  VLOOKUP(C1653,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C1653
    ), 
    7, FALSE
  ), 
  """"
)
"),"")</f>
        <v/>
      </c>
      <c r="P1653" s="35"/>
      <c r="Q1653" s="36" t="str">
        <f t="shared" si="4"/>
        <v/>
      </c>
      <c r="R1653" s="33"/>
      <c r="S1653" s="31"/>
      <c r="T1653" s="37"/>
      <c r="U1653" s="37"/>
      <c r="V1653" s="37"/>
      <c r="W1653" s="37"/>
      <c r="X1653" s="25"/>
      <c r="Y1653" s="25"/>
      <c r="Z1653" s="25"/>
      <c r="AA1653" s="25"/>
      <c r="AB1653" s="25"/>
      <c r="AC1653" s="25"/>
      <c r="AD1653" s="25"/>
      <c r="AE1653" s="25"/>
      <c r="AF1653" s="25"/>
      <c r="AG1653" s="25"/>
      <c r="AH1653" s="25"/>
      <c r="AI1653" s="25"/>
      <c r="AJ1653" s="25"/>
      <c r="AK1653" s="25"/>
      <c r="AL1653" s="25"/>
      <c r="AM1653" s="25"/>
    </row>
    <row r="1654">
      <c r="A1654" s="24"/>
      <c r="B1654" s="13"/>
      <c r="C1654" s="62"/>
      <c r="D1654" s="14"/>
      <c r="E1654" s="15"/>
      <c r="F1654" s="16"/>
      <c r="G1654" s="17" t="str">
        <f t="shared" si="61"/>
        <v/>
      </c>
      <c r="H1654" s="18" t="str">
        <f t="shared" si="73"/>
        <v/>
      </c>
      <c r="I1654" s="19" t="str">
        <f t="shared" si="65"/>
        <v/>
      </c>
      <c r="J1654" s="20" t="str">
        <f t="shared" si="25"/>
        <v/>
      </c>
      <c r="K1654" s="20"/>
      <c r="L1654" s="20"/>
      <c r="M1654" s="20"/>
      <c r="N1654" s="21"/>
      <c r="O1654" s="22" t="str">
        <f>IFERROR(__xludf.DUMMYFUNCTION("IFERROR(
  VLOOKUP(C1654,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C1654
    ), 
    7, FALSE
  ), 
  """"
)
"),"")</f>
        <v/>
      </c>
      <c r="P1654" s="22"/>
      <c r="Q1654" s="23" t="str">
        <f t="shared" si="4"/>
        <v/>
      </c>
      <c r="R1654" s="20"/>
      <c r="S1654" s="18"/>
      <c r="T1654" s="24"/>
      <c r="U1654" s="24"/>
      <c r="V1654" s="24"/>
      <c r="W1654" s="24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  <c r="AL1654" s="13"/>
      <c r="AM1654" s="13"/>
    </row>
    <row r="1655">
      <c r="A1655" s="37"/>
      <c r="B1655" s="25"/>
      <c r="C1655" s="60"/>
      <c r="D1655" s="27"/>
      <c r="E1655" s="28"/>
      <c r="F1655" s="29"/>
      <c r="G1655" s="30" t="str">
        <f t="shared" si="61"/>
        <v/>
      </c>
      <c r="H1655" s="31" t="str">
        <f t="shared" si="73"/>
        <v/>
      </c>
      <c r="I1655" s="32" t="str">
        <f t="shared" si="65"/>
        <v/>
      </c>
      <c r="J1655" s="33" t="str">
        <f t="shared" si="25"/>
        <v/>
      </c>
      <c r="K1655" s="33"/>
      <c r="L1655" s="33"/>
      <c r="M1655" s="33"/>
      <c r="N1655" s="34"/>
      <c r="O1655" s="35" t="str">
        <f>IFERROR(__xludf.DUMMYFUNCTION("IFERROR(
  VLOOKUP(C1655,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C1655
    ), 
    7, FALSE
  ), 
  """"
)
"),"")</f>
        <v/>
      </c>
      <c r="P1655" s="35"/>
      <c r="Q1655" s="36" t="str">
        <f t="shared" si="4"/>
        <v/>
      </c>
      <c r="R1655" s="33"/>
      <c r="S1655" s="31"/>
      <c r="T1655" s="37"/>
      <c r="U1655" s="37"/>
      <c r="V1655" s="37"/>
      <c r="W1655" s="37"/>
      <c r="X1655" s="25"/>
      <c r="Y1655" s="25"/>
      <c r="Z1655" s="25"/>
      <c r="AA1655" s="25"/>
      <c r="AB1655" s="25"/>
      <c r="AC1655" s="25"/>
      <c r="AD1655" s="25"/>
      <c r="AE1655" s="25"/>
      <c r="AF1655" s="25"/>
      <c r="AG1655" s="25"/>
      <c r="AH1655" s="25"/>
      <c r="AI1655" s="25"/>
      <c r="AJ1655" s="25"/>
      <c r="AK1655" s="25"/>
      <c r="AL1655" s="25"/>
      <c r="AM1655" s="25"/>
    </row>
    <row r="1656">
      <c r="A1656" s="24"/>
      <c r="B1656" s="13"/>
      <c r="C1656" s="62"/>
      <c r="D1656" s="14"/>
      <c r="E1656" s="15"/>
      <c r="F1656" s="16"/>
      <c r="G1656" s="17" t="str">
        <f t="shared" si="61"/>
        <v/>
      </c>
      <c r="H1656" s="18" t="str">
        <f t="shared" si="73"/>
        <v/>
      </c>
      <c r="I1656" s="19" t="str">
        <f t="shared" si="65"/>
        <v/>
      </c>
      <c r="J1656" s="20" t="str">
        <f t="shared" si="25"/>
        <v/>
      </c>
      <c r="K1656" s="20"/>
      <c r="L1656" s="20"/>
      <c r="M1656" s="20"/>
      <c r="N1656" s="21"/>
      <c r="O1656" s="22" t="str">
        <f>IFERROR(__xludf.DUMMYFUNCTION("IFERROR(
  VLOOKUP(C1656,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C1656
    ), 
    7, FALSE
  ), 
  """"
)
"),"")</f>
        <v/>
      </c>
      <c r="P1656" s="22"/>
      <c r="Q1656" s="23" t="str">
        <f t="shared" si="4"/>
        <v/>
      </c>
      <c r="R1656" s="20"/>
      <c r="S1656" s="18"/>
      <c r="T1656" s="24"/>
      <c r="U1656" s="24"/>
      <c r="V1656" s="24"/>
      <c r="W1656" s="24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  <c r="AL1656" s="13"/>
      <c r="AM1656" s="13"/>
    </row>
    <row r="1657">
      <c r="A1657" s="37"/>
      <c r="B1657" s="25"/>
      <c r="C1657" s="60"/>
      <c r="D1657" s="27"/>
      <c r="E1657" s="28"/>
      <c r="F1657" s="29"/>
      <c r="G1657" s="30" t="str">
        <f t="shared" si="61"/>
        <v/>
      </c>
      <c r="H1657" s="31" t="str">
        <f t="shared" si="73"/>
        <v/>
      </c>
      <c r="I1657" s="32" t="str">
        <f t="shared" si="65"/>
        <v/>
      </c>
      <c r="J1657" s="33" t="str">
        <f t="shared" si="25"/>
        <v/>
      </c>
      <c r="K1657" s="33"/>
      <c r="L1657" s="33"/>
      <c r="M1657" s="33"/>
      <c r="N1657" s="34"/>
      <c r="O1657" s="35" t="str">
        <f>IFERROR(__xludf.DUMMYFUNCTION("IFERROR(
  VLOOKUP(C1657,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C1657
    ), 
    7, FALSE
  ), 
  """"
)
"),"")</f>
        <v/>
      </c>
      <c r="P1657" s="35"/>
      <c r="Q1657" s="36" t="str">
        <f t="shared" si="4"/>
        <v/>
      </c>
      <c r="R1657" s="33"/>
      <c r="S1657" s="31"/>
      <c r="T1657" s="37"/>
      <c r="U1657" s="37"/>
      <c r="V1657" s="37"/>
      <c r="W1657" s="37"/>
      <c r="X1657" s="25"/>
      <c r="Y1657" s="25"/>
      <c r="Z1657" s="25"/>
      <c r="AA1657" s="25"/>
      <c r="AB1657" s="25"/>
      <c r="AC1657" s="25"/>
      <c r="AD1657" s="25"/>
      <c r="AE1657" s="25"/>
      <c r="AF1657" s="25"/>
      <c r="AG1657" s="25"/>
      <c r="AH1657" s="25"/>
      <c r="AI1657" s="25"/>
      <c r="AJ1657" s="25"/>
      <c r="AK1657" s="25"/>
      <c r="AL1657" s="25"/>
      <c r="AM1657" s="25"/>
    </row>
    <row r="1658">
      <c r="A1658" s="24"/>
      <c r="B1658" s="13"/>
      <c r="C1658" s="62"/>
      <c r="D1658" s="14"/>
      <c r="E1658" s="15"/>
      <c r="F1658" s="16"/>
      <c r="G1658" s="17" t="str">
        <f t="shared" si="61"/>
        <v/>
      </c>
      <c r="H1658" s="18" t="str">
        <f t="shared" si="73"/>
        <v/>
      </c>
      <c r="I1658" s="19" t="str">
        <f t="shared" si="65"/>
        <v/>
      </c>
      <c r="J1658" s="20" t="str">
        <f t="shared" si="25"/>
        <v/>
      </c>
      <c r="K1658" s="20"/>
      <c r="L1658" s="20"/>
      <c r="M1658" s="20"/>
      <c r="N1658" s="21"/>
      <c r="O1658" s="22" t="str">
        <f>IFERROR(__xludf.DUMMYFUNCTION("IFERROR(
  VLOOKUP(C1658,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C1658
    ), 
    7, FALSE
  ), 
  """"
)
"),"")</f>
        <v/>
      </c>
      <c r="P1658" s="22"/>
      <c r="Q1658" s="23" t="str">
        <f t="shared" si="4"/>
        <v/>
      </c>
      <c r="R1658" s="20"/>
      <c r="S1658" s="18"/>
      <c r="T1658" s="24"/>
      <c r="U1658" s="24"/>
      <c r="V1658" s="24"/>
      <c r="W1658" s="24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</row>
    <row r="1659">
      <c r="A1659" s="37"/>
      <c r="B1659" s="25"/>
      <c r="C1659" s="60"/>
      <c r="D1659" s="27"/>
      <c r="E1659" s="28"/>
      <c r="F1659" s="29"/>
      <c r="G1659" s="30" t="str">
        <f t="shared" si="61"/>
        <v/>
      </c>
      <c r="H1659" s="31" t="str">
        <f t="shared" si="73"/>
        <v/>
      </c>
      <c r="I1659" s="32" t="str">
        <f t="shared" si="65"/>
        <v/>
      </c>
      <c r="J1659" s="33" t="str">
        <f t="shared" si="25"/>
        <v/>
      </c>
      <c r="K1659" s="33"/>
      <c r="L1659" s="33"/>
      <c r="M1659" s="33"/>
      <c r="N1659" s="34"/>
      <c r="O1659" s="35" t="str">
        <f>IFERROR(__xludf.DUMMYFUNCTION("IFERROR(
  VLOOKUP(C1659,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C1659
    ), 
    7, FALSE
  ), 
  """"
)
"),"")</f>
        <v/>
      </c>
      <c r="P1659" s="35"/>
      <c r="Q1659" s="36" t="str">
        <f t="shared" si="4"/>
        <v/>
      </c>
      <c r="R1659" s="33"/>
      <c r="S1659" s="31"/>
      <c r="T1659" s="37"/>
      <c r="U1659" s="37"/>
      <c r="V1659" s="37"/>
      <c r="W1659" s="37"/>
      <c r="X1659" s="25"/>
      <c r="Y1659" s="25"/>
      <c r="Z1659" s="25"/>
      <c r="AA1659" s="25"/>
      <c r="AB1659" s="25"/>
      <c r="AC1659" s="25"/>
      <c r="AD1659" s="25"/>
      <c r="AE1659" s="25"/>
      <c r="AF1659" s="25"/>
      <c r="AG1659" s="25"/>
      <c r="AH1659" s="25"/>
      <c r="AI1659" s="25"/>
      <c r="AJ1659" s="25"/>
      <c r="AK1659" s="25"/>
      <c r="AL1659" s="25"/>
      <c r="AM1659" s="25"/>
    </row>
    <row r="1660">
      <c r="A1660" s="24"/>
      <c r="B1660" s="13"/>
      <c r="C1660" s="62"/>
      <c r="D1660" s="14"/>
      <c r="E1660" s="15"/>
      <c r="F1660" s="16"/>
      <c r="G1660" s="17" t="str">
        <f t="shared" si="61"/>
        <v/>
      </c>
      <c r="H1660" s="18" t="str">
        <f t="shared" si="73"/>
        <v/>
      </c>
      <c r="I1660" s="19" t="str">
        <f t="shared" si="65"/>
        <v/>
      </c>
      <c r="J1660" s="20" t="str">
        <f t="shared" si="25"/>
        <v/>
      </c>
      <c r="K1660" s="20"/>
      <c r="L1660" s="20"/>
      <c r="M1660" s="20"/>
      <c r="N1660" s="21"/>
      <c r="O1660" s="22" t="str">
        <f>IFERROR(__xludf.DUMMYFUNCTION("IFERROR(
  VLOOKUP(C1660,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C1660
    ), 
    7, FALSE
  ), 
  """"
)
"),"")</f>
        <v/>
      </c>
      <c r="P1660" s="22"/>
      <c r="Q1660" s="23" t="str">
        <f t="shared" si="4"/>
        <v/>
      </c>
      <c r="R1660" s="20"/>
      <c r="S1660" s="18"/>
      <c r="T1660" s="24"/>
      <c r="U1660" s="24"/>
      <c r="V1660" s="24"/>
      <c r="W1660" s="24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</row>
    <row r="1661">
      <c r="A1661" s="37"/>
      <c r="B1661" s="25"/>
      <c r="C1661" s="60"/>
      <c r="D1661" s="27"/>
      <c r="E1661" s="28"/>
      <c r="F1661" s="29"/>
      <c r="G1661" s="30" t="str">
        <f t="shared" si="61"/>
        <v/>
      </c>
      <c r="H1661" s="31" t="str">
        <f t="shared" si="73"/>
        <v/>
      </c>
      <c r="I1661" s="32" t="str">
        <f t="shared" si="65"/>
        <v/>
      </c>
      <c r="J1661" s="33" t="str">
        <f t="shared" si="25"/>
        <v/>
      </c>
      <c r="K1661" s="33"/>
      <c r="L1661" s="33"/>
      <c r="M1661" s="33"/>
      <c r="N1661" s="34"/>
      <c r="O1661" s="35" t="str">
        <f>IFERROR(__xludf.DUMMYFUNCTION("IFERROR(
  VLOOKUP(C1661,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C1661
    ), 
    7, FALSE
  ), 
  """"
)
"),"")</f>
        <v/>
      </c>
      <c r="P1661" s="35"/>
      <c r="Q1661" s="36" t="str">
        <f t="shared" si="4"/>
        <v/>
      </c>
      <c r="R1661" s="33"/>
      <c r="S1661" s="31"/>
      <c r="T1661" s="37"/>
      <c r="U1661" s="37"/>
      <c r="V1661" s="37"/>
      <c r="W1661" s="37"/>
      <c r="X1661" s="25"/>
      <c r="Y1661" s="25"/>
      <c r="Z1661" s="25"/>
      <c r="AA1661" s="25"/>
      <c r="AB1661" s="25"/>
      <c r="AC1661" s="25"/>
      <c r="AD1661" s="25"/>
      <c r="AE1661" s="25"/>
      <c r="AF1661" s="25"/>
      <c r="AG1661" s="25"/>
      <c r="AH1661" s="25"/>
      <c r="AI1661" s="25"/>
      <c r="AJ1661" s="25"/>
      <c r="AK1661" s="25"/>
      <c r="AL1661" s="25"/>
      <c r="AM1661" s="25"/>
    </row>
    <row r="1662">
      <c r="A1662" s="24"/>
      <c r="B1662" s="13"/>
      <c r="C1662" s="62"/>
      <c r="D1662" s="14"/>
      <c r="E1662" s="15"/>
      <c r="F1662" s="16"/>
      <c r="G1662" s="17" t="str">
        <f t="shared" si="61"/>
        <v/>
      </c>
      <c r="H1662" s="18" t="str">
        <f t="shared" si="73"/>
        <v/>
      </c>
      <c r="I1662" s="19" t="str">
        <f t="shared" si="65"/>
        <v/>
      </c>
      <c r="J1662" s="20" t="str">
        <f t="shared" si="25"/>
        <v/>
      </c>
      <c r="K1662" s="20"/>
      <c r="L1662" s="20"/>
      <c r="M1662" s="20"/>
      <c r="N1662" s="21"/>
      <c r="O1662" s="22" t="str">
        <f>IFERROR(__xludf.DUMMYFUNCTION("IFERROR(
  VLOOKUP(C1662,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C1662
    ), 
    7, FALSE
  ), 
  """"
)
"),"")</f>
        <v/>
      </c>
      <c r="P1662" s="22"/>
      <c r="Q1662" s="23" t="str">
        <f t="shared" si="4"/>
        <v/>
      </c>
      <c r="R1662" s="20"/>
      <c r="S1662" s="18"/>
      <c r="T1662" s="24"/>
      <c r="U1662" s="24"/>
      <c r="V1662" s="24"/>
      <c r="W1662" s="24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</row>
    <row r="1663">
      <c r="A1663" s="37"/>
      <c r="B1663" s="25"/>
      <c r="C1663" s="60"/>
      <c r="D1663" s="27"/>
      <c r="E1663" s="28"/>
      <c r="F1663" s="29"/>
      <c r="G1663" s="30" t="str">
        <f t="shared" si="61"/>
        <v/>
      </c>
      <c r="H1663" s="31" t="str">
        <f t="shared" si="73"/>
        <v/>
      </c>
      <c r="I1663" s="32" t="str">
        <f t="shared" si="65"/>
        <v/>
      </c>
      <c r="J1663" s="33" t="str">
        <f t="shared" si="25"/>
        <v/>
      </c>
      <c r="K1663" s="33"/>
      <c r="L1663" s="33"/>
      <c r="M1663" s="33"/>
      <c r="N1663" s="34"/>
      <c r="O1663" s="35" t="str">
        <f>IFERROR(__xludf.DUMMYFUNCTION("IFERROR(
  VLOOKUP(C1663,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C1663
    ), 
    7, FALSE
  ), 
  """"
)
"),"")</f>
        <v/>
      </c>
      <c r="P1663" s="35"/>
      <c r="Q1663" s="36" t="str">
        <f t="shared" si="4"/>
        <v/>
      </c>
      <c r="R1663" s="33"/>
      <c r="S1663" s="31"/>
      <c r="T1663" s="37"/>
      <c r="U1663" s="37"/>
      <c r="V1663" s="37"/>
      <c r="W1663" s="37"/>
      <c r="X1663" s="25"/>
      <c r="Y1663" s="25"/>
      <c r="Z1663" s="25"/>
      <c r="AA1663" s="25"/>
      <c r="AB1663" s="25"/>
      <c r="AC1663" s="25"/>
      <c r="AD1663" s="25"/>
      <c r="AE1663" s="25"/>
      <c r="AF1663" s="25"/>
      <c r="AG1663" s="25"/>
      <c r="AH1663" s="25"/>
      <c r="AI1663" s="25"/>
      <c r="AJ1663" s="25"/>
      <c r="AK1663" s="25"/>
      <c r="AL1663" s="25"/>
      <c r="AM1663" s="25"/>
    </row>
    <row r="1664">
      <c r="A1664" s="24"/>
      <c r="B1664" s="13"/>
      <c r="C1664" s="62"/>
      <c r="D1664" s="14"/>
      <c r="E1664" s="15"/>
      <c r="F1664" s="16"/>
      <c r="G1664" s="17" t="str">
        <f t="shared" si="61"/>
        <v/>
      </c>
      <c r="H1664" s="18" t="str">
        <f t="shared" si="73"/>
        <v/>
      </c>
      <c r="I1664" s="19" t="str">
        <f t="shared" si="65"/>
        <v/>
      </c>
      <c r="J1664" s="20" t="str">
        <f t="shared" si="25"/>
        <v/>
      </c>
      <c r="K1664" s="20"/>
      <c r="L1664" s="20"/>
      <c r="M1664" s="20"/>
      <c r="N1664" s="21"/>
      <c r="O1664" s="22" t="str">
        <f>IFERROR(__xludf.DUMMYFUNCTION("IFERROR(
  VLOOKUP(C1664,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C1664
    ), 
    7, FALSE
  ), 
  """"
)
"),"")</f>
        <v/>
      </c>
      <c r="P1664" s="22"/>
      <c r="Q1664" s="23" t="str">
        <f t="shared" si="4"/>
        <v/>
      </c>
      <c r="R1664" s="20"/>
      <c r="S1664" s="18"/>
      <c r="T1664" s="24"/>
      <c r="U1664" s="24"/>
      <c r="V1664" s="24"/>
      <c r="W1664" s="24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</row>
    <row r="1665">
      <c r="A1665" s="37"/>
      <c r="B1665" s="25"/>
      <c r="C1665" s="60"/>
      <c r="D1665" s="27"/>
      <c r="E1665" s="28"/>
      <c r="F1665" s="29"/>
      <c r="G1665" s="30" t="str">
        <f t="shared" si="61"/>
        <v/>
      </c>
      <c r="H1665" s="31" t="str">
        <f t="shared" si="73"/>
        <v/>
      </c>
      <c r="I1665" s="32" t="str">
        <f t="shared" si="65"/>
        <v/>
      </c>
      <c r="J1665" s="33" t="str">
        <f t="shared" si="25"/>
        <v/>
      </c>
      <c r="K1665" s="33"/>
      <c r="L1665" s="33"/>
      <c r="M1665" s="33"/>
      <c r="N1665" s="34"/>
      <c r="O1665" s="35" t="str">
        <f>IFERROR(__xludf.DUMMYFUNCTION("IFERROR(
  VLOOKUP(C1665,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C1665
    ), 
    7, FALSE
  ), 
  """"
)
"),"")</f>
        <v/>
      </c>
      <c r="P1665" s="35"/>
      <c r="Q1665" s="36" t="str">
        <f t="shared" si="4"/>
        <v/>
      </c>
      <c r="R1665" s="33"/>
      <c r="S1665" s="31"/>
      <c r="T1665" s="37"/>
      <c r="U1665" s="37"/>
      <c r="V1665" s="37"/>
      <c r="W1665" s="37"/>
      <c r="X1665" s="25"/>
      <c r="Y1665" s="25"/>
      <c r="Z1665" s="25"/>
      <c r="AA1665" s="25"/>
      <c r="AB1665" s="25"/>
      <c r="AC1665" s="25"/>
      <c r="AD1665" s="25"/>
      <c r="AE1665" s="25"/>
      <c r="AF1665" s="25"/>
      <c r="AG1665" s="25"/>
      <c r="AH1665" s="25"/>
      <c r="AI1665" s="25"/>
      <c r="AJ1665" s="25"/>
      <c r="AK1665" s="25"/>
      <c r="AL1665" s="25"/>
      <c r="AM1665" s="25"/>
    </row>
    <row r="1666">
      <c r="A1666" s="24"/>
      <c r="B1666" s="13"/>
      <c r="C1666" s="62"/>
      <c r="D1666" s="14"/>
      <c r="E1666" s="15"/>
      <c r="F1666" s="16"/>
      <c r="G1666" s="17" t="str">
        <f t="shared" si="61"/>
        <v/>
      </c>
      <c r="H1666" s="18" t="str">
        <f t="shared" si="73"/>
        <v/>
      </c>
      <c r="I1666" s="19" t="str">
        <f t="shared" si="65"/>
        <v/>
      </c>
      <c r="J1666" s="20" t="str">
        <f t="shared" si="25"/>
        <v/>
      </c>
      <c r="K1666" s="20"/>
      <c r="L1666" s="20"/>
      <c r="M1666" s="20"/>
      <c r="N1666" s="21"/>
      <c r="O1666" s="22" t="str">
        <f>IFERROR(__xludf.DUMMYFUNCTION("IFERROR(
  VLOOKUP(C1666,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C1666
    ), 
    7, FALSE
  ), 
  """"
)
"),"")</f>
        <v/>
      </c>
      <c r="P1666" s="22"/>
      <c r="Q1666" s="23" t="str">
        <f t="shared" si="4"/>
        <v/>
      </c>
      <c r="R1666" s="20"/>
      <c r="S1666" s="18"/>
      <c r="T1666" s="24"/>
      <c r="U1666" s="24"/>
      <c r="V1666" s="24"/>
      <c r="W1666" s="24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13"/>
      <c r="AK1666" s="13"/>
      <c r="AL1666" s="13"/>
      <c r="AM1666" s="13"/>
    </row>
    <row r="1667">
      <c r="A1667" s="37"/>
      <c r="B1667" s="25"/>
      <c r="C1667" s="60"/>
      <c r="D1667" s="27"/>
      <c r="E1667" s="28"/>
      <c r="F1667" s="29"/>
      <c r="G1667" s="30" t="str">
        <f t="shared" si="61"/>
        <v/>
      </c>
      <c r="H1667" s="31" t="str">
        <f t="shared" si="73"/>
        <v/>
      </c>
      <c r="I1667" s="32" t="str">
        <f t="shared" si="65"/>
        <v/>
      </c>
      <c r="J1667" s="33" t="str">
        <f t="shared" si="25"/>
        <v/>
      </c>
      <c r="K1667" s="33"/>
      <c r="L1667" s="33"/>
      <c r="M1667" s="33"/>
      <c r="N1667" s="34"/>
      <c r="O1667" s="35" t="str">
        <f>IFERROR(__xludf.DUMMYFUNCTION("IFERROR(
  VLOOKUP(C1667,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C1667
    ), 
    7, FALSE
  ), 
  """"
)
"),"")</f>
        <v/>
      </c>
      <c r="P1667" s="35"/>
      <c r="Q1667" s="36" t="str">
        <f t="shared" si="4"/>
        <v/>
      </c>
      <c r="R1667" s="33"/>
      <c r="S1667" s="31"/>
      <c r="T1667" s="37"/>
      <c r="U1667" s="37"/>
      <c r="V1667" s="37"/>
      <c r="W1667" s="37"/>
      <c r="X1667" s="25"/>
      <c r="Y1667" s="25"/>
      <c r="Z1667" s="25"/>
      <c r="AA1667" s="25"/>
      <c r="AB1667" s="25"/>
      <c r="AC1667" s="25"/>
      <c r="AD1667" s="25"/>
      <c r="AE1667" s="25"/>
      <c r="AF1667" s="25"/>
      <c r="AG1667" s="25"/>
      <c r="AH1667" s="25"/>
      <c r="AI1667" s="25"/>
      <c r="AJ1667" s="25"/>
      <c r="AK1667" s="25"/>
      <c r="AL1667" s="25"/>
      <c r="AM1667" s="25"/>
    </row>
    <row r="1668">
      <c r="A1668" s="24"/>
      <c r="B1668" s="13"/>
      <c r="C1668" s="62"/>
      <c r="D1668" s="14"/>
      <c r="E1668" s="15"/>
      <c r="F1668" s="16"/>
      <c r="G1668" s="17" t="str">
        <f t="shared" si="61"/>
        <v/>
      </c>
      <c r="H1668" s="18" t="str">
        <f t="shared" si="73"/>
        <v/>
      </c>
      <c r="I1668" s="19" t="str">
        <f t="shared" si="65"/>
        <v/>
      </c>
      <c r="J1668" s="20" t="str">
        <f t="shared" si="25"/>
        <v/>
      </c>
      <c r="K1668" s="20"/>
      <c r="L1668" s="20"/>
      <c r="M1668" s="20"/>
      <c r="N1668" s="21"/>
      <c r="O1668" s="22" t="str">
        <f>IFERROR(__xludf.DUMMYFUNCTION("IFERROR(
  VLOOKUP(C1668,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C1668
    ), 
    7, FALSE
  ), 
  """"
)
"),"")</f>
        <v/>
      </c>
      <c r="P1668" s="22"/>
      <c r="Q1668" s="23" t="str">
        <f t="shared" si="4"/>
        <v/>
      </c>
      <c r="R1668" s="20"/>
      <c r="S1668" s="18"/>
      <c r="T1668" s="24"/>
      <c r="U1668" s="24"/>
      <c r="V1668" s="24"/>
      <c r="W1668" s="24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</row>
    <row r="1669">
      <c r="A1669" s="37"/>
      <c r="B1669" s="25"/>
      <c r="C1669" s="60"/>
      <c r="D1669" s="27"/>
      <c r="E1669" s="28"/>
      <c r="F1669" s="29"/>
      <c r="G1669" s="30" t="str">
        <f t="shared" si="61"/>
        <v/>
      </c>
      <c r="H1669" s="31" t="str">
        <f t="shared" si="73"/>
        <v/>
      </c>
      <c r="I1669" s="32" t="str">
        <f t="shared" si="65"/>
        <v/>
      </c>
      <c r="J1669" s="33" t="str">
        <f t="shared" si="25"/>
        <v/>
      </c>
      <c r="K1669" s="33"/>
      <c r="L1669" s="33"/>
      <c r="M1669" s="33"/>
      <c r="N1669" s="34"/>
      <c r="O1669" s="35" t="str">
        <f>IFERROR(__xludf.DUMMYFUNCTION("IFERROR(
  VLOOKUP(C1669,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C1669
    ), 
    7, FALSE
  ), 
  """"
)
"),"")</f>
        <v/>
      </c>
      <c r="P1669" s="35"/>
      <c r="Q1669" s="36" t="str">
        <f t="shared" si="4"/>
        <v/>
      </c>
      <c r="R1669" s="33"/>
      <c r="S1669" s="31"/>
      <c r="T1669" s="37"/>
      <c r="U1669" s="37"/>
      <c r="V1669" s="37"/>
      <c r="W1669" s="37"/>
      <c r="X1669" s="25"/>
      <c r="Y1669" s="25"/>
      <c r="Z1669" s="25"/>
      <c r="AA1669" s="25"/>
      <c r="AB1669" s="25"/>
      <c r="AC1669" s="25"/>
      <c r="AD1669" s="25"/>
      <c r="AE1669" s="25"/>
      <c r="AF1669" s="25"/>
      <c r="AG1669" s="25"/>
      <c r="AH1669" s="25"/>
      <c r="AI1669" s="25"/>
      <c r="AJ1669" s="25"/>
      <c r="AK1669" s="25"/>
      <c r="AL1669" s="25"/>
      <c r="AM1669" s="25"/>
    </row>
    <row r="1670">
      <c r="A1670" s="24"/>
      <c r="B1670" s="13"/>
      <c r="C1670" s="62"/>
      <c r="D1670" s="14"/>
      <c r="E1670" s="15"/>
      <c r="F1670" s="16"/>
      <c r="G1670" s="17" t="str">
        <f t="shared" si="61"/>
        <v/>
      </c>
      <c r="H1670" s="18" t="str">
        <f t="shared" si="73"/>
        <v/>
      </c>
      <c r="I1670" s="19" t="str">
        <f t="shared" si="65"/>
        <v/>
      </c>
      <c r="J1670" s="20" t="str">
        <f t="shared" si="25"/>
        <v/>
      </c>
      <c r="K1670" s="20"/>
      <c r="L1670" s="20"/>
      <c r="M1670" s="20"/>
      <c r="N1670" s="21"/>
      <c r="O1670" s="22" t="str">
        <f>IFERROR(__xludf.DUMMYFUNCTION("IFERROR(
  VLOOKUP(C1670,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C1670
    ), 
    7, FALSE
  ), 
  """"
)
"),"")</f>
        <v/>
      </c>
      <c r="P1670" s="22"/>
      <c r="Q1670" s="23" t="str">
        <f t="shared" si="4"/>
        <v/>
      </c>
      <c r="R1670" s="20"/>
      <c r="S1670" s="18"/>
      <c r="T1670" s="24"/>
      <c r="U1670" s="24"/>
      <c r="V1670" s="24"/>
      <c r="W1670" s="24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</row>
    <row r="1671">
      <c r="A1671" s="37"/>
      <c r="B1671" s="25"/>
      <c r="C1671" s="60"/>
      <c r="D1671" s="27"/>
      <c r="E1671" s="28"/>
      <c r="F1671" s="29"/>
      <c r="G1671" s="30" t="str">
        <f t="shared" si="61"/>
        <v/>
      </c>
      <c r="H1671" s="31" t="str">
        <f t="shared" si="73"/>
        <v/>
      </c>
      <c r="I1671" s="32" t="str">
        <f t="shared" si="65"/>
        <v/>
      </c>
      <c r="J1671" s="33" t="str">
        <f t="shared" si="25"/>
        <v/>
      </c>
      <c r="K1671" s="33"/>
      <c r="L1671" s="33"/>
      <c r="M1671" s="33"/>
      <c r="N1671" s="34"/>
      <c r="O1671" s="35" t="str">
        <f>IFERROR(__xludf.DUMMYFUNCTION("IFERROR(
  VLOOKUP(C1671,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C1671
    ), 
    7, FALSE
  ), 
  """"
)
"),"")</f>
        <v/>
      </c>
      <c r="P1671" s="35"/>
      <c r="Q1671" s="36" t="str">
        <f t="shared" si="4"/>
        <v/>
      </c>
      <c r="R1671" s="33"/>
      <c r="S1671" s="31"/>
      <c r="T1671" s="37"/>
      <c r="U1671" s="37"/>
      <c r="V1671" s="37"/>
      <c r="W1671" s="37"/>
      <c r="X1671" s="25"/>
      <c r="Y1671" s="25"/>
      <c r="Z1671" s="25"/>
      <c r="AA1671" s="25"/>
      <c r="AB1671" s="25"/>
      <c r="AC1671" s="25"/>
      <c r="AD1671" s="25"/>
      <c r="AE1671" s="25"/>
      <c r="AF1671" s="25"/>
      <c r="AG1671" s="25"/>
      <c r="AH1671" s="25"/>
      <c r="AI1671" s="25"/>
      <c r="AJ1671" s="25"/>
      <c r="AK1671" s="25"/>
      <c r="AL1671" s="25"/>
      <c r="AM1671" s="25"/>
    </row>
    <row r="1672">
      <c r="A1672" s="24"/>
      <c r="B1672" s="13"/>
      <c r="C1672" s="62"/>
      <c r="D1672" s="14"/>
      <c r="E1672" s="15"/>
      <c r="F1672" s="16"/>
      <c r="G1672" s="17" t="str">
        <f t="shared" si="61"/>
        <v/>
      </c>
      <c r="H1672" s="18" t="str">
        <f t="shared" si="73"/>
        <v/>
      </c>
      <c r="I1672" s="19" t="str">
        <f t="shared" si="65"/>
        <v/>
      </c>
      <c r="J1672" s="20" t="str">
        <f t="shared" si="25"/>
        <v/>
      </c>
      <c r="K1672" s="20"/>
      <c r="L1672" s="20"/>
      <c r="M1672" s="20"/>
      <c r="N1672" s="21"/>
      <c r="O1672" s="22" t="str">
        <f>IFERROR(__xludf.DUMMYFUNCTION("IFERROR(
  VLOOKUP(C1672,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C1672
    ), 
    7, FALSE
  ), 
  """"
)
"),"")</f>
        <v/>
      </c>
      <c r="P1672" s="22"/>
      <c r="Q1672" s="23" t="str">
        <f t="shared" si="4"/>
        <v/>
      </c>
      <c r="R1672" s="20"/>
      <c r="S1672" s="18"/>
      <c r="T1672" s="24"/>
      <c r="U1672" s="24"/>
      <c r="V1672" s="24"/>
      <c r="W1672" s="24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</row>
    <row r="1673">
      <c r="A1673" s="37"/>
      <c r="B1673" s="25"/>
      <c r="C1673" s="60"/>
      <c r="D1673" s="27"/>
      <c r="E1673" s="28"/>
      <c r="F1673" s="29"/>
      <c r="G1673" s="30" t="str">
        <f t="shared" si="61"/>
        <v/>
      </c>
      <c r="H1673" s="31" t="str">
        <f t="shared" si="73"/>
        <v/>
      </c>
      <c r="I1673" s="32" t="str">
        <f t="shared" si="65"/>
        <v/>
      </c>
      <c r="J1673" s="33" t="str">
        <f t="shared" si="25"/>
        <v/>
      </c>
      <c r="K1673" s="33"/>
      <c r="L1673" s="33"/>
      <c r="M1673" s="33"/>
      <c r="N1673" s="34"/>
      <c r="O1673" s="35" t="str">
        <f>IFERROR(__xludf.DUMMYFUNCTION("IFERROR(
  VLOOKUP(C1673,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C1673
    ), 
    7, FALSE
  ), 
  """"
)
"),"")</f>
        <v/>
      </c>
      <c r="P1673" s="35"/>
      <c r="Q1673" s="36" t="str">
        <f t="shared" si="4"/>
        <v/>
      </c>
      <c r="R1673" s="33"/>
      <c r="S1673" s="31"/>
      <c r="T1673" s="37"/>
      <c r="U1673" s="37"/>
      <c r="V1673" s="37"/>
      <c r="W1673" s="37"/>
      <c r="X1673" s="25"/>
      <c r="Y1673" s="25"/>
      <c r="Z1673" s="25"/>
      <c r="AA1673" s="25"/>
      <c r="AB1673" s="25"/>
      <c r="AC1673" s="25"/>
      <c r="AD1673" s="25"/>
      <c r="AE1673" s="25"/>
      <c r="AF1673" s="25"/>
      <c r="AG1673" s="25"/>
      <c r="AH1673" s="25"/>
      <c r="AI1673" s="25"/>
      <c r="AJ1673" s="25"/>
      <c r="AK1673" s="25"/>
      <c r="AL1673" s="25"/>
      <c r="AM1673" s="25"/>
    </row>
    <row r="1674">
      <c r="A1674" s="24"/>
      <c r="B1674" s="13"/>
      <c r="C1674" s="62"/>
      <c r="D1674" s="14"/>
      <c r="E1674" s="15"/>
      <c r="F1674" s="16"/>
      <c r="G1674" s="17" t="str">
        <f t="shared" si="61"/>
        <v/>
      </c>
      <c r="H1674" s="18" t="str">
        <f t="shared" si="73"/>
        <v/>
      </c>
      <c r="I1674" s="19" t="str">
        <f t="shared" si="65"/>
        <v/>
      </c>
      <c r="J1674" s="20" t="str">
        <f t="shared" si="25"/>
        <v/>
      </c>
      <c r="K1674" s="20"/>
      <c r="L1674" s="20"/>
      <c r="M1674" s="20"/>
      <c r="N1674" s="21"/>
      <c r="O1674" s="22" t="str">
        <f>IFERROR(__xludf.DUMMYFUNCTION("IFERROR(
  VLOOKUP(C1674,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C1674
    ), 
    7, FALSE
  ), 
  """"
)
"),"")</f>
        <v/>
      </c>
      <c r="P1674" s="22"/>
      <c r="Q1674" s="23" t="str">
        <f t="shared" si="4"/>
        <v/>
      </c>
      <c r="R1674" s="20"/>
      <c r="S1674" s="18"/>
      <c r="T1674" s="24"/>
      <c r="U1674" s="24"/>
      <c r="V1674" s="24"/>
      <c r="W1674" s="24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</row>
    <row r="1675">
      <c r="A1675" s="37"/>
      <c r="B1675" s="25"/>
      <c r="C1675" s="60"/>
      <c r="D1675" s="27"/>
      <c r="E1675" s="28"/>
      <c r="F1675" s="29"/>
      <c r="G1675" s="30" t="str">
        <f t="shared" si="61"/>
        <v/>
      </c>
      <c r="H1675" s="31" t="str">
        <f t="shared" si="73"/>
        <v/>
      </c>
      <c r="I1675" s="32" t="str">
        <f t="shared" si="65"/>
        <v/>
      </c>
      <c r="J1675" s="33" t="str">
        <f t="shared" si="25"/>
        <v/>
      </c>
      <c r="K1675" s="33"/>
      <c r="L1675" s="33"/>
      <c r="M1675" s="33"/>
      <c r="N1675" s="34"/>
      <c r="O1675" s="35" t="str">
        <f>IFERROR(__xludf.DUMMYFUNCTION("IFERROR(
  VLOOKUP(C1675,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C1675
    ), 
    7, FALSE
  ), 
  """"
)
"),"")</f>
        <v/>
      </c>
      <c r="P1675" s="35"/>
      <c r="Q1675" s="36" t="str">
        <f t="shared" si="4"/>
        <v/>
      </c>
      <c r="R1675" s="33"/>
      <c r="S1675" s="31"/>
      <c r="T1675" s="37"/>
      <c r="U1675" s="37"/>
      <c r="V1675" s="37"/>
      <c r="W1675" s="37"/>
      <c r="X1675" s="25"/>
      <c r="Y1675" s="25"/>
      <c r="Z1675" s="25"/>
      <c r="AA1675" s="25"/>
      <c r="AB1675" s="25"/>
      <c r="AC1675" s="25"/>
      <c r="AD1675" s="25"/>
      <c r="AE1675" s="25"/>
      <c r="AF1675" s="25"/>
      <c r="AG1675" s="25"/>
      <c r="AH1675" s="25"/>
      <c r="AI1675" s="25"/>
      <c r="AJ1675" s="25"/>
      <c r="AK1675" s="25"/>
      <c r="AL1675" s="25"/>
      <c r="AM1675" s="25"/>
    </row>
    <row r="1676">
      <c r="A1676" s="24"/>
      <c r="B1676" s="13"/>
      <c r="C1676" s="62"/>
      <c r="D1676" s="14"/>
      <c r="E1676" s="15"/>
      <c r="F1676" s="16"/>
      <c r="G1676" s="17" t="str">
        <f t="shared" si="61"/>
        <v/>
      </c>
      <c r="H1676" s="18" t="str">
        <f t="shared" si="73"/>
        <v/>
      </c>
      <c r="I1676" s="19" t="str">
        <f t="shared" si="65"/>
        <v/>
      </c>
      <c r="J1676" s="20" t="str">
        <f t="shared" si="25"/>
        <v/>
      </c>
      <c r="K1676" s="20"/>
      <c r="L1676" s="20"/>
      <c r="M1676" s="20"/>
      <c r="N1676" s="21"/>
      <c r="O1676" s="22" t="str">
        <f>IFERROR(__xludf.DUMMYFUNCTION("IFERROR(
  VLOOKUP(C1676,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C1676
    ), 
    7, FALSE
  ), 
  """"
)
"),"")</f>
        <v/>
      </c>
      <c r="P1676" s="22"/>
      <c r="Q1676" s="23" t="str">
        <f t="shared" si="4"/>
        <v/>
      </c>
      <c r="R1676" s="20"/>
      <c r="S1676" s="18"/>
      <c r="T1676" s="24"/>
      <c r="U1676" s="24"/>
      <c r="V1676" s="24"/>
      <c r="W1676" s="24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</row>
    <row r="1677">
      <c r="A1677" s="37"/>
      <c r="B1677" s="25"/>
      <c r="C1677" s="60"/>
      <c r="D1677" s="27"/>
      <c r="E1677" s="28"/>
      <c r="F1677" s="29"/>
      <c r="G1677" s="30" t="str">
        <f t="shared" si="61"/>
        <v/>
      </c>
      <c r="H1677" s="31" t="str">
        <f t="shared" si="73"/>
        <v/>
      </c>
      <c r="I1677" s="32" t="str">
        <f t="shared" si="65"/>
        <v/>
      </c>
      <c r="J1677" s="33" t="str">
        <f t="shared" si="25"/>
        <v/>
      </c>
      <c r="K1677" s="33"/>
      <c r="L1677" s="33"/>
      <c r="M1677" s="33"/>
      <c r="N1677" s="34"/>
      <c r="O1677" s="35" t="str">
        <f>IFERROR(__xludf.DUMMYFUNCTION("IFERROR(
  VLOOKUP(C1677,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C1677
    ), 
    7, FALSE
  ), 
  """"
)
"),"")</f>
        <v/>
      </c>
      <c r="P1677" s="35"/>
      <c r="Q1677" s="36" t="str">
        <f t="shared" si="4"/>
        <v/>
      </c>
      <c r="R1677" s="33"/>
      <c r="S1677" s="31"/>
      <c r="T1677" s="37"/>
      <c r="U1677" s="37"/>
      <c r="V1677" s="37"/>
      <c r="W1677" s="37"/>
      <c r="X1677" s="25"/>
      <c r="Y1677" s="25"/>
      <c r="Z1677" s="25"/>
      <c r="AA1677" s="25"/>
      <c r="AB1677" s="25"/>
      <c r="AC1677" s="25"/>
      <c r="AD1677" s="25"/>
      <c r="AE1677" s="25"/>
      <c r="AF1677" s="25"/>
      <c r="AG1677" s="25"/>
      <c r="AH1677" s="25"/>
      <c r="AI1677" s="25"/>
      <c r="AJ1677" s="25"/>
      <c r="AK1677" s="25"/>
      <c r="AL1677" s="25"/>
      <c r="AM1677" s="25"/>
    </row>
    <row r="1678">
      <c r="A1678" s="24"/>
      <c r="B1678" s="13"/>
      <c r="C1678" s="62"/>
      <c r="D1678" s="14"/>
      <c r="E1678" s="15"/>
      <c r="F1678" s="16"/>
      <c r="G1678" s="17" t="str">
        <f t="shared" si="61"/>
        <v/>
      </c>
      <c r="H1678" s="18" t="str">
        <f t="shared" si="73"/>
        <v/>
      </c>
      <c r="I1678" s="19" t="str">
        <f t="shared" si="65"/>
        <v/>
      </c>
      <c r="J1678" s="20" t="str">
        <f t="shared" si="25"/>
        <v/>
      </c>
      <c r="K1678" s="20"/>
      <c r="L1678" s="20"/>
      <c r="M1678" s="20"/>
      <c r="N1678" s="21"/>
      <c r="O1678" s="22" t="str">
        <f>IFERROR(__xludf.DUMMYFUNCTION("IFERROR(
  VLOOKUP(C1678,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C1678
    ), 
    7, FALSE
  ), 
  """"
)
"),"")</f>
        <v/>
      </c>
      <c r="P1678" s="22"/>
      <c r="Q1678" s="23" t="str">
        <f t="shared" si="4"/>
        <v/>
      </c>
      <c r="R1678" s="20"/>
      <c r="S1678" s="18"/>
      <c r="T1678" s="24"/>
      <c r="U1678" s="24"/>
      <c r="V1678" s="24"/>
      <c r="W1678" s="24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3"/>
      <c r="AL1678" s="13"/>
      <c r="AM1678" s="13"/>
    </row>
    <row r="1679">
      <c r="A1679" s="37"/>
      <c r="B1679" s="25"/>
      <c r="C1679" s="60"/>
      <c r="D1679" s="27"/>
      <c r="E1679" s="28"/>
      <c r="F1679" s="29"/>
      <c r="G1679" s="30" t="str">
        <f t="shared" si="61"/>
        <v/>
      </c>
      <c r="H1679" s="31" t="str">
        <f t="shared" si="73"/>
        <v/>
      </c>
      <c r="I1679" s="32" t="str">
        <f t="shared" si="65"/>
        <v/>
      </c>
      <c r="J1679" s="33" t="str">
        <f t="shared" si="25"/>
        <v/>
      </c>
      <c r="K1679" s="33"/>
      <c r="L1679" s="33"/>
      <c r="M1679" s="33"/>
      <c r="N1679" s="34"/>
      <c r="O1679" s="35" t="str">
        <f>IFERROR(__xludf.DUMMYFUNCTION("IFERROR(
  VLOOKUP(C1679,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C1679
    ), 
    7, FALSE
  ), 
  """"
)
"),"")</f>
        <v/>
      </c>
      <c r="P1679" s="35"/>
      <c r="Q1679" s="36" t="str">
        <f t="shared" si="4"/>
        <v/>
      </c>
      <c r="R1679" s="33"/>
      <c r="S1679" s="31"/>
      <c r="T1679" s="37"/>
      <c r="U1679" s="37"/>
      <c r="V1679" s="37"/>
      <c r="W1679" s="37"/>
      <c r="X1679" s="25"/>
      <c r="Y1679" s="25"/>
      <c r="Z1679" s="25"/>
      <c r="AA1679" s="25"/>
      <c r="AB1679" s="25"/>
      <c r="AC1679" s="25"/>
      <c r="AD1679" s="25"/>
      <c r="AE1679" s="25"/>
      <c r="AF1679" s="25"/>
      <c r="AG1679" s="25"/>
      <c r="AH1679" s="25"/>
      <c r="AI1679" s="25"/>
      <c r="AJ1679" s="25"/>
      <c r="AK1679" s="25"/>
      <c r="AL1679" s="25"/>
      <c r="AM1679" s="25"/>
    </row>
    <row r="1680">
      <c r="A1680" s="24"/>
      <c r="B1680" s="13"/>
      <c r="C1680" s="62"/>
      <c r="D1680" s="14"/>
      <c r="E1680" s="15"/>
      <c r="F1680" s="16"/>
      <c r="G1680" s="17" t="str">
        <f t="shared" si="61"/>
        <v/>
      </c>
      <c r="H1680" s="18" t="str">
        <f t="shared" si="73"/>
        <v/>
      </c>
      <c r="I1680" s="19" t="str">
        <f t="shared" si="65"/>
        <v/>
      </c>
      <c r="J1680" s="20" t="str">
        <f t="shared" si="25"/>
        <v/>
      </c>
      <c r="K1680" s="20"/>
      <c r="L1680" s="20"/>
      <c r="M1680" s="20"/>
      <c r="N1680" s="21"/>
      <c r="O1680" s="22" t="str">
        <f>IFERROR(__xludf.DUMMYFUNCTION("IFERROR(
  VLOOKUP(C1680,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C1680
    ), 
    7, FALSE
  ), 
  """"
)
"),"")</f>
        <v/>
      </c>
      <c r="P1680" s="22"/>
      <c r="Q1680" s="23" t="str">
        <f t="shared" si="4"/>
        <v/>
      </c>
      <c r="R1680" s="20"/>
      <c r="S1680" s="18"/>
      <c r="T1680" s="24"/>
      <c r="U1680" s="24"/>
      <c r="V1680" s="24"/>
      <c r="W1680" s="24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  <c r="AL1680" s="13"/>
      <c r="AM1680" s="13"/>
    </row>
    <row r="1681">
      <c r="A1681" s="37"/>
      <c r="B1681" s="25"/>
      <c r="C1681" s="60"/>
      <c r="D1681" s="27"/>
      <c r="E1681" s="28"/>
      <c r="F1681" s="29"/>
      <c r="G1681" s="30" t="str">
        <f t="shared" si="61"/>
        <v/>
      </c>
      <c r="H1681" s="31" t="str">
        <f t="shared" si="73"/>
        <v/>
      </c>
      <c r="I1681" s="32" t="str">
        <f t="shared" si="65"/>
        <v/>
      </c>
      <c r="J1681" s="33" t="str">
        <f t="shared" si="25"/>
        <v/>
      </c>
      <c r="K1681" s="33"/>
      <c r="L1681" s="33"/>
      <c r="M1681" s="33"/>
      <c r="N1681" s="34"/>
      <c r="O1681" s="35" t="str">
        <f>IFERROR(__xludf.DUMMYFUNCTION("IFERROR(
  VLOOKUP(C1681,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C1681
    ), 
    7, FALSE
  ), 
  """"
)
"),"")</f>
        <v/>
      </c>
      <c r="P1681" s="35"/>
      <c r="Q1681" s="36" t="str">
        <f t="shared" si="4"/>
        <v/>
      </c>
      <c r="R1681" s="33"/>
      <c r="S1681" s="31"/>
      <c r="T1681" s="37"/>
      <c r="U1681" s="37"/>
      <c r="V1681" s="37"/>
      <c r="W1681" s="37"/>
      <c r="X1681" s="25"/>
      <c r="Y1681" s="25"/>
      <c r="Z1681" s="25"/>
      <c r="AA1681" s="25"/>
      <c r="AB1681" s="25"/>
      <c r="AC1681" s="25"/>
      <c r="AD1681" s="25"/>
      <c r="AE1681" s="25"/>
      <c r="AF1681" s="25"/>
      <c r="AG1681" s="25"/>
      <c r="AH1681" s="25"/>
      <c r="AI1681" s="25"/>
      <c r="AJ1681" s="25"/>
      <c r="AK1681" s="25"/>
      <c r="AL1681" s="25"/>
      <c r="AM1681" s="25"/>
    </row>
    <row r="1682">
      <c r="A1682" s="24"/>
      <c r="B1682" s="13"/>
      <c r="C1682" s="62"/>
      <c r="D1682" s="14"/>
      <c r="E1682" s="15"/>
      <c r="F1682" s="16"/>
      <c r="G1682" s="17" t="str">
        <f t="shared" si="61"/>
        <v/>
      </c>
      <c r="H1682" s="18" t="str">
        <f t="shared" si="73"/>
        <v/>
      </c>
      <c r="I1682" s="19" t="str">
        <f t="shared" si="65"/>
        <v/>
      </c>
      <c r="J1682" s="20" t="str">
        <f t="shared" si="25"/>
        <v/>
      </c>
      <c r="K1682" s="20"/>
      <c r="L1682" s="20"/>
      <c r="M1682" s="20"/>
      <c r="N1682" s="21"/>
      <c r="O1682" s="22" t="str">
        <f>IFERROR(__xludf.DUMMYFUNCTION("IFERROR(
  VLOOKUP(C1682,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C1682
    ), 
    7, FALSE
  ), 
  """"
)
"),"")</f>
        <v/>
      </c>
      <c r="P1682" s="22"/>
      <c r="Q1682" s="23" t="str">
        <f t="shared" si="4"/>
        <v/>
      </c>
      <c r="R1682" s="20"/>
      <c r="S1682" s="18"/>
      <c r="T1682" s="24"/>
      <c r="U1682" s="24"/>
      <c r="V1682" s="24"/>
      <c r="W1682" s="24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</row>
    <row r="1683">
      <c r="A1683" s="37"/>
      <c r="B1683" s="25"/>
      <c r="C1683" s="60"/>
      <c r="D1683" s="27"/>
      <c r="E1683" s="28"/>
      <c r="F1683" s="29"/>
      <c r="G1683" s="30" t="str">
        <f t="shared" si="61"/>
        <v/>
      </c>
      <c r="H1683" s="31" t="str">
        <f t="shared" si="73"/>
        <v/>
      </c>
      <c r="I1683" s="32" t="str">
        <f t="shared" si="65"/>
        <v/>
      </c>
      <c r="J1683" s="33" t="str">
        <f t="shared" si="25"/>
        <v/>
      </c>
      <c r="K1683" s="33"/>
      <c r="L1683" s="33"/>
      <c r="M1683" s="33"/>
      <c r="N1683" s="34"/>
      <c r="O1683" s="35" t="str">
        <f>IFERROR(__xludf.DUMMYFUNCTION("IFERROR(
  VLOOKUP(C1683,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C1683
    ), 
    7, FALSE
  ), 
  """"
)
"),"")</f>
        <v/>
      </c>
      <c r="P1683" s="35"/>
      <c r="Q1683" s="36" t="str">
        <f t="shared" si="4"/>
        <v/>
      </c>
      <c r="R1683" s="33"/>
      <c r="S1683" s="31"/>
      <c r="T1683" s="37"/>
      <c r="U1683" s="37"/>
      <c r="V1683" s="37"/>
      <c r="W1683" s="37"/>
      <c r="X1683" s="25"/>
      <c r="Y1683" s="25"/>
      <c r="Z1683" s="25"/>
      <c r="AA1683" s="25"/>
      <c r="AB1683" s="25"/>
      <c r="AC1683" s="25"/>
      <c r="AD1683" s="25"/>
      <c r="AE1683" s="25"/>
      <c r="AF1683" s="25"/>
      <c r="AG1683" s="25"/>
      <c r="AH1683" s="25"/>
      <c r="AI1683" s="25"/>
      <c r="AJ1683" s="25"/>
      <c r="AK1683" s="25"/>
      <c r="AL1683" s="25"/>
      <c r="AM1683" s="25"/>
    </row>
    <row r="1684">
      <c r="A1684" s="24"/>
      <c r="B1684" s="13"/>
      <c r="C1684" s="62"/>
      <c r="D1684" s="14"/>
      <c r="E1684" s="15"/>
      <c r="F1684" s="16"/>
      <c r="G1684" s="17" t="str">
        <f t="shared" si="61"/>
        <v/>
      </c>
      <c r="H1684" s="18" t="str">
        <f t="shared" si="73"/>
        <v/>
      </c>
      <c r="I1684" s="19" t="str">
        <f t="shared" si="65"/>
        <v/>
      </c>
      <c r="J1684" s="20" t="str">
        <f t="shared" si="25"/>
        <v/>
      </c>
      <c r="K1684" s="20"/>
      <c r="L1684" s="20"/>
      <c r="M1684" s="20"/>
      <c r="N1684" s="21"/>
      <c r="O1684" s="22" t="str">
        <f>IFERROR(__xludf.DUMMYFUNCTION("IFERROR(
  VLOOKUP(C1684,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C1684
    ), 
    7, FALSE
  ), 
  """"
)
"),"")</f>
        <v/>
      </c>
      <c r="P1684" s="22"/>
      <c r="Q1684" s="23" t="str">
        <f t="shared" si="4"/>
        <v/>
      </c>
      <c r="R1684" s="20"/>
      <c r="S1684" s="18"/>
      <c r="T1684" s="24"/>
      <c r="U1684" s="24"/>
      <c r="V1684" s="24"/>
      <c r="W1684" s="24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</row>
    <row r="1685">
      <c r="A1685" s="37"/>
      <c r="B1685" s="25"/>
      <c r="C1685" s="60"/>
      <c r="D1685" s="27"/>
      <c r="E1685" s="28"/>
      <c r="F1685" s="29"/>
      <c r="G1685" s="30" t="str">
        <f t="shared" si="61"/>
        <v/>
      </c>
      <c r="H1685" s="31" t="str">
        <f t="shared" si="73"/>
        <v/>
      </c>
      <c r="I1685" s="32" t="str">
        <f t="shared" si="65"/>
        <v/>
      </c>
      <c r="J1685" s="33" t="str">
        <f t="shared" si="25"/>
        <v/>
      </c>
      <c r="K1685" s="33"/>
      <c r="L1685" s="33"/>
      <c r="M1685" s="33"/>
      <c r="N1685" s="34"/>
      <c r="O1685" s="35" t="str">
        <f>IFERROR(__xludf.DUMMYFUNCTION("IFERROR(
  VLOOKUP(C1685,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C1685
    ), 
    7, FALSE
  ), 
  """"
)
"),"")</f>
        <v/>
      </c>
      <c r="P1685" s="35"/>
      <c r="Q1685" s="36" t="str">
        <f t="shared" si="4"/>
        <v/>
      </c>
      <c r="R1685" s="33"/>
      <c r="S1685" s="31"/>
      <c r="T1685" s="37"/>
      <c r="U1685" s="37"/>
      <c r="V1685" s="37"/>
      <c r="W1685" s="37"/>
      <c r="X1685" s="25"/>
      <c r="Y1685" s="25"/>
      <c r="Z1685" s="25"/>
      <c r="AA1685" s="25"/>
      <c r="AB1685" s="25"/>
      <c r="AC1685" s="25"/>
      <c r="AD1685" s="25"/>
      <c r="AE1685" s="25"/>
      <c r="AF1685" s="25"/>
      <c r="AG1685" s="25"/>
      <c r="AH1685" s="25"/>
      <c r="AI1685" s="25"/>
      <c r="AJ1685" s="25"/>
      <c r="AK1685" s="25"/>
      <c r="AL1685" s="25"/>
      <c r="AM1685" s="25"/>
    </row>
    <row r="1686">
      <c r="A1686" s="24"/>
      <c r="B1686" s="13"/>
      <c r="C1686" s="62"/>
      <c r="D1686" s="14"/>
      <c r="E1686" s="15"/>
      <c r="F1686" s="16"/>
      <c r="G1686" s="17" t="str">
        <f t="shared" si="61"/>
        <v/>
      </c>
      <c r="H1686" s="18" t="str">
        <f t="shared" si="73"/>
        <v/>
      </c>
      <c r="I1686" s="19" t="str">
        <f t="shared" si="65"/>
        <v/>
      </c>
      <c r="J1686" s="20" t="str">
        <f t="shared" si="25"/>
        <v/>
      </c>
      <c r="K1686" s="20"/>
      <c r="L1686" s="20"/>
      <c r="M1686" s="20"/>
      <c r="N1686" s="21"/>
      <c r="O1686" s="22" t="str">
        <f>IFERROR(__xludf.DUMMYFUNCTION("IFERROR(
  VLOOKUP(C1686,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C1686
    ), 
    7, FALSE
  ), 
  """"
)
"),"")</f>
        <v/>
      </c>
      <c r="P1686" s="22"/>
      <c r="Q1686" s="23" t="str">
        <f t="shared" si="4"/>
        <v/>
      </c>
      <c r="R1686" s="20"/>
      <c r="S1686" s="18"/>
      <c r="T1686" s="24"/>
      <c r="U1686" s="24"/>
      <c r="V1686" s="24"/>
      <c r="W1686" s="24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</row>
    <row r="1687">
      <c r="A1687" s="37"/>
      <c r="B1687" s="25"/>
      <c r="C1687" s="60"/>
      <c r="D1687" s="27"/>
      <c r="E1687" s="28"/>
      <c r="F1687" s="29"/>
      <c r="G1687" s="30" t="str">
        <f t="shared" si="61"/>
        <v/>
      </c>
      <c r="H1687" s="31" t="str">
        <f t="shared" si="73"/>
        <v/>
      </c>
      <c r="I1687" s="32" t="str">
        <f t="shared" si="65"/>
        <v/>
      </c>
      <c r="J1687" s="33" t="str">
        <f t="shared" si="25"/>
        <v/>
      </c>
      <c r="K1687" s="33"/>
      <c r="L1687" s="33"/>
      <c r="M1687" s="33"/>
      <c r="N1687" s="34"/>
      <c r="O1687" s="35" t="str">
        <f>IFERROR(__xludf.DUMMYFUNCTION("IFERROR(
  VLOOKUP(C1687,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C1687
    ), 
    7, FALSE
  ), 
  """"
)
"),"")</f>
        <v/>
      </c>
      <c r="P1687" s="35"/>
      <c r="Q1687" s="36" t="str">
        <f t="shared" si="4"/>
        <v/>
      </c>
      <c r="R1687" s="33"/>
      <c r="S1687" s="31"/>
      <c r="T1687" s="37"/>
      <c r="U1687" s="37"/>
      <c r="V1687" s="37"/>
      <c r="W1687" s="37"/>
      <c r="X1687" s="25"/>
      <c r="Y1687" s="25"/>
      <c r="Z1687" s="25"/>
      <c r="AA1687" s="25"/>
      <c r="AB1687" s="25"/>
      <c r="AC1687" s="25"/>
      <c r="AD1687" s="25"/>
      <c r="AE1687" s="25"/>
      <c r="AF1687" s="25"/>
      <c r="AG1687" s="25"/>
      <c r="AH1687" s="25"/>
      <c r="AI1687" s="25"/>
      <c r="AJ1687" s="25"/>
      <c r="AK1687" s="25"/>
      <c r="AL1687" s="25"/>
      <c r="AM1687" s="25"/>
    </row>
    <row r="1688">
      <c r="A1688" s="24"/>
      <c r="B1688" s="13"/>
      <c r="C1688" s="62"/>
      <c r="D1688" s="14"/>
      <c r="E1688" s="15"/>
      <c r="F1688" s="16"/>
      <c r="G1688" s="17" t="str">
        <f t="shared" si="61"/>
        <v/>
      </c>
      <c r="H1688" s="18" t="str">
        <f t="shared" si="73"/>
        <v/>
      </c>
      <c r="I1688" s="19" t="str">
        <f t="shared" si="65"/>
        <v/>
      </c>
      <c r="J1688" s="20" t="str">
        <f t="shared" si="25"/>
        <v/>
      </c>
      <c r="K1688" s="20"/>
      <c r="L1688" s="20"/>
      <c r="M1688" s="20"/>
      <c r="N1688" s="21"/>
      <c r="O1688" s="22" t="str">
        <f>IFERROR(__xludf.DUMMYFUNCTION("IFERROR(
  VLOOKUP(C1688,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C1688
    ), 
    7, FALSE
  ), 
  """"
)
"),"")</f>
        <v/>
      </c>
      <c r="P1688" s="22"/>
      <c r="Q1688" s="23" t="str">
        <f t="shared" si="4"/>
        <v/>
      </c>
      <c r="R1688" s="20"/>
      <c r="S1688" s="18"/>
      <c r="T1688" s="24"/>
      <c r="U1688" s="24"/>
      <c r="V1688" s="24"/>
      <c r="W1688" s="24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/>
      <c r="AM1688" s="13"/>
    </row>
    <row r="1689">
      <c r="A1689" s="37"/>
      <c r="B1689" s="25"/>
      <c r="C1689" s="60"/>
      <c r="D1689" s="27"/>
      <c r="E1689" s="28"/>
      <c r="F1689" s="29"/>
      <c r="G1689" s="30" t="str">
        <f t="shared" si="61"/>
        <v/>
      </c>
      <c r="H1689" s="31" t="str">
        <f t="shared" si="73"/>
        <v/>
      </c>
      <c r="I1689" s="32" t="str">
        <f t="shared" si="65"/>
        <v/>
      </c>
      <c r="J1689" s="33" t="str">
        <f t="shared" si="25"/>
        <v/>
      </c>
      <c r="K1689" s="33"/>
      <c r="L1689" s="33"/>
      <c r="M1689" s="33"/>
      <c r="N1689" s="34"/>
      <c r="O1689" s="35" t="str">
        <f>IFERROR(__xludf.DUMMYFUNCTION("IFERROR(
  VLOOKUP(C1689,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C1689
    ), 
    7, FALSE
  ), 
  """"
)
"),"")</f>
        <v/>
      </c>
      <c r="P1689" s="35"/>
      <c r="Q1689" s="36" t="str">
        <f t="shared" si="4"/>
        <v/>
      </c>
      <c r="R1689" s="33"/>
      <c r="S1689" s="31"/>
      <c r="T1689" s="37"/>
      <c r="U1689" s="37"/>
      <c r="V1689" s="37"/>
      <c r="W1689" s="37"/>
      <c r="X1689" s="25"/>
      <c r="Y1689" s="25"/>
      <c r="Z1689" s="25"/>
      <c r="AA1689" s="25"/>
      <c r="AB1689" s="25"/>
      <c r="AC1689" s="25"/>
      <c r="AD1689" s="25"/>
      <c r="AE1689" s="25"/>
      <c r="AF1689" s="25"/>
      <c r="AG1689" s="25"/>
      <c r="AH1689" s="25"/>
      <c r="AI1689" s="25"/>
      <c r="AJ1689" s="25"/>
      <c r="AK1689" s="25"/>
      <c r="AL1689" s="25"/>
      <c r="AM1689" s="25"/>
    </row>
    <row r="1690">
      <c r="A1690" s="24"/>
      <c r="B1690" s="13"/>
      <c r="C1690" s="62"/>
      <c r="D1690" s="14"/>
      <c r="E1690" s="15"/>
      <c r="F1690" s="16"/>
      <c r="G1690" s="17" t="str">
        <f t="shared" si="61"/>
        <v/>
      </c>
      <c r="H1690" s="18" t="str">
        <f t="shared" si="73"/>
        <v/>
      </c>
      <c r="I1690" s="19" t="str">
        <f t="shared" si="65"/>
        <v/>
      </c>
      <c r="J1690" s="20" t="str">
        <f t="shared" si="25"/>
        <v/>
      </c>
      <c r="K1690" s="20"/>
      <c r="L1690" s="20"/>
      <c r="M1690" s="20"/>
      <c r="N1690" s="21"/>
      <c r="O1690" s="22" t="str">
        <f>IFERROR(__xludf.DUMMYFUNCTION("IFERROR(
  VLOOKUP(C1690,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C1690
    ), 
    7, FALSE
  ), 
  """"
)
"),"")</f>
        <v/>
      </c>
      <c r="P1690" s="22"/>
      <c r="Q1690" s="23" t="str">
        <f t="shared" si="4"/>
        <v/>
      </c>
      <c r="R1690" s="20"/>
      <c r="S1690" s="18"/>
      <c r="T1690" s="24"/>
      <c r="U1690" s="24"/>
      <c r="V1690" s="24"/>
      <c r="W1690" s="24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</row>
    <row r="1691">
      <c r="A1691" s="37"/>
      <c r="B1691" s="25"/>
      <c r="C1691" s="60"/>
      <c r="D1691" s="27"/>
      <c r="E1691" s="28"/>
      <c r="F1691" s="29"/>
      <c r="G1691" s="30" t="str">
        <f t="shared" si="61"/>
        <v/>
      </c>
      <c r="H1691" s="31" t="str">
        <f t="shared" si="73"/>
        <v/>
      </c>
      <c r="I1691" s="32" t="str">
        <f t="shared" si="65"/>
        <v/>
      </c>
      <c r="J1691" s="33" t="str">
        <f t="shared" si="25"/>
        <v/>
      </c>
      <c r="K1691" s="33"/>
      <c r="L1691" s="33"/>
      <c r="M1691" s="33"/>
      <c r="N1691" s="34"/>
      <c r="O1691" s="35" t="str">
        <f>IFERROR(__xludf.DUMMYFUNCTION("IFERROR(
  VLOOKUP(C1691,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C1691
    ), 
    7, FALSE
  ), 
  """"
)
"),"")</f>
        <v/>
      </c>
      <c r="P1691" s="35"/>
      <c r="Q1691" s="36" t="str">
        <f t="shared" si="4"/>
        <v/>
      </c>
      <c r="R1691" s="33"/>
      <c r="S1691" s="31"/>
      <c r="T1691" s="37"/>
      <c r="U1691" s="37"/>
      <c r="V1691" s="37"/>
      <c r="W1691" s="37"/>
      <c r="X1691" s="25"/>
      <c r="Y1691" s="25"/>
      <c r="Z1691" s="25"/>
      <c r="AA1691" s="25"/>
      <c r="AB1691" s="25"/>
      <c r="AC1691" s="25"/>
      <c r="AD1691" s="25"/>
      <c r="AE1691" s="25"/>
      <c r="AF1691" s="25"/>
      <c r="AG1691" s="25"/>
      <c r="AH1691" s="25"/>
      <c r="AI1691" s="25"/>
      <c r="AJ1691" s="25"/>
      <c r="AK1691" s="25"/>
      <c r="AL1691" s="25"/>
      <c r="AM1691" s="25"/>
    </row>
    <row r="1692">
      <c r="A1692" s="24"/>
      <c r="B1692" s="13"/>
      <c r="C1692" s="62"/>
      <c r="D1692" s="14"/>
      <c r="E1692" s="15"/>
      <c r="F1692" s="16"/>
      <c r="G1692" s="17" t="str">
        <f t="shared" si="61"/>
        <v/>
      </c>
      <c r="H1692" s="18" t="str">
        <f t="shared" si="73"/>
        <v/>
      </c>
      <c r="I1692" s="19" t="str">
        <f t="shared" si="65"/>
        <v/>
      </c>
      <c r="J1692" s="20" t="str">
        <f t="shared" si="25"/>
        <v/>
      </c>
      <c r="K1692" s="20"/>
      <c r="L1692" s="20"/>
      <c r="M1692" s="20"/>
      <c r="N1692" s="21"/>
      <c r="O1692" s="22" t="str">
        <f>IFERROR(__xludf.DUMMYFUNCTION("IFERROR(
  VLOOKUP(C1692,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C1692
    ), 
    7, FALSE
  ), 
  """"
)
"),"")</f>
        <v/>
      </c>
      <c r="P1692" s="22"/>
      <c r="Q1692" s="23" t="str">
        <f t="shared" si="4"/>
        <v/>
      </c>
      <c r="R1692" s="20"/>
      <c r="S1692" s="18"/>
      <c r="T1692" s="24"/>
      <c r="U1692" s="24"/>
      <c r="V1692" s="24"/>
      <c r="W1692" s="24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</row>
    <row r="1693">
      <c r="A1693" s="37"/>
      <c r="B1693" s="25"/>
      <c r="C1693" s="60"/>
      <c r="D1693" s="27"/>
      <c r="E1693" s="28"/>
      <c r="F1693" s="29"/>
      <c r="G1693" s="30" t="str">
        <f t="shared" si="61"/>
        <v/>
      </c>
      <c r="H1693" s="31" t="str">
        <f t="shared" si="73"/>
        <v/>
      </c>
      <c r="I1693" s="32" t="str">
        <f t="shared" si="65"/>
        <v/>
      </c>
      <c r="J1693" s="33" t="str">
        <f t="shared" si="25"/>
        <v/>
      </c>
      <c r="K1693" s="33"/>
      <c r="L1693" s="33"/>
      <c r="M1693" s="33"/>
      <c r="N1693" s="34"/>
      <c r="O1693" s="35" t="str">
        <f>IFERROR(__xludf.DUMMYFUNCTION("IFERROR(
  VLOOKUP(C1693,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C1693
    ), 
    7, FALSE
  ), 
  """"
)
"),"")</f>
        <v/>
      </c>
      <c r="P1693" s="35"/>
      <c r="Q1693" s="36" t="str">
        <f t="shared" si="4"/>
        <v/>
      </c>
      <c r="R1693" s="33"/>
      <c r="S1693" s="31"/>
      <c r="T1693" s="37"/>
      <c r="U1693" s="37"/>
      <c r="V1693" s="37"/>
      <c r="W1693" s="37"/>
      <c r="X1693" s="25"/>
      <c r="Y1693" s="25"/>
      <c r="Z1693" s="25"/>
      <c r="AA1693" s="25"/>
      <c r="AB1693" s="25"/>
      <c r="AC1693" s="25"/>
      <c r="AD1693" s="25"/>
      <c r="AE1693" s="25"/>
      <c r="AF1693" s="25"/>
      <c r="AG1693" s="25"/>
      <c r="AH1693" s="25"/>
      <c r="AI1693" s="25"/>
      <c r="AJ1693" s="25"/>
      <c r="AK1693" s="25"/>
      <c r="AL1693" s="25"/>
      <c r="AM1693" s="25"/>
    </row>
    <row r="1694">
      <c r="A1694" s="24"/>
      <c r="B1694" s="13"/>
      <c r="C1694" s="62"/>
      <c r="D1694" s="14"/>
      <c r="E1694" s="15"/>
      <c r="F1694" s="16"/>
      <c r="G1694" s="17" t="str">
        <f t="shared" si="61"/>
        <v/>
      </c>
      <c r="H1694" s="18" t="str">
        <f t="shared" si="73"/>
        <v/>
      </c>
      <c r="I1694" s="19" t="str">
        <f t="shared" si="65"/>
        <v/>
      </c>
      <c r="J1694" s="20" t="str">
        <f t="shared" si="25"/>
        <v/>
      </c>
      <c r="K1694" s="20"/>
      <c r="L1694" s="20"/>
      <c r="M1694" s="20"/>
      <c r="N1694" s="21"/>
      <c r="O1694" s="22" t="str">
        <f>IFERROR(__xludf.DUMMYFUNCTION("IFERROR(
  VLOOKUP(C1694,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C1694
    ), 
    7, FALSE
  ), 
  """"
)
"),"")</f>
        <v/>
      </c>
      <c r="P1694" s="22"/>
      <c r="Q1694" s="23" t="str">
        <f t="shared" si="4"/>
        <v/>
      </c>
      <c r="R1694" s="20"/>
      <c r="S1694" s="18"/>
      <c r="T1694" s="24"/>
      <c r="U1694" s="24"/>
      <c r="V1694" s="24"/>
      <c r="W1694" s="24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</row>
    <row r="1695">
      <c r="A1695" s="37"/>
      <c r="B1695" s="25"/>
      <c r="C1695" s="60"/>
      <c r="D1695" s="27"/>
      <c r="E1695" s="28"/>
      <c r="F1695" s="29"/>
      <c r="G1695" s="30" t="str">
        <f t="shared" si="61"/>
        <v/>
      </c>
      <c r="H1695" s="31" t="str">
        <f t="shared" si="73"/>
        <v/>
      </c>
      <c r="I1695" s="32" t="str">
        <f t="shared" si="65"/>
        <v/>
      </c>
      <c r="J1695" s="33" t="str">
        <f t="shared" si="25"/>
        <v/>
      </c>
      <c r="K1695" s="33"/>
      <c r="L1695" s="33"/>
      <c r="M1695" s="33"/>
      <c r="N1695" s="34"/>
      <c r="O1695" s="35" t="str">
        <f>IFERROR(__xludf.DUMMYFUNCTION("IFERROR(
  VLOOKUP(C1695,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C1695
    ), 
    7, FALSE
  ), 
  """"
)
"),"")</f>
        <v/>
      </c>
      <c r="P1695" s="35"/>
      <c r="Q1695" s="36" t="str">
        <f t="shared" si="4"/>
        <v/>
      </c>
      <c r="R1695" s="33"/>
      <c r="S1695" s="31"/>
      <c r="T1695" s="37"/>
      <c r="U1695" s="37"/>
      <c r="V1695" s="37"/>
      <c r="W1695" s="37"/>
      <c r="X1695" s="25"/>
      <c r="Y1695" s="25"/>
      <c r="Z1695" s="25"/>
      <c r="AA1695" s="25"/>
      <c r="AB1695" s="25"/>
      <c r="AC1695" s="25"/>
      <c r="AD1695" s="25"/>
      <c r="AE1695" s="25"/>
      <c r="AF1695" s="25"/>
      <c r="AG1695" s="25"/>
      <c r="AH1695" s="25"/>
      <c r="AI1695" s="25"/>
      <c r="AJ1695" s="25"/>
      <c r="AK1695" s="25"/>
      <c r="AL1695" s="25"/>
      <c r="AM1695" s="25"/>
    </row>
    <row r="1696">
      <c r="A1696" s="24"/>
      <c r="B1696" s="13"/>
      <c r="C1696" s="62"/>
      <c r="D1696" s="14"/>
      <c r="E1696" s="15"/>
      <c r="F1696" s="16"/>
      <c r="G1696" s="17" t="str">
        <f t="shared" si="61"/>
        <v/>
      </c>
      <c r="H1696" s="18" t="str">
        <f t="shared" si="73"/>
        <v/>
      </c>
      <c r="I1696" s="19" t="str">
        <f t="shared" si="65"/>
        <v/>
      </c>
      <c r="J1696" s="20" t="str">
        <f t="shared" si="25"/>
        <v/>
      </c>
      <c r="K1696" s="20"/>
      <c r="L1696" s="20"/>
      <c r="M1696" s="20"/>
      <c r="N1696" s="21"/>
      <c r="O1696" s="22" t="str">
        <f>IFERROR(__xludf.DUMMYFUNCTION("IFERROR(
  VLOOKUP(C1696,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C1696
    ), 
    7, FALSE
  ), 
  """"
)
"),"")</f>
        <v/>
      </c>
      <c r="P1696" s="22"/>
      <c r="Q1696" s="23" t="str">
        <f t="shared" si="4"/>
        <v/>
      </c>
      <c r="R1696" s="20"/>
      <c r="S1696" s="18"/>
      <c r="T1696" s="24"/>
      <c r="U1696" s="24"/>
      <c r="V1696" s="24"/>
      <c r="W1696" s="24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</row>
    <row r="1697">
      <c r="A1697" s="37"/>
      <c r="B1697" s="25"/>
      <c r="C1697" s="60"/>
      <c r="D1697" s="27"/>
      <c r="E1697" s="28"/>
      <c r="F1697" s="29"/>
      <c r="G1697" s="30" t="str">
        <f t="shared" si="61"/>
        <v/>
      </c>
      <c r="H1697" s="31" t="str">
        <f t="shared" si="73"/>
        <v/>
      </c>
      <c r="I1697" s="32" t="str">
        <f t="shared" si="65"/>
        <v/>
      </c>
      <c r="J1697" s="33" t="str">
        <f t="shared" si="25"/>
        <v/>
      </c>
      <c r="K1697" s="33"/>
      <c r="L1697" s="33"/>
      <c r="M1697" s="33"/>
      <c r="N1697" s="34"/>
      <c r="O1697" s="35" t="str">
        <f>IFERROR(__xludf.DUMMYFUNCTION("IFERROR(
  VLOOKUP(C1697,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C1697
    ), 
    7, FALSE
  ), 
  """"
)
"),"")</f>
        <v/>
      </c>
      <c r="P1697" s="35"/>
      <c r="Q1697" s="36" t="str">
        <f t="shared" si="4"/>
        <v/>
      </c>
      <c r="R1697" s="33"/>
      <c r="S1697" s="31"/>
      <c r="T1697" s="37"/>
      <c r="U1697" s="37"/>
      <c r="V1697" s="37"/>
      <c r="W1697" s="37"/>
      <c r="X1697" s="25"/>
      <c r="Y1697" s="25"/>
      <c r="Z1697" s="25"/>
      <c r="AA1697" s="25"/>
      <c r="AB1697" s="25"/>
      <c r="AC1697" s="25"/>
      <c r="AD1697" s="25"/>
      <c r="AE1697" s="25"/>
      <c r="AF1697" s="25"/>
      <c r="AG1697" s="25"/>
      <c r="AH1697" s="25"/>
      <c r="AI1697" s="25"/>
      <c r="AJ1697" s="25"/>
      <c r="AK1697" s="25"/>
      <c r="AL1697" s="25"/>
      <c r="AM1697" s="25"/>
    </row>
    <row r="1698">
      <c r="A1698" s="24"/>
      <c r="B1698" s="13"/>
      <c r="C1698" s="62"/>
      <c r="D1698" s="14"/>
      <c r="E1698" s="15"/>
      <c r="F1698" s="16"/>
      <c r="G1698" s="17" t="str">
        <f t="shared" si="61"/>
        <v/>
      </c>
      <c r="H1698" s="18" t="str">
        <f t="shared" si="73"/>
        <v/>
      </c>
      <c r="I1698" s="19" t="str">
        <f t="shared" si="65"/>
        <v/>
      </c>
      <c r="J1698" s="20" t="str">
        <f t="shared" si="25"/>
        <v/>
      </c>
      <c r="K1698" s="20"/>
      <c r="L1698" s="20"/>
      <c r="M1698" s="20"/>
      <c r="N1698" s="21"/>
      <c r="O1698" s="22" t="str">
        <f>IFERROR(__xludf.DUMMYFUNCTION("IFERROR(
  VLOOKUP(C1698,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C1698
    ), 
    7, FALSE
  ), 
  """"
)
"),"")</f>
        <v/>
      </c>
      <c r="P1698" s="22"/>
      <c r="Q1698" s="23" t="str">
        <f t="shared" si="4"/>
        <v/>
      </c>
      <c r="R1698" s="20"/>
      <c r="S1698" s="18"/>
      <c r="T1698" s="24"/>
      <c r="U1698" s="24"/>
      <c r="V1698" s="24"/>
      <c r="W1698" s="24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</row>
    <row r="1699">
      <c r="A1699" s="37"/>
      <c r="B1699" s="25"/>
      <c r="C1699" s="60"/>
      <c r="D1699" s="27"/>
      <c r="E1699" s="28"/>
      <c r="F1699" s="29"/>
      <c r="G1699" s="30" t="str">
        <f t="shared" si="61"/>
        <v/>
      </c>
      <c r="H1699" s="31" t="str">
        <f t="shared" si="73"/>
        <v/>
      </c>
      <c r="I1699" s="32" t="str">
        <f t="shared" si="65"/>
        <v/>
      </c>
      <c r="J1699" s="33" t="str">
        <f t="shared" si="25"/>
        <v/>
      </c>
      <c r="K1699" s="33"/>
      <c r="L1699" s="33"/>
      <c r="M1699" s="33"/>
      <c r="N1699" s="34"/>
      <c r="O1699" s="35" t="str">
        <f>IFERROR(__xludf.DUMMYFUNCTION("IFERROR(
  VLOOKUP(C1699,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C1699
    ), 
    7, FALSE
  ), 
  """"
)
"),"")</f>
        <v/>
      </c>
      <c r="P1699" s="35"/>
      <c r="Q1699" s="36" t="str">
        <f t="shared" si="4"/>
        <v/>
      </c>
      <c r="R1699" s="33"/>
      <c r="S1699" s="31"/>
      <c r="T1699" s="37"/>
      <c r="U1699" s="37"/>
      <c r="V1699" s="37"/>
      <c r="W1699" s="37"/>
      <c r="X1699" s="25"/>
      <c r="Y1699" s="25"/>
      <c r="Z1699" s="25"/>
      <c r="AA1699" s="25"/>
      <c r="AB1699" s="25"/>
      <c r="AC1699" s="25"/>
      <c r="AD1699" s="25"/>
      <c r="AE1699" s="25"/>
      <c r="AF1699" s="25"/>
      <c r="AG1699" s="25"/>
      <c r="AH1699" s="25"/>
      <c r="AI1699" s="25"/>
      <c r="AJ1699" s="25"/>
      <c r="AK1699" s="25"/>
      <c r="AL1699" s="25"/>
      <c r="AM1699" s="25"/>
    </row>
    <row r="1700">
      <c r="A1700" s="24"/>
      <c r="B1700" s="13"/>
      <c r="C1700" s="62"/>
      <c r="D1700" s="14"/>
      <c r="E1700" s="15"/>
      <c r="F1700" s="16"/>
      <c r="G1700" s="17" t="str">
        <f t="shared" si="61"/>
        <v/>
      </c>
      <c r="H1700" s="18" t="str">
        <f t="shared" si="73"/>
        <v/>
      </c>
      <c r="I1700" s="19" t="str">
        <f t="shared" si="65"/>
        <v/>
      </c>
      <c r="J1700" s="20" t="str">
        <f t="shared" si="25"/>
        <v/>
      </c>
      <c r="K1700" s="20"/>
      <c r="L1700" s="20"/>
      <c r="M1700" s="20"/>
      <c r="N1700" s="21"/>
      <c r="O1700" s="22" t="str">
        <f>IFERROR(__xludf.DUMMYFUNCTION("IFERROR(
  VLOOKUP(C1700,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C1700
    ), 
    7, FALSE
  ), 
  """"
)
"),"")</f>
        <v/>
      </c>
      <c r="P1700" s="22"/>
      <c r="Q1700" s="23" t="str">
        <f t="shared" si="4"/>
        <v/>
      </c>
      <c r="R1700" s="20"/>
      <c r="S1700" s="18"/>
      <c r="T1700" s="24"/>
      <c r="U1700" s="24"/>
      <c r="V1700" s="24"/>
      <c r="W1700" s="24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</row>
    <row r="1701">
      <c r="A1701" s="37"/>
      <c r="B1701" s="25"/>
      <c r="C1701" s="60"/>
      <c r="D1701" s="27"/>
      <c r="E1701" s="28"/>
      <c r="F1701" s="29"/>
      <c r="G1701" s="30" t="str">
        <f t="shared" si="61"/>
        <v/>
      </c>
      <c r="H1701" s="31" t="str">
        <f t="shared" si="73"/>
        <v/>
      </c>
      <c r="I1701" s="32" t="str">
        <f t="shared" si="65"/>
        <v/>
      </c>
      <c r="J1701" s="33" t="str">
        <f t="shared" si="25"/>
        <v/>
      </c>
      <c r="K1701" s="33"/>
      <c r="L1701" s="33"/>
      <c r="M1701" s="33"/>
      <c r="N1701" s="34"/>
      <c r="O1701" s="35" t="str">
        <f>IFERROR(__xludf.DUMMYFUNCTION("IFERROR(
  VLOOKUP(C1701,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C1701
    ), 
    7, FALSE
  ), 
  """"
)
"),"")</f>
        <v/>
      </c>
      <c r="P1701" s="35"/>
      <c r="Q1701" s="36" t="str">
        <f t="shared" si="4"/>
        <v/>
      </c>
      <c r="R1701" s="33"/>
      <c r="S1701" s="31"/>
      <c r="T1701" s="37"/>
      <c r="U1701" s="37"/>
      <c r="V1701" s="37"/>
      <c r="W1701" s="37"/>
      <c r="X1701" s="25"/>
      <c r="Y1701" s="25"/>
      <c r="Z1701" s="25"/>
      <c r="AA1701" s="25"/>
      <c r="AB1701" s="25"/>
      <c r="AC1701" s="25"/>
      <c r="AD1701" s="25"/>
      <c r="AE1701" s="25"/>
      <c r="AF1701" s="25"/>
      <c r="AG1701" s="25"/>
      <c r="AH1701" s="25"/>
      <c r="AI1701" s="25"/>
      <c r="AJ1701" s="25"/>
      <c r="AK1701" s="25"/>
      <c r="AL1701" s="25"/>
      <c r="AM1701" s="25"/>
    </row>
    <row r="1702">
      <c r="A1702" s="24"/>
      <c r="B1702" s="13"/>
      <c r="C1702" s="62"/>
      <c r="D1702" s="14"/>
      <c r="E1702" s="15"/>
      <c r="F1702" s="16"/>
      <c r="G1702" s="17" t="str">
        <f t="shared" si="61"/>
        <v/>
      </c>
      <c r="H1702" s="18" t="str">
        <f t="shared" si="73"/>
        <v/>
      </c>
      <c r="I1702" s="19" t="str">
        <f t="shared" si="65"/>
        <v/>
      </c>
      <c r="J1702" s="20" t="str">
        <f t="shared" si="25"/>
        <v/>
      </c>
      <c r="K1702" s="20"/>
      <c r="L1702" s="20"/>
      <c r="M1702" s="20"/>
      <c r="N1702" s="21"/>
      <c r="O1702" s="22" t="str">
        <f>IFERROR(__xludf.DUMMYFUNCTION("IFERROR(
  VLOOKUP(C1702,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C1702
    ), 
    7, FALSE
  ), 
  """"
)
"),"")</f>
        <v/>
      </c>
      <c r="P1702" s="22"/>
      <c r="Q1702" s="23" t="str">
        <f t="shared" si="4"/>
        <v/>
      </c>
      <c r="R1702" s="20"/>
      <c r="S1702" s="18"/>
      <c r="T1702" s="24"/>
      <c r="U1702" s="24"/>
      <c r="V1702" s="24"/>
      <c r="W1702" s="24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</row>
    <row r="1703">
      <c r="A1703" s="37"/>
      <c r="B1703" s="25"/>
      <c r="C1703" s="60"/>
      <c r="D1703" s="27"/>
      <c r="E1703" s="28"/>
      <c r="F1703" s="29"/>
      <c r="G1703" s="30" t="str">
        <f t="shared" si="61"/>
        <v/>
      </c>
      <c r="H1703" s="31" t="str">
        <f t="shared" si="73"/>
        <v/>
      </c>
      <c r="I1703" s="32" t="str">
        <f t="shared" si="65"/>
        <v/>
      </c>
      <c r="J1703" s="33" t="str">
        <f t="shared" si="25"/>
        <v/>
      </c>
      <c r="K1703" s="33"/>
      <c r="L1703" s="33"/>
      <c r="M1703" s="33"/>
      <c r="N1703" s="34"/>
      <c r="O1703" s="35" t="str">
        <f>IFERROR(__xludf.DUMMYFUNCTION("IFERROR(
  VLOOKUP(C1703,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C1703
    ), 
    7, FALSE
  ), 
  """"
)
"),"")</f>
        <v/>
      </c>
      <c r="P1703" s="35"/>
      <c r="Q1703" s="36" t="str">
        <f t="shared" si="4"/>
        <v/>
      </c>
      <c r="R1703" s="33"/>
      <c r="S1703" s="31"/>
      <c r="T1703" s="37"/>
      <c r="U1703" s="37"/>
      <c r="V1703" s="37"/>
      <c r="W1703" s="37"/>
      <c r="X1703" s="25"/>
      <c r="Y1703" s="25"/>
      <c r="Z1703" s="25"/>
      <c r="AA1703" s="25"/>
      <c r="AB1703" s="25"/>
      <c r="AC1703" s="25"/>
      <c r="AD1703" s="25"/>
      <c r="AE1703" s="25"/>
      <c r="AF1703" s="25"/>
      <c r="AG1703" s="25"/>
      <c r="AH1703" s="25"/>
      <c r="AI1703" s="25"/>
      <c r="AJ1703" s="25"/>
      <c r="AK1703" s="25"/>
      <c r="AL1703" s="25"/>
      <c r="AM1703" s="25"/>
    </row>
    <row r="1704">
      <c r="A1704" s="24"/>
      <c r="B1704" s="13"/>
      <c r="C1704" s="62"/>
      <c r="D1704" s="14"/>
      <c r="E1704" s="15"/>
      <c r="F1704" s="16"/>
      <c r="G1704" s="17" t="str">
        <f t="shared" si="61"/>
        <v/>
      </c>
      <c r="H1704" s="18" t="str">
        <f t="shared" si="73"/>
        <v/>
      </c>
      <c r="I1704" s="19" t="str">
        <f t="shared" si="65"/>
        <v/>
      </c>
      <c r="J1704" s="20" t="str">
        <f t="shared" si="25"/>
        <v/>
      </c>
      <c r="K1704" s="20"/>
      <c r="L1704" s="20"/>
      <c r="M1704" s="20"/>
      <c r="N1704" s="21"/>
      <c r="O1704" s="22" t="str">
        <f>IFERROR(__xludf.DUMMYFUNCTION("IFERROR(
  VLOOKUP(C1704,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C1704
    ), 
    7, FALSE
  ), 
  """"
)
"),"")</f>
        <v/>
      </c>
      <c r="P1704" s="22"/>
      <c r="Q1704" s="23" t="str">
        <f t="shared" si="4"/>
        <v/>
      </c>
      <c r="R1704" s="20"/>
      <c r="S1704" s="18"/>
      <c r="T1704" s="24"/>
      <c r="U1704" s="24"/>
      <c r="V1704" s="24"/>
      <c r="W1704" s="24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13"/>
      <c r="AK1704" s="13"/>
      <c r="AL1704" s="13"/>
      <c r="AM1704" s="13"/>
    </row>
    <row r="1705">
      <c r="A1705" s="37"/>
      <c r="B1705" s="25"/>
      <c r="C1705" s="60"/>
      <c r="D1705" s="27"/>
      <c r="E1705" s="28"/>
      <c r="F1705" s="29"/>
      <c r="G1705" s="30" t="str">
        <f t="shared" si="61"/>
        <v/>
      </c>
      <c r="H1705" s="31" t="str">
        <f t="shared" si="73"/>
        <v/>
      </c>
      <c r="I1705" s="32" t="str">
        <f t="shared" si="65"/>
        <v/>
      </c>
      <c r="J1705" s="33" t="str">
        <f t="shared" si="25"/>
        <v/>
      </c>
      <c r="K1705" s="33"/>
      <c r="L1705" s="33"/>
      <c r="M1705" s="33"/>
      <c r="N1705" s="34"/>
      <c r="O1705" s="35" t="str">
        <f>IFERROR(__xludf.DUMMYFUNCTION("IFERROR(
  VLOOKUP(C1705,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C1705
    ), 
    7, FALSE
  ), 
  """"
)
"),"")</f>
        <v/>
      </c>
      <c r="P1705" s="35"/>
      <c r="Q1705" s="36" t="str">
        <f t="shared" si="4"/>
        <v/>
      </c>
      <c r="R1705" s="33"/>
      <c r="S1705" s="31"/>
      <c r="T1705" s="37"/>
      <c r="U1705" s="37"/>
      <c r="V1705" s="37"/>
      <c r="W1705" s="37"/>
      <c r="X1705" s="25"/>
      <c r="Y1705" s="25"/>
      <c r="Z1705" s="25"/>
      <c r="AA1705" s="25"/>
      <c r="AB1705" s="25"/>
      <c r="AC1705" s="25"/>
      <c r="AD1705" s="25"/>
      <c r="AE1705" s="25"/>
      <c r="AF1705" s="25"/>
      <c r="AG1705" s="25"/>
      <c r="AH1705" s="25"/>
      <c r="AI1705" s="25"/>
      <c r="AJ1705" s="25"/>
      <c r="AK1705" s="25"/>
      <c r="AL1705" s="25"/>
      <c r="AM1705" s="25"/>
    </row>
    <row r="1706">
      <c r="A1706" s="24"/>
      <c r="B1706" s="13"/>
      <c r="C1706" s="62"/>
      <c r="D1706" s="14"/>
      <c r="E1706" s="15"/>
      <c r="F1706" s="16"/>
      <c r="G1706" s="17" t="str">
        <f t="shared" si="61"/>
        <v/>
      </c>
      <c r="H1706" s="18" t="str">
        <f t="shared" si="73"/>
        <v/>
      </c>
      <c r="I1706" s="19" t="str">
        <f t="shared" si="65"/>
        <v/>
      </c>
      <c r="J1706" s="20" t="str">
        <f t="shared" si="25"/>
        <v/>
      </c>
      <c r="K1706" s="20"/>
      <c r="L1706" s="20"/>
      <c r="M1706" s="20"/>
      <c r="N1706" s="21"/>
      <c r="O1706" s="22" t="str">
        <f>IFERROR(__xludf.DUMMYFUNCTION("IFERROR(
  VLOOKUP(C1706,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C1706
    ), 
    7, FALSE
  ), 
  """"
)
"),"")</f>
        <v/>
      </c>
      <c r="P1706" s="22"/>
      <c r="Q1706" s="23" t="str">
        <f t="shared" si="4"/>
        <v/>
      </c>
      <c r="R1706" s="20"/>
      <c r="S1706" s="18"/>
      <c r="T1706" s="24"/>
      <c r="U1706" s="24"/>
      <c r="V1706" s="24"/>
      <c r="W1706" s="24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  <c r="AH1706" s="13"/>
      <c r="AI1706" s="13"/>
      <c r="AJ1706" s="13"/>
      <c r="AK1706" s="13"/>
      <c r="AL1706" s="13"/>
      <c r="AM1706" s="13"/>
    </row>
    <row r="1707">
      <c r="A1707" s="37"/>
      <c r="B1707" s="25"/>
      <c r="C1707" s="60"/>
      <c r="D1707" s="27"/>
      <c r="E1707" s="28"/>
      <c r="F1707" s="29"/>
      <c r="G1707" s="30" t="str">
        <f t="shared" si="61"/>
        <v/>
      </c>
      <c r="H1707" s="31" t="str">
        <f t="shared" si="73"/>
        <v/>
      </c>
      <c r="I1707" s="32" t="str">
        <f t="shared" si="65"/>
        <v/>
      </c>
      <c r="J1707" s="33" t="str">
        <f t="shared" si="25"/>
        <v/>
      </c>
      <c r="K1707" s="33"/>
      <c r="L1707" s="33"/>
      <c r="M1707" s="33"/>
      <c r="N1707" s="34"/>
      <c r="O1707" s="35" t="str">
        <f>IFERROR(__xludf.DUMMYFUNCTION("IFERROR(
  VLOOKUP(C1707,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C1707
    ), 
    7, FALSE
  ), 
  """"
)
"),"")</f>
        <v/>
      </c>
      <c r="P1707" s="35"/>
      <c r="Q1707" s="36" t="str">
        <f t="shared" si="4"/>
        <v/>
      </c>
      <c r="R1707" s="33"/>
      <c r="S1707" s="31"/>
      <c r="T1707" s="37"/>
      <c r="U1707" s="37"/>
      <c r="V1707" s="37"/>
      <c r="W1707" s="37"/>
      <c r="X1707" s="25"/>
      <c r="Y1707" s="25"/>
      <c r="Z1707" s="25"/>
      <c r="AA1707" s="25"/>
      <c r="AB1707" s="25"/>
      <c r="AC1707" s="25"/>
      <c r="AD1707" s="25"/>
      <c r="AE1707" s="25"/>
      <c r="AF1707" s="25"/>
      <c r="AG1707" s="25"/>
      <c r="AH1707" s="25"/>
      <c r="AI1707" s="25"/>
      <c r="AJ1707" s="25"/>
      <c r="AK1707" s="25"/>
      <c r="AL1707" s="25"/>
      <c r="AM1707" s="25"/>
    </row>
    <row r="1708">
      <c r="A1708" s="24"/>
      <c r="B1708" s="13"/>
      <c r="C1708" s="62"/>
      <c r="D1708" s="14"/>
      <c r="E1708" s="15"/>
      <c r="F1708" s="16"/>
      <c r="G1708" s="17" t="str">
        <f t="shared" si="61"/>
        <v/>
      </c>
      <c r="H1708" s="18" t="str">
        <f t="shared" si="73"/>
        <v/>
      </c>
      <c r="I1708" s="19" t="str">
        <f t="shared" si="65"/>
        <v/>
      </c>
      <c r="J1708" s="20" t="str">
        <f t="shared" si="25"/>
        <v/>
      </c>
      <c r="K1708" s="20"/>
      <c r="L1708" s="20"/>
      <c r="M1708" s="20"/>
      <c r="N1708" s="21"/>
      <c r="O1708" s="22" t="str">
        <f>IFERROR(__xludf.DUMMYFUNCTION("IFERROR(
  VLOOKUP(C1708,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C1708
    ), 
    7, FALSE
  ), 
  """"
)
"),"")</f>
        <v/>
      </c>
      <c r="P1708" s="22"/>
      <c r="Q1708" s="23" t="str">
        <f t="shared" si="4"/>
        <v/>
      </c>
      <c r="R1708" s="20"/>
      <c r="S1708" s="18"/>
      <c r="T1708" s="24"/>
      <c r="U1708" s="24"/>
      <c r="V1708" s="24"/>
      <c r="W1708" s="24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</row>
    <row r="1709">
      <c r="A1709" s="37"/>
      <c r="B1709" s="25"/>
      <c r="C1709" s="60"/>
      <c r="D1709" s="27"/>
      <c r="E1709" s="28"/>
      <c r="F1709" s="29"/>
      <c r="G1709" s="30" t="str">
        <f t="shared" si="61"/>
        <v/>
      </c>
      <c r="H1709" s="31" t="str">
        <f t="shared" si="73"/>
        <v/>
      </c>
      <c r="I1709" s="32" t="str">
        <f t="shared" si="65"/>
        <v/>
      </c>
      <c r="J1709" s="33" t="str">
        <f t="shared" si="25"/>
        <v/>
      </c>
      <c r="K1709" s="33"/>
      <c r="L1709" s="33"/>
      <c r="M1709" s="33"/>
      <c r="N1709" s="34"/>
      <c r="O1709" s="35" t="str">
        <f>IFERROR(__xludf.DUMMYFUNCTION("IFERROR(
  VLOOKUP(C1709,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C1709
    ), 
    7, FALSE
  ), 
  """"
)
"),"")</f>
        <v/>
      </c>
      <c r="P1709" s="35"/>
      <c r="Q1709" s="36" t="str">
        <f t="shared" si="4"/>
        <v/>
      </c>
      <c r="R1709" s="33"/>
      <c r="S1709" s="31"/>
      <c r="T1709" s="37"/>
      <c r="U1709" s="37"/>
      <c r="V1709" s="37"/>
      <c r="W1709" s="37"/>
      <c r="X1709" s="25"/>
      <c r="Y1709" s="25"/>
      <c r="Z1709" s="25"/>
      <c r="AA1709" s="25"/>
      <c r="AB1709" s="25"/>
      <c r="AC1709" s="25"/>
      <c r="AD1709" s="25"/>
      <c r="AE1709" s="25"/>
      <c r="AF1709" s="25"/>
      <c r="AG1709" s="25"/>
      <c r="AH1709" s="25"/>
      <c r="AI1709" s="25"/>
      <c r="AJ1709" s="25"/>
      <c r="AK1709" s="25"/>
      <c r="AL1709" s="25"/>
      <c r="AM1709" s="25"/>
    </row>
    <row r="1710">
      <c r="A1710" s="24"/>
      <c r="B1710" s="13"/>
      <c r="C1710" s="62"/>
      <c r="D1710" s="14"/>
      <c r="E1710" s="15"/>
      <c r="F1710" s="16"/>
      <c r="G1710" s="17" t="str">
        <f t="shared" si="61"/>
        <v/>
      </c>
      <c r="H1710" s="18" t="str">
        <f t="shared" si="73"/>
        <v/>
      </c>
      <c r="I1710" s="19" t="str">
        <f t="shared" si="65"/>
        <v/>
      </c>
      <c r="J1710" s="20" t="str">
        <f t="shared" si="25"/>
        <v/>
      </c>
      <c r="K1710" s="20"/>
      <c r="L1710" s="20"/>
      <c r="M1710" s="20"/>
      <c r="N1710" s="21"/>
      <c r="O1710" s="22" t="str">
        <f>IFERROR(__xludf.DUMMYFUNCTION("IFERROR(
  VLOOKUP(C1710,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C1710
    ), 
    7, FALSE
  ), 
  """"
)
"),"")</f>
        <v/>
      </c>
      <c r="P1710" s="22"/>
      <c r="Q1710" s="23" t="str">
        <f t="shared" si="4"/>
        <v/>
      </c>
      <c r="R1710" s="20"/>
      <c r="S1710" s="18"/>
      <c r="T1710" s="24"/>
      <c r="U1710" s="24"/>
      <c r="V1710" s="24"/>
      <c r="W1710" s="24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</row>
    <row r="1711">
      <c r="A1711" s="37"/>
      <c r="B1711" s="25"/>
      <c r="C1711" s="60"/>
      <c r="D1711" s="27"/>
      <c r="E1711" s="28"/>
      <c r="F1711" s="29"/>
      <c r="G1711" s="30" t="str">
        <f t="shared" si="61"/>
        <v/>
      </c>
      <c r="H1711" s="31" t="str">
        <f t="shared" si="73"/>
        <v/>
      </c>
      <c r="I1711" s="32" t="str">
        <f t="shared" si="65"/>
        <v/>
      </c>
      <c r="J1711" s="33" t="str">
        <f t="shared" si="25"/>
        <v/>
      </c>
      <c r="K1711" s="33"/>
      <c r="L1711" s="33"/>
      <c r="M1711" s="33"/>
      <c r="N1711" s="34"/>
      <c r="O1711" s="35" t="str">
        <f>IFERROR(__xludf.DUMMYFUNCTION("IFERROR(
  VLOOKUP(C1711,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C1711
    ), 
    7, FALSE
  ), 
  """"
)
"),"")</f>
        <v/>
      </c>
      <c r="P1711" s="35"/>
      <c r="Q1711" s="36" t="str">
        <f t="shared" si="4"/>
        <v/>
      </c>
      <c r="R1711" s="33"/>
      <c r="S1711" s="31"/>
      <c r="T1711" s="37"/>
      <c r="U1711" s="37"/>
      <c r="V1711" s="37"/>
      <c r="W1711" s="37"/>
      <c r="X1711" s="25"/>
      <c r="Y1711" s="25"/>
      <c r="Z1711" s="25"/>
      <c r="AA1711" s="25"/>
      <c r="AB1711" s="25"/>
      <c r="AC1711" s="25"/>
      <c r="AD1711" s="25"/>
      <c r="AE1711" s="25"/>
      <c r="AF1711" s="25"/>
      <c r="AG1711" s="25"/>
      <c r="AH1711" s="25"/>
      <c r="AI1711" s="25"/>
      <c r="AJ1711" s="25"/>
      <c r="AK1711" s="25"/>
      <c r="AL1711" s="25"/>
      <c r="AM1711" s="25"/>
    </row>
    <row r="1712">
      <c r="A1712" s="24"/>
      <c r="B1712" s="13"/>
      <c r="C1712" s="62"/>
      <c r="D1712" s="14"/>
      <c r="E1712" s="15"/>
      <c r="F1712" s="16"/>
      <c r="G1712" s="17" t="str">
        <f t="shared" si="61"/>
        <v/>
      </c>
      <c r="H1712" s="18" t="str">
        <f t="shared" si="73"/>
        <v/>
      </c>
      <c r="I1712" s="19" t="str">
        <f t="shared" si="65"/>
        <v/>
      </c>
      <c r="J1712" s="20" t="str">
        <f t="shared" si="25"/>
        <v/>
      </c>
      <c r="K1712" s="20"/>
      <c r="L1712" s="20"/>
      <c r="M1712" s="20"/>
      <c r="N1712" s="21"/>
      <c r="O1712" s="22" t="str">
        <f>IFERROR(__xludf.DUMMYFUNCTION("IFERROR(
  VLOOKUP(C1712,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C1712
    ), 
    7, FALSE
  ), 
  """"
)
"),"")</f>
        <v/>
      </c>
      <c r="P1712" s="22"/>
      <c r="Q1712" s="23" t="str">
        <f t="shared" si="4"/>
        <v/>
      </c>
      <c r="R1712" s="20"/>
      <c r="S1712" s="18"/>
      <c r="T1712" s="24"/>
      <c r="U1712" s="24"/>
      <c r="V1712" s="24"/>
      <c r="W1712" s="24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</row>
    <row r="1713">
      <c r="A1713" s="37"/>
      <c r="B1713" s="25"/>
      <c r="C1713" s="60"/>
      <c r="D1713" s="27"/>
      <c r="E1713" s="28"/>
      <c r="F1713" s="29"/>
      <c r="G1713" s="30" t="str">
        <f t="shared" si="61"/>
        <v/>
      </c>
      <c r="H1713" s="31" t="str">
        <f t="shared" si="73"/>
        <v/>
      </c>
      <c r="I1713" s="32" t="str">
        <f t="shared" si="65"/>
        <v/>
      </c>
      <c r="J1713" s="33" t="str">
        <f t="shared" si="25"/>
        <v/>
      </c>
      <c r="K1713" s="33"/>
      <c r="L1713" s="33"/>
      <c r="M1713" s="33"/>
      <c r="N1713" s="34"/>
      <c r="O1713" s="35" t="str">
        <f>IFERROR(__xludf.DUMMYFUNCTION("IFERROR(
  VLOOKUP(C1713,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C1713
    ), 
    7, FALSE
  ), 
  """"
)
"),"")</f>
        <v/>
      </c>
      <c r="P1713" s="35"/>
      <c r="Q1713" s="36" t="str">
        <f t="shared" si="4"/>
        <v/>
      </c>
      <c r="R1713" s="33"/>
      <c r="S1713" s="31"/>
      <c r="T1713" s="37"/>
      <c r="U1713" s="37"/>
      <c r="V1713" s="37"/>
      <c r="W1713" s="37"/>
      <c r="X1713" s="25"/>
      <c r="Y1713" s="25"/>
      <c r="Z1713" s="25"/>
      <c r="AA1713" s="25"/>
      <c r="AB1713" s="25"/>
      <c r="AC1713" s="25"/>
      <c r="AD1713" s="25"/>
      <c r="AE1713" s="25"/>
      <c r="AF1713" s="25"/>
      <c r="AG1713" s="25"/>
      <c r="AH1713" s="25"/>
      <c r="AI1713" s="25"/>
      <c r="AJ1713" s="25"/>
      <c r="AK1713" s="25"/>
      <c r="AL1713" s="25"/>
      <c r="AM1713" s="25"/>
    </row>
    <row r="1714">
      <c r="A1714" s="24"/>
      <c r="B1714" s="13"/>
      <c r="C1714" s="62"/>
      <c r="D1714" s="14"/>
      <c r="E1714" s="15"/>
      <c r="F1714" s="16"/>
      <c r="G1714" s="17" t="str">
        <f t="shared" si="61"/>
        <v/>
      </c>
      <c r="H1714" s="18" t="str">
        <f t="shared" si="73"/>
        <v/>
      </c>
      <c r="I1714" s="19" t="str">
        <f t="shared" si="65"/>
        <v/>
      </c>
      <c r="J1714" s="20" t="str">
        <f t="shared" si="25"/>
        <v/>
      </c>
      <c r="K1714" s="20"/>
      <c r="L1714" s="20"/>
      <c r="M1714" s="20"/>
      <c r="N1714" s="21"/>
      <c r="O1714" s="22" t="str">
        <f>IFERROR(__xludf.DUMMYFUNCTION("IFERROR(
  VLOOKUP(C1714,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C1714
    ), 
    7, FALSE
  ), 
  """"
)
"),"")</f>
        <v/>
      </c>
      <c r="P1714" s="22"/>
      <c r="Q1714" s="23" t="str">
        <f t="shared" si="4"/>
        <v/>
      </c>
      <c r="R1714" s="20"/>
      <c r="S1714" s="18"/>
      <c r="T1714" s="24"/>
      <c r="U1714" s="24"/>
      <c r="V1714" s="24"/>
      <c r="W1714" s="24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  <c r="AL1714" s="13"/>
      <c r="AM1714" s="13"/>
    </row>
    <row r="1715">
      <c r="A1715" s="37"/>
      <c r="B1715" s="25"/>
      <c r="C1715" s="60"/>
      <c r="D1715" s="27"/>
      <c r="E1715" s="28"/>
      <c r="F1715" s="29"/>
      <c r="G1715" s="30" t="str">
        <f t="shared" si="61"/>
        <v/>
      </c>
      <c r="H1715" s="31" t="str">
        <f t="shared" si="73"/>
        <v/>
      </c>
      <c r="I1715" s="32" t="str">
        <f t="shared" si="65"/>
        <v/>
      </c>
      <c r="J1715" s="33" t="str">
        <f t="shared" si="25"/>
        <v/>
      </c>
      <c r="K1715" s="33"/>
      <c r="L1715" s="33"/>
      <c r="M1715" s="33"/>
      <c r="N1715" s="34"/>
      <c r="O1715" s="35" t="str">
        <f>IFERROR(__xludf.DUMMYFUNCTION("IFERROR(
  VLOOKUP(C1715,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C1715
    ), 
    7, FALSE
  ), 
  """"
)
"),"")</f>
        <v/>
      </c>
      <c r="P1715" s="35"/>
      <c r="Q1715" s="36" t="str">
        <f t="shared" si="4"/>
        <v/>
      </c>
      <c r="R1715" s="33"/>
      <c r="S1715" s="31"/>
      <c r="T1715" s="37"/>
      <c r="U1715" s="37"/>
      <c r="V1715" s="37"/>
      <c r="W1715" s="37"/>
      <c r="X1715" s="25"/>
      <c r="Y1715" s="25"/>
      <c r="Z1715" s="25"/>
      <c r="AA1715" s="25"/>
      <c r="AB1715" s="25"/>
      <c r="AC1715" s="25"/>
      <c r="AD1715" s="25"/>
      <c r="AE1715" s="25"/>
      <c r="AF1715" s="25"/>
      <c r="AG1715" s="25"/>
      <c r="AH1715" s="25"/>
      <c r="AI1715" s="25"/>
      <c r="AJ1715" s="25"/>
      <c r="AK1715" s="25"/>
      <c r="AL1715" s="25"/>
      <c r="AM1715" s="25"/>
    </row>
    <row r="1716">
      <c r="A1716" s="24"/>
      <c r="B1716" s="13"/>
      <c r="C1716" s="62"/>
      <c r="D1716" s="14"/>
      <c r="E1716" s="15"/>
      <c r="F1716" s="16"/>
      <c r="G1716" s="17" t="str">
        <f t="shared" si="61"/>
        <v/>
      </c>
      <c r="H1716" s="18" t="str">
        <f t="shared" si="73"/>
        <v/>
      </c>
      <c r="I1716" s="19" t="str">
        <f t="shared" si="65"/>
        <v/>
      </c>
      <c r="J1716" s="20" t="str">
        <f t="shared" si="25"/>
        <v/>
      </c>
      <c r="K1716" s="20"/>
      <c r="L1716" s="20"/>
      <c r="M1716" s="20"/>
      <c r="N1716" s="21"/>
      <c r="O1716" s="22" t="str">
        <f>IFERROR(__xludf.DUMMYFUNCTION("IFERROR(
  VLOOKUP(C1716,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C1716
    ), 
    7, FALSE
  ), 
  """"
)
"),"")</f>
        <v/>
      </c>
      <c r="P1716" s="22"/>
      <c r="Q1716" s="23" t="str">
        <f t="shared" si="4"/>
        <v/>
      </c>
      <c r="R1716" s="20"/>
      <c r="S1716" s="18"/>
      <c r="T1716" s="24"/>
      <c r="U1716" s="24"/>
      <c r="V1716" s="24"/>
      <c r="W1716" s="24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</row>
    <row r="1717">
      <c r="A1717" s="37"/>
      <c r="B1717" s="25"/>
      <c r="C1717" s="60"/>
      <c r="D1717" s="27"/>
      <c r="E1717" s="28"/>
      <c r="F1717" s="29"/>
      <c r="G1717" s="30" t="str">
        <f t="shared" si="61"/>
        <v/>
      </c>
      <c r="H1717" s="31" t="str">
        <f t="shared" si="73"/>
        <v/>
      </c>
      <c r="I1717" s="32" t="str">
        <f t="shared" si="65"/>
        <v/>
      </c>
      <c r="J1717" s="33" t="str">
        <f t="shared" si="25"/>
        <v/>
      </c>
      <c r="K1717" s="33"/>
      <c r="L1717" s="33"/>
      <c r="M1717" s="33"/>
      <c r="N1717" s="34"/>
      <c r="O1717" s="35" t="str">
        <f>IFERROR(__xludf.DUMMYFUNCTION("IFERROR(
  VLOOKUP(C1717,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C1717
    ), 
    7, FALSE
  ), 
  """"
)
"),"")</f>
        <v/>
      </c>
      <c r="P1717" s="35"/>
      <c r="Q1717" s="36" t="str">
        <f t="shared" si="4"/>
        <v/>
      </c>
      <c r="R1717" s="33"/>
      <c r="S1717" s="31"/>
      <c r="T1717" s="37"/>
      <c r="U1717" s="37"/>
      <c r="V1717" s="37"/>
      <c r="W1717" s="37"/>
      <c r="X1717" s="25"/>
      <c r="Y1717" s="25"/>
      <c r="Z1717" s="25"/>
      <c r="AA1717" s="25"/>
      <c r="AB1717" s="25"/>
      <c r="AC1717" s="25"/>
      <c r="AD1717" s="25"/>
      <c r="AE1717" s="25"/>
      <c r="AF1717" s="25"/>
      <c r="AG1717" s="25"/>
      <c r="AH1717" s="25"/>
      <c r="AI1717" s="25"/>
      <c r="AJ1717" s="25"/>
      <c r="AK1717" s="25"/>
      <c r="AL1717" s="25"/>
      <c r="AM1717" s="25"/>
    </row>
    <row r="1718">
      <c r="A1718" s="24"/>
      <c r="B1718" s="13"/>
      <c r="C1718" s="62"/>
      <c r="D1718" s="14"/>
      <c r="E1718" s="15"/>
      <c r="F1718" s="16"/>
      <c r="G1718" s="17" t="str">
        <f t="shared" si="61"/>
        <v/>
      </c>
      <c r="H1718" s="18" t="str">
        <f t="shared" si="73"/>
        <v/>
      </c>
      <c r="I1718" s="19" t="str">
        <f t="shared" si="65"/>
        <v/>
      </c>
      <c r="J1718" s="20" t="str">
        <f t="shared" si="25"/>
        <v/>
      </c>
      <c r="K1718" s="20"/>
      <c r="L1718" s="20"/>
      <c r="M1718" s="20"/>
      <c r="N1718" s="21"/>
      <c r="O1718" s="22" t="str">
        <f>IFERROR(__xludf.DUMMYFUNCTION("IFERROR(
  VLOOKUP(C1718,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C1718
    ), 
    7, FALSE
  ), 
  """"
)
"),"")</f>
        <v/>
      </c>
      <c r="P1718" s="22"/>
      <c r="Q1718" s="23" t="str">
        <f t="shared" si="4"/>
        <v/>
      </c>
      <c r="R1718" s="20"/>
      <c r="S1718" s="18"/>
      <c r="T1718" s="24"/>
      <c r="U1718" s="24"/>
      <c r="V1718" s="24"/>
      <c r="W1718" s="24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</row>
    <row r="1719">
      <c r="A1719" s="37"/>
      <c r="B1719" s="25"/>
      <c r="C1719" s="60"/>
      <c r="D1719" s="27"/>
      <c r="E1719" s="28"/>
      <c r="F1719" s="29"/>
      <c r="G1719" s="30" t="str">
        <f t="shared" si="61"/>
        <v/>
      </c>
      <c r="H1719" s="31" t="str">
        <f t="shared" si="73"/>
        <v/>
      </c>
      <c r="I1719" s="32" t="str">
        <f t="shared" si="65"/>
        <v/>
      </c>
      <c r="J1719" s="33" t="str">
        <f t="shared" si="25"/>
        <v/>
      </c>
      <c r="K1719" s="33"/>
      <c r="L1719" s="33"/>
      <c r="M1719" s="33"/>
      <c r="N1719" s="34"/>
      <c r="O1719" s="35" t="str">
        <f>IFERROR(__xludf.DUMMYFUNCTION("IFERROR(
  VLOOKUP(C1719,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C1719
    ), 
    7, FALSE
  ), 
  """"
)
"),"")</f>
        <v/>
      </c>
      <c r="P1719" s="35"/>
      <c r="Q1719" s="36" t="str">
        <f t="shared" si="4"/>
        <v/>
      </c>
      <c r="R1719" s="33"/>
      <c r="S1719" s="31"/>
      <c r="T1719" s="37"/>
      <c r="U1719" s="37"/>
      <c r="V1719" s="37"/>
      <c r="W1719" s="37"/>
      <c r="X1719" s="25"/>
      <c r="Y1719" s="25"/>
      <c r="Z1719" s="25"/>
      <c r="AA1719" s="25"/>
      <c r="AB1719" s="25"/>
      <c r="AC1719" s="25"/>
      <c r="AD1719" s="25"/>
      <c r="AE1719" s="25"/>
      <c r="AF1719" s="25"/>
      <c r="AG1719" s="25"/>
      <c r="AH1719" s="25"/>
      <c r="AI1719" s="25"/>
      <c r="AJ1719" s="25"/>
      <c r="AK1719" s="25"/>
      <c r="AL1719" s="25"/>
      <c r="AM1719" s="25"/>
    </row>
    <row r="1720">
      <c r="A1720" s="24"/>
      <c r="B1720" s="13"/>
      <c r="C1720" s="62"/>
      <c r="D1720" s="14"/>
      <c r="E1720" s="15"/>
      <c r="F1720" s="16"/>
      <c r="G1720" s="17" t="str">
        <f t="shared" si="61"/>
        <v/>
      </c>
      <c r="H1720" s="18" t="str">
        <f t="shared" si="73"/>
        <v/>
      </c>
      <c r="I1720" s="19" t="str">
        <f t="shared" si="65"/>
        <v/>
      </c>
      <c r="J1720" s="20" t="str">
        <f t="shared" si="25"/>
        <v/>
      </c>
      <c r="K1720" s="20"/>
      <c r="L1720" s="20"/>
      <c r="M1720" s="20"/>
      <c r="N1720" s="21"/>
      <c r="O1720" s="22" t="str">
        <f>IFERROR(__xludf.DUMMYFUNCTION("IFERROR(
  VLOOKUP(C1720,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C1720
    ), 
    7, FALSE
  ), 
  """"
)
"),"")</f>
        <v/>
      </c>
      <c r="P1720" s="22"/>
      <c r="Q1720" s="23" t="str">
        <f t="shared" si="4"/>
        <v/>
      </c>
      <c r="R1720" s="20"/>
      <c r="S1720" s="18"/>
      <c r="T1720" s="24"/>
      <c r="U1720" s="24"/>
      <c r="V1720" s="24"/>
      <c r="W1720" s="24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</row>
    <row r="1721">
      <c r="A1721" s="37"/>
      <c r="B1721" s="25"/>
      <c r="C1721" s="60"/>
      <c r="D1721" s="27"/>
      <c r="E1721" s="28"/>
      <c r="F1721" s="29"/>
      <c r="G1721" s="30" t="str">
        <f t="shared" si="61"/>
        <v/>
      </c>
      <c r="H1721" s="31" t="str">
        <f t="shared" si="73"/>
        <v/>
      </c>
      <c r="I1721" s="32" t="str">
        <f t="shared" si="65"/>
        <v/>
      </c>
      <c r="J1721" s="33" t="str">
        <f t="shared" si="25"/>
        <v/>
      </c>
      <c r="K1721" s="33"/>
      <c r="L1721" s="33"/>
      <c r="M1721" s="33"/>
      <c r="N1721" s="34"/>
      <c r="O1721" s="35" t="str">
        <f>IFERROR(__xludf.DUMMYFUNCTION("IFERROR(
  VLOOKUP(C1721,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C1721
    ), 
    7, FALSE
  ), 
  """"
)
"),"")</f>
        <v/>
      </c>
      <c r="P1721" s="35"/>
      <c r="Q1721" s="36" t="str">
        <f t="shared" si="4"/>
        <v/>
      </c>
      <c r="R1721" s="33"/>
      <c r="S1721" s="31"/>
      <c r="T1721" s="37"/>
      <c r="U1721" s="37"/>
      <c r="V1721" s="37"/>
      <c r="W1721" s="37"/>
      <c r="X1721" s="25"/>
      <c r="Y1721" s="25"/>
      <c r="Z1721" s="25"/>
      <c r="AA1721" s="25"/>
      <c r="AB1721" s="25"/>
      <c r="AC1721" s="25"/>
      <c r="AD1721" s="25"/>
      <c r="AE1721" s="25"/>
      <c r="AF1721" s="25"/>
      <c r="AG1721" s="25"/>
      <c r="AH1721" s="25"/>
      <c r="AI1721" s="25"/>
      <c r="AJ1721" s="25"/>
      <c r="AK1721" s="25"/>
      <c r="AL1721" s="25"/>
      <c r="AM1721" s="25"/>
    </row>
    <row r="1722">
      <c r="A1722" s="24"/>
      <c r="B1722" s="13"/>
      <c r="C1722" s="62"/>
      <c r="D1722" s="14"/>
      <c r="E1722" s="15"/>
      <c r="F1722" s="16"/>
      <c r="G1722" s="17" t="str">
        <f t="shared" si="61"/>
        <v/>
      </c>
      <c r="H1722" s="18" t="str">
        <f t="shared" si="73"/>
        <v/>
      </c>
      <c r="I1722" s="19" t="str">
        <f t="shared" si="65"/>
        <v/>
      </c>
      <c r="J1722" s="20" t="str">
        <f t="shared" si="25"/>
        <v/>
      </c>
      <c r="K1722" s="20"/>
      <c r="L1722" s="20"/>
      <c r="M1722" s="20"/>
      <c r="N1722" s="21"/>
      <c r="O1722" s="22" t="str">
        <f>IFERROR(__xludf.DUMMYFUNCTION("IFERROR(
  VLOOKUP(C1722,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C1722
    ), 
    7, FALSE
  ), 
  """"
)
"),"")</f>
        <v/>
      </c>
      <c r="P1722" s="22"/>
      <c r="Q1722" s="23" t="str">
        <f t="shared" si="4"/>
        <v/>
      </c>
      <c r="R1722" s="20"/>
      <c r="S1722" s="18"/>
      <c r="T1722" s="24"/>
      <c r="U1722" s="24"/>
      <c r="V1722" s="24"/>
      <c r="W1722" s="24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</row>
    <row r="1723">
      <c r="A1723" s="37"/>
      <c r="B1723" s="25"/>
      <c r="C1723" s="60"/>
      <c r="D1723" s="27"/>
      <c r="E1723" s="28"/>
      <c r="F1723" s="29"/>
      <c r="G1723" s="30" t="str">
        <f t="shared" si="61"/>
        <v/>
      </c>
      <c r="H1723" s="31" t="str">
        <f t="shared" si="73"/>
        <v/>
      </c>
      <c r="I1723" s="32" t="str">
        <f t="shared" si="65"/>
        <v/>
      </c>
      <c r="J1723" s="33" t="str">
        <f t="shared" si="25"/>
        <v/>
      </c>
      <c r="K1723" s="33"/>
      <c r="L1723" s="33"/>
      <c r="M1723" s="33"/>
      <c r="N1723" s="34"/>
      <c r="O1723" s="35" t="str">
        <f>IFERROR(__xludf.DUMMYFUNCTION("IFERROR(
  VLOOKUP(C1723,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C1723
    ), 
    7, FALSE
  ), 
  """"
)
"),"")</f>
        <v/>
      </c>
      <c r="P1723" s="35"/>
      <c r="Q1723" s="36" t="str">
        <f t="shared" si="4"/>
        <v/>
      </c>
      <c r="R1723" s="33"/>
      <c r="S1723" s="31"/>
      <c r="T1723" s="37"/>
      <c r="U1723" s="37"/>
      <c r="V1723" s="37"/>
      <c r="W1723" s="37"/>
      <c r="X1723" s="25"/>
      <c r="Y1723" s="25"/>
      <c r="Z1723" s="25"/>
      <c r="AA1723" s="25"/>
      <c r="AB1723" s="25"/>
      <c r="AC1723" s="25"/>
      <c r="AD1723" s="25"/>
      <c r="AE1723" s="25"/>
      <c r="AF1723" s="25"/>
      <c r="AG1723" s="25"/>
      <c r="AH1723" s="25"/>
      <c r="AI1723" s="25"/>
      <c r="AJ1723" s="25"/>
      <c r="AK1723" s="25"/>
      <c r="AL1723" s="25"/>
      <c r="AM1723" s="25"/>
    </row>
    <row r="1724">
      <c r="A1724" s="24"/>
      <c r="B1724" s="13"/>
      <c r="C1724" s="62"/>
      <c r="D1724" s="14"/>
      <c r="E1724" s="15"/>
      <c r="F1724" s="16"/>
      <c r="G1724" s="17" t="str">
        <f t="shared" si="61"/>
        <v/>
      </c>
      <c r="H1724" s="18" t="str">
        <f t="shared" si="73"/>
        <v/>
      </c>
      <c r="I1724" s="19" t="str">
        <f t="shared" si="65"/>
        <v/>
      </c>
      <c r="J1724" s="20" t="str">
        <f t="shared" si="25"/>
        <v/>
      </c>
      <c r="K1724" s="20"/>
      <c r="L1724" s="20"/>
      <c r="M1724" s="20"/>
      <c r="N1724" s="21"/>
      <c r="O1724" s="22" t="str">
        <f>IFERROR(__xludf.DUMMYFUNCTION("IFERROR(
  VLOOKUP(C1724,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C1724
    ), 
    7, FALSE
  ), 
  """"
)
"),"")</f>
        <v/>
      </c>
      <c r="P1724" s="22"/>
      <c r="Q1724" s="23" t="str">
        <f t="shared" si="4"/>
        <v/>
      </c>
      <c r="R1724" s="20"/>
      <c r="S1724" s="18"/>
      <c r="T1724" s="24"/>
      <c r="U1724" s="24"/>
      <c r="V1724" s="24"/>
      <c r="W1724" s="24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</row>
    <row r="1725">
      <c r="A1725" s="37"/>
      <c r="B1725" s="25"/>
      <c r="C1725" s="60"/>
      <c r="D1725" s="27"/>
      <c r="E1725" s="28"/>
      <c r="F1725" s="29"/>
      <c r="G1725" s="30" t="str">
        <f t="shared" si="61"/>
        <v/>
      </c>
      <c r="H1725" s="31" t="str">
        <f t="shared" si="73"/>
        <v/>
      </c>
      <c r="I1725" s="32" t="str">
        <f t="shared" si="65"/>
        <v/>
      </c>
      <c r="J1725" s="33" t="str">
        <f t="shared" si="25"/>
        <v/>
      </c>
      <c r="K1725" s="33"/>
      <c r="L1725" s="33"/>
      <c r="M1725" s="33"/>
      <c r="N1725" s="34"/>
      <c r="O1725" s="35" t="str">
        <f>IFERROR(__xludf.DUMMYFUNCTION("IFERROR(
  VLOOKUP(C1725,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C1725
    ), 
    7, FALSE
  ), 
  """"
)
"),"")</f>
        <v/>
      </c>
      <c r="P1725" s="35"/>
      <c r="Q1725" s="36" t="str">
        <f t="shared" si="4"/>
        <v/>
      </c>
      <c r="R1725" s="33"/>
      <c r="S1725" s="31"/>
      <c r="T1725" s="37"/>
      <c r="U1725" s="37"/>
      <c r="V1725" s="37"/>
      <c r="W1725" s="37"/>
      <c r="X1725" s="25"/>
      <c r="Y1725" s="25"/>
      <c r="Z1725" s="25"/>
      <c r="AA1725" s="25"/>
      <c r="AB1725" s="25"/>
      <c r="AC1725" s="25"/>
      <c r="AD1725" s="25"/>
      <c r="AE1725" s="25"/>
      <c r="AF1725" s="25"/>
      <c r="AG1725" s="25"/>
      <c r="AH1725" s="25"/>
      <c r="AI1725" s="25"/>
      <c r="AJ1725" s="25"/>
      <c r="AK1725" s="25"/>
      <c r="AL1725" s="25"/>
      <c r="AM1725" s="25"/>
    </row>
    <row r="1726">
      <c r="A1726" s="24"/>
      <c r="B1726" s="13"/>
      <c r="C1726" s="62"/>
      <c r="D1726" s="14"/>
      <c r="E1726" s="15"/>
      <c r="F1726" s="16"/>
      <c r="G1726" s="17" t="str">
        <f t="shared" si="61"/>
        <v/>
      </c>
      <c r="H1726" s="18" t="str">
        <f t="shared" si="73"/>
        <v/>
      </c>
      <c r="I1726" s="19" t="str">
        <f t="shared" si="65"/>
        <v/>
      </c>
      <c r="J1726" s="20" t="str">
        <f t="shared" si="25"/>
        <v/>
      </c>
      <c r="K1726" s="20"/>
      <c r="L1726" s="20"/>
      <c r="M1726" s="20"/>
      <c r="N1726" s="21"/>
      <c r="O1726" s="22" t="str">
        <f>IFERROR(__xludf.DUMMYFUNCTION("IFERROR(
  VLOOKUP(C1726,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C1726
    ), 
    7, FALSE
  ), 
  """"
)
"),"")</f>
        <v/>
      </c>
      <c r="P1726" s="22"/>
      <c r="Q1726" s="23" t="str">
        <f t="shared" si="4"/>
        <v/>
      </c>
      <c r="R1726" s="20"/>
      <c r="S1726" s="18"/>
      <c r="T1726" s="24"/>
      <c r="U1726" s="24"/>
      <c r="V1726" s="24"/>
      <c r="W1726" s="24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</row>
    <row r="1727">
      <c r="A1727" s="37"/>
      <c r="B1727" s="25"/>
      <c r="C1727" s="60"/>
      <c r="D1727" s="27"/>
      <c r="E1727" s="28"/>
      <c r="F1727" s="29"/>
      <c r="G1727" s="30" t="str">
        <f t="shared" si="61"/>
        <v/>
      </c>
      <c r="H1727" s="31" t="str">
        <f t="shared" si="73"/>
        <v/>
      </c>
      <c r="I1727" s="32" t="str">
        <f t="shared" si="65"/>
        <v/>
      </c>
      <c r="J1727" s="33" t="str">
        <f t="shared" si="25"/>
        <v/>
      </c>
      <c r="K1727" s="33"/>
      <c r="L1727" s="33"/>
      <c r="M1727" s="33"/>
      <c r="N1727" s="34"/>
      <c r="O1727" s="35" t="str">
        <f>IFERROR(__xludf.DUMMYFUNCTION("IFERROR(
  VLOOKUP(C1727,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C1727
    ), 
    7, FALSE
  ), 
  """"
)
"),"")</f>
        <v/>
      </c>
      <c r="P1727" s="35"/>
      <c r="Q1727" s="36" t="str">
        <f t="shared" si="4"/>
        <v/>
      </c>
      <c r="R1727" s="33"/>
      <c r="S1727" s="31"/>
      <c r="T1727" s="37"/>
      <c r="U1727" s="37"/>
      <c r="V1727" s="37"/>
      <c r="W1727" s="37"/>
      <c r="X1727" s="25"/>
      <c r="Y1727" s="25"/>
      <c r="Z1727" s="25"/>
      <c r="AA1727" s="25"/>
      <c r="AB1727" s="25"/>
      <c r="AC1727" s="25"/>
      <c r="AD1727" s="25"/>
      <c r="AE1727" s="25"/>
      <c r="AF1727" s="25"/>
      <c r="AG1727" s="25"/>
      <c r="AH1727" s="25"/>
      <c r="AI1727" s="25"/>
      <c r="AJ1727" s="25"/>
      <c r="AK1727" s="25"/>
      <c r="AL1727" s="25"/>
      <c r="AM1727" s="25"/>
    </row>
    <row r="1728">
      <c r="A1728" s="24"/>
      <c r="B1728" s="13"/>
      <c r="C1728" s="62"/>
      <c r="D1728" s="14"/>
      <c r="E1728" s="15"/>
      <c r="F1728" s="16"/>
      <c r="G1728" s="17" t="str">
        <f t="shared" si="61"/>
        <v/>
      </c>
      <c r="H1728" s="18" t="str">
        <f t="shared" si="73"/>
        <v/>
      </c>
      <c r="I1728" s="19" t="str">
        <f t="shared" si="65"/>
        <v/>
      </c>
      <c r="J1728" s="20" t="str">
        <f t="shared" si="25"/>
        <v/>
      </c>
      <c r="K1728" s="20"/>
      <c r="L1728" s="20"/>
      <c r="M1728" s="20"/>
      <c r="N1728" s="21"/>
      <c r="O1728" s="22" t="str">
        <f>IFERROR(__xludf.DUMMYFUNCTION("IFERROR(
  VLOOKUP(C1728,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C1728
    ), 
    7, FALSE
  ), 
  """"
)
"),"")</f>
        <v/>
      </c>
      <c r="P1728" s="22"/>
      <c r="Q1728" s="23" t="str">
        <f t="shared" si="4"/>
        <v/>
      </c>
      <c r="R1728" s="20"/>
      <c r="S1728" s="18"/>
      <c r="T1728" s="24"/>
      <c r="U1728" s="24"/>
      <c r="V1728" s="24"/>
      <c r="W1728" s="24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</row>
    <row r="1729">
      <c r="A1729" s="37"/>
      <c r="B1729" s="25"/>
      <c r="C1729" s="60"/>
      <c r="D1729" s="27"/>
      <c r="E1729" s="28"/>
      <c r="F1729" s="29"/>
      <c r="G1729" s="30" t="str">
        <f t="shared" si="61"/>
        <v/>
      </c>
      <c r="H1729" s="31" t="str">
        <f t="shared" si="73"/>
        <v/>
      </c>
      <c r="I1729" s="32" t="str">
        <f t="shared" si="65"/>
        <v/>
      </c>
      <c r="J1729" s="33" t="str">
        <f t="shared" si="25"/>
        <v/>
      </c>
      <c r="K1729" s="33"/>
      <c r="L1729" s="33"/>
      <c r="M1729" s="33"/>
      <c r="N1729" s="34"/>
      <c r="O1729" s="35" t="str">
        <f>IFERROR(__xludf.DUMMYFUNCTION("IFERROR(
  VLOOKUP(C1729,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C1729
    ), 
    7, FALSE
  ), 
  """"
)
"),"")</f>
        <v/>
      </c>
      <c r="P1729" s="35"/>
      <c r="Q1729" s="36" t="str">
        <f t="shared" si="4"/>
        <v/>
      </c>
      <c r="R1729" s="33"/>
      <c r="S1729" s="31"/>
      <c r="T1729" s="37"/>
      <c r="U1729" s="37"/>
      <c r="V1729" s="37"/>
      <c r="W1729" s="37"/>
      <c r="X1729" s="25"/>
      <c r="Y1729" s="25"/>
      <c r="Z1729" s="25"/>
      <c r="AA1729" s="25"/>
      <c r="AB1729" s="25"/>
      <c r="AC1729" s="25"/>
      <c r="AD1729" s="25"/>
      <c r="AE1729" s="25"/>
      <c r="AF1729" s="25"/>
      <c r="AG1729" s="25"/>
      <c r="AH1729" s="25"/>
      <c r="AI1729" s="25"/>
      <c r="AJ1729" s="25"/>
      <c r="AK1729" s="25"/>
      <c r="AL1729" s="25"/>
      <c r="AM1729" s="25"/>
    </row>
    <row r="1730">
      <c r="A1730" s="24"/>
      <c r="B1730" s="13"/>
      <c r="C1730" s="62"/>
      <c r="D1730" s="14"/>
      <c r="E1730" s="15"/>
      <c r="F1730" s="16"/>
      <c r="G1730" s="17" t="str">
        <f t="shared" si="61"/>
        <v/>
      </c>
      <c r="H1730" s="18" t="str">
        <f t="shared" si="73"/>
        <v/>
      </c>
      <c r="I1730" s="19" t="str">
        <f t="shared" si="65"/>
        <v/>
      </c>
      <c r="J1730" s="20" t="str">
        <f t="shared" si="25"/>
        <v/>
      </c>
      <c r="K1730" s="20"/>
      <c r="L1730" s="20"/>
      <c r="M1730" s="20"/>
      <c r="N1730" s="21"/>
      <c r="O1730" s="22" t="str">
        <f>IFERROR(__xludf.DUMMYFUNCTION("IFERROR(
  VLOOKUP(C1730,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C1730
    ), 
    7, FALSE
  ), 
  """"
)
"),"")</f>
        <v/>
      </c>
      <c r="P1730" s="22"/>
      <c r="Q1730" s="23" t="str">
        <f t="shared" si="4"/>
        <v/>
      </c>
      <c r="R1730" s="20"/>
      <c r="S1730" s="18"/>
      <c r="T1730" s="24"/>
      <c r="U1730" s="24"/>
      <c r="V1730" s="24"/>
      <c r="W1730" s="24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</row>
    <row r="1731">
      <c r="A1731" s="37"/>
      <c r="B1731" s="25"/>
      <c r="C1731" s="60"/>
      <c r="D1731" s="27"/>
      <c r="E1731" s="28"/>
      <c r="F1731" s="29"/>
      <c r="G1731" s="30" t="str">
        <f t="shared" si="61"/>
        <v/>
      </c>
      <c r="H1731" s="31" t="str">
        <f t="shared" si="73"/>
        <v/>
      </c>
      <c r="I1731" s="32" t="str">
        <f t="shared" si="65"/>
        <v/>
      </c>
      <c r="J1731" s="33" t="str">
        <f t="shared" si="25"/>
        <v/>
      </c>
      <c r="K1731" s="33"/>
      <c r="L1731" s="33"/>
      <c r="M1731" s="33"/>
      <c r="N1731" s="34"/>
      <c r="O1731" s="35" t="str">
        <f>IFERROR(__xludf.DUMMYFUNCTION("IFERROR(
  VLOOKUP(C1731,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C1731
    ), 
    7, FALSE
  ), 
  """"
)
"),"")</f>
        <v/>
      </c>
      <c r="P1731" s="35"/>
      <c r="Q1731" s="36" t="str">
        <f t="shared" si="4"/>
        <v/>
      </c>
      <c r="R1731" s="33"/>
      <c r="S1731" s="31"/>
      <c r="T1731" s="37"/>
      <c r="U1731" s="37"/>
      <c r="V1731" s="37"/>
      <c r="W1731" s="37"/>
      <c r="X1731" s="25"/>
      <c r="Y1731" s="25"/>
      <c r="Z1731" s="25"/>
      <c r="AA1731" s="25"/>
      <c r="AB1731" s="25"/>
      <c r="AC1731" s="25"/>
      <c r="AD1731" s="25"/>
      <c r="AE1731" s="25"/>
      <c r="AF1731" s="25"/>
      <c r="AG1731" s="25"/>
      <c r="AH1731" s="25"/>
      <c r="AI1731" s="25"/>
      <c r="AJ1731" s="25"/>
      <c r="AK1731" s="25"/>
      <c r="AL1731" s="25"/>
      <c r="AM1731" s="25"/>
    </row>
    <row r="1732">
      <c r="A1732" s="24"/>
      <c r="B1732" s="13"/>
      <c r="C1732" s="62"/>
      <c r="D1732" s="14"/>
      <c r="E1732" s="15"/>
      <c r="F1732" s="16"/>
      <c r="G1732" s="17" t="str">
        <f t="shared" si="61"/>
        <v/>
      </c>
      <c r="H1732" s="18" t="str">
        <f t="shared" si="73"/>
        <v/>
      </c>
      <c r="I1732" s="19" t="str">
        <f t="shared" si="65"/>
        <v/>
      </c>
      <c r="J1732" s="20" t="str">
        <f t="shared" si="25"/>
        <v/>
      </c>
      <c r="K1732" s="20"/>
      <c r="L1732" s="20"/>
      <c r="M1732" s="20"/>
      <c r="N1732" s="21"/>
      <c r="O1732" s="22" t="str">
        <f>IFERROR(__xludf.DUMMYFUNCTION("IFERROR(
  VLOOKUP(C1732,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C1732
    ), 
    7, FALSE
  ), 
  """"
)
"),"")</f>
        <v/>
      </c>
      <c r="P1732" s="22"/>
      <c r="Q1732" s="23" t="str">
        <f t="shared" si="4"/>
        <v/>
      </c>
      <c r="R1732" s="20"/>
      <c r="S1732" s="18"/>
      <c r="T1732" s="24"/>
      <c r="U1732" s="24"/>
      <c r="V1732" s="24"/>
      <c r="W1732" s="24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</row>
    <row r="1733">
      <c r="A1733" s="37"/>
      <c r="B1733" s="25"/>
      <c r="C1733" s="60"/>
      <c r="D1733" s="27"/>
      <c r="E1733" s="28"/>
      <c r="F1733" s="29"/>
      <c r="G1733" s="30" t="str">
        <f t="shared" si="61"/>
        <v/>
      </c>
      <c r="H1733" s="31" t="str">
        <f t="shared" si="73"/>
        <v/>
      </c>
      <c r="I1733" s="32" t="str">
        <f t="shared" si="65"/>
        <v/>
      </c>
      <c r="J1733" s="33" t="str">
        <f t="shared" si="25"/>
        <v/>
      </c>
      <c r="K1733" s="33"/>
      <c r="L1733" s="33"/>
      <c r="M1733" s="33"/>
      <c r="N1733" s="34"/>
      <c r="O1733" s="35" t="str">
        <f>IFERROR(__xludf.DUMMYFUNCTION("IFERROR(
  VLOOKUP(C1733,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C1733
    ), 
    7, FALSE
  ), 
  """"
)
"),"")</f>
        <v/>
      </c>
      <c r="P1733" s="35"/>
      <c r="Q1733" s="36" t="str">
        <f t="shared" si="4"/>
        <v/>
      </c>
      <c r="R1733" s="33"/>
      <c r="S1733" s="31"/>
      <c r="T1733" s="37"/>
      <c r="U1733" s="37"/>
      <c r="V1733" s="37"/>
      <c r="W1733" s="37"/>
      <c r="X1733" s="25"/>
      <c r="Y1733" s="25"/>
      <c r="Z1733" s="25"/>
      <c r="AA1733" s="25"/>
      <c r="AB1733" s="25"/>
      <c r="AC1733" s="25"/>
      <c r="AD1733" s="25"/>
      <c r="AE1733" s="25"/>
      <c r="AF1733" s="25"/>
      <c r="AG1733" s="25"/>
      <c r="AH1733" s="25"/>
      <c r="AI1733" s="25"/>
      <c r="AJ1733" s="25"/>
      <c r="AK1733" s="25"/>
      <c r="AL1733" s="25"/>
      <c r="AM1733" s="25"/>
    </row>
    <row r="1734">
      <c r="A1734" s="24"/>
      <c r="B1734" s="13"/>
      <c r="C1734" s="62"/>
      <c r="D1734" s="14"/>
      <c r="E1734" s="15"/>
      <c r="F1734" s="16"/>
      <c r="G1734" s="17" t="str">
        <f t="shared" si="61"/>
        <v/>
      </c>
      <c r="H1734" s="18" t="str">
        <f t="shared" si="73"/>
        <v/>
      </c>
      <c r="I1734" s="19" t="str">
        <f t="shared" si="65"/>
        <v/>
      </c>
      <c r="J1734" s="20" t="str">
        <f t="shared" si="25"/>
        <v/>
      </c>
      <c r="K1734" s="20"/>
      <c r="L1734" s="20"/>
      <c r="M1734" s="20"/>
      <c r="N1734" s="21"/>
      <c r="O1734" s="22" t="str">
        <f>IFERROR(__xludf.DUMMYFUNCTION("IFERROR(
  VLOOKUP(C1734,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C1734
    ), 
    7, FALSE
  ), 
  """"
)
"),"")</f>
        <v/>
      </c>
      <c r="P1734" s="22"/>
      <c r="Q1734" s="23" t="str">
        <f t="shared" si="4"/>
        <v/>
      </c>
      <c r="R1734" s="20"/>
      <c r="S1734" s="18"/>
      <c r="T1734" s="24"/>
      <c r="U1734" s="24"/>
      <c r="V1734" s="24"/>
      <c r="W1734" s="24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13"/>
      <c r="AK1734" s="13"/>
      <c r="AL1734" s="13"/>
      <c r="AM1734" s="13"/>
    </row>
    <row r="1735">
      <c r="A1735" s="37"/>
      <c r="B1735" s="25"/>
      <c r="C1735" s="60"/>
      <c r="D1735" s="27"/>
      <c r="E1735" s="28"/>
      <c r="F1735" s="29"/>
      <c r="G1735" s="30" t="str">
        <f t="shared" si="61"/>
        <v/>
      </c>
      <c r="H1735" s="31" t="str">
        <f t="shared" si="73"/>
        <v/>
      </c>
      <c r="I1735" s="32" t="str">
        <f t="shared" si="65"/>
        <v/>
      </c>
      <c r="J1735" s="33" t="str">
        <f t="shared" si="25"/>
        <v/>
      </c>
      <c r="K1735" s="33"/>
      <c r="L1735" s="33"/>
      <c r="M1735" s="33"/>
      <c r="N1735" s="34"/>
      <c r="O1735" s="35" t="str">
        <f>IFERROR(__xludf.DUMMYFUNCTION("IFERROR(
  VLOOKUP(C1735,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C1735
    ), 
    7, FALSE
  ), 
  """"
)
"),"")</f>
        <v/>
      </c>
      <c r="P1735" s="35"/>
      <c r="Q1735" s="36" t="str">
        <f t="shared" si="4"/>
        <v/>
      </c>
      <c r="R1735" s="33"/>
      <c r="S1735" s="31"/>
      <c r="T1735" s="37"/>
      <c r="U1735" s="37"/>
      <c r="V1735" s="37"/>
      <c r="W1735" s="37"/>
      <c r="X1735" s="25"/>
      <c r="Y1735" s="25"/>
      <c r="Z1735" s="25"/>
      <c r="AA1735" s="25"/>
      <c r="AB1735" s="25"/>
      <c r="AC1735" s="25"/>
      <c r="AD1735" s="25"/>
      <c r="AE1735" s="25"/>
      <c r="AF1735" s="25"/>
      <c r="AG1735" s="25"/>
      <c r="AH1735" s="25"/>
      <c r="AI1735" s="25"/>
      <c r="AJ1735" s="25"/>
      <c r="AK1735" s="25"/>
      <c r="AL1735" s="25"/>
      <c r="AM1735" s="25"/>
    </row>
    <row r="1736">
      <c r="A1736" s="24"/>
      <c r="B1736" s="13"/>
      <c r="C1736" s="62"/>
      <c r="D1736" s="14"/>
      <c r="E1736" s="15"/>
      <c r="F1736" s="16"/>
      <c r="G1736" s="17" t="str">
        <f t="shared" si="61"/>
        <v/>
      </c>
      <c r="H1736" s="18" t="str">
        <f t="shared" si="73"/>
        <v/>
      </c>
      <c r="I1736" s="19" t="str">
        <f t="shared" si="65"/>
        <v/>
      </c>
      <c r="J1736" s="20" t="str">
        <f t="shared" si="25"/>
        <v/>
      </c>
      <c r="K1736" s="20"/>
      <c r="L1736" s="20"/>
      <c r="M1736" s="20"/>
      <c r="N1736" s="21"/>
      <c r="O1736" s="22" t="str">
        <f>IFERROR(__xludf.DUMMYFUNCTION("IFERROR(
  VLOOKUP(C1736,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C1736
    ), 
    7, FALSE
  ), 
  """"
)
"),"")</f>
        <v/>
      </c>
      <c r="P1736" s="22"/>
      <c r="Q1736" s="23" t="str">
        <f t="shared" si="4"/>
        <v/>
      </c>
      <c r="R1736" s="20"/>
      <c r="S1736" s="18"/>
      <c r="T1736" s="24"/>
      <c r="U1736" s="24"/>
      <c r="V1736" s="24"/>
      <c r="W1736" s="24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</row>
    <row r="1737">
      <c r="A1737" s="37"/>
      <c r="B1737" s="25"/>
      <c r="C1737" s="60"/>
      <c r="D1737" s="27"/>
      <c r="E1737" s="28"/>
      <c r="F1737" s="29"/>
      <c r="G1737" s="30" t="str">
        <f t="shared" si="61"/>
        <v/>
      </c>
      <c r="H1737" s="31" t="str">
        <f t="shared" si="73"/>
        <v/>
      </c>
      <c r="I1737" s="32" t="str">
        <f t="shared" si="65"/>
        <v/>
      </c>
      <c r="J1737" s="33" t="str">
        <f t="shared" si="25"/>
        <v/>
      </c>
      <c r="K1737" s="33"/>
      <c r="L1737" s="33"/>
      <c r="M1737" s="33"/>
      <c r="N1737" s="34"/>
      <c r="O1737" s="35" t="str">
        <f>IFERROR(__xludf.DUMMYFUNCTION("IFERROR(
  VLOOKUP(C1737,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C1737
    ), 
    7, FALSE
  ), 
  """"
)
"),"")</f>
        <v/>
      </c>
      <c r="P1737" s="35"/>
      <c r="Q1737" s="36" t="str">
        <f t="shared" si="4"/>
        <v/>
      </c>
      <c r="R1737" s="33"/>
      <c r="S1737" s="31"/>
      <c r="T1737" s="37"/>
      <c r="U1737" s="37"/>
      <c r="V1737" s="37"/>
      <c r="W1737" s="37"/>
      <c r="X1737" s="25"/>
      <c r="Y1737" s="25"/>
      <c r="Z1737" s="25"/>
      <c r="AA1737" s="25"/>
      <c r="AB1737" s="25"/>
      <c r="AC1737" s="25"/>
      <c r="AD1737" s="25"/>
      <c r="AE1737" s="25"/>
      <c r="AF1737" s="25"/>
      <c r="AG1737" s="25"/>
      <c r="AH1737" s="25"/>
      <c r="AI1737" s="25"/>
      <c r="AJ1737" s="25"/>
      <c r="AK1737" s="25"/>
      <c r="AL1737" s="25"/>
      <c r="AM1737" s="25"/>
    </row>
    <row r="1738">
      <c r="A1738" s="24"/>
      <c r="B1738" s="13"/>
      <c r="C1738" s="62"/>
      <c r="D1738" s="14"/>
      <c r="E1738" s="15"/>
      <c r="F1738" s="16"/>
      <c r="G1738" s="17" t="str">
        <f t="shared" si="61"/>
        <v/>
      </c>
      <c r="H1738" s="18" t="str">
        <f t="shared" si="73"/>
        <v/>
      </c>
      <c r="I1738" s="19" t="str">
        <f t="shared" si="65"/>
        <v/>
      </c>
      <c r="J1738" s="20" t="str">
        <f t="shared" si="25"/>
        <v/>
      </c>
      <c r="K1738" s="20"/>
      <c r="L1738" s="20"/>
      <c r="M1738" s="20"/>
      <c r="N1738" s="21"/>
      <c r="O1738" s="22" t="str">
        <f>IFERROR(__xludf.DUMMYFUNCTION("IFERROR(
  VLOOKUP(C1738,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C1738
    ), 
    7, FALSE
  ), 
  """"
)
"),"")</f>
        <v/>
      </c>
      <c r="P1738" s="22"/>
      <c r="Q1738" s="23" t="str">
        <f t="shared" si="4"/>
        <v/>
      </c>
      <c r="R1738" s="20"/>
      <c r="S1738" s="18"/>
      <c r="T1738" s="24"/>
      <c r="U1738" s="24"/>
      <c r="V1738" s="24"/>
      <c r="W1738" s="24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  <c r="AL1738" s="13"/>
      <c r="AM1738" s="13"/>
    </row>
    <row r="1739">
      <c r="A1739" s="37"/>
      <c r="B1739" s="25"/>
      <c r="C1739" s="60"/>
      <c r="D1739" s="27"/>
      <c r="E1739" s="28"/>
      <c r="F1739" s="29"/>
      <c r="G1739" s="30" t="str">
        <f t="shared" si="61"/>
        <v/>
      </c>
      <c r="H1739" s="31" t="str">
        <f t="shared" si="73"/>
        <v/>
      </c>
      <c r="I1739" s="32" t="str">
        <f t="shared" si="65"/>
        <v/>
      </c>
      <c r="J1739" s="33" t="str">
        <f t="shared" si="25"/>
        <v/>
      </c>
      <c r="K1739" s="33"/>
      <c r="L1739" s="33"/>
      <c r="M1739" s="33"/>
      <c r="N1739" s="34"/>
      <c r="O1739" s="35" t="str">
        <f>IFERROR(__xludf.DUMMYFUNCTION("IFERROR(
  VLOOKUP(C1739,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C1739
    ), 
    7, FALSE
  ), 
  """"
)
"),"")</f>
        <v/>
      </c>
      <c r="P1739" s="35"/>
      <c r="Q1739" s="36" t="str">
        <f t="shared" si="4"/>
        <v/>
      </c>
      <c r="R1739" s="33"/>
      <c r="S1739" s="31"/>
      <c r="T1739" s="37"/>
      <c r="U1739" s="37"/>
      <c r="V1739" s="37"/>
      <c r="W1739" s="37"/>
      <c r="X1739" s="25"/>
      <c r="Y1739" s="25"/>
      <c r="Z1739" s="25"/>
      <c r="AA1739" s="25"/>
      <c r="AB1739" s="25"/>
      <c r="AC1739" s="25"/>
      <c r="AD1739" s="25"/>
      <c r="AE1739" s="25"/>
      <c r="AF1739" s="25"/>
      <c r="AG1739" s="25"/>
      <c r="AH1739" s="25"/>
      <c r="AI1739" s="25"/>
      <c r="AJ1739" s="25"/>
      <c r="AK1739" s="25"/>
      <c r="AL1739" s="25"/>
      <c r="AM1739" s="25"/>
    </row>
    <row r="1740">
      <c r="A1740" s="24"/>
      <c r="B1740" s="13"/>
      <c r="C1740" s="62"/>
      <c r="D1740" s="14"/>
      <c r="E1740" s="15"/>
      <c r="F1740" s="16"/>
      <c r="G1740" s="17" t="str">
        <f t="shared" si="61"/>
        <v/>
      </c>
      <c r="H1740" s="18" t="str">
        <f t="shared" si="73"/>
        <v/>
      </c>
      <c r="I1740" s="19" t="str">
        <f t="shared" si="65"/>
        <v/>
      </c>
      <c r="J1740" s="20" t="str">
        <f t="shared" si="25"/>
        <v/>
      </c>
      <c r="K1740" s="20"/>
      <c r="L1740" s="20"/>
      <c r="M1740" s="20"/>
      <c r="N1740" s="21"/>
      <c r="O1740" s="22" t="str">
        <f>IFERROR(__xludf.DUMMYFUNCTION("IFERROR(
  VLOOKUP(C1740,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C1740
    ), 
    7, FALSE
  ), 
  """"
)
"),"")</f>
        <v/>
      </c>
      <c r="P1740" s="22"/>
      <c r="Q1740" s="23" t="str">
        <f t="shared" si="4"/>
        <v/>
      </c>
      <c r="R1740" s="20"/>
      <c r="S1740" s="18"/>
      <c r="T1740" s="24"/>
      <c r="U1740" s="24"/>
      <c r="V1740" s="24"/>
      <c r="W1740" s="24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</row>
    <row r="1741">
      <c r="A1741" s="37"/>
      <c r="B1741" s="25"/>
      <c r="C1741" s="60"/>
      <c r="D1741" s="27"/>
      <c r="E1741" s="28"/>
      <c r="F1741" s="29"/>
      <c r="G1741" s="30" t="str">
        <f t="shared" si="61"/>
        <v/>
      </c>
      <c r="H1741" s="31" t="str">
        <f t="shared" si="73"/>
        <v/>
      </c>
      <c r="I1741" s="32" t="str">
        <f t="shared" si="65"/>
        <v/>
      </c>
      <c r="J1741" s="33" t="str">
        <f t="shared" si="25"/>
        <v/>
      </c>
      <c r="K1741" s="33"/>
      <c r="L1741" s="33"/>
      <c r="M1741" s="33"/>
      <c r="N1741" s="34"/>
      <c r="O1741" s="35" t="str">
        <f>IFERROR(__xludf.DUMMYFUNCTION("IFERROR(
  VLOOKUP(C1741,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C1741
    ), 
    7, FALSE
  ), 
  """"
)
"),"")</f>
        <v/>
      </c>
      <c r="P1741" s="35"/>
      <c r="Q1741" s="36" t="str">
        <f t="shared" si="4"/>
        <v/>
      </c>
      <c r="R1741" s="33"/>
      <c r="S1741" s="31"/>
      <c r="T1741" s="37"/>
      <c r="U1741" s="37"/>
      <c r="V1741" s="37"/>
      <c r="W1741" s="37"/>
      <c r="X1741" s="25"/>
      <c r="Y1741" s="25"/>
      <c r="Z1741" s="25"/>
      <c r="AA1741" s="25"/>
      <c r="AB1741" s="25"/>
      <c r="AC1741" s="25"/>
      <c r="AD1741" s="25"/>
      <c r="AE1741" s="25"/>
      <c r="AF1741" s="25"/>
      <c r="AG1741" s="25"/>
      <c r="AH1741" s="25"/>
      <c r="AI1741" s="25"/>
      <c r="AJ1741" s="25"/>
      <c r="AK1741" s="25"/>
      <c r="AL1741" s="25"/>
      <c r="AM1741" s="25"/>
    </row>
    <row r="1742">
      <c r="A1742" s="24"/>
      <c r="B1742" s="13"/>
      <c r="C1742" s="62"/>
      <c r="D1742" s="14"/>
      <c r="E1742" s="15"/>
      <c r="F1742" s="16"/>
      <c r="G1742" s="17" t="str">
        <f t="shared" si="61"/>
        <v/>
      </c>
      <c r="H1742" s="18" t="str">
        <f t="shared" si="73"/>
        <v/>
      </c>
      <c r="I1742" s="19" t="str">
        <f t="shared" si="65"/>
        <v/>
      </c>
      <c r="J1742" s="20" t="str">
        <f t="shared" si="25"/>
        <v/>
      </c>
      <c r="K1742" s="20"/>
      <c r="L1742" s="20"/>
      <c r="M1742" s="20"/>
      <c r="N1742" s="21"/>
      <c r="O1742" s="22" t="str">
        <f>IFERROR(__xludf.DUMMYFUNCTION("IFERROR(
  VLOOKUP(C1742,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C1742
    ), 
    7, FALSE
  ), 
  """"
)
"),"")</f>
        <v/>
      </c>
      <c r="P1742" s="22"/>
      <c r="Q1742" s="23" t="str">
        <f t="shared" si="4"/>
        <v/>
      </c>
      <c r="R1742" s="20"/>
      <c r="S1742" s="18"/>
      <c r="T1742" s="24"/>
      <c r="U1742" s="24"/>
      <c r="V1742" s="24"/>
      <c r="W1742" s="24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</row>
    <row r="1743">
      <c r="A1743" s="37"/>
      <c r="B1743" s="25"/>
      <c r="C1743" s="60"/>
      <c r="D1743" s="27"/>
      <c r="E1743" s="28"/>
      <c r="F1743" s="29"/>
      <c r="G1743" s="30" t="str">
        <f t="shared" si="61"/>
        <v/>
      </c>
      <c r="H1743" s="31" t="str">
        <f t="shared" si="73"/>
        <v/>
      </c>
      <c r="I1743" s="32" t="str">
        <f t="shared" si="65"/>
        <v/>
      </c>
      <c r="J1743" s="33" t="str">
        <f t="shared" si="25"/>
        <v/>
      </c>
      <c r="K1743" s="33"/>
      <c r="L1743" s="33"/>
      <c r="M1743" s="33"/>
      <c r="N1743" s="34"/>
      <c r="O1743" s="35" t="str">
        <f>IFERROR(__xludf.DUMMYFUNCTION("IFERROR(
  VLOOKUP(C1743,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C1743
    ), 
    7, FALSE
  ), 
  """"
)
"),"")</f>
        <v/>
      </c>
      <c r="P1743" s="35"/>
      <c r="Q1743" s="36" t="str">
        <f t="shared" si="4"/>
        <v/>
      </c>
      <c r="R1743" s="33"/>
      <c r="S1743" s="31"/>
      <c r="T1743" s="37"/>
      <c r="U1743" s="37"/>
      <c r="V1743" s="37"/>
      <c r="W1743" s="37"/>
      <c r="X1743" s="25"/>
      <c r="Y1743" s="25"/>
      <c r="Z1743" s="25"/>
      <c r="AA1743" s="25"/>
      <c r="AB1743" s="25"/>
      <c r="AC1743" s="25"/>
      <c r="AD1743" s="25"/>
      <c r="AE1743" s="25"/>
      <c r="AF1743" s="25"/>
      <c r="AG1743" s="25"/>
      <c r="AH1743" s="25"/>
      <c r="AI1743" s="25"/>
      <c r="AJ1743" s="25"/>
      <c r="AK1743" s="25"/>
      <c r="AL1743" s="25"/>
      <c r="AM1743" s="25"/>
    </row>
    <row r="1744">
      <c r="A1744" s="24"/>
      <c r="B1744" s="13"/>
      <c r="C1744" s="62"/>
      <c r="D1744" s="14"/>
      <c r="E1744" s="15"/>
      <c r="F1744" s="16"/>
      <c r="G1744" s="17" t="str">
        <f t="shared" si="61"/>
        <v/>
      </c>
      <c r="H1744" s="18" t="str">
        <f t="shared" si="73"/>
        <v/>
      </c>
      <c r="I1744" s="19" t="str">
        <f t="shared" si="65"/>
        <v/>
      </c>
      <c r="J1744" s="20" t="str">
        <f t="shared" si="25"/>
        <v/>
      </c>
      <c r="K1744" s="20"/>
      <c r="L1744" s="20"/>
      <c r="M1744" s="20"/>
      <c r="N1744" s="21"/>
      <c r="O1744" s="22" t="str">
        <f>IFERROR(__xludf.DUMMYFUNCTION("IFERROR(
  VLOOKUP(C1744,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C1744
    ), 
    7, FALSE
  ), 
  """"
)
"),"")</f>
        <v/>
      </c>
      <c r="P1744" s="22"/>
      <c r="Q1744" s="23" t="str">
        <f t="shared" si="4"/>
        <v/>
      </c>
      <c r="R1744" s="20"/>
      <c r="S1744" s="18"/>
      <c r="T1744" s="24"/>
      <c r="U1744" s="24"/>
      <c r="V1744" s="24"/>
      <c r="W1744" s="24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</row>
    <row r="1745">
      <c r="A1745" s="37"/>
      <c r="B1745" s="25"/>
      <c r="C1745" s="60"/>
      <c r="D1745" s="27"/>
      <c r="E1745" s="28"/>
      <c r="F1745" s="29"/>
      <c r="G1745" s="30" t="str">
        <f t="shared" si="61"/>
        <v/>
      </c>
      <c r="H1745" s="31" t="str">
        <f t="shared" si="73"/>
        <v/>
      </c>
      <c r="I1745" s="32" t="str">
        <f t="shared" si="65"/>
        <v/>
      </c>
      <c r="J1745" s="33" t="str">
        <f t="shared" si="25"/>
        <v/>
      </c>
      <c r="K1745" s="33"/>
      <c r="L1745" s="33"/>
      <c r="M1745" s="33"/>
      <c r="N1745" s="34"/>
      <c r="O1745" s="35" t="str">
        <f>IFERROR(__xludf.DUMMYFUNCTION("IFERROR(
  VLOOKUP(C1745,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C1745
    ), 
    7, FALSE
  ), 
  """"
)
"),"")</f>
        <v/>
      </c>
      <c r="P1745" s="35"/>
      <c r="Q1745" s="36" t="str">
        <f t="shared" si="4"/>
        <v/>
      </c>
      <c r="R1745" s="33"/>
      <c r="S1745" s="31"/>
      <c r="T1745" s="37"/>
      <c r="U1745" s="37"/>
      <c r="V1745" s="37"/>
      <c r="W1745" s="37"/>
      <c r="X1745" s="25"/>
      <c r="Y1745" s="25"/>
      <c r="Z1745" s="25"/>
      <c r="AA1745" s="25"/>
      <c r="AB1745" s="25"/>
      <c r="AC1745" s="25"/>
      <c r="AD1745" s="25"/>
      <c r="AE1745" s="25"/>
      <c r="AF1745" s="25"/>
      <c r="AG1745" s="25"/>
      <c r="AH1745" s="25"/>
      <c r="AI1745" s="25"/>
      <c r="AJ1745" s="25"/>
      <c r="AK1745" s="25"/>
      <c r="AL1745" s="25"/>
      <c r="AM1745" s="25"/>
    </row>
    <row r="1746">
      <c r="A1746" s="24"/>
      <c r="B1746" s="13"/>
      <c r="C1746" s="62"/>
      <c r="D1746" s="14"/>
      <c r="E1746" s="15"/>
      <c r="F1746" s="16"/>
      <c r="G1746" s="17" t="str">
        <f t="shared" si="61"/>
        <v/>
      </c>
      <c r="H1746" s="18" t="str">
        <f t="shared" si="73"/>
        <v/>
      </c>
      <c r="I1746" s="19" t="str">
        <f t="shared" si="65"/>
        <v/>
      </c>
      <c r="J1746" s="20" t="str">
        <f t="shared" si="25"/>
        <v/>
      </c>
      <c r="K1746" s="20"/>
      <c r="L1746" s="20"/>
      <c r="M1746" s="20"/>
      <c r="N1746" s="21"/>
      <c r="O1746" s="22" t="str">
        <f>IFERROR(__xludf.DUMMYFUNCTION("IFERROR(
  VLOOKUP(C1746,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C1746
    ), 
    7, FALSE
  ), 
  """"
)
"),"")</f>
        <v/>
      </c>
      <c r="P1746" s="22"/>
      <c r="Q1746" s="23" t="str">
        <f t="shared" si="4"/>
        <v/>
      </c>
      <c r="R1746" s="20"/>
      <c r="S1746" s="18"/>
      <c r="T1746" s="24"/>
      <c r="U1746" s="24"/>
      <c r="V1746" s="24"/>
      <c r="W1746" s="24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</row>
    <row r="1747">
      <c r="A1747" s="37"/>
      <c r="B1747" s="25"/>
      <c r="C1747" s="60"/>
      <c r="D1747" s="27"/>
      <c r="E1747" s="28"/>
      <c r="F1747" s="29"/>
      <c r="G1747" s="30" t="str">
        <f t="shared" si="61"/>
        <v/>
      </c>
      <c r="H1747" s="31" t="str">
        <f t="shared" si="73"/>
        <v/>
      </c>
      <c r="I1747" s="32" t="str">
        <f t="shared" si="65"/>
        <v/>
      </c>
      <c r="J1747" s="33" t="str">
        <f t="shared" si="25"/>
        <v/>
      </c>
      <c r="K1747" s="33"/>
      <c r="L1747" s="33"/>
      <c r="M1747" s="33"/>
      <c r="N1747" s="34"/>
      <c r="O1747" s="35" t="str">
        <f>IFERROR(__xludf.DUMMYFUNCTION("IFERROR(
  VLOOKUP(C1747,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C1747
    ), 
    7, FALSE
  ), 
  """"
)
"),"")</f>
        <v/>
      </c>
      <c r="P1747" s="35"/>
      <c r="Q1747" s="36" t="str">
        <f t="shared" si="4"/>
        <v/>
      </c>
      <c r="R1747" s="33"/>
      <c r="S1747" s="31"/>
      <c r="T1747" s="37"/>
      <c r="U1747" s="37"/>
      <c r="V1747" s="37"/>
      <c r="W1747" s="37"/>
      <c r="X1747" s="25"/>
      <c r="Y1747" s="25"/>
      <c r="Z1747" s="25"/>
      <c r="AA1747" s="25"/>
      <c r="AB1747" s="25"/>
      <c r="AC1747" s="25"/>
      <c r="AD1747" s="25"/>
      <c r="AE1747" s="25"/>
      <c r="AF1747" s="25"/>
      <c r="AG1747" s="25"/>
      <c r="AH1747" s="25"/>
      <c r="AI1747" s="25"/>
      <c r="AJ1747" s="25"/>
      <c r="AK1747" s="25"/>
      <c r="AL1747" s="25"/>
      <c r="AM1747" s="25"/>
    </row>
    <row r="1748">
      <c r="A1748" s="24"/>
      <c r="B1748" s="13"/>
      <c r="C1748" s="62"/>
      <c r="D1748" s="14"/>
      <c r="E1748" s="15"/>
      <c r="F1748" s="16"/>
      <c r="G1748" s="17" t="str">
        <f t="shared" si="61"/>
        <v/>
      </c>
      <c r="H1748" s="18" t="str">
        <f t="shared" si="73"/>
        <v/>
      </c>
      <c r="I1748" s="19" t="str">
        <f t="shared" si="65"/>
        <v/>
      </c>
      <c r="J1748" s="20" t="str">
        <f t="shared" si="25"/>
        <v/>
      </c>
      <c r="K1748" s="20"/>
      <c r="L1748" s="20"/>
      <c r="M1748" s="20"/>
      <c r="N1748" s="21"/>
      <c r="O1748" s="22" t="str">
        <f>IFERROR(__xludf.DUMMYFUNCTION("IFERROR(
  VLOOKUP(C1748,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C1748
    ), 
    7, FALSE
  ), 
  """"
)
"),"")</f>
        <v/>
      </c>
      <c r="P1748" s="22"/>
      <c r="Q1748" s="23" t="str">
        <f t="shared" si="4"/>
        <v/>
      </c>
      <c r="R1748" s="20"/>
      <c r="S1748" s="18"/>
      <c r="T1748" s="24"/>
      <c r="U1748" s="24"/>
      <c r="V1748" s="24"/>
      <c r="W1748" s="24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</row>
    <row r="1749">
      <c r="A1749" s="37"/>
      <c r="B1749" s="25"/>
      <c r="C1749" s="60"/>
      <c r="D1749" s="27"/>
      <c r="E1749" s="28"/>
      <c r="F1749" s="29"/>
      <c r="G1749" s="30" t="str">
        <f t="shared" si="61"/>
        <v/>
      </c>
      <c r="H1749" s="31" t="str">
        <f t="shared" si="73"/>
        <v/>
      </c>
      <c r="I1749" s="32" t="str">
        <f t="shared" si="65"/>
        <v/>
      </c>
      <c r="J1749" s="33" t="str">
        <f t="shared" si="25"/>
        <v/>
      </c>
      <c r="K1749" s="33"/>
      <c r="L1749" s="33"/>
      <c r="M1749" s="33"/>
      <c r="N1749" s="34"/>
      <c r="O1749" s="35" t="str">
        <f>IFERROR(__xludf.DUMMYFUNCTION("IFERROR(
  VLOOKUP(C1749,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C1749
    ), 
    7, FALSE
  ), 
  """"
)
"),"")</f>
        <v/>
      </c>
      <c r="P1749" s="35"/>
      <c r="Q1749" s="36" t="str">
        <f t="shared" si="4"/>
        <v/>
      </c>
      <c r="R1749" s="33"/>
      <c r="S1749" s="31"/>
      <c r="T1749" s="37"/>
      <c r="U1749" s="37"/>
      <c r="V1749" s="37"/>
      <c r="W1749" s="37"/>
      <c r="X1749" s="25"/>
      <c r="Y1749" s="25"/>
      <c r="Z1749" s="25"/>
      <c r="AA1749" s="25"/>
      <c r="AB1749" s="25"/>
      <c r="AC1749" s="25"/>
      <c r="AD1749" s="25"/>
      <c r="AE1749" s="25"/>
      <c r="AF1749" s="25"/>
      <c r="AG1749" s="25"/>
      <c r="AH1749" s="25"/>
      <c r="AI1749" s="25"/>
      <c r="AJ1749" s="25"/>
      <c r="AK1749" s="25"/>
      <c r="AL1749" s="25"/>
      <c r="AM1749" s="25"/>
    </row>
    <row r="1750">
      <c r="A1750" s="24"/>
      <c r="B1750" s="13"/>
      <c r="C1750" s="62"/>
      <c r="D1750" s="14"/>
      <c r="E1750" s="15"/>
      <c r="F1750" s="16"/>
      <c r="G1750" s="17" t="str">
        <f t="shared" si="61"/>
        <v/>
      </c>
      <c r="H1750" s="18" t="str">
        <f t="shared" si="73"/>
        <v/>
      </c>
      <c r="I1750" s="19" t="str">
        <f t="shared" si="65"/>
        <v/>
      </c>
      <c r="J1750" s="20" t="str">
        <f t="shared" si="25"/>
        <v/>
      </c>
      <c r="K1750" s="20"/>
      <c r="L1750" s="20"/>
      <c r="M1750" s="20"/>
      <c r="N1750" s="21"/>
      <c r="O1750" s="22" t="str">
        <f>IFERROR(__xludf.DUMMYFUNCTION("IFERROR(
  VLOOKUP(C1750,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C1750
    ), 
    7, FALSE
  ), 
  """"
)
"),"")</f>
        <v/>
      </c>
      <c r="P1750" s="22"/>
      <c r="Q1750" s="23" t="str">
        <f t="shared" si="4"/>
        <v/>
      </c>
      <c r="R1750" s="20"/>
      <c r="S1750" s="18"/>
      <c r="T1750" s="24"/>
      <c r="U1750" s="24"/>
      <c r="V1750" s="24"/>
      <c r="W1750" s="24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13"/>
      <c r="AI1750" s="13"/>
      <c r="AJ1750" s="13"/>
      <c r="AK1750" s="13"/>
      <c r="AL1750" s="13"/>
      <c r="AM1750" s="13"/>
    </row>
    <row r="1751">
      <c r="A1751" s="37"/>
      <c r="B1751" s="25"/>
      <c r="C1751" s="60"/>
      <c r="D1751" s="27"/>
      <c r="E1751" s="28"/>
      <c r="F1751" s="29"/>
      <c r="G1751" s="30" t="str">
        <f t="shared" si="61"/>
        <v/>
      </c>
      <c r="H1751" s="31" t="str">
        <f t="shared" si="73"/>
        <v/>
      </c>
      <c r="I1751" s="32" t="str">
        <f t="shared" si="65"/>
        <v/>
      </c>
      <c r="J1751" s="33" t="str">
        <f t="shared" si="25"/>
        <v/>
      </c>
      <c r="K1751" s="33"/>
      <c r="L1751" s="33"/>
      <c r="M1751" s="33"/>
      <c r="N1751" s="34"/>
      <c r="O1751" s="35" t="str">
        <f>IFERROR(__xludf.DUMMYFUNCTION("IFERROR(
  VLOOKUP(C1751,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C1751
    ), 
    7, FALSE
  ), 
  """"
)
"),"")</f>
        <v/>
      </c>
      <c r="P1751" s="35"/>
      <c r="Q1751" s="36" t="str">
        <f t="shared" si="4"/>
        <v/>
      </c>
      <c r="R1751" s="33"/>
      <c r="S1751" s="31"/>
      <c r="T1751" s="37"/>
      <c r="U1751" s="37"/>
      <c r="V1751" s="37"/>
      <c r="W1751" s="37"/>
      <c r="X1751" s="25"/>
      <c r="Y1751" s="25"/>
      <c r="Z1751" s="25"/>
      <c r="AA1751" s="25"/>
      <c r="AB1751" s="25"/>
      <c r="AC1751" s="25"/>
      <c r="AD1751" s="25"/>
      <c r="AE1751" s="25"/>
      <c r="AF1751" s="25"/>
      <c r="AG1751" s="25"/>
      <c r="AH1751" s="25"/>
      <c r="AI1751" s="25"/>
      <c r="AJ1751" s="25"/>
      <c r="AK1751" s="25"/>
      <c r="AL1751" s="25"/>
      <c r="AM1751" s="25"/>
    </row>
    <row r="1752">
      <c r="A1752" s="24"/>
      <c r="B1752" s="13"/>
      <c r="C1752" s="62"/>
      <c r="D1752" s="14"/>
      <c r="E1752" s="15"/>
      <c r="F1752" s="16"/>
      <c r="G1752" s="17" t="str">
        <f t="shared" si="61"/>
        <v/>
      </c>
      <c r="H1752" s="18" t="str">
        <f t="shared" si="73"/>
        <v/>
      </c>
      <c r="I1752" s="19" t="str">
        <f t="shared" si="65"/>
        <v/>
      </c>
      <c r="J1752" s="20" t="str">
        <f t="shared" si="25"/>
        <v/>
      </c>
      <c r="K1752" s="20"/>
      <c r="L1752" s="20"/>
      <c r="M1752" s="20"/>
      <c r="N1752" s="21"/>
      <c r="O1752" s="22" t="str">
        <f>IFERROR(__xludf.DUMMYFUNCTION("IFERROR(
  VLOOKUP(C1752,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C1752
    ), 
    7, FALSE
  ), 
  """"
)
"),"")</f>
        <v/>
      </c>
      <c r="P1752" s="22"/>
      <c r="Q1752" s="23" t="str">
        <f t="shared" si="4"/>
        <v/>
      </c>
      <c r="R1752" s="20"/>
      <c r="S1752" s="18"/>
      <c r="T1752" s="24"/>
      <c r="U1752" s="24"/>
      <c r="V1752" s="24"/>
      <c r="W1752" s="24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</row>
    <row r="1753">
      <c r="A1753" s="37"/>
      <c r="B1753" s="25"/>
      <c r="C1753" s="60"/>
      <c r="D1753" s="27"/>
      <c r="E1753" s="28"/>
      <c r="F1753" s="29"/>
      <c r="G1753" s="30" t="str">
        <f t="shared" si="61"/>
        <v/>
      </c>
      <c r="H1753" s="31" t="str">
        <f t="shared" si="73"/>
        <v/>
      </c>
      <c r="I1753" s="32" t="str">
        <f t="shared" si="65"/>
        <v/>
      </c>
      <c r="J1753" s="33" t="str">
        <f t="shared" si="25"/>
        <v/>
      </c>
      <c r="K1753" s="33"/>
      <c r="L1753" s="33"/>
      <c r="M1753" s="33"/>
      <c r="N1753" s="34"/>
      <c r="O1753" s="35" t="str">
        <f>IFERROR(__xludf.DUMMYFUNCTION("IFERROR(
  VLOOKUP(C1753,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C1753
    ), 
    7, FALSE
  ), 
  """"
)
"),"")</f>
        <v/>
      </c>
      <c r="P1753" s="35"/>
      <c r="Q1753" s="36" t="str">
        <f t="shared" si="4"/>
        <v/>
      </c>
      <c r="R1753" s="33"/>
      <c r="S1753" s="31"/>
      <c r="T1753" s="37"/>
      <c r="U1753" s="37"/>
      <c r="V1753" s="37"/>
      <c r="W1753" s="37"/>
      <c r="X1753" s="25"/>
      <c r="Y1753" s="25"/>
      <c r="Z1753" s="25"/>
      <c r="AA1753" s="25"/>
      <c r="AB1753" s="25"/>
      <c r="AC1753" s="25"/>
      <c r="AD1753" s="25"/>
      <c r="AE1753" s="25"/>
      <c r="AF1753" s="25"/>
      <c r="AG1753" s="25"/>
      <c r="AH1753" s="25"/>
      <c r="AI1753" s="25"/>
      <c r="AJ1753" s="25"/>
      <c r="AK1753" s="25"/>
      <c r="AL1753" s="25"/>
      <c r="AM1753" s="25"/>
    </row>
    <row r="1754">
      <c r="A1754" s="24"/>
      <c r="B1754" s="13"/>
      <c r="C1754" s="62"/>
      <c r="D1754" s="14"/>
      <c r="E1754" s="15"/>
      <c r="F1754" s="16"/>
      <c r="G1754" s="17" t="str">
        <f t="shared" si="61"/>
        <v/>
      </c>
      <c r="H1754" s="18" t="str">
        <f t="shared" si="73"/>
        <v/>
      </c>
      <c r="I1754" s="19" t="str">
        <f t="shared" si="65"/>
        <v/>
      </c>
      <c r="J1754" s="20" t="str">
        <f t="shared" si="25"/>
        <v/>
      </c>
      <c r="K1754" s="20"/>
      <c r="L1754" s="20"/>
      <c r="M1754" s="20"/>
      <c r="N1754" s="21"/>
      <c r="O1754" s="22" t="str">
        <f>IFERROR(__xludf.DUMMYFUNCTION("IFERROR(
  VLOOKUP(C1754,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C1754
    ), 
    7, FALSE
  ), 
  """"
)
"),"")</f>
        <v/>
      </c>
      <c r="P1754" s="22"/>
      <c r="Q1754" s="23" t="str">
        <f t="shared" si="4"/>
        <v/>
      </c>
      <c r="R1754" s="20"/>
      <c r="S1754" s="18"/>
      <c r="T1754" s="24"/>
      <c r="U1754" s="24"/>
      <c r="V1754" s="24"/>
      <c r="W1754" s="24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</row>
    <row r="1755">
      <c r="A1755" s="37"/>
      <c r="B1755" s="25"/>
      <c r="C1755" s="60"/>
      <c r="D1755" s="27"/>
      <c r="E1755" s="28"/>
      <c r="F1755" s="29"/>
      <c r="G1755" s="30" t="str">
        <f t="shared" si="61"/>
        <v/>
      </c>
      <c r="H1755" s="31" t="str">
        <f t="shared" si="73"/>
        <v/>
      </c>
      <c r="I1755" s="32" t="str">
        <f t="shared" si="65"/>
        <v/>
      </c>
      <c r="J1755" s="33" t="str">
        <f t="shared" si="25"/>
        <v/>
      </c>
      <c r="K1755" s="33"/>
      <c r="L1755" s="33"/>
      <c r="M1755" s="33"/>
      <c r="N1755" s="34"/>
      <c r="O1755" s="35" t="str">
        <f>IFERROR(__xludf.DUMMYFUNCTION("IFERROR(
  VLOOKUP(C1755,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C1755
    ), 
    7, FALSE
  ), 
  """"
)
"),"")</f>
        <v/>
      </c>
      <c r="P1755" s="35"/>
      <c r="Q1755" s="36" t="str">
        <f t="shared" si="4"/>
        <v/>
      </c>
      <c r="R1755" s="33"/>
      <c r="S1755" s="31"/>
      <c r="T1755" s="37"/>
      <c r="U1755" s="37"/>
      <c r="V1755" s="37"/>
      <c r="W1755" s="37"/>
      <c r="X1755" s="25"/>
      <c r="Y1755" s="25"/>
      <c r="Z1755" s="25"/>
      <c r="AA1755" s="25"/>
      <c r="AB1755" s="25"/>
      <c r="AC1755" s="25"/>
      <c r="AD1755" s="25"/>
      <c r="AE1755" s="25"/>
      <c r="AF1755" s="25"/>
      <c r="AG1755" s="25"/>
      <c r="AH1755" s="25"/>
      <c r="AI1755" s="25"/>
      <c r="AJ1755" s="25"/>
      <c r="AK1755" s="25"/>
      <c r="AL1755" s="25"/>
      <c r="AM1755" s="25"/>
    </row>
    <row r="1756">
      <c r="A1756" s="24"/>
      <c r="B1756" s="13"/>
      <c r="C1756" s="62"/>
      <c r="D1756" s="14"/>
      <c r="E1756" s="15"/>
      <c r="F1756" s="16"/>
      <c r="G1756" s="17" t="str">
        <f t="shared" si="61"/>
        <v/>
      </c>
      <c r="H1756" s="18" t="str">
        <f t="shared" si="73"/>
        <v/>
      </c>
      <c r="I1756" s="19" t="str">
        <f t="shared" si="65"/>
        <v/>
      </c>
      <c r="J1756" s="20" t="str">
        <f t="shared" si="25"/>
        <v/>
      </c>
      <c r="K1756" s="20"/>
      <c r="L1756" s="20"/>
      <c r="M1756" s="20"/>
      <c r="N1756" s="21"/>
      <c r="O1756" s="22" t="str">
        <f>IFERROR(__xludf.DUMMYFUNCTION("IFERROR(
  VLOOKUP(C1756,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C1756
    ), 
    7, FALSE
  ), 
  """"
)
"),"")</f>
        <v/>
      </c>
      <c r="P1756" s="22"/>
      <c r="Q1756" s="23" t="str">
        <f t="shared" si="4"/>
        <v/>
      </c>
      <c r="R1756" s="20"/>
      <c r="S1756" s="18"/>
      <c r="T1756" s="24"/>
      <c r="U1756" s="24"/>
      <c r="V1756" s="24"/>
      <c r="W1756" s="24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</row>
    <row r="1757">
      <c r="A1757" s="37"/>
      <c r="B1757" s="25"/>
      <c r="C1757" s="60"/>
      <c r="D1757" s="27"/>
      <c r="E1757" s="28"/>
      <c r="F1757" s="29"/>
      <c r="G1757" s="30" t="str">
        <f t="shared" si="61"/>
        <v/>
      </c>
      <c r="H1757" s="31" t="str">
        <f t="shared" si="73"/>
        <v/>
      </c>
      <c r="I1757" s="32" t="str">
        <f t="shared" si="65"/>
        <v/>
      </c>
      <c r="J1757" s="33" t="str">
        <f t="shared" si="25"/>
        <v/>
      </c>
      <c r="K1757" s="33"/>
      <c r="L1757" s="33"/>
      <c r="M1757" s="33"/>
      <c r="N1757" s="34"/>
      <c r="O1757" s="35" t="str">
        <f>IFERROR(__xludf.DUMMYFUNCTION("IFERROR(
  VLOOKUP(C1757,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C1757
    ), 
    7, FALSE
  ), 
  """"
)
"),"")</f>
        <v/>
      </c>
      <c r="P1757" s="35"/>
      <c r="Q1757" s="36" t="str">
        <f t="shared" si="4"/>
        <v/>
      </c>
      <c r="R1757" s="33"/>
      <c r="S1757" s="31"/>
      <c r="T1757" s="37"/>
      <c r="U1757" s="37"/>
      <c r="V1757" s="37"/>
      <c r="W1757" s="37"/>
      <c r="X1757" s="25"/>
      <c r="Y1757" s="25"/>
      <c r="Z1757" s="25"/>
      <c r="AA1757" s="25"/>
      <c r="AB1757" s="25"/>
      <c r="AC1757" s="25"/>
      <c r="AD1757" s="25"/>
      <c r="AE1757" s="25"/>
      <c r="AF1757" s="25"/>
      <c r="AG1757" s="25"/>
      <c r="AH1757" s="25"/>
      <c r="AI1757" s="25"/>
      <c r="AJ1757" s="25"/>
      <c r="AK1757" s="25"/>
      <c r="AL1757" s="25"/>
      <c r="AM1757" s="25"/>
    </row>
    <row r="1758">
      <c r="A1758" s="24"/>
      <c r="B1758" s="13"/>
      <c r="C1758" s="62"/>
      <c r="D1758" s="14"/>
      <c r="E1758" s="15"/>
      <c r="F1758" s="16"/>
      <c r="G1758" s="17" t="str">
        <f t="shared" si="61"/>
        <v/>
      </c>
      <c r="H1758" s="18" t="str">
        <f t="shared" si="73"/>
        <v/>
      </c>
      <c r="I1758" s="19" t="str">
        <f t="shared" si="65"/>
        <v/>
      </c>
      <c r="J1758" s="20" t="str">
        <f t="shared" si="25"/>
        <v/>
      </c>
      <c r="K1758" s="20"/>
      <c r="L1758" s="20"/>
      <c r="M1758" s="20"/>
      <c r="N1758" s="21"/>
      <c r="O1758" s="22" t="str">
        <f>IFERROR(__xludf.DUMMYFUNCTION("IFERROR(
  VLOOKUP(C1758,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C1758
    ), 
    7, FALSE
  ), 
  """"
)
"),"")</f>
        <v/>
      </c>
      <c r="P1758" s="22"/>
      <c r="Q1758" s="23" t="str">
        <f t="shared" si="4"/>
        <v/>
      </c>
      <c r="R1758" s="20"/>
      <c r="S1758" s="18"/>
      <c r="T1758" s="24"/>
      <c r="U1758" s="24"/>
      <c r="V1758" s="24"/>
      <c r="W1758" s="24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</row>
    <row r="1759">
      <c r="A1759" s="37"/>
      <c r="B1759" s="25"/>
      <c r="C1759" s="60"/>
      <c r="D1759" s="27"/>
      <c r="E1759" s="28"/>
      <c r="F1759" s="29"/>
      <c r="G1759" s="30" t="str">
        <f t="shared" si="61"/>
        <v/>
      </c>
      <c r="H1759" s="31" t="str">
        <f t="shared" si="73"/>
        <v/>
      </c>
      <c r="I1759" s="32" t="str">
        <f t="shared" si="65"/>
        <v/>
      </c>
      <c r="J1759" s="33" t="str">
        <f t="shared" si="25"/>
        <v/>
      </c>
      <c r="K1759" s="33"/>
      <c r="L1759" s="33"/>
      <c r="M1759" s="33"/>
      <c r="N1759" s="34"/>
      <c r="O1759" s="35" t="str">
        <f>IFERROR(__xludf.DUMMYFUNCTION("IFERROR(
  VLOOKUP(C1759,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C1759
    ), 
    7, FALSE
  ), 
  """"
)
"),"")</f>
        <v/>
      </c>
      <c r="P1759" s="35"/>
      <c r="Q1759" s="36" t="str">
        <f t="shared" si="4"/>
        <v/>
      </c>
      <c r="R1759" s="33"/>
      <c r="S1759" s="31"/>
      <c r="T1759" s="37"/>
      <c r="U1759" s="37"/>
      <c r="V1759" s="37"/>
      <c r="W1759" s="37"/>
      <c r="X1759" s="25"/>
      <c r="Y1759" s="25"/>
      <c r="Z1759" s="25"/>
      <c r="AA1759" s="25"/>
      <c r="AB1759" s="25"/>
      <c r="AC1759" s="25"/>
      <c r="AD1759" s="25"/>
      <c r="AE1759" s="25"/>
      <c r="AF1759" s="25"/>
      <c r="AG1759" s="25"/>
      <c r="AH1759" s="25"/>
      <c r="AI1759" s="25"/>
      <c r="AJ1759" s="25"/>
      <c r="AK1759" s="25"/>
      <c r="AL1759" s="25"/>
      <c r="AM1759" s="25"/>
    </row>
    <row r="1760">
      <c r="A1760" s="24"/>
      <c r="B1760" s="13"/>
      <c r="C1760" s="62"/>
      <c r="D1760" s="14"/>
      <c r="E1760" s="15"/>
      <c r="F1760" s="16"/>
      <c r="G1760" s="17" t="str">
        <f t="shared" si="61"/>
        <v/>
      </c>
      <c r="H1760" s="18" t="str">
        <f t="shared" si="73"/>
        <v/>
      </c>
      <c r="I1760" s="19" t="str">
        <f t="shared" si="65"/>
        <v/>
      </c>
      <c r="J1760" s="20" t="str">
        <f t="shared" si="25"/>
        <v/>
      </c>
      <c r="K1760" s="20"/>
      <c r="L1760" s="20"/>
      <c r="M1760" s="20"/>
      <c r="N1760" s="21"/>
      <c r="O1760" s="22" t="str">
        <f>IFERROR(__xludf.DUMMYFUNCTION("IFERROR(
  VLOOKUP(C1760,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C1760
    ), 
    7, FALSE
  ), 
  """"
)
"),"")</f>
        <v/>
      </c>
      <c r="P1760" s="22"/>
      <c r="Q1760" s="23" t="str">
        <f t="shared" si="4"/>
        <v/>
      </c>
      <c r="R1760" s="20"/>
      <c r="S1760" s="18"/>
      <c r="T1760" s="24"/>
      <c r="U1760" s="24"/>
      <c r="V1760" s="24"/>
      <c r="W1760" s="24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</row>
    <row r="1761">
      <c r="A1761" s="37"/>
      <c r="B1761" s="25"/>
      <c r="C1761" s="60"/>
      <c r="D1761" s="27"/>
      <c r="E1761" s="28"/>
      <c r="F1761" s="29"/>
      <c r="G1761" s="30" t="str">
        <f t="shared" si="61"/>
        <v/>
      </c>
      <c r="H1761" s="31" t="str">
        <f t="shared" si="73"/>
        <v/>
      </c>
      <c r="I1761" s="32" t="str">
        <f t="shared" si="65"/>
        <v/>
      </c>
      <c r="J1761" s="33" t="str">
        <f t="shared" si="25"/>
        <v/>
      </c>
      <c r="K1761" s="33"/>
      <c r="L1761" s="33"/>
      <c r="M1761" s="33"/>
      <c r="N1761" s="34"/>
      <c r="O1761" s="35" t="str">
        <f>IFERROR(__xludf.DUMMYFUNCTION("IFERROR(
  VLOOKUP(C1761,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C1761
    ), 
    7, FALSE
  ), 
  """"
)
"),"")</f>
        <v/>
      </c>
      <c r="P1761" s="35"/>
      <c r="Q1761" s="36" t="str">
        <f t="shared" si="4"/>
        <v/>
      </c>
      <c r="R1761" s="33"/>
      <c r="S1761" s="31"/>
      <c r="T1761" s="37"/>
      <c r="U1761" s="37"/>
      <c r="V1761" s="37"/>
      <c r="W1761" s="37"/>
      <c r="X1761" s="25"/>
      <c r="Y1761" s="25"/>
      <c r="Z1761" s="25"/>
      <c r="AA1761" s="25"/>
      <c r="AB1761" s="25"/>
      <c r="AC1761" s="25"/>
      <c r="AD1761" s="25"/>
      <c r="AE1761" s="25"/>
      <c r="AF1761" s="25"/>
      <c r="AG1761" s="25"/>
      <c r="AH1761" s="25"/>
      <c r="AI1761" s="25"/>
      <c r="AJ1761" s="25"/>
      <c r="AK1761" s="25"/>
      <c r="AL1761" s="25"/>
      <c r="AM1761" s="25"/>
    </row>
    <row r="1762">
      <c r="A1762" s="24"/>
      <c r="B1762" s="13"/>
      <c r="C1762" s="62"/>
      <c r="D1762" s="14"/>
      <c r="E1762" s="15"/>
      <c r="F1762" s="16"/>
      <c r="G1762" s="17" t="str">
        <f t="shared" si="61"/>
        <v/>
      </c>
      <c r="H1762" s="18" t="str">
        <f t="shared" si="73"/>
        <v/>
      </c>
      <c r="I1762" s="19" t="str">
        <f t="shared" si="65"/>
        <v/>
      </c>
      <c r="J1762" s="20" t="str">
        <f t="shared" si="25"/>
        <v/>
      </c>
      <c r="K1762" s="20"/>
      <c r="L1762" s="20"/>
      <c r="M1762" s="20"/>
      <c r="N1762" s="21"/>
      <c r="O1762" s="22" t="str">
        <f>IFERROR(__xludf.DUMMYFUNCTION("IFERROR(
  VLOOKUP(C1762,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C1762
    ), 
    7, FALSE
  ), 
  """"
)
"),"")</f>
        <v/>
      </c>
      <c r="P1762" s="22"/>
      <c r="Q1762" s="23" t="str">
        <f t="shared" si="4"/>
        <v/>
      </c>
      <c r="R1762" s="20"/>
      <c r="S1762" s="18"/>
      <c r="T1762" s="24"/>
      <c r="U1762" s="24"/>
      <c r="V1762" s="24"/>
      <c r="W1762" s="24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</row>
    <row r="1763">
      <c r="A1763" s="37"/>
      <c r="B1763" s="25"/>
      <c r="C1763" s="60"/>
      <c r="D1763" s="27"/>
      <c r="E1763" s="28"/>
      <c r="F1763" s="29"/>
      <c r="G1763" s="30" t="str">
        <f t="shared" si="61"/>
        <v/>
      </c>
      <c r="H1763" s="31" t="str">
        <f t="shared" si="73"/>
        <v/>
      </c>
      <c r="I1763" s="32" t="str">
        <f t="shared" si="65"/>
        <v/>
      </c>
      <c r="J1763" s="33" t="str">
        <f t="shared" si="25"/>
        <v/>
      </c>
      <c r="K1763" s="33"/>
      <c r="L1763" s="33"/>
      <c r="M1763" s="33"/>
      <c r="N1763" s="34"/>
      <c r="O1763" s="35" t="str">
        <f>IFERROR(__xludf.DUMMYFUNCTION("IFERROR(
  VLOOKUP(C1763,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C1763
    ), 
    7, FALSE
  ), 
  """"
)
"),"")</f>
        <v/>
      </c>
      <c r="P1763" s="35"/>
      <c r="Q1763" s="36" t="str">
        <f t="shared" si="4"/>
        <v/>
      </c>
      <c r="R1763" s="33"/>
      <c r="S1763" s="31"/>
      <c r="T1763" s="37"/>
      <c r="U1763" s="37"/>
      <c r="V1763" s="37"/>
      <c r="W1763" s="37"/>
      <c r="X1763" s="25"/>
      <c r="Y1763" s="25"/>
      <c r="Z1763" s="25"/>
      <c r="AA1763" s="25"/>
      <c r="AB1763" s="25"/>
      <c r="AC1763" s="25"/>
      <c r="AD1763" s="25"/>
      <c r="AE1763" s="25"/>
      <c r="AF1763" s="25"/>
      <c r="AG1763" s="25"/>
      <c r="AH1763" s="25"/>
      <c r="AI1763" s="25"/>
      <c r="AJ1763" s="25"/>
      <c r="AK1763" s="25"/>
      <c r="AL1763" s="25"/>
      <c r="AM1763" s="25"/>
    </row>
    <row r="1764">
      <c r="A1764" s="24"/>
      <c r="B1764" s="13"/>
      <c r="C1764" s="62"/>
      <c r="D1764" s="14"/>
      <c r="E1764" s="15"/>
      <c r="F1764" s="16"/>
      <c r="G1764" s="17" t="str">
        <f t="shared" si="61"/>
        <v/>
      </c>
      <c r="H1764" s="18" t="str">
        <f t="shared" si="73"/>
        <v/>
      </c>
      <c r="I1764" s="19" t="str">
        <f t="shared" si="65"/>
        <v/>
      </c>
      <c r="J1764" s="20" t="str">
        <f t="shared" si="25"/>
        <v/>
      </c>
      <c r="K1764" s="20"/>
      <c r="L1764" s="20"/>
      <c r="M1764" s="20"/>
      <c r="N1764" s="21"/>
      <c r="O1764" s="22" t="str">
        <f>IFERROR(__xludf.DUMMYFUNCTION("IFERROR(
  VLOOKUP(C1764,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C1764
    ), 
    7, FALSE
  ), 
  """"
)
"),"")</f>
        <v/>
      </c>
      <c r="P1764" s="22"/>
      <c r="Q1764" s="23" t="str">
        <f t="shared" si="4"/>
        <v/>
      </c>
      <c r="R1764" s="20"/>
      <c r="S1764" s="18"/>
      <c r="T1764" s="24"/>
      <c r="U1764" s="24"/>
      <c r="V1764" s="24"/>
      <c r="W1764" s="24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</row>
    <row r="1765">
      <c r="A1765" s="37"/>
      <c r="B1765" s="25"/>
      <c r="C1765" s="60"/>
      <c r="D1765" s="27"/>
      <c r="E1765" s="28"/>
      <c r="F1765" s="29"/>
      <c r="G1765" s="30" t="str">
        <f t="shared" si="61"/>
        <v/>
      </c>
      <c r="H1765" s="31" t="str">
        <f t="shared" si="73"/>
        <v/>
      </c>
      <c r="I1765" s="32" t="str">
        <f t="shared" si="65"/>
        <v/>
      </c>
      <c r="J1765" s="33" t="str">
        <f t="shared" si="25"/>
        <v/>
      </c>
      <c r="K1765" s="33"/>
      <c r="L1765" s="33"/>
      <c r="M1765" s="33"/>
      <c r="N1765" s="34"/>
      <c r="O1765" s="35" t="str">
        <f>IFERROR(__xludf.DUMMYFUNCTION("IFERROR(
  VLOOKUP(C1765,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C1765
    ), 
    7, FALSE
  ), 
  """"
)
"),"")</f>
        <v/>
      </c>
      <c r="P1765" s="35"/>
      <c r="Q1765" s="36" t="str">
        <f t="shared" si="4"/>
        <v/>
      </c>
      <c r="R1765" s="33"/>
      <c r="S1765" s="31"/>
      <c r="T1765" s="37"/>
      <c r="U1765" s="37"/>
      <c r="V1765" s="37"/>
      <c r="W1765" s="37"/>
      <c r="X1765" s="25"/>
      <c r="Y1765" s="25"/>
      <c r="Z1765" s="25"/>
      <c r="AA1765" s="25"/>
      <c r="AB1765" s="25"/>
      <c r="AC1765" s="25"/>
      <c r="AD1765" s="25"/>
      <c r="AE1765" s="25"/>
      <c r="AF1765" s="25"/>
      <c r="AG1765" s="25"/>
      <c r="AH1765" s="25"/>
      <c r="AI1765" s="25"/>
      <c r="AJ1765" s="25"/>
      <c r="AK1765" s="25"/>
      <c r="AL1765" s="25"/>
      <c r="AM1765" s="25"/>
    </row>
    <row r="1766">
      <c r="A1766" s="24"/>
      <c r="B1766" s="13"/>
      <c r="C1766" s="62"/>
      <c r="D1766" s="14"/>
      <c r="E1766" s="15"/>
      <c r="F1766" s="16"/>
      <c r="G1766" s="17" t="str">
        <f t="shared" si="61"/>
        <v/>
      </c>
      <c r="H1766" s="18" t="str">
        <f t="shared" si="73"/>
        <v/>
      </c>
      <c r="I1766" s="19" t="str">
        <f t="shared" si="65"/>
        <v/>
      </c>
      <c r="J1766" s="20" t="str">
        <f t="shared" si="25"/>
        <v/>
      </c>
      <c r="K1766" s="20"/>
      <c r="L1766" s="20"/>
      <c r="M1766" s="20"/>
      <c r="N1766" s="21"/>
      <c r="O1766" s="22" t="str">
        <f>IFERROR(__xludf.DUMMYFUNCTION("IFERROR(
  VLOOKUP(C1766,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C1766
    ), 
    7, FALSE
  ), 
  """"
)
"),"")</f>
        <v/>
      </c>
      <c r="P1766" s="22"/>
      <c r="Q1766" s="23" t="str">
        <f t="shared" si="4"/>
        <v/>
      </c>
      <c r="R1766" s="20"/>
      <c r="S1766" s="18"/>
      <c r="T1766" s="24"/>
      <c r="U1766" s="24"/>
      <c r="V1766" s="24"/>
      <c r="W1766" s="24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3"/>
      <c r="AM1766" s="13"/>
    </row>
    <row r="1767">
      <c r="A1767" s="37"/>
      <c r="B1767" s="25"/>
      <c r="C1767" s="60"/>
      <c r="D1767" s="27"/>
      <c r="E1767" s="28"/>
      <c r="F1767" s="29"/>
      <c r="G1767" s="30" t="str">
        <f t="shared" si="61"/>
        <v/>
      </c>
      <c r="H1767" s="31" t="str">
        <f t="shared" si="73"/>
        <v/>
      </c>
      <c r="I1767" s="32" t="str">
        <f t="shared" si="65"/>
        <v/>
      </c>
      <c r="J1767" s="33" t="str">
        <f t="shared" si="25"/>
        <v/>
      </c>
      <c r="K1767" s="33"/>
      <c r="L1767" s="33"/>
      <c r="M1767" s="33"/>
      <c r="N1767" s="34"/>
      <c r="O1767" s="35" t="str">
        <f>IFERROR(__xludf.DUMMYFUNCTION("IFERROR(
  VLOOKUP(C1767,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C1767
    ), 
    7, FALSE
  ), 
  """"
)
"),"")</f>
        <v/>
      </c>
      <c r="P1767" s="35"/>
      <c r="Q1767" s="36" t="str">
        <f t="shared" si="4"/>
        <v/>
      </c>
      <c r="R1767" s="33"/>
      <c r="S1767" s="31"/>
      <c r="T1767" s="37"/>
      <c r="U1767" s="37"/>
      <c r="V1767" s="37"/>
      <c r="W1767" s="37"/>
      <c r="X1767" s="25"/>
      <c r="Y1767" s="25"/>
      <c r="Z1767" s="25"/>
      <c r="AA1767" s="25"/>
      <c r="AB1767" s="25"/>
      <c r="AC1767" s="25"/>
      <c r="AD1767" s="25"/>
      <c r="AE1767" s="25"/>
      <c r="AF1767" s="25"/>
      <c r="AG1767" s="25"/>
      <c r="AH1767" s="25"/>
      <c r="AI1767" s="25"/>
      <c r="AJ1767" s="25"/>
      <c r="AK1767" s="25"/>
      <c r="AL1767" s="25"/>
      <c r="AM1767" s="25"/>
    </row>
    <row r="1768">
      <c r="A1768" s="24"/>
      <c r="B1768" s="13"/>
      <c r="C1768" s="62"/>
      <c r="D1768" s="14"/>
      <c r="E1768" s="15"/>
      <c r="F1768" s="16"/>
      <c r="G1768" s="17" t="str">
        <f t="shared" si="61"/>
        <v/>
      </c>
      <c r="H1768" s="18" t="str">
        <f t="shared" si="73"/>
        <v/>
      </c>
      <c r="I1768" s="19" t="str">
        <f t="shared" si="65"/>
        <v/>
      </c>
      <c r="J1768" s="20" t="str">
        <f t="shared" si="25"/>
        <v/>
      </c>
      <c r="K1768" s="20"/>
      <c r="L1768" s="20"/>
      <c r="M1768" s="20"/>
      <c r="N1768" s="21"/>
      <c r="O1768" s="22" t="str">
        <f>IFERROR(__xludf.DUMMYFUNCTION("IFERROR(
  VLOOKUP(C1768,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C1768
    ), 
    7, FALSE
  ), 
  """"
)
"),"")</f>
        <v/>
      </c>
      <c r="P1768" s="22"/>
      <c r="Q1768" s="23" t="str">
        <f t="shared" si="4"/>
        <v/>
      </c>
      <c r="R1768" s="20"/>
      <c r="S1768" s="18"/>
      <c r="T1768" s="24"/>
      <c r="U1768" s="24"/>
      <c r="V1768" s="24"/>
      <c r="W1768" s="24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  <c r="AL1768" s="13"/>
      <c r="AM1768" s="13"/>
    </row>
    <row r="1769">
      <c r="A1769" s="37"/>
      <c r="B1769" s="25"/>
      <c r="C1769" s="60"/>
      <c r="D1769" s="27"/>
      <c r="E1769" s="28"/>
      <c r="F1769" s="29"/>
      <c r="G1769" s="30" t="str">
        <f t="shared" si="61"/>
        <v/>
      </c>
      <c r="H1769" s="31" t="str">
        <f t="shared" si="73"/>
        <v/>
      </c>
      <c r="I1769" s="32" t="str">
        <f t="shared" si="65"/>
        <v/>
      </c>
      <c r="J1769" s="33" t="str">
        <f t="shared" si="25"/>
        <v/>
      </c>
      <c r="K1769" s="33"/>
      <c r="L1769" s="33"/>
      <c r="M1769" s="33"/>
      <c r="N1769" s="34"/>
      <c r="O1769" s="35" t="str">
        <f>IFERROR(__xludf.DUMMYFUNCTION("IFERROR(
  VLOOKUP(C1769,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C1769
    ), 
    7, FALSE
  ), 
  """"
)
"),"")</f>
        <v/>
      </c>
      <c r="P1769" s="35"/>
      <c r="Q1769" s="36" t="str">
        <f t="shared" si="4"/>
        <v/>
      </c>
      <c r="R1769" s="33"/>
      <c r="S1769" s="31"/>
      <c r="T1769" s="37"/>
      <c r="U1769" s="37"/>
      <c r="V1769" s="37"/>
      <c r="W1769" s="37"/>
      <c r="X1769" s="25"/>
      <c r="Y1769" s="25"/>
      <c r="Z1769" s="25"/>
      <c r="AA1769" s="25"/>
      <c r="AB1769" s="25"/>
      <c r="AC1769" s="25"/>
      <c r="AD1769" s="25"/>
      <c r="AE1769" s="25"/>
      <c r="AF1769" s="25"/>
      <c r="AG1769" s="25"/>
      <c r="AH1769" s="25"/>
      <c r="AI1769" s="25"/>
      <c r="AJ1769" s="25"/>
      <c r="AK1769" s="25"/>
      <c r="AL1769" s="25"/>
      <c r="AM1769" s="25"/>
    </row>
    <row r="1770">
      <c r="A1770" s="24"/>
      <c r="B1770" s="13"/>
      <c r="C1770" s="62"/>
      <c r="D1770" s="14"/>
      <c r="E1770" s="15"/>
      <c r="F1770" s="16"/>
      <c r="G1770" s="17" t="str">
        <f t="shared" si="61"/>
        <v/>
      </c>
      <c r="H1770" s="18" t="str">
        <f t="shared" si="73"/>
        <v/>
      </c>
      <c r="I1770" s="19" t="str">
        <f t="shared" si="65"/>
        <v/>
      </c>
      <c r="J1770" s="20" t="str">
        <f t="shared" si="25"/>
        <v/>
      </c>
      <c r="K1770" s="20"/>
      <c r="L1770" s="20"/>
      <c r="M1770" s="20"/>
      <c r="N1770" s="21"/>
      <c r="O1770" s="22" t="str">
        <f>IFERROR(__xludf.DUMMYFUNCTION("IFERROR(
  VLOOKUP(C1770,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C1770
    ), 
    7, FALSE
  ), 
  """"
)
"),"")</f>
        <v/>
      </c>
      <c r="P1770" s="22"/>
      <c r="Q1770" s="23" t="str">
        <f t="shared" si="4"/>
        <v/>
      </c>
      <c r="R1770" s="20"/>
      <c r="S1770" s="18"/>
      <c r="T1770" s="24"/>
      <c r="U1770" s="24"/>
      <c r="V1770" s="24"/>
      <c r="W1770" s="24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</row>
    <row r="1771">
      <c r="A1771" s="37"/>
      <c r="B1771" s="25"/>
      <c r="C1771" s="60"/>
      <c r="D1771" s="27"/>
      <c r="E1771" s="28"/>
      <c r="F1771" s="29"/>
      <c r="G1771" s="30" t="str">
        <f t="shared" si="61"/>
        <v/>
      </c>
      <c r="H1771" s="31" t="str">
        <f t="shared" si="73"/>
        <v/>
      </c>
      <c r="I1771" s="32" t="str">
        <f t="shared" si="65"/>
        <v/>
      </c>
      <c r="J1771" s="33" t="str">
        <f t="shared" si="25"/>
        <v/>
      </c>
      <c r="K1771" s="33"/>
      <c r="L1771" s="33"/>
      <c r="M1771" s="33"/>
      <c r="N1771" s="34"/>
      <c r="O1771" s="35" t="str">
        <f>IFERROR(__xludf.DUMMYFUNCTION("IFERROR(
  VLOOKUP(C1771,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C1771
    ), 
    7, FALSE
  ), 
  """"
)
"),"")</f>
        <v/>
      </c>
      <c r="P1771" s="35"/>
      <c r="Q1771" s="36" t="str">
        <f t="shared" si="4"/>
        <v/>
      </c>
      <c r="R1771" s="33"/>
      <c r="S1771" s="31"/>
      <c r="T1771" s="37"/>
      <c r="U1771" s="37"/>
      <c r="V1771" s="37"/>
      <c r="W1771" s="37"/>
      <c r="X1771" s="25"/>
      <c r="Y1771" s="25"/>
      <c r="Z1771" s="25"/>
      <c r="AA1771" s="25"/>
      <c r="AB1771" s="25"/>
      <c r="AC1771" s="25"/>
      <c r="AD1771" s="25"/>
      <c r="AE1771" s="25"/>
      <c r="AF1771" s="25"/>
      <c r="AG1771" s="25"/>
      <c r="AH1771" s="25"/>
      <c r="AI1771" s="25"/>
      <c r="AJ1771" s="25"/>
      <c r="AK1771" s="25"/>
      <c r="AL1771" s="25"/>
      <c r="AM1771" s="25"/>
    </row>
    <row r="1772">
      <c r="A1772" s="24"/>
      <c r="B1772" s="13"/>
      <c r="C1772" s="62"/>
      <c r="D1772" s="14"/>
      <c r="E1772" s="15"/>
      <c r="F1772" s="16"/>
      <c r="G1772" s="17" t="str">
        <f t="shared" si="61"/>
        <v/>
      </c>
      <c r="H1772" s="18" t="str">
        <f t="shared" si="73"/>
        <v/>
      </c>
      <c r="I1772" s="19" t="str">
        <f t="shared" si="65"/>
        <v/>
      </c>
      <c r="J1772" s="20" t="str">
        <f t="shared" si="25"/>
        <v/>
      </c>
      <c r="K1772" s="20"/>
      <c r="L1772" s="20"/>
      <c r="M1772" s="20"/>
      <c r="N1772" s="21"/>
      <c r="O1772" s="22" t="str">
        <f>IFERROR(__xludf.DUMMYFUNCTION("IFERROR(
  VLOOKUP(C1772,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C1772
    ), 
    7, FALSE
  ), 
  """"
)
"),"")</f>
        <v/>
      </c>
      <c r="P1772" s="22"/>
      <c r="Q1772" s="23" t="str">
        <f t="shared" si="4"/>
        <v/>
      </c>
      <c r="R1772" s="20"/>
      <c r="S1772" s="18"/>
      <c r="T1772" s="24"/>
      <c r="U1772" s="24"/>
      <c r="V1772" s="24"/>
      <c r="W1772" s="24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</row>
    <row r="1773">
      <c r="A1773" s="37"/>
      <c r="B1773" s="25"/>
      <c r="C1773" s="60"/>
      <c r="D1773" s="27"/>
      <c r="E1773" s="28"/>
      <c r="F1773" s="29"/>
      <c r="G1773" s="30" t="str">
        <f t="shared" si="61"/>
        <v/>
      </c>
      <c r="H1773" s="31" t="str">
        <f t="shared" si="73"/>
        <v/>
      </c>
      <c r="I1773" s="32" t="str">
        <f t="shared" si="65"/>
        <v/>
      </c>
      <c r="J1773" s="33" t="str">
        <f t="shared" si="25"/>
        <v/>
      </c>
      <c r="K1773" s="33"/>
      <c r="L1773" s="33"/>
      <c r="M1773" s="33"/>
      <c r="N1773" s="34"/>
      <c r="O1773" s="35" t="str">
        <f>IFERROR(__xludf.DUMMYFUNCTION("IFERROR(
  VLOOKUP(C1773,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C1773
    ), 
    7, FALSE
  ), 
  """"
)
"),"")</f>
        <v/>
      </c>
      <c r="P1773" s="35"/>
      <c r="Q1773" s="36" t="str">
        <f t="shared" si="4"/>
        <v/>
      </c>
      <c r="R1773" s="33"/>
      <c r="S1773" s="31"/>
      <c r="T1773" s="37"/>
      <c r="U1773" s="37"/>
      <c r="V1773" s="37"/>
      <c r="W1773" s="37"/>
      <c r="X1773" s="25"/>
      <c r="Y1773" s="25"/>
      <c r="Z1773" s="25"/>
      <c r="AA1773" s="25"/>
      <c r="AB1773" s="25"/>
      <c r="AC1773" s="25"/>
      <c r="AD1773" s="25"/>
      <c r="AE1773" s="25"/>
      <c r="AF1773" s="25"/>
      <c r="AG1773" s="25"/>
      <c r="AH1773" s="25"/>
      <c r="AI1773" s="25"/>
      <c r="AJ1773" s="25"/>
      <c r="AK1773" s="25"/>
      <c r="AL1773" s="25"/>
      <c r="AM1773" s="25"/>
    </row>
    <row r="1774">
      <c r="A1774" s="24"/>
      <c r="B1774" s="13"/>
      <c r="C1774" s="62"/>
      <c r="D1774" s="14"/>
      <c r="E1774" s="15"/>
      <c r="F1774" s="16"/>
      <c r="G1774" s="17" t="str">
        <f t="shared" si="61"/>
        <v/>
      </c>
      <c r="H1774" s="18" t="str">
        <f t="shared" si="73"/>
        <v/>
      </c>
      <c r="I1774" s="19" t="str">
        <f t="shared" si="65"/>
        <v/>
      </c>
      <c r="J1774" s="20" t="str">
        <f t="shared" si="25"/>
        <v/>
      </c>
      <c r="K1774" s="20"/>
      <c r="L1774" s="20"/>
      <c r="M1774" s="20"/>
      <c r="N1774" s="21"/>
      <c r="O1774" s="22" t="str">
        <f>IFERROR(__xludf.DUMMYFUNCTION("IFERROR(
  VLOOKUP(C1774,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C1774
    ), 
    7, FALSE
  ), 
  """"
)
"),"")</f>
        <v/>
      </c>
      <c r="P1774" s="22"/>
      <c r="Q1774" s="23" t="str">
        <f t="shared" si="4"/>
        <v/>
      </c>
      <c r="R1774" s="20"/>
      <c r="S1774" s="18"/>
      <c r="T1774" s="24"/>
      <c r="U1774" s="24"/>
      <c r="V1774" s="24"/>
      <c r="W1774" s="24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</row>
    <row r="1775">
      <c r="A1775" s="37"/>
      <c r="B1775" s="25"/>
      <c r="C1775" s="60"/>
      <c r="D1775" s="27"/>
      <c r="E1775" s="28"/>
      <c r="F1775" s="29"/>
      <c r="G1775" s="30" t="str">
        <f t="shared" si="61"/>
        <v/>
      </c>
      <c r="H1775" s="31" t="str">
        <f t="shared" si="73"/>
        <v/>
      </c>
      <c r="I1775" s="32" t="str">
        <f t="shared" si="65"/>
        <v/>
      </c>
      <c r="J1775" s="33" t="str">
        <f t="shared" si="25"/>
        <v/>
      </c>
      <c r="K1775" s="33"/>
      <c r="L1775" s="33"/>
      <c r="M1775" s="33"/>
      <c r="N1775" s="34"/>
      <c r="O1775" s="35" t="str">
        <f>IFERROR(__xludf.DUMMYFUNCTION("IFERROR(
  VLOOKUP(C1775,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C1775
    ), 
    7, FALSE
  ), 
  """"
)
"),"")</f>
        <v/>
      </c>
      <c r="P1775" s="35"/>
      <c r="Q1775" s="36" t="str">
        <f t="shared" si="4"/>
        <v/>
      </c>
      <c r="R1775" s="33"/>
      <c r="S1775" s="31"/>
      <c r="T1775" s="37"/>
      <c r="U1775" s="37"/>
      <c r="V1775" s="37"/>
      <c r="W1775" s="37"/>
      <c r="X1775" s="25"/>
      <c r="Y1775" s="25"/>
      <c r="Z1775" s="25"/>
      <c r="AA1775" s="25"/>
      <c r="AB1775" s="25"/>
      <c r="AC1775" s="25"/>
      <c r="AD1775" s="25"/>
      <c r="AE1775" s="25"/>
      <c r="AF1775" s="25"/>
      <c r="AG1775" s="25"/>
      <c r="AH1775" s="25"/>
      <c r="AI1775" s="25"/>
      <c r="AJ1775" s="25"/>
      <c r="AK1775" s="25"/>
      <c r="AL1775" s="25"/>
      <c r="AM1775" s="25"/>
    </row>
    <row r="1776">
      <c r="A1776" s="24"/>
      <c r="B1776" s="13"/>
      <c r="C1776" s="62"/>
      <c r="D1776" s="14"/>
      <c r="E1776" s="15"/>
      <c r="F1776" s="16"/>
      <c r="G1776" s="17" t="str">
        <f t="shared" si="61"/>
        <v/>
      </c>
      <c r="H1776" s="18" t="str">
        <f t="shared" si="73"/>
        <v/>
      </c>
      <c r="I1776" s="19" t="str">
        <f t="shared" si="65"/>
        <v/>
      </c>
      <c r="J1776" s="20" t="str">
        <f t="shared" si="25"/>
        <v/>
      </c>
      <c r="K1776" s="20"/>
      <c r="L1776" s="20"/>
      <c r="M1776" s="20"/>
      <c r="N1776" s="21"/>
      <c r="O1776" s="22" t="str">
        <f>IFERROR(__xludf.DUMMYFUNCTION("IFERROR(
  VLOOKUP(C1776,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C1776
    ), 
    7, FALSE
  ), 
  """"
)
"),"")</f>
        <v/>
      </c>
      <c r="P1776" s="22"/>
      <c r="Q1776" s="23" t="str">
        <f t="shared" si="4"/>
        <v/>
      </c>
      <c r="R1776" s="20"/>
      <c r="S1776" s="18"/>
      <c r="T1776" s="24"/>
      <c r="U1776" s="24"/>
      <c r="V1776" s="24"/>
      <c r="W1776" s="24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</row>
    <row r="1777">
      <c r="A1777" s="37"/>
      <c r="B1777" s="25"/>
      <c r="C1777" s="60"/>
      <c r="D1777" s="27"/>
      <c r="E1777" s="28"/>
      <c r="F1777" s="29"/>
      <c r="G1777" s="30" t="str">
        <f t="shared" si="61"/>
        <v/>
      </c>
      <c r="H1777" s="31" t="str">
        <f t="shared" si="73"/>
        <v/>
      </c>
      <c r="I1777" s="32" t="str">
        <f t="shared" si="65"/>
        <v/>
      </c>
      <c r="J1777" s="33" t="str">
        <f t="shared" si="25"/>
        <v/>
      </c>
      <c r="K1777" s="33"/>
      <c r="L1777" s="33"/>
      <c r="M1777" s="33"/>
      <c r="N1777" s="34"/>
      <c r="O1777" s="35" t="str">
        <f>IFERROR(__xludf.DUMMYFUNCTION("IFERROR(
  VLOOKUP(C1777,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C1777
    ), 
    7, FALSE
  ), 
  """"
)
"),"")</f>
        <v/>
      </c>
      <c r="P1777" s="35"/>
      <c r="Q1777" s="36" t="str">
        <f t="shared" si="4"/>
        <v/>
      </c>
      <c r="R1777" s="33"/>
      <c r="S1777" s="31"/>
      <c r="T1777" s="37"/>
      <c r="U1777" s="37"/>
      <c r="V1777" s="37"/>
      <c r="W1777" s="37"/>
      <c r="X1777" s="25"/>
      <c r="Y1777" s="25"/>
      <c r="Z1777" s="25"/>
      <c r="AA1777" s="25"/>
      <c r="AB1777" s="25"/>
      <c r="AC1777" s="25"/>
      <c r="AD1777" s="25"/>
      <c r="AE1777" s="25"/>
      <c r="AF1777" s="25"/>
      <c r="AG1777" s="25"/>
      <c r="AH1777" s="25"/>
      <c r="AI1777" s="25"/>
      <c r="AJ1777" s="25"/>
      <c r="AK1777" s="25"/>
      <c r="AL1777" s="25"/>
      <c r="AM1777" s="25"/>
    </row>
    <row r="1778">
      <c r="A1778" s="24"/>
      <c r="B1778" s="13"/>
      <c r="C1778" s="62"/>
      <c r="D1778" s="14"/>
      <c r="E1778" s="15"/>
      <c r="F1778" s="16"/>
      <c r="G1778" s="17" t="str">
        <f t="shared" si="61"/>
        <v/>
      </c>
      <c r="H1778" s="18" t="str">
        <f t="shared" si="73"/>
        <v/>
      </c>
      <c r="I1778" s="19" t="str">
        <f t="shared" si="65"/>
        <v/>
      </c>
      <c r="J1778" s="20" t="str">
        <f t="shared" si="25"/>
        <v/>
      </c>
      <c r="K1778" s="20"/>
      <c r="L1778" s="20"/>
      <c r="M1778" s="20"/>
      <c r="N1778" s="21"/>
      <c r="O1778" s="22" t="str">
        <f>IFERROR(__xludf.DUMMYFUNCTION("IFERROR(
  VLOOKUP(C1778,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C1778
    ), 
    7, FALSE
  ), 
  """"
)
"),"")</f>
        <v/>
      </c>
      <c r="P1778" s="22"/>
      <c r="Q1778" s="23" t="str">
        <f t="shared" si="4"/>
        <v/>
      </c>
      <c r="R1778" s="20"/>
      <c r="S1778" s="18"/>
      <c r="T1778" s="24"/>
      <c r="U1778" s="24"/>
      <c r="V1778" s="24"/>
      <c r="W1778" s="24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  <c r="AH1778" s="13"/>
      <c r="AI1778" s="13"/>
      <c r="AJ1778" s="13"/>
      <c r="AK1778" s="13"/>
      <c r="AL1778" s="13"/>
      <c r="AM1778" s="13"/>
    </row>
    <row r="1779">
      <c r="A1779" s="37"/>
      <c r="B1779" s="25"/>
      <c r="C1779" s="60"/>
      <c r="D1779" s="27"/>
      <c r="E1779" s="28"/>
      <c r="F1779" s="29"/>
      <c r="G1779" s="30" t="str">
        <f t="shared" si="61"/>
        <v/>
      </c>
      <c r="H1779" s="31" t="str">
        <f t="shared" si="73"/>
        <v/>
      </c>
      <c r="I1779" s="32" t="str">
        <f t="shared" si="65"/>
        <v/>
      </c>
      <c r="J1779" s="33" t="str">
        <f t="shared" si="25"/>
        <v/>
      </c>
      <c r="K1779" s="33"/>
      <c r="L1779" s="33"/>
      <c r="M1779" s="33"/>
      <c r="N1779" s="34"/>
      <c r="O1779" s="35" t="str">
        <f>IFERROR(__xludf.DUMMYFUNCTION("IFERROR(
  VLOOKUP(C1779,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C1779
    ), 
    7, FALSE
  ), 
  """"
)
"),"")</f>
        <v/>
      </c>
      <c r="P1779" s="35"/>
      <c r="Q1779" s="36" t="str">
        <f t="shared" si="4"/>
        <v/>
      </c>
      <c r="R1779" s="33"/>
      <c r="S1779" s="31"/>
      <c r="T1779" s="37"/>
      <c r="U1779" s="37"/>
      <c r="V1779" s="37"/>
      <c r="W1779" s="37"/>
      <c r="X1779" s="25"/>
      <c r="Y1779" s="25"/>
      <c r="Z1779" s="25"/>
      <c r="AA1779" s="25"/>
      <c r="AB1779" s="25"/>
      <c r="AC1779" s="25"/>
      <c r="AD1779" s="25"/>
      <c r="AE1779" s="25"/>
      <c r="AF1779" s="25"/>
      <c r="AG1779" s="25"/>
      <c r="AH1779" s="25"/>
      <c r="AI1779" s="25"/>
      <c r="AJ1779" s="25"/>
      <c r="AK1779" s="25"/>
      <c r="AL1779" s="25"/>
      <c r="AM1779" s="25"/>
    </row>
    <row r="1780">
      <c r="A1780" s="24"/>
      <c r="B1780" s="13"/>
      <c r="C1780" s="62"/>
      <c r="D1780" s="14"/>
      <c r="E1780" s="15"/>
      <c r="F1780" s="16"/>
      <c r="G1780" s="17" t="str">
        <f t="shared" si="61"/>
        <v/>
      </c>
      <c r="H1780" s="18" t="str">
        <f t="shared" si="73"/>
        <v/>
      </c>
      <c r="I1780" s="19" t="str">
        <f t="shared" si="65"/>
        <v/>
      </c>
      <c r="J1780" s="20" t="str">
        <f t="shared" si="25"/>
        <v/>
      </c>
      <c r="K1780" s="20"/>
      <c r="L1780" s="20"/>
      <c r="M1780" s="20"/>
      <c r="N1780" s="21"/>
      <c r="O1780" s="22" t="str">
        <f>IFERROR(__xludf.DUMMYFUNCTION("IFERROR(
  VLOOKUP(C1780,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C1780
    ), 
    7, FALSE
  ), 
  """"
)
"),"")</f>
        <v/>
      </c>
      <c r="P1780" s="22"/>
      <c r="Q1780" s="23" t="str">
        <f t="shared" si="4"/>
        <v/>
      </c>
      <c r="R1780" s="20"/>
      <c r="S1780" s="18"/>
      <c r="T1780" s="24"/>
      <c r="U1780" s="24"/>
      <c r="V1780" s="24"/>
      <c r="W1780" s="24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/>
      <c r="AL1780" s="13"/>
      <c r="AM1780" s="13"/>
    </row>
    <row r="1781">
      <c r="A1781" s="37"/>
      <c r="B1781" s="25"/>
      <c r="C1781" s="60"/>
      <c r="D1781" s="27"/>
      <c r="E1781" s="28"/>
      <c r="F1781" s="29"/>
      <c r="G1781" s="30" t="str">
        <f t="shared" si="61"/>
        <v/>
      </c>
      <c r="H1781" s="31" t="str">
        <f t="shared" si="73"/>
        <v/>
      </c>
      <c r="I1781" s="32" t="str">
        <f t="shared" si="65"/>
        <v/>
      </c>
      <c r="J1781" s="33" t="str">
        <f t="shared" si="25"/>
        <v/>
      </c>
      <c r="K1781" s="33"/>
      <c r="L1781" s="33"/>
      <c r="M1781" s="33"/>
      <c r="N1781" s="34"/>
      <c r="O1781" s="35" t="str">
        <f>IFERROR(__xludf.DUMMYFUNCTION("IFERROR(
  VLOOKUP(C1781,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C1781
    ), 
    7, FALSE
  ), 
  """"
)
"),"")</f>
        <v/>
      </c>
      <c r="P1781" s="35"/>
      <c r="Q1781" s="36" t="str">
        <f t="shared" si="4"/>
        <v/>
      </c>
      <c r="R1781" s="33"/>
      <c r="S1781" s="31"/>
      <c r="T1781" s="37"/>
      <c r="U1781" s="37"/>
      <c r="V1781" s="37"/>
      <c r="W1781" s="37"/>
      <c r="X1781" s="25"/>
      <c r="Y1781" s="25"/>
      <c r="Z1781" s="25"/>
      <c r="AA1781" s="25"/>
      <c r="AB1781" s="25"/>
      <c r="AC1781" s="25"/>
      <c r="AD1781" s="25"/>
      <c r="AE1781" s="25"/>
      <c r="AF1781" s="25"/>
      <c r="AG1781" s="25"/>
      <c r="AH1781" s="25"/>
      <c r="AI1781" s="25"/>
      <c r="AJ1781" s="25"/>
      <c r="AK1781" s="25"/>
      <c r="AL1781" s="25"/>
      <c r="AM1781" s="25"/>
    </row>
    <row r="1782">
      <c r="A1782" s="24"/>
      <c r="B1782" s="13"/>
      <c r="C1782" s="62"/>
      <c r="D1782" s="14"/>
      <c r="E1782" s="15"/>
      <c r="F1782" s="16"/>
      <c r="G1782" s="17" t="str">
        <f t="shared" si="61"/>
        <v/>
      </c>
      <c r="H1782" s="18" t="str">
        <f t="shared" si="73"/>
        <v/>
      </c>
      <c r="I1782" s="19" t="str">
        <f t="shared" si="65"/>
        <v/>
      </c>
      <c r="J1782" s="20" t="str">
        <f t="shared" si="25"/>
        <v/>
      </c>
      <c r="K1782" s="20"/>
      <c r="L1782" s="20"/>
      <c r="M1782" s="20"/>
      <c r="N1782" s="21"/>
      <c r="O1782" s="22" t="str">
        <f>IFERROR(__xludf.DUMMYFUNCTION("IFERROR(
  VLOOKUP(C1782,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C1782
    ), 
    7, FALSE
  ), 
  """"
)
"),"")</f>
        <v/>
      </c>
      <c r="P1782" s="22"/>
      <c r="Q1782" s="23" t="str">
        <f t="shared" si="4"/>
        <v/>
      </c>
      <c r="R1782" s="20"/>
      <c r="S1782" s="18"/>
      <c r="T1782" s="24"/>
      <c r="U1782" s="24"/>
      <c r="V1782" s="24"/>
      <c r="W1782" s="24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  <c r="AH1782" s="13"/>
      <c r="AI1782" s="13"/>
      <c r="AJ1782" s="13"/>
      <c r="AK1782" s="13"/>
      <c r="AL1782" s="13"/>
      <c r="AM1782" s="13"/>
    </row>
    <row r="1783">
      <c r="A1783" s="37"/>
      <c r="B1783" s="25"/>
      <c r="C1783" s="60"/>
      <c r="D1783" s="27"/>
      <c r="E1783" s="28"/>
      <c r="F1783" s="29"/>
      <c r="G1783" s="30" t="str">
        <f t="shared" si="61"/>
        <v/>
      </c>
      <c r="H1783" s="31" t="str">
        <f t="shared" si="73"/>
        <v/>
      </c>
      <c r="I1783" s="32" t="str">
        <f t="shared" si="65"/>
        <v/>
      </c>
      <c r="J1783" s="33" t="str">
        <f t="shared" si="25"/>
        <v/>
      </c>
      <c r="K1783" s="33"/>
      <c r="L1783" s="33"/>
      <c r="M1783" s="33"/>
      <c r="N1783" s="34"/>
      <c r="O1783" s="35" t="str">
        <f>IFERROR(__xludf.DUMMYFUNCTION("IFERROR(
  VLOOKUP(C1783,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C1783
    ), 
    7, FALSE
  ), 
  """"
)
"),"")</f>
        <v/>
      </c>
      <c r="P1783" s="35"/>
      <c r="Q1783" s="36" t="str">
        <f t="shared" si="4"/>
        <v/>
      </c>
      <c r="R1783" s="33"/>
      <c r="S1783" s="31"/>
      <c r="T1783" s="37"/>
      <c r="U1783" s="37"/>
      <c r="V1783" s="37"/>
      <c r="W1783" s="37"/>
      <c r="X1783" s="25"/>
      <c r="Y1783" s="25"/>
      <c r="Z1783" s="25"/>
      <c r="AA1783" s="25"/>
      <c r="AB1783" s="25"/>
      <c r="AC1783" s="25"/>
      <c r="AD1783" s="25"/>
      <c r="AE1783" s="25"/>
      <c r="AF1783" s="25"/>
      <c r="AG1783" s="25"/>
      <c r="AH1783" s="25"/>
      <c r="AI1783" s="25"/>
      <c r="AJ1783" s="25"/>
      <c r="AK1783" s="25"/>
      <c r="AL1783" s="25"/>
      <c r="AM1783" s="25"/>
    </row>
    <row r="1784">
      <c r="A1784" s="24"/>
      <c r="B1784" s="13"/>
      <c r="C1784" s="62"/>
      <c r="D1784" s="14"/>
      <c r="E1784" s="15"/>
      <c r="F1784" s="16"/>
      <c r="G1784" s="17" t="str">
        <f t="shared" si="61"/>
        <v/>
      </c>
      <c r="H1784" s="18" t="str">
        <f t="shared" si="73"/>
        <v/>
      </c>
      <c r="I1784" s="19" t="str">
        <f t="shared" si="65"/>
        <v/>
      </c>
      <c r="J1784" s="20" t="str">
        <f t="shared" si="25"/>
        <v/>
      </c>
      <c r="K1784" s="20"/>
      <c r="L1784" s="20"/>
      <c r="M1784" s="20"/>
      <c r="N1784" s="21"/>
      <c r="O1784" s="22" t="str">
        <f>IFERROR(__xludf.DUMMYFUNCTION("IFERROR(
  VLOOKUP(C1784,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C1784
    ), 
    7, FALSE
  ), 
  """"
)
"),"")</f>
        <v/>
      </c>
      <c r="P1784" s="22"/>
      <c r="Q1784" s="23" t="str">
        <f t="shared" si="4"/>
        <v/>
      </c>
      <c r="R1784" s="20"/>
      <c r="S1784" s="18"/>
      <c r="T1784" s="24"/>
      <c r="U1784" s="24"/>
      <c r="V1784" s="24"/>
      <c r="W1784" s="24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</row>
    <row r="1785">
      <c r="A1785" s="37"/>
      <c r="B1785" s="25"/>
      <c r="C1785" s="60"/>
      <c r="D1785" s="27"/>
      <c r="E1785" s="28"/>
      <c r="F1785" s="29"/>
      <c r="G1785" s="30" t="str">
        <f t="shared" si="61"/>
        <v/>
      </c>
      <c r="H1785" s="31" t="str">
        <f t="shared" si="73"/>
        <v/>
      </c>
      <c r="I1785" s="32" t="str">
        <f t="shared" si="65"/>
        <v/>
      </c>
      <c r="J1785" s="33" t="str">
        <f t="shared" si="25"/>
        <v/>
      </c>
      <c r="K1785" s="33"/>
      <c r="L1785" s="33"/>
      <c r="M1785" s="33"/>
      <c r="N1785" s="34"/>
      <c r="O1785" s="35" t="str">
        <f>IFERROR(__xludf.DUMMYFUNCTION("IFERROR(
  VLOOKUP(C1785,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C1785
    ), 
    7, FALSE
  ), 
  """"
)
"),"")</f>
        <v/>
      </c>
      <c r="P1785" s="35"/>
      <c r="Q1785" s="36" t="str">
        <f t="shared" si="4"/>
        <v/>
      </c>
      <c r="R1785" s="33"/>
      <c r="S1785" s="31"/>
      <c r="T1785" s="37"/>
      <c r="U1785" s="37"/>
      <c r="V1785" s="37"/>
      <c r="W1785" s="37"/>
      <c r="X1785" s="25"/>
      <c r="Y1785" s="25"/>
      <c r="Z1785" s="25"/>
      <c r="AA1785" s="25"/>
      <c r="AB1785" s="25"/>
      <c r="AC1785" s="25"/>
      <c r="AD1785" s="25"/>
      <c r="AE1785" s="25"/>
      <c r="AF1785" s="25"/>
      <c r="AG1785" s="25"/>
      <c r="AH1785" s="25"/>
      <c r="AI1785" s="25"/>
      <c r="AJ1785" s="25"/>
      <c r="AK1785" s="25"/>
      <c r="AL1785" s="25"/>
      <c r="AM1785" s="25"/>
    </row>
    <row r="1786">
      <c r="A1786" s="24"/>
      <c r="B1786" s="13"/>
      <c r="C1786" s="62"/>
      <c r="D1786" s="14"/>
      <c r="E1786" s="15"/>
      <c r="F1786" s="16"/>
      <c r="G1786" s="17" t="str">
        <f t="shared" si="61"/>
        <v/>
      </c>
      <c r="H1786" s="18" t="str">
        <f t="shared" si="73"/>
        <v/>
      </c>
      <c r="I1786" s="19" t="str">
        <f t="shared" si="65"/>
        <v/>
      </c>
      <c r="J1786" s="20" t="str">
        <f t="shared" si="25"/>
        <v/>
      </c>
      <c r="K1786" s="20"/>
      <c r="L1786" s="20"/>
      <c r="M1786" s="20"/>
      <c r="N1786" s="21"/>
      <c r="O1786" s="22" t="str">
        <f>IFERROR(__xludf.DUMMYFUNCTION("IFERROR(
  VLOOKUP(C1786,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C1786
    ), 
    7, FALSE
  ), 
  """"
)
"),"")</f>
        <v/>
      </c>
      <c r="P1786" s="22"/>
      <c r="Q1786" s="23" t="str">
        <f t="shared" si="4"/>
        <v/>
      </c>
      <c r="R1786" s="20"/>
      <c r="S1786" s="18"/>
      <c r="T1786" s="24"/>
      <c r="U1786" s="24"/>
      <c r="V1786" s="24"/>
      <c r="W1786" s="24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</row>
    <row r="1787">
      <c r="A1787" s="37"/>
      <c r="B1787" s="25"/>
      <c r="C1787" s="60"/>
      <c r="D1787" s="27"/>
      <c r="E1787" s="28"/>
      <c r="F1787" s="29"/>
      <c r="G1787" s="30" t="str">
        <f t="shared" si="61"/>
        <v/>
      </c>
      <c r="H1787" s="31" t="str">
        <f t="shared" si="73"/>
        <v/>
      </c>
      <c r="I1787" s="32" t="str">
        <f t="shared" si="65"/>
        <v/>
      </c>
      <c r="J1787" s="33" t="str">
        <f t="shared" si="25"/>
        <v/>
      </c>
      <c r="K1787" s="33"/>
      <c r="L1787" s="33"/>
      <c r="M1787" s="33"/>
      <c r="N1787" s="34"/>
      <c r="O1787" s="35" t="str">
        <f>IFERROR(__xludf.DUMMYFUNCTION("IFERROR(
  VLOOKUP(C1787,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C1787
    ), 
    7, FALSE
  ), 
  """"
)
"),"")</f>
        <v/>
      </c>
      <c r="P1787" s="35"/>
      <c r="Q1787" s="36" t="str">
        <f t="shared" si="4"/>
        <v/>
      </c>
      <c r="R1787" s="33"/>
      <c r="S1787" s="31"/>
      <c r="T1787" s="37"/>
      <c r="U1787" s="37"/>
      <c r="V1787" s="37"/>
      <c r="W1787" s="37"/>
      <c r="X1787" s="25"/>
      <c r="Y1787" s="25"/>
      <c r="Z1787" s="25"/>
      <c r="AA1787" s="25"/>
      <c r="AB1787" s="25"/>
      <c r="AC1787" s="25"/>
      <c r="AD1787" s="25"/>
      <c r="AE1787" s="25"/>
      <c r="AF1787" s="25"/>
      <c r="AG1787" s="25"/>
      <c r="AH1787" s="25"/>
      <c r="AI1787" s="25"/>
      <c r="AJ1787" s="25"/>
      <c r="AK1787" s="25"/>
      <c r="AL1787" s="25"/>
      <c r="AM1787" s="25"/>
    </row>
    <row r="1788">
      <c r="A1788" s="24"/>
      <c r="B1788" s="13"/>
      <c r="C1788" s="62"/>
      <c r="D1788" s="14"/>
      <c r="E1788" s="15"/>
      <c r="F1788" s="16"/>
      <c r="G1788" s="17" t="str">
        <f t="shared" si="61"/>
        <v/>
      </c>
      <c r="H1788" s="18" t="str">
        <f t="shared" si="73"/>
        <v/>
      </c>
      <c r="I1788" s="19" t="str">
        <f t="shared" si="65"/>
        <v/>
      </c>
      <c r="J1788" s="20" t="str">
        <f t="shared" si="25"/>
        <v/>
      </c>
      <c r="K1788" s="20"/>
      <c r="L1788" s="20"/>
      <c r="M1788" s="20"/>
      <c r="N1788" s="21"/>
      <c r="O1788" s="22" t="str">
        <f>IFERROR(__xludf.DUMMYFUNCTION("IFERROR(
  VLOOKUP(C1788,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C1788
    ), 
    7, FALSE
  ), 
  """"
)
"),"")</f>
        <v/>
      </c>
      <c r="P1788" s="22"/>
      <c r="Q1788" s="23" t="str">
        <f t="shared" si="4"/>
        <v/>
      </c>
      <c r="R1788" s="20"/>
      <c r="S1788" s="18"/>
      <c r="T1788" s="24"/>
      <c r="U1788" s="24"/>
      <c r="V1788" s="24"/>
      <c r="W1788" s="24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</row>
    <row r="1789">
      <c r="A1789" s="37"/>
      <c r="B1789" s="25"/>
      <c r="C1789" s="60"/>
      <c r="D1789" s="27"/>
      <c r="E1789" s="28"/>
      <c r="F1789" s="29"/>
      <c r="G1789" s="30" t="str">
        <f t="shared" si="61"/>
        <v/>
      </c>
      <c r="H1789" s="31" t="str">
        <f t="shared" si="73"/>
        <v/>
      </c>
      <c r="I1789" s="32" t="str">
        <f t="shared" si="65"/>
        <v/>
      </c>
      <c r="J1789" s="33" t="str">
        <f t="shared" si="25"/>
        <v/>
      </c>
      <c r="K1789" s="33"/>
      <c r="L1789" s="33"/>
      <c r="M1789" s="33"/>
      <c r="N1789" s="34"/>
      <c r="O1789" s="35" t="str">
        <f>IFERROR(__xludf.DUMMYFUNCTION("IFERROR(
  VLOOKUP(C1789,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C1789
    ), 
    7, FALSE
  ), 
  """"
)
"),"")</f>
        <v/>
      </c>
      <c r="P1789" s="35"/>
      <c r="Q1789" s="36" t="str">
        <f t="shared" si="4"/>
        <v/>
      </c>
      <c r="R1789" s="33"/>
      <c r="S1789" s="31"/>
      <c r="T1789" s="37"/>
      <c r="U1789" s="37"/>
      <c r="V1789" s="37"/>
      <c r="W1789" s="37"/>
      <c r="X1789" s="25"/>
      <c r="Y1789" s="25"/>
      <c r="Z1789" s="25"/>
      <c r="AA1789" s="25"/>
      <c r="AB1789" s="25"/>
      <c r="AC1789" s="25"/>
      <c r="AD1789" s="25"/>
      <c r="AE1789" s="25"/>
      <c r="AF1789" s="25"/>
      <c r="AG1789" s="25"/>
      <c r="AH1789" s="25"/>
      <c r="AI1789" s="25"/>
      <c r="AJ1789" s="25"/>
      <c r="AK1789" s="25"/>
      <c r="AL1789" s="25"/>
      <c r="AM1789" s="25"/>
    </row>
    <row r="1790">
      <c r="A1790" s="24"/>
      <c r="B1790" s="13"/>
      <c r="C1790" s="62"/>
      <c r="D1790" s="14"/>
      <c r="E1790" s="15"/>
      <c r="F1790" s="16"/>
      <c r="G1790" s="17" t="str">
        <f t="shared" si="61"/>
        <v/>
      </c>
      <c r="H1790" s="18" t="str">
        <f t="shared" si="73"/>
        <v/>
      </c>
      <c r="I1790" s="19" t="str">
        <f t="shared" si="65"/>
        <v/>
      </c>
      <c r="J1790" s="20" t="str">
        <f t="shared" si="25"/>
        <v/>
      </c>
      <c r="K1790" s="20"/>
      <c r="L1790" s="20"/>
      <c r="M1790" s="20"/>
      <c r="N1790" s="21"/>
      <c r="O1790" s="22" t="str">
        <f>IFERROR(__xludf.DUMMYFUNCTION("IFERROR(
  VLOOKUP(C1790,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C1790
    ), 
    7, FALSE
  ), 
  """"
)
"),"")</f>
        <v/>
      </c>
      <c r="P1790" s="22"/>
      <c r="Q1790" s="23" t="str">
        <f t="shared" si="4"/>
        <v/>
      </c>
      <c r="R1790" s="20"/>
      <c r="S1790" s="18"/>
      <c r="T1790" s="24"/>
      <c r="U1790" s="24"/>
      <c r="V1790" s="24"/>
      <c r="W1790" s="24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13"/>
      <c r="AK1790" s="13"/>
      <c r="AL1790" s="13"/>
      <c r="AM1790" s="13"/>
    </row>
    <row r="1791">
      <c r="A1791" s="37"/>
      <c r="B1791" s="25"/>
      <c r="C1791" s="60"/>
      <c r="D1791" s="27"/>
      <c r="E1791" s="28"/>
      <c r="F1791" s="29"/>
      <c r="G1791" s="30" t="str">
        <f t="shared" si="61"/>
        <v/>
      </c>
      <c r="H1791" s="31" t="str">
        <f t="shared" si="73"/>
        <v/>
      </c>
      <c r="I1791" s="32" t="str">
        <f t="shared" si="65"/>
        <v/>
      </c>
      <c r="J1791" s="33" t="str">
        <f t="shared" si="25"/>
        <v/>
      </c>
      <c r="K1791" s="33"/>
      <c r="L1791" s="33"/>
      <c r="M1791" s="33"/>
      <c r="N1791" s="34"/>
      <c r="O1791" s="35" t="str">
        <f>IFERROR(__xludf.DUMMYFUNCTION("IFERROR(
  VLOOKUP(C1791,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C1791
    ), 
    7, FALSE
  ), 
  """"
)
"),"")</f>
        <v/>
      </c>
      <c r="P1791" s="35"/>
      <c r="Q1791" s="36" t="str">
        <f t="shared" si="4"/>
        <v/>
      </c>
      <c r="R1791" s="33"/>
      <c r="S1791" s="31"/>
      <c r="T1791" s="37"/>
      <c r="U1791" s="37"/>
      <c r="V1791" s="37"/>
      <c r="W1791" s="37"/>
      <c r="X1791" s="25"/>
      <c r="Y1791" s="25"/>
      <c r="Z1791" s="25"/>
      <c r="AA1791" s="25"/>
      <c r="AB1791" s="25"/>
      <c r="AC1791" s="25"/>
      <c r="AD1791" s="25"/>
      <c r="AE1791" s="25"/>
      <c r="AF1791" s="25"/>
      <c r="AG1791" s="25"/>
      <c r="AH1791" s="25"/>
      <c r="AI1791" s="25"/>
      <c r="AJ1791" s="25"/>
      <c r="AK1791" s="25"/>
      <c r="AL1791" s="25"/>
      <c r="AM1791" s="25"/>
    </row>
    <row r="1792">
      <c r="A1792" s="24"/>
      <c r="B1792" s="13"/>
      <c r="C1792" s="62"/>
      <c r="D1792" s="14"/>
      <c r="E1792" s="15"/>
      <c r="F1792" s="16"/>
      <c r="G1792" s="17" t="str">
        <f t="shared" si="61"/>
        <v/>
      </c>
      <c r="H1792" s="18" t="str">
        <f t="shared" si="73"/>
        <v/>
      </c>
      <c r="I1792" s="19" t="str">
        <f t="shared" si="65"/>
        <v/>
      </c>
      <c r="J1792" s="20" t="str">
        <f t="shared" si="25"/>
        <v/>
      </c>
      <c r="K1792" s="20"/>
      <c r="L1792" s="20"/>
      <c r="M1792" s="20"/>
      <c r="N1792" s="21"/>
      <c r="O1792" s="22" t="str">
        <f>IFERROR(__xludf.DUMMYFUNCTION("IFERROR(
  VLOOKUP(C1792,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C1792
    ), 
    7, FALSE
  ), 
  """"
)
"),"")</f>
        <v/>
      </c>
      <c r="P1792" s="22"/>
      <c r="Q1792" s="23" t="str">
        <f t="shared" si="4"/>
        <v/>
      </c>
      <c r="R1792" s="20"/>
      <c r="S1792" s="18"/>
      <c r="T1792" s="24"/>
      <c r="U1792" s="24"/>
      <c r="V1792" s="24"/>
      <c r="W1792" s="24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</row>
    <row r="1793">
      <c r="A1793" s="37"/>
      <c r="B1793" s="25"/>
      <c r="C1793" s="60"/>
      <c r="D1793" s="27"/>
      <c r="E1793" s="28"/>
      <c r="F1793" s="29"/>
      <c r="G1793" s="30" t="str">
        <f t="shared" si="61"/>
        <v/>
      </c>
      <c r="H1793" s="31" t="str">
        <f t="shared" si="73"/>
        <v/>
      </c>
      <c r="I1793" s="32" t="str">
        <f t="shared" si="65"/>
        <v/>
      </c>
      <c r="J1793" s="33" t="str">
        <f t="shared" si="25"/>
        <v/>
      </c>
      <c r="K1793" s="33"/>
      <c r="L1793" s="33"/>
      <c r="M1793" s="33"/>
      <c r="N1793" s="34"/>
      <c r="O1793" s="35" t="str">
        <f>IFERROR(__xludf.DUMMYFUNCTION("IFERROR(
  VLOOKUP(C1793,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C1793
    ), 
    7, FALSE
  ), 
  """"
)
"),"")</f>
        <v/>
      </c>
      <c r="P1793" s="35"/>
      <c r="Q1793" s="36" t="str">
        <f t="shared" si="4"/>
        <v/>
      </c>
      <c r="R1793" s="33"/>
      <c r="S1793" s="31"/>
      <c r="T1793" s="37"/>
      <c r="U1793" s="37"/>
      <c r="V1793" s="37"/>
      <c r="W1793" s="37"/>
      <c r="X1793" s="25"/>
      <c r="Y1793" s="25"/>
      <c r="Z1793" s="25"/>
      <c r="AA1793" s="25"/>
      <c r="AB1793" s="25"/>
      <c r="AC1793" s="25"/>
      <c r="AD1793" s="25"/>
      <c r="AE1793" s="25"/>
      <c r="AF1793" s="25"/>
      <c r="AG1793" s="25"/>
      <c r="AH1793" s="25"/>
      <c r="AI1793" s="25"/>
      <c r="AJ1793" s="25"/>
      <c r="AK1793" s="25"/>
      <c r="AL1793" s="25"/>
      <c r="AM1793" s="25"/>
    </row>
    <row r="1794">
      <c r="A1794" s="24"/>
      <c r="B1794" s="13"/>
      <c r="C1794" s="62"/>
      <c r="D1794" s="14"/>
      <c r="E1794" s="15"/>
      <c r="F1794" s="16"/>
      <c r="G1794" s="17" t="str">
        <f t="shared" si="61"/>
        <v/>
      </c>
      <c r="H1794" s="18" t="str">
        <f t="shared" si="73"/>
        <v/>
      </c>
      <c r="I1794" s="19" t="str">
        <f t="shared" si="65"/>
        <v/>
      </c>
      <c r="J1794" s="20" t="str">
        <f t="shared" si="25"/>
        <v/>
      </c>
      <c r="K1794" s="20"/>
      <c r="L1794" s="20"/>
      <c r="M1794" s="20"/>
      <c r="N1794" s="21"/>
      <c r="O1794" s="22" t="str">
        <f>IFERROR(__xludf.DUMMYFUNCTION("IFERROR(
  VLOOKUP(C1794,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C1794
    ), 
    7, FALSE
  ), 
  """"
)
"),"")</f>
        <v/>
      </c>
      <c r="P1794" s="22"/>
      <c r="Q1794" s="23" t="str">
        <f t="shared" si="4"/>
        <v/>
      </c>
      <c r="R1794" s="20"/>
      <c r="S1794" s="18"/>
      <c r="T1794" s="24"/>
      <c r="U1794" s="24"/>
      <c r="V1794" s="24"/>
      <c r="W1794" s="24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</row>
    <row r="1795">
      <c r="A1795" s="37"/>
      <c r="B1795" s="25"/>
      <c r="C1795" s="60"/>
      <c r="D1795" s="27"/>
      <c r="E1795" s="28"/>
      <c r="F1795" s="29"/>
      <c r="G1795" s="30" t="str">
        <f t="shared" si="61"/>
        <v/>
      </c>
      <c r="H1795" s="31" t="str">
        <f t="shared" si="73"/>
        <v/>
      </c>
      <c r="I1795" s="32" t="str">
        <f t="shared" si="65"/>
        <v/>
      </c>
      <c r="J1795" s="33" t="str">
        <f t="shared" si="25"/>
        <v/>
      </c>
      <c r="K1795" s="33"/>
      <c r="L1795" s="33"/>
      <c r="M1795" s="33"/>
      <c r="N1795" s="34"/>
      <c r="O1795" s="35" t="str">
        <f>IFERROR(__xludf.DUMMYFUNCTION("IFERROR(
  VLOOKUP(C1795,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C1795
    ), 
    7, FALSE
  ), 
  """"
)
"),"")</f>
        <v/>
      </c>
      <c r="P1795" s="35"/>
      <c r="Q1795" s="36" t="str">
        <f t="shared" si="4"/>
        <v/>
      </c>
      <c r="R1795" s="33"/>
      <c r="S1795" s="31"/>
      <c r="T1795" s="37"/>
      <c r="U1795" s="37"/>
      <c r="V1795" s="37"/>
      <c r="W1795" s="37"/>
      <c r="X1795" s="25"/>
      <c r="Y1795" s="25"/>
      <c r="Z1795" s="25"/>
      <c r="AA1795" s="25"/>
      <c r="AB1795" s="25"/>
      <c r="AC1795" s="25"/>
      <c r="AD1795" s="25"/>
      <c r="AE1795" s="25"/>
      <c r="AF1795" s="25"/>
      <c r="AG1795" s="25"/>
      <c r="AH1795" s="25"/>
      <c r="AI1795" s="25"/>
      <c r="AJ1795" s="25"/>
      <c r="AK1795" s="25"/>
      <c r="AL1795" s="25"/>
      <c r="AM1795" s="25"/>
    </row>
    <row r="1796">
      <c r="A1796" s="24"/>
      <c r="B1796" s="13"/>
      <c r="C1796" s="62"/>
      <c r="D1796" s="14"/>
      <c r="E1796" s="15"/>
      <c r="F1796" s="16"/>
      <c r="G1796" s="17" t="str">
        <f t="shared" si="61"/>
        <v/>
      </c>
      <c r="H1796" s="18" t="str">
        <f t="shared" si="73"/>
        <v/>
      </c>
      <c r="I1796" s="19" t="str">
        <f t="shared" si="65"/>
        <v/>
      </c>
      <c r="J1796" s="20" t="str">
        <f t="shared" si="25"/>
        <v/>
      </c>
      <c r="K1796" s="20"/>
      <c r="L1796" s="20"/>
      <c r="M1796" s="20"/>
      <c r="N1796" s="21"/>
      <c r="O1796" s="22" t="str">
        <f>IFERROR(__xludf.DUMMYFUNCTION("IFERROR(
  VLOOKUP(C1796,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C1796
    ), 
    7, FALSE
  ), 
  """"
)
"),"")</f>
        <v/>
      </c>
      <c r="P1796" s="22"/>
      <c r="Q1796" s="23" t="str">
        <f t="shared" si="4"/>
        <v/>
      </c>
      <c r="R1796" s="20"/>
      <c r="S1796" s="18"/>
      <c r="T1796" s="24"/>
      <c r="U1796" s="24"/>
      <c r="V1796" s="24"/>
      <c r="W1796" s="24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</row>
    <row r="1797">
      <c r="A1797" s="37"/>
      <c r="B1797" s="25"/>
      <c r="C1797" s="60"/>
      <c r="D1797" s="27"/>
      <c r="E1797" s="28"/>
      <c r="F1797" s="29"/>
      <c r="G1797" s="30" t="str">
        <f t="shared" si="61"/>
        <v/>
      </c>
      <c r="H1797" s="31" t="str">
        <f t="shared" si="73"/>
        <v/>
      </c>
      <c r="I1797" s="32" t="str">
        <f t="shared" si="65"/>
        <v/>
      </c>
      <c r="J1797" s="33" t="str">
        <f t="shared" si="25"/>
        <v/>
      </c>
      <c r="K1797" s="33"/>
      <c r="L1797" s="33"/>
      <c r="M1797" s="33"/>
      <c r="N1797" s="34"/>
      <c r="O1797" s="35" t="str">
        <f>IFERROR(__xludf.DUMMYFUNCTION("IFERROR(
  VLOOKUP(C1797,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C1797
    ), 
    7, FALSE
  ), 
  """"
)
"),"")</f>
        <v/>
      </c>
      <c r="P1797" s="35"/>
      <c r="Q1797" s="36" t="str">
        <f t="shared" si="4"/>
        <v/>
      </c>
      <c r="R1797" s="33"/>
      <c r="S1797" s="31"/>
      <c r="T1797" s="37"/>
      <c r="U1797" s="37"/>
      <c r="V1797" s="37"/>
      <c r="W1797" s="37"/>
      <c r="X1797" s="25"/>
      <c r="Y1797" s="25"/>
      <c r="Z1797" s="25"/>
      <c r="AA1797" s="25"/>
      <c r="AB1797" s="25"/>
      <c r="AC1797" s="25"/>
      <c r="AD1797" s="25"/>
      <c r="AE1797" s="25"/>
      <c r="AF1797" s="25"/>
      <c r="AG1797" s="25"/>
      <c r="AH1797" s="25"/>
      <c r="AI1797" s="25"/>
      <c r="AJ1797" s="25"/>
      <c r="AK1797" s="25"/>
      <c r="AL1797" s="25"/>
      <c r="AM1797" s="25"/>
    </row>
    <row r="1798">
      <c r="A1798" s="24"/>
      <c r="B1798" s="13"/>
      <c r="C1798" s="62"/>
      <c r="D1798" s="14"/>
      <c r="E1798" s="15"/>
      <c r="F1798" s="16"/>
      <c r="G1798" s="17" t="str">
        <f t="shared" si="61"/>
        <v/>
      </c>
      <c r="H1798" s="18" t="str">
        <f t="shared" si="73"/>
        <v/>
      </c>
      <c r="I1798" s="19" t="str">
        <f t="shared" si="65"/>
        <v/>
      </c>
      <c r="J1798" s="20" t="str">
        <f t="shared" si="25"/>
        <v/>
      </c>
      <c r="K1798" s="20"/>
      <c r="L1798" s="20"/>
      <c r="M1798" s="20"/>
      <c r="N1798" s="21"/>
      <c r="O1798" s="22" t="str">
        <f>IFERROR(__xludf.DUMMYFUNCTION("IFERROR(
  VLOOKUP(C1798,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C1798
    ), 
    7, FALSE
  ), 
  """"
)
"),"")</f>
        <v/>
      </c>
      <c r="P1798" s="22"/>
      <c r="Q1798" s="23" t="str">
        <f t="shared" si="4"/>
        <v/>
      </c>
      <c r="R1798" s="20"/>
      <c r="S1798" s="18"/>
      <c r="T1798" s="24"/>
      <c r="U1798" s="24"/>
      <c r="V1798" s="24"/>
      <c r="W1798" s="24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</row>
    <row r="1799">
      <c r="A1799" s="37"/>
      <c r="B1799" s="25"/>
      <c r="C1799" s="60"/>
      <c r="D1799" s="27"/>
      <c r="E1799" s="28"/>
      <c r="F1799" s="29"/>
      <c r="G1799" s="30" t="str">
        <f t="shared" si="61"/>
        <v/>
      </c>
      <c r="H1799" s="31" t="str">
        <f t="shared" si="73"/>
        <v/>
      </c>
      <c r="I1799" s="32" t="str">
        <f t="shared" si="65"/>
        <v/>
      </c>
      <c r="J1799" s="33" t="str">
        <f t="shared" si="25"/>
        <v/>
      </c>
      <c r="K1799" s="33"/>
      <c r="L1799" s="33"/>
      <c r="M1799" s="33"/>
      <c r="N1799" s="34"/>
      <c r="O1799" s="35" t="str">
        <f>IFERROR(__xludf.DUMMYFUNCTION("IFERROR(
  VLOOKUP(C1799,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C1799
    ), 
    7, FALSE
  ), 
  """"
)
"),"")</f>
        <v/>
      </c>
      <c r="P1799" s="35"/>
      <c r="Q1799" s="36" t="str">
        <f t="shared" si="4"/>
        <v/>
      </c>
      <c r="R1799" s="33"/>
      <c r="S1799" s="31"/>
      <c r="T1799" s="37"/>
      <c r="U1799" s="37"/>
      <c r="V1799" s="37"/>
      <c r="W1799" s="37"/>
      <c r="X1799" s="25"/>
      <c r="Y1799" s="25"/>
      <c r="Z1799" s="25"/>
      <c r="AA1799" s="25"/>
      <c r="AB1799" s="25"/>
      <c r="AC1799" s="25"/>
      <c r="AD1799" s="25"/>
      <c r="AE1799" s="25"/>
      <c r="AF1799" s="25"/>
      <c r="AG1799" s="25"/>
      <c r="AH1799" s="25"/>
      <c r="AI1799" s="25"/>
      <c r="AJ1799" s="25"/>
      <c r="AK1799" s="25"/>
      <c r="AL1799" s="25"/>
      <c r="AM1799" s="25"/>
    </row>
    <row r="1800">
      <c r="A1800" s="24"/>
      <c r="B1800" s="13"/>
      <c r="C1800" s="62"/>
      <c r="D1800" s="14"/>
      <c r="E1800" s="15"/>
      <c r="F1800" s="16"/>
      <c r="G1800" s="17" t="str">
        <f t="shared" si="61"/>
        <v/>
      </c>
      <c r="H1800" s="18" t="str">
        <f t="shared" si="73"/>
        <v/>
      </c>
      <c r="I1800" s="19" t="str">
        <f t="shared" si="65"/>
        <v/>
      </c>
      <c r="J1800" s="20" t="str">
        <f t="shared" si="25"/>
        <v/>
      </c>
      <c r="K1800" s="20"/>
      <c r="L1800" s="20"/>
      <c r="M1800" s="20"/>
      <c r="N1800" s="21"/>
      <c r="O1800" s="22" t="str">
        <f>IFERROR(__xludf.DUMMYFUNCTION("IFERROR(
  VLOOKUP(C1800,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C1800
    ), 
    7, FALSE
  ), 
  """"
)
"),"")</f>
        <v/>
      </c>
      <c r="P1800" s="22"/>
      <c r="Q1800" s="23" t="str">
        <f t="shared" si="4"/>
        <v/>
      </c>
      <c r="R1800" s="20"/>
      <c r="S1800" s="18"/>
      <c r="T1800" s="24"/>
      <c r="U1800" s="24"/>
      <c r="V1800" s="24"/>
      <c r="W1800" s="24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13"/>
      <c r="AK1800" s="13"/>
      <c r="AL1800" s="13"/>
      <c r="AM1800" s="13"/>
    </row>
    <row r="1801">
      <c r="A1801" s="37"/>
      <c r="B1801" s="25"/>
      <c r="C1801" s="60"/>
      <c r="D1801" s="27"/>
      <c r="E1801" s="28"/>
      <c r="F1801" s="29"/>
      <c r="G1801" s="30" t="str">
        <f t="shared" si="61"/>
        <v/>
      </c>
      <c r="H1801" s="31" t="str">
        <f t="shared" si="73"/>
        <v/>
      </c>
      <c r="I1801" s="32" t="str">
        <f t="shared" si="65"/>
        <v/>
      </c>
      <c r="J1801" s="33" t="str">
        <f t="shared" si="25"/>
        <v/>
      </c>
      <c r="K1801" s="33"/>
      <c r="L1801" s="33"/>
      <c r="M1801" s="33"/>
      <c r="N1801" s="34"/>
      <c r="O1801" s="35" t="str">
        <f>IFERROR(__xludf.DUMMYFUNCTION("IFERROR(
  VLOOKUP(C1801,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C1801
    ), 
    7, FALSE
  ), 
  """"
)
"),"")</f>
        <v/>
      </c>
      <c r="P1801" s="35"/>
      <c r="Q1801" s="36" t="str">
        <f t="shared" si="4"/>
        <v/>
      </c>
      <c r="R1801" s="33"/>
      <c r="S1801" s="31"/>
      <c r="T1801" s="37"/>
      <c r="U1801" s="37"/>
      <c r="V1801" s="37"/>
      <c r="W1801" s="37"/>
      <c r="X1801" s="25"/>
      <c r="Y1801" s="25"/>
      <c r="Z1801" s="25"/>
      <c r="AA1801" s="25"/>
      <c r="AB1801" s="25"/>
      <c r="AC1801" s="25"/>
      <c r="AD1801" s="25"/>
      <c r="AE1801" s="25"/>
      <c r="AF1801" s="25"/>
      <c r="AG1801" s="25"/>
      <c r="AH1801" s="25"/>
      <c r="AI1801" s="25"/>
      <c r="AJ1801" s="25"/>
      <c r="AK1801" s="25"/>
      <c r="AL1801" s="25"/>
      <c r="AM1801" s="25"/>
    </row>
    <row r="1802">
      <c r="A1802" s="24"/>
      <c r="B1802" s="13"/>
      <c r="C1802" s="62"/>
      <c r="D1802" s="14"/>
      <c r="E1802" s="15"/>
      <c r="F1802" s="16"/>
      <c r="G1802" s="17" t="str">
        <f t="shared" si="61"/>
        <v/>
      </c>
      <c r="H1802" s="18" t="str">
        <f t="shared" si="73"/>
        <v/>
      </c>
      <c r="I1802" s="19" t="str">
        <f t="shared" si="65"/>
        <v/>
      </c>
      <c r="J1802" s="20" t="str">
        <f t="shared" si="25"/>
        <v/>
      </c>
      <c r="K1802" s="20"/>
      <c r="L1802" s="20"/>
      <c r="M1802" s="20"/>
      <c r="N1802" s="21"/>
      <c r="O1802" s="22" t="str">
        <f>IFERROR(__xludf.DUMMYFUNCTION("IFERROR(
  VLOOKUP(C1802,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C1802
    ), 
    7, FALSE
  ), 
  """"
)
"),"")</f>
        <v/>
      </c>
      <c r="P1802" s="22"/>
      <c r="Q1802" s="23" t="str">
        <f t="shared" si="4"/>
        <v/>
      </c>
      <c r="R1802" s="20"/>
      <c r="S1802" s="18"/>
      <c r="T1802" s="24"/>
      <c r="U1802" s="24"/>
      <c r="V1802" s="24"/>
      <c r="W1802" s="24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</row>
    <row r="1803">
      <c r="A1803" s="37"/>
      <c r="B1803" s="25"/>
      <c r="C1803" s="60"/>
      <c r="D1803" s="27"/>
      <c r="E1803" s="28"/>
      <c r="F1803" s="29"/>
      <c r="G1803" s="30" t="str">
        <f t="shared" si="61"/>
        <v/>
      </c>
      <c r="H1803" s="31" t="str">
        <f t="shared" si="73"/>
        <v/>
      </c>
      <c r="I1803" s="32" t="str">
        <f t="shared" si="65"/>
        <v/>
      </c>
      <c r="J1803" s="33" t="str">
        <f t="shared" si="25"/>
        <v/>
      </c>
      <c r="K1803" s="33"/>
      <c r="L1803" s="33"/>
      <c r="M1803" s="33"/>
      <c r="N1803" s="34"/>
      <c r="O1803" s="35" t="str">
        <f>IFERROR(__xludf.DUMMYFUNCTION("IFERROR(
  VLOOKUP(C1803,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C1803
    ), 
    7, FALSE
  ), 
  """"
)
"),"")</f>
        <v/>
      </c>
      <c r="P1803" s="35"/>
      <c r="Q1803" s="36" t="str">
        <f t="shared" si="4"/>
        <v/>
      </c>
      <c r="R1803" s="33"/>
      <c r="S1803" s="31"/>
      <c r="T1803" s="37"/>
      <c r="U1803" s="37"/>
      <c r="V1803" s="37"/>
      <c r="W1803" s="37"/>
      <c r="X1803" s="25"/>
      <c r="Y1803" s="25"/>
      <c r="Z1803" s="25"/>
      <c r="AA1803" s="25"/>
      <c r="AB1803" s="25"/>
      <c r="AC1803" s="25"/>
      <c r="AD1803" s="25"/>
      <c r="AE1803" s="25"/>
      <c r="AF1803" s="25"/>
      <c r="AG1803" s="25"/>
      <c r="AH1803" s="25"/>
      <c r="AI1803" s="25"/>
      <c r="AJ1803" s="25"/>
      <c r="AK1803" s="25"/>
      <c r="AL1803" s="25"/>
      <c r="AM1803" s="25"/>
    </row>
    <row r="1804">
      <c r="A1804" s="24"/>
      <c r="B1804" s="13"/>
      <c r="C1804" s="62"/>
      <c r="D1804" s="14"/>
      <c r="E1804" s="15"/>
      <c r="F1804" s="16"/>
      <c r="G1804" s="17" t="str">
        <f t="shared" si="61"/>
        <v/>
      </c>
      <c r="H1804" s="18" t="str">
        <f t="shared" si="73"/>
        <v/>
      </c>
      <c r="I1804" s="19" t="str">
        <f t="shared" si="65"/>
        <v/>
      </c>
      <c r="J1804" s="20" t="str">
        <f t="shared" si="25"/>
        <v/>
      </c>
      <c r="K1804" s="20"/>
      <c r="L1804" s="20"/>
      <c r="M1804" s="20"/>
      <c r="N1804" s="21"/>
      <c r="O1804" s="22" t="str">
        <f>IFERROR(__xludf.DUMMYFUNCTION("IFERROR(
  VLOOKUP(C1804,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C1804
    ), 
    7, FALSE
  ), 
  """"
)
"),"")</f>
        <v/>
      </c>
      <c r="P1804" s="22"/>
      <c r="Q1804" s="23" t="str">
        <f t="shared" si="4"/>
        <v/>
      </c>
      <c r="R1804" s="20"/>
      <c r="S1804" s="18"/>
      <c r="T1804" s="24"/>
      <c r="U1804" s="24"/>
      <c r="V1804" s="24"/>
      <c r="W1804" s="24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</row>
    <row r="1805">
      <c r="A1805" s="37"/>
      <c r="B1805" s="25"/>
      <c r="C1805" s="60"/>
      <c r="D1805" s="27"/>
      <c r="E1805" s="28"/>
      <c r="F1805" s="29"/>
      <c r="G1805" s="30" t="str">
        <f t="shared" si="61"/>
        <v/>
      </c>
      <c r="H1805" s="31" t="str">
        <f t="shared" si="73"/>
        <v/>
      </c>
      <c r="I1805" s="32" t="str">
        <f t="shared" si="65"/>
        <v/>
      </c>
      <c r="J1805" s="33" t="str">
        <f t="shared" si="25"/>
        <v/>
      </c>
      <c r="K1805" s="33"/>
      <c r="L1805" s="33"/>
      <c r="M1805" s="33"/>
      <c r="N1805" s="34"/>
      <c r="O1805" s="35" t="str">
        <f>IFERROR(__xludf.DUMMYFUNCTION("IFERROR(
  VLOOKUP(C1805,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C1805
    ), 
    7, FALSE
  ), 
  """"
)
"),"")</f>
        <v/>
      </c>
      <c r="P1805" s="35"/>
      <c r="Q1805" s="36" t="str">
        <f t="shared" si="4"/>
        <v/>
      </c>
      <c r="R1805" s="33"/>
      <c r="S1805" s="31"/>
      <c r="T1805" s="37"/>
      <c r="U1805" s="37"/>
      <c r="V1805" s="37"/>
      <c r="W1805" s="37"/>
      <c r="X1805" s="25"/>
      <c r="Y1805" s="25"/>
      <c r="Z1805" s="25"/>
      <c r="AA1805" s="25"/>
      <c r="AB1805" s="25"/>
      <c r="AC1805" s="25"/>
      <c r="AD1805" s="25"/>
      <c r="AE1805" s="25"/>
      <c r="AF1805" s="25"/>
      <c r="AG1805" s="25"/>
      <c r="AH1805" s="25"/>
      <c r="AI1805" s="25"/>
      <c r="AJ1805" s="25"/>
      <c r="AK1805" s="25"/>
      <c r="AL1805" s="25"/>
      <c r="AM1805" s="25"/>
    </row>
    <row r="1806">
      <c r="A1806" s="24"/>
      <c r="B1806" s="13"/>
      <c r="C1806" s="62"/>
      <c r="D1806" s="14"/>
      <c r="E1806" s="15"/>
      <c r="F1806" s="16"/>
      <c r="G1806" s="17" t="str">
        <f t="shared" si="61"/>
        <v/>
      </c>
      <c r="H1806" s="18" t="str">
        <f t="shared" si="73"/>
        <v/>
      </c>
      <c r="I1806" s="19" t="str">
        <f t="shared" si="65"/>
        <v/>
      </c>
      <c r="J1806" s="20" t="str">
        <f t="shared" si="25"/>
        <v/>
      </c>
      <c r="K1806" s="20"/>
      <c r="L1806" s="20"/>
      <c r="M1806" s="20"/>
      <c r="N1806" s="21"/>
      <c r="O1806" s="22" t="str">
        <f>IFERROR(__xludf.DUMMYFUNCTION("IFERROR(
  VLOOKUP(C1806,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C1806
    ), 
    7, FALSE
  ), 
  """"
)
"),"")</f>
        <v/>
      </c>
      <c r="P1806" s="22"/>
      <c r="Q1806" s="23" t="str">
        <f t="shared" si="4"/>
        <v/>
      </c>
      <c r="R1806" s="20"/>
      <c r="S1806" s="18"/>
      <c r="T1806" s="24"/>
      <c r="U1806" s="24"/>
      <c r="V1806" s="24"/>
      <c r="W1806" s="24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</row>
    <row r="1807">
      <c r="A1807" s="37"/>
      <c r="B1807" s="25"/>
      <c r="C1807" s="60"/>
      <c r="D1807" s="27"/>
      <c r="E1807" s="28"/>
      <c r="F1807" s="29"/>
      <c r="G1807" s="30" t="str">
        <f t="shared" si="61"/>
        <v/>
      </c>
      <c r="H1807" s="31" t="str">
        <f t="shared" si="73"/>
        <v/>
      </c>
      <c r="I1807" s="32" t="str">
        <f t="shared" si="65"/>
        <v/>
      </c>
      <c r="J1807" s="33" t="str">
        <f t="shared" si="25"/>
        <v/>
      </c>
      <c r="K1807" s="33"/>
      <c r="L1807" s="33"/>
      <c r="M1807" s="33"/>
      <c r="N1807" s="34"/>
      <c r="O1807" s="35" t="str">
        <f>IFERROR(__xludf.DUMMYFUNCTION("IFERROR(
  VLOOKUP(C1807,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C1807
    ), 
    7, FALSE
  ), 
  """"
)
"),"")</f>
        <v/>
      </c>
      <c r="P1807" s="35"/>
      <c r="Q1807" s="36" t="str">
        <f t="shared" si="4"/>
        <v/>
      </c>
      <c r="R1807" s="33"/>
      <c r="S1807" s="31"/>
      <c r="T1807" s="37"/>
      <c r="U1807" s="37"/>
      <c r="V1807" s="37"/>
      <c r="W1807" s="37"/>
      <c r="X1807" s="25"/>
      <c r="Y1807" s="25"/>
      <c r="Z1807" s="25"/>
      <c r="AA1807" s="25"/>
      <c r="AB1807" s="25"/>
      <c r="AC1807" s="25"/>
      <c r="AD1807" s="25"/>
      <c r="AE1807" s="25"/>
      <c r="AF1807" s="25"/>
      <c r="AG1807" s="25"/>
      <c r="AH1807" s="25"/>
      <c r="AI1807" s="25"/>
      <c r="AJ1807" s="25"/>
      <c r="AK1807" s="25"/>
      <c r="AL1807" s="25"/>
      <c r="AM1807" s="25"/>
    </row>
    <row r="1808">
      <c r="A1808" s="24"/>
      <c r="B1808" s="13"/>
      <c r="C1808" s="62"/>
      <c r="D1808" s="14"/>
      <c r="E1808" s="15"/>
      <c r="F1808" s="16"/>
      <c r="G1808" s="17" t="str">
        <f t="shared" si="61"/>
        <v/>
      </c>
      <c r="H1808" s="18" t="str">
        <f t="shared" si="73"/>
        <v/>
      </c>
      <c r="I1808" s="19" t="str">
        <f t="shared" si="65"/>
        <v/>
      </c>
      <c r="J1808" s="20" t="str">
        <f t="shared" si="25"/>
        <v/>
      </c>
      <c r="K1808" s="20"/>
      <c r="L1808" s="20"/>
      <c r="M1808" s="20"/>
      <c r="N1808" s="21"/>
      <c r="O1808" s="22" t="str">
        <f>IFERROR(__xludf.DUMMYFUNCTION("IFERROR(
  VLOOKUP(C1808,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C1808
    ), 
    7, FALSE
  ), 
  """"
)
"),"")</f>
        <v/>
      </c>
      <c r="P1808" s="22"/>
      <c r="Q1808" s="23" t="str">
        <f t="shared" si="4"/>
        <v/>
      </c>
      <c r="R1808" s="20"/>
      <c r="S1808" s="18"/>
      <c r="T1808" s="24"/>
      <c r="U1808" s="24"/>
      <c r="V1808" s="24"/>
      <c r="W1808" s="24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</row>
    <row r="1809">
      <c r="A1809" s="37"/>
      <c r="B1809" s="25"/>
      <c r="C1809" s="60"/>
      <c r="D1809" s="27"/>
      <c r="E1809" s="28"/>
      <c r="F1809" s="29"/>
      <c r="G1809" s="30" t="str">
        <f t="shared" si="61"/>
        <v/>
      </c>
      <c r="H1809" s="31" t="str">
        <f t="shared" si="73"/>
        <v/>
      </c>
      <c r="I1809" s="32" t="str">
        <f t="shared" si="65"/>
        <v/>
      </c>
      <c r="J1809" s="33" t="str">
        <f t="shared" si="25"/>
        <v/>
      </c>
      <c r="K1809" s="33"/>
      <c r="L1809" s="33"/>
      <c r="M1809" s="33"/>
      <c r="N1809" s="34"/>
      <c r="O1809" s="35" t="str">
        <f>IFERROR(__xludf.DUMMYFUNCTION("IFERROR(
  VLOOKUP(C1809,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C1809
    ), 
    7, FALSE
  ), 
  """"
)
"),"")</f>
        <v/>
      </c>
      <c r="P1809" s="35"/>
      <c r="Q1809" s="36" t="str">
        <f t="shared" si="4"/>
        <v/>
      </c>
      <c r="R1809" s="33"/>
      <c r="S1809" s="31"/>
      <c r="T1809" s="37"/>
      <c r="U1809" s="37"/>
      <c r="V1809" s="37"/>
      <c r="W1809" s="37"/>
      <c r="X1809" s="25"/>
      <c r="Y1809" s="25"/>
      <c r="Z1809" s="25"/>
      <c r="AA1809" s="25"/>
      <c r="AB1809" s="25"/>
      <c r="AC1809" s="25"/>
      <c r="AD1809" s="25"/>
      <c r="AE1809" s="25"/>
      <c r="AF1809" s="25"/>
      <c r="AG1809" s="25"/>
      <c r="AH1809" s="25"/>
      <c r="AI1809" s="25"/>
      <c r="AJ1809" s="25"/>
      <c r="AK1809" s="25"/>
      <c r="AL1809" s="25"/>
      <c r="AM1809" s="25"/>
    </row>
    <row r="1810">
      <c r="A1810" s="24"/>
      <c r="B1810" s="13"/>
      <c r="C1810" s="62"/>
      <c r="D1810" s="14"/>
      <c r="E1810" s="15"/>
      <c r="F1810" s="16"/>
      <c r="G1810" s="17" t="str">
        <f t="shared" si="61"/>
        <v/>
      </c>
      <c r="H1810" s="18" t="str">
        <f t="shared" si="73"/>
        <v/>
      </c>
      <c r="I1810" s="19" t="str">
        <f t="shared" si="65"/>
        <v/>
      </c>
      <c r="J1810" s="20" t="str">
        <f t="shared" si="25"/>
        <v/>
      </c>
      <c r="K1810" s="20"/>
      <c r="L1810" s="20"/>
      <c r="M1810" s="20"/>
      <c r="N1810" s="21"/>
      <c r="O1810" s="22" t="str">
        <f>IFERROR(__xludf.DUMMYFUNCTION("IFERROR(
  VLOOKUP(C1810,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C1810
    ), 
    7, FALSE
  ), 
  """"
)
"),"")</f>
        <v/>
      </c>
      <c r="P1810" s="22"/>
      <c r="Q1810" s="23" t="str">
        <f t="shared" si="4"/>
        <v/>
      </c>
      <c r="R1810" s="20"/>
      <c r="S1810" s="18"/>
      <c r="T1810" s="24"/>
      <c r="U1810" s="24"/>
      <c r="V1810" s="24"/>
      <c r="W1810" s="24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</row>
    <row r="1811">
      <c r="A1811" s="37"/>
      <c r="B1811" s="25"/>
      <c r="C1811" s="60"/>
      <c r="D1811" s="27"/>
      <c r="E1811" s="28"/>
      <c r="F1811" s="29"/>
      <c r="G1811" s="30" t="str">
        <f t="shared" si="61"/>
        <v/>
      </c>
      <c r="H1811" s="31" t="str">
        <f t="shared" si="73"/>
        <v/>
      </c>
      <c r="I1811" s="32" t="str">
        <f t="shared" si="65"/>
        <v/>
      </c>
      <c r="J1811" s="33" t="str">
        <f t="shared" si="25"/>
        <v/>
      </c>
      <c r="K1811" s="33"/>
      <c r="L1811" s="33"/>
      <c r="M1811" s="33"/>
      <c r="N1811" s="34"/>
      <c r="O1811" s="35" t="str">
        <f>IFERROR(__xludf.DUMMYFUNCTION("IFERROR(
  VLOOKUP(C1811,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C1811
    ), 
    7, FALSE
  ), 
  """"
)
"),"")</f>
        <v/>
      </c>
      <c r="P1811" s="35"/>
      <c r="Q1811" s="36" t="str">
        <f t="shared" si="4"/>
        <v/>
      </c>
      <c r="R1811" s="33"/>
      <c r="S1811" s="31"/>
      <c r="T1811" s="37"/>
      <c r="U1811" s="37"/>
      <c r="V1811" s="37"/>
      <c r="W1811" s="37"/>
      <c r="X1811" s="25"/>
      <c r="Y1811" s="25"/>
      <c r="Z1811" s="25"/>
      <c r="AA1811" s="25"/>
      <c r="AB1811" s="25"/>
      <c r="AC1811" s="25"/>
      <c r="AD1811" s="25"/>
      <c r="AE1811" s="25"/>
      <c r="AF1811" s="25"/>
      <c r="AG1811" s="25"/>
      <c r="AH1811" s="25"/>
      <c r="AI1811" s="25"/>
      <c r="AJ1811" s="25"/>
      <c r="AK1811" s="25"/>
      <c r="AL1811" s="25"/>
      <c r="AM1811" s="25"/>
    </row>
    <row r="1812">
      <c r="A1812" s="24"/>
      <c r="B1812" s="13"/>
      <c r="C1812" s="62"/>
      <c r="D1812" s="14"/>
      <c r="E1812" s="15"/>
      <c r="F1812" s="16"/>
      <c r="G1812" s="17" t="str">
        <f t="shared" si="61"/>
        <v/>
      </c>
      <c r="H1812" s="18" t="str">
        <f t="shared" si="73"/>
        <v/>
      </c>
      <c r="I1812" s="19" t="str">
        <f t="shared" si="65"/>
        <v/>
      </c>
      <c r="J1812" s="20" t="str">
        <f t="shared" si="25"/>
        <v/>
      </c>
      <c r="K1812" s="20"/>
      <c r="L1812" s="20"/>
      <c r="M1812" s="20"/>
      <c r="N1812" s="21"/>
      <c r="O1812" s="22" t="str">
        <f>IFERROR(__xludf.DUMMYFUNCTION("IFERROR(
  VLOOKUP(C1812,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C1812
    ), 
    7, FALSE
  ), 
  """"
)
"),"")</f>
        <v/>
      </c>
      <c r="P1812" s="22"/>
      <c r="Q1812" s="23" t="str">
        <f t="shared" si="4"/>
        <v/>
      </c>
      <c r="R1812" s="20"/>
      <c r="S1812" s="18"/>
      <c r="T1812" s="24"/>
      <c r="U1812" s="24"/>
      <c r="V1812" s="24"/>
      <c r="W1812" s="24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  <c r="AH1812" s="13"/>
      <c r="AI1812" s="13"/>
      <c r="AJ1812" s="13"/>
      <c r="AK1812" s="13"/>
      <c r="AL1812" s="13"/>
      <c r="AM1812" s="13"/>
    </row>
    <row r="1813">
      <c r="A1813" s="37"/>
      <c r="B1813" s="25"/>
      <c r="C1813" s="60"/>
      <c r="D1813" s="27"/>
      <c r="E1813" s="28"/>
      <c r="F1813" s="29"/>
      <c r="G1813" s="30" t="str">
        <f t="shared" si="61"/>
        <v/>
      </c>
      <c r="H1813" s="31" t="str">
        <f t="shared" si="73"/>
        <v/>
      </c>
      <c r="I1813" s="32" t="str">
        <f t="shared" si="65"/>
        <v/>
      </c>
      <c r="J1813" s="33" t="str">
        <f t="shared" si="25"/>
        <v/>
      </c>
      <c r="K1813" s="33"/>
      <c r="L1813" s="33"/>
      <c r="M1813" s="33"/>
      <c r="N1813" s="34"/>
      <c r="O1813" s="35" t="str">
        <f>IFERROR(__xludf.DUMMYFUNCTION("IFERROR(
  VLOOKUP(C1813,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C1813
    ), 
    7, FALSE
  ), 
  """"
)
"),"")</f>
        <v/>
      </c>
      <c r="P1813" s="35"/>
      <c r="Q1813" s="36" t="str">
        <f t="shared" si="4"/>
        <v/>
      </c>
      <c r="R1813" s="33"/>
      <c r="S1813" s="31"/>
      <c r="T1813" s="37"/>
      <c r="U1813" s="37"/>
      <c r="V1813" s="37"/>
      <c r="W1813" s="37"/>
      <c r="X1813" s="25"/>
      <c r="Y1813" s="25"/>
      <c r="Z1813" s="25"/>
      <c r="AA1813" s="25"/>
      <c r="AB1813" s="25"/>
      <c r="AC1813" s="25"/>
      <c r="AD1813" s="25"/>
      <c r="AE1813" s="25"/>
      <c r="AF1813" s="25"/>
      <c r="AG1813" s="25"/>
      <c r="AH1813" s="25"/>
      <c r="AI1813" s="25"/>
      <c r="AJ1813" s="25"/>
      <c r="AK1813" s="25"/>
      <c r="AL1813" s="25"/>
      <c r="AM1813" s="25"/>
    </row>
    <row r="1814">
      <c r="A1814" s="24"/>
      <c r="B1814" s="13"/>
      <c r="C1814" s="62"/>
      <c r="D1814" s="14"/>
      <c r="E1814" s="15"/>
      <c r="F1814" s="16"/>
      <c r="G1814" s="17" t="str">
        <f t="shared" si="61"/>
        <v/>
      </c>
      <c r="H1814" s="18" t="str">
        <f t="shared" si="73"/>
        <v/>
      </c>
      <c r="I1814" s="19" t="str">
        <f t="shared" si="65"/>
        <v/>
      </c>
      <c r="J1814" s="20" t="str">
        <f t="shared" si="25"/>
        <v/>
      </c>
      <c r="K1814" s="20"/>
      <c r="L1814" s="20"/>
      <c r="M1814" s="20"/>
      <c r="N1814" s="21"/>
      <c r="O1814" s="22" t="str">
        <f>IFERROR(__xludf.DUMMYFUNCTION("IFERROR(
  VLOOKUP(C1814,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C1814
    ), 
    7, FALSE
  ), 
  """"
)
"),"")</f>
        <v/>
      </c>
      <c r="P1814" s="22"/>
      <c r="Q1814" s="23" t="str">
        <f t="shared" si="4"/>
        <v/>
      </c>
      <c r="R1814" s="20"/>
      <c r="S1814" s="18"/>
      <c r="T1814" s="24"/>
      <c r="U1814" s="24"/>
      <c r="V1814" s="24"/>
      <c r="W1814" s="24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  <c r="AH1814" s="13"/>
      <c r="AI1814" s="13"/>
      <c r="AJ1814" s="13"/>
      <c r="AK1814" s="13"/>
      <c r="AL1814" s="13"/>
      <c r="AM1814" s="13"/>
    </row>
    <row r="1815">
      <c r="A1815" s="37"/>
      <c r="B1815" s="25"/>
      <c r="C1815" s="60"/>
      <c r="D1815" s="27"/>
      <c r="E1815" s="28"/>
      <c r="F1815" s="29"/>
      <c r="G1815" s="30" t="str">
        <f t="shared" si="61"/>
        <v/>
      </c>
      <c r="H1815" s="31" t="str">
        <f t="shared" si="73"/>
        <v/>
      </c>
      <c r="I1815" s="32" t="str">
        <f t="shared" si="65"/>
        <v/>
      </c>
      <c r="J1815" s="33" t="str">
        <f t="shared" si="25"/>
        <v/>
      </c>
      <c r="K1815" s="33"/>
      <c r="L1815" s="33"/>
      <c r="M1815" s="33"/>
      <c r="N1815" s="34"/>
      <c r="O1815" s="35" t="str">
        <f>IFERROR(__xludf.DUMMYFUNCTION("IFERROR(
  VLOOKUP(C1815,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C1815
    ), 
    7, FALSE
  ), 
  """"
)
"),"")</f>
        <v/>
      </c>
      <c r="P1815" s="35"/>
      <c r="Q1815" s="36" t="str">
        <f t="shared" si="4"/>
        <v/>
      </c>
      <c r="R1815" s="33"/>
      <c r="S1815" s="31"/>
      <c r="T1815" s="37"/>
      <c r="U1815" s="37"/>
      <c r="V1815" s="37"/>
      <c r="W1815" s="37"/>
      <c r="X1815" s="25"/>
      <c r="Y1815" s="25"/>
      <c r="Z1815" s="25"/>
      <c r="AA1815" s="25"/>
      <c r="AB1815" s="25"/>
      <c r="AC1815" s="25"/>
      <c r="AD1815" s="25"/>
      <c r="AE1815" s="25"/>
      <c r="AF1815" s="25"/>
      <c r="AG1815" s="25"/>
      <c r="AH1815" s="25"/>
      <c r="AI1815" s="25"/>
      <c r="AJ1815" s="25"/>
      <c r="AK1815" s="25"/>
      <c r="AL1815" s="25"/>
      <c r="AM1815" s="25"/>
    </row>
    <row r="1816">
      <c r="A1816" s="24"/>
      <c r="B1816" s="13"/>
      <c r="C1816" s="62"/>
      <c r="D1816" s="14"/>
      <c r="E1816" s="15"/>
      <c r="F1816" s="16"/>
      <c r="G1816" s="17" t="str">
        <f t="shared" si="61"/>
        <v/>
      </c>
      <c r="H1816" s="18" t="str">
        <f t="shared" si="73"/>
        <v/>
      </c>
      <c r="I1816" s="19" t="str">
        <f t="shared" si="65"/>
        <v/>
      </c>
      <c r="J1816" s="20" t="str">
        <f t="shared" si="25"/>
        <v/>
      </c>
      <c r="K1816" s="20"/>
      <c r="L1816" s="20"/>
      <c r="M1816" s="20"/>
      <c r="N1816" s="21"/>
      <c r="O1816" s="22" t="str">
        <f>IFERROR(__xludf.DUMMYFUNCTION("IFERROR(
  VLOOKUP(C1816,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C1816
    ), 
    7, FALSE
  ), 
  """"
)
"),"")</f>
        <v/>
      </c>
      <c r="P1816" s="22"/>
      <c r="Q1816" s="23" t="str">
        <f t="shared" si="4"/>
        <v/>
      </c>
      <c r="R1816" s="20"/>
      <c r="S1816" s="18"/>
      <c r="T1816" s="24"/>
      <c r="U1816" s="24"/>
      <c r="V1816" s="24"/>
      <c r="W1816" s="24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</row>
    <row r="1817">
      <c r="A1817" s="37"/>
      <c r="B1817" s="25"/>
      <c r="C1817" s="60"/>
      <c r="D1817" s="27"/>
      <c r="E1817" s="28"/>
      <c r="F1817" s="29"/>
      <c r="G1817" s="30" t="str">
        <f t="shared" si="61"/>
        <v/>
      </c>
      <c r="H1817" s="31" t="str">
        <f t="shared" si="73"/>
        <v/>
      </c>
      <c r="I1817" s="32" t="str">
        <f t="shared" si="65"/>
        <v/>
      </c>
      <c r="J1817" s="33" t="str">
        <f t="shared" si="25"/>
        <v/>
      </c>
      <c r="K1817" s="33"/>
      <c r="L1817" s="33"/>
      <c r="M1817" s="33"/>
      <c r="N1817" s="34"/>
      <c r="O1817" s="35" t="str">
        <f>IFERROR(__xludf.DUMMYFUNCTION("IFERROR(
  VLOOKUP(C1817,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C1817
    ), 
    7, FALSE
  ), 
  """"
)
"),"")</f>
        <v/>
      </c>
      <c r="P1817" s="35"/>
      <c r="Q1817" s="36" t="str">
        <f t="shared" si="4"/>
        <v/>
      </c>
      <c r="R1817" s="33"/>
      <c r="S1817" s="31"/>
      <c r="T1817" s="37"/>
      <c r="U1817" s="37"/>
      <c r="V1817" s="37"/>
      <c r="W1817" s="37"/>
      <c r="X1817" s="25"/>
      <c r="Y1817" s="25"/>
      <c r="Z1817" s="25"/>
      <c r="AA1817" s="25"/>
      <c r="AB1817" s="25"/>
      <c r="AC1817" s="25"/>
      <c r="AD1817" s="25"/>
      <c r="AE1817" s="25"/>
      <c r="AF1817" s="25"/>
      <c r="AG1817" s="25"/>
      <c r="AH1817" s="25"/>
      <c r="AI1817" s="25"/>
      <c r="AJ1817" s="25"/>
      <c r="AK1817" s="25"/>
      <c r="AL1817" s="25"/>
      <c r="AM1817" s="25"/>
    </row>
    <row r="1818">
      <c r="A1818" s="24"/>
      <c r="B1818" s="13"/>
      <c r="C1818" s="62"/>
      <c r="D1818" s="14"/>
      <c r="E1818" s="15"/>
      <c r="F1818" s="16"/>
      <c r="G1818" s="17" t="str">
        <f t="shared" si="61"/>
        <v/>
      </c>
      <c r="H1818" s="18" t="str">
        <f t="shared" si="73"/>
        <v/>
      </c>
      <c r="I1818" s="19" t="str">
        <f t="shared" si="65"/>
        <v/>
      </c>
      <c r="J1818" s="20" t="str">
        <f t="shared" si="25"/>
        <v/>
      </c>
      <c r="K1818" s="20"/>
      <c r="L1818" s="20"/>
      <c r="M1818" s="20"/>
      <c r="N1818" s="21"/>
      <c r="O1818" s="22" t="str">
        <f>IFERROR(__xludf.DUMMYFUNCTION("IFERROR(
  VLOOKUP(C1818,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C1818
    ), 
    7, FALSE
  ), 
  """"
)
"),"")</f>
        <v/>
      </c>
      <c r="P1818" s="22"/>
      <c r="Q1818" s="23" t="str">
        <f t="shared" si="4"/>
        <v/>
      </c>
      <c r="R1818" s="20"/>
      <c r="S1818" s="18"/>
      <c r="T1818" s="24"/>
      <c r="U1818" s="24"/>
      <c r="V1818" s="24"/>
      <c r="W1818" s="24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/>
      <c r="AL1818" s="13"/>
      <c r="AM1818" s="13"/>
    </row>
    <row r="1819">
      <c r="A1819" s="37"/>
      <c r="B1819" s="25"/>
      <c r="C1819" s="60"/>
      <c r="D1819" s="27"/>
      <c r="E1819" s="28"/>
      <c r="F1819" s="29"/>
      <c r="G1819" s="30" t="str">
        <f t="shared" si="61"/>
        <v/>
      </c>
      <c r="H1819" s="31" t="str">
        <f t="shared" si="73"/>
        <v/>
      </c>
      <c r="I1819" s="32" t="str">
        <f t="shared" si="65"/>
        <v/>
      </c>
      <c r="J1819" s="33" t="str">
        <f t="shared" si="25"/>
        <v/>
      </c>
      <c r="K1819" s="33"/>
      <c r="L1819" s="33"/>
      <c r="M1819" s="33"/>
      <c r="N1819" s="34"/>
      <c r="O1819" s="35" t="str">
        <f>IFERROR(__xludf.DUMMYFUNCTION("IFERROR(
  VLOOKUP(C1819,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C1819
    ), 
    7, FALSE
  ), 
  """"
)
"),"")</f>
        <v/>
      </c>
      <c r="P1819" s="35"/>
      <c r="Q1819" s="36" t="str">
        <f t="shared" si="4"/>
        <v/>
      </c>
      <c r="R1819" s="33"/>
      <c r="S1819" s="31"/>
      <c r="T1819" s="37"/>
      <c r="U1819" s="37"/>
      <c r="V1819" s="37"/>
      <c r="W1819" s="37"/>
      <c r="X1819" s="25"/>
      <c r="Y1819" s="25"/>
      <c r="Z1819" s="25"/>
      <c r="AA1819" s="25"/>
      <c r="AB1819" s="25"/>
      <c r="AC1819" s="25"/>
      <c r="AD1819" s="25"/>
      <c r="AE1819" s="25"/>
      <c r="AF1819" s="25"/>
      <c r="AG1819" s="25"/>
      <c r="AH1819" s="25"/>
      <c r="AI1819" s="25"/>
      <c r="AJ1819" s="25"/>
      <c r="AK1819" s="25"/>
      <c r="AL1819" s="25"/>
      <c r="AM1819" s="25"/>
    </row>
    <row r="1820">
      <c r="A1820" s="24"/>
      <c r="B1820" s="13"/>
      <c r="C1820" s="62"/>
      <c r="D1820" s="14"/>
      <c r="E1820" s="15"/>
      <c r="F1820" s="16"/>
      <c r="G1820" s="17" t="str">
        <f t="shared" si="61"/>
        <v/>
      </c>
      <c r="H1820" s="18" t="str">
        <f t="shared" si="73"/>
        <v/>
      </c>
      <c r="I1820" s="19" t="str">
        <f t="shared" si="65"/>
        <v/>
      </c>
      <c r="J1820" s="20" t="str">
        <f t="shared" si="25"/>
        <v/>
      </c>
      <c r="K1820" s="20"/>
      <c r="L1820" s="20"/>
      <c r="M1820" s="20"/>
      <c r="N1820" s="21"/>
      <c r="O1820" s="22" t="str">
        <f>IFERROR(__xludf.DUMMYFUNCTION("IFERROR(
  VLOOKUP(C1820,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C1820
    ), 
    7, FALSE
  ), 
  """"
)
"),"")</f>
        <v/>
      </c>
      <c r="P1820" s="22"/>
      <c r="Q1820" s="23" t="str">
        <f t="shared" si="4"/>
        <v/>
      </c>
      <c r="R1820" s="20"/>
      <c r="S1820" s="18"/>
      <c r="T1820" s="24"/>
      <c r="U1820" s="24"/>
      <c r="V1820" s="24"/>
      <c r="W1820" s="24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  <c r="AL1820" s="13"/>
      <c r="AM1820" s="13"/>
    </row>
    <row r="1821">
      <c r="A1821" s="37"/>
      <c r="B1821" s="25"/>
      <c r="C1821" s="60"/>
      <c r="D1821" s="27"/>
      <c r="E1821" s="28"/>
      <c r="F1821" s="29"/>
      <c r="G1821" s="30" t="str">
        <f t="shared" si="61"/>
        <v/>
      </c>
      <c r="H1821" s="31" t="str">
        <f t="shared" si="73"/>
        <v/>
      </c>
      <c r="I1821" s="32" t="str">
        <f t="shared" si="65"/>
        <v/>
      </c>
      <c r="J1821" s="33" t="str">
        <f t="shared" si="25"/>
        <v/>
      </c>
      <c r="K1821" s="33"/>
      <c r="L1821" s="33"/>
      <c r="M1821" s="33"/>
      <c r="N1821" s="34"/>
      <c r="O1821" s="35" t="str">
        <f>IFERROR(__xludf.DUMMYFUNCTION("IFERROR(
  VLOOKUP(C1821,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C1821
    ), 
    7, FALSE
  ), 
  """"
)
"),"")</f>
        <v/>
      </c>
      <c r="P1821" s="35"/>
      <c r="Q1821" s="36" t="str">
        <f t="shared" si="4"/>
        <v/>
      </c>
      <c r="R1821" s="33"/>
      <c r="S1821" s="31"/>
      <c r="T1821" s="37"/>
      <c r="U1821" s="37"/>
      <c r="V1821" s="37"/>
      <c r="W1821" s="37"/>
      <c r="X1821" s="25"/>
      <c r="Y1821" s="25"/>
      <c r="Z1821" s="25"/>
      <c r="AA1821" s="25"/>
      <c r="AB1821" s="25"/>
      <c r="AC1821" s="25"/>
      <c r="AD1821" s="25"/>
      <c r="AE1821" s="25"/>
      <c r="AF1821" s="25"/>
      <c r="AG1821" s="25"/>
      <c r="AH1821" s="25"/>
      <c r="AI1821" s="25"/>
      <c r="AJ1821" s="25"/>
      <c r="AK1821" s="25"/>
      <c r="AL1821" s="25"/>
      <c r="AM1821" s="25"/>
    </row>
    <row r="1822">
      <c r="A1822" s="24"/>
      <c r="B1822" s="13"/>
      <c r="C1822" s="62"/>
      <c r="D1822" s="14"/>
      <c r="E1822" s="15"/>
      <c r="F1822" s="16"/>
      <c r="G1822" s="17" t="str">
        <f t="shared" si="61"/>
        <v/>
      </c>
      <c r="H1822" s="18" t="str">
        <f t="shared" si="73"/>
        <v/>
      </c>
      <c r="I1822" s="19" t="str">
        <f t="shared" si="65"/>
        <v/>
      </c>
      <c r="J1822" s="20" t="str">
        <f t="shared" si="25"/>
        <v/>
      </c>
      <c r="K1822" s="20"/>
      <c r="L1822" s="20"/>
      <c r="M1822" s="20"/>
      <c r="N1822" s="21"/>
      <c r="O1822" s="22" t="str">
        <f>IFERROR(__xludf.DUMMYFUNCTION("IFERROR(
  VLOOKUP(C1822,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C1822
    ), 
    7, FALSE
  ), 
  """"
)
"),"")</f>
        <v/>
      </c>
      <c r="P1822" s="22"/>
      <c r="Q1822" s="23" t="str">
        <f t="shared" si="4"/>
        <v/>
      </c>
      <c r="R1822" s="20"/>
      <c r="S1822" s="18"/>
      <c r="T1822" s="24"/>
      <c r="U1822" s="24"/>
      <c r="V1822" s="24"/>
      <c r="W1822" s="24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</row>
    <row r="1823">
      <c r="A1823" s="37"/>
      <c r="B1823" s="25"/>
      <c r="C1823" s="60"/>
      <c r="D1823" s="27"/>
      <c r="E1823" s="28"/>
      <c r="F1823" s="29"/>
      <c r="G1823" s="30" t="str">
        <f t="shared" si="61"/>
        <v/>
      </c>
      <c r="H1823" s="31" t="str">
        <f t="shared" si="73"/>
        <v/>
      </c>
      <c r="I1823" s="32" t="str">
        <f t="shared" si="65"/>
        <v/>
      </c>
      <c r="J1823" s="33" t="str">
        <f t="shared" si="25"/>
        <v/>
      </c>
      <c r="K1823" s="33"/>
      <c r="L1823" s="33"/>
      <c r="M1823" s="33"/>
      <c r="N1823" s="34"/>
      <c r="O1823" s="35" t="str">
        <f>IFERROR(__xludf.DUMMYFUNCTION("IFERROR(
  VLOOKUP(C1823,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C1823
    ), 
    7, FALSE
  ), 
  """"
)
"),"")</f>
        <v/>
      </c>
      <c r="P1823" s="35"/>
      <c r="Q1823" s="36" t="str">
        <f t="shared" si="4"/>
        <v/>
      </c>
      <c r="R1823" s="33"/>
      <c r="S1823" s="31"/>
      <c r="T1823" s="37"/>
      <c r="U1823" s="37"/>
      <c r="V1823" s="37"/>
      <c r="W1823" s="37"/>
      <c r="X1823" s="25"/>
      <c r="Y1823" s="25"/>
      <c r="Z1823" s="25"/>
      <c r="AA1823" s="25"/>
      <c r="AB1823" s="25"/>
      <c r="AC1823" s="25"/>
      <c r="AD1823" s="25"/>
      <c r="AE1823" s="25"/>
      <c r="AF1823" s="25"/>
      <c r="AG1823" s="25"/>
      <c r="AH1823" s="25"/>
      <c r="AI1823" s="25"/>
      <c r="AJ1823" s="25"/>
      <c r="AK1823" s="25"/>
      <c r="AL1823" s="25"/>
      <c r="AM1823" s="25"/>
    </row>
    <row r="1824">
      <c r="A1824" s="24"/>
      <c r="B1824" s="13"/>
      <c r="C1824" s="62"/>
      <c r="D1824" s="14"/>
      <c r="E1824" s="15"/>
      <c r="F1824" s="16"/>
      <c r="G1824" s="17" t="str">
        <f t="shared" si="61"/>
        <v/>
      </c>
      <c r="H1824" s="18" t="str">
        <f t="shared" si="73"/>
        <v/>
      </c>
      <c r="I1824" s="19" t="str">
        <f t="shared" si="65"/>
        <v/>
      </c>
      <c r="J1824" s="20" t="str">
        <f t="shared" si="25"/>
        <v/>
      </c>
      <c r="K1824" s="20"/>
      <c r="L1824" s="20"/>
      <c r="M1824" s="20"/>
      <c r="N1824" s="21"/>
      <c r="O1824" s="22" t="str">
        <f>IFERROR(__xludf.DUMMYFUNCTION("IFERROR(
  VLOOKUP(C1824,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C1824
    ), 
    7, FALSE
  ), 
  """"
)
"),"")</f>
        <v/>
      </c>
      <c r="P1824" s="22"/>
      <c r="Q1824" s="23" t="str">
        <f t="shared" si="4"/>
        <v/>
      </c>
      <c r="R1824" s="20"/>
      <c r="S1824" s="18"/>
      <c r="T1824" s="24"/>
      <c r="U1824" s="24"/>
      <c r="V1824" s="24"/>
      <c r="W1824" s="24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13"/>
      <c r="AK1824" s="13"/>
      <c r="AL1824" s="13"/>
      <c r="AM1824" s="13"/>
    </row>
    <row r="1825">
      <c r="A1825" s="37"/>
      <c r="B1825" s="25"/>
      <c r="C1825" s="60"/>
      <c r="D1825" s="27"/>
      <c r="E1825" s="28"/>
      <c r="F1825" s="29"/>
      <c r="G1825" s="30" t="str">
        <f t="shared" si="61"/>
        <v/>
      </c>
      <c r="H1825" s="31" t="str">
        <f t="shared" si="73"/>
        <v/>
      </c>
      <c r="I1825" s="32" t="str">
        <f t="shared" si="65"/>
        <v/>
      </c>
      <c r="J1825" s="33" t="str">
        <f t="shared" si="25"/>
        <v/>
      </c>
      <c r="K1825" s="33"/>
      <c r="L1825" s="33"/>
      <c r="M1825" s="33"/>
      <c r="N1825" s="34"/>
      <c r="O1825" s="35" t="str">
        <f>IFERROR(__xludf.DUMMYFUNCTION("IFERROR(
  VLOOKUP(C1825,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C1825
    ), 
    7, FALSE
  ), 
  """"
)
"),"")</f>
        <v/>
      </c>
      <c r="P1825" s="35"/>
      <c r="Q1825" s="36" t="str">
        <f t="shared" si="4"/>
        <v/>
      </c>
      <c r="R1825" s="33"/>
      <c r="S1825" s="31"/>
      <c r="T1825" s="37"/>
      <c r="U1825" s="37"/>
      <c r="V1825" s="37"/>
      <c r="W1825" s="37"/>
      <c r="X1825" s="25"/>
      <c r="Y1825" s="25"/>
      <c r="Z1825" s="25"/>
      <c r="AA1825" s="25"/>
      <c r="AB1825" s="25"/>
      <c r="AC1825" s="25"/>
      <c r="AD1825" s="25"/>
      <c r="AE1825" s="25"/>
      <c r="AF1825" s="25"/>
      <c r="AG1825" s="25"/>
      <c r="AH1825" s="25"/>
      <c r="AI1825" s="25"/>
      <c r="AJ1825" s="25"/>
      <c r="AK1825" s="25"/>
      <c r="AL1825" s="25"/>
      <c r="AM1825" s="25"/>
    </row>
    <row r="1826">
      <c r="A1826" s="24"/>
      <c r="B1826" s="13"/>
      <c r="C1826" s="62"/>
      <c r="D1826" s="14"/>
      <c r="E1826" s="15"/>
      <c r="F1826" s="16"/>
      <c r="G1826" s="17" t="str">
        <f t="shared" si="61"/>
        <v/>
      </c>
      <c r="H1826" s="18" t="str">
        <f t="shared" si="73"/>
        <v/>
      </c>
      <c r="I1826" s="19" t="str">
        <f t="shared" si="65"/>
        <v/>
      </c>
      <c r="J1826" s="20" t="str">
        <f t="shared" si="25"/>
        <v/>
      </c>
      <c r="K1826" s="20"/>
      <c r="L1826" s="20"/>
      <c r="M1826" s="20"/>
      <c r="N1826" s="21"/>
      <c r="O1826" s="22" t="str">
        <f>IFERROR(__xludf.DUMMYFUNCTION("IFERROR(
  VLOOKUP(C1826,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C1826
    ), 
    7, FALSE
  ), 
  """"
)
"),"")</f>
        <v/>
      </c>
      <c r="P1826" s="22"/>
      <c r="Q1826" s="23" t="str">
        <f t="shared" si="4"/>
        <v/>
      </c>
      <c r="R1826" s="20"/>
      <c r="S1826" s="18"/>
      <c r="T1826" s="24"/>
      <c r="U1826" s="24"/>
      <c r="V1826" s="24"/>
      <c r="W1826" s="24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</row>
    <row r="1827">
      <c r="A1827" s="37"/>
      <c r="B1827" s="25"/>
      <c r="C1827" s="60"/>
      <c r="D1827" s="27"/>
      <c r="E1827" s="28"/>
      <c r="F1827" s="29"/>
      <c r="G1827" s="30" t="str">
        <f t="shared" si="61"/>
        <v/>
      </c>
      <c r="H1827" s="31" t="str">
        <f t="shared" si="73"/>
        <v/>
      </c>
      <c r="I1827" s="32" t="str">
        <f t="shared" si="65"/>
        <v/>
      </c>
      <c r="J1827" s="33" t="str">
        <f t="shared" si="25"/>
        <v/>
      </c>
      <c r="K1827" s="33"/>
      <c r="L1827" s="33"/>
      <c r="M1827" s="33"/>
      <c r="N1827" s="34"/>
      <c r="O1827" s="35" t="str">
        <f>IFERROR(__xludf.DUMMYFUNCTION("IFERROR(
  VLOOKUP(C1827,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C1827
    ), 
    7, FALSE
  ), 
  """"
)
"),"")</f>
        <v/>
      </c>
      <c r="P1827" s="35"/>
      <c r="Q1827" s="36" t="str">
        <f t="shared" si="4"/>
        <v/>
      </c>
      <c r="R1827" s="33"/>
      <c r="S1827" s="31"/>
      <c r="T1827" s="37"/>
      <c r="U1827" s="37"/>
      <c r="V1827" s="37"/>
      <c r="W1827" s="37"/>
      <c r="X1827" s="25"/>
      <c r="Y1827" s="25"/>
      <c r="Z1827" s="25"/>
      <c r="AA1827" s="25"/>
      <c r="AB1827" s="25"/>
      <c r="AC1827" s="25"/>
      <c r="AD1827" s="25"/>
      <c r="AE1827" s="25"/>
      <c r="AF1827" s="25"/>
      <c r="AG1827" s="25"/>
      <c r="AH1827" s="25"/>
      <c r="AI1827" s="25"/>
      <c r="AJ1827" s="25"/>
      <c r="AK1827" s="25"/>
      <c r="AL1827" s="25"/>
      <c r="AM1827" s="25"/>
    </row>
    <row r="1828">
      <c r="A1828" s="24"/>
      <c r="B1828" s="13"/>
      <c r="C1828" s="62"/>
      <c r="D1828" s="14"/>
      <c r="E1828" s="15"/>
      <c r="F1828" s="16"/>
      <c r="G1828" s="17" t="str">
        <f t="shared" si="61"/>
        <v/>
      </c>
      <c r="H1828" s="18" t="str">
        <f t="shared" si="73"/>
        <v/>
      </c>
      <c r="I1828" s="19" t="str">
        <f t="shared" si="65"/>
        <v/>
      </c>
      <c r="J1828" s="20" t="str">
        <f t="shared" si="25"/>
        <v/>
      </c>
      <c r="K1828" s="20"/>
      <c r="L1828" s="20"/>
      <c r="M1828" s="20"/>
      <c r="N1828" s="21"/>
      <c r="O1828" s="22" t="str">
        <f>IFERROR(__xludf.DUMMYFUNCTION("IFERROR(
  VLOOKUP(C1828,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C1828
    ), 
    7, FALSE
  ), 
  """"
)
"),"")</f>
        <v/>
      </c>
      <c r="P1828" s="22"/>
      <c r="Q1828" s="23" t="str">
        <f t="shared" si="4"/>
        <v/>
      </c>
      <c r="R1828" s="20"/>
      <c r="S1828" s="18"/>
      <c r="T1828" s="24"/>
      <c r="U1828" s="24"/>
      <c r="V1828" s="24"/>
      <c r="W1828" s="24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</row>
    <row r="1829">
      <c r="A1829" s="37"/>
      <c r="B1829" s="25"/>
      <c r="C1829" s="60"/>
      <c r="D1829" s="27"/>
      <c r="E1829" s="28"/>
      <c r="F1829" s="29"/>
      <c r="G1829" s="30" t="str">
        <f t="shared" si="61"/>
        <v/>
      </c>
      <c r="H1829" s="31" t="str">
        <f t="shared" si="73"/>
        <v/>
      </c>
      <c r="I1829" s="32" t="str">
        <f t="shared" si="65"/>
        <v/>
      </c>
      <c r="J1829" s="33" t="str">
        <f t="shared" si="25"/>
        <v/>
      </c>
      <c r="K1829" s="33"/>
      <c r="L1829" s="33"/>
      <c r="M1829" s="33"/>
      <c r="N1829" s="34"/>
      <c r="O1829" s="35" t="str">
        <f>IFERROR(__xludf.DUMMYFUNCTION("IFERROR(
  VLOOKUP(C1829,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C1829
    ), 
    7, FALSE
  ), 
  """"
)
"),"")</f>
        <v/>
      </c>
      <c r="P1829" s="35"/>
      <c r="Q1829" s="36" t="str">
        <f t="shared" si="4"/>
        <v/>
      </c>
      <c r="R1829" s="33"/>
      <c r="S1829" s="31"/>
      <c r="T1829" s="37"/>
      <c r="U1829" s="37"/>
      <c r="V1829" s="37"/>
      <c r="W1829" s="37"/>
      <c r="X1829" s="25"/>
      <c r="Y1829" s="25"/>
      <c r="Z1829" s="25"/>
      <c r="AA1829" s="25"/>
      <c r="AB1829" s="25"/>
      <c r="AC1829" s="25"/>
      <c r="AD1829" s="25"/>
      <c r="AE1829" s="25"/>
      <c r="AF1829" s="25"/>
      <c r="AG1829" s="25"/>
      <c r="AH1829" s="25"/>
      <c r="AI1829" s="25"/>
      <c r="AJ1829" s="25"/>
      <c r="AK1829" s="25"/>
      <c r="AL1829" s="25"/>
      <c r="AM1829" s="25"/>
    </row>
    <row r="1830">
      <c r="A1830" s="24"/>
      <c r="B1830" s="13"/>
      <c r="C1830" s="62"/>
      <c r="D1830" s="14"/>
      <c r="E1830" s="15"/>
      <c r="F1830" s="16"/>
      <c r="G1830" s="17" t="str">
        <f t="shared" si="61"/>
        <v/>
      </c>
      <c r="H1830" s="18" t="str">
        <f t="shared" si="73"/>
        <v/>
      </c>
      <c r="I1830" s="19" t="str">
        <f t="shared" si="65"/>
        <v/>
      </c>
      <c r="J1830" s="20" t="str">
        <f t="shared" si="25"/>
        <v/>
      </c>
      <c r="K1830" s="20"/>
      <c r="L1830" s="20"/>
      <c r="M1830" s="20"/>
      <c r="N1830" s="21"/>
      <c r="O1830" s="22" t="str">
        <f>IFERROR(__xludf.DUMMYFUNCTION("IFERROR(
  VLOOKUP(C1830,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C1830
    ), 
    7, FALSE
  ), 
  """"
)
"),"")</f>
        <v/>
      </c>
      <c r="P1830" s="22"/>
      <c r="Q1830" s="23" t="str">
        <f t="shared" si="4"/>
        <v/>
      </c>
      <c r="R1830" s="20"/>
      <c r="S1830" s="18"/>
      <c r="T1830" s="24"/>
      <c r="U1830" s="24"/>
      <c r="V1830" s="24"/>
      <c r="W1830" s="24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</row>
    <row r="1831">
      <c r="A1831" s="37"/>
      <c r="B1831" s="25"/>
      <c r="C1831" s="60"/>
      <c r="D1831" s="27"/>
      <c r="E1831" s="28"/>
      <c r="F1831" s="29"/>
      <c r="G1831" s="30" t="str">
        <f t="shared" si="61"/>
        <v/>
      </c>
      <c r="H1831" s="31" t="str">
        <f t="shared" si="73"/>
        <v/>
      </c>
      <c r="I1831" s="32" t="str">
        <f t="shared" si="65"/>
        <v/>
      </c>
      <c r="J1831" s="33" t="str">
        <f t="shared" si="25"/>
        <v/>
      </c>
      <c r="K1831" s="33"/>
      <c r="L1831" s="33"/>
      <c r="M1831" s="33"/>
      <c r="N1831" s="34"/>
      <c r="O1831" s="35" t="str">
        <f>IFERROR(__xludf.DUMMYFUNCTION("IFERROR(
  VLOOKUP(C1831,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C1831
    ), 
    7, FALSE
  ), 
  """"
)
"),"")</f>
        <v/>
      </c>
      <c r="P1831" s="35"/>
      <c r="Q1831" s="36" t="str">
        <f t="shared" si="4"/>
        <v/>
      </c>
      <c r="R1831" s="33"/>
      <c r="S1831" s="31"/>
      <c r="T1831" s="37"/>
      <c r="U1831" s="37"/>
      <c r="V1831" s="37"/>
      <c r="W1831" s="37"/>
      <c r="X1831" s="25"/>
      <c r="Y1831" s="25"/>
      <c r="Z1831" s="25"/>
      <c r="AA1831" s="25"/>
      <c r="AB1831" s="25"/>
      <c r="AC1831" s="25"/>
      <c r="AD1831" s="25"/>
      <c r="AE1831" s="25"/>
      <c r="AF1831" s="25"/>
      <c r="AG1831" s="25"/>
      <c r="AH1831" s="25"/>
      <c r="AI1831" s="25"/>
      <c r="AJ1831" s="25"/>
      <c r="AK1831" s="25"/>
      <c r="AL1831" s="25"/>
      <c r="AM1831" s="25"/>
    </row>
    <row r="1832">
      <c r="A1832" s="24"/>
      <c r="B1832" s="13"/>
      <c r="C1832" s="62"/>
      <c r="D1832" s="14"/>
      <c r="E1832" s="15"/>
      <c r="F1832" s="16"/>
      <c r="G1832" s="17" t="str">
        <f t="shared" si="61"/>
        <v/>
      </c>
      <c r="H1832" s="18" t="str">
        <f t="shared" si="73"/>
        <v/>
      </c>
      <c r="I1832" s="19" t="str">
        <f t="shared" si="65"/>
        <v/>
      </c>
      <c r="J1832" s="20" t="str">
        <f t="shared" si="25"/>
        <v/>
      </c>
      <c r="K1832" s="20"/>
      <c r="L1832" s="20"/>
      <c r="M1832" s="20"/>
      <c r="N1832" s="21"/>
      <c r="O1832" s="22" t="str">
        <f>IFERROR(__xludf.DUMMYFUNCTION("IFERROR(
  VLOOKUP(C1832,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C1832
    ), 
    7, FALSE
  ), 
  """"
)
"),"")</f>
        <v/>
      </c>
      <c r="P1832" s="22"/>
      <c r="Q1832" s="23" t="str">
        <f t="shared" si="4"/>
        <v/>
      </c>
      <c r="R1832" s="20"/>
      <c r="S1832" s="18"/>
      <c r="T1832" s="24"/>
      <c r="U1832" s="24"/>
      <c r="V1832" s="24"/>
      <c r="W1832" s="24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13"/>
      <c r="AK1832" s="13"/>
      <c r="AL1832" s="13"/>
      <c r="AM1832" s="13"/>
    </row>
    <row r="1833">
      <c r="A1833" s="37"/>
      <c r="B1833" s="25"/>
      <c r="C1833" s="60"/>
      <c r="D1833" s="27"/>
      <c r="E1833" s="28"/>
      <c r="F1833" s="29"/>
      <c r="G1833" s="30" t="str">
        <f t="shared" si="61"/>
        <v/>
      </c>
      <c r="H1833" s="31" t="str">
        <f t="shared" si="73"/>
        <v/>
      </c>
      <c r="I1833" s="32" t="str">
        <f t="shared" si="65"/>
        <v/>
      </c>
      <c r="J1833" s="33" t="str">
        <f t="shared" si="25"/>
        <v/>
      </c>
      <c r="K1833" s="33"/>
      <c r="L1833" s="33"/>
      <c r="M1833" s="33"/>
      <c r="N1833" s="34"/>
      <c r="O1833" s="35" t="str">
        <f>IFERROR(__xludf.DUMMYFUNCTION("IFERROR(
  VLOOKUP(C1833,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C1833
    ), 
    7, FALSE
  ), 
  """"
)
"),"")</f>
        <v/>
      </c>
      <c r="P1833" s="35"/>
      <c r="Q1833" s="36" t="str">
        <f t="shared" si="4"/>
        <v/>
      </c>
      <c r="R1833" s="33"/>
      <c r="S1833" s="31"/>
      <c r="T1833" s="37"/>
      <c r="U1833" s="37"/>
      <c r="V1833" s="37"/>
      <c r="W1833" s="37"/>
      <c r="X1833" s="25"/>
      <c r="Y1833" s="25"/>
      <c r="Z1833" s="25"/>
      <c r="AA1833" s="25"/>
      <c r="AB1833" s="25"/>
      <c r="AC1833" s="25"/>
      <c r="AD1833" s="25"/>
      <c r="AE1833" s="25"/>
      <c r="AF1833" s="25"/>
      <c r="AG1833" s="25"/>
      <c r="AH1833" s="25"/>
      <c r="AI1833" s="25"/>
      <c r="AJ1833" s="25"/>
      <c r="AK1833" s="25"/>
      <c r="AL1833" s="25"/>
      <c r="AM1833" s="25"/>
    </row>
    <row r="1834">
      <c r="A1834" s="24"/>
      <c r="B1834" s="13"/>
      <c r="C1834" s="62"/>
      <c r="D1834" s="14"/>
      <c r="E1834" s="15"/>
      <c r="F1834" s="16"/>
      <c r="G1834" s="17" t="str">
        <f t="shared" si="61"/>
        <v/>
      </c>
      <c r="H1834" s="18" t="str">
        <f t="shared" si="73"/>
        <v/>
      </c>
      <c r="I1834" s="19" t="str">
        <f t="shared" si="65"/>
        <v/>
      </c>
      <c r="J1834" s="20" t="str">
        <f t="shared" si="25"/>
        <v/>
      </c>
      <c r="K1834" s="20"/>
      <c r="L1834" s="20"/>
      <c r="M1834" s="20"/>
      <c r="N1834" s="21"/>
      <c r="O1834" s="22" t="str">
        <f>IFERROR(__xludf.DUMMYFUNCTION("IFERROR(
  VLOOKUP(C1834,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C1834
    ), 
    7, FALSE
  ), 
  """"
)
"),"")</f>
        <v/>
      </c>
      <c r="P1834" s="22"/>
      <c r="Q1834" s="23" t="str">
        <f t="shared" si="4"/>
        <v/>
      </c>
      <c r="R1834" s="20"/>
      <c r="S1834" s="18"/>
      <c r="T1834" s="24"/>
      <c r="U1834" s="24"/>
      <c r="V1834" s="24"/>
      <c r="W1834" s="24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</row>
    <row r="1835">
      <c r="A1835" s="37"/>
      <c r="B1835" s="25"/>
      <c r="C1835" s="60"/>
      <c r="D1835" s="27"/>
      <c r="E1835" s="28"/>
      <c r="F1835" s="29"/>
      <c r="G1835" s="30" t="str">
        <f t="shared" si="61"/>
        <v/>
      </c>
      <c r="H1835" s="31" t="str">
        <f t="shared" si="73"/>
        <v/>
      </c>
      <c r="I1835" s="32" t="str">
        <f t="shared" si="65"/>
        <v/>
      </c>
      <c r="J1835" s="33" t="str">
        <f t="shared" si="25"/>
        <v/>
      </c>
      <c r="K1835" s="33"/>
      <c r="L1835" s="33"/>
      <c r="M1835" s="33"/>
      <c r="N1835" s="34"/>
      <c r="O1835" s="35" t="str">
        <f>IFERROR(__xludf.DUMMYFUNCTION("IFERROR(
  VLOOKUP(C1835,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C1835
    ), 
    7, FALSE
  ), 
  """"
)
"),"")</f>
        <v/>
      </c>
      <c r="P1835" s="35"/>
      <c r="Q1835" s="36" t="str">
        <f t="shared" si="4"/>
        <v/>
      </c>
      <c r="R1835" s="33"/>
      <c r="S1835" s="31"/>
      <c r="T1835" s="37"/>
      <c r="U1835" s="37"/>
      <c r="V1835" s="37"/>
      <c r="W1835" s="37"/>
      <c r="X1835" s="25"/>
      <c r="Y1835" s="25"/>
      <c r="Z1835" s="25"/>
      <c r="AA1835" s="25"/>
      <c r="AB1835" s="25"/>
      <c r="AC1835" s="25"/>
      <c r="AD1835" s="25"/>
      <c r="AE1835" s="25"/>
      <c r="AF1835" s="25"/>
      <c r="AG1835" s="25"/>
      <c r="AH1835" s="25"/>
      <c r="AI1835" s="25"/>
      <c r="AJ1835" s="25"/>
      <c r="AK1835" s="25"/>
      <c r="AL1835" s="25"/>
      <c r="AM1835" s="25"/>
    </row>
    <row r="1836">
      <c r="A1836" s="24"/>
      <c r="B1836" s="13"/>
      <c r="C1836" s="62"/>
      <c r="D1836" s="14"/>
      <c r="E1836" s="15"/>
      <c r="F1836" s="16"/>
      <c r="G1836" s="17" t="str">
        <f t="shared" si="61"/>
        <v/>
      </c>
      <c r="H1836" s="18" t="str">
        <f t="shared" si="73"/>
        <v/>
      </c>
      <c r="I1836" s="19" t="str">
        <f t="shared" si="65"/>
        <v/>
      </c>
      <c r="J1836" s="20" t="str">
        <f t="shared" si="25"/>
        <v/>
      </c>
      <c r="K1836" s="20"/>
      <c r="L1836" s="20"/>
      <c r="M1836" s="20"/>
      <c r="N1836" s="21"/>
      <c r="O1836" s="22" t="str">
        <f>IFERROR(__xludf.DUMMYFUNCTION("IFERROR(
  VLOOKUP(C1836,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C1836
    ), 
    7, FALSE
  ), 
  """"
)
"),"")</f>
        <v/>
      </c>
      <c r="P1836" s="22"/>
      <c r="Q1836" s="23" t="str">
        <f t="shared" si="4"/>
        <v/>
      </c>
      <c r="R1836" s="20"/>
      <c r="S1836" s="18"/>
      <c r="T1836" s="24"/>
      <c r="U1836" s="24"/>
      <c r="V1836" s="24"/>
      <c r="W1836" s="24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</row>
    <row r="1837">
      <c r="A1837" s="37"/>
      <c r="B1837" s="25"/>
      <c r="C1837" s="60"/>
      <c r="D1837" s="27"/>
      <c r="E1837" s="28"/>
      <c r="F1837" s="29"/>
      <c r="G1837" s="30" t="str">
        <f t="shared" si="61"/>
        <v/>
      </c>
      <c r="H1837" s="31" t="str">
        <f t="shared" si="73"/>
        <v/>
      </c>
      <c r="I1837" s="32" t="str">
        <f t="shared" si="65"/>
        <v/>
      </c>
      <c r="J1837" s="33" t="str">
        <f t="shared" si="25"/>
        <v/>
      </c>
      <c r="K1837" s="33"/>
      <c r="L1837" s="33"/>
      <c r="M1837" s="33"/>
      <c r="N1837" s="34"/>
      <c r="O1837" s="35" t="str">
        <f>IFERROR(__xludf.DUMMYFUNCTION("IFERROR(
  VLOOKUP(C1837,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C1837
    ), 
    7, FALSE
  ), 
  """"
)
"),"")</f>
        <v/>
      </c>
      <c r="P1837" s="35"/>
      <c r="Q1837" s="36" t="str">
        <f t="shared" si="4"/>
        <v/>
      </c>
      <c r="R1837" s="33"/>
      <c r="S1837" s="31"/>
      <c r="T1837" s="37"/>
      <c r="U1837" s="37"/>
      <c r="V1837" s="37"/>
      <c r="W1837" s="37"/>
      <c r="X1837" s="25"/>
      <c r="Y1837" s="25"/>
      <c r="Z1837" s="25"/>
      <c r="AA1837" s="25"/>
      <c r="AB1837" s="25"/>
      <c r="AC1837" s="25"/>
      <c r="AD1837" s="25"/>
      <c r="AE1837" s="25"/>
      <c r="AF1837" s="25"/>
      <c r="AG1837" s="25"/>
      <c r="AH1837" s="25"/>
      <c r="AI1837" s="25"/>
      <c r="AJ1837" s="25"/>
      <c r="AK1837" s="25"/>
      <c r="AL1837" s="25"/>
      <c r="AM1837" s="25"/>
    </row>
    <row r="1838">
      <c r="A1838" s="24"/>
      <c r="B1838" s="13"/>
      <c r="C1838" s="62"/>
      <c r="D1838" s="14"/>
      <c r="E1838" s="15"/>
      <c r="F1838" s="16"/>
      <c r="G1838" s="17" t="str">
        <f t="shared" si="61"/>
        <v/>
      </c>
      <c r="H1838" s="18" t="str">
        <f t="shared" si="73"/>
        <v/>
      </c>
      <c r="I1838" s="19" t="str">
        <f t="shared" si="65"/>
        <v/>
      </c>
      <c r="J1838" s="20" t="str">
        <f t="shared" si="25"/>
        <v/>
      </c>
      <c r="K1838" s="20"/>
      <c r="L1838" s="20"/>
      <c r="M1838" s="20"/>
      <c r="N1838" s="21"/>
      <c r="O1838" s="22" t="str">
        <f>IFERROR(__xludf.DUMMYFUNCTION("IFERROR(
  VLOOKUP(C1838,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C1838
    ), 
    7, FALSE
  ), 
  """"
)
"),"")</f>
        <v/>
      </c>
      <c r="P1838" s="22"/>
      <c r="Q1838" s="23" t="str">
        <f t="shared" si="4"/>
        <v/>
      </c>
      <c r="R1838" s="20"/>
      <c r="S1838" s="18"/>
      <c r="T1838" s="24"/>
      <c r="U1838" s="24"/>
      <c r="V1838" s="24"/>
      <c r="W1838" s="24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  <c r="AH1838" s="13"/>
      <c r="AI1838" s="13"/>
      <c r="AJ1838" s="13"/>
      <c r="AK1838" s="13"/>
      <c r="AL1838" s="13"/>
      <c r="AM1838" s="13"/>
    </row>
    <row r="1839">
      <c r="A1839" s="37"/>
      <c r="B1839" s="25"/>
      <c r="C1839" s="60"/>
      <c r="D1839" s="27"/>
      <c r="E1839" s="28"/>
      <c r="F1839" s="29"/>
      <c r="G1839" s="30" t="str">
        <f t="shared" si="61"/>
        <v/>
      </c>
      <c r="H1839" s="31" t="str">
        <f t="shared" si="73"/>
        <v/>
      </c>
      <c r="I1839" s="32" t="str">
        <f t="shared" si="65"/>
        <v/>
      </c>
      <c r="J1839" s="33" t="str">
        <f t="shared" si="25"/>
        <v/>
      </c>
      <c r="K1839" s="33"/>
      <c r="L1839" s="33"/>
      <c r="M1839" s="33"/>
      <c r="N1839" s="34"/>
      <c r="O1839" s="35" t="str">
        <f>IFERROR(__xludf.DUMMYFUNCTION("IFERROR(
  VLOOKUP(C1839,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C1839
    ), 
    7, FALSE
  ), 
  """"
)
"),"")</f>
        <v/>
      </c>
      <c r="P1839" s="35"/>
      <c r="Q1839" s="36" t="str">
        <f t="shared" si="4"/>
        <v/>
      </c>
      <c r="R1839" s="33"/>
      <c r="S1839" s="31"/>
      <c r="T1839" s="37"/>
      <c r="U1839" s="37"/>
      <c r="V1839" s="37"/>
      <c r="W1839" s="37"/>
      <c r="X1839" s="25"/>
      <c r="Y1839" s="25"/>
      <c r="Z1839" s="25"/>
      <c r="AA1839" s="25"/>
      <c r="AB1839" s="25"/>
      <c r="AC1839" s="25"/>
      <c r="AD1839" s="25"/>
      <c r="AE1839" s="25"/>
      <c r="AF1839" s="25"/>
      <c r="AG1839" s="25"/>
      <c r="AH1839" s="25"/>
      <c r="AI1839" s="25"/>
      <c r="AJ1839" s="25"/>
      <c r="AK1839" s="25"/>
      <c r="AL1839" s="25"/>
      <c r="AM1839" s="25"/>
    </row>
    <row r="1840">
      <c r="A1840" s="24"/>
      <c r="B1840" s="13"/>
      <c r="C1840" s="62"/>
      <c r="D1840" s="14"/>
      <c r="E1840" s="15"/>
      <c r="F1840" s="16"/>
      <c r="G1840" s="17" t="str">
        <f t="shared" si="61"/>
        <v/>
      </c>
      <c r="H1840" s="18" t="str">
        <f t="shared" si="73"/>
        <v/>
      </c>
      <c r="I1840" s="19" t="str">
        <f t="shared" si="65"/>
        <v/>
      </c>
      <c r="J1840" s="20" t="str">
        <f t="shared" si="25"/>
        <v/>
      </c>
      <c r="K1840" s="20"/>
      <c r="L1840" s="20"/>
      <c r="M1840" s="20"/>
      <c r="N1840" s="21"/>
      <c r="O1840" s="22" t="str">
        <f>IFERROR(__xludf.DUMMYFUNCTION("IFERROR(
  VLOOKUP(C1840,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C1840
    ), 
    7, FALSE
  ), 
  """"
)
"),"")</f>
        <v/>
      </c>
      <c r="P1840" s="22"/>
      <c r="Q1840" s="23" t="str">
        <f t="shared" si="4"/>
        <v/>
      </c>
      <c r="R1840" s="20"/>
      <c r="S1840" s="18"/>
      <c r="T1840" s="24"/>
      <c r="U1840" s="24"/>
      <c r="V1840" s="24"/>
      <c r="W1840" s="24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</row>
    <row r="1841">
      <c r="A1841" s="37"/>
      <c r="B1841" s="25"/>
      <c r="C1841" s="60"/>
      <c r="D1841" s="27"/>
      <c r="E1841" s="28"/>
      <c r="F1841" s="29"/>
      <c r="G1841" s="30" t="str">
        <f t="shared" si="61"/>
        <v/>
      </c>
      <c r="H1841" s="31" t="str">
        <f t="shared" si="73"/>
        <v/>
      </c>
      <c r="I1841" s="32" t="str">
        <f t="shared" si="65"/>
        <v/>
      </c>
      <c r="J1841" s="33" t="str">
        <f t="shared" si="25"/>
        <v/>
      </c>
      <c r="K1841" s="33"/>
      <c r="L1841" s="33"/>
      <c r="M1841" s="33"/>
      <c r="N1841" s="34"/>
      <c r="O1841" s="35" t="str">
        <f>IFERROR(__xludf.DUMMYFUNCTION("IFERROR(
  VLOOKUP(C1841,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C1841
    ), 
    7, FALSE
  ), 
  """"
)
"),"")</f>
        <v/>
      </c>
      <c r="P1841" s="35"/>
      <c r="Q1841" s="36" t="str">
        <f t="shared" si="4"/>
        <v/>
      </c>
      <c r="R1841" s="33"/>
      <c r="S1841" s="31"/>
      <c r="T1841" s="37"/>
      <c r="U1841" s="37"/>
      <c r="V1841" s="37"/>
      <c r="W1841" s="37"/>
      <c r="X1841" s="25"/>
      <c r="Y1841" s="25"/>
      <c r="Z1841" s="25"/>
      <c r="AA1841" s="25"/>
      <c r="AB1841" s="25"/>
      <c r="AC1841" s="25"/>
      <c r="AD1841" s="25"/>
      <c r="AE1841" s="25"/>
      <c r="AF1841" s="25"/>
      <c r="AG1841" s="25"/>
      <c r="AH1841" s="25"/>
      <c r="AI1841" s="25"/>
      <c r="AJ1841" s="25"/>
      <c r="AK1841" s="25"/>
      <c r="AL1841" s="25"/>
      <c r="AM1841" s="25"/>
    </row>
    <row r="1842">
      <c r="A1842" s="24"/>
      <c r="B1842" s="13"/>
      <c r="C1842" s="62"/>
      <c r="D1842" s="14"/>
      <c r="E1842" s="15"/>
      <c r="F1842" s="16"/>
      <c r="G1842" s="17" t="str">
        <f t="shared" si="61"/>
        <v/>
      </c>
      <c r="H1842" s="18" t="str">
        <f t="shared" si="73"/>
        <v/>
      </c>
      <c r="I1842" s="19" t="str">
        <f t="shared" si="65"/>
        <v/>
      </c>
      <c r="J1842" s="20" t="str">
        <f t="shared" si="25"/>
        <v/>
      </c>
      <c r="K1842" s="20"/>
      <c r="L1842" s="20"/>
      <c r="M1842" s="20"/>
      <c r="N1842" s="21"/>
      <c r="O1842" s="22" t="str">
        <f>IFERROR(__xludf.DUMMYFUNCTION("IFERROR(
  VLOOKUP(C1842,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C1842
    ), 
    7, FALSE
  ), 
  """"
)
"),"")</f>
        <v/>
      </c>
      <c r="P1842" s="22"/>
      <c r="Q1842" s="23" t="str">
        <f t="shared" si="4"/>
        <v/>
      </c>
      <c r="R1842" s="20"/>
      <c r="S1842" s="18"/>
      <c r="T1842" s="24"/>
      <c r="U1842" s="24"/>
      <c r="V1842" s="24"/>
      <c r="W1842" s="24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</row>
    <row r="1843">
      <c r="A1843" s="37"/>
      <c r="B1843" s="25"/>
      <c r="C1843" s="60"/>
      <c r="D1843" s="27"/>
      <c r="E1843" s="28"/>
      <c r="F1843" s="29"/>
      <c r="G1843" s="30" t="str">
        <f t="shared" si="61"/>
        <v/>
      </c>
      <c r="H1843" s="31" t="str">
        <f t="shared" si="73"/>
        <v/>
      </c>
      <c r="I1843" s="32" t="str">
        <f t="shared" si="65"/>
        <v/>
      </c>
      <c r="J1843" s="33" t="str">
        <f t="shared" si="25"/>
        <v/>
      </c>
      <c r="K1843" s="33"/>
      <c r="L1843" s="33"/>
      <c r="M1843" s="33"/>
      <c r="N1843" s="34"/>
      <c r="O1843" s="35" t="str">
        <f>IFERROR(__xludf.DUMMYFUNCTION("IFERROR(
  VLOOKUP(C1843,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C1843
    ), 
    7, FALSE
  ), 
  """"
)
"),"")</f>
        <v/>
      </c>
      <c r="P1843" s="35"/>
      <c r="Q1843" s="36" t="str">
        <f t="shared" si="4"/>
        <v/>
      </c>
      <c r="R1843" s="33"/>
      <c r="S1843" s="31"/>
      <c r="T1843" s="37"/>
      <c r="U1843" s="37"/>
      <c r="V1843" s="37"/>
      <c r="W1843" s="37"/>
      <c r="X1843" s="25"/>
      <c r="Y1843" s="25"/>
      <c r="Z1843" s="25"/>
      <c r="AA1843" s="25"/>
      <c r="AB1843" s="25"/>
      <c r="AC1843" s="25"/>
      <c r="AD1843" s="25"/>
      <c r="AE1843" s="25"/>
      <c r="AF1843" s="25"/>
      <c r="AG1843" s="25"/>
      <c r="AH1843" s="25"/>
      <c r="AI1843" s="25"/>
      <c r="AJ1843" s="25"/>
      <c r="AK1843" s="25"/>
      <c r="AL1843" s="25"/>
      <c r="AM1843" s="25"/>
    </row>
    <row r="1844">
      <c r="A1844" s="24"/>
      <c r="B1844" s="13"/>
      <c r="C1844" s="62"/>
      <c r="D1844" s="14"/>
      <c r="E1844" s="15"/>
      <c r="F1844" s="16"/>
      <c r="G1844" s="17" t="str">
        <f t="shared" si="61"/>
        <v/>
      </c>
      <c r="H1844" s="18" t="str">
        <f t="shared" si="73"/>
        <v/>
      </c>
      <c r="I1844" s="19" t="str">
        <f t="shared" si="65"/>
        <v/>
      </c>
      <c r="J1844" s="20" t="str">
        <f t="shared" si="25"/>
        <v/>
      </c>
      <c r="K1844" s="20"/>
      <c r="L1844" s="20"/>
      <c r="M1844" s="20"/>
      <c r="N1844" s="21"/>
      <c r="O1844" s="22" t="str">
        <f>IFERROR(__xludf.DUMMYFUNCTION("IFERROR(
  VLOOKUP(C1844,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C1844
    ), 
    7, FALSE
  ), 
  """"
)
"),"")</f>
        <v/>
      </c>
      <c r="P1844" s="22"/>
      <c r="Q1844" s="23" t="str">
        <f t="shared" si="4"/>
        <v/>
      </c>
      <c r="R1844" s="20"/>
      <c r="S1844" s="18"/>
      <c r="T1844" s="24"/>
      <c r="U1844" s="24"/>
      <c r="V1844" s="24"/>
      <c r="W1844" s="24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  <c r="AL1844" s="13"/>
      <c r="AM1844" s="13"/>
    </row>
    <row r="1845">
      <c r="A1845" s="37"/>
      <c r="B1845" s="25"/>
      <c r="C1845" s="60"/>
      <c r="D1845" s="27"/>
      <c r="E1845" s="28"/>
      <c r="F1845" s="29"/>
      <c r="G1845" s="30" t="str">
        <f t="shared" si="61"/>
        <v/>
      </c>
      <c r="H1845" s="31" t="str">
        <f t="shared" si="73"/>
        <v/>
      </c>
      <c r="I1845" s="32" t="str">
        <f t="shared" si="65"/>
        <v/>
      </c>
      <c r="J1845" s="33" t="str">
        <f t="shared" si="25"/>
        <v/>
      </c>
      <c r="K1845" s="33"/>
      <c r="L1845" s="33"/>
      <c r="M1845" s="33"/>
      <c r="N1845" s="34"/>
      <c r="O1845" s="35" t="str">
        <f>IFERROR(__xludf.DUMMYFUNCTION("IFERROR(
  VLOOKUP(C1845,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C1845
    ), 
    7, FALSE
  ), 
  """"
)
"),"")</f>
        <v/>
      </c>
      <c r="P1845" s="35"/>
      <c r="Q1845" s="36" t="str">
        <f t="shared" si="4"/>
        <v/>
      </c>
      <c r="R1845" s="33"/>
      <c r="S1845" s="31"/>
      <c r="T1845" s="37"/>
      <c r="U1845" s="37"/>
      <c r="V1845" s="37"/>
      <c r="W1845" s="37"/>
      <c r="X1845" s="25"/>
      <c r="Y1845" s="25"/>
      <c r="Z1845" s="25"/>
      <c r="AA1845" s="25"/>
      <c r="AB1845" s="25"/>
      <c r="AC1845" s="25"/>
      <c r="AD1845" s="25"/>
      <c r="AE1845" s="25"/>
      <c r="AF1845" s="25"/>
      <c r="AG1845" s="25"/>
      <c r="AH1845" s="25"/>
      <c r="AI1845" s="25"/>
      <c r="AJ1845" s="25"/>
      <c r="AK1845" s="25"/>
      <c r="AL1845" s="25"/>
      <c r="AM1845" s="25"/>
    </row>
    <row r="1846">
      <c r="A1846" s="24"/>
      <c r="B1846" s="13"/>
      <c r="C1846" s="62"/>
      <c r="D1846" s="14"/>
      <c r="E1846" s="15"/>
      <c r="F1846" s="16"/>
      <c r="G1846" s="17" t="str">
        <f t="shared" si="61"/>
        <v/>
      </c>
      <c r="H1846" s="18" t="str">
        <f t="shared" si="73"/>
        <v/>
      </c>
      <c r="I1846" s="19" t="str">
        <f t="shared" si="65"/>
        <v/>
      </c>
      <c r="J1846" s="20" t="str">
        <f t="shared" si="25"/>
        <v/>
      </c>
      <c r="K1846" s="20"/>
      <c r="L1846" s="20"/>
      <c r="M1846" s="20"/>
      <c r="N1846" s="21"/>
      <c r="O1846" s="22" t="str">
        <f>IFERROR(__xludf.DUMMYFUNCTION("IFERROR(
  VLOOKUP(C1846,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C1846
    ), 
    7, FALSE
  ), 
  """"
)
"),"")</f>
        <v/>
      </c>
      <c r="P1846" s="22"/>
      <c r="Q1846" s="23" t="str">
        <f t="shared" si="4"/>
        <v/>
      </c>
      <c r="R1846" s="20"/>
      <c r="S1846" s="18"/>
      <c r="T1846" s="24"/>
      <c r="U1846" s="24"/>
      <c r="V1846" s="24"/>
      <c r="W1846" s="24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  <c r="AH1846" s="13"/>
      <c r="AI1846" s="13"/>
      <c r="AJ1846" s="13"/>
      <c r="AK1846" s="13"/>
      <c r="AL1846" s="13"/>
      <c r="AM1846" s="13"/>
    </row>
    <row r="1847">
      <c r="A1847" s="37"/>
      <c r="B1847" s="25"/>
      <c r="C1847" s="60"/>
      <c r="D1847" s="27"/>
      <c r="E1847" s="28"/>
      <c r="F1847" s="29"/>
      <c r="G1847" s="30" t="str">
        <f t="shared" si="61"/>
        <v/>
      </c>
      <c r="H1847" s="31" t="str">
        <f t="shared" si="73"/>
        <v/>
      </c>
      <c r="I1847" s="32" t="str">
        <f t="shared" si="65"/>
        <v/>
      </c>
      <c r="J1847" s="33" t="str">
        <f t="shared" si="25"/>
        <v/>
      </c>
      <c r="K1847" s="33"/>
      <c r="L1847" s="33"/>
      <c r="M1847" s="33"/>
      <c r="N1847" s="34"/>
      <c r="O1847" s="35" t="str">
        <f>IFERROR(__xludf.DUMMYFUNCTION("IFERROR(
  VLOOKUP(C1847,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C1847
    ), 
    7, FALSE
  ), 
  """"
)
"),"")</f>
        <v/>
      </c>
      <c r="P1847" s="35"/>
      <c r="Q1847" s="36" t="str">
        <f t="shared" si="4"/>
        <v/>
      </c>
      <c r="R1847" s="33"/>
      <c r="S1847" s="31"/>
      <c r="T1847" s="37"/>
      <c r="U1847" s="37"/>
      <c r="V1847" s="37"/>
      <c r="W1847" s="37"/>
      <c r="X1847" s="25"/>
      <c r="Y1847" s="25"/>
      <c r="Z1847" s="25"/>
      <c r="AA1847" s="25"/>
      <c r="AB1847" s="25"/>
      <c r="AC1847" s="25"/>
      <c r="AD1847" s="25"/>
      <c r="AE1847" s="25"/>
      <c r="AF1847" s="25"/>
      <c r="AG1847" s="25"/>
      <c r="AH1847" s="25"/>
      <c r="AI1847" s="25"/>
      <c r="AJ1847" s="25"/>
      <c r="AK1847" s="25"/>
      <c r="AL1847" s="25"/>
      <c r="AM1847" s="25"/>
    </row>
    <row r="1848">
      <c r="A1848" s="24"/>
      <c r="B1848" s="13"/>
      <c r="C1848" s="62"/>
      <c r="D1848" s="14"/>
      <c r="E1848" s="15"/>
      <c r="F1848" s="16"/>
      <c r="G1848" s="17" t="str">
        <f t="shared" si="61"/>
        <v/>
      </c>
      <c r="H1848" s="18" t="str">
        <f t="shared" si="73"/>
        <v/>
      </c>
      <c r="I1848" s="19" t="str">
        <f t="shared" si="65"/>
        <v/>
      </c>
      <c r="J1848" s="20" t="str">
        <f t="shared" si="25"/>
        <v/>
      </c>
      <c r="K1848" s="20"/>
      <c r="L1848" s="20"/>
      <c r="M1848" s="20"/>
      <c r="N1848" s="21"/>
      <c r="O1848" s="22" t="str">
        <f>IFERROR(__xludf.DUMMYFUNCTION("IFERROR(
  VLOOKUP(C1848,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C1848
    ), 
    7, FALSE
  ), 
  """"
)
"),"")</f>
        <v/>
      </c>
      <c r="P1848" s="22"/>
      <c r="Q1848" s="23" t="str">
        <f t="shared" si="4"/>
        <v/>
      </c>
      <c r="R1848" s="20"/>
      <c r="S1848" s="18"/>
      <c r="T1848" s="24"/>
      <c r="U1848" s="24"/>
      <c r="V1848" s="24"/>
      <c r="W1848" s="24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  <c r="AH1848" s="13"/>
      <c r="AI1848" s="13"/>
      <c r="AJ1848" s="13"/>
      <c r="AK1848" s="13"/>
      <c r="AL1848" s="13"/>
      <c r="AM1848" s="13"/>
    </row>
    <row r="1849">
      <c r="A1849" s="37"/>
      <c r="B1849" s="25"/>
      <c r="C1849" s="60"/>
      <c r="D1849" s="27"/>
      <c r="E1849" s="28"/>
      <c r="F1849" s="29"/>
      <c r="G1849" s="30" t="str">
        <f t="shared" si="61"/>
        <v/>
      </c>
      <c r="H1849" s="31" t="str">
        <f t="shared" si="73"/>
        <v/>
      </c>
      <c r="I1849" s="32" t="str">
        <f t="shared" si="65"/>
        <v/>
      </c>
      <c r="J1849" s="33" t="str">
        <f t="shared" si="25"/>
        <v/>
      </c>
      <c r="K1849" s="33"/>
      <c r="L1849" s="33"/>
      <c r="M1849" s="33"/>
      <c r="N1849" s="34"/>
      <c r="O1849" s="35" t="str">
        <f>IFERROR(__xludf.DUMMYFUNCTION("IFERROR(
  VLOOKUP(C1849,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C1849
    ), 
    7, FALSE
  ), 
  """"
)
"),"")</f>
        <v/>
      </c>
      <c r="P1849" s="35"/>
      <c r="Q1849" s="36" t="str">
        <f t="shared" si="4"/>
        <v/>
      </c>
      <c r="R1849" s="33"/>
      <c r="S1849" s="31"/>
      <c r="T1849" s="37"/>
      <c r="U1849" s="37"/>
      <c r="V1849" s="37"/>
      <c r="W1849" s="37"/>
      <c r="X1849" s="25"/>
      <c r="Y1849" s="25"/>
      <c r="Z1849" s="25"/>
      <c r="AA1849" s="25"/>
      <c r="AB1849" s="25"/>
      <c r="AC1849" s="25"/>
      <c r="AD1849" s="25"/>
      <c r="AE1849" s="25"/>
      <c r="AF1849" s="25"/>
      <c r="AG1849" s="25"/>
      <c r="AH1849" s="25"/>
      <c r="AI1849" s="25"/>
      <c r="AJ1849" s="25"/>
      <c r="AK1849" s="25"/>
      <c r="AL1849" s="25"/>
      <c r="AM1849" s="25"/>
    </row>
    <row r="1850">
      <c r="A1850" s="24"/>
      <c r="B1850" s="13"/>
      <c r="C1850" s="62"/>
      <c r="D1850" s="14"/>
      <c r="E1850" s="15"/>
      <c r="F1850" s="16"/>
      <c r="G1850" s="17" t="str">
        <f t="shared" si="61"/>
        <v/>
      </c>
      <c r="H1850" s="18" t="str">
        <f t="shared" si="73"/>
        <v/>
      </c>
      <c r="I1850" s="19" t="str">
        <f t="shared" si="65"/>
        <v/>
      </c>
      <c r="J1850" s="20" t="str">
        <f t="shared" si="25"/>
        <v/>
      </c>
      <c r="K1850" s="20"/>
      <c r="L1850" s="20"/>
      <c r="M1850" s="20"/>
      <c r="N1850" s="21"/>
      <c r="O1850" s="22" t="str">
        <f>IFERROR(__xludf.DUMMYFUNCTION("IFERROR(
  VLOOKUP(C1850,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C1850
    ), 
    7, FALSE
  ), 
  """"
)
"),"")</f>
        <v/>
      </c>
      <c r="P1850" s="22"/>
      <c r="Q1850" s="23" t="str">
        <f t="shared" si="4"/>
        <v/>
      </c>
      <c r="R1850" s="20"/>
      <c r="S1850" s="18"/>
      <c r="T1850" s="24"/>
      <c r="U1850" s="24"/>
      <c r="V1850" s="24"/>
      <c r="W1850" s="24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  <c r="AL1850" s="13"/>
      <c r="AM1850" s="13"/>
    </row>
    <row r="1851">
      <c r="A1851" s="37"/>
      <c r="B1851" s="25"/>
      <c r="C1851" s="60"/>
      <c r="D1851" s="27"/>
      <c r="E1851" s="28"/>
      <c r="F1851" s="29"/>
      <c r="G1851" s="30" t="str">
        <f t="shared" si="61"/>
        <v/>
      </c>
      <c r="H1851" s="31" t="str">
        <f t="shared" si="73"/>
        <v/>
      </c>
      <c r="I1851" s="32" t="str">
        <f t="shared" si="65"/>
        <v/>
      </c>
      <c r="J1851" s="33" t="str">
        <f t="shared" si="25"/>
        <v/>
      </c>
      <c r="K1851" s="33"/>
      <c r="L1851" s="33"/>
      <c r="M1851" s="33"/>
      <c r="N1851" s="34"/>
      <c r="O1851" s="35" t="str">
        <f>IFERROR(__xludf.DUMMYFUNCTION("IFERROR(
  VLOOKUP(C1851,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C1851
    ), 
    7, FALSE
  ), 
  """"
)
"),"")</f>
        <v/>
      </c>
      <c r="P1851" s="35"/>
      <c r="Q1851" s="36" t="str">
        <f t="shared" si="4"/>
        <v/>
      </c>
      <c r="R1851" s="33"/>
      <c r="S1851" s="31"/>
      <c r="T1851" s="37"/>
      <c r="U1851" s="37"/>
      <c r="V1851" s="37"/>
      <c r="W1851" s="37"/>
      <c r="X1851" s="25"/>
      <c r="Y1851" s="25"/>
      <c r="Z1851" s="25"/>
      <c r="AA1851" s="25"/>
      <c r="AB1851" s="25"/>
      <c r="AC1851" s="25"/>
      <c r="AD1851" s="25"/>
      <c r="AE1851" s="25"/>
      <c r="AF1851" s="25"/>
      <c r="AG1851" s="25"/>
      <c r="AH1851" s="25"/>
      <c r="AI1851" s="25"/>
      <c r="AJ1851" s="25"/>
      <c r="AK1851" s="25"/>
      <c r="AL1851" s="25"/>
      <c r="AM1851" s="25"/>
    </row>
    <row r="1852">
      <c r="A1852" s="24"/>
      <c r="B1852" s="13"/>
      <c r="C1852" s="62"/>
      <c r="D1852" s="14"/>
      <c r="E1852" s="15"/>
      <c r="F1852" s="16"/>
      <c r="G1852" s="17" t="str">
        <f t="shared" si="61"/>
        <v/>
      </c>
      <c r="H1852" s="18" t="str">
        <f t="shared" si="73"/>
        <v/>
      </c>
      <c r="I1852" s="19" t="str">
        <f t="shared" si="65"/>
        <v/>
      </c>
      <c r="J1852" s="20" t="str">
        <f t="shared" si="25"/>
        <v/>
      </c>
      <c r="K1852" s="20"/>
      <c r="L1852" s="20"/>
      <c r="M1852" s="20"/>
      <c r="N1852" s="21"/>
      <c r="O1852" s="22" t="str">
        <f>IFERROR(__xludf.DUMMYFUNCTION("IFERROR(
  VLOOKUP(C1852,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C1852
    ), 
    7, FALSE
  ), 
  """"
)
"),"")</f>
        <v/>
      </c>
      <c r="P1852" s="22"/>
      <c r="Q1852" s="23" t="str">
        <f t="shared" si="4"/>
        <v/>
      </c>
      <c r="R1852" s="20"/>
      <c r="S1852" s="18"/>
      <c r="T1852" s="24"/>
      <c r="U1852" s="24"/>
      <c r="V1852" s="24"/>
      <c r="W1852" s="24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</row>
    <row r="1853">
      <c r="A1853" s="37"/>
      <c r="B1853" s="25"/>
      <c r="C1853" s="60"/>
      <c r="D1853" s="27"/>
      <c r="E1853" s="28"/>
      <c r="F1853" s="29"/>
      <c r="G1853" s="30" t="str">
        <f t="shared" si="61"/>
        <v/>
      </c>
      <c r="H1853" s="31" t="str">
        <f t="shared" si="73"/>
        <v/>
      </c>
      <c r="I1853" s="32" t="str">
        <f t="shared" si="65"/>
        <v/>
      </c>
      <c r="J1853" s="33" t="str">
        <f t="shared" si="25"/>
        <v/>
      </c>
      <c r="K1853" s="33"/>
      <c r="L1853" s="33"/>
      <c r="M1853" s="33"/>
      <c r="N1853" s="34"/>
      <c r="O1853" s="35" t="str">
        <f>IFERROR(__xludf.DUMMYFUNCTION("IFERROR(
  VLOOKUP(C1853,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C1853
    ), 
    7, FALSE
  ), 
  """"
)
"),"")</f>
        <v/>
      </c>
      <c r="P1853" s="35"/>
      <c r="Q1853" s="36" t="str">
        <f t="shared" si="4"/>
        <v/>
      </c>
      <c r="R1853" s="33"/>
      <c r="S1853" s="31"/>
      <c r="T1853" s="37"/>
      <c r="U1853" s="37"/>
      <c r="V1853" s="37"/>
      <c r="W1853" s="37"/>
      <c r="X1853" s="25"/>
      <c r="Y1853" s="25"/>
      <c r="Z1853" s="25"/>
      <c r="AA1853" s="25"/>
      <c r="AB1853" s="25"/>
      <c r="AC1853" s="25"/>
      <c r="AD1853" s="25"/>
      <c r="AE1853" s="25"/>
      <c r="AF1853" s="25"/>
      <c r="AG1853" s="25"/>
      <c r="AH1853" s="25"/>
      <c r="AI1853" s="25"/>
      <c r="AJ1853" s="25"/>
      <c r="AK1853" s="25"/>
      <c r="AL1853" s="25"/>
      <c r="AM1853" s="25"/>
    </row>
    <row r="1854">
      <c r="A1854" s="24"/>
      <c r="B1854" s="13"/>
      <c r="C1854" s="62"/>
      <c r="D1854" s="14"/>
      <c r="E1854" s="15"/>
      <c r="F1854" s="16"/>
      <c r="G1854" s="17" t="str">
        <f t="shared" si="61"/>
        <v/>
      </c>
      <c r="H1854" s="18" t="str">
        <f t="shared" si="73"/>
        <v/>
      </c>
      <c r="I1854" s="19" t="str">
        <f t="shared" si="65"/>
        <v/>
      </c>
      <c r="J1854" s="20" t="str">
        <f t="shared" si="25"/>
        <v/>
      </c>
      <c r="K1854" s="20"/>
      <c r="L1854" s="20"/>
      <c r="M1854" s="20"/>
      <c r="N1854" s="21"/>
      <c r="O1854" s="22" t="str">
        <f>IFERROR(__xludf.DUMMYFUNCTION("IFERROR(
  VLOOKUP(C1854,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C1854
    ), 
    7, FALSE
  ), 
  """"
)
"),"")</f>
        <v/>
      </c>
      <c r="P1854" s="22"/>
      <c r="Q1854" s="23" t="str">
        <f t="shared" si="4"/>
        <v/>
      </c>
      <c r="R1854" s="20"/>
      <c r="S1854" s="18"/>
      <c r="T1854" s="24"/>
      <c r="U1854" s="24"/>
      <c r="V1854" s="24"/>
      <c r="W1854" s="24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/>
      <c r="AK1854" s="13"/>
      <c r="AL1854" s="13"/>
      <c r="AM1854" s="13"/>
    </row>
    <row r="1855">
      <c r="A1855" s="37"/>
      <c r="B1855" s="25"/>
      <c r="C1855" s="60"/>
      <c r="D1855" s="27"/>
      <c r="E1855" s="28"/>
      <c r="F1855" s="29"/>
      <c r="G1855" s="30" t="str">
        <f t="shared" si="61"/>
        <v/>
      </c>
      <c r="H1855" s="31" t="str">
        <f t="shared" si="73"/>
        <v/>
      </c>
      <c r="I1855" s="32" t="str">
        <f t="shared" si="65"/>
        <v/>
      </c>
      <c r="J1855" s="33" t="str">
        <f t="shared" si="25"/>
        <v/>
      </c>
      <c r="K1855" s="33"/>
      <c r="L1855" s="33"/>
      <c r="M1855" s="33"/>
      <c r="N1855" s="34"/>
      <c r="O1855" s="35" t="str">
        <f>IFERROR(__xludf.DUMMYFUNCTION("IFERROR(
  VLOOKUP(C1855,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C1855
    ), 
    7, FALSE
  ), 
  """"
)
"),"")</f>
        <v/>
      </c>
      <c r="P1855" s="35"/>
      <c r="Q1855" s="36" t="str">
        <f t="shared" si="4"/>
        <v/>
      </c>
      <c r="R1855" s="33"/>
      <c r="S1855" s="31"/>
      <c r="T1855" s="37"/>
      <c r="U1855" s="37"/>
      <c r="V1855" s="37"/>
      <c r="W1855" s="37"/>
      <c r="X1855" s="25"/>
      <c r="Y1855" s="25"/>
      <c r="Z1855" s="25"/>
      <c r="AA1855" s="25"/>
      <c r="AB1855" s="25"/>
      <c r="AC1855" s="25"/>
      <c r="AD1855" s="25"/>
      <c r="AE1855" s="25"/>
      <c r="AF1855" s="25"/>
      <c r="AG1855" s="25"/>
      <c r="AH1855" s="25"/>
      <c r="AI1855" s="25"/>
      <c r="AJ1855" s="25"/>
      <c r="AK1855" s="25"/>
      <c r="AL1855" s="25"/>
      <c r="AM1855" s="25"/>
    </row>
    <row r="1856">
      <c r="A1856" s="24"/>
      <c r="B1856" s="13"/>
      <c r="C1856" s="62"/>
      <c r="D1856" s="14"/>
      <c r="E1856" s="15"/>
      <c r="F1856" s="16"/>
      <c r="G1856" s="17" t="str">
        <f t="shared" si="61"/>
        <v/>
      </c>
      <c r="H1856" s="18" t="str">
        <f t="shared" si="73"/>
        <v/>
      </c>
      <c r="I1856" s="19" t="str">
        <f t="shared" si="65"/>
        <v/>
      </c>
      <c r="J1856" s="20" t="str">
        <f t="shared" si="25"/>
        <v/>
      </c>
      <c r="K1856" s="20"/>
      <c r="L1856" s="20"/>
      <c r="M1856" s="20"/>
      <c r="N1856" s="21"/>
      <c r="O1856" s="22" t="str">
        <f>IFERROR(__xludf.DUMMYFUNCTION("IFERROR(
  VLOOKUP(C1856,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C1856
    ), 
    7, FALSE
  ), 
  """"
)
"),"")</f>
        <v/>
      </c>
      <c r="P1856" s="22"/>
      <c r="Q1856" s="23" t="str">
        <f t="shared" si="4"/>
        <v/>
      </c>
      <c r="R1856" s="20"/>
      <c r="S1856" s="18"/>
      <c r="T1856" s="24"/>
      <c r="U1856" s="24"/>
      <c r="V1856" s="24"/>
      <c r="W1856" s="24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</row>
    <row r="1857">
      <c r="A1857" s="37"/>
      <c r="B1857" s="25"/>
      <c r="C1857" s="60"/>
      <c r="D1857" s="27"/>
      <c r="E1857" s="28"/>
      <c r="F1857" s="29"/>
      <c r="G1857" s="30" t="str">
        <f t="shared" si="61"/>
        <v/>
      </c>
      <c r="H1857" s="31" t="str">
        <f t="shared" si="73"/>
        <v/>
      </c>
      <c r="I1857" s="32" t="str">
        <f t="shared" si="65"/>
        <v/>
      </c>
      <c r="J1857" s="33" t="str">
        <f t="shared" si="25"/>
        <v/>
      </c>
      <c r="K1857" s="33"/>
      <c r="L1857" s="33"/>
      <c r="M1857" s="33"/>
      <c r="N1857" s="34"/>
      <c r="O1857" s="35" t="str">
        <f>IFERROR(__xludf.DUMMYFUNCTION("IFERROR(
  VLOOKUP(C1857,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C1857
    ), 
    7, FALSE
  ), 
  """"
)
"),"")</f>
        <v/>
      </c>
      <c r="P1857" s="35"/>
      <c r="Q1857" s="36" t="str">
        <f t="shared" si="4"/>
        <v/>
      </c>
      <c r="R1857" s="33"/>
      <c r="S1857" s="31"/>
      <c r="T1857" s="37"/>
      <c r="U1857" s="37"/>
      <c r="V1857" s="37"/>
      <c r="W1857" s="37"/>
      <c r="X1857" s="25"/>
      <c r="Y1857" s="25"/>
      <c r="Z1857" s="25"/>
      <c r="AA1857" s="25"/>
      <c r="AB1857" s="25"/>
      <c r="AC1857" s="25"/>
      <c r="AD1857" s="25"/>
      <c r="AE1857" s="25"/>
      <c r="AF1857" s="25"/>
      <c r="AG1857" s="25"/>
      <c r="AH1857" s="25"/>
      <c r="AI1857" s="25"/>
      <c r="AJ1857" s="25"/>
      <c r="AK1857" s="25"/>
      <c r="AL1857" s="25"/>
      <c r="AM1857" s="25"/>
    </row>
    <row r="1858">
      <c r="A1858" s="24"/>
      <c r="B1858" s="13"/>
      <c r="C1858" s="62"/>
      <c r="D1858" s="14"/>
      <c r="E1858" s="15"/>
      <c r="F1858" s="16"/>
      <c r="G1858" s="17" t="str">
        <f t="shared" si="61"/>
        <v/>
      </c>
      <c r="H1858" s="18" t="str">
        <f t="shared" si="73"/>
        <v/>
      </c>
      <c r="I1858" s="19" t="str">
        <f t="shared" si="65"/>
        <v/>
      </c>
      <c r="J1858" s="20" t="str">
        <f t="shared" si="25"/>
        <v/>
      </c>
      <c r="K1858" s="20"/>
      <c r="L1858" s="20"/>
      <c r="M1858" s="20"/>
      <c r="N1858" s="21"/>
      <c r="O1858" s="22" t="str">
        <f>IFERROR(__xludf.DUMMYFUNCTION("IFERROR(
  VLOOKUP(C1858,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C1858
    ), 
    7, FALSE
  ), 
  """"
)
"),"")</f>
        <v/>
      </c>
      <c r="P1858" s="22"/>
      <c r="Q1858" s="23" t="str">
        <f t="shared" si="4"/>
        <v/>
      </c>
      <c r="R1858" s="20"/>
      <c r="S1858" s="18"/>
      <c r="T1858" s="24"/>
      <c r="U1858" s="24"/>
      <c r="V1858" s="24"/>
      <c r="W1858" s="24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</row>
    <row r="1859">
      <c r="A1859" s="37"/>
      <c r="B1859" s="25"/>
      <c r="C1859" s="60"/>
      <c r="D1859" s="27"/>
      <c r="E1859" s="28"/>
      <c r="F1859" s="29"/>
      <c r="G1859" s="30" t="str">
        <f t="shared" si="61"/>
        <v/>
      </c>
      <c r="H1859" s="31" t="str">
        <f t="shared" si="73"/>
        <v/>
      </c>
      <c r="I1859" s="32" t="str">
        <f t="shared" si="65"/>
        <v/>
      </c>
      <c r="J1859" s="33" t="str">
        <f t="shared" si="25"/>
        <v/>
      </c>
      <c r="K1859" s="33"/>
      <c r="L1859" s="33"/>
      <c r="M1859" s="33"/>
      <c r="N1859" s="34"/>
      <c r="O1859" s="35" t="str">
        <f>IFERROR(__xludf.DUMMYFUNCTION("IFERROR(
  VLOOKUP(C1859,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C1859
    ), 
    7, FALSE
  ), 
  """"
)
"),"")</f>
        <v/>
      </c>
      <c r="P1859" s="35"/>
      <c r="Q1859" s="36" t="str">
        <f t="shared" si="4"/>
        <v/>
      </c>
      <c r="R1859" s="33"/>
      <c r="S1859" s="31"/>
      <c r="T1859" s="37"/>
      <c r="U1859" s="37"/>
      <c r="V1859" s="37"/>
      <c r="W1859" s="37"/>
      <c r="X1859" s="25"/>
      <c r="Y1859" s="25"/>
      <c r="Z1859" s="25"/>
      <c r="AA1859" s="25"/>
      <c r="AB1859" s="25"/>
      <c r="AC1859" s="25"/>
      <c r="AD1859" s="25"/>
      <c r="AE1859" s="25"/>
      <c r="AF1859" s="25"/>
      <c r="AG1859" s="25"/>
      <c r="AH1859" s="25"/>
      <c r="AI1859" s="25"/>
      <c r="AJ1859" s="25"/>
      <c r="AK1859" s="25"/>
      <c r="AL1859" s="25"/>
      <c r="AM1859" s="25"/>
    </row>
    <row r="1860">
      <c r="A1860" s="24"/>
      <c r="B1860" s="13"/>
      <c r="C1860" s="62"/>
      <c r="D1860" s="14"/>
      <c r="E1860" s="15"/>
      <c r="F1860" s="16"/>
      <c r="G1860" s="17" t="str">
        <f t="shared" si="61"/>
        <v/>
      </c>
      <c r="H1860" s="18" t="str">
        <f t="shared" si="73"/>
        <v/>
      </c>
      <c r="I1860" s="19" t="str">
        <f t="shared" si="65"/>
        <v/>
      </c>
      <c r="J1860" s="20" t="str">
        <f t="shared" si="25"/>
        <v/>
      </c>
      <c r="K1860" s="20"/>
      <c r="L1860" s="20"/>
      <c r="M1860" s="20"/>
      <c r="N1860" s="21"/>
      <c r="O1860" s="22" t="str">
        <f>IFERROR(__xludf.DUMMYFUNCTION("IFERROR(
  VLOOKUP(C1860,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C1860
    ), 
    7, FALSE
  ), 
  """"
)
"),"")</f>
        <v/>
      </c>
      <c r="P1860" s="22"/>
      <c r="Q1860" s="23" t="str">
        <f t="shared" si="4"/>
        <v/>
      </c>
      <c r="R1860" s="20"/>
      <c r="S1860" s="18"/>
      <c r="T1860" s="24"/>
      <c r="U1860" s="24"/>
      <c r="V1860" s="24"/>
      <c r="W1860" s="24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</row>
    <row r="1861">
      <c r="A1861" s="37"/>
      <c r="B1861" s="25"/>
      <c r="C1861" s="60"/>
      <c r="D1861" s="27"/>
      <c r="E1861" s="28"/>
      <c r="F1861" s="29"/>
      <c r="G1861" s="30" t="str">
        <f t="shared" si="61"/>
        <v/>
      </c>
      <c r="H1861" s="31" t="str">
        <f t="shared" si="73"/>
        <v/>
      </c>
      <c r="I1861" s="32" t="str">
        <f t="shared" si="65"/>
        <v/>
      </c>
      <c r="J1861" s="33" t="str">
        <f t="shared" si="25"/>
        <v/>
      </c>
      <c r="K1861" s="33"/>
      <c r="L1861" s="33"/>
      <c r="M1861" s="33"/>
      <c r="N1861" s="34"/>
      <c r="O1861" s="35" t="str">
        <f>IFERROR(__xludf.DUMMYFUNCTION("IFERROR(
  VLOOKUP(C1861,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C1861
    ), 
    7, FALSE
  ), 
  """"
)
"),"")</f>
        <v/>
      </c>
      <c r="P1861" s="35"/>
      <c r="Q1861" s="36" t="str">
        <f t="shared" si="4"/>
        <v/>
      </c>
      <c r="R1861" s="33"/>
      <c r="S1861" s="31"/>
      <c r="T1861" s="37"/>
      <c r="U1861" s="37"/>
      <c r="V1861" s="37"/>
      <c r="W1861" s="37"/>
      <c r="X1861" s="25"/>
      <c r="Y1861" s="25"/>
      <c r="Z1861" s="25"/>
      <c r="AA1861" s="25"/>
      <c r="AB1861" s="25"/>
      <c r="AC1861" s="25"/>
      <c r="AD1861" s="25"/>
      <c r="AE1861" s="25"/>
      <c r="AF1861" s="25"/>
      <c r="AG1861" s="25"/>
      <c r="AH1861" s="25"/>
      <c r="AI1861" s="25"/>
      <c r="AJ1861" s="25"/>
      <c r="AK1861" s="25"/>
      <c r="AL1861" s="25"/>
      <c r="AM1861" s="25"/>
    </row>
    <row r="1862">
      <c r="A1862" s="24"/>
      <c r="B1862" s="13"/>
      <c r="C1862" s="62"/>
      <c r="D1862" s="14"/>
      <c r="E1862" s="15"/>
      <c r="F1862" s="16"/>
      <c r="G1862" s="17" t="str">
        <f t="shared" si="61"/>
        <v/>
      </c>
      <c r="H1862" s="18" t="str">
        <f t="shared" si="73"/>
        <v/>
      </c>
      <c r="I1862" s="19" t="str">
        <f t="shared" si="65"/>
        <v/>
      </c>
      <c r="J1862" s="20" t="str">
        <f t="shared" si="25"/>
        <v/>
      </c>
      <c r="K1862" s="20"/>
      <c r="L1862" s="20"/>
      <c r="M1862" s="20"/>
      <c r="N1862" s="21"/>
      <c r="O1862" s="22" t="str">
        <f>IFERROR(__xludf.DUMMYFUNCTION("IFERROR(
  VLOOKUP(C1862,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C1862
    ), 
    7, FALSE
  ), 
  """"
)
"),"")</f>
        <v/>
      </c>
      <c r="P1862" s="22"/>
      <c r="Q1862" s="23" t="str">
        <f t="shared" si="4"/>
        <v/>
      </c>
      <c r="R1862" s="20"/>
      <c r="S1862" s="18"/>
      <c r="T1862" s="24"/>
      <c r="U1862" s="24"/>
      <c r="V1862" s="24"/>
      <c r="W1862" s="24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</row>
    <row r="1863">
      <c r="A1863" s="37"/>
      <c r="B1863" s="25"/>
      <c r="C1863" s="60"/>
      <c r="D1863" s="27"/>
      <c r="E1863" s="28"/>
      <c r="F1863" s="29"/>
      <c r="G1863" s="30" t="str">
        <f t="shared" si="61"/>
        <v/>
      </c>
      <c r="H1863" s="31" t="str">
        <f t="shared" si="73"/>
        <v/>
      </c>
      <c r="I1863" s="32" t="str">
        <f t="shared" si="65"/>
        <v/>
      </c>
      <c r="J1863" s="33" t="str">
        <f t="shared" si="25"/>
        <v/>
      </c>
      <c r="K1863" s="33"/>
      <c r="L1863" s="33"/>
      <c r="M1863" s="33"/>
      <c r="N1863" s="34"/>
      <c r="O1863" s="35" t="str">
        <f>IFERROR(__xludf.DUMMYFUNCTION("IFERROR(
  VLOOKUP(C1863,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C1863
    ), 
    7, FALSE
  ), 
  """"
)
"),"")</f>
        <v/>
      </c>
      <c r="P1863" s="35"/>
      <c r="Q1863" s="36" t="str">
        <f t="shared" si="4"/>
        <v/>
      </c>
      <c r="R1863" s="33"/>
      <c r="S1863" s="31"/>
      <c r="T1863" s="37"/>
      <c r="U1863" s="37"/>
      <c r="V1863" s="37"/>
      <c r="W1863" s="37"/>
      <c r="X1863" s="25"/>
      <c r="Y1863" s="25"/>
      <c r="Z1863" s="25"/>
      <c r="AA1863" s="25"/>
      <c r="AB1863" s="25"/>
      <c r="AC1863" s="25"/>
      <c r="AD1863" s="25"/>
      <c r="AE1863" s="25"/>
      <c r="AF1863" s="25"/>
      <c r="AG1863" s="25"/>
      <c r="AH1863" s="25"/>
      <c r="AI1863" s="25"/>
      <c r="AJ1863" s="25"/>
      <c r="AK1863" s="25"/>
      <c r="AL1863" s="25"/>
      <c r="AM1863" s="25"/>
    </row>
    <row r="1864">
      <c r="A1864" s="24"/>
      <c r="B1864" s="13"/>
      <c r="C1864" s="62"/>
      <c r="D1864" s="14"/>
      <c r="E1864" s="15"/>
      <c r="F1864" s="16"/>
      <c r="G1864" s="17" t="str">
        <f t="shared" si="61"/>
        <v/>
      </c>
      <c r="H1864" s="18" t="str">
        <f t="shared" si="73"/>
        <v/>
      </c>
      <c r="I1864" s="19" t="str">
        <f t="shared" si="65"/>
        <v/>
      </c>
      <c r="J1864" s="20" t="str">
        <f t="shared" si="25"/>
        <v/>
      </c>
      <c r="K1864" s="20"/>
      <c r="L1864" s="20"/>
      <c r="M1864" s="20"/>
      <c r="N1864" s="21"/>
      <c r="O1864" s="22" t="str">
        <f>IFERROR(__xludf.DUMMYFUNCTION("IFERROR(
  VLOOKUP(C1864,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C1864
    ), 
    7, FALSE
  ), 
  """"
)
"),"")</f>
        <v/>
      </c>
      <c r="P1864" s="22"/>
      <c r="Q1864" s="23" t="str">
        <f t="shared" si="4"/>
        <v/>
      </c>
      <c r="R1864" s="20"/>
      <c r="S1864" s="18"/>
      <c r="T1864" s="24"/>
      <c r="U1864" s="24"/>
      <c r="V1864" s="24"/>
      <c r="W1864" s="24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</row>
    <row r="1865">
      <c r="A1865" s="37"/>
      <c r="B1865" s="25"/>
      <c r="C1865" s="60"/>
      <c r="D1865" s="27"/>
      <c r="E1865" s="28"/>
      <c r="F1865" s="29"/>
      <c r="G1865" s="30" t="str">
        <f t="shared" si="61"/>
        <v/>
      </c>
      <c r="H1865" s="31" t="str">
        <f t="shared" si="73"/>
        <v/>
      </c>
      <c r="I1865" s="32" t="str">
        <f t="shared" si="65"/>
        <v/>
      </c>
      <c r="J1865" s="33" t="str">
        <f t="shared" si="25"/>
        <v/>
      </c>
      <c r="K1865" s="33"/>
      <c r="L1865" s="33"/>
      <c r="M1865" s="33"/>
      <c r="N1865" s="34"/>
      <c r="O1865" s="35" t="str">
        <f>IFERROR(__xludf.DUMMYFUNCTION("IFERROR(
  VLOOKUP(C1865,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C1865
    ), 
    7, FALSE
  ), 
  """"
)
"),"")</f>
        <v/>
      </c>
      <c r="P1865" s="35"/>
      <c r="Q1865" s="36" t="str">
        <f t="shared" si="4"/>
        <v/>
      </c>
      <c r="R1865" s="33"/>
      <c r="S1865" s="31"/>
      <c r="T1865" s="37"/>
      <c r="U1865" s="37"/>
      <c r="V1865" s="37"/>
      <c r="W1865" s="37"/>
      <c r="X1865" s="25"/>
      <c r="Y1865" s="25"/>
      <c r="Z1865" s="25"/>
      <c r="AA1865" s="25"/>
      <c r="AB1865" s="25"/>
      <c r="AC1865" s="25"/>
      <c r="AD1865" s="25"/>
      <c r="AE1865" s="25"/>
      <c r="AF1865" s="25"/>
      <c r="AG1865" s="25"/>
      <c r="AH1865" s="25"/>
      <c r="AI1865" s="25"/>
      <c r="AJ1865" s="25"/>
      <c r="AK1865" s="25"/>
      <c r="AL1865" s="25"/>
      <c r="AM1865" s="25"/>
    </row>
    <row r="1866">
      <c r="A1866" s="24"/>
      <c r="B1866" s="13"/>
      <c r="C1866" s="62"/>
      <c r="D1866" s="14"/>
      <c r="E1866" s="15"/>
      <c r="F1866" s="16"/>
      <c r="G1866" s="17" t="str">
        <f t="shared" si="61"/>
        <v/>
      </c>
      <c r="H1866" s="18" t="str">
        <f t="shared" si="73"/>
        <v/>
      </c>
      <c r="I1866" s="19" t="str">
        <f t="shared" si="65"/>
        <v/>
      </c>
      <c r="J1866" s="20" t="str">
        <f t="shared" si="25"/>
        <v/>
      </c>
      <c r="K1866" s="20"/>
      <c r="L1866" s="20"/>
      <c r="M1866" s="20"/>
      <c r="N1866" s="21"/>
      <c r="O1866" s="22" t="str">
        <f>IFERROR(__xludf.DUMMYFUNCTION("IFERROR(
  VLOOKUP(C1866,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C1866
    ), 
    7, FALSE
  ), 
  """"
)
"),"")</f>
        <v/>
      </c>
      <c r="P1866" s="22"/>
      <c r="Q1866" s="23" t="str">
        <f t="shared" si="4"/>
        <v/>
      </c>
      <c r="R1866" s="20"/>
      <c r="S1866" s="18"/>
      <c r="T1866" s="24"/>
      <c r="U1866" s="24"/>
      <c r="V1866" s="24"/>
      <c r="W1866" s="24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</row>
    <row r="1867">
      <c r="A1867" s="37"/>
      <c r="B1867" s="25"/>
      <c r="C1867" s="60"/>
      <c r="D1867" s="27"/>
      <c r="E1867" s="28"/>
      <c r="F1867" s="29"/>
      <c r="G1867" s="30" t="str">
        <f t="shared" si="61"/>
        <v/>
      </c>
      <c r="H1867" s="31" t="str">
        <f t="shared" si="73"/>
        <v/>
      </c>
      <c r="I1867" s="32" t="str">
        <f t="shared" si="65"/>
        <v/>
      </c>
      <c r="J1867" s="33" t="str">
        <f t="shared" si="25"/>
        <v/>
      </c>
      <c r="K1867" s="33"/>
      <c r="L1867" s="33"/>
      <c r="M1867" s="33"/>
      <c r="N1867" s="34"/>
      <c r="O1867" s="35" t="str">
        <f>IFERROR(__xludf.DUMMYFUNCTION("IFERROR(
  VLOOKUP(C1867,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C1867
    ), 
    7, FALSE
  ), 
  """"
)
"),"")</f>
        <v/>
      </c>
      <c r="P1867" s="35"/>
      <c r="Q1867" s="36" t="str">
        <f t="shared" si="4"/>
        <v/>
      </c>
      <c r="R1867" s="33"/>
      <c r="S1867" s="31"/>
      <c r="T1867" s="37"/>
      <c r="U1867" s="37"/>
      <c r="V1867" s="37"/>
      <c r="W1867" s="37"/>
      <c r="X1867" s="25"/>
      <c r="Y1867" s="25"/>
      <c r="Z1867" s="25"/>
      <c r="AA1867" s="25"/>
      <c r="AB1867" s="25"/>
      <c r="AC1867" s="25"/>
      <c r="AD1867" s="25"/>
      <c r="AE1867" s="25"/>
      <c r="AF1867" s="25"/>
      <c r="AG1867" s="25"/>
      <c r="AH1867" s="25"/>
      <c r="AI1867" s="25"/>
      <c r="AJ1867" s="25"/>
      <c r="AK1867" s="25"/>
      <c r="AL1867" s="25"/>
      <c r="AM1867" s="25"/>
    </row>
    <row r="1868">
      <c r="A1868" s="24"/>
      <c r="B1868" s="13"/>
      <c r="C1868" s="62"/>
      <c r="D1868" s="14"/>
      <c r="E1868" s="15"/>
      <c r="F1868" s="16"/>
      <c r="G1868" s="17" t="str">
        <f t="shared" si="61"/>
        <v/>
      </c>
      <c r="H1868" s="18" t="str">
        <f t="shared" si="73"/>
        <v/>
      </c>
      <c r="I1868" s="19" t="str">
        <f t="shared" si="65"/>
        <v/>
      </c>
      <c r="J1868" s="20" t="str">
        <f t="shared" si="25"/>
        <v/>
      </c>
      <c r="K1868" s="20"/>
      <c r="L1868" s="20"/>
      <c r="M1868" s="20"/>
      <c r="N1868" s="21"/>
      <c r="O1868" s="22" t="str">
        <f>IFERROR(__xludf.DUMMYFUNCTION("IFERROR(
  VLOOKUP(C1868,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C1868
    ), 
    7, FALSE
  ), 
  """"
)
"),"")</f>
        <v/>
      </c>
      <c r="P1868" s="22"/>
      <c r="Q1868" s="23" t="str">
        <f t="shared" si="4"/>
        <v/>
      </c>
      <c r="R1868" s="20"/>
      <c r="S1868" s="18"/>
      <c r="T1868" s="24"/>
      <c r="U1868" s="24"/>
      <c r="V1868" s="24"/>
      <c r="W1868" s="24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</row>
    <row r="1869">
      <c r="A1869" s="37"/>
      <c r="B1869" s="25"/>
      <c r="C1869" s="60"/>
      <c r="D1869" s="27"/>
      <c r="E1869" s="28"/>
      <c r="F1869" s="29"/>
      <c r="G1869" s="30" t="str">
        <f t="shared" si="61"/>
        <v/>
      </c>
      <c r="H1869" s="31" t="str">
        <f t="shared" si="73"/>
        <v/>
      </c>
      <c r="I1869" s="32" t="str">
        <f t="shared" si="65"/>
        <v/>
      </c>
      <c r="J1869" s="33" t="str">
        <f t="shared" si="25"/>
        <v/>
      </c>
      <c r="K1869" s="33"/>
      <c r="L1869" s="33"/>
      <c r="M1869" s="33"/>
      <c r="N1869" s="34"/>
      <c r="O1869" s="35" t="str">
        <f>IFERROR(__xludf.DUMMYFUNCTION("IFERROR(
  VLOOKUP(C1869,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C1869
    ), 
    7, FALSE
  ), 
  """"
)
"),"")</f>
        <v/>
      </c>
      <c r="P1869" s="35"/>
      <c r="Q1869" s="36" t="str">
        <f t="shared" si="4"/>
        <v/>
      </c>
      <c r="R1869" s="33"/>
      <c r="S1869" s="31"/>
      <c r="T1869" s="37"/>
      <c r="U1869" s="37"/>
      <c r="V1869" s="37"/>
      <c r="W1869" s="37"/>
      <c r="X1869" s="25"/>
      <c r="Y1869" s="25"/>
      <c r="Z1869" s="25"/>
      <c r="AA1869" s="25"/>
      <c r="AB1869" s="25"/>
      <c r="AC1869" s="25"/>
      <c r="AD1869" s="25"/>
      <c r="AE1869" s="25"/>
      <c r="AF1869" s="25"/>
      <c r="AG1869" s="25"/>
      <c r="AH1869" s="25"/>
      <c r="AI1869" s="25"/>
      <c r="AJ1869" s="25"/>
      <c r="AK1869" s="25"/>
      <c r="AL1869" s="25"/>
      <c r="AM1869" s="25"/>
    </row>
    <row r="1870">
      <c r="A1870" s="24"/>
      <c r="B1870" s="13"/>
      <c r="C1870" s="62"/>
      <c r="D1870" s="14"/>
      <c r="E1870" s="15"/>
      <c r="F1870" s="16"/>
      <c r="G1870" s="17" t="str">
        <f t="shared" si="61"/>
        <v/>
      </c>
      <c r="H1870" s="18" t="str">
        <f t="shared" si="73"/>
        <v/>
      </c>
      <c r="I1870" s="19" t="str">
        <f t="shared" si="65"/>
        <v/>
      </c>
      <c r="J1870" s="20" t="str">
        <f t="shared" si="25"/>
        <v/>
      </c>
      <c r="K1870" s="20"/>
      <c r="L1870" s="20"/>
      <c r="M1870" s="20"/>
      <c r="N1870" s="21"/>
      <c r="O1870" s="22" t="str">
        <f>IFERROR(__xludf.DUMMYFUNCTION("IFERROR(
  VLOOKUP(C1870,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C1870
    ), 
    7, FALSE
  ), 
  """"
)
"),"")</f>
        <v/>
      </c>
      <c r="P1870" s="22"/>
      <c r="Q1870" s="23" t="str">
        <f t="shared" si="4"/>
        <v/>
      </c>
      <c r="R1870" s="20"/>
      <c r="S1870" s="18"/>
      <c r="T1870" s="24"/>
      <c r="U1870" s="24"/>
      <c r="V1870" s="24"/>
      <c r="W1870" s="24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</row>
    <row r="1871">
      <c r="A1871" s="37"/>
      <c r="B1871" s="25"/>
      <c r="C1871" s="60"/>
      <c r="D1871" s="27"/>
      <c r="E1871" s="28"/>
      <c r="F1871" s="29"/>
      <c r="G1871" s="30" t="str">
        <f t="shared" si="61"/>
        <v/>
      </c>
      <c r="H1871" s="31" t="str">
        <f t="shared" si="73"/>
        <v/>
      </c>
      <c r="I1871" s="32" t="str">
        <f t="shared" si="65"/>
        <v/>
      </c>
      <c r="J1871" s="33" t="str">
        <f t="shared" si="25"/>
        <v/>
      </c>
      <c r="K1871" s="33"/>
      <c r="L1871" s="33"/>
      <c r="M1871" s="33"/>
      <c r="N1871" s="34"/>
      <c r="O1871" s="35" t="str">
        <f>IFERROR(__xludf.DUMMYFUNCTION("IFERROR(
  VLOOKUP(C1871,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C1871
    ), 
    7, FALSE
  ), 
  """"
)
"),"")</f>
        <v/>
      </c>
      <c r="P1871" s="35"/>
      <c r="Q1871" s="36" t="str">
        <f t="shared" si="4"/>
        <v/>
      </c>
      <c r="R1871" s="33"/>
      <c r="S1871" s="31"/>
      <c r="T1871" s="37"/>
      <c r="U1871" s="37"/>
      <c r="V1871" s="37"/>
      <c r="W1871" s="37"/>
      <c r="X1871" s="25"/>
      <c r="Y1871" s="25"/>
      <c r="Z1871" s="25"/>
      <c r="AA1871" s="25"/>
      <c r="AB1871" s="25"/>
      <c r="AC1871" s="25"/>
      <c r="AD1871" s="25"/>
      <c r="AE1871" s="25"/>
      <c r="AF1871" s="25"/>
      <c r="AG1871" s="25"/>
      <c r="AH1871" s="25"/>
      <c r="AI1871" s="25"/>
      <c r="AJ1871" s="25"/>
      <c r="AK1871" s="25"/>
      <c r="AL1871" s="25"/>
      <c r="AM1871" s="25"/>
    </row>
    <row r="1872">
      <c r="A1872" s="24"/>
      <c r="B1872" s="13"/>
      <c r="C1872" s="62"/>
      <c r="D1872" s="14"/>
      <c r="E1872" s="15"/>
      <c r="F1872" s="16"/>
      <c r="G1872" s="17" t="str">
        <f t="shared" si="61"/>
        <v/>
      </c>
      <c r="H1872" s="18" t="str">
        <f t="shared" si="73"/>
        <v/>
      </c>
      <c r="I1872" s="19" t="str">
        <f t="shared" si="65"/>
        <v/>
      </c>
      <c r="J1872" s="20" t="str">
        <f t="shared" si="25"/>
        <v/>
      </c>
      <c r="K1872" s="20"/>
      <c r="L1872" s="20"/>
      <c r="M1872" s="20"/>
      <c r="N1872" s="21"/>
      <c r="O1872" s="22" t="str">
        <f>IFERROR(__xludf.DUMMYFUNCTION("IFERROR(
  VLOOKUP(C1872,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C1872
    ), 
    7, FALSE
  ), 
  """"
)
"),"")</f>
        <v/>
      </c>
      <c r="P1872" s="22"/>
      <c r="Q1872" s="23" t="str">
        <f t="shared" si="4"/>
        <v/>
      </c>
      <c r="R1872" s="20"/>
      <c r="S1872" s="18"/>
      <c r="T1872" s="24"/>
      <c r="U1872" s="24"/>
      <c r="V1872" s="24"/>
      <c r="W1872" s="24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</row>
    <row r="1873">
      <c r="A1873" s="37"/>
      <c r="B1873" s="25"/>
      <c r="C1873" s="60"/>
      <c r="D1873" s="27"/>
      <c r="E1873" s="28"/>
      <c r="F1873" s="29"/>
      <c r="G1873" s="30" t="str">
        <f t="shared" si="61"/>
        <v/>
      </c>
      <c r="H1873" s="31" t="str">
        <f t="shared" si="73"/>
        <v/>
      </c>
      <c r="I1873" s="32" t="str">
        <f t="shared" si="65"/>
        <v/>
      </c>
      <c r="J1873" s="33" t="str">
        <f t="shared" si="25"/>
        <v/>
      </c>
      <c r="K1873" s="33"/>
      <c r="L1873" s="33"/>
      <c r="M1873" s="33"/>
      <c r="N1873" s="34"/>
      <c r="O1873" s="35" t="str">
        <f>IFERROR(__xludf.DUMMYFUNCTION("IFERROR(
  VLOOKUP(C1873,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C1873
    ), 
    7, FALSE
  ), 
  """"
)
"),"")</f>
        <v/>
      </c>
      <c r="P1873" s="35"/>
      <c r="Q1873" s="36" t="str">
        <f t="shared" si="4"/>
        <v/>
      </c>
      <c r="R1873" s="33"/>
      <c r="S1873" s="31"/>
      <c r="T1873" s="37"/>
      <c r="U1873" s="37"/>
      <c r="V1873" s="37"/>
      <c r="W1873" s="37"/>
      <c r="X1873" s="25"/>
      <c r="Y1873" s="25"/>
      <c r="Z1873" s="25"/>
      <c r="AA1873" s="25"/>
      <c r="AB1873" s="25"/>
      <c r="AC1873" s="25"/>
      <c r="AD1873" s="25"/>
      <c r="AE1873" s="25"/>
      <c r="AF1873" s="25"/>
      <c r="AG1873" s="25"/>
      <c r="AH1873" s="25"/>
      <c r="AI1873" s="25"/>
      <c r="AJ1873" s="25"/>
      <c r="AK1873" s="25"/>
      <c r="AL1873" s="25"/>
      <c r="AM1873" s="25"/>
    </row>
    <row r="1874">
      <c r="A1874" s="24"/>
      <c r="B1874" s="13"/>
      <c r="C1874" s="62"/>
      <c r="D1874" s="14"/>
      <c r="E1874" s="15"/>
      <c r="F1874" s="16"/>
      <c r="G1874" s="17" t="str">
        <f t="shared" si="61"/>
        <v/>
      </c>
      <c r="H1874" s="18" t="str">
        <f t="shared" si="73"/>
        <v/>
      </c>
      <c r="I1874" s="19" t="str">
        <f t="shared" si="65"/>
        <v/>
      </c>
      <c r="J1874" s="20" t="str">
        <f t="shared" si="25"/>
        <v/>
      </c>
      <c r="K1874" s="20"/>
      <c r="L1874" s="20"/>
      <c r="M1874" s="20"/>
      <c r="N1874" s="21"/>
      <c r="O1874" s="22" t="str">
        <f>IFERROR(__xludf.DUMMYFUNCTION("IFERROR(
  VLOOKUP(C1874,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C1874
    ), 
    7, FALSE
  ), 
  """"
)
"),"")</f>
        <v/>
      </c>
      <c r="P1874" s="22"/>
      <c r="Q1874" s="23" t="str">
        <f t="shared" si="4"/>
        <v/>
      </c>
      <c r="R1874" s="20"/>
      <c r="S1874" s="18"/>
      <c r="T1874" s="24"/>
      <c r="U1874" s="24"/>
      <c r="V1874" s="24"/>
      <c r="W1874" s="24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</row>
    <row r="1875">
      <c r="A1875" s="37"/>
      <c r="B1875" s="25"/>
      <c r="C1875" s="60"/>
      <c r="D1875" s="27"/>
      <c r="E1875" s="28"/>
      <c r="F1875" s="29"/>
      <c r="G1875" s="30" t="str">
        <f t="shared" si="61"/>
        <v/>
      </c>
      <c r="H1875" s="31" t="str">
        <f t="shared" si="73"/>
        <v/>
      </c>
      <c r="I1875" s="32" t="str">
        <f t="shared" si="65"/>
        <v/>
      </c>
      <c r="J1875" s="33" t="str">
        <f t="shared" si="25"/>
        <v/>
      </c>
      <c r="K1875" s="33"/>
      <c r="L1875" s="33"/>
      <c r="M1875" s="33"/>
      <c r="N1875" s="34"/>
      <c r="O1875" s="35" t="str">
        <f>IFERROR(__xludf.DUMMYFUNCTION("IFERROR(
  VLOOKUP(C1875,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C1875
    ), 
    7, FALSE
  ), 
  """"
)
"),"")</f>
        <v/>
      </c>
      <c r="P1875" s="35"/>
      <c r="Q1875" s="36" t="str">
        <f t="shared" si="4"/>
        <v/>
      </c>
      <c r="R1875" s="33"/>
      <c r="S1875" s="31"/>
      <c r="T1875" s="37"/>
      <c r="U1875" s="37"/>
      <c r="V1875" s="37"/>
      <c r="W1875" s="37"/>
      <c r="X1875" s="25"/>
      <c r="Y1875" s="25"/>
      <c r="Z1875" s="25"/>
      <c r="AA1875" s="25"/>
      <c r="AB1875" s="25"/>
      <c r="AC1875" s="25"/>
      <c r="AD1875" s="25"/>
      <c r="AE1875" s="25"/>
      <c r="AF1875" s="25"/>
      <c r="AG1875" s="25"/>
      <c r="AH1875" s="25"/>
      <c r="AI1875" s="25"/>
      <c r="AJ1875" s="25"/>
      <c r="AK1875" s="25"/>
      <c r="AL1875" s="25"/>
      <c r="AM1875" s="25"/>
    </row>
    <row r="1876">
      <c r="A1876" s="24"/>
      <c r="B1876" s="13"/>
      <c r="C1876" s="62"/>
      <c r="D1876" s="14"/>
      <c r="E1876" s="15"/>
      <c r="F1876" s="16"/>
      <c r="G1876" s="17" t="str">
        <f t="shared" si="61"/>
        <v/>
      </c>
      <c r="H1876" s="18" t="str">
        <f t="shared" si="73"/>
        <v/>
      </c>
      <c r="I1876" s="19" t="str">
        <f t="shared" si="65"/>
        <v/>
      </c>
      <c r="J1876" s="20" t="str">
        <f t="shared" si="25"/>
        <v/>
      </c>
      <c r="K1876" s="20"/>
      <c r="L1876" s="20"/>
      <c r="M1876" s="20"/>
      <c r="N1876" s="21"/>
      <c r="O1876" s="22" t="str">
        <f>IFERROR(__xludf.DUMMYFUNCTION("IFERROR(
  VLOOKUP(C1876,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C1876
    ), 
    7, FALSE
  ), 
  """"
)
"),"")</f>
        <v/>
      </c>
      <c r="P1876" s="22"/>
      <c r="Q1876" s="23" t="str">
        <f t="shared" si="4"/>
        <v/>
      </c>
      <c r="R1876" s="20"/>
      <c r="S1876" s="18"/>
      <c r="T1876" s="24"/>
      <c r="U1876" s="24"/>
      <c r="V1876" s="24"/>
      <c r="W1876" s="24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</row>
    <row r="1877">
      <c r="A1877" s="37"/>
      <c r="B1877" s="25"/>
      <c r="C1877" s="60"/>
      <c r="D1877" s="27"/>
      <c r="E1877" s="28"/>
      <c r="F1877" s="29"/>
      <c r="G1877" s="30" t="str">
        <f t="shared" si="61"/>
        <v/>
      </c>
      <c r="H1877" s="31" t="str">
        <f t="shared" si="73"/>
        <v/>
      </c>
      <c r="I1877" s="32" t="str">
        <f t="shared" si="65"/>
        <v/>
      </c>
      <c r="J1877" s="33" t="str">
        <f t="shared" si="25"/>
        <v/>
      </c>
      <c r="K1877" s="33"/>
      <c r="L1877" s="33"/>
      <c r="M1877" s="33"/>
      <c r="N1877" s="34"/>
      <c r="O1877" s="35" t="str">
        <f>IFERROR(__xludf.DUMMYFUNCTION("IFERROR(
  VLOOKUP(C1877,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C1877
    ), 
    7, FALSE
  ), 
  """"
)
"),"")</f>
        <v/>
      </c>
      <c r="P1877" s="35"/>
      <c r="Q1877" s="36" t="str">
        <f t="shared" si="4"/>
        <v/>
      </c>
      <c r="R1877" s="33"/>
      <c r="S1877" s="31"/>
      <c r="T1877" s="37"/>
      <c r="U1877" s="37"/>
      <c r="V1877" s="37"/>
      <c r="W1877" s="37"/>
      <c r="X1877" s="25"/>
      <c r="Y1877" s="25"/>
      <c r="Z1877" s="25"/>
      <c r="AA1877" s="25"/>
      <c r="AB1877" s="25"/>
      <c r="AC1877" s="25"/>
      <c r="AD1877" s="25"/>
      <c r="AE1877" s="25"/>
      <c r="AF1877" s="25"/>
      <c r="AG1877" s="25"/>
      <c r="AH1877" s="25"/>
      <c r="AI1877" s="25"/>
      <c r="AJ1877" s="25"/>
      <c r="AK1877" s="25"/>
      <c r="AL1877" s="25"/>
      <c r="AM1877" s="25"/>
    </row>
    <row r="1878">
      <c r="A1878" s="24"/>
      <c r="B1878" s="13"/>
      <c r="C1878" s="62"/>
      <c r="D1878" s="14"/>
      <c r="E1878" s="15"/>
      <c r="F1878" s="16"/>
      <c r="G1878" s="17" t="str">
        <f t="shared" si="61"/>
        <v/>
      </c>
      <c r="H1878" s="18" t="str">
        <f t="shared" si="73"/>
        <v/>
      </c>
      <c r="I1878" s="19" t="str">
        <f t="shared" si="65"/>
        <v/>
      </c>
      <c r="J1878" s="20" t="str">
        <f t="shared" si="25"/>
        <v/>
      </c>
      <c r="K1878" s="20"/>
      <c r="L1878" s="20"/>
      <c r="M1878" s="20"/>
      <c r="N1878" s="21"/>
      <c r="O1878" s="22" t="str">
        <f>IFERROR(__xludf.DUMMYFUNCTION("IFERROR(
  VLOOKUP(C1878,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C1878
    ), 
    7, FALSE
  ), 
  """"
)
"),"")</f>
        <v/>
      </c>
      <c r="P1878" s="22"/>
      <c r="Q1878" s="23" t="str">
        <f t="shared" si="4"/>
        <v/>
      </c>
      <c r="R1878" s="20"/>
      <c r="S1878" s="18"/>
      <c r="T1878" s="24"/>
      <c r="U1878" s="24"/>
      <c r="V1878" s="24"/>
      <c r="W1878" s="24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</row>
    <row r="1879">
      <c r="A1879" s="37"/>
      <c r="B1879" s="25"/>
      <c r="C1879" s="60"/>
      <c r="D1879" s="27"/>
      <c r="E1879" s="28"/>
      <c r="F1879" s="29"/>
      <c r="G1879" s="30" t="str">
        <f t="shared" si="61"/>
        <v/>
      </c>
      <c r="H1879" s="31" t="str">
        <f t="shared" si="73"/>
        <v/>
      </c>
      <c r="I1879" s="32" t="str">
        <f t="shared" si="65"/>
        <v/>
      </c>
      <c r="J1879" s="33" t="str">
        <f t="shared" si="25"/>
        <v/>
      </c>
      <c r="K1879" s="33"/>
      <c r="L1879" s="33"/>
      <c r="M1879" s="33"/>
      <c r="N1879" s="34"/>
      <c r="O1879" s="35" t="str">
        <f>IFERROR(__xludf.DUMMYFUNCTION("IFERROR(
  VLOOKUP(C1879,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C1879
    ), 
    7, FALSE
  ), 
  """"
)
"),"")</f>
        <v/>
      </c>
      <c r="P1879" s="35"/>
      <c r="Q1879" s="36" t="str">
        <f t="shared" si="4"/>
        <v/>
      </c>
      <c r="R1879" s="33"/>
      <c r="S1879" s="31"/>
      <c r="T1879" s="37"/>
      <c r="U1879" s="37"/>
      <c r="V1879" s="37"/>
      <c r="W1879" s="37"/>
      <c r="X1879" s="25"/>
      <c r="Y1879" s="25"/>
      <c r="Z1879" s="25"/>
      <c r="AA1879" s="25"/>
      <c r="AB1879" s="25"/>
      <c r="AC1879" s="25"/>
      <c r="AD1879" s="25"/>
      <c r="AE1879" s="25"/>
      <c r="AF1879" s="25"/>
      <c r="AG1879" s="25"/>
      <c r="AH1879" s="25"/>
      <c r="AI1879" s="25"/>
      <c r="AJ1879" s="25"/>
      <c r="AK1879" s="25"/>
      <c r="AL1879" s="25"/>
      <c r="AM1879" s="25"/>
    </row>
    <row r="1880">
      <c r="A1880" s="24"/>
      <c r="B1880" s="13"/>
      <c r="C1880" s="62"/>
      <c r="D1880" s="14"/>
      <c r="E1880" s="15"/>
      <c r="F1880" s="16"/>
      <c r="G1880" s="17" t="str">
        <f t="shared" si="61"/>
        <v/>
      </c>
      <c r="H1880" s="18" t="str">
        <f t="shared" si="73"/>
        <v/>
      </c>
      <c r="I1880" s="19" t="str">
        <f t="shared" si="65"/>
        <v/>
      </c>
      <c r="J1880" s="20" t="str">
        <f t="shared" si="25"/>
        <v/>
      </c>
      <c r="K1880" s="20"/>
      <c r="L1880" s="20"/>
      <c r="M1880" s="20"/>
      <c r="N1880" s="21"/>
      <c r="O1880" s="22" t="str">
        <f>IFERROR(__xludf.DUMMYFUNCTION("IFERROR(
  VLOOKUP(C1880,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C1880
    ), 
    7, FALSE
  ), 
  """"
)
"),"")</f>
        <v/>
      </c>
      <c r="P1880" s="22"/>
      <c r="Q1880" s="23" t="str">
        <f t="shared" si="4"/>
        <v/>
      </c>
      <c r="R1880" s="20"/>
      <c r="S1880" s="18"/>
      <c r="T1880" s="24"/>
      <c r="U1880" s="24"/>
      <c r="V1880" s="24"/>
      <c r="W1880" s="24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</row>
    <row r="1881">
      <c r="A1881" s="37"/>
      <c r="B1881" s="25"/>
      <c r="C1881" s="60"/>
      <c r="D1881" s="27"/>
      <c r="E1881" s="28"/>
      <c r="F1881" s="29"/>
      <c r="G1881" s="30" t="str">
        <f t="shared" si="61"/>
        <v/>
      </c>
      <c r="H1881" s="31" t="str">
        <f t="shared" si="73"/>
        <v/>
      </c>
      <c r="I1881" s="32" t="str">
        <f t="shared" si="65"/>
        <v/>
      </c>
      <c r="J1881" s="33" t="str">
        <f t="shared" si="25"/>
        <v/>
      </c>
      <c r="K1881" s="33"/>
      <c r="L1881" s="33"/>
      <c r="M1881" s="33"/>
      <c r="N1881" s="34"/>
      <c r="O1881" s="35" t="str">
        <f>IFERROR(__xludf.DUMMYFUNCTION("IFERROR(
  VLOOKUP(C1881,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C1881
    ), 
    7, FALSE
  ), 
  """"
)
"),"")</f>
        <v/>
      </c>
      <c r="P1881" s="35"/>
      <c r="Q1881" s="36" t="str">
        <f t="shared" si="4"/>
        <v/>
      </c>
      <c r="R1881" s="33"/>
      <c r="S1881" s="31"/>
      <c r="T1881" s="37"/>
      <c r="U1881" s="37"/>
      <c r="V1881" s="37"/>
      <c r="W1881" s="37"/>
      <c r="X1881" s="25"/>
      <c r="Y1881" s="25"/>
      <c r="Z1881" s="25"/>
      <c r="AA1881" s="25"/>
      <c r="AB1881" s="25"/>
      <c r="AC1881" s="25"/>
      <c r="AD1881" s="25"/>
      <c r="AE1881" s="25"/>
      <c r="AF1881" s="25"/>
      <c r="AG1881" s="25"/>
      <c r="AH1881" s="25"/>
      <c r="AI1881" s="25"/>
      <c r="AJ1881" s="25"/>
      <c r="AK1881" s="25"/>
      <c r="AL1881" s="25"/>
      <c r="AM1881" s="25"/>
    </row>
    <row r="1882">
      <c r="A1882" s="24"/>
      <c r="B1882" s="13"/>
      <c r="C1882" s="62"/>
      <c r="D1882" s="14"/>
      <c r="E1882" s="15"/>
      <c r="F1882" s="16"/>
      <c r="G1882" s="17" t="str">
        <f t="shared" si="61"/>
        <v/>
      </c>
      <c r="H1882" s="18" t="str">
        <f t="shared" si="73"/>
        <v/>
      </c>
      <c r="I1882" s="19" t="str">
        <f t="shared" si="65"/>
        <v/>
      </c>
      <c r="J1882" s="20" t="str">
        <f t="shared" si="25"/>
        <v/>
      </c>
      <c r="K1882" s="20"/>
      <c r="L1882" s="20"/>
      <c r="M1882" s="20"/>
      <c r="N1882" s="21"/>
      <c r="O1882" s="22" t="str">
        <f>IFERROR(__xludf.DUMMYFUNCTION("IFERROR(
  VLOOKUP(C1882,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C1882
    ), 
    7, FALSE
  ), 
  """"
)
"),"")</f>
        <v/>
      </c>
      <c r="P1882" s="22"/>
      <c r="Q1882" s="23" t="str">
        <f t="shared" si="4"/>
        <v/>
      </c>
      <c r="R1882" s="20"/>
      <c r="S1882" s="18"/>
      <c r="T1882" s="24"/>
      <c r="U1882" s="24"/>
      <c r="V1882" s="24"/>
      <c r="W1882" s="24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</row>
    <row r="1883">
      <c r="A1883" s="37"/>
      <c r="B1883" s="25"/>
      <c r="C1883" s="60"/>
      <c r="D1883" s="27"/>
      <c r="E1883" s="28"/>
      <c r="F1883" s="29"/>
      <c r="G1883" s="30" t="str">
        <f t="shared" si="61"/>
        <v/>
      </c>
      <c r="H1883" s="31" t="str">
        <f t="shared" si="73"/>
        <v/>
      </c>
      <c r="I1883" s="32" t="str">
        <f t="shared" si="65"/>
        <v/>
      </c>
      <c r="J1883" s="33" t="str">
        <f t="shared" si="25"/>
        <v/>
      </c>
      <c r="K1883" s="33"/>
      <c r="L1883" s="33"/>
      <c r="M1883" s="33"/>
      <c r="N1883" s="34"/>
      <c r="O1883" s="35" t="str">
        <f>IFERROR(__xludf.DUMMYFUNCTION("IFERROR(
  VLOOKUP(C1883,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C1883
    ), 
    7, FALSE
  ), 
  """"
)
"),"")</f>
        <v/>
      </c>
      <c r="P1883" s="35"/>
      <c r="Q1883" s="36" t="str">
        <f t="shared" si="4"/>
        <v/>
      </c>
      <c r="R1883" s="33"/>
      <c r="S1883" s="31"/>
      <c r="T1883" s="37"/>
      <c r="U1883" s="37"/>
      <c r="V1883" s="37"/>
      <c r="W1883" s="37"/>
      <c r="X1883" s="25"/>
      <c r="Y1883" s="25"/>
      <c r="Z1883" s="25"/>
      <c r="AA1883" s="25"/>
      <c r="AB1883" s="25"/>
      <c r="AC1883" s="25"/>
      <c r="AD1883" s="25"/>
      <c r="AE1883" s="25"/>
      <c r="AF1883" s="25"/>
      <c r="AG1883" s="25"/>
      <c r="AH1883" s="25"/>
      <c r="AI1883" s="25"/>
      <c r="AJ1883" s="25"/>
      <c r="AK1883" s="25"/>
      <c r="AL1883" s="25"/>
      <c r="AM1883" s="25"/>
    </row>
    <row r="1884">
      <c r="A1884" s="24"/>
      <c r="B1884" s="13"/>
      <c r="C1884" s="62"/>
      <c r="D1884" s="14"/>
      <c r="E1884" s="15"/>
      <c r="F1884" s="16"/>
      <c r="G1884" s="17" t="str">
        <f t="shared" si="61"/>
        <v/>
      </c>
      <c r="H1884" s="18" t="str">
        <f t="shared" si="73"/>
        <v/>
      </c>
      <c r="I1884" s="19" t="str">
        <f t="shared" si="65"/>
        <v/>
      </c>
      <c r="J1884" s="20" t="str">
        <f t="shared" si="25"/>
        <v/>
      </c>
      <c r="K1884" s="20"/>
      <c r="L1884" s="20"/>
      <c r="M1884" s="20"/>
      <c r="N1884" s="21"/>
      <c r="O1884" s="22" t="str">
        <f>IFERROR(__xludf.DUMMYFUNCTION("IFERROR(
  VLOOKUP(C1884,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C1884
    ), 
    7, FALSE
  ), 
  """"
)
"),"")</f>
        <v/>
      </c>
      <c r="P1884" s="22"/>
      <c r="Q1884" s="23" t="str">
        <f t="shared" si="4"/>
        <v/>
      </c>
      <c r="R1884" s="20"/>
      <c r="S1884" s="18"/>
      <c r="T1884" s="24"/>
      <c r="U1884" s="24"/>
      <c r="V1884" s="24"/>
      <c r="W1884" s="24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</row>
    <row r="1885">
      <c r="A1885" s="37"/>
      <c r="B1885" s="25"/>
      <c r="C1885" s="60"/>
      <c r="D1885" s="27"/>
      <c r="E1885" s="28"/>
      <c r="F1885" s="29"/>
      <c r="G1885" s="30" t="str">
        <f t="shared" si="61"/>
        <v/>
      </c>
      <c r="H1885" s="31" t="str">
        <f t="shared" si="73"/>
        <v/>
      </c>
      <c r="I1885" s="32" t="str">
        <f t="shared" si="65"/>
        <v/>
      </c>
      <c r="J1885" s="33" t="str">
        <f t="shared" si="25"/>
        <v/>
      </c>
      <c r="K1885" s="33"/>
      <c r="L1885" s="33"/>
      <c r="M1885" s="33"/>
      <c r="N1885" s="34"/>
      <c r="O1885" s="35" t="str">
        <f>IFERROR(__xludf.DUMMYFUNCTION("IFERROR(
  VLOOKUP(C1885,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C1885
    ), 
    7, FALSE
  ), 
  """"
)
"),"")</f>
        <v/>
      </c>
      <c r="P1885" s="35"/>
      <c r="Q1885" s="36" t="str">
        <f t="shared" si="4"/>
        <v/>
      </c>
      <c r="R1885" s="33"/>
      <c r="S1885" s="31"/>
      <c r="T1885" s="37"/>
      <c r="U1885" s="37"/>
      <c r="V1885" s="37"/>
      <c r="W1885" s="37"/>
      <c r="X1885" s="25"/>
      <c r="Y1885" s="25"/>
      <c r="Z1885" s="25"/>
      <c r="AA1885" s="25"/>
      <c r="AB1885" s="25"/>
      <c r="AC1885" s="25"/>
      <c r="AD1885" s="25"/>
      <c r="AE1885" s="25"/>
      <c r="AF1885" s="25"/>
      <c r="AG1885" s="25"/>
      <c r="AH1885" s="25"/>
      <c r="AI1885" s="25"/>
      <c r="AJ1885" s="25"/>
      <c r="AK1885" s="25"/>
      <c r="AL1885" s="25"/>
      <c r="AM1885" s="25"/>
    </row>
    <row r="1886">
      <c r="A1886" s="24"/>
      <c r="B1886" s="13"/>
      <c r="C1886" s="62"/>
      <c r="D1886" s="14"/>
      <c r="E1886" s="15"/>
      <c r="F1886" s="16"/>
      <c r="G1886" s="17" t="str">
        <f t="shared" si="61"/>
        <v/>
      </c>
      <c r="H1886" s="18" t="str">
        <f t="shared" si="73"/>
        <v/>
      </c>
      <c r="I1886" s="19" t="str">
        <f t="shared" si="65"/>
        <v/>
      </c>
      <c r="J1886" s="20" t="str">
        <f t="shared" si="25"/>
        <v/>
      </c>
      <c r="K1886" s="20"/>
      <c r="L1886" s="20"/>
      <c r="M1886" s="20"/>
      <c r="N1886" s="21"/>
      <c r="O1886" s="22" t="str">
        <f>IFERROR(__xludf.DUMMYFUNCTION("IFERROR(
  VLOOKUP(C1886,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C1886
    ), 
    7, FALSE
  ), 
  """"
)
"),"")</f>
        <v/>
      </c>
      <c r="P1886" s="22"/>
      <c r="Q1886" s="23" t="str">
        <f t="shared" si="4"/>
        <v/>
      </c>
      <c r="R1886" s="20"/>
      <c r="S1886" s="18"/>
      <c r="T1886" s="24"/>
      <c r="U1886" s="24"/>
      <c r="V1886" s="24"/>
      <c r="W1886" s="24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</row>
    <row r="1887">
      <c r="A1887" s="37"/>
      <c r="B1887" s="25"/>
      <c r="C1887" s="60"/>
      <c r="D1887" s="27"/>
      <c r="E1887" s="28"/>
      <c r="F1887" s="29"/>
      <c r="G1887" s="30" t="str">
        <f t="shared" si="61"/>
        <v/>
      </c>
      <c r="H1887" s="31" t="str">
        <f t="shared" si="73"/>
        <v/>
      </c>
      <c r="I1887" s="32" t="str">
        <f t="shared" si="65"/>
        <v/>
      </c>
      <c r="J1887" s="33" t="str">
        <f t="shared" si="25"/>
        <v/>
      </c>
      <c r="K1887" s="33"/>
      <c r="L1887" s="33"/>
      <c r="M1887" s="33"/>
      <c r="N1887" s="34"/>
      <c r="O1887" s="35" t="str">
        <f>IFERROR(__xludf.DUMMYFUNCTION("IFERROR(
  VLOOKUP(C1887,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C1887
    ), 
    7, FALSE
  ), 
  """"
)
"),"")</f>
        <v/>
      </c>
      <c r="P1887" s="35"/>
      <c r="Q1887" s="36" t="str">
        <f t="shared" si="4"/>
        <v/>
      </c>
      <c r="R1887" s="33"/>
      <c r="S1887" s="31"/>
      <c r="T1887" s="37"/>
      <c r="U1887" s="37"/>
      <c r="V1887" s="37"/>
      <c r="W1887" s="37"/>
      <c r="X1887" s="25"/>
      <c r="Y1887" s="25"/>
      <c r="Z1887" s="25"/>
      <c r="AA1887" s="25"/>
      <c r="AB1887" s="25"/>
      <c r="AC1887" s="25"/>
      <c r="AD1887" s="25"/>
      <c r="AE1887" s="25"/>
      <c r="AF1887" s="25"/>
      <c r="AG1887" s="25"/>
      <c r="AH1887" s="25"/>
      <c r="AI1887" s="25"/>
      <c r="AJ1887" s="25"/>
      <c r="AK1887" s="25"/>
      <c r="AL1887" s="25"/>
      <c r="AM1887" s="25"/>
    </row>
    <row r="1888">
      <c r="A1888" s="24"/>
      <c r="B1888" s="13"/>
      <c r="C1888" s="62"/>
      <c r="D1888" s="14"/>
      <c r="E1888" s="15"/>
      <c r="F1888" s="16"/>
      <c r="G1888" s="17" t="str">
        <f t="shared" si="61"/>
        <v/>
      </c>
      <c r="H1888" s="18" t="str">
        <f t="shared" si="73"/>
        <v/>
      </c>
      <c r="I1888" s="19" t="str">
        <f t="shared" si="65"/>
        <v/>
      </c>
      <c r="J1888" s="20" t="str">
        <f t="shared" si="25"/>
        <v/>
      </c>
      <c r="K1888" s="20"/>
      <c r="L1888" s="20"/>
      <c r="M1888" s="20"/>
      <c r="N1888" s="21"/>
      <c r="O1888" s="22" t="str">
        <f>IFERROR(__xludf.DUMMYFUNCTION("IFERROR(
  VLOOKUP(C1888,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C1888
    ), 
    7, FALSE
  ), 
  """"
)
"),"")</f>
        <v/>
      </c>
      <c r="P1888" s="22"/>
      <c r="Q1888" s="23" t="str">
        <f t="shared" si="4"/>
        <v/>
      </c>
      <c r="R1888" s="20"/>
      <c r="S1888" s="18"/>
      <c r="T1888" s="24"/>
      <c r="U1888" s="24"/>
      <c r="V1888" s="24"/>
      <c r="W1888" s="24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</row>
    <row r="1889">
      <c r="A1889" s="37"/>
      <c r="B1889" s="25"/>
      <c r="C1889" s="60"/>
      <c r="D1889" s="27"/>
      <c r="E1889" s="28"/>
      <c r="F1889" s="29"/>
      <c r="G1889" s="30" t="str">
        <f t="shared" si="61"/>
        <v/>
      </c>
      <c r="H1889" s="31" t="str">
        <f t="shared" si="73"/>
        <v/>
      </c>
      <c r="I1889" s="32" t="str">
        <f t="shared" si="65"/>
        <v/>
      </c>
      <c r="J1889" s="33" t="str">
        <f t="shared" si="25"/>
        <v/>
      </c>
      <c r="K1889" s="33"/>
      <c r="L1889" s="33"/>
      <c r="M1889" s="33"/>
      <c r="N1889" s="34"/>
      <c r="O1889" s="35" t="str">
        <f>IFERROR(__xludf.DUMMYFUNCTION("IFERROR(
  VLOOKUP(C1889,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C1889
    ), 
    7, FALSE
  ), 
  """"
)
"),"")</f>
        <v/>
      </c>
      <c r="P1889" s="35"/>
      <c r="Q1889" s="36" t="str">
        <f t="shared" si="4"/>
        <v/>
      </c>
      <c r="R1889" s="33"/>
      <c r="S1889" s="31"/>
      <c r="T1889" s="37"/>
      <c r="U1889" s="37"/>
      <c r="V1889" s="37"/>
      <c r="W1889" s="37"/>
      <c r="X1889" s="25"/>
      <c r="Y1889" s="25"/>
      <c r="Z1889" s="25"/>
      <c r="AA1889" s="25"/>
      <c r="AB1889" s="25"/>
      <c r="AC1889" s="25"/>
      <c r="AD1889" s="25"/>
      <c r="AE1889" s="25"/>
      <c r="AF1889" s="25"/>
      <c r="AG1889" s="25"/>
      <c r="AH1889" s="25"/>
      <c r="AI1889" s="25"/>
      <c r="AJ1889" s="25"/>
      <c r="AK1889" s="25"/>
      <c r="AL1889" s="25"/>
      <c r="AM1889" s="25"/>
    </row>
    <row r="1890">
      <c r="A1890" s="24"/>
      <c r="B1890" s="13"/>
      <c r="C1890" s="62"/>
      <c r="D1890" s="14"/>
      <c r="E1890" s="15"/>
      <c r="F1890" s="16"/>
      <c r="G1890" s="17" t="str">
        <f t="shared" si="61"/>
        <v/>
      </c>
      <c r="H1890" s="18" t="str">
        <f t="shared" si="73"/>
        <v/>
      </c>
      <c r="I1890" s="19" t="str">
        <f t="shared" si="65"/>
        <v/>
      </c>
      <c r="J1890" s="20" t="str">
        <f t="shared" si="25"/>
        <v/>
      </c>
      <c r="K1890" s="20"/>
      <c r="L1890" s="20"/>
      <c r="M1890" s="20"/>
      <c r="N1890" s="21"/>
      <c r="O1890" s="22" t="str">
        <f>IFERROR(__xludf.DUMMYFUNCTION("IFERROR(
  VLOOKUP(C1890,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C1890
    ), 
    7, FALSE
  ), 
  """"
)
"),"")</f>
        <v/>
      </c>
      <c r="P1890" s="22"/>
      <c r="Q1890" s="23" t="str">
        <f t="shared" si="4"/>
        <v/>
      </c>
      <c r="R1890" s="20"/>
      <c r="S1890" s="18"/>
      <c r="T1890" s="24"/>
      <c r="U1890" s="24"/>
      <c r="V1890" s="24"/>
      <c r="W1890" s="24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  <c r="AL1890" s="13"/>
      <c r="AM1890" s="13"/>
    </row>
    <row r="1891">
      <c r="A1891" s="37"/>
      <c r="B1891" s="25"/>
      <c r="C1891" s="60"/>
      <c r="D1891" s="27"/>
      <c r="E1891" s="28"/>
      <c r="F1891" s="29"/>
      <c r="G1891" s="30" t="str">
        <f t="shared" si="61"/>
        <v/>
      </c>
      <c r="H1891" s="31" t="str">
        <f t="shared" si="73"/>
        <v/>
      </c>
      <c r="I1891" s="32" t="str">
        <f t="shared" si="65"/>
        <v/>
      </c>
      <c r="J1891" s="33" t="str">
        <f t="shared" si="25"/>
        <v/>
      </c>
      <c r="K1891" s="33"/>
      <c r="L1891" s="33"/>
      <c r="M1891" s="33"/>
      <c r="N1891" s="34"/>
      <c r="O1891" s="35" t="str">
        <f>IFERROR(__xludf.DUMMYFUNCTION("IFERROR(
  VLOOKUP(C1891,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C1891
    ), 
    7, FALSE
  ), 
  """"
)
"),"")</f>
        <v/>
      </c>
      <c r="P1891" s="35"/>
      <c r="Q1891" s="36" t="str">
        <f t="shared" si="4"/>
        <v/>
      </c>
      <c r="R1891" s="33"/>
      <c r="S1891" s="31"/>
      <c r="T1891" s="37"/>
      <c r="U1891" s="37"/>
      <c r="V1891" s="37"/>
      <c r="W1891" s="37"/>
      <c r="X1891" s="25"/>
      <c r="Y1891" s="25"/>
      <c r="Z1891" s="25"/>
      <c r="AA1891" s="25"/>
      <c r="AB1891" s="25"/>
      <c r="AC1891" s="25"/>
      <c r="AD1891" s="25"/>
      <c r="AE1891" s="25"/>
      <c r="AF1891" s="25"/>
      <c r="AG1891" s="25"/>
      <c r="AH1891" s="25"/>
      <c r="AI1891" s="25"/>
      <c r="AJ1891" s="25"/>
      <c r="AK1891" s="25"/>
      <c r="AL1891" s="25"/>
      <c r="AM1891" s="25"/>
    </row>
    <row r="1892">
      <c r="A1892" s="24"/>
      <c r="B1892" s="13"/>
      <c r="C1892" s="62"/>
      <c r="D1892" s="14"/>
      <c r="E1892" s="15"/>
      <c r="F1892" s="16"/>
      <c r="G1892" s="17" t="str">
        <f t="shared" si="61"/>
        <v/>
      </c>
      <c r="H1892" s="18" t="str">
        <f t="shared" si="73"/>
        <v/>
      </c>
      <c r="I1892" s="19" t="str">
        <f t="shared" si="65"/>
        <v/>
      </c>
      <c r="J1892" s="20" t="str">
        <f t="shared" si="25"/>
        <v/>
      </c>
      <c r="K1892" s="20"/>
      <c r="L1892" s="20"/>
      <c r="M1892" s="20"/>
      <c r="N1892" s="21"/>
      <c r="O1892" s="22" t="str">
        <f>IFERROR(__xludf.DUMMYFUNCTION("IFERROR(
  VLOOKUP(C1892,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C1892
    ), 
    7, FALSE
  ), 
  """"
)
"),"")</f>
        <v/>
      </c>
      <c r="P1892" s="22"/>
      <c r="Q1892" s="23" t="str">
        <f t="shared" si="4"/>
        <v/>
      </c>
      <c r="R1892" s="20"/>
      <c r="S1892" s="18"/>
      <c r="T1892" s="24"/>
      <c r="U1892" s="24"/>
      <c r="V1892" s="24"/>
      <c r="W1892" s="24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</row>
    <row r="1893">
      <c r="A1893" s="37"/>
      <c r="B1893" s="25"/>
      <c r="C1893" s="60"/>
      <c r="D1893" s="27"/>
      <c r="E1893" s="28"/>
      <c r="F1893" s="29"/>
      <c r="G1893" s="30" t="str">
        <f t="shared" si="61"/>
        <v/>
      </c>
      <c r="H1893" s="31" t="str">
        <f t="shared" si="73"/>
        <v/>
      </c>
      <c r="I1893" s="32" t="str">
        <f t="shared" si="65"/>
        <v/>
      </c>
      <c r="J1893" s="33" t="str">
        <f t="shared" si="25"/>
        <v/>
      </c>
      <c r="K1893" s="33"/>
      <c r="L1893" s="33"/>
      <c r="M1893" s="33"/>
      <c r="N1893" s="34"/>
      <c r="O1893" s="35" t="str">
        <f>IFERROR(__xludf.DUMMYFUNCTION("IFERROR(
  VLOOKUP(C1893,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C1893
    ), 
    7, FALSE
  ), 
  """"
)
"),"")</f>
        <v/>
      </c>
      <c r="P1893" s="35"/>
      <c r="Q1893" s="36" t="str">
        <f t="shared" si="4"/>
        <v/>
      </c>
      <c r="R1893" s="33"/>
      <c r="S1893" s="31"/>
      <c r="T1893" s="37"/>
      <c r="U1893" s="37"/>
      <c r="V1893" s="37"/>
      <c r="W1893" s="37"/>
      <c r="X1893" s="25"/>
      <c r="Y1893" s="25"/>
      <c r="Z1893" s="25"/>
      <c r="AA1893" s="25"/>
      <c r="AB1893" s="25"/>
      <c r="AC1893" s="25"/>
      <c r="AD1893" s="25"/>
      <c r="AE1893" s="25"/>
      <c r="AF1893" s="25"/>
      <c r="AG1893" s="25"/>
      <c r="AH1893" s="25"/>
      <c r="AI1893" s="25"/>
      <c r="AJ1893" s="25"/>
      <c r="AK1893" s="25"/>
      <c r="AL1893" s="25"/>
      <c r="AM1893" s="25"/>
    </row>
    <row r="1894">
      <c r="A1894" s="24"/>
      <c r="B1894" s="13"/>
      <c r="C1894" s="62"/>
      <c r="D1894" s="14"/>
      <c r="E1894" s="15"/>
      <c r="F1894" s="16"/>
      <c r="G1894" s="17" t="str">
        <f t="shared" si="61"/>
        <v/>
      </c>
      <c r="H1894" s="18" t="str">
        <f t="shared" si="73"/>
        <v/>
      </c>
      <c r="I1894" s="19" t="str">
        <f t="shared" si="65"/>
        <v/>
      </c>
      <c r="J1894" s="20" t="str">
        <f t="shared" si="25"/>
        <v/>
      </c>
      <c r="K1894" s="20"/>
      <c r="L1894" s="20"/>
      <c r="M1894" s="20"/>
      <c r="N1894" s="21"/>
      <c r="O1894" s="22" t="str">
        <f>IFERROR(__xludf.DUMMYFUNCTION("IFERROR(
  VLOOKUP(C1894,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C1894
    ), 
    7, FALSE
  ), 
  """"
)
"),"")</f>
        <v/>
      </c>
      <c r="P1894" s="22"/>
      <c r="Q1894" s="23" t="str">
        <f t="shared" si="4"/>
        <v/>
      </c>
      <c r="R1894" s="20"/>
      <c r="S1894" s="18"/>
      <c r="T1894" s="24"/>
      <c r="U1894" s="24"/>
      <c r="V1894" s="24"/>
      <c r="W1894" s="24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</row>
    <row r="1895">
      <c r="A1895" s="37"/>
      <c r="B1895" s="25"/>
      <c r="C1895" s="60"/>
      <c r="D1895" s="27"/>
      <c r="E1895" s="28"/>
      <c r="F1895" s="29"/>
      <c r="G1895" s="30" t="str">
        <f t="shared" si="61"/>
        <v/>
      </c>
      <c r="H1895" s="31" t="str">
        <f t="shared" si="73"/>
        <v/>
      </c>
      <c r="I1895" s="32" t="str">
        <f t="shared" si="65"/>
        <v/>
      </c>
      <c r="J1895" s="33" t="str">
        <f t="shared" si="25"/>
        <v/>
      </c>
      <c r="K1895" s="33"/>
      <c r="L1895" s="33"/>
      <c r="M1895" s="33"/>
      <c r="N1895" s="34"/>
      <c r="O1895" s="35" t="str">
        <f>IFERROR(__xludf.DUMMYFUNCTION("IFERROR(
  VLOOKUP(C1895,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C1895
    ), 
    7, FALSE
  ), 
  """"
)
"),"")</f>
        <v/>
      </c>
      <c r="P1895" s="35"/>
      <c r="Q1895" s="36" t="str">
        <f t="shared" si="4"/>
        <v/>
      </c>
      <c r="R1895" s="33"/>
      <c r="S1895" s="31"/>
      <c r="T1895" s="37"/>
      <c r="U1895" s="37"/>
      <c r="V1895" s="37"/>
      <c r="W1895" s="37"/>
      <c r="X1895" s="25"/>
      <c r="Y1895" s="25"/>
      <c r="Z1895" s="25"/>
      <c r="AA1895" s="25"/>
      <c r="AB1895" s="25"/>
      <c r="AC1895" s="25"/>
      <c r="AD1895" s="25"/>
      <c r="AE1895" s="25"/>
      <c r="AF1895" s="25"/>
      <c r="AG1895" s="25"/>
      <c r="AH1895" s="25"/>
      <c r="AI1895" s="25"/>
      <c r="AJ1895" s="25"/>
      <c r="AK1895" s="25"/>
      <c r="AL1895" s="25"/>
      <c r="AM1895" s="25"/>
    </row>
    <row r="1896">
      <c r="A1896" s="24"/>
      <c r="B1896" s="13"/>
      <c r="C1896" s="62"/>
      <c r="D1896" s="14"/>
      <c r="E1896" s="15"/>
      <c r="F1896" s="16"/>
      <c r="G1896" s="17" t="str">
        <f t="shared" si="61"/>
        <v/>
      </c>
      <c r="H1896" s="18" t="str">
        <f t="shared" si="73"/>
        <v/>
      </c>
      <c r="I1896" s="19" t="str">
        <f t="shared" si="65"/>
        <v/>
      </c>
      <c r="J1896" s="20" t="str">
        <f t="shared" si="25"/>
        <v/>
      </c>
      <c r="K1896" s="20"/>
      <c r="L1896" s="20"/>
      <c r="M1896" s="20"/>
      <c r="N1896" s="21"/>
      <c r="O1896" s="22" t="str">
        <f>IFERROR(__xludf.DUMMYFUNCTION("IFERROR(
  VLOOKUP(C1896,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C1896
    ), 
    7, FALSE
  ), 
  """"
)
"),"")</f>
        <v/>
      </c>
      <c r="P1896" s="22"/>
      <c r="Q1896" s="23" t="str">
        <f t="shared" si="4"/>
        <v/>
      </c>
      <c r="R1896" s="20"/>
      <c r="S1896" s="18"/>
      <c r="T1896" s="24"/>
      <c r="U1896" s="24"/>
      <c r="V1896" s="24"/>
      <c r="W1896" s="24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</row>
    <row r="1897">
      <c r="A1897" s="37"/>
      <c r="B1897" s="25"/>
      <c r="C1897" s="60"/>
      <c r="D1897" s="27"/>
      <c r="E1897" s="28"/>
      <c r="F1897" s="29"/>
      <c r="G1897" s="30" t="str">
        <f t="shared" si="61"/>
        <v/>
      </c>
      <c r="H1897" s="31" t="str">
        <f t="shared" si="73"/>
        <v/>
      </c>
      <c r="I1897" s="32" t="str">
        <f t="shared" si="65"/>
        <v/>
      </c>
      <c r="J1897" s="33" t="str">
        <f t="shared" si="25"/>
        <v/>
      </c>
      <c r="K1897" s="33"/>
      <c r="L1897" s="33"/>
      <c r="M1897" s="33"/>
      <c r="N1897" s="34"/>
      <c r="O1897" s="35" t="str">
        <f>IFERROR(__xludf.DUMMYFUNCTION("IFERROR(
  VLOOKUP(C1897,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C1897
    ), 
    7, FALSE
  ), 
  """"
)
"),"")</f>
        <v/>
      </c>
      <c r="P1897" s="35"/>
      <c r="Q1897" s="36" t="str">
        <f t="shared" si="4"/>
        <v/>
      </c>
      <c r="R1897" s="33"/>
      <c r="S1897" s="31"/>
      <c r="T1897" s="37"/>
      <c r="U1897" s="37"/>
      <c r="V1897" s="37"/>
      <c r="W1897" s="37"/>
      <c r="X1897" s="25"/>
      <c r="Y1897" s="25"/>
      <c r="Z1897" s="25"/>
      <c r="AA1897" s="25"/>
      <c r="AB1897" s="25"/>
      <c r="AC1897" s="25"/>
      <c r="AD1897" s="25"/>
      <c r="AE1897" s="25"/>
      <c r="AF1897" s="25"/>
      <c r="AG1897" s="25"/>
      <c r="AH1897" s="25"/>
      <c r="AI1897" s="25"/>
      <c r="AJ1897" s="25"/>
      <c r="AK1897" s="25"/>
      <c r="AL1897" s="25"/>
      <c r="AM1897" s="25"/>
    </row>
    <row r="1898">
      <c r="A1898" s="24"/>
      <c r="B1898" s="13"/>
      <c r="C1898" s="62"/>
      <c r="D1898" s="14"/>
      <c r="E1898" s="15"/>
      <c r="F1898" s="16"/>
      <c r="G1898" s="17" t="str">
        <f t="shared" si="61"/>
        <v/>
      </c>
      <c r="H1898" s="18" t="str">
        <f t="shared" si="73"/>
        <v/>
      </c>
      <c r="I1898" s="19" t="str">
        <f t="shared" si="65"/>
        <v/>
      </c>
      <c r="J1898" s="20" t="str">
        <f t="shared" si="25"/>
        <v/>
      </c>
      <c r="K1898" s="20"/>
      <c r="L1898" s="20"/>
      <c r="M1898" s="20"/>
      <c r="N1898" s="21"/>
      <c r="O1898" s="22" t="str">
        <f>IFERROR(__xludf.DUMMYFUNCTION("IFERROR(
  VLOOKUP(C1898,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C1898
    ), 
    7, FALSE
  ), 
  """"
)
"),"")</f>
        <v/>
      </c>
      <c r="P1898" s="22"/>
      <c r="Q1898" s="23" t="str">
        <f t="shared" si="4"/>
        <v/>
      </c>
      <c r="R1898" s="20"/>
      <c r="S1898" s="18"/>
      <c r="T1898" s="24"/>
      <c r="U1898" s="24"/>
      <c r="V1898" s="24"/>
      <c r="W1898" s="24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</row>
    <row r="1899">
      <c r="A1899" s="37"/>
      <c r="B1899" s="25"/>
      <c r="C1899" s="60"/>
      <c r="D1899" s="27"/>
      <c r="E1899" s="28"/>
      <c r="F1899" s="29"/>
      <c r="G1899" s="30" t="str">
        <f t="shared" si="61"/>
        <v/>
      </c>
      <c r="H1899" s="31" t="str">
        <f t="shared" si="73"/>
        <v/>
      </c>
      <c r="I1899" s="32" t="str">
        <f t="shared" si="65"/>
        <v/>
      </c>
      <c r="J1899" s="33" t="str">
        <f t="shared" si="25"/>
        <v/>
      </c>
      <c r="K1899" s="33"/>
      <c r="L1899" s="33"/>
      <c r="M1899" s="33"/>
      <c r="N1899" s="34"/>
      <c r="O1899" s="35" t="str">
        <f>IFERROR(__xludf.DUMMYFUNCTION("IFERROR(
  VLOOKUP(C1899,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C1899
    ), 
    7, FALSE
  ), 
  """"
)
"),"")</f>
        <v/>
      </c>
      <c r="P1899" s="35"/>
      <c r="Q1899" s="36" t="str">
        <f t="shared" si="4"/>
        <v/>
      </c>
      <c r="R1899" s="33"/>
      <c r="S1899" s="31"/>
      <c r="T1899" s="37"/>
      <c r="U1899" s="37"/>
      <c r="V1899" s="37"/>
      <c r="W1899" s="37"/>
      <c r="X1899" s="25"/>
      <c r="Y1899" s="25"/>
      <c r="Z1899" s="25"/>
      <c r="AA1899" s="25"/>
      <c r="AB1899" s="25"/>
      <c r="AC1899" s="25"/>
      <c r="AD1899" s="25"/>
      <c r="AE1899" s="25"/>
      <c r="AF1899" s="25"/>
      <c r="AG1899" s="25"/>
      <c r="AH1899" s="25"/>
      <c r="AI1899" s="25"/>
      <c r="AJ1899" s="25"/>
      <c r="AK1899" s="25"/>
      <c r="AL1899" s="25"/>
      <c r="AM1899" s="25"/>
    </row>
    <row r="1900">
      <c r="A1900" s="24"/>
      <c r="B1900" s="13"/>
      <c r="C1900" s="62"/>
      <c r="D1900" s="14"/>
      <c r="E1900" s="15"/>
      <c r="F1900" s="16"/>
      <c r="G1900" s="17" t="str">
        <f t="shared" si="61"/>
        <v/>
      </c>
      <c r="H1900" s="18" t="str">
        <f t="shared" si="73"/>
        <v/>
      </c>
      <c r="I1900" s="19" t="str">
        <f t="shared" si="65"/>
        <v/>
      </c>
      <c r="J1900" s="20" t="str">
        <f t="shared" si="25"/>
        <v/>
      </c>
      <c r="K1900" s="20"/>
      <c r="L1900" s="20"/>
      <c r="M1900" s="20"/>
      <c r="N1900" s="21"/>
      <c r="O1900" s="22" t="str">
        <f>IFERROR(__xludf.DUMMYFUNCTION("IFERROR(
  VLOOKUP(C1900,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C1900
    ), 
    7, FALSE
  ), 
  """"
)
"),"")</f>
        <v/>
      </c>
      <c r="P1900" s="22"/>
      <c r="Q1900" s="23" t="str">
        <f t="shared" si="4"/>
        <v/>
      </c>
      <c r="R1900" s="20"/>
      <c r="S1900" s="18"/>
      <c r="T1900" s="24"/>
      <c r="U1900" s="24"/>
      <c r="V1900" s="24"/>
      <c r="W1900" s="24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3"/>
      <c r="AM1900" s="13"/>
    </row>
    <row r="1901">
      <c r="A1901" s="37"/>
      <c r="B1901" s="25"/>
      <c r="C1901" s="60"/>
      <c r="D1901" s="27"/>
      <c r="E1901" s="28"/>
      <c r="F1901" s="29"/>
      <c r="G1901" s="30" t="str">
        <f t="shared" si="61"/>
        <v/>
      </c>
      <c r="H1901" s="31" t="str">
        <f t="shared" si="73"/>
        <v/>
      </c>
      <c r="I1901" s="32" t="str">
        <f t="shared" si="65"/>
        <v/>
      </c>
      <c r="J1901" s="33" t="str">
        <f t="shared" si="25"/>
        <v/>
      </c>
      <c r="K1901" s="33"/>
      <c r="L1901" s="33"/>
      <c r="M1901" s="33"/>
      <c r="N1901" s="34"/>
      <c r="O1901" s="35" t="str">
        <f>IFERROR(__xludf.DUMMYFUNCTION("IFERROR(
  VLOOKUP(C1901,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C1901
    ), 
    7, FALSE
  ), 
  """"
)
"),"")</f>
        <v/>
      </c>
      <c r="P1901" s="35"/>
      <c r="Q1901" s="36" t="str">
        <f t="shared" si="4"/>
        <v/>
      </c>
      <c r="R1901" s="33"/>
      <c r="S1901" s="31"/>
      <c r="T1901" s="37"/>
      <c r="U1901" s="37"/>
      <c r="V1901" s="37"/>
      <c r="W1901" s="37"/>
      <c r="X1901" s="25"/>
      <c r="Y1901" s="25"/>
      <c r="Z1901" s="25"/>
      <c r="AA1901" s="25"/>
      <c r="AB1901" s="25"/>
      <c r="AC1901" s="25"/>
      <c r="AD1901" s="25"/>
      <c r="AE1901" s="25"/>
      <c r="AF1901" s="25"/>
      <c r="AG1901" s="25"/>
      <c r="AH1901" s="25"/>
      <c r="AI1901" s="25"/>
      <c r="AJ1901" s="25"/>
      <c r="AK1901" s="25"/>
      <c r="AL1901" s="25"/>
      <c r="AM1901" s="25"/>
    </row>
    <row r="1902">
      <c r="A1902" s="24"/>
      <c r="B1902" s="13"/>
      <c r="C1902" s="62"/>
      <c r="D1902" s="14"/>
      <c r="E1902" s="15"/>
      <c r="F1902" s="16"/>
      <c r="G1902" s="17" t="str">
        <f t="shared" si="61"/>
        <v/>
      </c>
      <c r="H1902" s="18" t="str">
        <f t="shared" si="73"/>
        <v/>
      </c>
      <c r="I1902" s="19" t="str">
        <f t="shared" si="65"/>
        <v/>
      </c>
      <c r="J1902" s="20" t="str">
        <f t="shared" si="25"/>
        <v/>
      </c>
      <c r="K1902" s="20"/>
      <c r="L1902" s="20"/>
      <c r="M1902" s="20"/>
      <c r="N1902" s="21"/>
      <c r="O1902" s="22" t="str">
        <f>IFERROR(__xludf.DUMMYFUNCTION("IFERROR(
  VLOOKUP(C1902,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C1902
    ), 
    7, FALSE
  ), 
  """"
)
"),"")</f>
        <v/>
      </c>
      <c r="P1902" s="22"/>
      <c r="Q1902" s="23" t="str">
        <f t="shared" si="4"/>
        <v/>
      </c>
      <c r="R1902" s="20"/>
      <c r="S1902" s="18"/>
      <c r="T1902" s="24"/>
      <c r="U1902" s="24"/>
      <c r="V1902" s="24"/>
      <c r="W1902" s="24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</row>
    <row r="1903">
      <c r="A1903" s="37"/>
      <c r="B1903" s="25"/>
      <c r="C1903" s="60"/>
      <c r="D1903" s="27"/>
      <c r="E1903" s="28"/>
      <c r="F1903" s="29"/>
      <c r="G1903" s="30" t="str">
        <f t="shared" si="61"/>
        <v/>
      </c>
      <c r="H1903" s="31" t="str">
        <f t="shared" si="73"/>
        <v/>
      </c>
      <c r="I1903" s="32" t="str">
        <f t="shared" si="65"/>
        <v/>
      </c>
      <c r="J1903" s="33" t="str">
        <f t="shared" si="25"/>
        <v/>
      </c>
      <c r="K1903" s="33"/>
      <c r="L1903" s="33"/>
      <c r="M1903" s="33"/>
      <c r="N1903" s="34"/>
      <c r="O1903" s="35" t="str">
        <f>IFERROR(__xludf.DUMMYFUNCTION("IFERROR(
  VLOOKUP(C1903,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C1903
    ), 
    7, FALSE
  ), 
  """"
)
"),"")</f>
        <v/>
      </c>
      <c r="P1903" s="35"/>
      <c r="Q1903" s="36" t="str">
        <f t="shared" si="4"/>
        <v/>
      </c>
      <c r="R1903" s="33"/>
      <c r="S1903" s="31"/>
      <c r="T1903" s="37"/>
      <c r="U1903" s="37"/>
      <c r="V1903" s="37"/>
      <c r="W1903" s="37"/>
      <c r="X1903" s="25"/>
      <c r="Y1903" s="25"/>
      <c r="Z1903" s="25"/>
      <c r="AA1903" s="25"/>
      <c r="AB1903" s="25"/>
      <c r="AC1903" s="25"/>
      <c r="AD1903" s="25"/>
      <c r="AE1903" s="25"/>
      <c r="AF1903" s="25"/>
      <c r="AG1903" s="25"/>
      <c r="AH1903" s="25"/>
      <c r="AI1903" s="25"/>
      <c r="AJ1903" s="25"/>
      <c r="AK1903" s="25"/>
      <c r="AL1903" s="25"/>
      <c r="AM1903" s="25"/>
    </row>
    <row r="1904">
      <c r="A1904" s="24"/>
      <c r="B1904" s="13"/>
      <c r="C1904" s="62"/>
      <c r="D1904" s="14"/>
      <c r="E1904" s="15"/>
      <c r="F1904" s="16"/>
      <c r="G1904" s="17" t="str">
        <f t="shared" si="61"/>
        <v/>
      </c>
      <c r="H1904" s="18" t="str">
        <f t="shared" si="73"/>
        <v/>
      </c>
      <c r="I1904" s="19" t="str">
        <f t="shared" si="65"/>
        <v/>
      </c>
      <c r="J1904" s="20" t="str">
        <f t="shared" si="25"/>
        <v/>
      </c>
      <c r="K1904" s="20"/>
      <c r="L1904" s="20"/>
      <c r="M1904" s="20"/>
      <c r="N1904" s="21"/>
      <c r="O1904" s="22" t="str">
        <f>IFERROR(__xludf.DUMMYFUNCTION("IFERROR(
  VLOOKUP(C1904,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C1904
    ), 
    7, FALSE
  ), 
  """"
)
"),"")</f>
        <v/>
      </c>
      <c r="P1904" s="22"/>
      <c r="Q1904" s="23" t="str">
        <f t="shared" si="4"/>
        <v/>
      </c>
      <c r="R1904" s="20"/>
      <c r="S1904" s="18"/>
      <c r="T1904" s="24"/>
      <c r="U1904" s="24"/>
      <c r="V1904" s="24"/>
      <c r="W1904" s="24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</row>
    <row r="1905">
      <c r="A1905" s="37"/>
      <c r="B1905" s="25"/>
      <c r="C1905" s="60"/>
      <c r="D1905" s="27"/>
      <c r="E1905" s="28"/>
      <c r="F1905" s="29"/>
      <c r="G1905" s="30" t="str">
        <f t="shared" si="61"/>
        <v/>
      </c>
      <c r="H1905" s="31" t="str">
        <f t="shared" si="73"/>
        <v/>
      </c>
      <c r="I1905" s="32" t="str">
        <f t="shared" si="65"/>
        <v/>
      </c>
      <c r="J1905" s="33" t="str">
        <f t="shared" si="25"/>
        <v/>
      </c>
      <c r="K1905" s="33"/>
      <c r="L1905" s="33"/>
      <c r="M1905" s="33"/>
      <c r="N1905" s="34"/>
      <c r="O1905" s="35" t="str">
        <f>IFERROR(__xludf.DUMMYFUNCTION("IFERROR(
  VLOOKUP(C1905,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C1905
    ), 
    7, FALSE
  ), 
  """"
)
"),"")</f>
        <v/>
      </c>
      <c r="P1905" s="35"/>
      <c r="Q1905" s="36" t="str">
        <f t="shared" si="4"/>
        <v/>
      </c>
      <c r="R1905" s="33"/>
      <c r="S1905" s="31"/>
      <c r="T1905" s="37"/>
      <c r="U1905" s="37"/>
      <c r="V1905" s="37"/>
      <c r="W1905" s="37"/>
      <c r="X1905" s="25"/>
      <c r="Y1905" s="25"/>
      <c r="Z1905" s="25"/>
      <c r="AA1905" s="25"/>
      <c r="AB1905" s="25"/>
      <c r="AC1905" s="25"/>
      <c r="AD1905" s="25"/>
      <c r="AE1905" s="25"/>
      <c r="AF1905" s="25"/>
      <c r="AG1905" s="25"/>
      <c r="AH1905" s="25"/>
      <c r="AI1905" s="25"/>
      <c r="AJ1905" s="25"/>
      <c r="AK1905" s="25"/>
      <c r="AL1905" s="25"/>
      <c r="AM1905" s="25"/>
    </row>
    <row r="1906">
      <c r="A1906" s="24"/>
      <c r="B1906" s="13"/>
      <c r="C1906" s="62"/>
      <c r="D1906" s="14"/>
      <c r="E1906" s="15"/>
      <c r="F1906" s="16"/>
      <c r="G1906" s="17" t="str">
        <f t="shared" si="61"/>
        <v/>
      </c>
      <c r="H1906" s="18" t="str">
        <f t="shared" si="73"/>
        <v/>
      </c>
      <c r="I1906" s="19" t="str">
        <f t="shared" si="65"/>
        <v/>
      </c>
      <c r="J1906" s="20" t="str">
        <f t="shared" si="25"/>
        <v/>
      </c>
      <c r="K1906" s="20"/>
      <c r="L1906" s="20"/>
      <c r="M1906" s="20"/>
      <c r="N1906" s="21"/>
      <c r="O1906" s="22" t="str">
        <f>IFERROR(__xludf.DUMMYFUNCTION("IFERROR(
  VLOOKUP(C1906,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C1906
    ), 
    7, FALSE
  ), 
  """"
)
"),"")</f>
        <v/>
      </c>
      <c r="P1906" s="22"/>
      <c r="Q1906" s="23" t="str">
        <f t="shared" si="4"/>
        <v/>
      </c>
      <c r="R1906" s="20"/>
      <c r="S1906" s="18"/>
      <c r="T1906" s="24"/>
      <c r="U1906" s="24"/>
      <c r="V1906" s="24"/>
      <c r="W1906" s="24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</row>
    <row r="1907">
      <c r="A1907" s="37"/>
      <c r="B1907" s="25"/>
      <c r="C1907" s="60"/>
      <c r="D1907" s="27"/>
      <c r="E1907" s="28"/>
      <c r="F1907" s="29"/>
      <c r="G1907" s="30" t="str">
        <f t="shared" si="61"/>
        <v/>
      </c>
      <c r="H1907" s="31" t="str">
        <f t="shared" si="73"/>
        <v/>
      </c>
      <c r="I1907" s="32" t="str">
        <f t="shared" si="65"/>
        <v/>
      </c>
      <c r="J1907" s="33" t="str">
        <f t="shared" si="25"/>
        <v/>
      </c>
      <c r="K1907" s="33"/>
      <c r="L1907" s="33"/>
      <c r="M1907" s="33"/>
      <c r="N1907" s="34"/>
      <c r="O1907" s="35" t="str">
        <f>IFERROR(__xludf.DUMMYFUNCTION("IFERROR(
  VLOOKUP(C1907,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C1907
    ), 
    7, FALSE
  ), 
  """"
)
"),"")</f>
        <v/>
      </c>
      <c r="P1907" s="35"/>
      <c r="Q1907" s="36" t="str">
        <f t="shared" si="4"/>
        <v/>
      </c>
      <c r="R1907" s="33"/>
      <c r="S1907" s="31"/>
      <c r="T1907" s="37"/>
      <c r="U1907" s="37"/>
      <c r="V1907" s="37"/>
      <c r="W1907" s="37"/>
      <c r="X1907" s="25"/>
      <c r="Y1907" s="25"/>
      <c r="Z1907" s="25"/>
      <c r="AA1907" s="25"/>
      <c r="AB1907" s="25"/>
      <c r="AC1907" s="25"/>
      <c r="AD1907" s="25"/>
      <c r="AE1907" s="25"/>
      <c r="AF1907" s="25"/>
      <c r="AG1907" s="25"/>
      <c r="AH1907" s="25"/>
      <c r="AI1907" s="25"/>
      <c r="AJ1907" s="25"/>
      <c r="AK1907" s="25"/>
      <c r="AL1907" s="25"/>
      <c r="AM1907" s="25"/>
    </row>
    <row r="1908">
      <c r="A1908" s="24"/>
      <c r="B1908" s="13"/>
      <c r="C1908" s="62"/>
      <c r="D1908" s="14"/>
      <c r="E1908" s="15"/>
      <c r="F1908" s="16"/>
      <c r="G1908" s="17" t="str">
        <f t="shared" si="61"/>
        <v/>
      </c>
      <c r="H1908" s="18" t="str">
        <f t="shared" si="73"/>
        <v/>
      </c>
      <c r="I1908" s="19" t="str">
        <f t="shared" si="65"/>
        <v/>
      </c>
      <c r="J1908" s="20" t="str">
        <f t="shared" si="25"/>
        <v/>
      </c>
      <c r="K1908" s="20"/>
      <c r="L1908" s="20"/>
      <c r="M1908" s="20"/>
      <c r="N1908" s="21"/>
      <c r="O1908" s="22" t="str">
        <f>IFERROR(__xludf.DUMMYFUNCTION("IFERROR(
  VLOOKUP(C1908,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C1908
    ), 
    7, FALSE
  ), 
  """"
)
"),"")</f>
        <v/>
      </c>
      <c r="P1908" s="22"/>
      <c r="Q1908" s="23" t="str">
        <f t="shared" si="4"/>
        <v/>
      </c>
      <c r="R1908" s="20"/>
      <c r="S1908" s="18"/>
      <c r="T1908" s="24"/>
      <c r="U1908" s="24"/>
      <c r="V1908" s="24"/>
      <c r="W1908" s="24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</row>
    <row r="1909">
      <c r="A1909" s="37"/>
      <c r="B1909" s="25"/>
      <c r="C1909" s="60"/>
      <c r="D1909" s="27"/>
      <c r="E1909" s="28"/>
      <c r="F1909" s="29"/>
      <c r="G1909" s="30" t="str">
        <f t="shared" si="61"/>
        <v/>
      </c>
      <c r="H1909" s="31" t="str">
        <f t="shared" si="73"/>
        <v/>
      </c>
      <c r="I1909" s="32" t="str">
        <f t="shared" si="65"/>
        <v/>
      </c>
      <c r="J1909" s="33" t="str">
        <f t="shared" si="25"/>
        <v/>
      </c>
      <c r="K1909" s="33"/>
      <c r="L1909" s="33"/>
      <c r="M1909" s="33"/>
      <c r="N1909" s="34"/>
      <c r="O1909" s="35" t="str">
        <f>IFERROR(__xludf.DUMMYFUNCTION("IFERROR(
  VLOOKUP(C1909,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C1909
    ), 
    7, FALSE
  ), 
  """"
)
"),"")</f>
        <v/>
      </c>
      <c r="P1909" s="35"/>
      <c r="Q1909" s="36" t="str">
        <f t="shared" si="4"/>
        <v/>
      </c>
      <c r="R1909" s="33"/>
      <c r="S1909" s="31"/>
      <c r="T1909" s="37"/>
      <c r="U1909" s="37"/>
      <c r="V1909" s="37"/>
      <c r="W1909" s="37"/>
      <c r="X1909" s="25"/>
      <c r="Y1909" s="25"/>
      <c r="Z1909" s="25"/>
      <c r="AA1909" s="25"/>
      <c r="AB1909" s="25"/>
      <c r="AC1909" s="25"/>
      <c r="AD1909" s="25"/>
      <c r="AE1909" s="25"/>
      <c r="AF1909" s="25"/>
      <c r="AG1909" s="25"/>
      <c r="AH1909" s="25"/>
      <c r="AI1909" s="25"/>
      <c r="AJ1909" s="25"/>
      <c r="AK1909" s="25"/>
      <c r="AL1909" s="25"/>
      <c r="AM1909" s="25"/>
    </row>
    <row r="1910">
      <c r="A1910" s="24"/>
      <c r="B1910" s="13"/>
      <c r="C1910" s="62"/>
      <c r="D1910" s="14"/>
      <c r="E1910" s="15"/>
      <c r="F1910" s="16"/>
      <c r="G1910" s="17" t="str">
        <f t="shared" si="61"/>
        <v/>
      </c>
      <c r="H1910" s="18" t="str">
        <f t="shared" si="73"/>
        <v/>
      </c>
      <c r="I1910" s="19" t="str">
        <f t="shared" si="65"/>
        <v/>
      </c>
      <c r="J1910" s="20" t="str">
        <f t="shared" si="25"/>
        <v/>
      </c>
      <c r="K1910" s="20"/>
      <c r="L1910" s="20"/>
      <c r="M1910" s="20"/>
      <c r="N1910" s="21"/>
      <c r="O1910" s="22" t="str">
        <f>IFERROR(__xludf.DUMMYFUNCTION("IFERROR(
  VLOOKUP(C1910,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C1910
    ), 
    7, FALSE
  ), 
  """"
)
"),"")</f>
        <v/>
      </c>
      <c r="P1910" s="22"/>
      <c r="Q1910" s="23" t="str">
        <f t="shared" si="4"/>
        <v/>
      </c>
      <c r="R1910" s="20"/>
      <c r="S1910" s="18"/>
      <c r="T1910" s="24"/>
      <c r="U1910" s="24"/>
      <c r="V1910" s="24"/>
      <c r="W1910" s="24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</row>
    <row r="1911">
      <c r="A1911" s="37"/>
      <c r="B1911" s="25"/>
      <c r="C1911" s="60"/>
      <c r="D1911" s="27"/>
      <c r="E1911" s="28"/>
      <c r="F1911" s="29"/>
      <c r="G1911" s="30" t="str">
        <f t="shared" si="61"/>
        <v/>
      </c>
      <c r="H1911" s="31" t="str">
        <f t="shared" si="73"/>
        <v/>
      </c>
      <c r="I1911" s="32" t="str">
        <f t="shared" si="65"/>
        <v/>
      </c>
      <c r="J1911" s="33" t="str">
        <f t="shared" si="25"/>
        <v/>
      </c>
      <c r="K1911" s="33"/>
      <c r="L1911" s="33"/>
      <c r="M1911" s="33"/>
      <c r="N1911" s="34"/>
      <c r="O1911" s="35" t="str">
        <f>IFERROR(__xludf.DUMMYFUNCTION("IFERROR(
  VLOOKUP(C1911,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C1911
    ), 
    7, FALSE
  ), 
  """"
)
"),"")</f>
        <v/>
      </c>
      <c r="P1911" s="35"/>
      <c r="Q1911" s="36" t="str">
        <f t="shared" si="4"/>
        <v/>
      </c>
      <c r="R1911" s="33"/>
      <c r="S1911" s="31"/>
      <c r="T1911" s="37"/>
      <c r="U1911" s="37"/>
      <c r="V1911" s="37"/>
      <c r="W1911" s="37"/>
      <c r="X1911" s="25"/>
      <c r="Y1911" s="25"/>
      <c r="Z1911" s="25"/>
      <c r="AA1911" s="25"/>
      <c r="AB1911" s="25"/>
      <c r="AC1911" s="25"/>
      <c r="AD1911" s="25"/>
      <c r="AE1911" s="25"/>
      <c r="AF1911" s="25"/>
      <c r="AG1911" s="25"/>
      <c r="AH1911" s="25"/>
      <c r="AI1911" s="25"/>
      <c r="AJ1911" s="25"/>
      <c r="AK1911" s="25"/>
      <c r="AL1911" s="25"/>
      <c r="AM1911" s="25"/>
    </row>
    <row r="1912">
      <c r="A1912" s="24"/>
      <c r="B1912" s="13"/>
      <c r="C1912" s="62"/>
      <c r="D1912" s="14"/>
      <c r="E1912" s="15"/>
      <c r="F1912" s="16"/>
      <c r="G1912" s="17" t="str">
        <f t="shared" si="61"/>
        <v/>
      </c>
      <c r="H1912" s="18" t="str">
        <f t="shared" si="73"/>
        <v/>
      </c>
      <c r="I1912" s="19" t="str">
        <f t="shared" si="65"/>
        <v/>
      </c>
      <c r="J1912" s="20" t="str">
        <f t="shared" si="25"/>
        <v/>
      </c>
      <c r="K1912" s="20"/>
      <c r="L1912" s="20"/>
      <c r="M1912" s="20"/>
      <c r="N1912" s="21"/>
      <c r="O1912" s="22" t="str">
        <f>IFERROR(__xludf.DUMMYFUNCTION("IFERROR(
  VLOOKUP(C1912,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C1912
    ), 
    7, FALSE
  ), 
  """"
)
"),"")</f>
        <v/>
      </c>
      <c r="P1912" s="22"/>
      <c r="Q1912" s="23" t="str">
        <f t="shared" si="4"/>
        <v/>
      </c>
      <c r="R1912" s="20"/>
      <c r="S1912" s="18"/>
      <c r="T1912" s="24"/>
      <c r="U1912" s="24"/>
      <c r="V1912" s="24"/>
      <c r="W1912" s="24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</row>
    <row r="1913">
      <c r="A1913" s="37"/>
      <c r="B1913" s="25"/>
      <c r="C1913" s="60"/>
      <c r="D1913" s="27"/>
      <c r="E1913" s="28"/>
      <c r="F1913" s="29"/>
      <c r="G1913" s="30" t="str">
        <f t="shared" si="61"/>
        <v/>
      </c>
      <c r="H1913" s="31" t="str">
        <f t="shared" si="73"/>
        <v/>
      </c>
      <c r="I1913" s="32" t="str">
        <f t="shared" si="65"/>
        <v/>
      </c>
      <c r="J1913" s="33" t="str">
        <f t="shared" si="25"/>
        <v/>
      </c>
      <c r="K1913" s="33"/>
      <c r="L1913" s="33"/>
      <c r="M1913" s="33"/>
      <c r="N1913" s="34"/>
      <c r="O1913" s="35" t="str">
        <f>IFERROR(__xludf.DUMMYFUNCTION("IFERROR(
  VLOOKUP(C1913,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C1913
    ), 
    7, FALSE
  ), 
  """"
)
"),"")</f>
        <v/>
      </c>
      <c r="P1913" s="35"/>
      <c r="Q1913" s="36" t="str">
        <f t="shared" si="4"/>
        <v/>
      </c>
      <c r="R1913" s="33"/>
      <c r="S1913" s="31"/>
      <c r="T1913" s="37"/>
      <c r="U1913" s="37"/>
      <c r="V1913" s="37"/>
      <c r="W1913" s="37"/>
      <c r="X1913" s="25"/>
      <c r="Y1913" s="25"/>
      <c r="Z1913" s="25"/>
      <c r="AA1913" s="25"/>
      <c r="AB1913" s="25"/>
      <c r="AC1913" s="25"/>
      <c r="AD1913" s="25"/>
      <c r="AE1913" s="25"/>
      <c r="AF1913" s="25"/>
      <c r="AG1913" s="25"/>
      <c r="AH1913" s="25"/>
      <c r="AI1913" s="25"/>
      <c r="AJ1913" s="25"/>
      <c r="AK1913" s="25"/>
      <c r="AL1913" s="25"/>
      <c r="AM1913" s="25"/>
    </row>
    <row r="1914">
      <c r="A1914" s="24"/>
      <c r="B1914" s="13"/>
      <c r="C1914" s="62"/>
      <c r="D1914" s="14"/>
      <c r="E1914" s="15"/>
      <c r="F1914" s="16"/>
      <c r="G1914" s="17" t="str">
        <f t="shared" si="61"/>
        <v/>
      </c>
      <c r="H1914" s="18" t="str">
        <f t="shared" si="73"/>
        <v/>
      </c>
      <c r="I1914" s="19" t="str">
        <f t="shared" si="65"/>
        <v/>
      </c>
      <c r="J1914" s="20" t="str">
        <f t="shared" si="25"/>
        <v/>
      </c>
      <c r="K1914" s="20"/>
      <c r="L1914" s="20"/>
      <c r="M1914" s="20"/>
      <c r="N1914" s="21"/>
      <c r="O1914" s="22" t="str">
        <f>IFERROR(__xludf.DUMMYFUNCTION("IFERROR(
  VLOOKUP(C1914,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C1914
    ), 
    7, FALSE
  ), 
  """"
)
"),"")</f>
        <v/>
      </c>
      <c r="P1914" s="22"/>
      <c r="Q1914" s="23" t="str">
        <f t="shared" si="4"/>
        <v/>
      </c>
      <c r="R1914" s="20"/>
      <c r="S1914" s="18"/>
      <c r="T1914" s="24"/>
      <c r="U1914" s="24"/>
      <c r="V1914" s="24"/>
      <c r="W1914" s="24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</row>
    <row r="1915">
      <c r="A1915" s="37"/>
      <c r="B1915" s="25"/>
      <c r="C1915" s="60"/>
      <c r="D1915" s="27"/>
      <c r="E1915" s="28"/>
      <c r="F1915" s="29"/>
      <c r="G1915" s="30" t="str">
        <f t="shared" si="61"/>
        <v/>
      </c>
      <c r="H1915" s="31" t="str">
        <f t="shared" si="73"/>
        <v/>
      </c>
      <c r="I1915" s="32" t="str">
        <f t="shared" si="65"/>
        <v/>
      </c>
      <c r="J1915" s="33" t="str">
        <f t="shared" si="25"/>
        <v/>
      </c>
      <c r="K1915" s="33"/>
      <c r="L1915" s="33"/>
      <c r="M1915" s="33"/>
      <c r="N1915" s="34"/>
      <c r="O1915" s="35" t="str">
        <f>IFERROR(__xludf.DUMMYFUNCTION("IFERROR(
  VLOOKUP(C1915,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C1915
    ), 
    7, FALSE
  ), 
  """"
)
"),"")</f>
        <v/>
      </c>
      <c r="P1915" s="35"/>
      <c r="Q1915" s="36" t="str">
        <f t="shared" si="4"/>
        <v/>
      </c>
      <c r="R1915" s="33"/>
      <c r="S1915" s="31"/>
      <c r="T1915" s="37"/>
      <c r="U1915" s="37"/>
      <c r="V1915" s="37"/>
      <c r="W1915" s="37"/>
      <c r="X1915" s="25"/>
      <c r="Y1915" s="25"/>
      <c r="Z1915" s="25"/>
      <c r="AA1915" s="25"/>
      <c r="AB1915" s="25"/>
      <c r="AC1915" s="25"/>
      <c r="AD1915" s="25"/>
      <c r="AE1915" s="25"/>
      <c r="AF1915" s="25"/>
      <c r="AG1915" s="25"/>
      <c r="AH1915" s="25"/>
      <c r="AI1915" s="25"/>
      <c r="AJ1915" s="25"/>
      <c r="AK1915" s="25"/>
      <c r="AL1915" s="25"/>
      <c r="AM1915" s="25"/>
    </row>
    <row r="1916">
      <c r="A1916" s="24"/>
      <c r="B1916" s="13"/>
      <c r="C1916" s="62"/>
      <c r="D1916" s="14"/>
      <c r="E1916" s="15"/>
      <c r="F1916" s="16"/>
      <c r="G1916" s="17" t="str">
        <f t="shared" si="61"/>
        <v/>
      </c>
      <c r="H1916" s="18" t="str">
        <f t="shared" si="73"/>
        <v/>
      </c>
      <c r="I1916" s="19" t="str">
        <f t="shared" si="65"/>
        <v/>
      </c>
      <c r="J1916" s="20" t="str">
        <f t="shared" si="25"/>
        <v/>
      </c>
      <c r="K1916" s="20"/>
      <c r="L1916" s="20"/>
      <c r="M1916" s="20"/>
      <c r="N1916" s="21"/>
      <c r="O1916" s="22" t="str">
        <f>IFERROR(__xludf.DUMMYFUNCTION("IFERROR(
  VLOOKUP(C1916,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C1916
    ), 
    7, FALSE
  ), 
  """"
)
"),"")</f>
        <v/>
      </c>
      <c r="P1916" s="22"/>
      <c r="Q1916" s="23" t="str">
        <f t="shared" si="4"/>
        <v/>
      </c>
      <c r="R1916" s="20"/>
      <c r="S1916" s="18"/>
      <c r="T1916" s="24"/>
      <c r="U1916" s="24"/>
      <c r="V1916" s="24"/>
      <c r="W1916" s="24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</row>
    <row r="1917">
      <c r="A1917" s="37"/>
      <c r="B1917" s="25"/>
      <c r="C1917" s="60"/>
      <c r="D1917" s="27"/>
      <c r="E1917" s="28"/>
      <c r="F1917" s="29"/>
      <c r="G1917" s="30" t="str">
        <f t="shared" si="61"/>
        <v/>
      </c>
      <c r="H1917" s="31" t="str">
        <f t="shared" si="73"/>
        <v/>
      </c>
      <c r="I1917" s="32" t="str">
        <f t="shared" si="65"/>
        <v/>
      </c>
      <c r="J1917" s="33" t="str">
        <f t="shared" si="25"/>
        <v/>
      </c>
      <c r="K1917" s="33"/>
      <c r="L1917" s="33"/>
      <c r="M1917" s="33"/>
      <c r="N1917" s="34"/>
      <c r="O1917" s="35" t="str">
        <f>IFERROR(__xludf.DUMMYFUNCTION("IFERROR(
  VLOOKUP(C1917,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C1917
    ), 
    7, FALSE
  ), 
  """"
)
"),"")</f>
        <v/>
      </c>
      <c r="P1917" s="35"/>
      <c r="Q1917" s="36" t="str">
        <f t="shared" si="4"/>
        <v/>
      </c>
      <c r="R1917" s="33"/>
      <c r="S1917" s="31"/>
      <c r="T1917" s="37"/>
      <c r="U1917" s="37"/>
      <c r="V1917" s="37"/>
      <c r="W1917" s="37"/>
      <c r="X1917" s="25"/>
      <c r="Y1917" s="25"/>
      <c r="Z1917" s="25"/>
      <c r="AA1917" s="25"/>
      <c r="AB1917" s="25"/>
      <c r="AC1917" s="25"/>
      <c r="AD1917" s="25"/>
      <c r="AE1917" s="25"/>
      <c r="AF1917" s="25"/>
      <c r="AG1917" s="25"/>
      <c r="AH1917" s="25"/>
      <c r="AI1917" s="25"/>
      <c r="AJ1917" s="25"/>
      <c r="AK1917" s="25"/>
      <c r="AL1917" s="25"/>
      <c r="AM1917" s="25"/>
    </row>
    <row r="1918">
      <c r="A1918" s="24"/>
      <c r="B1918" s="13"/>
      <c r="C1918" s="62"/>
      <c r="D1918" s="14"/>
      <c r="E1918" s="15"/>
      <c r="F1918" s="16"/>
      <c r="G1918" s="17" t="str">
        <f t="shared" si="61"/>
        <v/>
      </c>
      <c r="H1918" s="18" t="str">
        <f t="shared" si="73"/>
        <v/>
      </c>
      <c r="I1918" s="19" t="str">
        <f t="shared" si="65"/>
        <v/>
      </c>
      <c r="J1918" s="20" t="str">
        <f t="shared" si="25"/>
        <v/>
      </c>
      <c r="K1918" s="20"/>
      <c r="L1918" s="20"/>
      <c r="M1918" s="20"/>
      <c r="N1918" s="21"/>
      <c r="O1918" s="22" t="str">
        <f>IFERROR(__xludf.DUMMYFUNCTION("IFERROR(
  VLOOKUP(C1918,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C1918
    ), 
    7, FALSE
  ), 
  """"
)
"),"")</f>
        <v/>
      </c>
      <c r="P1918" s="22"/>
      <c r="Q1918" s="23" t="str">
        <f t="shared" si="4"/>
        <v/>
      </c>
      <c r="R1918" s="20"/>
      <c r="S1918" s="18"/>
      <c r="T1918" s="24"/>
      <c r="U1918" s="24"/>
      <c r="V1918" s="24"/>
      <c r="W1918" s="24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</row>
    <row r="1919">
      <c r="A1919" s="37"/>
      <c r="B1919" s="25"/>
      <c r="C1919" s="60"/>
      <c r="D1919" s="27"/>
      <c r="E1919" s="28"/>
      <c r="F1919" s="29"/>
      <c r="G1919" s="30" t="str">
        <f t="shared" si="61"/>
        <v/>
      </c>
      <c r="H1919" s="31" t="str">
        <f t="shared" si="73"/>
        <v/>
      </c>
      <c r="I1919" s="32" t="str">
        <f t="shared" si="65"/>
        <v/>
      </c>
      <c r="J1919" s="33" t="str">
        <f t="shared" si="25"/>
        <v/>
      </c>
      <c r="K1919" s="33"/>
      <c r="L1919" s="33"/>
      <c r="M1919" s="33"/>
      <c r="N1919" s="34"/>
      <c r="O1919" s="35" t="str">
        <f>IFERROR(__xludf.DUMMYFUNCTION("IFERROR(
  VLOOKUP(C1919,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C1919
    ), 
    7, FALSE
  ), 
  """"
)
"),"")</f>
        <v/>
      </c>
      <c r="P1919" s="35"/>
      <c r="Q1919" s="36" t="str">
        <f t="shared" si="4"/>
        <v/>
      </c>
      <c r="R1919" s="33"/>
      <c r="S1919" s="31"/>
      <c r="T1919" s="37"/>
      <c r="U1919" s="37"/>
      <c r="V1919" s="37"/>
      <c r="W1919" s="37"/>
      <c r="X1919" s="25"/>
      <c r="Y1919" s="25"/>
      <c r="Z1919" s="25"/>
      <c r="AA1919" s="25"/>
      <c r="AB1919" s="25"/>
      <c r="AC1919" s="25"/>
      <c r="AD1919" s="25"/>
      <c r="AE1919" s="25"/>
      <c r="AF1919" s="25"/>
      <c r="AG1919" s="25"/>
      <c r="AH1919" s="25"/>
      <c r="AI1919" s="25"/>
      <c r="AJ1919" s="25"/>
      <c r="AK1919" s="25"/>
      <c r="AL1919" s="25"/>
      <c r="AM1919" s="25"/>
    </row>
    <row r="1920">
      <c r="A1920" s="24"/>
      <c r="B1920" s="13"/>
      <c r="C1920" s="62"/>
      <c r="D1920" s="14"/>
      <c r="E1920" s="15"/>
      <c r="F1920" s="16"/>
      <c r="G1920" s="17" t="str">
        <f t="shared" si="61"/>
        <v/>
      </c>
      <c r="H1920" s="18" t="str">
        <f t="shared" si="73"/>
        <v/>
      </c>
      <c r="I1920" s="19" t="str">
        <f t="shared" si="65"/>
        <v/>
      </c>
      <c r="J1920" s="20" t="str">
        <f t="shared" si="25"/>
        <v/>
      </c>
      <c r="K1920" s="20"/>
      <c r="L1920" s="20"/>
      <c r="M1920" s="20"/>
      <c r="N1920" s="21"/>
      <c r="O1920" s="22" t="str">
        <f>IFERROR(__xludf.DUMMYFUNCTION("IFERROR(
  VLOOKUP(C1920,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C1920
    ), 
    7, FALSE
  ), 
  """"
)
"),"")</f>
        <v/>
      </c>
      <c r="P1920" s="22"/>
      <c r="Q1920" s="23" t="str">
        <f t="shared" si="4"/>
        <v/>
      </c>
      <c r="R1920" s="20"/>
      <c r="S1920" s="18"/>
      <c r="T1920" s="24"/>
      <c r="U1920" s="24"/>
      <c r="V1920" s="24"/>
      <c r="W1920" s="24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</row>
    <row r="1921">
      <c r="A1921" s="37"/>
      <c r="B1921" s="25"/>
      <c r="C1921" s="60"/>
      <c r="D1921" s="27"/>
      <c r="E1921" s="28"/>
      <c r="F1921" s="29"/>
      <c r="G1921" s="30" t="str">
        <f t="shared" si="61"/>
        <v/>
      </c>
      <c r="H1921" s="31" t="str">
        <f t="shared" si="73"/>
        <v/>
      </c>
      <c r="I1921" s="32" t="str">
        <f t="shared" si="65"/>
        <v/>
      </c>
      <c r="J1921" s="33" t="str">
        <f t="shared" si="25"/>
        <v/>
      </c>
      <c r="K1921" s="33"/>
      <c r="L1921" s="33"/>
      <c r="M1921" s="33"/>
      <c r="N1921" s="34"/>
      <c r="O1921" s="35" t="str">
        <f>IFERROR(__xludf.DUMMYFUNCTION("IFERROR(
  VLOOKUP(C1921,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C1921
    ), 
    7, FALSE
  ), 
  """"
)
"),"")</f>
        <v/>
      </c>
      <c r="P1921" s="35"/>
      <c r="Q1921" s="36" t="str">
        <f t="shared" si="4"/>
        <v/>
      </c>
      <c r="R1921" s="33"/>
      <c r="S1921" s="31"/>
      <c r="T1921" s="37"/>
      <c r="U1921" s="37"/>
      <c r="V1921" s="37"/>
      <c r="W1921" s="37"/>
      <c r="X1921" s="25"/>
      <c r="Y1921" s="25"/>
      <c r="Z1921" s="25"/>
      <c r="AA1921" s="25"/>
      <c r="AB1921" s="25"/>
      <c r="AC1921" s="25"/>
      <c r="AD1921" s="25"/>
      <c r="AE1921" s="25"/>
      <c r="AF1921" s="25"/>
      <c r="AG1921" s="25"/>
      <c r="AH1921" s="25"/>
      <c r="AI1921" s="25"/>
      <c r="AJ1921" s="25"/>
      <c r="AK1921" s="25"/>
      <c r="AL1921" s="25"/>
      <c r="AM1921" s="25"/>
    </row>
    <row r="1922">
      <c r="A1922" s="24"/>
      <c r="B1922" s="13"/>
      <c r="C1922" s="62"/>
      <c r="D1922" s="14"/>
      <c r="E1922" s="15"/>
      <c r="F1922" s="16"/>
      <c r="G1922" s="17" t="str">
        <f t="shared" si="61"/>
        <v/>
      </c>
      <c r="H1922" s="18" t="str">
        <f t="shared" si="73"/>
        <v/>
      </c>
      <c r="I1922" s="19" t="str">
        <f t="shared" si="65"/>
        <v/>
      </c>
      <c r="J1922" s="20" t="str">
        <f t="shared" si="25"/>
        <v/>
      </c>
      <c r="K1922" s="20"/>
      <c r="L1922" s="20"/>
      <c r="M1922" s="20"/>
      <c r="N1922" s="21"/>
      <c r="O1922" s="22" t="str">
        <f>IFERROR(__xludf.DUMMYFUNCTION("IFERROR(
  VLOOKUP(C1922,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C1922
    ), 
    7, FALSE
  ), 
  """"
)
"),"")</f>
        <v/>
      </c>
      <c r="P1922" s="22"/>
      <c r="Q1922" s="23" t="str">
        <f t="shared" si="4"/>
        <v/>
      </c>
      <c r="R1922" s="20"/>
      <c r="S1922" s="18"/>
      <c r="T1922" s="24"/>
      <c r="U1922" s="24"/>
      <c r="V1922" s="24"/>
      <c r="W1922" s="24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</row>
    <row r="1923">
      <c r="A1923" s="37"/>
      <c r="B1923" s="25"/>
      <c r="C1923" s="60"/>
      <c r="D1923" s="27"/>
      <c r="E1923" s="28"/>
      <c r="F1923" s="29"/>
      <c r="G1923" s="30" t="str">
        <f t="shared" si="61"/>
        <v/>
      </c>
      <c r="H1923" s="31" t="str">
        <f t="shared" si="73"/>
        <v/>
      </c>
      <c r="I1923" s="32" t="str">
        <f t="shared" si="65"/>
        <v/>
      </c>
      <c r="J1923" s="33" t="str">
        <f t="shared" si="25"/>
        <v/>
      </c>
      <c r="K1923" s="33"/>
      <c r="L1923" s="33"/>
      <c r="M1923" s="33"/>
      <c r="N1923" s="34"/>
      <c r="O1923" s="35" t="str">
        <f>IFERROR(__xludf.DUMMYFUNCTION("IFERROR(
  VLOOKUP(C1923,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C1923
    ), 
    7, FALSE
  ), 
  """"
)
"),"")</f>
        <v/>
      </c>
      <c r="P1923" s="35"/>
      <c r="Q1923" s="36" t="str">
        <f t="shared" si="4"/>
        <v/>
      </c>
      <c r="R1923" s="33"/>
      <c r="S1923" s="31"/>
      <c r="T1923" s="37"/>
      <c r="U1923" s="37"/>
      <c r="V1923" s="37"/>
      <c r="W1923" s="37"/>
      <c r="X1923" s="25"/>
      <c r="Y1923" s="25"/>
      <c r="Z1923" s="25"/>
      <c r="AA1923" s="25"/>
      <c r="AB1923" s="25"/>
      <c r="AC1923" s="25"/>
      <c r="AD1923" s="25"/>
      <c r="AE1923" s="25"/>
      <c r="AF1923" s="25"/>
      <c r="AG1923" s="25"/>
      <c r="AH1923" s="25"/>
      <c r="AI1923" s="25"/>
      <c r="AJ1923" s="25"/>
      <c r="AK1923" s="25"/>
      <c r="AL1923" s="25"/>
      <c r="AM1923" s="25"/>
    </row>
    <row r="1924">
      <c r="A1924" s="24"/>
      <c r="B1924" s="13"/>
      <c r="C1924" s="62"/>
      <c r="D1924" s="14"/>
      <c r="E1924" s="15"/>
      <c r="F1924" s="16"/>
      <c r="G1924" s="17" t="str">
        <f t="shared" si="61"/>
        <v/>
      </c>
      <c r="H1924" s="18" t="str">
        <f t="shared" si="73"/>
        <v/>
      </c>
      <c r="I1924" s="19" t="str">
        <f t="shared" si="65"/>
        <v/>
      </c>
      <c r="J1924" s="20" t="str">
        <f t="shared" si="25"/>
        <v/>
      </c>
      <c r="K1924" s="20"/>
      <c r="L1924" s="20"/>
      <c r="M1924" s="20"/>
      <c r="N1924" s="21"/>
      <c r="O1924" s="22" t="str">
        <f>IFERROR(__xludf.DUMMYFUNCTION("IFERROR(
  VLOOKUP(C1924,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C1924
    ), 
    7, FALSE
  ), 
  """"
)
"),"")</f>
        <v/>
      </c>
      <c r="P1924" s="22"/>
      <c r="Q1924" s="23" t="str">
        <f t="shared" si="4"/>
        <v/>
      </c>
      <c r="R1924" s="20"/>
      <c r="S1924" s="18"/>
      <c r="T1924" s="24"/>
      <c r="U1924" s="24"/>
      <c r="V1924" s="24"/>
      <c r="W1924" s="24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</row>
    <row r="1925">
      <c r="A1925" s="37"/>
      <c r="B1925" s="25"/>
      <c r="C1925" s="60"/>
      <c r="D1925" s="27"/>
      <c r="E1925" s="28"/>
      <c r="F1925" s="29"/>
      <c r="G1925" s="30" t="str">
        <f t="shared" si="61"/>
        <v/>
      </c>
      <c r="H1925" s="31" t="str">
        <f t="shared" si="73"/>
        <v/>
      </c>
      <c r="I1925" s="32" t="str">
        <f t="shared" si="65"/>
        <v/>
      </c>
      <c r="J1925" s="33" t="str">
        <f t="shared" si="25"/>
        <v/>
      </c>
      <c r="K1925" s="33"/>
      <c r="L1925" s="33"/>
      <c r="M1925" s="33"/>
      <c r="N1925" s="34"/>
      <c r="O1925" s="35" t="str">
        <f>IFERROR(__xludf.DUMMYFUNCTION("IFERROR(
  VLOOKUP(C1925,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C1925
    ), 
    7, FALSE
  ), 
  """"
)
"),"")</f>
        <v/>
      </c>
      <c r="P1925" s="35"/>
      <c r="Q1925" s="36" t="str">
        <f t="shared" si="4"/>
        <v/>
      </c>
      <c r="R1925" s="33"/>
      <c r="S1925" s="31"/>
      <c r="T1925" s="37"/>
      <c r="U1925" s="37"/>
      <c r="V1925" s="37"/>
      <c r="W1925" s="37"/>
      <c r="X1925" s="25"/>
      <c r="Y1925" s="25"/>
      <c r="Z1925" s="25"/>
      <c r="AA1925" s="25"/>
      <c r="AB1925" s="25"/>
      <c r="AC1925" s="25"/>
      <c r="AD1925" s="25"/>
      <c r="AE1925" s="25"/>
      <c r="AF1925" s="25"/>
      <c r="AG1925" s="25"/>
      <c r="AH1925" s="25"/>
      <c r="AI1925" s="25"/>
      <c r="AJ1925" s="25"/>
      <c r="AK1925" s="25"/>
      <c r="AL1925" s="25"/>
      <c r="AM1925" s="25"/>
    </row>
    <row r="1926">
      <c r="A1926" s="24"/>
      <c r="B1926" s="13"/>
      <c r="C1926" s="62"/>
      <c r="D1926" s="14"/>
      <c r="E1926" s="15"/>
      <c r="F1926" s="16"/>
      <c r="G1926" s="17" t="str">
        <f t="shared" si="61"/>
        <v/>
      </c>
      <c r="H1926" s="18" t="str">
        <f t="shared" si="73"/>
        <v/>
      </c>
      <c r="I1926" s="19" t="str">
        <f t="shared" si="65"/>
        <v/>
      </c>
      <c r="J1926" s="20" t="str">
        <f t="shared" si="25"/>
        <v/>
      </c>
      <c r="K1926" s="20"/>
      <c r="L1926" s="20"/>
      <c r="M1926" s="20"/>
      <c r="N1926" s="21"/>
      <c r="O1926" s="22" t="str">
        <f>IFERROR(__xludf.DUMMYFUNCTION("IFERROR(
  VLOOKUP(C1926,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C1926
    ), 
    7, FALSE
  ), 
  """"
)
"),"")</f>
        <v/>
      </c>
      <c r="P1926" s="22"/>
      <c r="Q1926" s="23" t="str">
        <f t="shared" si="4"/>
        <v/>
      </c>
      <c r="R1926" s="20"/>
      <c r="S1926" s="18"/>
      <c r="T1926" s="24"/>
      <c r="U1926" s="24"/>
      <c r="V1926" s="24"/>
      <c r="W1926" s="24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</row>
    <row r="1927">
      <c r="A1927" s="37"/>
      <c r="B1927" s="25"/>
      <c r="C1927" s="60"/>
      <c r="D1927" s="27"/>
      <c r="E1927" s="28"/>
      <c r="F1927" s="29"/>
      <c r="G1927" s="30" t="str">
        <f t="shared" si="61"/>
        <v/>
      </c>
      <c r="H1927" s="31" t="str">
        <f t="shared" si="73"/>
        <v/>
      </c>
      <c r="I1927" s="32" t="str">
        <f t="shared" si="65"/>
        <v/>
      </c>
      <c r="J1927" s="33" t="str">
        <f t="shared" si="25"/>
        <v/>
      </c>
      <c r="K1927" s="33"/>
      <c r="L1927" s="33"/>
      <c r="M1927" s="33"/>
      <c r="N1927" s="34"/>
      <c r="O1927" s="35" t="str">
        <f>IFERROR(__xludf.DUMMYFUNCTION("IFERROR(
  VLOOKUP(C1927,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C1927
    ), 
    7, FALSE
  ), 
  """"
)
"),"")</f>
        <v/>
      </c>
      <c r="P1927" s="35"/>
      <c r="Q1927" s="36" t="str">
        <f t="shared" si="4"/>
        <v/>
      </c>
      <c r="R1927" s="33"/>
      <c r="S1927" s="31"/>
      <c r="T1927" s="37"/>
      <c r="U1927" s="37"/>
      <c r="V1927" s="37"/>
      <c r="W1927" s="37"/>
      <c r="X1927" s="25"/>
      <c r="Y1927" s="25"/>
      <c r="Z1927" s="25"/>
      <c r="AA1927" s="25"/>
      <c r="AB1927" s="25"/>
      <c r="AC1927" s="25"/>
      <c r="AD1927" s="25"/>
      <c r="AE1927" s="25"/>
      <c r="AF1927" s="25"/>
      <c r="AG1927" s="25"/>
      <c r="AH1927" s="25"/>
      <c r="AI1927" s="25"/>
      <c r="AJ1927" s="25"/>
      <c r="AK1927" s="25"/>
      <c r="AL1927" s="25"/>
      <c r="AM1927" s="25"/>
    </row>
    <row r="1928">
      <c r="A1928" s="24"/>
      <c r="B1928" s="13"/>
      <c r="C1928" s="62"/>
      <c r="D1928" s="14"/>
      <c r="E1928" s="15"/>
      <c r="F1928" s="16"/>
      <c r="G1928" s="17" t="str">
        <f t="shared" si="61"/>
        <v/>
      </c>
      <c r="H1928" s="18" t="str">
        <f t="shared" si="73"/>
        <v/>
      </c>
      <c r="I1928" s="19" t="str">
        <f t="shared" si="65"/>
        <v/>
      </c>
      <c r="J1928" s="20" t="str">
        <f t="shared" si="25"/>
        <v/>
      </c>
      <c r="K1928" s="20"/>
      <c r="L1928" s="20"/>
      <c r="M1928" s="20"/>
      <c r="N1928" s="21"/>
      <c r="O1928" s="22" t="str">
        <f>IFERROR(__xludf.DUMMYFUNCTION("IFERROR(
  VLOOKUP(C1928,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C1928
    ), 
    7, FALSE
  ), 
  """"
)
"),"")</f>
        <v/>
      </c>
      <c r="P1928" s="22"/>
      <c r="Q1928" s="23" t="str">
        <f t="shared" si="4"/>
        <v/>
      </c>
      <c r="R1928" s="20"/>
      <c r="S1928" s="18"/>
      <c r="T1928" s="24"/>
      <c r="U1928" s="24"/>
      <c r="V1928" s="24"/>
      <c r="W1928" s="24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</row>
    <row r="1929">
      <c r="A1929" s="37"/>
      <c r="B1929" s="25"/>
      <c r="C1929" s="60"/>
      <c r="D1929" s="27"/>
      <c r="E1929" s="28"/>
      <c r="F1929" s="29"/>
      <c r="G1929" s="30" t="str">
        <f t="shared" si="61"/>
        <v/>
      </c>
      <c r="H1929" s="31" t="str">
        <f t="shared" si="73"/>
        <v/>
      </c>
      <c r="I1929" s="32" t="str">
        <f t="shared" si="65"/>
        <v/>
      </c>
      <c r="J1929" s="33" t="str">
        <f t="shared" si="25"/>
        <v/>
      </c>
      <c r="K1929" s="33"/>
      <c r="L1929" s="33"/>
      <c r="M1929" s="33"/>
      <c r="N1929" s="34"/>
      <c r="O1929" s="35" t="str">
        <f>IFERROR(__xludf.DUMMYFUNCTION("IFERROR(
  VLOOKUP(C1929,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C1929
    ), 
    7, FALSE
  ), 
  """"
)
"),"")</f>
        <v/>
      </c>
      <c r="P1929" s="35"/>
      <c r="Q1929" s="36" t="str">
        <f t="shared" si="4"/>
        <v/>
      </c>
      <c r="R1929" s="33"/>
      <c r="S1929" s="31"/>
      <c r="T1929" s="37"/>
      <c r="U1929" s="37"/>
      <c r="V1929" s="37"/>
      <c r="W1929" s="37"/>
      <c r="X1929" s="25"/>
      <c r="Y1929" s="25"/>
      <c r="Z1929" s="25"/>
      <c r="AA1929" s="25"/>
      <c r="AB1929" s="25"/>
      <c r="AC1929" s="25"/>
      <c r="AD1929" s="25"/>
      <c r="AE1929" s="25"/>
      <c r="AF1929" s="25"/>
      <c r="AG1929" s="25"/>
      <c r="AH1929" s="25"/>
      <c r="AI1929" s="25"/>
      <c r="AJ1929" s="25"/>
      <c r="AK1929" s="25"/>
      <c r="AL1929" s="25"/>
      <c r="AM1929" s="25"/>
    </row>
    <row r="1930">
      <c r="A1930" s="24"/>
      <c r="B1930" s="13"/>
      <c r="C1930" s="62"/>
      <c r="D1930" s="14"/>
      <c r="E1930" s="15"/>
      <c r="F1930" s="16"/>
      <c r="G1930" s="17" t="str">
        <f t="shared" si="61"/>
        <v/>
      </c>
      <c r="H1930" s="18" t="str">
        <f t="shared" si="73"/>
        <v/>
      </c>
      <c r="I1930" s="19" t="str">
        <f t="shared" si="65"/>
        <v/>
      </c>
      <c r="J1930" s="20" t="str">
        <f t="shared" si="25"/>
        <v/>
      </c>
      <c r="K1930" s="20"/>
      <c r="L1930" s="20"/>
      <c r="M1930" s="20"/>
      <c r="N1930" s="21"/>
      <c r="O1930" s="22" t="str">
        <f>IFERROR(__xludf.DUMMYFUNCTION("IFERROR(
  VLOOKUP(C1930,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C1930
    ), 
    7, FALSE
  ), 
  """"
)
"),"")</f>
        <v/>
      </c>
      <c r="P1930" s="22"/>
      <c r="Q1930" s="23" t="str">
        <f t="shared" si="4"/>
        <v/>
      </c>
      <c r="R1930" s="20"/>
      <c r="S1930" s="18"/>
      <c r="T1930" s="24"/>
      <c r="U1930" s="24"/>
      <c r="V1930" s="24"/>
      <c r="W1930" s="24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</row>
    <row r="1931">
      <c r="A1931" s="37"/>
      <c r="B1931" s="25"/>
      <c r="C1931" s="60"/>
      <c r="D1931" s="27"/>
      <c r="E1931" s="28"/>
      <c r="F1931" s="29"/>
      <c r="G1931" s="30" t="str">
        <f t="shared" si="61"/>
        <v/>
      </c>
      <c r="H1931" s="31" t="str">
        <f t="shared" si="73"/>
        <v/>
      </c>
      <c r="I1931" s="32" t="str">
        <f t="shared" si="65"/>
        <v/>
      </c>
      <c r="J1931" s="33" t="str">
        <f t="shared" si="25"/>
        <v/>
      </c>
      <c r="K1931" s="33"/>
      <c r="L1931" s="33"/>
      <c r="M1931" s="33"/>
      <c r="N1931" s="34"/>
      <c r="O1931" s="35" t="str">
        <f>IFERROR(__xludf.DUMMYFUNCTION("IFERROR(
  VLOOKUP(C1931,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C1931
    ), 
    7, FALSE
  ), 
  """"
)
"),"")</f>
        <v/>
      </c>
      <c r="P1931" s="35"/>
      <c r="Q1931" s="36" t="str">
        <f t="shared" si="4"/>
        <v/>
      </c>
      <c r="R1931" s="33"/>
      <c r="S1931" s="31"/>
      <c r="T1931" s="37"/>
      <c r="U1931" s="37"/>
      <c r="V1931" s="37"/>
      <c r="W1931" s="37"/>
      <c r="X1931" s="25"/>
      <c r="Y1931" s="25"/>
      <c r="Z1931" s="25"/>
      <c r="AA1931" s="25"/>
      <c r="AB1931" s="25"/>
      <c r="AC1931" s="25"/>
      <c r="AD1931" s="25"/>
      <c r="AE1931" s="25"/>
      <c r="AF1931" s="25"/>
      <c r="AG1931" s="25"/>
      <c r="AH1931" s="25"/>
      <c r="AI1931" s="25"/>
      <c r="AJ1931" s="25"/>
      <c r="AK1931" s="25"/>
      <c r="AL1931" s="25"/>
      <c r="AM1931" s="25"/>
    </row>
    <row r="1932">
      <c r="A1932" s="24"/>
      <c r="B1932" s="13"/>
      <c r="C1932" s="62"/>
      <c r="D1932" s="14"/>
      <c r="E1932" s="15"/>
      <c r="F1932" s="16"/>
      <c r="G1932" s="17" t="str">
        <f t="shared" si="61"/>
        <v/>
      </c>
      <c r="H1932" s="18" t="str">
        <f t="shared" si="73"/>
        <v/>
      </c>
      <c r="I1932" s="19" t="str">
        <f t="shared" si="65"/>
        <v/>
      </c>
      <c r="J1932" s="20" t="str">
        <f t="shared" si="25"/>
        <v/>
      </c>
      <c r="K1932" s="20"/>
      <c r="L1932" s="20"/>
      <c r="M1932" s="20"/>
      <c r="N1932" s="21"/>
      <c r="O1932" s="22" t="str">
        <f>IFERROR(__xludf.DUMMYFUNCTION("IFERROR(
  VLOOKUP(C1932,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C1932
    ), 
    7, FALSE
  ), 
  """"
)
"),"")</f>
        <v/>
      </c>
      <c r="P1932" s="22"/>
      <c r="Q1932" s="23" t="str">
        <f t="shared" si="4"/>
        <v/>
      </c>
      <c r="R1932" s="20"/>
      <c r="S1932" s="18"/>
      <c r="T1932" s="24"/>
      <c r="U1932" s="24"/>
      <c r="V1932" s="24"/>
      <c r="W1932" s="24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</row>
    <row r="1933">
      <c r="A1933" s="37"/>
      <c r="B1933" s="25"/>
      <c r="C1933" s="60"/>
      <c r="D1933" s="27"/>
      <c r="E1933" s="28"/>
      <c r="F1933" s="29"/>
      <c r="G1933" s="30" t="str">
        <f t="shared" si="61"/>
        <v/>
      </c>
      <c r="H1933" s="31" t="str">
        <f t="shared" si="73"/>
        <v/>
      </c>
      <c r="I1933" s="32" t="str">
        <f t="shared" si="65"/>
        <v/>
      </c>
      <c r="J1933" s="33" t="str">
        <f t="shared" si="25"/>
        <v/>
      </c>
      <c r="K1933" s="33"/>
      <c r="L1933" s="33"/>
      <c r="M1933" s="33"/>
      <c r="N1933" s="34"/>
      <c r="O1933" s="35" t="str">
        <f>IFERROR(__xludf.DUMMYFUNCTION("IFERROR(
  VLOOKUP(C1933,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C1933
    ), 
    7, FALSE
  ), 
  """"
)
"),"")</f>
        <v/>
      </c>
      <c r="P1933" s="35"/>
      <c r="Q1933" s="36" t="str">
        <f t="shared" si="4"/>
        <v/>
      </c>
      <c r="R1933" s="33"/>
      <c r="S1933" s="31"/>
      <c r="T1933" s="37"/>
      <c r="U1933" s="37"/>
      <c r="V1933" s="37"/>
      <c r="W1933" s="37"/>
      <c r="X1933" s="25"/>
      <c r="Y1933" s="25"/>
      <c r="Z1933" s="25"/>
      <c r="AA1933" s="25"/>
      <c r="AB1933" s="25"/>
      <c r="AC1933" s="25"/>
      <c r="AD1933" s="25"/>
      <c r="AE1933" s="25"/>
      <c r="AF1933" s="25"/>
      <c r="AG1933" s="25"/>
      <c r="AH1933" s="25"/>
      <c r="AI1933" s="25"/>
      <c r="AJ1933" s="25"/>
      <c r="AK1933" s="25"/>
      <c r="AL1933" s="25"/>
      <c r="AM1933" s="25"/>
    </row>
    <row r="1934">
      <c r="A1934" s="24"/>
      <c r="B1934" s="13"/>
      <c r="C1934" s="62"/>
      <c r="D1934" s="14"/>
      <c r="E1934" s="15"/>
      <c r="F1934" s="16"/>
      <c r="G1934" s="17" t="str">
        <f t="shared" si="61"/>
        <v/>
      </c>
      <c r="H1934" s="18" t="str">
        <f t="shared" si="73"/>
        <v/>
      </c>
      <c r="I1934" s="19" t="str">
        <f t="shared" si="65"/>
        <v/>
      </c>
      <c r="J1934" s="20" t="str">
        <f t="shared" si="25"/>
        <v/>
      </c>
      <c r="K1934" s="20"/>
      <c r="L1934" s="20"/>
      <c r="M1934" s="20"/>
      <c r="N1934" s="21"/>
      <c r="O1934" s="22" t="str">
        <f>IFERROR(__xludf.DUMMYFUNCTION("IFERROR(
  VLOOKUP(C1934,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C1934
    ), 
    7, FALSE
  ), 
  """"
)
"),"")</f>
        <v/>
      </c>
      <c r="P1934" s="22"/>
      <c r="Q1934" s="23" t="str">
        <f t="shared" si="4"/>
        <v/>
      </c>
      <c r="R1934" s="20"/>
      <c r="S1934" s="18"/>
      <c r="T1934" s="24"/>
      <c r="U1934" s="24"/>
      <c r="V1934" s="24"/>
      <c r="W1934" s="24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</row>
    <row r="1935">
      <c r="A1935" s="37"/>
      <c r="B1935" s="25"/>
      <c r="C1935" s="60"/>
      <c r="D1935" s="27"/>
      <c r="E1935" s="28"/>
      <c r="F1935" s="29"/>
      <c r="G1935" s="30" t="str">
        <f t="shared" si="61"/>
        <v/>
      </c>
      <c r="H1935" s="31" t="str">
        <f t="shared" si="73"/>
        <v/>
      </c>
      <c r="I1935" s="32" t="str">
        <f t="shared" si="65"/>
        <v/>
      </c>
      <c r="J1935" s="33" t="str">
        <f t="shared" si="25"/>
        <v/>
      </c>
      <c r="K1935" s="33"/>
      <c r="L1935" s="33"/>
      <c r="M1935" s="33"/>
      <c r="N1935" s="34"/>
      <c r="O1935" s="35" t="str">
        <f>IFERROR(__xludf.DUMMYFUNCTION("IFERROR(
  VLOOKUP(C1935,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C1935
    ), 
    7, FALSE
  ), 
  """"
)
"),"")</f>
        <v/>
      </c>
      <c r="P1935" s="35"/>
      <c r="Q1935" s="36" t="str">
        <f t="shared" si="4"/>
        <v/>
      </c>
      <c r="R1935" s="33"/>
      <c r="S1935" s="31"/>
      <c r="T1935" s="37"/>
      <c r="U1935" s="37"/>
      <c r="V1935" s="37"/>
      <c r="W1935" s="37"/>
      <c r="X1935" s="25"/>
      <c r="Y1935" s="25"/>
      <c r="Z1935" s="25"/>
      <c r="AA1935" s="25"/>
      <c r="AB1935" s="25"/>
      <c r="AC1935" s="25"/>
      <c r="AD1935" s="25"/>
      <c r="AE1935" s="25"/>
      <c r="AF1935" s="25"/>
      <c r="AG1935" s="25"/>
      <c r="AH1935" s="25"/>
      <c r="AI1935" s="25"/>
      <c r="AJ1935" s="25"/>
      <c r="AK1935" s="25"/>
      <c r="AL1935" s="25"/>
      <c r="AM1935" s="25"/>
    </row>
    <row r="1936">
      <c r="A1936" s="24"/>
      <c r="B1936" s="13"/>
      <c r="C1936" s="62"/>
      <c r="D1936" s="14"/>
      <c r="E1936" s="15"/>
      <c r="F1936" s="16"/>
      <c r="G1936" s="17" t="str">
        <f t="shared" si="61"/>
        <v/>
      </c>
      <c r="H1936" s="18" t="str">
        <f t="shared" si="73"/>
        <v/>
      </c>
      <c r="I1936" s="19" t="str">
        <f t="shared" si="65"/>
        <v/>
      </c>
      <c r="J1936" s="20" t="str">
        <f t="shared" si="25"/>
        <v/>
      </c>
      <c r="K1936" s="20"/>
      <c r="L1936" s="20"/>
      <c r="M1936" s="20"/>
      <c r="N1936" s="21"/>
      <c r="O1936" s="22" t="str">
        <f>IFERROR(__xludf.DUMMYFUNCTION("IFERROR(
  VLOOKUP(C1936,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C1936
    ), 
    7, FALSE
  ), 
  """"
)
"),"")</f>
        <v/>
      </c>
      <c r="P1936" s="22"/>
      <c r="Q1936" s="23" t="str">
        <f t="shared" si="4"/>
        <v/>
      </c>
      <c r="R1936" s="20"/>
      <c r="S1936" s="18"/>
      <c r="T1936" s="24"/>
      <c r="U1936" s="24"/>
      <c r="V1936" s="24"/>
      <c r="W1936" s="24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13"/>
      <c r="AK1936" s="13"/>
      <c r="AL1936" s="13"/>
      <c r="AM1936" s="13"/>
    </row>
    <row r="1937">
      <c r="A1937" s="37"/>
      <c r="B1937" s="25"/>
      <c r="C1937" s="60"/>
      <c r="D1937" s="27"/>
      <c r="E1937" s="28"/>
      <c r="F1937" s="29"/>
      <c r="G1937" s="30" t="str">
        <f t="shared" si="61"/>
        <v/>
      </c>
      <c r="H1937" s="31" t="str">
        <f t="shared" si="73"/>
        <v/>
      </c>
      <c r="I1937" s="32" t="str">
        <f t="shared" si="65"/>
        <v/>
      </c>
      <c r="J1937" s="33" t="str">
        <f t="shared" si="25"/>
        <v/>
      </c>
      <c r="K1937" s="33"/>
      <c r="L1937" s="33"/>
      <c r="M1937" s="33"/>
      <c r="N1937" s="34"/>
      <c r="O1937" s="35" t="str">
        <f>IFERROR(__xludf.DUMMYFUNCTION("IFERROR(
  VLOOKUP(C1937,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C1937
    ), 
    7, FALSE
  ), 
  """"
)
"),"")</f>
        <v/>
      </c>
      <c r="P1937" s="35"/>
      <c r="Q1937" s="36" t="str">
        <f t="shared" si="4"/>
        <v/>
      </c>
      <c r="R1937" s="33"/>
      <c r="S1937" s="31"/>
      <c r="T1937" s="37"/>
      <c r="U1937" s="37"/>
      <c r="V1937" s="37"/>
      <c r="W1937" s="37"/>
      <c r="X1937" s="25"/>
      <c r="Y1937" s="25"/>
      <c r="Z1937" s="25"/>
      <c r="AA1937" s="25"/>
      <c r="AB1937" s="25"/>
      <c r="AC1937" s="25"/>
      <c r="AD1937" s="25"/>
      <c r="AE1937" s="25"/>
      <c r="AF1937" s="25"/>
      <c r="AG1937" s="25"/>
      <c r="AH1937" s="25"/>
      <c r="AI1937" s="25"/>
      <c r="AJ1937" s="25"/>
      <c r="AK1937" s="25"/>
      <c r="AL1937" s="25"/>
      <c r="AM1937" s="25"/>
    </row>
    <row r="1938">
      <c r="A1938" s="24"/>
      <c r="B1938" s="13"/>
      <c r="C1938" s="62"/>
      <c r="D1938" s="14"/>
      <c r="E1938" s="15"/>
      <c r="F1938" s="16"/>
      <c r="G1938" s="17" t="str">
        <f t="shared" si="61"/>
        <v/>
      </c>
      <c r="H1938" s="18" t="str">
        <f t="shared" si="73"/>
        <v/>
      </c>
      <c r="I1938" s="19" t="str">
        <f t="shared" si="65"/>
        <v/>
      </c>
      <c r="J1938" s="20" t="str">
        <f t="shared" si="25"/>
        <v/>
      </c>
      <c r="K1938" s="20"/>
      <c r="L1938" s="20"/>
      <c r="M1938" s="20"/>
      <c r="N1938" s="21"/>
      <c r="O1938" s="22" t="str">
        <f>IFERROR(__xludf.DUMMYFUNCTION("IFERROR(
  VLOOKUP(C1938,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C1938
    ), 
    7, FALSE
  ), 
  """"
)
"),"")</f>
        <v/>
      </c>
      <c r="P1938" s="22"/>
      <c r="Q1938" s="23" t="str">
        <f t="shared" si="4"/>
        <v/>
      </c>
      <c r="R1938" s="20"/>
      <c r="S1938" s="18"/>
      <c r="T1938" s="24"/>
      <c r="U1938" s="24"/>
      <c r="V1938" s="24"/>
      <c r="W1938" s="24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13"/>
      <c r="AK1938" s="13"/>
      <c r="AL1938" s="13"/>
      <c r="AM1938" s="13"/>
    </row>
    <row r="1939">
      <c r="A1939" s="37"/>
      <c r="B1939" s="25"/>
      <c r="C1939" s="60"/>
      <c r="D1939" s="27"/>
      <c r="E1939" s="28"/>
      <c r="F1939" s="29"/>
      <c r="G1939" s="30" t="str">
        <f t="shared" si="61"/>
        <v/>
      </c>
      <c r="H1939" s="31" t="str">
        <f t="shared" si="73"/>
        <v/>
      </c>
      <c r="I1939" s="32" t="str">
        <f t="shared" si="65"/>
        <v/>
      </c>
      <c r="J1939" s="33" t="str">
        <f t="shared" si="25"/>
        <v/>
      </c>
      <c r="K1939" s="33"/>
      <c r="L1939" s="33"/>
      <c r="M1939" s="33"/>
      <c r="N1939" s="34"/>
      <c r="O1939" s="35" t="str">
        <f>IFERROR(__xludf.DUMMYFUNCTION("IFERROR(
  VLOOKUP(C1939,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C1939
    ), 
    7, FALSE
  ), 
  """"
)
"),"")</f>
        <v/>
      </c>
      <c r="P1939" s="35"/>
      <c r="Q1939" s="36" t="str">
        <f t="shared" si="4"/>
        <v/>
      </c>
      <c r="R1939" s="33"/>
      <c r="S1939" s="31"/>
      <c r="T1939" s="37"/>
      <c r="U1939" s="37"/>
      <c r="V1939" s="37"/>
      <c r="W1939" s="37"/>
      <c r="X1939" s="25"/>
      <c r="Y1939" s="25"/>
      <c r="Z1939" s="25"/>
      <c r="AA1939" s="25"/>
      <c r="AB1939" s="25"/>
      <c r="AC1939" s="25"/>
      <c r="AD1939" s="25"/>
      <c r="AE1939" s="25"/>
      <c r="AF1939" s="25"/>
      <c r="AG1939" s="25"/>
      <c r="AH1939" s="25"/>
      <c r="AI1939" s="25"/>
      <c r="AJ1939" s="25"/>
      <c r="AK1939" s="25"/>
      <c r="AL1939" s="25"/>
      <c r="AM1939" s="25"/>
    </row>
    <row r="1940">
      <c r="A1940" s="24"/>
      <c r="B1940" s="13"/>
      <c r="C1940" s="62"/>
      <c r="D1940" s="14"/>
      <c r="E1940" s="15"/>
      <c r="F1940" s="16"/>
      <c r="G1940" s="17" t="str">
        <f t="shared" si="61"/>
        <v/>
      </c>
      <c r="H1940" s="18" t="str">
        <f t="shared" si="73"/>
        <v/>
      </c>
      <c r="I1940" s="19" t="str">
        <f t="shared" si="65"/>
        <v/>
      </c>
      <c r="J1940" s="20" t="str">
        <f t="shared" si="25"/>
        <v/>
      </c>
      <c r="K1940" s="20"/>
      <c r="L1940" s="20"/>
      <c r="M1940" s="20"/>
      <c r="N1940" s="21"/>
      <c r="O1940" s="22" t="str">
        <f>IFERROR(__xludf.DUMMYFUNCTION("IFERROR(
  VLOOKUP(C1940,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C1940
    ), 
    7, FALSE
  ), 
  """"
)
"),"")</f>
        <v/>
      </c>
      <c r="P1940" s="22"/>
      <c r="Q1940" s="23" t="str">
        <f t="shared" si="4"/>
        <v/>
      </c>
      <c r="R1940" s="20"/>
      <c r="S1940" s="18"/>
      <c r="T1940" s="24"/>
      <c r="U1940" s="24"/>
      <c r="V1940" s="24"/>
      <c r="W1940" s="24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/>
      <c r="AK1940" s="13"/>
      <c r="AL1940" s="13"/>
      <c r="AM1940" s="13"/>
    </row>
    <row r="1941">
      <c r="A1941" s="37"/>
      <c r="B1941" s="25"/>
      <c r="C1941" s="60"/>
      <c r="D1941" s="27"/>
      <c r="E1941" s="28"/>
      <c r="F1941" s="29"/>
      <c r="G1941" s="30" t="str">
        <f t="shared" si="61"/>
        <v/>
      </c>
      <c r="H1941" s="31" t="str">
        <f t="shared" si="73"/>
        <v/>
      </c>
      <c r="I1941" s="32" t="str">
        <f t="shared" si="65"/>
        <v/>
      </c>
      <c r="J1941" s="33" t="str">
        <f t="shared" si="25"/>
        <v/>
      </c>
      <c r="K1941" s="33"/>
      <c r="L1941" s="33"/>
      <c r="M1941" s="33"/>
      <c r="N1941" s="34"/>
      <c r="O1941" s="35" t="str">
        <f>IFERROR(__xludf.DUMMYFUNCTION("IFERROR(
  VLOOKUP(C1941,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C1941
    ), 
    7, FALSE
  ), 
  """"
)
"),"")</f>
        <v/>
      </c>
      <c r="P1941" s="35"/>
      <c r="Q1941" s="36" t="str">
        <f t="shared" si="4"/>
        <v/>
      </c>
      <c r="R1941" s="33"/>
      <c r="S1941" s="31"/>
      <c r="T1941" s="37"/>
      <c r="U1941" s="37"/>
      <c r="V1941" s="37"/>
      <c r="W1941" s="37"/>
      <c r="X1941" s="25"/>
      <c r="Y1941" s="25"/>
      <c r="Z1941" s="25"/>
      <c r="AA1941" s="25"/>
      <c r="AB1941" s="25"/>
      <c r="AC1941" s="25"/>
      <c r="AD1941" s="25"/>
      <c r="AE1941" s="25"/>
      <c r="AF1941" s="25"/>
      <c r="AG1941" s="25"/>
      <c r="AH1941" s="25"/>
      <c r="AI1941" s="25"/>
      <c r="AJ1941" s="25"/>
      <c r="AK1941" s="25"/>
      <c r="AL1941" s="25"/>
      <c r="AM1941" s="25"/>
    </row>
    <row r="1942">
      <c r="A1942" s="24"/>
      <c r="B1942" s="13"/>
      <c r="C1942" s="62"/>
      <c r="D1942" s="14"/>
      <c r="E1942" s="15"/>
      <c r="F1942" s="16"/>
      <c r="G1942" s="17" t="str">
        <f t="shared" si="61"/>
        <v/>
      </c>
      <c r="H1942" s="18" t="str">
        <f t="shared" si="73"/>
        <v/>
      </c>
      <c r="I1942" s="19" t="str">
        <f t="shared" si="65"/>
        <v/>
      </c>
      <c r="J1942" s="20" t="str">
        <f t="shared" si="25"/>
        <v/>
      </c>
      <c r="K1942" s="20"/>
      <c r="L1942" s="20"/>
      <c r="M1942" s="20"/>
      <c r="N1942" s="21"/>
      <c r="O1942" s="22" t="str">
        <f>IFERROR(__xludf.DUMMYFUNCTION("IFERROR(
  VLOOKUP(C1942,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C1942
    ), 
    7, FALSE
  ), 
  """"
)
"),"")</f>
        <v/>
      </c>
      <c r="P1942" s="22"/>
      <c r="Q1942" s="23" t="str">
        <f t="shared" si="4"/>
        <v/>
      </c>
      <c r="R1942" s="20"/>
      <c r="S1942" s="18"/>
      <c r="T1942" s="24"/>
      <c r="U1942" s="24"/>
      <c r="V1942" s="24"/>
      <c r="W1942" s="24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</row>
    <row r="1943">
      <c r="A1943" s="37"/>
      <c r="B1943" s="25"/>
      <c r="C1943" s="60"/>
      <c r="D1943" s="27"/>
      <c r="E1943" s="28"/>
      <c r="F1943" s="29"/>
      <c r="G1943" s="30" t="str">
        <f t="shared" si="61"/>
        <v/>
      </c>
      <c r="H1943" s="31" t="str">
        <f t="shared" si="73"/>
        <v/>
      </c>
      <c r="I1943" s="32" t="str">
        <f t="shared" si="65"/>
        <v/>
      </c>
      <c r="J1943" s="33" t="str">
        <f t="shared" si="25"/>
        <v/>
      </c>
      <c r="K1943" s="33"/>
      <c r="L1943" s="33"/>
      <c r="M1943" s="33"/>
      <c r="N1943" s="34"/>
      <c r="O1943" s="35" t="str">
        <f>IFERROR(__xludf.DUMMYFUNCTION("IFERROR(
  VLOOKUP(C1943,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C1943
    ), 
    7, FALSE
  ), 
  """"
)
"),"")</f>
        <v/>
      </c>
      <c r="P1943" s="35"/>
      <c r="Q1943" s="36" t="str">
        <f t="shared" si="4"/>
        <v/>
      </c>
      <c r="R1943" s="33"/>
      <c r="S1943" s="31"/>
      <c r="T1943" s="37"/>
      <c r="U1943" s="37"/>
      <c r="V1943" s="37"/>
      <c r="W1943" s="37"/>
      <c r="X1943" s="25"/>
      <c r="Y1943" s="25"/>
      <c r="Z1943" s="25"/>
      <c r="AA1943" s="25"/>
      <c r="AB1943" s="25"/>
      <c r="AC1943" s="25"/>
      <c r="AD1943" s="25"/>
      <c r="AE1943" s="25"/>
      <c r="AF1943" s="25"/>
      <c r="AG1943" s="25"/>
      <c r="AH1943" s="25"/>
      <c r="AI1943" s="25"/>
      <c r="AJ1943" s="25"/>
      <c r="AK1943" s="25"/>
      <c r="AL1943" s="25"/>
      <c r="AM1943" s="25"/>
    </row>
    <row r="1944">
      <c r="A1944" s="24"/>
      <c r="B1944" s="13"/>
      <c r="C1944" s="62"/>
      <c r="D1944" s="14"/>
      <c r="E1944" s="15"/>
      <c r="F1944" s="16"/>
      <c r="G1944" s="17" t="str">
        <f t="shared" si="61"/>
        <v/>
      </c>
      <c r="H1944" s="18" t="str">
        <f t="shared" si="73"/>
        <v/>
      </c>
      <c r="I1944" s="19" t="str">
        <f t="shared" si="65"/>
        <v/>
      </c>
      <c r="J1944" s="20" t="str">
        <f t="shared" si="25"/>
        <v/>
      </c>
      <c r="K1944" s="20"/>
      <c r="L1944" s="20"/>
      <c r="M1944" s="20"/>
      <c r="N1944" s="21"/>
      <c r="O1944" s="22" t="str">
        <f>IFERROR(__xludf.DUMMYFUNCTION("IFERROR(
  VLOOKUP(C1944,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C1944
    ), 
    7, FALSE
  ), 
  """"
)
"),"")</f>
        <v/>
      </c>
      <c r="P1944" s="22"/>
      <c r="Q1944" s="23" t="str">
        <f t="shared" si="4"/>
        <v/>
      </c>
      <c r="R1944" s="20"/>
      <c r="S1944" s="18"/>
      <c r="T1944" s="24"/>
      <c r="U1944" s="24"/>
      <c r="V1944" s="24"/>
      <c r="W1944" s="24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  <c r="AL1944" s="13"/>
      <c r="AM1944" s="13"/>
    </row>
    <row r="1945">
      <c r="A1945" s="37"/>
      <c r="B1945" s="25"/>
      <c r="C1945" s="60"/>
      <c r="D1945" s="27"/>
      <c r="E1945" s="28"/>
      <c r="F1945" s="29"/>
      <c r="G1945" s="30" t="str">
        <f t="shared" si="61"/>
        <v/>
      </c>
      <c r="H1945" s="31" t="str">
        <f t="shared" si="73"/>
        <v/>
      </c>
      <c r="I1945" s="32" t="str">
        <f t="shared" si="65"/>
        <v/>
      </c>
      <c r="J1945" s="33" t="str">
        <f t="shared" si="25"/>
        <v/>
      </c>
      <c r="K1945" s="33"/>
      <c r="L1945" s="33"/>
      <c r="M1945" s="33"/>
      <c r="N1945" s="34"/>
      <c r="O1945" s="35" t="str">
        <f>IFERROR(__xludf.DUMMYFUNCTION("IFERROR(
  VLOOKUP(C1945,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C1945
    ), 
    7, FALSE
  ), 
  """"
)
"),"")</f>
        <v/>
      </c>
      <c r="P1945" s="35"/>
      <c r="Q1945" s="36" t="str">
        <f t="shared" si="4"/>
        <v/>
      </c>
      <c r="R1945" s="33"/>
      <c r="S1945" s="31"/>
      <c r="T1945" s="37"/>
      <c r="U1945" s="37"/>
      <c r="V1945" s="37"/>
      <c r="W1945" s="37"/>
      <c r="X1945" s="25"/>
      <c r="Y1945" s="25"/>
      <c r="Z1945" s="25"/>
      <c r="AA1945" s="25"/>
      <c r="AB1945" s="25"/>
      <c r="AC1945" s="25"/>
      <c r="AD1945" s="25"/>
      <c r="AE1945" s="25"/>
      <c r="AF1945" s="25"/>
      <c r="AG1945" s="25"/>
      <c r="AH1945" s="25"/>
      <c r="AI1945" s="25"/>
      <c r="AJ1945" s="25"/>
      <c r="AK1945" s="25"/>
      <c r="AL1945" s="25"/>
      <c r="AM1945" s="25"/>
    </row>
    <row r="1946">
      <c r="A1946" s="24"/>
      <c r="B1946" s="13"/>
      <c r="C1946" s="62"/>
      <c r="D1946" s="14"/>
      <c r="E1946" s="15"/>
      <c r="F1946" s="16"/>
      <c r="G1946" s="17" t="str">
        <f t="shared" si="61"/>
        <v/>
      </c>
      <c r="H1946" s="18" t="str">
        <f t="shared" si="73"/>
        <v/>
      </c>
      <c r="I1946" s="19" t="str">
        <f t="shared" si="65"/>
        <v/>
      </c>
      <c r="J1946" s="20" t="str">
        <f t="shared" si="25"/>
        <v/>
      </c>
      <c r="K1946" s="20"/>
      <c r="L1946" s="20"/>
      <c r="M1946" s="20"/>
      <c r="N1946" s="21"/>
      <c r="O1946" s="22" t="str">
        <f>IFERROR(__xludf.DUMMYFUNCTION("IFERROR(
  VLOOKUP(C1946,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C1946
    ), 
    7, FALSE
  ), 
  """"
)
"),"")</f>
        <v/>
      </c>
      <c r="P1946" s="22"/>
      <c r="Q1946" s="23" t="str">
        <f t="shared" si="4"/>
        <v/>
      </c>
      <c r="R1946" s="20"/>
      <c r="S1946" s="18"/>
      <c r="T1946" s="24"/>
      <c r="U1946" s="24"/>
      <c r="V1946" s="24"/>
      <c r="W1946" s="24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  <c r="AL1946" s="13"/>
      <c r="AM1946" s="13"/>
    </row>
    <row r="1947">
      <c r="A1947" s="37"/>
      <c r="B1947" s="25"/>
      <c r="C1947" s="60"/>
      <c r="D1947" s="27"/>
      <c r="E1947" s="28"/>
      <c r="F1947" s="29"/>
      <c r="G1947" s="30" t="str">
        <f t="shared" si="61"/>
        <v/>
      </c>
      <c r="H1947" s="31" t="str">
        <f t="shared" si="73"/>
        <v/>
      </c>
      <c r="I1947" s="32" t="str">
        <f t="shared" si="65"/>
        <v/>
      </c>
      <c r="J1947" s="33" t="str">
        <f t="shared" si="25"/>
        <v/>
      </c>
      <c r="K1947" s="33"/>
      <c r="L1947" s="33"/>
      <c r="M1947" s="33"/>
      <c r="N1947" s="34"/>
      <c r="O1947" s="35" t="str">
        <f>IFERROR(__xludf.DUMMYFUNCTION("IFERROR(
  VLOOKUP(C1947,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C1947
    ), 
    7, FALSE
  ), 
  """"
)
"),"")</f>
        <v/>
      </c>
      <c r="P1947" s="35"/>
      <c r="Q1947" s="36" t="str">
        <f t="shared" si="4"/>
        <v/>
      </c>
      <c r="R1947" s="33"/>
      <c r="S1947" s="31"/>
      <c r="T1947" s="37"/>
      <c r="U1947" s="37"/>
      <c r="V1947" s="37"/>
      <c r="W1947" s="37"/>
      <c r="X1947" s="25"/>
      <c r="Y1947" s="25"/>
      <c r="Z1947" s="25"/>
      <c r="AA1947" s="25"/>
      <c r="AB1947" s="25"/>
      <c r="AC1947" s="25"/>
      <c r="AD1947" s="25"/>
      <c r="AE1947" s="25"/>
      <c r="AF1947" s="25"/>
      <c r="AG1947" s="25"/>
      <c r="AH1947" s="25"/>
      <c r="AI1947" s="25"/>
      <c r="AJ1947" s="25"/>
      <c r="AK1947" s="25"/>
      <c r="AL1947" s="25"/>
      <c r="AM1947" s="25"/>
    </row>
    <row r="1948">
      <c r="A1948" s="24"/>
      <c r="B1948" s="13"/>
      <c r="C1948" s="62"/>
      <c r="D1948" s="14"/>
      <c r="E1948" s="15"/>
      <c r="F1948" s="16"/>
      <c r="G1948" s="17" t="str">
        <f t="shared" si="61"/>
        <v/>
      </c>
      <c r="H1948" s="18" t="str">
        <f t="shared" si="73"/>
        <v/>
      </c>
      <c r="I1948" s="19" t="str">
        <f t="shared" si="65"/>
        <v/>
      </c>
      <c r="J1948" s="20" t="str">
        <f t="shared" si="25"/>
        <v/>
      </c>
      <c r="K1948" s="20"/>
      <c r="L1948" s="20"/>
      <c r="M1948" s="20"/>
      <c r="N1948" s="21"/>
      <c r="O1948" s="22" t="str">
        <f>IFERROR(__xludf.DUMMYFUNCTION("IFERROR(
  VLOOKUP(C1948,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C1948
    ), 
    7, FALSE
  ), 
  """"
)
"),"")</f>
        <v/>
      </c>
      <c r="P1948" s="22"/>
      <c r="Q1948" s="23" t="str">
        <f t="shared" si="4"/>
        <v/>
      </c>
      <c r="R1948" s="20"/>
      <c r="S1948" s="18"/>
      <c r="T1948" s="24"/>
      <c r="U1948" s="24"/>
      <c r="V1948" s="24"/>
      <c r="W1948" s="24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3"/>
      <c r="AM1948" s="13"/>
    </row>
    <row r="1949">
      <c r="A1949" s="37"/>
      <c r="B1949" s="25"/>
      <c r="C1949" s="60"/>
      <c r="D1949" s="27"/>
      <c r="E1949" s="28"/>
      <c r="F1949" s="29"/>
      <c r="G1949" s="30" t="str">
        <f t="shared" si="61"/>
        <v/>
      </c>
      <c r="H1949" s="31" t="str">
        <f t="shared" si="73"/>
        <v/>
      </c>
      <c r="I1949" s="32" t="str">
        <f t="shared" si="65"/>
        <v/>
      </c>
      <c r="J1949" s="33" t="str">
        <f t="shared" si="25"/>
        <v/>
      </c>
      <c r="K1949" s="33"/>
      <c r="L1949" s="33"/>
      <c r="M1949" s="33"/>
      <c r="N1949" s="34"/>
      <c r="O1949" s="35" t="str">
        <f>IFERROR(__xludf.DUMMYFUNCTION("IFERROR(
  VLOOKUP(C1949,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C1949
    ), 
    7, FALSE
  ), 
  """"
)
"),"")</f>
        <v/>
      </c>
      <c r="P1949" s="35"/>
      <c r="Q1949" s="36" t="str">
        <f t="shared" si="4"/>
        <v/>
      </c>
      <c r="R1949" s="33"/>
      <c r="S1949" s="31"/>
      <c r="T1949" s="37"/>
      <c r="U1949" s="37"/>
      <c r="V1949" s="37"/>
      <c r="W1949" s="37"/>
      <c r="X1949" s="25"/>
      <c r="Y1949" s="25"/>
      <c r="Z1949" s="25"/>
      <c r="AA1949" s="25"/>
      <c r="AB1949" s="25"/>
      <c r="AC1949" s="25"/>
      <c r="AD1949" s="25"/>
      <c r="AE1949" s="25"/>
      <c r="AF1949" s="25"/>
      <c r="AG1949" s="25"/>
      <c r="AH1949" s="25"/>
      <c r="AI1949" s="25"/>
      <c r="AJ1949" s="25"/>
      <c r="AK1949" s="25"/>
      <c r="AL1949" s="25"/>
      <c r="AM1949" s="25"/>
    </row>
    <row r="1950">
      <c r="A1950" s="24"/>
      <c r="B1950" s="13"/>
      <c r="C1950" s="62"/>
      <c r="D1950" s="14"/>
      <c r="E1950" s="15"/>
      <c r="F1950" s="16"/>
      <c r="G1950" s="17" t="str">
        <f t="shared" si="61"/>
        <v/>
      </c>
      <c r="H1950" s="18" t="str">
        <f t="shared" si="73"/>
        <v/>
      </c>
      <c r="I1950" s="19" t="str">
        <f t="shared" si="65"/>
        <v/>
      </c>
      <c r="J1950" s="20" t="str">
        <f t="shared" si="25"/>
        <v/>
      </c>
      <c r="K1950" s="20"/>
      <c r="L1950" s="20"/>
      <c r="M1950" s="20"/>
      <c r="N1950" s="21"/>
      <c r="O1950" s="22" t="str">
        <f>IFERROR(__xludf.DUMMYFUNCTION("IFERROR(
  VLOOKUP(C1950,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C1950
    ), 
    7, FALSE
  ), 
  """"
)
"),"")</f>
        <v/>
      </c>
      <c r="P1950" s="22"/>
      <c r="Q1950" s="23" t="str">
        <f t="shared" si="4"/>
        <v/>
      </c>
      <c r="R1950" s="20"/>
      <c r="S1950" s="18"/>
      <c r="T1950" s="24"/>
      <c r="U1950" s="24"/>
      <c r="V1950" s="24"/>
      <c r="W1950" s="24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  <c r="AL1950" s="13"/>
      <c r="AM1950" s="13"/>
    </row>
    <row r="1951">
      <c r="A1951" s="37"/>
      <c r="B1951" s="25"/>
      <c r="C1951" s="60"/>
      <c r="D1951" s="27"/>
      <c r="E1951" s="28"/>
      <c r="F1951" s="29"/>
      <c r="G1951" s="30" t="str">
        <f t="shared" si="61"/>
        <v/>
      </c>
      <c r="H1951" s="31" t="str">
        <f t="shared" si="73"/>
        <v/>
      </c>
      <c r="I1951" s="32" t="str">
        <f t="shared" si="65"/>
        <v/>
      </c>
      <c r="J1951" s="33" t="str">
        <f t="shared" si="25"/>
        <v/>
      </c>
      <c r="K1951" s="33"/>
      <c r="L1951" s="33"/>
      <c r="M1951" s="33"/>
      <c r="N1951" s="34"/>
      <c r="O1951" s="35" t="str">
        <f>IFERROR(__xludf.DUMMYFUNCTION("IFERROR(
  VLOOKUP(C1951,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C1951
    ), 
    7, FALSE
  ), 
  """"
)
"),"")</f>
        <v/>
      </c>
      <c r="P1951" s="35"/>
      <c r="Q1951" s="36" t="str">
        <f t="shared" si="4"/>
        <v/>
      </c>
      <c r="R1951" s="33"/>
      <c r="S1951" s="31"/>
      <c r="T1951" s="37"/>
      <c r="U1951" s="37"/>
      <c r="V1951" s="37"/>
      <c r="W1951" s="37"/>
      <c r="X1951" s="25"/>
      <c r="Y1951" s="25"/>
      <c r="Z1951" s="25"/>
      <c r="AA1951" s="25"/>
      <c r="AB1951" s="25"/>
      <c r="AC1951" s="25"/>
      <c r="AD1951" s="25"/>
      <c r="AE1951" s="25"/>
      <c r="AF1951" s="25"/>
      <c r="AG1951" s="25"/>
      <c r="AH1951" s="25"/>
      <c r="AI1951" s="25"/>
      <c r="AJ1951" s="25"/>
      <c r="AK1951" s="25"/>
      <c r="AL1951" s="25"/>
      <c r="AM1951" s="25"/>
    </row>
    <row r="1952">
      <c r="A1952" s="24"/>
      <c r="B1952" s="13"/>
      <c r="C1952" s="62"/>
      <c r="D1952" s="14"/>
      <c r="E1952" s="15"/>
      <c r="F1952" s="16"/>
      <c r="G1952" s="17" t="str">
        <f t="shared" si="61"/>
        <v/>
      </c>
      <c r="H1952" s="18" t="str">
        <f t="shared" si="73"/>
        <v/>
      </c>
      <c r="I1952" s="19" t="str">
        <f t="shared" si="65"/>
        <v/>
      </c>
      <c r="J1952" s="20" t="str">
        <f t="shared" si="25"/>
        <v/>
      </c>
      <c r="K1952" s="20"/>
      <c r="L1952" s="20"/>
      <c r="M1952" s="20"/>
      <c r="N1952" s="21"/>
      <c r="O1952" s="22" t="str">
        <f>IFERROR(__xludf.DUMMYFUNCTION("IFERROR(
  VLOOKUP(C1952,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C1952
    ), 
    7, FALSE
  ), 
  """"
)
"),"")</f>
        <v/>
      </c>
      <c r="P1952" s="22"/>
      <c r="Q1952" s="23" t="str">
        <f t="shared" si="4"/>
        <v/>
      </c>
      <c r="R1952" s="20"/>
      <c r="S1952" s="18"/>
      <c r="T1952" s="24"/>
      <c r="U1952" s="24"/>
      <c r="V1952" s="24"/>
      <c r="W1952" s="24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3"/>
      <c r="AM1952" s="13"/>
    </row>
    <row r="1953">
      <c r="A1953" s="37"/>
      <c r="B1953" s="25"/>
      <c r="C1953" s="60"/>
      <c r="D1953" s="27"/>
      <c r="E1953" s="28"/>
      <c r="F1953" s="29"/>
      <c r="G1953" s="30" t="str">
        <f t="shared" si="61"/>
        <v/>
      </c>
      <c r="H1953" s="31" t="str">
        <f t="shared" si="73"/>
        <v/>
      </c>
      <c r="I1953" s="32" t="str">
        <f t="shared" si="65"/>
        <v/>
      </c>
      <c r="J1953" s="33" t="str">
        <f t="shared" si="25"/>
        <v/>
      </c>
      <c r="K1953" s="33"/>
      <c r="L1953" s="33"/>
      <c r="M1953" s="33"/>
      <c r="N1953" s="34"/>
      <c r="O1953" s="35" t="str">
        <f>IFERROR(__xludf.DUMMYFUNCTION("IFERROR(
  VLOOKUP(C1953,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C1953
    ), 
    7, FALSE
  ), 
  """"
)
"),"")</f>
        <v/>
      </c>
      <c r="P1953" s="35"/>
      <c r="Q1953" s="36" t="str">
        <f t="shared" si="4"/>
        <v/>
      </c>
      <c r="R1953" s="33"/>
      <c r="S1953" s="31"/>
      <c r="T1953" s="37"/>
      <c r="U1953" s="37"/>
      <c r="V1953" s="37"/>
      <c r="W1953" s="37"/>
      <c r="X1953" s="25"/>
      <c r="Y1953" s="25"/>
      <c r="Z1953" s="25"/>
      <c r="AA1953" s="25"/>
      <c r="AB1953" s="25"/>
      <c r="AC1953" s="25"/>
      <c r="AD1953" s="25"/>
      <c r="AE1953" s="25"/>
      <c r="AF1953" s="25"/>
      <c r="AG1953" s="25"/>
      <c r="AH1953" s="25"/>
      <c r="AI1953" s="25"/>
      <c r="AJ1953" s="25"/>
      <c r="AK1953" s="25"/>
      <c r="AL1953" s="25"/>
      <c r="AM1953" s="25"/>
    </row>
    <row r="1954">
      <c r="A1954" s="24"/>
      <c r="B1954" s="13"/>
      <c r="C1954" s="62"/>
      <c r="D1954" s="14"/>
      <c r="E1954" s="15"/>
      <c r="F1954" s="16"/>
      <c r="G1954" s="17" t="str">
        <f t="shared" si="61"/>
        <v/>
      </c>
      <c r="H1954" s="18" t="str">
        <f t="shared" si="73"/>
        <v/>
      </c>
      <c r="I1954" s="19" t="str">
        <f t="shared" si="65"/>
        <v/>
      </c>
      <c r="J1954" s="20" t="str">
        <f t="shared" si="25"/>
        <v/>
      </c>
      <c r="K1954" s="20"/>
      <c r="L1954" s="20"/>
      <c r="M1954" s="20"/>
      <c r="N1954" s="21"/>
      <c r="O1954" s="22" t="str">
        <f>IFERROR(__xludf.DUMMYFUNCTION("IFERROR(
  VLOOKUP(C1954,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C1954
    ), 
    7, FALSE
  ), 
  """"
)
"),"")</f>
        <v/>
      </c>
      <c r="P1954" s="22"/>
      <c r="Q1954" s="23" t="str">
        <f t="shared" si="4"/>
        <v/>
      </c>
      <c r="R1954" s="20"/>
      <c r="S1954" s="18"/>
      <c r="T1954" s="24"/>
      <c r="U1954" s="24"/>
      <c r="V1954" s="24"/>
      <c r="W1954" s="24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</row>
    <row r="1955">
      <c r="A1955" s="37"/>
      <c r="B1955" s="25"/>
      <c r="C1955" s="60"/>
      <c r="D1955" s="27"/>
      <c r="E1955" s="28"/>
      <c r="F1955" s="29"/>
      <c r="G1955" s="30" t="str">
        <f t="shared" si="61"/>
        <v/>
      </c>
      <c r="H1955" s="31" t="str">
        <f t="shared" si="73"/>
        <v/>
      </c>
      <c r="I1955" s="32" t="str">
        <f t="shared" si="65"/>
        <v/>
      </c>
      <c r="J1955" s="33" t="str">
        <f t="shared" si="25"/>
        <v/>
      </c>
      <c r="K1955" s="33"/>
      <c r="L1955" s="33"/>
      <c r="M1955" s="33"/>
      <c r="N1955" s="34"/>
      <c r="O1955" s="35" t="str">
        <f>IFERROR(__xludf.DUMMYFUNCTION("IFERROR(
  VLOOKUP(C1955,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C1955
    ), 
    7, FALSE
  ), 
  """"
)
"),"")</f>
        <v/>
      </c>
      <c r="P1955" s="35"/>
      <c r="Q1955" s="36" t="str">
        <f t="shared" si="4"/>
        <v/>
      </c>
      <c r="R1955" s="33"/>
      <c r="S1955" s="31"/>
      <c r="T1955" s="37"/>
      <c r="U1955" s="37"/>
      <c r="V1955" s="37"/>
      <c r="W1955" s="37"/>
      <c r="X1955" s="25"/>
      <c r="Y1955" s="25"/>
      <c r="Z1955" s="25"/>
      <c r="AA1955" s="25"/>
      <c r="AB1955" s="25"/>
      <c r="AC1955" s="25"/>
      <c r="AD1955" s="25"/>
      <c r="AE1955" s="25"/>
      <c r="AF1955" s="25"/>
      <c r="AG1955" s="25"/>
      <c r="AH1955" s="25"/>
      <c r="AI1955" s="25"/>
      <c r="AJ1955" s="25"/>
      <c r="AK1955" s="25"/>
      <c r="AL1955" s="25"/>
      <c r="AM1955" s="25"/>
    </row>
    <row r="1956">
      <c r="A1956" s="24"/>
      <c r="B1956" s="13"/>
      <c r="C1956" s="62"/>
      <c r="D1956" s="14"/>
      <c r="E1956" s="15"/>
      <c r="F1956" s="16"/>
      <c r="G1956" s="17" t="str">
        <f t="shared" si="61"/>
        <v/>
      </c>
      <c r="H1956" s="18" t="str">
        <f t="shared" si="73"/>
        <v/>
      </c>
      <c r="I1956" s="19" t="str">
        <f t="shared" si="65"/>
        <v/>
      </c>
      <c r="J1956" s="20" t="str">
        <f t="shared" si="25"/>
        <v/>
      </c>
      <c r="K1956" s="20"/>
      <c r="L1956" s="20"/>
      <c r="M1956" s="20"/>
      <c r="N1956" s="21"/>
      <c r="O1956" s="22" t="str">
        <f>IFERROR(__xludf.DUMMYFUNCTION("IFERROR(
  VLOOKUP(C1956,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C1956
    ), 
    7, FALSE
  ), 
  """"
)
"),"")</f>
        <v/>
      </c>
      <c r="P1956" s="22"/>
      <c r="Q1956" s="23" t="str">
        <f t="shared" si="4"/>
        <v/>
      </c>
      <c r="R1956" s="20"/>
      <c r="S1956" s="18"/>
      <c r="T1956" s="24"/>
      <c r="U1956" s="24"/>
      <c r="V1956" s="24"/>
      <c r="W1956" s="24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  <c r="AL1956" s="13"/>
      <c r="AM1956" s="13"/>
    </row>
    <row r="1957">
      <c r="A1957" s="37"/>
      <c r="B1957" s="25"/>
      <c r="C1957" s="60"/>
      <c r="D1957" s="27"/>
      <c r="E1957" s="28"/>
      <c r="F1957" s="29"/>
      <c r="G1957" s="30" t="str">
        <f t="shared" si="61"/>
        <v/>
      </c>
      <c r="H1957" s="31" t="str">
        <f t="shared" si="73"/>
        <v/>
      </c>
      <c r="I1957" s="32" t="str">
        <f t="shared" si="65"/>
        <v/>
      </c>
      <c r="J1957" s="33" t="str">
        <f t="shared" si="25"/>
        <v/>
      </c>
      <c r="K1957" s="33"/>
      <c r="L1957" s="33"/>
      <c r="M1957" s="33"/>
      <c r="N1957" s="34"/>
      <c r="O1957" s="35" t="str">
        <f>IFERROR(__xludf.DUMMYFUNCTION("IFERROR(
  VLOOKUP(C1957,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C1957
    ), 
    7, FALSE
  ), 
  """"
)
"),"")</f>
        <v/>
      </c>
      <c r="P1957" s="35"/>
      <c r="Q1957" s="36" t="str">
        <f t="shared" si="4"/>
        <v/>
      </c>
      <c r="R1957" s="33"/>
      <c r="S1957" s="31"/>
      <c r="T1957" s="37"/>
      <c r="U1957" s="37"/>
      <c r="V1957" s="37"/>
      <c r="W1957" s="37"/>
      <c r="X1957" s="25"/>
      <c r="Y1957" s="25"/>
      <c r="Z1957" s="25"/>
      <c r="AA1957" s="25"/>
      <c r="AB1957" s="25"/>
      <c r="AC1957" s="25"/>
      <c r="AD1957" s="25"/>
      <c r="AE1957" s="25"/>
      <c r="AF1957" s="25"/>
      <c r="AG1957" s="25"/>
      <c r="AH1957" s="25"/>
      <c r="AI1957" s="25"/>
      <c r="AJ1957" s="25"/>
      <c r="AK1957" s="25"/>
      <c r="AL1957" s="25"/>
      <c r="AM1957" s="25"/>
    </row>
    <row r="1958">
      <c r="A1958" s="24"/>
      <c r="B1958" s="13"/>
      <c r="C1958" s="62"/>
      <c r="D1958" s="14"/>
      <c r="E1958" s="15"/>
      <c r="F1958" s="16"/>
      <c r="G1958" s="17" t="str">
        <f t="shared" si="61"/>
        <v/>
      </c>
      <c r="H1958" s="18" t="str">
        <f t="shared" si="73"/>
        <v/>
      </c>
      <c r="I1958" s="19" t="str">
        <f t="shared" si="65"/>
        <v/>
      </c>
      <c r="J1958" s="20" t="str">
        <f t="shared" si="25"/>
        <v/>
      </c>
      <c r="K1958" s="20"/>
      <c r="L1958" s="20"/>
      <c r="M1958" s="20"/>
      <c r="N1958" s="21"/>
      <c r="O1958" s="22" t="str">
        <f>IFERROR(__xludf.DUMMYFUNCTION("IFERROR(
  VLOOKUP(C1958,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C1958
    ), 
    7, FALSE
  ), 
  """"
)
"),"")</f>
        <v/>
      </c>
      <c r="P1958" s="22"/>
      <c r="Q1958" s="23" t="str">
        <f t="shared" si="4"/>
        <v/>
      </c>
      <c r="R1958" s="20"/>
      <c r="S1958" s="18"/>
      <c r="T1958" s="24"/>
      <c r="U1958" s="24"/>
      <c r="V1958" s="24"/>
      <c r="W1958" s="24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  <c r="AH1958" s="13"/>
      <c r="AI1958" s="13"/>
      <c r="AJ1958" s="13"/>
      <c r="AK1958" s="13"/>
      <c r="AL1958" s="13"/>
      <c r="AM1958" s="13"/>
    </row>
    <row r="1959">
      <c r="A1959" s="37"/>
      <c r="B1959" s="25"/>
      <c r="C1959" s="60"/>
      <c r="D1959" s="27"/>
      <c r="E1959" s="28"/>
      <c r="F1959" s="29"/>
      <c r="G1959" s="30" t="str">
        <f t="shared" si="61"/>
        <v/>
      </c>
      <c r="H1959" s="31" t="str">
        <f t="shared" si="73"/>
        <v/>
      </c>
      <c r="I1959" s="32" t="str">
        <f t="shared" si="65"/>
        <v/>
      </c>
      <c r="J1959" s="33" t="str">
        <f t="shared" si="25"/>
        <v/>
      </c>
      <c r="K1959" s="33"/>
      <c r="L1959" s="33"/>
      <c r="M1959" s="33"/>
      <c r="N1959" s="34"/>
      <c r="O1959" s="35" t="str">
        <f>IFERROR(__xludf.DUMMYFUNCTION("IFERROR(
  VLOOKUP(C1959,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C1959
    ), 
    7, FALSE
  ), 
  """"
)
"),"")</f>
        <v/>
      </c>
      <c r="P1959" s="35"/>
      <c r="Q1959" s="36" t="str">
        <f t="shared" si="4"/>
        <v/>
      </c>
      <c r="R1959" s="33"/>
      <c r="S1959" s="31"/>
      <c r="T1959" s="37"/>
      <c r="U1959" s="37"/>
      <c r="V1959" s="37"/>
      <c r="W1959" s="37"/>
      <c r="X1959" s="25"/>
      <c r="Y1959" s="25"/>
      <c r="Z1959" s="25"/>
      <c r="AA1959" s="25"/>
      <c r="AB1959" s="25"/>
      <c r="AC1959" s="25"/>
      <c r="AD1959" s="25"/>
      <c r="AE1959" s="25"/>
      <c r="AF1959" s="25"/>
      <c r="AG1959" s="25"/>
      <c r="AH1959" s="25"/>
      <c r="AI1959" s="25"/>
      <c r="AJ1959" s="25"/>
      <c r="AK1959" s="25"/>
      <c r="AL1959" s="25"/>
      <c r="AM1959" s="25"/>
    </row>
    <row r="1960">
      <c r="A1960" s="24"/>
      <c r="B1960" s="13"/>
      <c r="C1960" s="62"/>
      <c r="D1960" s="14"/>
      <c r="E1960" s="15"/>
      <c r="F1960" s="16"/>
      <c r="G1960" s="17" t="str">
        <f t="shared" si="61"/>
        <v/>
      </c>
      <c r="H1960" s="18" t="str">
        <f t="shared" si="73"/>
        <v/>
      </c>
      <c r="I1960" s="19" t="str">
        <f t="shared" si="65"/>
        <v/>
      </c>
      <c r="J1960" s="20" t="str">
        <f t="shared" si="25"/>
        <v/>
      </c>
      <c r="K1960" s="20"/>
      <c r="L1960" s="20"/>
      <c r="M1960" s="20"/>
      <c r="N1960" s="21"/>
      <c r="O1960" s="22" t="str">
        <f>IFERROR(__xludf.DUMMYFUNCTION("IFERROR(
  VLOOKUP(C1960,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C1960
    ), 
    7, FALSE
  ), 
  """"
)
"),"")</f>
        <v/>
      </c>
      <c r="P1960" s="22"/>
      <c r="Q1960" s="23" t="str">
        <f t="shared" si="4"/>
        <v/>
      </c>
      <c r="R1960" s="20"/>
      <c r="S1960" s="18"/>
      <c r="T1960" s="24"/>
      <c r="U1960" s="24"/>
      <c r="V1960" s="24"/>
      <c r="W1960" s="24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  <c r="AL1960" s="13"/>
      <c r="AM1960" s="13"/>
    </row>
    <row r="1961">
      <c r="A1961" s="37"/>
      <c r="B1961" s="25"/>
      <c r="C1961" s="60"/>
      <c r="D1961" s="27"/>
      <c r="E1961" s="28"/>
      <c r="F1961" s="29"/>
      <c r="G1961" s="30" t="str">
        <f t="shared" si="61"/>
        <v/>
      </c>
      <c r="H1961" s="31" t="str">
        <f t="shared" si="73"/>
        <v/>
      </c>
      <c r="I1961" s="32" t="str">
        <f t="shared" si="65"/>
        <v/>
      </c>
      <c r="J1961" s="33" t="str">
        <f t="shared" si="25"/>
        <v/>
      </c>
      <c r="K1961" s="33"/>
      <c r="L1961" s="33"/>
      <c r="M1961" s="33"/>
      <c r="N1961" s="34"/>
      <c r="O1961" s="35" t="str">
        <f>IFERROR(__xludf.DUMMYFUNCTION("IFERROR(
  VLOOKUP(C1961,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C1961
    ), 
    7, FALSE
  ), 
  """"
)
"),"")</f>
        <v/>
      </c>
      <c r="P1961" s="35"/>
      <c r="Q1961" s="36" t="str">
        <f t="shared" si="4"/>
        <v/>
      </c>
      <c r="R1961" s="33"/>
      <c r="S1961" s="31"/>
      <c r="T1961" s="37"/>
      <c r="U1961" s="37"/>
      <c r="V1961" s="37"/>
      <c r="W1961" s="37"/>
      <c r="X1961" s="25"/>
      <c r="Y1961" s="25"/>
      <c r="Z1961" s="25"/>
      <c r="AA1961" s="25"/>
      <c r="AB1961" s="25"/>
      <c r="AC1961" s="25"/>
      <c r="AD1961" s="25"/>
      <c r="AE1961" s="25"/>
      <c r="AF1961" s="25"/>
      <c r="AG1961" s="25"/>
      <c r="AH1961" s="25"/>
      <c r="AI1961" s="25"/>
      <c r="AJ1961" s="25"/>
      <c r="AK1961" s="25"/>
      <c r="AL1961" s="25"/>
      <c r="AM1961" s="25"/>
    </row>
    <row r="1962">
      <c r="A1962" s="24"/>
      <c r="B1962" s="13"/>
      <c r="C1962" s="62"/>
      <c r="D1962" s="14"/>
      <c r="E1962" s="15"/>
      <c r="F1962" s="16"/>
      <c r="G1962" s="17" t="str">
        <f t="shared" si="61"/>
        <v/>
      </c>
      <c r="H1962" s="18" t="str">
        <f t="shared" si="73"/>
        <v/>
      </c>
      <c r="I1962" s="19" t="str">
        <f t="shared" si="65"/>
        <v/>
      </c>
      <c r="J1962" s="20" t="str">
        <f t="shared" si="25"/>
        <v/>
      </c>
      <c r="K1962" s="20"/>
      <c r="L1962" s="20"/>
      <c r="M1962" s="20"/>
      <c r="N1962" s="21"/>
      <c r="O1962" s="22" t="str">
        <f>IFERROR(__xludf.DUMMYFUNCTION("IFERROR(
  VLOOKUP(C1962,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C1962
    ), 
    7, FALSE
  ), 
  """"
)
"),"")</f>
        <v/>
      </c>
      <c r="P1962" s="22"/>
      <c r="Q1962" s="23" t="str">
        <f t="shared" si="4"/>
        <v/>
      </c>
      <c r="R1962" s="20"/>
      <c r="S1962" s="18"/>
      <c r="T1962" s="24"/>
      <c r="U1962" s="24"/>
      <c r="V1962" s="24"/>
      <c r="W1962" s="24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</row>
    <row r="1963">
      <c r="A1963" s="37"/>
      <c r="B1963" s="25"/>
      <c r="C1963" s="60"/>
      <c r="D1963" s="27"/>
      <c r="E1963" s="28"/>
      <c r="F1963" s="29"/>
      <c r="G1963" s="30" t="str">
        <f t="shared" si="61"/>
        <v/>
      </c>
      <c r="H1963" s="31" t="str">
        <f t="shared" si="73"/>
        <v/>
      </c>
      <c r="I1963" s="32" t="str">
        <f t="shared" si="65"/>
        <v/>
      </c>
      <c r="J1963" s="33" t="str">
        <f t="shared" si="25"/>
        <v/>
      </c>
      <c r="K1963" s="33"/>
      <c r="L1963" s="33"/>
      <c r="M1963" s="33"/>
      <c r="N1963" s="34"/>
      <c r="O1963" s="35" t="str">
        <f>IFERROR(__xludf.DUMMYFUNCTION("IFERROR(
  VLOOKUP(C1963,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C1963
    ), 
    7, FALSE
  ), 
  """"
)
"),"")</f>
        <v/>
      </c>
      <c r="P1963" s="35"/>
      <c r="Q1963" s="36" t="str">
        <f t="shared" si="4"/>
        <v/>
      </c>
      <c r="R1963" s="33"/>
      <c r="S1963" s="31"/>
      <c r="T1963" s="37"/>
      <c r="U1963" s="37"/>
      <c r="V1963" s="37"/>
      <c r="W1963" s="37"/>
      <c r="X1963" s="25"/>
      <c r="Y1963" s="25"/>
      <c r="Z1963" s="25"/>
      <c r="AA1963" s="25"/>
      <c r="AB1963" s="25"/>
      <c r="AC1963" s="25"/>
      <c r="AD1963" s="25"/>
      <c r="AE1963" s="25"/>
      <c r="AF1963" s="25"/>
      <c r="AG1963" s="25"/>
      <c r="AH1963" s="25"/>
      <c r="AI1963" s="25"/>
      <c r="AJ1963" s="25"/>
      <c r="AK1963" s="25"/>
      <c r="AL1963" s="25"/>
      <c r="AM1963" s="25"/>
    </row>
    <row r="1964">
      <c r="A1964" s="24"/>
      <c r="B1964" s="13"/>
      <c r="C1964" s="62"/>
      <c r="D1964" s="14"/>
      <c r="E1964" s="15"/>
      <c r="F1964" s="16"/>
      <c r="G1964" s="17" t="str">
        <f t="shared" si="61"/>
        <v/>
      </c>
      <c r="H1964" s="18" t="str">
        <f t="shared" si="73"/>
        <v/>
      </c>
      <c r="I1964" s="19" t="str">
        <f t="shared" si="65"/>
        <v/>
      </c>
      <c r="J1964" s="20" t="str">
        <f t="shared" si="25"/>
        <v/>
      </c>
      <c r="K1964" s="20"/>
      <c r="L1964" s="20"/>
      <c r="M1964" s="20"/>
      <c r="N1964" s="21"/>
      <c r="O1964" s="22" t="str">
        <f>IFERROR(__xludf.DUMMYFUNCTION("IFERROR(
  VLOOKUP(C1964,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C1964
    ), 
    7, FALSE
  ), 
  """"
)
"),"")</f>
        <v/>
      </c>
      <c r="P1964" s="22"/>
      <c r="Q1964" s="23" t="str">
        <f t="shared" si="4"/>
        <v/>
      </c>
      <c r="R1964" s="20"/>
      <c r="S1964" s="18"/>
      <c r="T1964" s="24"/>
      <c r="U1964" s="24"/>
      <c r="V1964" s="24"/>
      <c r="W1964" s="24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</row>
    <row r="1965">
      <c r="A1965" s="37"/>
      <c r="B1965" s="25"/>
      <c r="C1965" s="60"/>
      <c r="D1965" s="27"/>
      <c r="E1965" s="28"/>
      <c r="F1965" s="29"/>
      <c r="G1965" s="30" t="str">
        <f t="shared" si="61"/>
        <v/>
      </c>
      <c r="H1965" s="31" t="str">
        <f t="shared" si="73"/>
        <v/>
      </c>
      <c r="I1965" s="32" t="str">
        <f t="shared" si="65"/>
        <v/>
      </c>
      <c r="J1965" s="33" t="str">
        <f t="shared" si="25"/>
        <v/>
      </c>
      <c r="K1965" s="33"/>
      <c r="L1965" s="33"/>
      <c r="M1965" s="33"/>
      <c r="N1965" s="34"/>
      <c r="O1965" s="35" t="str">
        <f>IFERROR(__xludf.DUMMYFUNCTION("IFERROR(
  VLOOKUP(C1965,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C1965
    ), 
    7, FALSE
  ), 
  """"
)
"),"")</f>
        <v/>
      </c>
      <c r="P1965" s="35"/>
      <c r="Q1965" s="36" t="str">
        <f t="shared" si="4"/>
        <v/>
      </c>
      <c r="R1965" s="33"/>
      <c r="S1965" s="31"/>
      <c r="T1965" s="37"/>
      <c r="U1965" s="37"/>
      <c r="V1965" s="37"/>
      <c r="W1965" s="37"/>
      <c r="X1965" s="25"/>
      <c r="Y1965" s="25"/>
      <c r="Z1965" s="25"/>
      <c r="AA1965" s="25"/>
      <c r="AB1965" s="25"/>
      <c r="AC1965" s="25"/>
      <c r="AD1965" s="25"/>
      <c r="AE1965" s="25"/>
      <c r="AF1965" s="25"/>
      <c r="AG1965" s="25"/>
      <c r="AH1965" s="25"/>
      <c r="AI1965" s="25"/>
      <c r="AJ1965" s="25"/>
      <c r="AK1965" s="25"/>
      <c r="AL1965" s="25"/>
      <c r="AM1965" s="25"/>
    </row>
    <row r="1966">
      <c r="A1966" s="24"/>
      <c r="B1966" s="13"/>
      <c r="C1966" s="62"/>
      <c r="D1966" s="14"/>
      <c r="E1966" s="15"/>
      <c r="F1966" s="16"/>
      <c r="G1966" s="17" t="str">
        <f t="shared" si="61"/>
        <v/>
      </c>
      <c r="H1966" s="18" t="str">
        <f t="shared" si="73"/>
        <v/>
      </c>
      <c r="I1966" s="19" t="str">
        <f t="shared" si="65"/>
        <v/>
      </c>
      <c r="J1966" s="20" t="str">
        <f t="shared" si="25"/>
        <v/>
      </c>
      <c r="K1966" s="20"/>
      <c r="L1966" s="20"/>
      <c r="M1966" s="20"/>
      <c r="N1966" s="21"/>
      <c r="O1966" s="22" t="str">
        <f>IFERROR(__xludf.DUMMYFUNCTION("IFERROR(
  VLOOKUP(C1966,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C1966
    ), 
    7, FALSE
  ), 
  """"
)
"),"")</f>
        <v/>
      </c>
      <c r="P1966" s="22"/>
      <c r="Q1966" s="23" t="str">
        <f t="shared" si="4"/>
        <v/>
      </c>
      <c r="R1966" s="20"/>
      <c r="S1966" s="18"/>
      <c r="T1966" s="24"/>
      <c r="U1966" s="24"/>
      <c r="V1966" s="24"/>
      <c r="W1966" s="24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13"/>
      <c r="AK1966" s="13"/>
      <c r="AL1966" s="13"/>
      <c r="AM1966" s="13"/>
    </row>
    <row r="1967">
      <c r="A1967" s="37"/>
      <c r="B1967" s="25"/>
      <c r="C1967" s="60"/>
      <c r="D1967" s="27"/>
      <c r="E1967" s="28"/>
      <c r="F1967" s="29"/>
      <c r="G1967" s="30" t="str">
        <f t="shared" si="61"/>
        <v/>
      </c>
      <c r="H1967" s="31" t="str">
        <f t="shared" si="73"/>
        <v/>
      </c>
      <c r="I1967" s="32" t="str">
        <f t="shared" si="65"/>
        <v/>
      </c>
      <c r="J1967" s="33" t="str">
        <f t="shared" si="25"/>
        <v/>
      </c>
      <c r="K1967" s="33"/>
      <c r="L1967" s="33"/>
      <c r="M1967" s="33"/>
      <c r="N1967" s="34"/>
      <c r="O1967" s="35" t="str">
        <f>IFERROR(__xludf.DUMMYFUNCTION("IFERROR(
  VLOOKUP(C1967,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C1967
    ), 
    7, FALSE
  ), 
  """"
)
"),"")</f>
        <v/>
      </c>
      <c r="P1967" s="35"/>
      <c r="Q1967" s="36" t="str">
        <f t="shared" si="4"/>
        <v/>
      </c>
      <c r="R1967" s="33"/>
      <c r="S1967" s="31"/>
      <c r="T1967" s="37"/>
      <c r="U1967" s="37"/>
      <c r="V1967" s="37"/>
      <c r="W1967" s="37"/>
      <c r="X1967" s="25"/>
      <c r="Y1967" s="25"/>
      <c r="Z1967" s="25"/>
      <c r="AA1967" s="25"/>
      <c r="AB1967" s="25"/>
      <c r="AC1967" s="25"/>
      <c r="AD1967" s="25"/>
      <c r="AE1967" s="25"/>
      <c r="AF1967" s="25"/>
      <c r="AG1967" s="25"/>
      <c r="AH1967" s="25"/>
      <c r="AI1967" s="25"/>
      <c r="AJ1967" s="25"/>
      <c r="AK1967" s="25"/>
      <c r="AL1967" s="25"/>
      <c r="AM1967" s="25"/>
    </row>
    <row r="1968">
      <c r="A1968" s="24"/>
      <c r="B1968" s="13"/>
      <c r="C1968" s="62"/>
      <c r="D1968" s="14"/>
      <c r="E1968" s="15"/>
      <c r="F1968" s="16"/>
      <c r="G1968" s="17" t="str">
        <f t="shared" si="61"/>
        <v/>
      </c>
      <c r="H1968" s="18" t="str">
        <f t="shared" si="73"/>
        <v/>
      </c>
      <c r="I1968" s="19" t="str">
        <f t="shared" si="65"/>
        <v/>
      </c>
      <c r="J1968" s="20" t="str">
        <f t="shared" si="25"/>
        <v/>
      </c>
      <c r="K1968" s="20"/>
      <c r="L1968" s="20"/>
      <c r="M1968" s="20"/>
      <c r="N1968" s="21"/>
      <c r="O1968" s="22" t="str">
        <f>IFERROR(__xludf.DUMMYFUNCTION("IFERROR(
  VLOOKUP(C1968,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C1968
    ), 
    7, FALSE
  ), 
  """"
)
"),"")</f>
        <v/>
      </c>
      <c r="P1968" s="22"/>
      <c r="Q1968" s="23" t="str">
        <f t="shared" si="4"/>
        <v/>
      </c>
      <c r="R1968" s="20"/>
      <c r="S1968" s="18"/>
      <c r="T1968" s="24"/>
      <c r="U1968" s="24"/>
      <c r="V1968" s="24"/>
      <c r="W1968" s="24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  <c r="AL1968" s="13"/>
      <c r="AM1968" s="13"/>
    </row>
    <row r="1969">
      <c r="A1969" s="37"/>
      <c r="B1969" s="25"/>
      <c r="C1969" s="60"/>
      <c r="D1969" s="27"/>
      <c r="E1969" s="28"/>
      <c r="F1969" s="29"/>
      <c r="G1969" s="30" t="str">
        <f t="shared" si="61"/>
        <v/>
      </c>
      <c r="H1969" s="31" t="str">
        <f t="shared" si="73"/>
        <v/>
      </c>
      <c r="I1969" s="32" t="str">
        <f t="shared" si="65"/>
        <v/>
      </c>
      <c r="J1969" s="33" t="str">
        <f t="shared" si="25"/>
        <v/>
      </c>
      <c r="K1969" s="33"/>
      <c r="L1969" s="33"/>
      <c r="M1969" s="33"/>
      <c r="N1969" s="34"/>
      <c r="O1969" s="35" t="str">
        <f>IFERROR(__xludf.DUMMYFUNCTION("IFERROR(
  VLOOKUP(C1969,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C1969
    ), 
    7, FALSE
  ), 
  """"
)
"),"")</f>
        <v/>
      </c>
      <c r="P1969" s="35"/>
      <c r="Q1969" s="36" t="str">
        <f t="shared" si="4"/>
        <v/>
      </c>
      <c r="R1969" s="33"/>
      <c r="S1969" s="31"/>
      <c r="T1969" s="37"/>
      <c r="U1969" s="37"/>
      <c r="V1969" s="37"/>
      <c r="W1969" s="37"/>
      <c r="X1969" s="25"/>
      <c r="Y1969" s="25"/>
      <c r="Z1969" s="25"/>
      <c r="AA1969" s="25"/>
      <c r="AB1969" s="25"/>
      <c r="AC1969" s="25"/>
      <c r="AD1969" s="25"/>
      <c r="AE1969" s="25"/>
      <c r="AF1969" s="25"/>
      <c r="AG1969" s="25"/>
      <c r="AH1969" s="25"/>
      <c r="AI1969" s="25"/>
      <c r="AJ1969" s="25"/>
      <c r="AK1969" s="25"/>
      <c r="AL1969" s="25"/>
      <c r="AM1969" s="25"/>
    </row>
    <row r="1970">
      <c r="A1970" s="24"/>
      <c r="B1970" s="13"/>
      <c r="C1970" s="62"/>
      <c r="D1970" s="14"/>
      <c r="E1970" s="15"/>
      <c r="F1970" s="16"/>
      <c r="G1970" s="17" t="str">
        <f t="shared" si="61"/>
        <v/>
      </c>
      <c r="H1970" s="18" t="str">
        <f t="shared" si="73"/>
        <v/>
      </c>
      <c r="I1970" s="19" t="str">
        <f t="shared" si="65"/>
        <v/>
      </c>
      <c r="J1970" s="20" t="str">
        <f t="shared" si="25"/>
        <v/>
      </c>
      <c r="K1970" s="20"/>
      <c r="L1970" s="20"/>
      <c r="M1970" s="20"/>
      <c r="N1970" s="21"/>
      <c r="O1970" s="22" t="str">
        <f>IFERROR(__xludf.DUMMYFUNCTION("IFERROR(
  VLOOKUP(C1970,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C1970
    ), 
    7, FALSE
  ), 
  """"
)
"),"")</f>
        <v/>
      </c>
      <c r="P1970" s="22"/>
      <c r="Q1970" s="23" t="str">
        <f t="shared" si="4"/>
        <v/>
      </c>
      <c r="R1970" s="20"/>
      <c r="S1970" s="18"/>
      <c r="T1970" s="24"/>
      <c r="U1970" s="24"/>
      <c r="V1970" s="24"/>
      <c r="W1970" s="24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3"/>
      <c r="AM1970" s="13"/>
    </row>
    <row r="1971">
      <c r="A1971" s="37"/>
      <c r="B1971" s="25"/>
      <c r="C1971" s="60"/>
      <c r="D1971" s="27"/>
      <c r="E1971" s="28"/>
      <c r="F1971" s="29"/>
      <c r="G1971" s="30" t="str">
        <f t="shared" si="61"/>
        <v/>
      </c>
      <c r="H1971" s="31" t="str">
        <f t="shared" si="73"/>
        <v/>
      </c>
      <c r="I1971" s="32" t="str">
        <f t="shared" si="65"/>
        <v/>
      </c>
      <c r="J1971" s="33" t="str">
        <f t="shared" si="25"/>
        <v/>
      </c>
      <c r="K1971" s="33"/>
      <c r="L1971" s="33"/>
      <c r="M1971" s="33"/>
      <c r="N1971" s="34"/>
      <c r="O1971" s="35" t="str">
        <f>IFERROR(__xludf.DUMMYFUNCTION("IFERROR(
  VLOOKUP(C1971,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C1971
    ), 
    7, FALSE
  ), 
  """"
)
"),"")</f>
        <v/>
      </c>
      <c r="P1971" s="35"/>
      <c r="Q1971" s="36" t="str">
        <f t="shared" si="4"/>
        <v/>
      </c>
      <c r="R1971" s="33"/>
      <c r="S1971" s="31"/>
      <c r="T1971" s="37"/>
      <c r="U1971" s="37"/>
      <c r="V1971" s="37"/>
      <c r="W1971" s="37"/>
      <c r="X1971" s="25"/>
      <c r="Y1971" s="25"/>
      <c r="Z1971" s="25"/>
      <c r="AA1971" s="25"/>
      <c r="AB1971" s="25"/>
      <c r="AC1971" s="25"/>
      <c r="AD1971" s="25"/>
      <c r="AE1971" s="25"/>
      <c r="AF1971" s="25"/>
      <c r="AG1971" s="25"/>
      <c r="AH1971" s="25"/>
      <c r="AI1971" s="25"/>
      <c r="AJ1971" s="25"/>
      <c r="AK1971" s="25"/>
      <c r="AL1971" s="25"/>
      <c r="AM1971" s="25"/>
    </row>
    <row r="1972">
      <c r="A1972" s="24"/>
      <c r="B1972" s="13"/>
      <c r="C1972" s="62"/>
      <c r="D1972" s="14"/>
      <c r="E1972" s="15"/>
      <c r="F1972" s="16"/>
      <c r="G1972" s="17" t="str">
        <f t="shared" si="61"/>
        <v/>
      </c>
      <c r="H1972" s="18" t="str">
        <f t="shared" si="73"/>
        <v/>
      </c>
      <c r="I1972" s="19" t="str">
        <f t="shared" si="65"/>
        <v/>
      </c>
      <c r="J1972" s="20" t="str">
        <f t="shared" si="25"/>
        <v/>
      </c>
      <c r="K1972" s="20"/>
      <c r="L1972" s="20"/>
      <c r="M1972" s="20"/>
      <c r="N1972" s="21"/>
      <c r="O1972" s="22" t="str">
        <f>IFERROR(__xludf.DUMMYFUNCTION("IFERROR(
  VLOOKUP(C1972,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C1972
    ), 
    7, FALSE
  ), 
  """"
)
"),"")</f>
        <v/>
      </c>
      <c r="P1972" s="22"/>
      <c r="Q1972" s="23" t="str">
        <f t="shared" si="4"/>
        <v/>
      </c>
      <c r="R1972" s="20"/>
      <c r="S1972" s="18"/>
      <c r="T1972" s="24"/>
      <c r="U1972" s="24"/>
      <c r="V1972" s="24"/>
      <c r="W1972" s="24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3"/>
      <c r="AM1972" s="13"/>
    </row>
    <row r="1973">
      <c r="A1973" s="37"/>
      <c r="B1973" s="25"/>
      <c r="C1973" s="60"/>
      <c r="D1973" s="27"/>
      <c r="E1973" s="28"/>
      <c r="F1973" s="29"/>
      <c r="G1973" s="30" t="str">
        <f t="shared" si="61"/>
        <v/>
      </c>
      <c r="H1973" s="31" t="str">
        <f t="shared" si="73"/>
        <v/>
      </c>
      <c r="I1973" s="32" t="str">
        <f t="shared" si="65"/>
        <v/>
      </c>
      <c r="J1973" s="33" t="str">
        <f t="shared" si="25"/>
        <v/>
      </c>
      <c r="K1973" s="33"/>
      <c r="L1973" s="33"/>
      <c r="M1973" s="33"/>
      <c r="N1973" s="34"/>
      <c r="O1973" s="35" t="str">
        <f>IFERROR(__xludf.DUMMYFUNCTION("IFERROR(
  VLOOKUP(C1973,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C1973
    ), 
    7, FALSE
  ), 
  """"
)
"),"")</f>
        <v/>
      </c>
      <c r="P1973" s="35"/>
      <c r="Q1973" s="36" t="str">
        <f t="shared" si="4"/>
        <v/>
      </c>
      <c r="R1973" s="33"/>
      <c r="S1973" s="31"/>
      <c r="T1973" s="37"/>
      <c r="U1973" s="37"/>
      <c r="V1973" s="37"/>
      <c r="W1973" s="37"/>
      <c r="X1973" s="25"/>
      <c r="Y1973" s="25"/>
      <c r="Z1973" s="25"/>
      <c r="AA1973" s="25"/>
      <c r="AB1973" s="25"/>
      <c r="AC1973" s="25"/>
      <c r="AD1973" s="25"/>
      <c r="AE1973" s="25"/>
      <c r="AF1973" s="25"/>
      <c r="AG1973" s="25"/>
      <c r="AH1973" s="25"/>
      <c r="AI1973" s="25"/>
      <c r="AJ1973" s="25"/>
      <c r="AK1973" s="25"/>
      <c r="AL1973" s="25"/>
      <c r="AM1973" s="25"/>
    </row>
    <row r="1974">
      <c r="A1974" s="24"/>
      <c r="B1974" s="13"/>
      <c r="C1974" s="62"/>
      <c r="D1974" s="14"/>
      <c r="E1974" s="15"/>
      <c r="F1974" s="16"/>
      <c r="G1974" s="17" t="str">
        <f t="shared" si="61"/>
        <v/>
      </c>
      <c r="H1974" s="18" t="str">
        <f t="shared" si="73"/>
        <v/>
      </c>
      <c r="I1974" s="19" t="str">
        <f t="shared" si="65"/>
        <v/>
      </c>
      <c r="J1974" s="20" t="str">
        <f t="shared" si="25"/>
        <v/>
      </c>
      <c r="K1974" s="20"/>
      <c r="L1974" s="20"/>
      <c r="M1974" s="20"/>
      <c r="N1974" s="21"/>
      <c r="O1974" s="22" t="str">
        <f>IFERROR(__xludf.DUMMYFUNCTION("IFERROR(
  VLOOKUP(C1974,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C1974
    ), 
    7, FALSE
  ), 
  """"
)
"),"")</f>
        <v/>
      </c>
      <c r="P1974" s="22"/>
      <c r="Q1974" s="23" t="str">
        <f t="shared" si="4"/>
        <v/>
      </c>
      <c r="R1974" s="20"/>
      <c r="S1974" s="18"/>
      <c r="T1974" s="24"/>
      <c r="U1974" s="24"/>
      <c r="V1974" s="24"/>
      <c r="W1974" s="24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13"/>
      <c r="AK1974" s="13"/>
      <c r="AL1974" s="13"/>
      <c r="AM1974" s="13"/>
    </row>
    <row r="1975">
      <c r="A1975" s="37"/>
      <c r="B1975" s="25"/>
      <c r="C1975" s="60"/>
      <c r="D1975" s="27"/>
      <c r="E1975" s="28"/>
      <c r="F1975" s="29"/>
      <c r="G1975" s="30" t="str">
        <f t="shared" si="61"/>
        <v/>
      </c>
      <c r="H1975" s="31" t="str">
        <f t="shared" si="73"/>
        <v/>
      </c>
      <c r="I1975" s="32" t="str">
        <f t="shared" si="65"/>
        <v/>
      </c>
      <c r="J1975" s="33" t="str">
        <f t="shared" si="25"/>
        <v/>
      </c>
      <c r="K1975" s="33"/>
      <c r="L1975" s="33"/>
      <c r="M1975" s="33"/>
      <c r="N1975" s="34"/>
      <c r="O1975" s="35" t="str">
        <f>IFERROR(__xludf.DUMMYFUNCTION("IFERROR(
  VLOOKUP(C1975,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C1975
    ), 
    7, FALSE
  ), 
  """"
)
"),"")</f>
        <v/>
      </c>
      <c r="P1975" s="35"/>
      <c r="Q1975" s="36" t="str">
        <f t="shared" si="4"/>
        <v/>
      </c>
      <c r="R1975" s="33"/>
      <c r="S1975" s="31"/>
      <c r="T1975" s="37"/>
      <c r="U1975" s="37"/>
      <c r="V1975" s="37"/>
      <c r="W1975" s="37"/>
      <c r="X1975" s="25"/>
      <c r="Y1975" s="25"/>
      <c r="Z1975" s="25"/>
      <c r="AA1975" s="25"/>
      <c r="AB1975" s="25"/>
      <c r="AC1975" s="25"/>
      <c r="AD1975" s="25"/>
      <c r="AE1975" s="25"/>
      <c r="AF1975" s="25"/>
      <c r="AG1975" s="25"/>
      <c r="AH1975" s="25"/>
      <c r="AI1975" s="25"/>
      <c r="AJ1975" s="25"/>
      <c r="AK1975" s="25"/>
      <c r="AL1975" s="25"/>
      <c r="AM1975" s="25"/>
    </row>
    <row r="1976">
      <c r="A1976" s="24"/>
      <c r="B1976" s="13"/>
      <c r="C1976" s="62"/>
      <c r="D1976" s="14"/>
      <c r="E1976" s="15"/>
      <c r="F1976" s="16"/>
      <c r="G1976" s="17" t="str">
        <f t="shared" si="61"/>
        <v/>
      </c>
      <c r="H1976" s="18" t="str">
        <f t="shared" si="73"/>
        <v/>
      </c>
      <c r="I1976" s="19" t="str">
        <f t="shared" si="65"/>
        <v/>
      </c>
      <c r="J1976" s="20" t="str">
        <f t="shared" si="25"/>
        <v/>
      </c>
      <c r="K1976" s="20"/>
      <c r="L1976" s="20"/>
      <c r="M1976" s="20"/>
      <c r="N1976" s="21"/>
      <c r="O1976" s="22" t="str">
        <f>IFERROR(__xludf.DUMMYFUNCTION("IFERROR(
  VLOOKUP(C1976,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C1976
    ), 
    7, FALSE
  ), 
  """"
)
"),"")</f>
        <v/>
      </c>
      <c r="P1976" s="22"/>
      <c r="Q1976" s="23" t="str">
        <f t="shared" si="4"/>
        <v/>
      </c>
      <c r="R1976" s="20"/>
      <c r="S1976" s="18"/>
      <c r="T1976" s="24"/>
      <c r="U1976" s="24"/>
      <c r="V1976" s="24"/>
      <c r="W1976" s="24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3"/>
      <c r="AM1976" s="13"/>
    </row>
    <row r="1977">
      <c r="A1977" s="37"/>
      <c r="B1977" s="25"/>
      <c r="C1977" s="60"/>
      <c r="D1977" s="27"/>
      <c r="E1977" s="28"/>
      <c r="F1977" s="29"/>
      <c r="G1977" s="30" t="str">
        <f t="shared" si="61"/>
        <v/>
      </c>
      <c r="H1977" s="31" t="str">
        <f t="shared" si="73"/>
        <v/>
      </c>
      <c r="I1977" s="32" t="str">
        <f t="shared" si="65"/>
        <v/>
      </c>
      <c r="J1977" s="33" t="str">
        <f t="shared" si="25"/>
        <v/>
      </c>
      <c r="K1977" s="33"/>
      <c r="L1977" s="33"/>
      <c r="M1977" s="33"/>
      <c r="N1977" s="34"/>
      <c r="O1977" s="35" t="str">
        <f>IFERROR(__xludf.DUMMYFUNCTION("IFERROR(
  VLOOKUP(C1977,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C1977
    ), 
    7, FALSE
  ), 
  """"
)
"),"")</f>
        <v/>
      </c>
      <c r="P1977" s="35"/>
      <c r="Q1977" s="36" t="str">
        <f t="shared" si="4"/>
        <v/>
      </c>
      <c r="R1977" s="33"/>
      <c r="S1977" s="31"/>
      <c r="T1977" s="37"/>
      <c r="U1977" s="37"/>
      <c r="V1977" s="37"/>
      <c r="W1977" s="37"/>
      <c r="X1977" s="25"/>
      <c r="Y1977" s="25"/>
      <c r="Z1977" s="25"/>
      <c r="AA1977" s="25"/>
      <c r="AB1977" s="25"/>
      <c r="AC1977" s="25"/>
      <c r="AD1977" s="25"/>
      <c r="AE1977" s="25"/>
      <c r="AF1977" s="25"/>
      <c r="AG1977" s="25"/>
      <c r="AH1977" s="25"/>
      <c r="AI1977" s="25"/>
      <c r="AJ1977" s="25"/>
      <c r="AK1977" s="25"/>
      <c r="AL1977" s="25"/>
      <c r="AM1977" s="25"/>
    </row>
    <row r="1978">
      <c r="A1978" s="24"/>
      <c r="B1978" s="13"/>
      <c r="C1978" s="62"/>
      <c r="D1978" s="14"/>
      <c r="E1978" s="15"/>
      <c r="F1978" s="16"/>
      <c r="G1978" s="17" t="str">
        <f t="shared" si="61"/>
        <v/>
      </c>
      <c r="H1978" s="18" t="str">
        <f t="shared" si="73"/>
        <v/>
      </c>
      <c r="I1978" s="19" t="str">
        <f t="shared" si="65"/>
        <v/>
      </c>
      <c r="J1978" s="20" t="str">
        <f t="shared" si="25"/>
        <v/>
      </c>
      <c r="K1978" s="20"/>
      <c r="L1978" s="20"/>
      <c r="M1978" s="20"/>
      <c r="N1978" s="21"/>
      <c r="O1978" s="22" t="str">
        <f>IFERROR(__xludf.DUMMYFUNCTION("IFERROR(
  VLOOKUP(C1978,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C1978
    ), 
    7, FALSE
  ), 
  """"
)
"),"")</f>
        <v/>
      </c>
      <c r="P1978" s="22"/>
      <c r="Q1978" s="23" t="str">
        <f t="shared" si="4"/>
        <v/>
      </c>
      <c r="R1978" s="20"/>
      <c r="S1978" s="18"/>
      <c r="T1978" s="24"/>
      <c r="U1978" s="24"/>
      <c r="V1978" s="24"/>
      <c r="W1978" s="24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  <c r="AL1978" s="13"/>
      <c r="AM1978" s="13"/>
    </row>
    <row r="1979">
      <c r="A1979" s="37"/>
      <c r="B1979" s="25"/>
      <c r="C1979" s="60"/>
      <c r="D1979" s="27"/>
      <c r="E1979" s="28"/>
      <c r="F1979" s="29"/>
      <c r="G1979" s="30" t="str">
        <f t="shared" si="61"/>
        <v/>
      </c>
      <c r="H1979" s="31" t="str">
        <f t="shared" si="73"/>
        <v/>
      </c>
      <c r="I1979" s="32" t="str">
        <f t="shared" si="65"/>
        <v/>
      </c>
      <c r="J1979" s="33" t="str">
        <f t="shared" si="25"/>
        <v/>
      </c>
      <c r="K1979" s="33"/>
      <c r="L1979" s="33"/>
      <c r="M1979" s="33"/>
      <c r="N1979" s="34"/>
      <c r="O1979" s="35" t="str">
        <f>IFERROR(__xludf.DUMMYFUNCTION("IFERROR(
  VLOOKUP(C1979,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C1979
    ), 
    7, FALSE
  ), 
  """"
)
"),"")</f>
        <v/>
      </c>
      <c r="P1979" s="35"/>
      <c r="Q1979" s="36" t="str">
        <f t="shared" si="4"/>
        <v/>
      </c>
      <c r="R1979" s="33"/>
      <c r="S1979" s="31"/>
      <c r="T1979" s="37"/>
      <c r="U1979" s="37"/>
      <c r="V1979" s="37"/>
      <c r="W1979" s="37"/>
      <c r="X1979" s="25"/>
      <c r="Y1979" s="25"/>
      <c r="Z1979" s="25"/>
      <c r="AA1979" s="25"/>
      <c r="AB1979" s="25"/>
      <c r="AC1979" s="25"/>
      <c r="AD1979" s="25"/>
      <c r="AE1979" s="25"/>
      <c r="AF1979" s="25"/>
      <c r="AG1979" s="25"/>
      <c r="AH1979" s="25"/>
      <c r="AI1979" s="25"/>
      <c r="AJ1979" s="25"/>
      <c r="AK1979" s="25"/>
      <c r="AL1979" s="25"/>
      <c r="AM1979" s="25"/>
    </row>
    <row r="1980">
      <c r="A1980" s="24"/>
      <c r="B1980" s="13"/>
      <c r="C1980" s="62"/>
      <c r="D1980" s="14"/>
      <c r="E1980" s="15"/>
      <c r="F1980" s="16"/>
      <c r="G1980" s="17" t="str">
        <f t="shared" si="61"/>
        <v/>
      </c>
      <c r="H1980" s="18" t="str">
        <f t="shared" si="73"/>
        <v/>
      </c>
      <c r="I1980" s="19" t="str">
        <f t="shared" si="65"/>
        <v/>
      </c>
      <c r="J1980" s="20" t="str">
        <f t="shared" si="25"/>
        <v/>
      </c>
      <c r="K1980" s="20"/>
      <c r="L1980" s="20"/>
      <c r="M1980" s="20"/>
      <c r="N1980" s="21"/>
      <c r="O1980" s="22" t="str">
        <f>IFERROR(__xludf.DUMMYFUNCTION("IFERROR(
  VLOOKUP(C1980,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C1980
    ), 
    7, FALSE
  ), 
  """"
)
"),"")</f>
        <v/>
      </c>
      <c r="P1980" s="22"/>
      <c r="Q1980" s="23" t="str">
        <f t="shared" si="4"/>
        <v/>
      </c>
      <c r="R1980" s="20"/>
      <c r="S1980" s="18"/>
      <c r="T1980" s="24"/>
      <c r="U1980" s="24"/>
      <c r="V1980" s="24"/>
      <c r="W1980" s="24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  <c r="AL1980" s="13"/>
      <c r="AM1980" s="13"/>
    </row>
    <row r="1981">
      <c r="A1981" s="37"/>
      <c r="B1981" s="25"/>
      <c r="C1981" s="60"/>
      <c r="D1981" s="27"/>
      <c r="E1981" s="28"/>
      <c r="F1981" s="29"/>
      <c r="G1981" s="30" t="str">
        <f t="shared" si="61"/>
        <v/>
      </c>
      <c r="H1981" s="31" t="str">
        <f t="shared" si="73"/>
        <v/>
      </c>
      <c r="I1981" s="32" t="str">
        <f t="shared" si="65"/>
        <v/>
      </c>
      <c r="J1981" s="33" t="str">
        <f t="shared" si="25"/>
        <v/>
      </c>
      <c r="K1981" s="33"/>
      <c r="L1981" s="33"/>
      <c r="M1981" s="33"/>
      <c r="N1981" s="34"/>
      <c r="O1981" s="35" t="str">
        <f>IFERROR(__xludf.DUMMYFUNCTION("IFERROR(
  VLOOKUP(C1981,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C1981
    ), 
    7, FALSE
  ), 
  """"
)
"),"")</f>
        <v/>
      </c>
      <c r="P1981" s="35"/>
      <c r="Q1981" s="36" t="str">
        <f t="shared" si="4"/>
        <v/>
      </c>
      <c r="R1981" s="33"/>
      <c r="S1981" s="31"/>
      <c r="T1981" s="37"/>
      <c r="U1981" s="37"/>
      <c r="V1981" s="37"/>
      <c r="W1981" s="37"/>
      <c r="X1981" s="25"/>
      <c r="Y1981" s="25"/>
      <c r="Z1981" s="25"/>
      <c r="AA1981" s="25"/>
      <c r="AB1981" s="25"/>
      <c r="AC1981" s="25"/>
      <c r="AD1981" s="25"/>
      <c r="AE1981" s="25"/>
      <c r="AF1981" s="25"/>
      <c r="AG1981" s="25"/>
      <c r="AH1981" s="25"/>
      <c r="AI1981" s="25"/>
      <c r="AJ1981" s="25"/>
      <c r="AK1981" s="25"/>
      <c r="AL1981" s="25"/>
      <c r="AM1981" s="25"/>
    </row>
    <row r="1982">
      <c r="A1982" s="24"/>
      <c r="B1982" s="13"/>
      <c r="C1982" s="62"/>
      <c r="D1982" s="14"/>
      <c r="E1982" s="15"/>
      <c r="F1982" s="16"/>
      <c r="G1982" s="17" t="str">
        <f t="shared" si="61"/>
        <v/>
      </c>
      <c r="H1982" s="18" t="str">
        <f t="shared" si="73"/>
        <v/>
      </c>
      <c r="I1982" s="19" t="str">
        <f t="shared" si="65"/>
        <v/>
      </c>
      <c r="J1982" s="20" t="str">
        <f t="shared" si="25"/>
        <v/>
      </c>
      <c r="K1982" s="20"/>
      <c r="L1982" s="20"/>
      <c r="M1982" s="20"/>
      <c r="N1982" s="21"/>
      <c r="O1982" s="22" t="str">
        <f>IFERROR(__xludf.DUMMYFUNCTION("IFERROR(
  VLOOKUP(C1982,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C1982
    ), 
    7, FALSE
  ), 
  """"
)
"),"")</f>
        <v/>
      </c>
      <c r="P1982" s="22"/>
      <c r="Q1982" s="23" t="str">
        <f t="shared" si="4"/>
        <v/>
      </c>
      <c r="R1982" s="20"/>
      <c r="S1982" s="18"/>
      <c r="T1982" s="24"/>
      <c r="U1982" s="24"/>
      <c r="V1982" s="24"/>
      <c r="W1982" s="24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/>
      <c r="AL1982" s="13"/>
      <c r="AM1982" s="13"/>
    </row>
    <row r="1983">
      <c r="A1983" s="37"/>
      <c r="B1983" s="25"/>
      <c r="C1983" s="60"/>
      <c r="D1983" s="27"/>
      <c r="E1983" s="28"/>
      <c r="F1983" s="29"/>
      <c r="G1983" s="30" t="str">
        <f t="shared" si="61"/>
        <v/>
      </c>
      <c r="H1983" s="31" t="str">
        <f t="shared" si="73"/>
        <v/>
      </c>
      <c r="I1983" s="32" t="str">
        <f t="shared" si="65"/>
        <v/>
      </c>
      <c r="J1983" s="33" t="str">
        <f t="shared" si="25"/>
        <v/>
      </c>
      <c r="K1983" s="33"/>
      <c r="L1983" s="33"/>
      <c r="M1983" s="33"/>
      <c r="N1983" s="34"/>
      <c r="O1983" s="35" t="str">
        <f>IFERROR(__xludf.DUMMYFUNCTION("IFERROR(
  VLOOKUP(C1983,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C1983
    ), 
    7, FALSE
  ), 
  """"
)
"),"")</f>
        <v/>
      </c>
      <c r="P1983" s="35"/>
      <c r="Q1983" s="36" t="str">
        <f t="shared" si="4"/>
        <v/>
      </c>
      <c r="R1983" s="33"/>
      <c r="S1983" s="31"/>
      <c r="T1983" s="37"/>
      <c r="U1983" s="37"/>
      <c r="V1983" s="37"/>
      <c r="W1983" s="37"/>
      <c r="X1983" s="25"/>
      <c r="Y1983" s="25"/>
      <c r="Z1983" s="25"/>
      <c r="AA1983" s="25"/>
      <c r="AB1983" s="25"/>
      <c r="AC1983" s="25"/>
      <c r="AD1983" s="25"/>
      <c r="AE1983" s="25"/>
      <c r="AF1983" s="25"/>
      <c r="AG1983" s="25"/>
      <c r="AH1983" s="25"/>
      <c r="AI1983" s="25"/>
      <c r="AJ1983" s="25"/>
      <c r="AK1983" s="25"/>
      <c r="AL1983" s="25"/>
      <c r="AM1983" s="25"/>
    </row>
    <row r="1984">
      <c r="A1984" s="24"/>
      <c r="B1984" s="13"/>
      <c r="C1984" s="62"/>
      <c r="D1984" s="14"/>
      <c r="E1984" s="15"/>
      <c r="F1984" s="16"/>
      <c r="G1984" s="17" t="str">
        <f t="shared" si="61"/>
        <v/>
      </c>
      <c r="H1984" s="18" t="str">
        <f t="shared" si="73"/>
        <v/>
      </c>
      <c r="I1984" s="19" t="str">
        <f t="shared" si="65"/>
        <v/>
      </c>
      <c r="J1984" s="20" t="str">
        <f t="shared" si="25"/>
        <v/>
      </c>
      <c r="K1984" s="20"/>
      <c r="L1984" s="20"/>
      <c r="M1984" s="20"/>
      <c r="N1984" s="21"/>
      <c r="O1984" s="22" t="str">
        <f>IFERROR(__xludf.DUMMYFUNCTION("IFERROR(
  VLOOKUP(C1984,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C1984
    ), 
    7, FALSE
  ), 
  """"
)
"),"")</f>
        <v/>
      </c>
      <c r="P1984" s="22"/>
      <c r="Q1984" s="23" t="str">
        <f t="shared" si="4"/>
        <v/>
      </c>
      <c r="R1984" s="20"/>
      <c r="S1984" s="18"/>
      <c r="T1984" s="24"/>
      <c r="U1984" s="24"/>
      <c r="V1984" s="24"/>
      <c r="W1984" s="24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3"/>
      <c r="AI1984" s="13"/>
      <c r="AJ1984" s="13"/>
      <c r="AK1984" s="13"/>
      <c r="AL1984" s="13"/>
      <c r="AM1984" s="13"/>
    </row>
    <row r="1985">
      <c r="A1985" s="37"/>
      <c r="B1985" s="25"/>
      <c r="C1985" s="60"/>
      <c r="D1985" s="27"/>
      <c r="E1985" s="28"/>
      <c r="F1985" s="29"/>
      <c r="G1985" s="30" t="str">
        <f t="shared" si="61"/>
        <v/>
      </c>
      <c r="H1985" s="31" t="str">
        <f t="shared" si="73"/>
        <v/>
      </c>
      <c r="I1985" s="32" t="str">
        <f t="shared" si="65"/>
        <v/>
      </c>
      <c r="J1985" s="33" t="str">
        <f t="shared" si="25"/>
        <v/>
      </c>
      <c r="K1985" s="33"/>
      <c r="L1985" s="33"/>
      <c r="M1985" s="33"/>
      <c r="N1985" s="34"/>
      <c r="O1985" s="35" t="str">
        <f>IFERROR(__xludf.DUMMYFUNCTION("IFERROR(
  VLOOKUP(C1985,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C1985
    ), 
    7, FALSE
  ), 
  """"
)
"),"")</f>
        <v/>
      </c>
      <c r="P1985" s="35"/>
      <c r="Q1985" s="36" t="str">
        <f t="shared" si="4"/>
        <v/>
      </c>
      <c r="R1985" s="33"/>
      <c r="S1985" s="31"/>
      <c r="T1985" s="37"/>
      <c r="U1985" s="37"/>
      <c r="V1985" s="37"/>
      <c r="W1985" s="37"/>
      <c r="X1985" s="25"/>
      <c r="Y1985" s="25"/>
      <c r="Z1985" s="25"/>
      <c r="AA1985" s="25"/>
      <c r="AB1985" s="25"/>
      <c r="AC1985" s="25"/>
      <c r="AD1985" s="25"/>
      <c r="AE1985" s="25"/>
      <c r="AF1985" s="25"/>
      <c r="AG1985" s="25"/>
      <c r="AH1985" s="25"/>
      <c r="AI1985" s="25"/>
      <c r="AJ1985" s="25"/>
      <c r="AK1985" s="25"/>
      <c r="AL1985" s="25"/>
      <c r="AM1985" s="25"/>
    </row>
    <row r="1986">
      <c r="A1986" s="24"/>
      <c r="B1986" s="13"/>
      <c r="C1986" s="62"/>
      <c r="D1986" s="14"/>
      <c r="E1986" s="15"/>
      <c r="F1986" s="16"/>
      <c r="G1986" s="17" t="str">
        <f t="shared" si="61"/>
        <v/>
      </c>
      <c r="H1986" s="18" t="str">
        <f t="shared" si="73"/>
        <v/>
      </c>
      <c r="I1986" s="19" t="str">
        <f t="shared" si="65"/>
        <v/>
      </c>
      <c r="J1986" s="20" t="str">
        <f t="shared" si="25"/>
        <v/>
      </c>
      <c r="K1986" s="20"/>
      <c r="L1986" s="20"/>
      <c r="M1986" s="20"/>
      <c r="N1986" s="21"/>
      <c r="O1986" s="22" t="str">
        <f>IFERROR(__xludf.DUMMYFUNCTION("IFERROR(
  VLOOKUP(C1986,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C1986
    ), 
    7, FALSE
  ), 
  """"
)
"),"")</f>
        <v/>
      </c>
      <c r="P1986" s="22"/>
      <c r="Q1986" s="23" t="str">
        <f t="shared" si="4"/>
        <v/>
      </c>
      <c r="R1986" s="20"/>
      <c r="S1986" s="18"/>
      <c r="T1986" s="24"/>
      <c r="U1986" s="24"/>
      <c r="V1986" s="24"/>
      <c r="W1986" s="24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13"/>
      <c r="AK1986" s="13"/>
      <c r="AL1986" s="13"/>
      <c r="AM1986" s="13"/>
    </row>
    <row r="1987">
      <c r="A1987" s="37"/>
      <c r="B1987" s="25"/>
      <c r="C1987" s="60"/>
      <c r="D1987" s="27"/>
      <c r="E1987" s="28"/>
      <c r="F1987" s="29"/>
      <c r="G1987" s="30" t="str">
        <f t="shared" si="61"/>
        <v/>
      </c>
      <c r="H1987" s="31" t="str">
        <f t="shared" si="73"/>
        <v/>
      </c>
      <c r="I1987" s="32" t="str">
        <f t="shared" si="65"/>
        <v/>
      </c>
      <c r="J1987" s="33" t="str">
        <f t="shared" si="25"/>
        <v/>
      </c>
      <c r="K1987" s="33"/>
      <c r="L1987" s="33"/>
      <c r="M1987" s="33"/>
      <c r="N1987" s="34"/>
      <c r="O1987" s="35" t="str">
        <f>IFERROR(__xludf.DUMMYFUNCTION("IFERROR(
  VLOOKUP(C1987,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C1987
    ), 
    7, FALSE
  ), 
  """"
)
"),"")</f>
        <v/>
      </c>
      <c r="P1987" s="35"/>
      <c r="Q1987" s="36" t="str">
        <f t="shared" si="4"/>
        <v/>
      </c>
      <c r="R1987" s="33"/>
      <c r="S1987" s="31"/>
      <c r="T1987" s="37"/>
      <c r="U1987" s="37"/>
      <c r="V1987" s="37"/>
      <c r="W1987" s="37"/>
      <c r="X1987" s="25"/>
      <c r="Y1987" s="25"/>
      <c r="Z1987" s="25"/>
      <c r="AA1987" s="25"/>
      <c r="AB1987" s="25"/>
      <c r="AC1987" s="25"/>
      <c r="AD1987" s="25"/>
      <c r="AE1987" s="25"/>
      <c r="AF1987" s="25"/>
      <c r="AG1987" s="25"/>
      <c r="AH1987" s="25"/>
      <c r="AI1987" s="25"/>
      <c r="AJ1987" s="25"/>
      <c r="AK1987" s="25"/>
      <c r="AL1987" s="25"/>
      <c r="AM1987" s="25"/>
    </row>
    <row r="1988">
      <c r="A1988" s="24"/>
      <c r="B1988" s="13"/>
      <c r="C1988" s="62"/>
      <c r="D1988" s="14"/>
      <c r="E1988" s="15"/>
      <c r="F1988" s="16"/>
      <c r="G1988" s="17" t="str">
        <f t="shared" si="61"/>
        <v/>
      </c>
      <c r="H1988" s="18" t="str">
        <f t="shared" si="73"/>
        <v/>
      </c>
      <c r="I1988" s="19" t="str">
        <f t="shared" si="65"/>
        <v/>
      </c>
      <c r="J1988" s="20" t="str">
        <f t="shared" si="25"/>
        <v/>
      </c>
      <c r="K1988" s="20"/>
      <c r="L1988" s="20"/>
      <c r="M1988" s="20"/>
      <c r="N1988" s="21"/>
      <c r="O1988" s="22" t="str">
        <f>IFERROR(__xludf.DUMMYFUNCTION("IFERROR(
  VLOOKUP(C1988,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C1988
    ), 
    7, FALSE
  ), 
  """"
)
"),"")</f>
        <v/>
      </c>
      <c r="P1988" s="22"/>
      <c r="Q1988" s="23" t="str">
        <f t="shared" si="4"/>
        <v/>
      </c>
      <c r="R1988" s="20"/>
      <c r="S1988" s="18"/>
      <c r="T1988" s="24"/>
      <c r="U1988" s="24"/>
      <c r="V1988" s="24"/>
      <c r="W1988" s="24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13"/>
      <c r="AK1988" s="13"/>
      <c r="AL1988" s="13"/>
      <c r="AM1988" s="13"/>
    </row>
    <row r="1989">
      <c r="A1989" s="37"/>
      <c r="B1989" s="25"/>
      <c r="C1989" s="60"/>
      <c r="D1989" s="27"/>
      <c r="E1989" s="28"/>
      <c r="F1989" s="29"/>
      <c r="G1989" s="30" t="str">
        <f t="shared" si="61"/>
        <v/>
      </c>
      <c r="H1989" s="31" t="str">
        <f t="shared" si="73"/>
        <v/>
      </c>
      <c r="I1989" s="32" t="str">
        <f t="shared" si="65"/>
        <v/>
      </c>
      <c r="J1989" s="33" t="str">
        <f t="shared" si="25"/>
        <v/>
      </c>
      <c r="K1989" s="33"/>
      <c r="L1989" s="33"/>
      <c r="M1989" s="33"/>
      <c r="N1989" s="34"/>
      <c r="O1989" s="35" t="str">
        <f>IFERROR(__xludf.DUMMYFUNCTION("IFERROR(
  VLOOKUP(C1989,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C1989
    ), 
    7, FALSE
  ), 
  """"
)
"),"")</f>
        <v/>
      </c>
      <c r="P1989" s="35"/>
      <c r="Q1989" s="36" t="str">
        <f t="shared" si="4"/>
        <v/>
      </c>
      <c r="R1989" s="33"/>
      <c r="S1989" s="31"/>
      <c r="T1989" s="37"/>
      <c r="U1989" s="37"/>
      <c r="V1989" s="37"/>
      <c r="W1989" s="37"/>
      <c r="X1989" s="25"/>
      <c r="Y1989" s="25"/>
      <c r="Z1989" s="25"/>
      <c r="AA1989" s="25"/>
      <c r="AB1989" s="25"/>
      <c r="AC1989" s="25"/>
      <c r="AD1989" s="25"/>
      <c r="AE1989" s="25"/>
      <c r="AF1989" s="25"/>
      <c r="AG1989" s="25"/>
      <c r="AH1989" s="25"/>
      <c r="AI1989" s="25"/>
      <c r="AJ1989" s="25"/>
      <c r="AK1989" s="25"/>
      <c r="AL1989" s="25"/>
      <c r="AM1989" s="25"/>
    </row>
    <row r="1990">
      <c r="A1990" s="24"/>
      <c r="B1990" s="13"/>
      <c r="C1990" s="62"/>
      <c r="D1990" s="14"/>
      <c r="E1990" s="15"/>
      <c r="F1990" s="16"/>
      <c r="G1990" s="17" t="str">
        <f t="shared" si="61"/>
        <v/>
      </c>
      <c r="H1990" s="18" t="str">
        <f t="shared" si="73"/>
        <v/>
      </c>
      <c r="I1990" s="19" t="str">
        <f t="shared" si="65"/>
        <v/>
      </c>
      <c r="J1990" s="20" t="str">
        <f t="shared" si="25"/>
        <v/>
      </c>
      <c r="K1990" s="20"/>
      <c r="L1990" s="20"/>
      <c r="M1990" s="20"/>
      <c r="N1990" s="21"/>
      <c r="O1990" s="22" t="str">
        <f>IFERROR(__xludf.DUMMYFUNCTION("IFERROR(
  VLOOKUP(C1990,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C1990
    ), 
    7, FALSE
  ), 
  """"
)
"),"")</f>
        <v/>
      </c>
      <c r="P1990" s="22"/>
      <c r="Q1990" s="23" t="str">
        <f t="shared" si="4"/>
        <v/>
      </c>
      <c r="R1990" s="20"/>
      <c r="S1990" s="18"/>
      <c r="T1990" s="24"/>
      <c r="U1990" s="24"/>
      <c r="V1990" s="24"/>
      <c r="W1990" s="24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13"/>
      <c r="AK1990" s="13"/>
      <c r="AL1990" s="13"/>
      <c r="AM1990" s="13"/>
    </row>
    <row r="1991">
      <c r="A1991" s="37"/>
      <c r="B1991" s="25"/>
      <c r="C1991" s="60"/>
      <c r="D1991" s="27"/>
      <c r="E1991" s="28"/>
      <c r="F1991" s="29"/>
      <c r="G1991" s="30" t="str">
        <f t="shared" si="61"/>
        <v/>
      </c>
      <c r="H1991" s="31" t="str">
        <f t="shared" si="73"/>
        <v/>
      </c>
      <c r="I1991" s="32" t="str">
        <f t="shared" si="65"/>
        <v/>
      </c>
      <c r="J1991" s="33" t="str">
        <f t="shared" si="25"/>
        <v/>
      </c>
      <c r="K1991" s="33"/>
      <c r="L1991" s="33"/>
      <c r="M1991" s="33"/>
      <c r="N1991" s="34"/>
      <c r="O1991" s="35" t="str">
        <f>IFERROR(__xludf.DUMMYFUNCTION("IFERROR(
  VLOOKUP(C1991,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C1991
    ), 
    7, FALSE
  ), 
  """"
)
"),"")</f>
        <v/>
      </c>
      <c r="P1991" s="35"/>
      <c r="Q1991" s="36" t="str">
        <f t="shared" si="4"/>
        <v/>
      </c>
      <c r="R1991" s="33"/>
      <c r="S1991" s="31"/>
      <c r="T1991" s="37"/>
      <c r="U1991" s="37"/>
      <c r="V1991" s="37"/>
      <c r="W1991" s="37"/>
      <c r="X1991" s="25"/>
      <c r="Y1991" s="25"/>
      <c r="Z1991" s="25"/>
      <c r="AA1991" s="25"/>
      <c r="AB1991" s="25"/>
      <c r="AC1991" s="25"/>
      <c r="AD1991" s="25"/>
      <c r="AE1991" s="25"/>
      <c r="AF1991" s="25"/>
      <c r="AG1991" s="25"/>
      <c r="AH1991" s="25"/>
      <c r="AI1991" s="25"/>
      <c r="AJ1991" s="25"/>
      <c r="AK1991" s="25"/>
      <c r="AL1991" s="25"/>
      <c r="AM1991" s="25"/>
    </row>
    <row r="1992">
      <c r="A1992" s="24"/>
      <c r="B1992" s="13"/>
      <c r="C1992" s="62"/>
      <c r="D1992" s="14"/>
      <c r="E1992" s="15"/>
      <c r="F1992" s="16"/>
      <c r="G1992" s="17" t="str">
        <f t="shared" si="61"/>
        <v/>
      </c>
      <c r="H1992" s="18" t="str">
        <f t="shared" si="73"/>
        <v/>
      </c>
      <c r="I1992" s="19" t="str">
        <f t="shared" si="65"/>
        <v/>
      </c>
      <c r="J1992" s="20" t="str">
        <f t="shared" si="25"/>
        <v/>
      </c>
      <c r="K1992" s="20"/>
      <c r="L1992" s="20"/>
      <c r="M1992" s="20"/>
      <c r="N1992" s="21"/>
      <c r="O1992" s="22" t="str">
        <f>IFERROR(__xludf.DUMMYFUNCTION("IFERROR(
  VLOOKUP(C1992,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C1992
    ), 
    7, FALSE
  ), 
  """"
)
"),"")</f>
        <v/>
      </c>
      <c r="P1992" s="22"/>
      <c r="Q1992" s="23" t="str">
        <f t="shared" si="4"/>
        <v/>
      </c>
      <c r="R1992" s="20"/>
      <c r="S1992" s="18"/>
      <c r="T1992" s="24"/>
      <c r="U1992" s="24"/>
      <c r="V1992" s="24"/>
      <c r="W1992" s="24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  <c r="AK1992" s="13"/>
      <c r="AL1992" s="13"/>
      <c r="AM1992" s="13"/>
    </row>
    <row r="1993">
      <c r="A1993" s="37"/>
      <c r="B1993" s="25"/>
      <c r="C1993" s="60"/>
      <c r="D1993" s="27"/>
      <c r="E1993" s="28"/>
      <c r="F1993" s="29"/>
      <c r="G1993" s="30" t="str">
        <f t="shared" si="61"/>
        <v/>
      </c>
      <c r="H1993" s="31" t="str">
        <f t="shared" si="73"/>
        <v/>
      </c>
      <c r="I1993" s="32" t="str">
        <f t="shared" si="65"/>
        <v/>
      </c>
      <c r="J1993" s="33" t="str">
        <f t="shared" si="25"/>
        <v/>
      </c>
      <c r="K1993" s="33"/>
      <c r="L1993" s="33"/>
      <c r="M1993" s="33"/>
      <c r="N1993" s="34"/>
      <c r="O1993" s="35" t="str">
        <f>IFERROR(__xludf.DUMMYFUNCTION("IFERROR(
  VLOOKUP(C1993,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C1993
    ), 
    7, FALSE
  ), 
  """"
)
"),"")</f>
        <v/>
      </c>
      <c r="P1993" s="35"/>
      <c r="Q1993" s="36" t="str">
        <f t="shared" si="4"/>
        <v/>
      </c>
      <c r="R1993" s="33"/>
      <c r="S1993" s="31"/>
      <c r="T1993" s="37"/>
      <c r="U1993" s="37"/>
      <c r="V1993" s="37"/>
      <c r="W1993" s="37"/>
      <c r="X1993" s="25"/>
      <c r="Y1993" s="25"/>
      <c r="Z1993" s="25"/>
      <c r="AA1993" s="25"/>
      <c r="AB1993" s="25"/>
      <c r="AC1993" s="25"/>
      <c r="AD1993" s="25"/>
      <c r="AE1993" s="25"/>
      <c r="AF1993" s="25"/>
      <c r="AG1993" s="25"/>
      <c r="AH1993" s="25"/>
      <c r="AI1993" s="25"/>
      <c r="AJ1993" s="25"/>
      <c r="AK1993" s="25"/>
      <c r="AL1993" s="25"/>
      <c r="AM1993" s="25"/>
    </row>
    <row r="1994">
      <c r="A1994" s="24"/>
      <c r="B1994" s="13"/>
      <c r="C1994" s="62"/>
      <c r="D1994" s="14"/>
      <c r="E1994" s="15"/>
      <c r="F1994" s="16"/>
      <c r="G1994" s="17" t="str">
        <f t="shared" si="61"/>
        <v/>
      </c>
      <c r="H1994" s="18" t="str">
        <f t="shared" si="73"/>
        <v/>
      </c>
      <c r="I1994" s="19" t="str">
        <f t="shared" si="65"/>
        <v/>
      </c>
      <c r="J1994" s="20" t="str">
        <f t="shared" si="25"/>
        <v/>
      </c>
      <c r="K1994" s="20"/>
      <c r="L1994" s="20"/>
      <c r="M1994" s="20"/>
      <c r="N1994" s="21"/>
      <c r="O1994" s="22" t="str">
        <f>IFERROR(__xludf.DUMMYFUNCTION("IFERROR(
  VLOOKUP(C1994,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C1994
    ), 
    7, FALSE
  ), 
  """"
)
"),"")</f>
        <v/>
      </c>
      <c r="P1994" s="22"/>
      <c r="Q1994" s="23" t="str">
        <f t="shared" si="4"/>
        <v/>
      </c>
      <c r="R1994" s="20"/>
      <c r="S1994" s="18"/>
      <c r="T1994" s="24"/>
      <c r="U1994" s="24"/>
      <c r="V1994" s="24"/>
      <c r="W1994" s="24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  <c r="AH1994" s="13"/>
      <c r="AI1994" s="13"/>
      <c r="AJ1994" s="13"/>
      <c r="AK1994" s="13"/>
      <c r="AL1994" s="13"/>
      <c r="AM1994" s="13"/>
    </row>
    <row r="1995">
      <c r="A1995" s="37"/>
      <c r="B1995" s="25"/>
      <c r="C1995" s="60"/>
      <c r="D1995" s="27"/>
      <c r="E1995" s="28"/>
      <c r="F1995" s="29"/>
      <c r="G1995" s="30" t="str">
        <f t="shared" si="61"/>
        <v/>
      </c>
      <c r="H1995" s="31" t="str">
        <f t="shared" si="73"/>
        <v/>
      </c>
      <c r="I1995" s="32" t="str">
        <f t="shared" si="65"/>
        <v/>
      </c>
      <c r="J1995" s="33" t="str">
        <f t="shared" si="25"/>
        <v/>
      </c>
      <c r="K1995" s="33"/>
      <c r="L1995" s="33"/>
      <c r="M1995" s="33"/>
      <c r="N1995" s="34"/>
      <c r="O1995" s="35" t="str">
        <f>IFERROR(__xludf.DUMMYFUNCTION("IFERROR(
  VLOOKUP(C1995,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C1995
    ), 
    7, FALSE
  ), 
  """"
)
"),"")</f>
        <v/>
      </c>
      <c r="P1995" s="35"/>
      <c r="Q1995" s="36" t="str">
        <f t="shared" si="4"/>
        <v/>
      </c>
      <c r="R1995" s="33"/>
      <c r="S1995" s="31"/>
      <c r="T1995" s="37"/>
      <c r="U1995" s="37"/>
      <c r="V1995" s="37"/>
      <c r="W1995" s="37"/>
      <c r="X1995" s="25"/>
      <c r="Y1995" s="25"/>
      <c r="Z1995" s="25"/>
      <c r="AA1995" s="25"/>
      <c r="AB1995" s="25"/>
      <c r="AC1995" s="25"/>
      <c r="AD1995" s="25"/>
      <c r="AE1995" s="25"/>
      <c r="AF1995" s="25"/>
      <c r="AG1995" s="25"/>
      <c r="AH1995" s="25"/>
      <c r="AI1995" s="25"/>
      <c r="AJ1995" s="25"/>
      <c r="AK1995" s="25"/>
      <c r="AL1995" s="25"/>
      <c r="AM1995" s="25"/>
    </row>
    <row r="1996">
      <c r="A1996" s="24"/>
      <c r="B1996" s="13"/>
      <c r="C1996" s="62"/>
      <c r="D1996" s="14"/>
      <c r="E1996" s="15"/>
      <c r="F1996" s="16"/>
      <c r="G1996" s="17" t="str">
        <f t="shared" si="61"/>
        <v/>
      </c>
      <c r="H1996" s="18" t="str">
        <f t="shared" si="73"/>
        <v/>
      </c>
      <c r="I1996" s="19" t="str">
        <f t="shared" si="65"/>
        <v/>
      </c>
      <c r="J1996" s="20" t="str">
        <f t="shared" si="25"/>
        <v/>
      </c>
      <c r="K1996" s="20"/>
      <c r="L1996" s="20"/>
      <c r="M1996" s="20"/>
      <c r="N1996" s="21"/>
      <c r="O1996" s="22" t="str">
        <f>IFERROR(__xludf.DUMMYFUNCTION("IFERROR(
  VLOOKUP(C1996,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C1996
    ), 
    7, FALSE
  ), 
  """"
)
"),"")</f>
        <v/>
      </c>
      <c r="P1996" s="22"/>
      <c r="Q1996" s="23" t="str">
        <f t="shared" si="4"/>
        <v/>
      </c>
      <c r="R1996" s="20"/>
      <c r="S1996" s="18"/>
      <c r="T1996" s="24"/>
      <c r="U1996" s="24"/>
      <c r="V1996" s="24"/>
      <c r="W1996" s="24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  <c r="AH1996" s="13"/>
      <c r="AI1996" s="13"/>
      <c r="AJ1996" s="13"/>
      <c r="AK1996" s="13"/>
      <c r="AL1996" s="13"/>
      <c r="AM1996" s="13"/>
    </row>
    <row r="1997">
      <c r="A1997" s="37"/>
      <c r="B1997" s="25"/>
      <c r="C1997" s="60"/>
      <c r="D1997" s="27"/>
      <c r="E1997" s="28"/>
      <c r="F1997" s="29"/>
      <c r="G1997" s="30" t="str">
        <f t="shared" si="61"/>
        <v/>
      </c>
      <c r="H1997" s="31" t="str">
        <f t="shared" si="73"/>
        <v/>
      </c>
      <c r="I1997" s="32" t="str">
        <f t="shared" si="65"/>
        <v/>
      </c>
      <c r="J1997" s="33" t="str">
        <f t="shared" si="25"/>
        <v/>
      </c>
      <c r="K1997" s="33"/>
      <c r="L1997" s="33"/>
      <c r="M1997" s="33"/>
      <c r="N1997" s="34"/>
      <c r="O1997" s="35" t="str">
        <f>IFERROR(__xludf.DUMMYFUNCTION("IFERROR(
  VLOOKUP(C1997,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C1997
    ), 
    7, FALSE
  ), 
  """"
)
"),"")</f>
        <v/>
      </c>
      <c r="P1997" s="35"/>
      <c r="Q1997" s="36" t="str">
        <f t="shared" si="4"/>
        <v/>
      </c>
      <c r="R1997" s="33"/>
      <c r="S1997" s="31"/>
      <c r="T1997" s="37"/>
      <c r="U1997" s="37"/>
      <c r="V1997" s="37"/>
      <c r="W1997" s="37"/>
      <c r="X1997" s="25"/>
      <c r="Y1997" s="25"/>
      <c r="Z1997" s="25"/>
      <c r="AA1997" s="25"/>
      <c r="AB1997" s="25"/>
      <c r="AC1997" s="25"/>
      <c r="AD1997" s="25"/>
      <c r="AE1997" s="25"/>
      <c r="AF1997" s="25"/>
      <c r="AG1997" s="25"/>
      <c r="AH1997" s="25"/>
      <c r="AI1997" s="25"/>
      <c r="AJ1997" s="25"/>
      <c r="AK1997" s="25"/>
      <c r="AL1997" s="25"/>
      <c r="AM1997" s="25"/>
    </row>
    <row r="1998">
      <c r="A1998" s="24"/>
      <c r="B1998" s="13"/>
      <c r="C1998" s="62"/>
      <c r="D1998" s="14"/>
      <c r="E1998" s="15"/>
      <c r="F1998" s="16"/>
      <c r="G1998" s="17" t="str">
        <f t="shared" si="61"/>
        <v/>
      </c>
      <c r="H1998" s="18" t="str">
        <f t="shared" si="73"/>
        <v/>
      </c>
      <c r="I1998" s="19" t="str">
        <f t="shared" si="65"/>
        <v/>
      </c>
      <c r="J1998" s="20" t="str">
        <f t="shared" si="25"/>
        <v/>
      </c>
      <c r="K1998" s="20"/>
      <c r="L1998" s="20"/>
      <c r="M1998" s="20"/>
      <c r="N1998" s="21"/>
      <c r="O1998" s="22" t="str">
        <f>IFERROR(__xludf.DUMMYFUNCTION("IFERROR(
  VLOOKUP(C1998,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C1998
    ), 
    7, FALSE
  ), 
  """"
)
"),"")</f>
        <v/>
      </c>
      <c r="P1998" s="22"/>
      <c r="Q1998" s="23" t="str">
        <f t="shared" si="4"/>
        <v/>
      </c>
      <c r="R1998" s="20"/>
      <c r="S1998" s="18"/>
      <c r="T1998" s="24"/>
      <c r="U1998" s="24"/>
      <c r="V1998" s="24"/>
      <c r="W1998" s="24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13"/>
      <c r="AK1998" s="13"/>
      <c r="AL1998" s="13"/>
      <c r="AM1998" s="13"/>
    </row>
    <row r="1999">
      <c r="A1999" s="37"/>
      <c r="B1999" s="25"/>
      <c r="C1999" s="60"/>
      <c r="D1999" s="27"/>
      <c r="E1999" s="28"/>
      <c r="F1999" s="29"/>
      <c r="G1999" s="30" t="str">
        <f t="shared" si="61"/>
        <v/>
      </c>
      <c r="H1999" s="31" t="str">
        <f t="shared" si="73"/>
        <v/>
      </c>
      <c r="I1999" s="32" t="str">
        <f t="shared" si="65"/>
        <v/>
      </c>
      <c r="J1999" s="33" t="str">
        <f t="shared" si="25"/>
        <v/>
      </c>
      <c r="K1999" s="33"/>
      <c r="L1999" s="33"/>
      <c r="M1999" s="33"/>
      <c r="N1999" s="34"/>
      <c r="O1999" s="35" t="str">
        <f>IFERROR(__xludf.DUMMYFUNCTION("IFERROR(
  VLOOKUP(C1999,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C1999
    ), 
    7, FALSE
  ), 
  """"
)
"),"")</f>
        <v/>
      </c>
      <c r="P1999" s="35"/>
      <c r="Q1999" s="36" t="str">
        <f t="shared" si="4"/>
        <v/>
      </c>
      <c r="R1999" s="33"/>
      <c r="S1999" s="31"/>
      <c r="T1999" s="37"/>
      <c r="U1999" s="37"/>
      <c r="V1999" s="37"/>
      <c r="W1999" s="37"/>
      <c r="X1999" s="25"/>
      <c r="Y1999" s="25"/>
      <c r="Z1999" s="25"/>
      <c r="AA1999" s="25"/>
      <c r="AB1999" s="25"/>
      <c r="AC1999" s="25"/>
      <c r="AD1999" s="25"/>
      <c r="AE1999" s="25"/>
      <c r="AF1999" s="25"/>
      <c r="AG1999" s="25"/>
      <c r="AH1999" s="25"/>
      <c r="AI1999" s="25"/>
      <c r="AJ1999" s="25"/>
      <c r="AK1999" s="25"/>
      <c r="AL1999" s="25"/>
      <c r="AM1999" s="25"/>
    </row>
    <row r="2000">
      <c r="A2000" s="24"/>
      <c r="B2000" s="13"/>
      <c r="C2000" s="62"/>
      <c r="D2000" s="14"/>
      <c r="E2000" s="15"/>
      <c r="F2000" s="16"/>
      <c r="G2000" s="17" t="str">
        <f t="shared" si="61"/>
        <v/>
      </c>
      <c r="H2000" s="18" t="str">
        <f t="shared" si="73"/>
        <v/>
      </c>
      <c r="I2000" s="19" t="str">
        <f t="shared" si="65"/>
        <v/>
      </c>
      <c r="J2000" s="20" t="str">
        <f t="shared" si="25"/>
        <v/>
      </c>
      <c r="K2000" s="20"/>
      <c r="L2000" s="20"/>
      <c r="M2000" s="20"/>
      <c r="N2000" s="21"/>
      <c r="O2000" s="22" t="str">
        <f>IFERROR(__xludf.DUMMYFUNCTION("IFERROR(
  VLOOKUP(C2000,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C2000
    ), 
    7, FALSE
  ), 
  """"
)
"),"")</f>
        <v/>
      </c>
      <c r="P2000" s="22"/>
      <c r="Q2000" s="23" t="str">
        <f t="shared" si="4"/>
        <v/>
      </c>
      <c r="R2000" s="20"/>
      <c r="S2000" s="18"/>
      <c r="T2000" s="24"/>
      <c r="U2000" s="24"/>
      <c r="V2000" s="24"/>
      <c r="W2000" s="24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</row>
    <row r="2001">
      <c r="A2001" s="37"/>
      <c r="B2001" s="25"/>
      <c r="C2001" s="60"/>
      <c r="D2001" s="27"/>
      <c r="E2001" s="28"/>
      <c r="F2001" s="29"/>
      <c r="G2001" s="30" t="str">
        <f t="shared" si="61"/>
        <v/>
      </c>
      <c r="H2001" s="31" t="str">
        <f t="shared" si="73"/>
        <v/>
      </c>
      <c r="I2001" s="32" t="str">
        <f t="shared" si="65"/>
        <v/>
      </c>
      <c r="J2001" s="33" t="str">
        <f t="shared" si="25"/>
        <v/>
      </c>
      <c r="K2001" s="33"/>
      <c r="L2001" s="33"/>
      <c r="M2001" s="33"/>
      <c r="N2001" s="34"/>
      <c r="O2001" s="35" t="str">
        <f>IFERROR(__xludf.DUMMYFUNCTION("IFERROR(
  VLOOKUP(C2001,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C2001
    ), 
    7, FALSE
  ), 
  """"
)
"),"")</f>
        <v/>
      </c>
      <c r="P2001" s="35"/>
      <c r="Q2001" s="36" t="str">
        <f t="shared" si="4"/>
        <v/>
      </c>
      <c r="R2001" s="33"/>
      <c r="S2001" s="31"/>
      <c r="T2001" s="37"/>
      <c r="U2001" s="37"/>
      <c r="V2001" s="37"/>
      <c r="W2001" s="37"/>
      <c r="X2001" s="25"/>
      <c r="Y2001" s="25"/>
      <c r="Z2001" s="25"/>
      <c r="AA2001" s="25"/>
      <c r="AB2001" s="25"/>
      <c r="AC2001" s="25"/>
      <c r="AD2001" s="25"/>
      <c r="AE2001" s="25"/>
      <c r="AF2001" s="25"/>
      <c r="AG2001" s="25"/>
      <c r="AH2001" s="25"/>
      <c r="AI2001" s="25"/>
      <c r="AJ2001" s="25"/>
      <c r="AK2001" s="25"/>
      <c r="AL2001" s="25"/>
      <c r="AM2001" s="25"/>
    </row>
    <row r="2002">
      <c r="A2002" s="24"/>
      <c r="B2002" s="13"/>
      <c r="C2002" s="62"/>
      <c r="D2002" s="14"/>
      <c r="E2002" s="15"/>
      <c r="F2002" s="16"/>
      <c r="G2002" s="17" t="str">
        <f t="shared" si="61"/>
        <v/>
      </c>
      <c r="H2002" s="18" t="str">
        <f t="shared" si="73"/>
        <v/>
      </c>
      <c r="I2002" s="19" t="str">
        <f t="shared" si="65"/>
        <v/>
      </c>
      <c r="J2002" s="20" t="str">
        <f t="shared" si="25"/>
        <v/>
      </c>
      <c r="K2002" s="20"/>
      <c r="L2002" s="20"/>
      <c r="M2002" s="20"/>
      <c r="N2002" s="21"/>
      <c r="O2002" s="22" t="str">
        <f>IFERROR(__xludf.DUMMYFUNCTION("IFERROR(
  VLOOKUP(C2002,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C2002
    ), 
    7, FALSE
  ), 
  """"
)
"),"")</f>
        <v/>
      </c>
      <c r="P2002" s="22"/>
      <c r="Q2002" s="23" t="str">
        <f t="shared" si="4"/>
        <v/>
      </c>
      <c r="R2002" s="20"/>
      <c r="S2002" s="18"/>
      <c r="T2002" s="24"/>
      <c r="U2002" s="24"/>
      <c r="V2002" s="24"/>
      <c r="W2002" s="24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</row>
    <row r="2003">
      <c r="A2003" s="37"/>
      <c r="B2003" s="25"/>
      <c r="C2003" s="60"/>
      <c r="D2003" s="27"/>
      <c r="E2003" s="28"/>
      <c r="F2003" s="29"/>
      <c r="G2003" s="30" t="str">
        <f t="shared" si="61"/>
        <v/>
      </c>
      <c r="H2003" s="31" t="str">
        <f t="shared" si="73"/>
        <v/>
      </c>
      <c r="I2003" s="32" t="str">
        <f t="shared" si="65"/>
        <v/>
      </c>
      <c r="J2003" s="33" t="str">
        <f t="shared" si="25"/>
        <v/>
      </c>
      <c r="K2003" s="33"/>
      <c r="L2003" s="33"/>
      <c r="M2003" s="33"/>
      <c r="N2003" s="34"/>
      <c r="O2003" s="35" t="str">
        <f>IFERROR(__xludf.DUMMYFUNCTION("IFERROR(
  VLOOKUP(C2003,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C2003
    ), 
    7, FALSE
  ), 
  """"
)
"),"")</f>
        <v/>
      </c>
      <c r="P2003" s="35"/>
      <c r="Q2003" s="36" t="str">
        <f t="shared" si="4"/>
        <v/>
      </c>
      <c r="R2003" s="33"/>
      <c r="S2003" s="31"/>
      <c r="T2003" s="37"/>
      <c r="U2003" s="37"/>
      <c r="V2003" s="37"/>
      <c r="W2003" s="37"/>
      <c r="X2003" s="25"/>
      <c r="Y2003" s="25"/>
      <c r="Z2003" s="25"/>
      <c r="AA2003" s="25"/>
      <c r="AB2003" s="25"/>
      <c r="AC2003" s="25"/>
      <c r="AD2003" s="25"/>
      <c r="AE2003" s="25"/>
      <c r="AF2003" s="25"/>
      <c r="AG2003" s="25"/>
      <c r="AH2003" s="25"/>
      <c r="AI2003" s="25"/>
      <c r="AJ2003" s="25"/>
      <c r="AK2003" s="25"/>
      <c r="AL2003" s="25"/>
      <c r="AM2003" s="25"/>
    </row>
    <row r="2004">
      <c r="A2004" s="24"/>
      <c r="B2004" s="13"/>
      <c r="C2004" s="62"/>
      <c r="D2004" s="14"/>
      <c r="E2004" s="15"/>
      <c r="F2004" s="16"/>
      <c r="G2004" s="17" t="str">
        <f t="shared" si="61"/>
        <v/>
      </c>
      <c r="H2004" s="18" t="str">
        <f t="shared" si="73"/>
        <v/>
      </c>
      <c r="I2004" s="19" t="str">
        <f t="shared" si="65"/>
        <v/>
      </c>
      <c r="J2004" s="20" t="str">
        <f t="shared" si="25"/>
        <v/>
      </c>
      <c r="K2004" s="20"/>
      <c r="L2004" s="20"/>
      <c r="M2004" s="20"/>
      <c r="N2004" s="21"/>
      <c r="O2004" s="22" t="str">
        <f>IFERROR(__xludf.DUMMYFUNCTION("IFERROR(
  VLOOKUP(C2004,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C2004
    ), 
    7, FALSE
  ), 
  """"
)
"),"")</f>
        <v/>
      </c>
      <c r="P2004" s="22"/>
      <c r="Q2004" s="23" t="str">
        <f t="shared" si="4"/>
        <v/>
      </c>
      <c r="R2004" s="20"/>
      <c r="S2004" s="18"/>
      <c r="T2004" s="24"/>
      <c r="U2004" s="24"/>
      <c r="V2004" s="24"/>
      <c r="W2004" s="24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13"/>
      <c r="AK2004" s="13"/>
      <c r="AL2004" s="13"/>
      <c r="AM2004" s="13"/>
    </row>
    <row r="2005">
      <c r="A2005" s="37"/>
      <c r="B2005" s="25"/>
      <c r="C2005" s="60"/>
      <c r="D2005" s="27"/>
      <c r="E2005" s="28"/>
      <c r="F2005" s="29"/>
      <c r="G2005" s="30" t="str">
        <f t="shared" si="61"/>
        <v/>
      </c>
      <c r="H2005" s="31" t="str">
        <f t="shared" si="73"/>
        <v/>
      </c>
      <c r="I2005" s="32" t="str">
        <f t="shared" si="65"/>
        <v/>
      </c>
      <c r="J2005" s="33" t="str">
        <f t="shared" si="25"/>
        <v/>
      </c>
      <c r="K2005" s="33"/>
      <c r="L2005" s="33"/>
      <c r="M2005" s="33"/>
      <c r="N2005" s="34"/>
      <c r="O2005" s="35" t="str">
        <f>IFERROR(__xludf.DUMMYFUNCTION("IFERROR(
  VLOOKUP(C2005,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C2005
    ), 
    7, FALSE
  ), 
  """"
)
"),"")</f>
        <v/>
      </c>
      <c r="P2005" s="35"/>
      <c r="Q2005" s="36" t="str">
        <f t="shared" si="4"/>
        <v/>
      </c>
      <c r="R2005" s="33"/>
      <c r="S2005" s="31"/>
      <c r="T2005" s="37"/>
      <c r="U2005" s="37"/>
      <c r="V2005" s="37"/>
      <c r="W2005" s="37"/>
      <c r="X2005" s="25"/>
      <c r="Y2005" s="25"/>
      <c r="Z2005" s="25"/>
      <c r="AA2005" s="25"/>
      <c r="AB2005" s="25"/>
      <c r="AC2005" s="25"/>
      <c r="AD2005" s="25"/>
      <c r="AE2005" s="25"/>
      <c r="AF2005" s="25"/>
      <c r="AG2005" s="25"/>
      <c r="AH2005" s="25"/>
      <c r="AI2005" s="25"/>
      <c r="AJ2005" s="25"/>
      <c r="AK2005" s="25"/>
      <c r="AL2005" s="25"/>
      <c r="AM2005" s="25"/>
    </row>
    <row r="2006">
      <c r="A2006" s="24"/>
      <c r="B2006" s="13"/>
      <c r="C2006" s="62"/>
      <c r="D2006" s="14"/>
      <c r="E2006" s="15"/>
      <c r="F2006" s="16"/>
      <c r="G2006" s="17" t="str">
        <f t="shared" si="61"/>
        <v/>
      </c>
      <c r="H2006" s="18" t="str">
        <f t="shared" si="73"/>
        <v/>
      </c>
      <c r="I2006" s="19" t="str">
        <f t="shared" si="65"/>
        <v/>
      </c>
      <c r="J2006" s="20" t="str">
        <f t="shared" si="25"/>
        <v/>
      </c>
      <c r="K2006" s="20"/>
      <c r="L2006" s="20"/>
      <c r="M2006" s="20"/>
      <c r="N2006" s="21"/>
      <c r="O2006" s="22" t="str">
        <f>IFERROR(__xludf.DUMMYFUNCTION("IFERROR(
  VLOOKUP(C2006,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C2006
    ), 
    7, FALSE
  ), 
  """"
)
"),"")</f>
        <v/>
      </c>
      <c r="P2006" s="22"/>
      <c r="Q2006" s="23" t="str">
        <f t="shared" si="4"/>
        <v/>
      </c>
      <c r="R2006" s="20"/>
      <c r="S2006" s="18"/>
      <c r="T2006" s="24"/>
      <c r="U2006" s="24"/>
      <c r="V2006" s="24"/>
      <c r="W2006" s="24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  <c r="AH2006" s="13"/>
      <c r="AI2006" s="13"/>
      <c r="AJ2006" s="13"/>
      <c r="AK2006" s="13"/>
      <c r="AL2006" s="13"/>
      <c r="AM2006" s="13"/>
    </row>
    <row r="2007">
      <c r="A2007" s="37"/>
      <c r="B2007" s="25"/>
      <c r="C2007" s="60"/>
      <c r="D2007" s="27"/>
      <c r="E2007" s="28"/>
      <c r="F2007" s="29"/>
      <c r="G2007" s="30" t="str">
        <f t="shared" si="61"/>
        <v/>
      </c>
      <c r="H2007" s="31" t="str">
        <f t="shared" si="73"/>
        <v/>
      </c>
      <c r="I2007" s="32" t="str">
        <f t="shared" si="65"/>
        <v/>
      </c>
      <c r="J2007" s="33" t="str">
        <f t="shared" si="25"/>
        <v/>
      </c>
      <c r="K2007" s="33"/>
      <c r="L2007" s="33"/>
      <c r="M2007" s="33"/>
      <c r="N2007" s="34"/>
      <c r="O2007" s="35" t="str">
        <f>IFERROR(__xludf.DUMMYFUNCTION("IFERROR(
  VLOOKUP(C2007,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C2007
    ), 
    7, FALSE
  ), 
  """"
)
"),"")</f>
        <v/>
      </c>
      <c r="P2007" s="35"/>
      <c r="Q2007" s="36" t="str">
        <f t="shared" si="4"/>
        <v/>
      </c>
      <c r="R2007" s="33"/>
      <c r="S2007" s="31"/>
      <c r="T2007" s="37"/>
      <c r="U2007" s="37"/>
      <c r="V2007" s="37"/>
      <c r="W2007" s="37"/>
      <c r="X2007" s="25"/>
      <c r="Y2007" s="25"/>
      <c r="Z2007" s="25"/>
      <c r="AA2007" s="25"/>
      <c r="AB2007" s="25"/>
      <c r="AC2007" s="25"/>
      <c r="AD2007" s="25"/>
      <c r="AE2007" s="25"/>
      <c r="AF2007" s="25"/>
      <c r="AG2007" s="25"/>
      <c r="AH2007" s="25"/>
      <c r="AI2007" s="25"/>
      <c r="AJ2007" s="25"/>
      <c r="AK2007" s="25"/>
      <c r="AL2007" s="25"/>
      <c r="AM2007" s="25"/>
    </row>
    <row r="2008">
      <c r="A2008" s="24"/>
      <c r="B2008" s="13"/>
      <c r="C2008" s="62"/>
      <c r="D2008" s="14"/>
      <c r="E2008" s="15"/>
      <c r="F2008" s="16"/>
      <c r="G2008" s="17" t="str">
        <f t="shared" si="61"/>
        <v/>
      </c>
      <c r="H2008" s="18" t="str">
        <f t="shared" si="73"/>
        <v/>
      </c>
      <c r="I2008" s="19" t="str">
        <f t="shared" si="65"/>
        <v/>
      </c>
      <c r="J2008" s="20" t="str">
        <f t="shared" si="25"/>
        <v/>
      </c>
      <c r="K2008" s="20"/>
      <c r="L2008" s="20"/>
      <c r="M2008" s="20"/>
      <c r="N2008" s="21"/>
      <c r="O2008" s="22" t="str">
        <f>IFERROR(__xludf.DUMMYFUNCTION("IFERROR(
  VLOOKUP(C2008,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C2008
    ), 
    7, FALSE
  ), 
  """"
)
"),"")</f>
        <v/>
      </c>
      <c r="P2008" s="22"/>
      <c r="Q2008" s="23" t="str">
        <f t="shared" si="4"/>
        <v/>
      </c>
      <c r="R2008" s="20"/>
      <c r="S2008" s="18"/>
      <c r="T2008" s="24"/>
      <c r="U2008" s="24"/>
      <c r="V2008" s="24"/>
      <c r="W2008" s="24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  <c r="AH2008" s="13"/>
      <c r="AI2008" s="13"/>
      <c r="AJ2008" s="13"/>
      <c r="AK2008" s="13"/>
      <c r="AL2008" s="13"/>
      <c r="AM2008" s="13"/>
    </row>
    <row r="2009">
      <c r="A2009" s="37"/>
      <c r="B2009" s="25"/>
      <c r="C2009" s="60"/>
      <c r="D2009" s="27"/>
      <c r="E2009" s="28"/>
      <c r="F2009" s="29"/>
      <c r="G2009" s="30" t="str">
        <f t="shared" si="61"/>
        <v/>
      </c>
      <c r="H2009" s="31" t="str">
        <f t="shared" si="73"/>
        <v/>
      </c>
      <c r="I2009" s="32" t="str">
        <f t="shared" si="65"/>
        <v/>
      </c>
      <c r="J2009" s="33" t="str">
        <f t="shared" si="25"/>
        <v/>
      </c>
      <c r="K2009" s="33"/>
      <c r="L2009" s="33"/>
      <c r="M2009" s="33"/>
      <c r="N2009" s="34"/>
      <c r="O2009" s="35" t="str">
        <f>IFERROR(__xludf.DUMMYFUNCTION("IFERROR(
  VLOOKUP(C2009,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C2009
    ), 
    7, FALSE
  ), 
  """"
)
"),"")</f>
        <v/>
      </c>
      <c r="P2009" s="35"/>
      <c r="Q2009" s="36" t="str">
        <f t="shared" si="4"/>
        <v/>
      </c>
      <c r="R2009" s="33"/>
      <c r="S2009" s="31"/>
      <c r="T2009" s="37"/>
      <c r="U2009" s="37"/>
      <c r="V2009" s="37"/>
      <c r="W2009" s="37"/>
      <c r="X2009" s="25"/>
      <c r="Y2009" s="25"/>
      <c r="Z2009" s="25"/>
      <c r="AA2009" s="25"/>
      <c r="AB2009" s="25"/>
      <c r="AC2009" s="25"/>
      <c r="AD2009" s="25"/>
      <c r="AE2009" s="25"/>
      <c r="AF2009" s="25"/>
      <c r="AG2009" s="25"/>
      <c r="AH2009" s="25"/>
      <c r="AI2009" s="25"/>
      <c r="AJ2009" s="25"/>
      <c r="AK2009" s="25"/>
      <c r="AL2009" s="25"/>
      <c r="AM2009" s="25"/>
    </row>
    <row r="2010">
      <c r="A2010" s="24"/>
      <c r="B2010" s="13"/>
      <c r="C2010" s="62"/>
      <c r="D2010" s="14"/>
      <c r="E2010" s="15"/>
      <c r="F2010" s="16"/>
      <c r="G2010" s="17" t="str">
        <f t="shared" si="61"/>
        <v/>
      </c>
      <c r="H2010" s="18" t="str">
        <f t="shared" si="73"/>
        <v/>
      </c>
      <c r="I2010" s="19" t="str">
        <f t="shared" si="65"/>
        <v/>
      </c>
      <c r="J2010" s="20" t="str">
        <f t="shared" si="25"/>
        <v/>
      </c>
      <c r="K2010" s="20"/>
      <c r="L2010" s="20"/>
      <c r="M2010" s="20"/>
      <c r="N2010" s="21"/>
      <c r="O2010" s="22" t="str">
        <f>IFERROR(__xludf.DUMMYFUNCTION("IFERROR(
  VLOOKUP(C2010,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C2010
    ), 
    7, FALSE
  ), 
  """"
)
"),"")</f>
        <v/>
      </c>
      <c r="P2010" s="22"/>
      <c r="Q2010" s="23" t="str">
        <f t="shared" si="4"/>
        <v/>
      </c>
      <c r="R2010" s="20"/>
      <c r="S2010" s="18"/>
      <c r="T2010" s="24"/>
      <c r="U2010" s="24"/>
      <c r="V2010" s="24"/>
      <c r="W2010" s="24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  <c r="AL2010" s="13"/>
      <c r="AM2010" s="13"/>
    </row>
    <row r="2011">
      <c r="A2011" s="37"/>
      <c r="B2011" s="25"/>
      <c r="C2011" s="60"/>
      <c r="D2011" s="27"/>
      <c r="E2011" s="28"/>
      <c r="F2011" s="29"/>
      <c r="G2011" s="30" t="str">
        <f t="shared" si="61"/>
        <v/>
      </c>
      <c r="H2011" s="31" t="str">
        <f t="shared" si="73"/>
        <v/>
      </c>
      <c r="I2011" s="32" t="str">
        <f t="shared" si="65"/>
        <v/>
      </c>
      <c r="J2011" s="33" t="str">
        <f t="shared" si="25"/>
        <v/>
      </c>
      <c r="K2011" s="33"/>
      <c r="L2011" s="33"/>
      <c r="M2011" s="33"/>
      <c r="N2011" s="34"/>
      <c r="O2011" s="35" t="str">
        <f>IFERROR(__xludf.DUMMYFUNCTION("IFERROR(
  VLOOKUP(C2011,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C2011
    ), 
    7, FALSE
  ), 
  """"
)
"),"")</f>
        <v/>
      </c>
      <c r="P2011" s="35"/>
      <c r="Q2011" s="36" t="str">
        <f t="shared" si="4"/>
        <v/>
      </c>
      <c r="R2011" s="33"/>
      <c r="S2011" s="31"/>
      <c r="T2011" s="37"/>
      <c r="U2011" s="37"/>
      <c r="V2011" s="37"/>
      <c r="W2011" s="37"/>
      <c r="X2011" s="25"/>
      <c r="Y2011" s="25"/>
      <c r="Z2011" s="25"/>
      <c r="AA2011" s="25"/>
      <c r="AB2011" s="25"/>
      <c r="AC2011" s="25"/>
      <c r="AD2011" s="25"/>
      <c r="AE2011" s="25"/>
      <c r="AF2011" s="25"/>
      <c r="AG2011" s="25"/>
      <c r="AH2011" s="25"/>
      <c r="AI2011" s="25"/>
      <c r="AJ2011" s="25"/>
      <c r="AK2011" s="25"/>
      <c r="AL2011" s="25"/>
      <c r="AM2011" s="25"/>
    </row>
    <row r="2012">
      <c r="A2012" s="24"/>
      <c r="B2012" s="13"/>
      <c r="C2012" s="62"/>
      <c r="D2012" s="14"/>
      <c r="E2012" s="15"/>
      <c r="F2012" s="16"/>
      <c r="G2012" s="17" t="str">
        <f t="shared" si="61"/>
        <v/>
      </c>
      <c r="H2012" s="18" t="str">
        <f t="shared" si="73"/>
        <v/>
      </c>
      <c r="I2012" s="19" t="str">
        <f t="shared" si="65"/>
        <v/>
      </c>
      <c r="J2012" s="20" t="str">
        <f t="shared" si="25"/>
        <v/>
      </c>
      <c r="K2012" s="20"/>
      <c r="L2012" s="20"/>
      <c r="M2012" s="20"/>
      <c r="N2012" s="21"/>
      <c r="O2012" s="22" t="str">
        <f>IFERROR(__xludf.DUMMYFUNCTION("IFERROR(
  VLOOKUP(C2012,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C2012
    ), 
    7, FALSE
  ), 
  """"
)
"),"")</f>
        <v/>
      </c>
      <c r="P2012" s="22"/>
      <c r="Q2012" s="23" t="str">
        <f t="shared" si="4"/>
        <v/>
      </c>
      <c r="R2012" s="20"/>
      <c r="S2012" s="18"/>
      <c r="T2012" s="24"/>
      <c r="U2012" s="24"/>
      <c r="V2012" s="24"/>
      <c r="W2012" s="24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  <c r="AH2012" s="13"/>
      <c r="AI2012" s="13"/>
      <c r="AJ2012" s="13"/>
      <c r="AK2012" s="13"/>
      <c r="AL2012" s="13"/>
      <c r="AM2012" s="13"/>
    </row>
    <row r="2013">
      <c r="A2013" s="37"/>
      <c r="B2013" s="25"/>
      <c r="C2013" s="60"/>
      <c r="D2013" s="27"/>
      <c r="E2013" s="28"/>
      <c r="F2013" s="29"/>
      <c r="G2013" s="30" t="str">
        <f t="shared" si="61"/>
        <v/>
      </c>
      <c r="H2013" s="31" t="str">
        <f t="shared" si="73"/>
        <v/>
      </c>
      <c r="I2013" s="32" t="str">
        <f t="shared" si="65"/>
        <v/>
      </c>
      <c r="J2013" s="33" t="str">
        <f t="shared" si="25"/>
        <v/>
      </c>
      <c r="K2013" s="33"/>
      <c r="L2013" s="33"/>
      <c r="M2013" s="33"/>
      <c r="N2013" s="34"/>
      <c r="O2013" s="35" t="str">
        <f>IFERROR(__xludf.DUMMYFUNCTION("IFERROR(
  VLOOKUP(C2013,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C2013
    ), 
    7, FALSE
  ), 
  """"
)
"),"")</f>
        <v/>
      </c>
      <c r="P2013" s="35"/>
      <c r="Q2013" s="36" t="str">
        <f t="shared" si="4"/>
        <v/>
      </c>
      <c r="R2013" s="33"/>
      <c r="S2013" s="31"/>
      <c r="T2013" s="37"/>
      <c r="U2013" s="37"/>
      <c r="V2013" s="37"/>
      <c r="W2013" s="37"/>
      <c r="X2013" s="25"/>
      <c r="Y2013" s="25"/>
      <c r="Z2013" s="25"/>
      <c r="AA2013" s="25"/>
      <c r="AB2013" s="25"/>
      <c r="AC2013" s="25"/>
      <c r="AD2013" s="25"/>
      <c r="AE2013" s="25"/>
      <c r="AF2013" s="25"/>
      <c r="AG2013" s="25"/>
      <c r="AH2013" s="25"/>
      <c r="AI2013" s="25"/>
      <c r="AJ2013" s="25"/>
      <c r="AK2013" s="25"/>
      <c r="AL2013" s="25"/>
      <c r="AM2013" s="25"/>
    </row>
    <row r="2014">
      <c r="A2014" s="24"/>
      <c r="B2014" s="13"/>
      <c r="C2014" s="62"/>
      <c r="D2014" s="14"/>
      <c r="E2014" s="15"/>
      <c r="F2014" s="16"/>
      <c r="G2014" s="17" t="str">
        <f t="shared" si="61"/>
        <v/>
      </c>
      <c r="H2014" s="18" t="str">
        <f t="shared" si="73"/>
        <v/>
      </c>
      <c r="I2014" s="19" t="str">
        <f t="shared" si="65"/>
        <v/>
      </c>
      <c r="J2014" s="20" t="str">
        <f t="shared" si="25"/>
        <v/>
      </c>
      <c r="K2014" s="20"/>
      <c r="L2014" s="20"/>
      <c r="M2014" s="20"/>
      <c r="N2014" s="21"/>
      <c r="O2014" s="22" t="str">
        <f>IFERROR(__xludf.DUMMYFUNCTION("IFERROR(
  VLOOKUP(C2014,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C2014
    ), 
    7, FALSE
  ), 
  """"
)
"),"")</f>
        <v/>
      </c>
      <c r="P2014" s="22"/>
      <c r="Q2014" s="23" t="str">
        <f t="shared" si="4"/>
        <v/>
      </c>
      <c r="R2014" s="20"/>
      <c r="S2014" s="18"/>
      <c r="T2014" s="24"/>
      <c r="U2014" s="24"/>
      <c r="V2014" s="24"/>
      <c r="W2014" s="24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  <c r="AH2014" s="13"/>
      <c r="AI2014" s="13"/>
      <c r="AJ2014" s="13"/>
      <c r="AK2014" s="13"/>
      <c r="AL2014" s="13"/>
      <c r="AM2014" s="13"/>
    </row>
    <row r="2015">
      <c r="A2015" s="37"/>
      <c r="B2015" s="25"/>
      <c r="C2015" s="60"/>
      <c r="D2015" s="27"/>
      <c r="E2015" s="28"/>
      <c r="F2015" s="29"/>
      <c r="G2015" s="30" t="str">
        <f t="shared" si="61"/>
        <v/>
      </c>
      <c r="H2015" s="31" t="str">
        <f t="shared" si="73"/>
        <v/>
      </c>
      <c r="I2015" s="32" t="str">
        <f t="shared" si="65"/>
        <v/>
      </c>
      <c r="J2015" s="33" t="str">
        <f t="shared" si="25"/>
        <v/>
      </c>
      <c r="K2015" s="33"/>
      <c r="L2015" s="33"/>
      <c r="M2015" s="33"/>
      <c r="N2015" s="34"/>
      <c r="O2015" s="35" t="str">
        <f>IFERROR(__xludf.DUMMYFUNCTION("IFERROR(
  VLOOKUP(C2015,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C2015
    ), 
    7, FALSE
  ), 
  """"
)
"),"")</f>
        <v/>
      </c>
      <c r="P2015" s="35"/>
      <c r="Q2015" s="36" t="str">
        <f t="shared" si="4"/>
        <v/>
      </c>
      <c r="R2015" s="33"/>
      <c r="S2015" s="31"/>
      <c r="T2015" s="37"/>
      <c r="U2015" s="37"/>
      <c r="V2015" s="37"/>
      <c r="W2015" s="37"/>
      <c r="X2015" s="25"/>
      <c r="Y2015" s="25"/>
      <c r="Z2015" s="25"/>
      <c r="AA2015" s="25"/>
      <c r="AB2015" s="25"/>
      <c r="AC2015" s="25"/>
      <c r="AD2015" s="25"/>
      <c r="AE2015" s="25"/>
      <c r="AF2015" s="25"/>
      <c r="AG2015" s="25"/>
      <c r="AH2015" s="25"/>
      <c r="AI2015" s="25"/>
      <c r="AJ2015" s="25"/>
      <c r="AK2015" s="25"/>
      <c r="AL2015" s="25"/>
      <c r="AM2015" s="25"/>
    </row>
    <row r="2016">
      <c r="A2016" s="24"/>
      <c r="B2016" s="13"/>
      <c r="C2016" s="62"/>
      <c r="D2016" s="14"/>
      <c r="E2016" s="15"/>
      <c r="F2016" s="16"/>
      <c r="G2016" s="17" t="str">
        <f t="shared" si="61"/>
        <v/>
      </c>
      <c r="H2016" s="18" t="str">
        <f t="shared" si="73"/>
        <v/>
      </c>
      <c r="I2016" s="19" t="str">
        <f t="shared" si="65"/>
        <v/>
      </c>
      <c r="J2016" s="20" t="str">
        <f t="shared" si="25"/>
        <v/>
      </c>
      <c r="K2016" s="20"/>
      <c r="L2016" s="20"/>
      <c r="M2016" s="20"/>
      <c r="N2016" s="21"/>
      <c r="O2016" s="22" t="str">
        <f>IFERROR(__xludf.DUMMYFUNCTION("IFERROR(
  VLOOKUP(C2016,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C2016
    ), 
    7, FALSE
  ), 
  """"
)
"),"")</f>
        <v/>
      </c>
      <c r="P2016" s="22"/>
      <c r="Q2016" s="23" t="str">
        <f t="shared" si="4"/>
        <v/>
      </c>
      <c r="R2016" s="20"/>
      <c r="S2016" s="18"/>
      <c r="T2016" s="24"/>
      <c r="U2016" s="24"/>
      <c r="V2016" s="24"/>
      <c r="W2016" s="24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  <c r="AH2016" s="13"/>
      <c r="AI2016" s="13"/>
      <c r="AJ2016" s="13"/>
      <c r="AK2016" s="13"/>
      <c r="AL2016" s="13"/>
      <c r="AM2016" s="13"/>
    </row>
    <row r="2017">
      <c r="A2017" s="37"/>
      <c r="B2017" s="25"/>
      <c r="C2017" s="60"/>
      <c r="D2017" s="27"/>
      <c r="E2017" s="28"/>
      <c r="F2017" s="29"/>
      <c r="G2017" s="30" t="str">
        <f t="shared" si="61"/>
        <v/>
      </c>
      <c r="H2017" s="31" t="str">
        <f t="shared" si="73"/>
        <v/>
      </c>
      <c r="I2017" s="32" t="str">
        <f t="shared" si="65"/>
        <v/>
      </c>
      <c r="J2017" s="33" t="str">
        <f t="shared" si="25"/>
        <v/>
      </c>
      <c r="K2017" s="33"/>
      <c r="L2017" s="33"/>
      <c r="M2017" s="33"/>
      <c r="N2017" s="34"/>
      <c r="O2017" s="35" t="str">
        <f>IFERROR(__xludf.DUMMYFUNCTION("IFERROR(
  VLOOKUP(C2017,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C2017
    ), 
    7, FALSE
  ), 
  """"
)
"),"")</f>
        <v/>
      </c>
      <c r="P2017" s="35"/>
      <c r="Q2017" s="36" t="str">
        <f t="shared" si="4"/>
        <v/>
      </c>
      <c r="R2017" s="33"/>
      <c r="S2017" s="31"/>
      <c r="T2017" s="37"/>
      <c r="U2017" s="37"/>
      <c r="V2017" s="37"/>
      <c r="W2017" s="37"/>
      <c r="X2017" s="25"/>
      <c r="Y2017" s="25"/>
      <c r="Z2017" s="25"/>
      <c r="AA2017" s="25"/>
      <c r="AB2017" s="25"/>
      <c r="AC2017" s="25"/>
      <c r="AD2017" s="25"/>
      <c r="AE2017" s="25"/>
      <c r="AF2017" s="25"/>
      <c r="AG2017" s="25"/>
      <c r="AH2017" s="25"/>
      <c r="AI2017" s="25"/>
      <c r="AJ2017" s="25"/>
      <c r="AK2017" s="25"/>
      <c r="AL2017" s="25"/>
      <c r="AM2017" s="25"/>
    </row>
    <row r="2018">
      <c r="A2018" s="24"/>
      <c r="B2018" s="13"/>
      <c r="C2018" s="62"/>
      <c r="D2018" s="14"/>
      <c r="E2018" s="15"/>
      <c r="F2018" s="16"/>
      <c r="G2018" s="17" t="str">
        <f t="shared" si="61"/>
        <v/>
      </c>
      <c r="H2018" s="18" t="str">
        <f t="shared" si="73"/>
        <v/>
      </c>
      <c r="I2018" s="19" t="str">
        <f t="shared" si="65"/>
        <v/>
      </c>
      <c r="J2018" s="20" t="str">
        <f t="shared" si="25"/>
        <v/>
      </c>
      <c r="K2018" s="20"/>
      <c r="L2018" s="20"/>
      <c r="M2018" s="20"/>
      <c r="N2018" s="21"/>
      <c r="O2018" s="22" t="str">
        <f>IFERROR(__xludf.DUMMYFUNCTION("IFERROR(
  VLOOKUP(C2018,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C2018
    ), 
    7, FALSE
  ), 
  """"
)
"),"")</f>
        <v/>
      </c>
      <c r="P2018" s="22"/>
      <c r="Q2018" s="23" t="str">
        <f t="shared" si="4"/>
        <v/>
      </c>
      <c r="R2018" s="20"/>
      <c r="S2018" s="18"/>
      <c r="T2018" s="24"/>
      <c r="U2018" s="24"/>
      <c r="V2018" s="24"/>
      <c r="W2018" s="24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13"/>
      <c r="AK2018" s="13"/>
      <c r="AL2018" s="13"/>
      <c r="AM2018" s="13"/>
    </row>
    <row r="2019">
      <c r="A2019" s="37"/>
      <c r="B2019" s="25"/>
      <c r="C2019" s="60"/>
      <c r="D2019" s="27"/>
      <c r="E2019" s="28"/>
      <c r="F2019" s="29"/>
      <c r="G2019" s="30" t="str">
        <f t="shared" si="61"/>
        <v/>
      </c>
      <c r="H2019" s="31" t="str">
        <f t="shared" si="73"/>
        <v/>
      </c>
      <c r="I2019" s="32" t="str">
        <f t="shared" si="65"/>
        <v/>
      </c>
      <c r="J2019" s="33" t="str">
        <f t="shared" si="25"/>
        <v/>
      </c>
      <c r="K2019" s="33"/>
      <c r="L2019" s="33"/>
      <c r="M2019" s="33"/>
      <c r="N2019" s="34"/>
      <c r="O2019" s="35" t="str">
        <f>IFERROR(__xludf.DUMMYFUNCTION("IFERROR(
  VLOOKUP(C2019,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C2019
    ), 
    7, FALSE
  ), 
  """"
)
"),"")</f>
        <v/>
      </c>
      <c r="P2019" s="35"/>
      <c r="Q2019" s="36" t="str">
        <f t="shared" si="4"/>
        <v/>
      </c>
      <c r="R2019" s="33"/>
      <c r="S2019" s="31"/>
      <c r="T2019" s="37"/>
      <c r="U2019" s="37"/>
      <c r="V2019" s="37"/>
      <c r="W2019" s="37"/>
      <c r="X2019" s="25"/>
      <c r="Y2019" s="25"/>
      <c r="Z2019" s="25"/>
      <c r="AA2019" s="25"/>
      <c r="AB2019" s="25"/>
      <c r="AC2019" s="25"/>
      <c r="AD2019" s="25"/>
      <c r="AE2019" s="25"/>
      <c r="AF2019" s="25"/>
      <c r="AG2019" s="25"/>
      <c r="AH2019" s="25"/>
      <c r="AI2019" s="25"/>
      <c r="AJ2019" s="25"/>
      <c r="AK2019" s="25"/>
      <c r="AL2019" s="25"/>
      <c r="AM2019" s="25"/>
    </row>
    <row r="2020">
      <c r="A2020" s="24"/>
      <c r="B2020" s="13"/>
      <c r="C2020" s="62"/>
      <c r="D2020" s="14"/>
      <c r="E2020" s="15"/>
      <c r="F2020" s="16"/>
      <c r="G2020" s="17" t="str">
        <f t="shared" si="61"/>
        <v/>
      </c>
      <c r="H2020" s="18" t="str">
        <f t="shared" si="73"/>
        <v/>
      </c>
      <c r="I2020" s="19" t="str">
        <f t="shared" si="65"/>
        <v/>
      </c>
      <c r="J2020" s="20" t="str">
        <f t="shared" si="25"/>
        <v/>
      </c>
      <c r="K2020" s="20"/>
      <c r="L2020" s="20"/>
      <c r="M2020" s="20"/>
      <c r="N2020" s="21"/>
      <c r="O2020" s="22" t="str">
        <f>IFERROR(__xludf.DUMMYFUNCTION("IFERROR(
  VLOOKUP(C2020,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C2020
    ), 
    7, FALSE
  ), 
  """"
)
"),"")</f>
        <v/>
      </c>
      <c r="P2020" s="22"/>
      <c r="Q2020" s="23" t="str">
        <f t="shared" si="4"/>
        <v/>
      </c>
      <c r="R2020" s="20"/>
      <c r="S2020" s="18"/>
      <c r="T2020" s="24"/>
      <c r="U2020" s="24"/>
      <c r="V2020" s="24"/>
      <c r="W2020" s="24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  <c r="AH2020" s="13"/>
      <c r="AI2020" s="13"/>
      <c r="AJ2020" s="13"/>
      <c r="AK2020" s="13"/>
      <c r="AL2020" s="13"/>
      <c r="AM2020" s="13"/>
    </row>
    <row r="2021">
      <c r="A2021" s="37"/>
      <c r="B2021" s="25"/>
      <c r="C2021" s="60"/>
      <c r="D2021" s="27"/>
      <c r="E2021" s="28"/>
      <c r="F2021" s="29"/>
      <c r="G2021" s="30" t="str">
        <f t="shared" si="61"/>
        <v/>
      </c>
      <c r="H2021" s="31" t="str">
        <f t="shared" si="73"/>
        <v/>
      </c>
      <c r="I2021" s="32" t="str">
        <f t="shared" si="65"/>
        <v/>
      </c>
      <c r="J2021" s="33" t="str">
        <f t="shared" si="25"/>
        <v/>
      </c>
      <c r="K2021" s="33"/>
      <c r="L2021" s="33"/>
      <c r="M2021" s="33"/>
      <c r="N2021" s="34"/>
      <c r="O2021" s="35" t="str">
        <f>IFERROR(__xludf.DUMMYFUNCTION("IFERROR(
  VLOOKUP(C2021,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C2021
    ), 
    7, FALSE
  ), 
  """"
)
"),"")</f>
        <v/>
      </c>
      <c r="P2021" s="35"/>
      <c r="Q2021" s="36" t="str">
        <f t="shared" si="4"/>
        <v/>
      </c>
      <c r="R2021" s="33"/>
      <c r="S2021" s="31"/>
      <c r="T2021" s="37"/>
      <c r="U2021" s="37"/>
      <c r="V2021" s="37"/>
      <c r="W2021" s="37"/>
      <c r="X2021" s="25"/>
      <c r="Y2021" s="25"/>
      <c r="Z2021" s="25"/>
      <c r="AA2021" s="25"/>
      <c r="AB2021" s="25"/>
      <c r="AC2021" s="25"/>
      <c r="AD2021" s="25"/>
      <c r="AE2021" s="25"/>
      <c r="AF2021" s="25"/>
      <c r="AG2021" s="25"/>
      <c r="AH2021" s="25"/>
      <c r="AI2021" s="25"/>
      <c r="AJ2021" s="25"/>
      <c r="AK2021" s="25"/>
      <c r="AL2021" s="25"/>
      <c r="AM2021" s="25"/>
    </row>
    <row r="2022">
      <c r="A2022" s="24"/>
      <c r="B2022" s="13"/>
      <c r="C2022" s="62"/>
      <c r="D2022" s="14"/>
      <c r="E2022" s="15"/>
      <c r="F2022" s="16"/>
      <c r="G2022" s="17" t="str">
        <f t="shared" si="61"/>
        <v/>
      </c>
      <c r="H2022" s="18" t="str">
        <f t="shared" si="73"/>
        <v/>
      </c>
      <c r="I2022" s="19" t="str">
        <f t="shared" si="65"/>
        <v/>
      </c>
      <c r="J2022" s="20" t="str">
        <f t="shared" si="25"/>
        <v/>
      </c>
      <c r="K2022" s="20"/>
      <c r="L2022" s="20"/>
      <c r="M2022" s="20"/>
      <c r="N2022" s="21"/>
      <c r="O2022" s="22" t="str">
        <f>IFERROR(__xludf.DUMMYFUNCTION("IFERROR(
  VLOOKUP(C2022,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C2022
    ), 
    7, FALSE
  ), 
  """"
)
"),"")</f>
        <v/>
      </c>
      <c r="P2022" s="22"/>
      <c r="Q2022" s="23" t="str">
        <f t="shared" si="4"/>
        <v/>
      </c>
      <c r="R2022" s="20"/>
      <c r="S2022" s="18"/>
      <c r="T2022" s="24"/>
      <c r="U2022" s="24"/>
      <c r="V2022" s="24"/>
      <c r="W2022" s="24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  <c r="AH2022" s="13"/>
      <c r="AI2022" s="13"/>
      <c r="AJ2022" s="13"/>
      <c r="AK2022" s="13"/>
      <c r="AL2022" s="13"/>
      <c r="AM2022" s="13"/>
    </row>
    <row r="2023">
      <c r="A2023" s="37"/>
      <c r="B2023" s="25"/>
      <c r="C2023" s="60"/>
      <c r="D2023" s="27"/>
      <c r="E2023" s="28"/>
      <c r="F2023" s="29"/>
      <c r="G2023" s="30" t="str">
        <f t="shared" si="61"/>
        <v/>
      </c>
      <c r="H2023" s="31" t="str">
        <f t="shared" si="73"/>
        <v/>
      </c>
      <c r="I2023" s="32" t="str">
        <f t="shared" si="65"/>
        <v/>
      </c>
      <c r="J2023" s="33" t="str">
        <f t="shared" si="25"/>
        <v/>
      </c>
      <c r="K2023" s="33"/>
      <c r="L2023" s="33"/>
      <c r="M2023" s="33"/>
      <c r="N2023" s="34"/>
      <c r="O2023" s="35" t="str">
        <f>IFERROR(__xludf.DUMMYFUNCTION("IFERROR(
  VLOOKUP(C2023,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C2023
    ), 
    7, FALSE
  ), 
  """"
)
"),"")</f>
        <v/>
      </c>
      <c r="P2023" s="35"/>
      <c r="Q2023" s="36" t="str">
        <f t="shared" si="4"/>
        <v/>
      </c>
      <c r="R2023" s="33"/>
      <c r="S2023" s="31"/>
      <c r="T2023" s="37"/>
      <c r="U2023" s="37"/>
      <c r="V2023" s="37"/>
      <c r="W2023" s="37"/>
      <c r="X2023" s="25"/>
      <c r="Y2023" s="25"/>
      <c r="Z2023" s="25"/>
      <c r="AA2023" s="25"/>
      <c r="AB2023" s="25"/>
      <c r="AC2023" s="25"/>
      <c r="AD2023" s="25"/>
      <c r="AE2023" s="25"/>
      <c r="AF2023" s="25"/>
      <c r="AG2023" s="25"/>
      <c r="AH2023" s="25"/>
      <c r="AI2023" s="25"/>
      <c r="AJ2023" s="25"/>
      <c r="AK2023" s="25"/>
      <c r="AL2023" s="25"/>
      <c r="AM2023" s="25"/>
    </row>
    <row r="2024">
      <c r="A2024" s="24"/>
      <c r="B2024" s="13"/>
      <c r="C2024" s="62"/>
      <c r="D2024" s="14"/>
      <c r="E2024" s="15"/>
      <c r="F2024" s="16"/>
      <c r="G2024" s="17" t="str">
        <f t="shared" si="61"/>
        <v/>
      </c>
      <c r="H2024" s="18" t="str">
        <f t="shared" si="73"/>
        <v/>
      </c>
      <c r="I2024" s="19" t="str">
        <f t="shared" si="65"/>
        <v/>
      </c>
      <c r="J2024" s="20" t="str">
        <f t="shared" si="25"/>
        <v/>
      </c>
      <c r="K2024" s="20"/>
      <c r="L2024" s="20"/>
      <c r="M2024" s="20"/>
      <c r="N2024" s="21"/>
      <c r="O2024" s="22" t="str">
        <f>IFERROR(__xludf.DUMMYFUNCTION("IFERROR(
  VLOOKUP(C2024,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C2024
    ), 
    7, FALSE
  ), 
  """"
)
"),"")</f>
        <v/>
      </c>
      <c r="P2024" s="22"/>
      <c r="Q2024" s="23" t="str">
        <f t="shared" si="4"/>
        <v/>
      </c>
      <c r="R2024" s="20"/>
      <c r="S2024" s="18"/>
      <c r="T2024" s="24"/>
      <c r="U2024" s="24"/>
      <c r="V2024" s="24"/>
      <c r="W2024" s="24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  <c r="AH2024" s="13"/>
      <c r="AI2024" s="13"/>
      <c r="AJ2024" s="13"/>
      <c r="AK2024" s="13"/>
      <c r="AL2024" s="13"/>
      <c r="AM2024" s="13"/>
    </row>
    <row r="2025">
      <c r="A2025" s="37"/>
      <c r="B2025" s="25"/>
      <c r="C2025" s="60"/>
      <c r="D2025" s="27"/>
      <c r="E2025" s="28"/>
      <c r="F2025" s="29"/>
      <c r="G2025" s="30" t="str">
        <f t="shared" si="61"/>
        <v/>
      </c>
      <c r="H2025" s="31" t="str">
        <f t="shared" si="73"/>
        <v/>
      </c>
      <c r="I2025" s="32" t="str">
        <f t="shared" si="65"/>
        <v/>
      </c>
      <c r="J2025" s="33" t="str">
        <f t="shared" si="25"/>
        <v/>
      </c>
      <c r="K2025" s="33"/>
      <c r="L2025" s="33"/>
      <c r="M2025" s="33"/>
      <c r="N2025" s="34"/>
      <c r="O2025" s="35" t="str">
        <f>IFERROR(__xludf.DUMMYFUNCTION("IFERROR(
  VLOOKUP(C2025,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C2025
    ), 
    7, FALSE
  ), 
  """"
)
"),"")</f>
        <v/>
      </c>
      <c r="P2025" s="35"/>
      <c r="Q2025" s="36" t="str">
        <f t="shared" si="4"/>
        <v/>
      </c>
      <c r="R2025" s="33"/>
      <c r="S2025" s="31"/>
      <c r="T2025" s="37"/>
      <c r="U2025" s="37"/>
      <c r="V2025" s="37"/>
      <c r="W2025" s="37"/>
      <c r="X2025" s="25"/>
      <c r="Y2025" s="25"/>
      <c r="Z2025" s="25"/>
      <c r="AA2025" s="25"/>
      <c r="AB2025" s="25"/>
      <c r="AC2025" s="25"/>
      <c r="AD2025" s="25"/>
      <c r="AE2025" s="25"/>
      <c r="AF2025" s="25"/>
      <c r="AG2025" s="25"/>
      <c r="AH2025" s="25"/>
      <c r="AI2025" s="25"/>
      <c r="AJ2025" s="25"/>
      <c r="AK2025" s="25"/>
      <c r="AL2025" s="25"/>
      <c r="AM2025" s="25"/>
    </row>
    <row r="2026">
      <c r="A2026" s="24"/>
      <c r="B2026" s="13"/>
      <c r="C2026" s="62"/>
      <c r="D2026" s="14"/>
      <c r="E2026" s="15"/>
      <c r="F2026" s="16"/>
      <c r="G2026" s="17" t="str">
        <f t="shared" si="61"/>
        <v/>
      </c>
      <c r="H2026" s="18" t="str">
        <f t="shared" si="73"/>
        <v/>
      </c>
      <c r="I2026" s="19" t="str">
        <f t="shared" si="65"/>
        <v/>
      </c>
      <c r="J2026" s="20" t="str">
        <f t="shared" si="25"/>
        <v/>
      </c>
      <c r="K2026" s="20"/>
      <c r="L2026" s="20"/>
      <c r="M2026" s="20"/>
      <c r="N2026" s="21"/>
      <c r="O2026" s="22" t="str">
        <f>IFERROR(__xludf.DUMMYFUNCTION("IFERROR(
  VLOOKUP(C2026,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C2026
    ), 
    7, FALSE
  ), 
  """"
)
"),"")</f>
        <v/>
      </c>
      <c r="P2026" s="22"/>
      <c r="Q2026" s="23" t="str">
        <f t="shared" si="4"/>
        <v/>
      </c>
      <c r="R2026" s="20"/>
      <c r="S2026" s="18"/>
      <c r="T2026" s="24"/>
      <c r="U2026" s="24"/>
      <c r="V2026" s="24"/>
      <c r="W2026" s="24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  <c r="AH2026" s="13"/>
      <c r="AI2026" s="13"/>
      <c r="AJ2026" s="13"/>
      <c r="AK2026" s="13"/>
      <c r="AL2026" s="13"/>
      <c r="AM2026" s="13"/>
    </row>
    <row r="2027">
      <c r="A2027" s="37"/>
      <c r="B2027" s="25"/>
      <c r="C2027" s="60"/>
      <c r="D2027" s="27"/>
      <c r="E2027" s="28"/>
      <c r="F2027" s="29"/>
      <c r="G2027" s="30" t="str">
        <f t="shared" si="61"/>
        <v/>
      </c>
      <c r="H2027" s="31" t="str">
        <f t="shared" si="73"/>
        <v/>
      </c>
      <c r="I2027" s="32" t="str">
        <f t="shared" si="65"/>
        <v/>
      </c>
      <c r="J2027" s="33" t="str">
        <f t="shared" si="25"/>
        <v/>
      </c>
      <c r="K2027" s="33"/>
      <c r="L2027" s="33"/>
      <c r="M2027" s="33"/>
      <c r="N2027" s="34"/>
      <c r="O2027" s="35" t="str">
        <f>IFERROR(__xludf.DUMMYFUNCTION("IFERROR(
  VLOOKUP(C2027,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C2027
    ), 
    7, FALSE
  ), 
  """"
)
"),"")</f>
        <v/>
      </c>
      <c r="P2027" s="35"/>
      <c r="Q2027" s="36" t="str">
        <f t="shared" si="4"/>
        <v/>
      </c>
      <c r="R2027" s="33"/>
      <c r="S2027" s="31"/>
      <c r="T2027" s="37"/>
      <c r="U2027" s="37"/>
      <c r="V2027" s="37"/>
      <c r="W2027" s="37"/>
      <c r="X2027" s="25"/>
      <c r="Y2027" s="25"/>
      <c r="Z2027" s="25"/>
      <c r="AA2027" s="25"/>
      <c r="AB2027" s="25"/>
      <c r="AC2027" s="25"/>
      <c r="AD2027" s="25"/>
      <c r="AE2027" s="25"/>
      <c r="AF2027" s="25"/>
      <c r="AG2027" s="25"/>
      <c r="AH2027" s="25"/>
      <c r="AI2027" s="25"/>
      <c r="AJ2027" s="25"/>
      <c r="AK2027" s="25"/>
      <c r="AL2027" s="25"/>
      <c r="AM2027" s="25"/>
    </row>
    <row r="2028">
      <c r="A2028" s="24"/>
      <c r="B2028" s="13"/>
      <c r="C2028" s="62"/>
      <c r="D2028" s="14"/>
      <c r="E2028" s="15"/>
      <c r="F2028" s="16"/>
      <c r="G2028" s="17" t="str">
        <f t="shared" si="61"/>
        <v/>
      </c>
      <c r="H2028" s="18" t="str">
        <f t="shared" si="73"/>
        <v/>
      </c>
      <c r="I2028" s="19" t="str">
        <f t="shared" si="65"/>
        <v/>
      </c>
      <c r="J2028" s="20" t="str">
        <f t="shared" si="25"/>
        <v/>
      </c>
      <c r="K2028" s="20"/>
      <c r="L2028" s="20"/>
      <c r="M2028" s="20"/>
      <c r="N2028" s="21"/>
      <c r="O2028" s="22" t="str">
        <f>IFERROR(__xludf.DUMMYFUNCTION("IFERROR(
  VLOOKUP(C2028,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C2028
    ), 
    7, FALSE
  ), 
  """"
)
"),"")</f>
        <v/>
      </c>
      <c r="P2028" s="22"/>
      <c r="Q2028" s="23" t="str">
        <f t="shared" si="4"/>
        <v/>
      </c>
      <c r="R2028" s="20"/>
      <c r="S2028" s="18"/>
      <c r="T2028" s="24"/>
      <c r="U2028" s="24"/>
      <c r="V2028" s="24"/>
      <c r="W2028" s="24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  <c r="AH2028" s="13"/>
      <c r="AI2028" s="13"/>
      <c r="AJ2028" s="13"/>
      <c r="AK2028" s="13"/>
      <c r="AL2028" s="13"/>
      <c r="AM2028" s="13"/>
    </row>
    <row r="2029">
      <c r="A2029" s="37"/>
      <c r="B2029" s="25"/>
      <c r="C2029" s="60"/>
      <c r="D2029" s="27"/>
      <c r="E2029" s="28"/>
      <c r="F2029" s="29"/>
      <c r="G2029" s="30" t="str">
        <f t="shared" si="61"/>
        <v/>
      </c>
      <c r="H2029" s="31" t="str">
        <f t="shared" si="73"/>
        <v/>
      </c>
      <c r="I2029" s="32" t="str">
        <f t="shared" si="65"/>
        <v/>
      </c>
      <c r="J2029" s="33" t="str">
        <f t="shared" si="25"/>
        <v/>
      </c>
      <c r="K2029" s="33"/>
      <c r="L2029" s="33"/>
      <c r="M2029" s="33"/>
      <c r="N2029" s="34"/>
      <c r="O2029" s="35" t="str">
        <f>IFERROR(__xludf.DUMMYFUNCTION("IFERROR(
  VLOOKUP(C2029,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C2029
    ), 
    7, FALSE
  ), 
  """"
)
"),"")</f>
        <v/>
      </c>
      <c r="P2029" s="35"/>
      <c r="Q2029" s="36" t="str">
        <f t="shared" si="4"/>
        <v/>
      </c>
      <c r="R2029" s="33"/>
      <c r="S2029" s="31"/>
      <c r="T2029" s="37"/>
      <c r="U2029" s="37"/>
      <c r="V2029" s="37"/>
      <c r="W2029" s="37"/>
      <c r="X2029" s="25"/>
      <c r="Y2029" s="25"/>
      <c r="Z2029" s="25"/>
      <c r="AA2029" s="25"/>
      <c r="AB2029" s="25"/>
      <c r="AC2029" s="25"/>
      <c r="AD2029" s="25"/>
      <c r="AE2029" s="25"/>
      <c r="AF2029" s="25"/>
      <c r="AG2029" s="25"/>
      <c r="AH2029" s="25"/>
      <c r="AI2029" s="25"/>
      <c r="AJ2029" s="25"/>
      <c r="AK2029" s="25"/>
      <c r="AL2029" s="25"/>
      <c r="AM2029" s="25"/>
    </row>
    <row r="2030">
      <c r="A2030" s="24"/>
      <c r="B2030" s="13"/>
      <c r="C2030" s="62"/>
      <c r="D2030" s="14"/>
      <c r="E2030" s="15"/>
      <c r="F2030" s="16"/>
      <c r="G2030" s="17" t="str">
        <f t="shared" si="61"/>
        <v/>
      </c>
      <c r="H2030" s="18" t="str">
        <f t="shared" si="73"/>
        <v/>
      </c>
      <c r="I2030" s="19" t="str">
        <f t="shared" si="65"/>
        <v/>
      </c>
      <c r="J2030" s="20" t="str">
        <f t="shared" si="25"/>
        <v/>
      </c>
      <c r="K2030" s="20"/>
      <c r="L2030" s="20"/>
      <c r="M2030" s="20"/>
      <c r="N2030" s="21"/>
      <c r="O2030" s="22" t="str">
        <f>IFERROR(__xludf.DUMMYFUNCTION("IFERROR(
  VLOOKUP(C2030,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C2030
    ), 
    7, FALSE
  ), 
  """"
)
"),"")</f>
        <v/>
      </c>
      <c r="P2030" s="22"/>
      <c r="Q2030" s="23" t="str">
        <f t="shared" si="4"/>
        <v/>
      </c>
      <c r="R2030" s="20"/>
      <c r="S2030" s="18"/>
      <c r="T2030" s="24"/>
      <c r="U2030" s="24"/>
      <c r="V2030" s="24"/>
      <c r="W2030" s="24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  <c r="AH2030" s="13"/>
      <c r="AI2030" s="13"/>
      <c r="AJ2030" s="13"/>
      <c r="AK2030" s="13"/>
      <c r="AL2030" s="13"/>
      <c r="AM2030" s="13"/>
    </row>
    <row r="2031">
      <c r="A2031" s="37"/>
      <c r="B2031" s="25"/>
      <c r="C2031" s="60"/>
      <c r="D2031" s="27"/>
      <c r="E2031" s="28"/>
      <c r="F2031" s="29"/>
      <c r="G2031" s="30" t="str">
        <f t="shared" si="61"/>
        <v/>
      </c>
      <c r="H2031" s="31" t="str">
        <f t="shared" si="73"/>
        <v/>
      </c>
      <c r="I2031" s="32" t="str">
        <f t="shared" si="65"/>
        <v/>
      </c>
      <c r="J2031" s="33" t="str">
        <f t="shared" si="25"/>
        <v/>
      </c>
      <c r="K2031" s="33"/>
      <c r="L2031" s="33"/>
      <c r="M2031" s="33"/>
      <c r="N2031" s="34"/>
      <c r="O2031" s="35" t="str">
        <f>IFERROR(__xludf.DUMMYFUNCTION("IFERROR(
  VLOOKUP(C2031,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C2031
    ), 
    7, FALSE
  ), 
  """"
)
"),"")</f>
        <v/>
      </c>
      <c r="P2031" s="35"/>
      <c r="Q2031" s="36" t="str">
        <f t="shared" si="4"/>
        <v/>
      </c>
      <c r="R2031" s="33"/>
      <c r="S2031" s="31"/>
      <c r="T2031" s="37"/>
      <c r="U2031" s="37"/>
      <c r="V2031" s="37"/>
      <c r="W2031" s="37"/>
      <c r="X2031" s="25"/>
      <c r="Y2031" s="25"/>
      <c r="Z2031" s="25"/>
      <c r="AA2031" s="25"/>
      <c r="AB2031" s="25"/>
      <c r="AC2031" s="25"/>
      <c r="AD2031" s="25"/>
      <c r="AE2031" s="25"/>
      <c r="AF2031" s="25"/>
      <c r="AG2031" s="25"/>
      <c r="AH2031" s="25"/>
      <c r="AI2031" s="25"/>
      <c r="AJ2031" s="25"/>
      <c r="AK2031" s="25"/>
      <c r="AL2031" s="25"/>
      <c r="AM2031" s="25"/>
    </row>
    <row r="2032">
      <c r="A2032" s="24"/>
      <c r="B2032" s="13"/>
      <c r="C2032" s="62"/>
      <c r="D2032" s="14"/>
      <c r="E2032" s="15"/>
      <c r="F2032" s="16"/>
      <c r="G2032" s="17" t="str">
        <f t="shared" si="61"/>
        <v/>
      </c>
      <c r="H2032" s="18" t="str">
        <f t="shared" si="73"/>
        <v/>
      </c>
      <c r="I2032" s="19" t="str">
        <f t="shared" si="65"/>
        <v/>
      </c>
      <c r="J2032" s="20" t="str">
        <f t="shared" si="25"/>
        <v/>
      </c>
      <c r="K2032" s="20"/>
      <c r="L2032" s="20"/>
      <c r="M2032" s="20"/>
      <c r="N2032" s="21"/>
      <c r="O2032" s="22" t="str">
        <f>IFERROR(__xludf.DUMMYFUNCTION("IFERROR(
  VLOOKUP(C2032,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C2032
    ), 
    7, FALSE
  ), 
  """"
)
"),"")</f>
        <v/>
      </c>
      <c r="P2032" s="22"/>
      <c r="Q2032" s="23" t="str">
        <f t="shared" si="4"/>
        <v/>
      </c>
      <c r="R2032" s="20"/>
      <c r="S2032" s="18"/>
      <c r="T2032" s="24"/>
      <c r="U2032" s="24"/>
      <c r="V2032" s="24"/>
      <c r="W2032" s="24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/>
      <c r="AL2032" s="13"/>
      <c r="AM2032" s="13"/>
    </row>
    <row r="2033">
      <c r="A2033" s="37"/>
      <c r="B2033" s="25"/>
      <c r="C2033" s="60"/>
      <c r="D2033" s="27"/>
      <c r="E2033" s="28"/>
      <c r="F2033" s="29"/>
      <c r="G2033" s="30" t="str">
        <f t="shared" si="61"/>
        <v/>
      </c>
      <c r="H2033" s="31" t="str">
        <f t="shared" si="73"/>
        <v/>
      </c>
      <c r="I2033" s="32" t="str">
        <f t="shared" si="65"/>
        <v/>
      </c>
      <c r="J2033" s="33" t="str">
        <f t="shared" si="25"/>
        <v/>
      </c>
      <c r="K2033" s="33"/>
      <c r="L2033" s="33"/>
      <c r="M2033" s="33"/>
      <c r="N2033" s="34"/>
      <c r="O2033" s="35" t="str">
        <f>IFERROR(__xludf.DUMMYFUNCTION("IFERROR(
  VLOOKUP(C2033,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C2033
    ), 
    7, FALSE
  ), 
  """"
)
"),"")</f>
        <v/>
      </c>
      <c r="P2033" s="35"/>
      <c r="Q2033" s="36" t="str">
        <f t="shared" si="4"/>
        <v/>
      </c>
      <c r="R2033" s="33"/>
      <c r="S2033" s="31"/>
      <c r="T2033" s="37"/>
      <c r="U2033" s="37"/>
      <c r="V2033" s="37"/>
      <c r="W2033" s="37"/>
      <c r="X2033" s="25"/>
      <c r="Y2033" s="25"/>
      <c r="Z2033" s="25"/>
      <c r="AA2033" s="25"/>
      <c r="AB2033" s="25"/>
      <c r="AC2033" s="25"/>
      <c r="AD2033" s="25"/>
      <c r="AE2033" s="25"/>
      <c r="AF2033" s="25"/>
      <c r="AG2033" s="25"/>
      <c r="AH2033" s="25"/>
      <c r="AI2033" s="25"/>
      <c r="AJ2033" s="25"/>
      <c r="AK2033" s="25"/>
      <c r="AL2033" s="25"/>
      <c r="AM2033" s="25"/>
    </row>
    <row r="2034">
      <c r="A2034" s="24"/>
      <c r="B2034" s="13"/>
      <c r="C2034" s="62"/>
      <c r="D2034" s="14"/>
      <c r="E2034" s="15"/>
      <c r="F2034" s="16"/>
      <c r="G2034" s="17" t="str">
        <f t="shared" si="61"/>
        <v/>
      </c>
      <c r="H2034" s="18" t="str">
        <f t="shared" si="73"/>
        <v/>
      </c>
      <c r="I2034" s="19" t="str">
        <f t="shared" si="65"/>
        <v/>
      </c>
      <c r="J2034" s="20" t="str">
        <f t="shared" si="25"/>
        <v/>
      </c>
      <c r="K2034" s="20"/>
      <c r="L2034" s="20"/>
      <c r="M2034" s="20"/>
      <c r="N2034" s="21"/>
      <c r="O2034" s="22" t="str">
        <f>IFERROR(__xludf.DUMMYFUNCTION("IFERROR(
  VLOOKUP(C2034,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C2034
    ), 
    7, FALSE
  ), 
  """"
)
"),"")</f>
        <v/>
      </c>
      <c r="P2034" s="22"/>
      <c r="Q2034" s="23" t="str">
        <f t="shared" si="4"/>
        <v/>
      </c>
      <c r="R2034" s="20"/>
      <c r="S2034" s="18"/>
      <c r="T2034" s="24"/>
      <c r="U2034" s="24"/>
      <c r="V2034" s="24"/>
      <c r="W2034" s="24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  <c r="AH2034" s="13"/>
      <c r="AI2034" s="13"/>
      <c r="AJ2034" s="13"/>
      <c r="AK2034" s="13"/>
      <c r="AL2034" s="13"/>
      <c r="AM2034" s="13"/>
    </row>
    <row r="2035">
      <c r="A2035" s="37"/>
      <c r="B2035" s="25"/>
      <c r="C2035" s="60"/>
      <c r="D2035" s="27"/>
      <c r="E2035" s="28"/>
      <c r="F2035" s="29"/>
      <c r="G2035" s="30" t="str">
        <f t="shared" si="61"/>
        <v/>
      </c>
      <c r="H2035" s="31" t="str">
        <f t="shared" si="73"/>
        <v/>
      </c>
      <c r="I2035" s="32" t="str">
        <f t="shared" si="65"/>
        <v/>
      </c>
      <c r="J2035" s="33" t="str">
        <f t="shared" si="25"/>
        <v/>
      </c>
      <c r="K2035" s="33"/>
      <c r="L2035" s="33"/>
      <c r="M2035" s="33"/>
      <c r="N2035" s="34"/>
      <c r="O2035" s="35" t="str">
        <f>IFERROR(__xludf.DUMMYFUNCTION("IFERROR(
  VLOOKUP(C2035,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C2035
    ), 
    7, FALSE
  ), 
  """"
)
"),"")</f>
        <v/>
      </c>
      <c r="P2035" s="35"/>
      <c r="Q2035" s="36" t="str">
        <f t="shared" si="4"/>
        <v/>
      </c>
      <c r="R2035" s="33"/>
      <c r="S2035" s="31"/>
      <c r="T2035" s="37"/>
      <c r="U2035" s="37"/>
      <c r="V2035" s="37"/>
      <c r="W2035" s="37"/>
      <c r="X2035" s="25"/>
      <c r="Y2035" s="25"/>
      <c r="Z2035" s="25"/>
      <c r="AA2035" s="25"/>
      <c r="AB2035" s="25"/>
      <c r="AC2035" s="25"/>
      <c r="AD2035" s="25"/>
      <c r="AE2035" s="25"/>
      <c r="AF2035" s="25"/>
      <c r="AG2035" s="25"/>
      <c r="AH2035" s="25"/>
      <c r="AI2035" s="25"/>
      <c r="AJ2035" s="25"/>
      <c r="AK2035" s="25"/>
      <c r="AL2035" s="25"/>
      <c r="AM2035" s="25"/>
    </row>
    <row r="2036">
      <c r="A2036" s="24"/>
      <c r="B2036" s="13"/>
      <c r="C2036" s="62"/>
      <c r="D2036" s="14"/>
      <c r="E2036" s="15"/>
      <c r="F2036" s="16"/>
      <c r="G2036" s="17" t="str">
        <f t="shared" si="61"/>
        <v/>
      </c>
      <c r="H2036" s="18" t="str">
        <f t="shared" si="73"/>
        <v/>
      </c>
      <c r="I2036" s="19" t="str">
        <f t="shared" si="65"/>
        <v/>
      </c>
      <c r="J2036" s="20" t="str">
        <f t="shared" si="25"/>
        <v/>
      </c>
      <c r="K2036" s="20"/>
      <c r="L2036" s="20"/>
      <c r="M2036" s="20"/>
      <c r="N2036" s="21"/>
      <c r="O2036" s="22" t="str">
        <f>IFERROR(__xludf.DUMMYFUNCTION("IFERROR(
  VLOOKUP(C2036,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C2036
    ), 
    7, FALSE
  ), 
  """"
)
"),"")</f>
        <v/>
      </c>
      <c r="P2036" s="22"/>
      <c r="Q2036" s="23" t="str">
        <f t="shared" si="4"/>
        <v/>
      </c>
      <c r="R2036" s="20"/>
      <c r="S2036" s="18"/>
      <c r="T2036" s="24"/>
      <c r="U2036" s="24"/>
      <c r="V2036" s="24"/>
      <c r="W2036" s="24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  <c r="AH2036" s="13"/>
      <c r="AI2036" s="13"/>
      <c r="AJ2036" s="13"/>
      <c r="AK2036" s="13"/>
      <c r="AL2036" s="13"/>
      <c r="AM2036" s="13"/>
    </row>
    <row r="2037">
      <c r="A2037" s="37"/>
      <c r="B2037" s="25"/>
      <c r="C2037" s="60"/>
      <c r="D2037" s="27"/>
      <c r="E2037" s="28"/>
      <c r="F2037" s="29"/>
      <c r="G2037" s="30" t="str">
        <f t="shared" si="61"/>
        <v/>
      </c>
      <c r="H2037" s="31" t="str">
        <f t="shared" si="73"/>
        <v/>
      </c>
      <c r="I2037" s="32" t="str">
        <f t="shared" si="65"/>
        <v/>
      </c>
      <c r="J2037" s="33" t="str">
        <f t="shared" si="25"/>
        <v/>
      </c>
      <c r="K2037" s="33"/>
      <c r="L2037" s="33"/>
      <c r="M2037" s="33"/>
      <c r="N2037" s="34"/>
      <c r="O2037" s="35" t="str">
        <f>IFERROR(__xludf.DUMMYFUNCTION("IFERROR(
  VLOOKUP(C2037,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C2037
    ), 
    7, FALSE
  ), 
  """"
)
"),"")</f>
        <v/>
      </c>
      <c r="P2037" s="35"/>
      <c r="Q2037" s="36" t="str">
        <f t="shared" si="4"/>
        <v/>
      </c>
      <c r="R2037" s="33"/>
      <c r="S2037" s="31"/>
      <c r="T2037" s="37"/>
      <c r="U2037" s="37"/>
      <c r="V2037" s="37"/>
      <c r="W2037" s="37"/>
      <c r="X2037" s="25"/>
      <c r="Y2037" s="25"/>
      <c r="Z2037" s="25"/>
      <c r="AA2037" s="25"/>
      <c r="AB2037" s="25"/>
      <c r="AC2037" s="25"/>
      <c r="AD2037" s="25"/>
      <c r="AE2037" s="25"/>
      <c r="AF2037" s="25"/>
      <c r="AG2037" s="25"/>
      <c r="AH2037" s="25"/>
      <c r="AI2037" s="25"/>
      <c r="AJ2037" s="25"/>
      <c r="AK2037" s="25"/>
      <c r="AL2037" s="25"/>
      <c r="AM2037" s="25"/>
    </row>
    <row r="2038">
      <c r="A2038" s="24"/>
      <c r="B2038" s="13"/>
      <c r="C2038" s="62"/>
      <c r="D2038" s="14"/>
      <c r="E2038" s="15"/>
      <c r="F2038" s="16"/>
      <c r="G2038" s="17" t="str">
        <f t="shared" si="61"/>
        <v/>
      </c>
      <c r="H2038" s="18" t="str">
        <f t="shared" si="73"/>
        <v/>
      </c>
      <c r="I2038" s="19" t="str">
        <f t="shared" si="65"/>
        <v/>
      </c>
      <c r="J2038" s="20" t="str">
        <f t="shared" si="25"/>
        <v/>
      </c>
      <c r="K2038" s="20"/>
      <c r="L2038" s="20"/>
      <c r="M2038" s="20"/>
      <c r="N2038" s="21"/>
      <c r="O2038" s="22" t="str">
        <f>IFERROR(__xludf.DUMMYFUNCTION("IFERROR(
  VLOOKUP(C2038,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C2038
    ), 
    7, FALSE
  ), 
  """"
)
"),"")</f>
        <v/>
      </c>
      <c r="P2038" s="22"/>
      <c r="Q2038" s="23" t="str">
        <f t="shared" si="4"/>
        <v/>
      </c>
      <c r="R2038" s="20"/>
      <c r="S2038" s="18"/>
      <c r="T2038" s="24"/>
      <c r="U2038" s="24"/>
      <c r="V2038" s="24"/>
      <c r="W2038" s="24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  <c r="AH2038" s="13"/>
      <c r="AI2038" s="13"/>
      <c r="AJ2038" s="13"/>
      <c r="AK2038" s="13"/>
      <c r="AL2038" s="13"/>
      <c r="AM2038" s="13"/>
    </row>
    <row r="2039">
      <c r="A2039" s="37"/>
      <c r="B2039" s="25"/>
      <c r="C2039" s="60"/>
      <c r="D2039" s="27"/>
      <c r="E2039" s="28"/>
      <c r="F2039" s="29"/>
      <c r="G2039" s="30" t="str">
        <f t="shared" si="61"/>
        <v/>
      </c>
      <c r="H2039" s="31" t="str">
        <f t="shared" si="73"/>
        <v/>
      </c>
      <c r="I2039" s="32" t="str">
        <f t="shared" si="65"/>
        <v/>
      </c>
      <c r="J2039" s="33" t="str">
        <f t="shared" si="25"/>
        <v/>
      </c>
      <c r="K2039" s="33"/>
      <c r="L2039" s="33"/>
      <c r="M2039" s="33"/>
      <c r="N2039" s="34"/>
      <c r="O2039" s="35" t="str">
        <f>IFERROR(__xludf.DUMMYFUNCTION("IFERROR(
  VLOOKUP(C2039,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C2039
    ), 
    7, FALSE
  ), 
  """"
)
"),"")</f>
        <v/>
      </c>
      <c r="P2039" s="35"/>
      <c r="Q2039" s="36" t="str">
        <f t="shared" si="4"/>
        <v/>
      </c>
      <c r="R2039" s="33"/>
      <c r="S2039" s="31"/>
      <c r="T2039" s="37"/>
      <c r="U2039" s="37"/>
      <c r="V2039" s="37"/>
      <c r="W2039" s="37"/>
      <c r="X2039" s="25"/>
      <c r="Y2039" s="25"/>
      <c r="Z2039" s="25"/>
      <c r="AA2039" s="25"/>
      <c r="AB2039" s="25"/>
      <c r="AC2039" s="25"/>
      <c r="AD2039" s="25"/>
      <c r="AE2039" s="25"/>
      <c r="AF2039" s="25"/>
      <c r="AG2039" s="25"/>
      <c r="AH2039" s="25"/>
      <c r="AI2039" s="25"/>
      <c r="AJ2039" s="25"/>
      <c r="AK2039" s="25"/>
      <c r="AL2039" s="25"/>
      <c r="AM2039" s="25"/>
    </row>
    <row r="2040">
      <c r="A2040" s="24"/>
      <c r="B2040" s="13"/>
      <c r="C2040" s="62"/>
      <c r="D2040" s="14"/>
      <c r="E2040" s="15"/>
      <c r="F2040" s="16"/>
      <c r="G2040" s="17" t="str">
        <f t="shared" si="61"/>
        <v/>
      </c>
      <c r="H2040" s="18" t="str">
        <f t="shared" si="73"/>
        <v/>
      </c>
      <c r="I2040" s="19" t="str">
        <f t="shared" si="65"/>
        <v/>
      </c>
      <c r="J2040" s="20" t="str">
        <f t="shared" si="25"/>
        <v/>
      </c>
      <c r="K2040" s="20"/>
      <c r="L2040" s="20"/>
      <c r="M2040" s="20"/>
      <c r="N2040" s="21"/>
      <c r="O2040" s="22" t="str">
        <f>IFERROR(__xludf.DUMMYFUNCTION("IFERROR(
  VLOOKUP(C2040,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C2040
    ), 
    7, FALSE
  ), 
  """"
)
"),"")</f>
        <v/>
      </c>
      <c r="P2040" s="22"/>
      <c r="Q2040" s="23" t="str">
        <f t="shared" si="4"/>
        <v/>
      </c>
      <c r="R2040" s="20"/>
      <c r="S2040" s="18"/>
      <c r="T2040" s="24"/>
      <c r="U2040" s="24"/>
      <c r="V2040" s="24"/>
      <c r="W2040" s="24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  <c r="AH2040" s="13"/>
      <c r="AI2040" s="13"/>
      <c r="AJ2040" s="13"/>
      <c r="AK2040" s="13"/>
      <c r="AL2040" s="13"/>
      <c r="AM2040" s="13"/>
    </row>
    <row r="2041">
      <c r="A2041" s="37"/>
      <c r="B2041" s="25"/>
      <c r="C2041" s="60"/>
      <c r="D2041" s="27"/>
      <c r="E2041" s="28"/>
      <c r="F2041" s="29"/>
      <c r="G2041" s="30" t="str">
        <f t="shared" si="61"/>
        <v/>
      </c>
      <c r="H2041" s="31" t="str">
        <f t="shared" si="73"/>
        <v/>
      </c>
      <c r="I2041" s="32" t="str">
        <f t="shared" si="65"/>
        <v/>
      </c>
      <c r="J2041" s="33" t="str">
        <f t="shared" si="25"/>
        <v/>
      </c>
      <c r="K2041" s="33"/>
      <c r="L2041" s="33"/>
      <c r="M2041" s="33"/>
      <c r="N2041" s="34"/>
      <c r="O2041" s="35" t="str">
        <f>IFERROR(__xludf.DUMMYFUNCTION("IFERROR(
  VLOOKUP(C2041,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C2041
    ), 
    7, FALSE
  ), 
  """"
)
"),"")</f>
        <v/>
      </c>
      <c r="P2041" s="35"/>
      <c r="Q2041" s="36" t="str">
        <f t="shared" si="4"/>
        <v/>
      </c>
      <c r="R2041" s="33"/>
      <c r="S2041" s="31"/>
      <c r="T2041" s="37"/>
      <c r="U2041" s="37"/>
      <c r="V2041" s="37"/>
      <c r="W2041" s="37"/>
      <c r="X2041" s="25"/>
      <c r="Y2041" s="25"/>
      <c r="Z2041" s="25"/>
      <c r="AA2041" s="25"/>
      <c r="AB2041" s="25"/>
      <c r="AC2041" s="25"/>
      <c r="AD2041" s="25"/>
      <c r="AE2041" s="25"/>
      <c r="AF2041" s="25"/>
      <c r="AG2041" s="25"/>
      <c r="AH2041" s="25"/>
      <c r="AI2041" s="25"/>
      <c r="AJ2041" s="25"/>
      <c r="AK2041" s="25"/>
      <c r="AL2041" s="25"/>
      <c r="AM2041" s="25"/>
    </row>
    <row r="2042">
      <c r="A2042" s="24"/>
      <c r="B2042" s="13"/>
      <c r="C2042" s="62"/>
      <c r="D2042" s="14"/>
      <c r="E2042" s="15"/>
      <c r="F2042" s="16"/>
      <c r="G2042" s="17" t="str">
        <f t="shared" si="61"/>
        <v/>
      </c>
      <c r="H2042" s="18" t="str">
        <f t="shared" si="73"/>
        <v/>
      </c>
      <c r="I2042" s="19" t="str">
        <f t="shared" si="65"/>
        <v/>
      </c>
      <c r="J2042" s="20" t="str">
        <f t="shared" si="25"/>
        <v/>
      </c>
      <c r="K2042" s="20"/>
      <c r="L2042" s="20"/>
      <c r="M2042" s="20"/>
      <c r="N2042" s="21"/>
      <c r="O2042" s="22" t="str">
        <f>IFERROR(__xludf.DUMMYFUNCTION("IFERROR(
  VLOOKUP(C2042,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C2042
    ), 
    7, FALSE
  ), 
  """"
)
"),"")</f>
        <v/>
      </c>
      <c r="P2042" s="22"/>
      <c r="Q2042" s="23" t="str">
        <f t="shared" si="4"/>
        <v/>
      </c>
      <c r="R2042" s="20"/>
      <c r="S2042" s="18"/>
      <c r="T2042" s="24"/>
      <c r="U2042" s="24"/>
      <c r="V2042" s="24"/>
      <c r="W2042" s="24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  <c r="AH2042" s="13"/>
      <c r="AI2042" s="13"/>
      <c r="AJ2042" s="13"/>
      <c r="AK2042" s="13"/>
      <c r="AL2042" s="13"/>
      <c r="AM2042" s="13"/>
    </row>
    <row r="2043">
      <c r="A2043" s="37"/>
      <c r="B2043" s="25"/>
      <c r="C2043" s="60"/>
      <c r="D2043" s="27"/>
      <c r="E2043" s="28"/>
      <c r="F2043" s="29"/>
      <c r="G2043" s="30" t="str">
        <f t="shared" si="61"/>
        <v/>
      </c>
      <c r="H2043" s="31" t="str">
        <f t="shared" si="73"/>
        <v/>
      </c>
      <c r="I2043" s="32" t="str">
        <f t="shared" si="65"/>
        <v/>
      </c>
      <c r="J2043" s="33" t="str">
        <f t="shared" si="25"/>
        <v/>
      </c>
      <c r="K2043" s="33"/>
      <c r="L2043" s="33"/>
      <c r="M2043" s="33"/>
      <c r="N2043" s="34"/>
      <c r="O2043" s="35" t="str">
        <f>IFERROR(__xludf.DUMMYFUNCTION("IFERROR(
  VLOOKUP(C2043,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C2043
    ), 
    7, FALSE
  ), 
  """"
)
"),"")</f>
        <v/>
      </c>
      <c r="P2043" s="35"/>
      <c r="Q2043" s="36" t="str">
        <f t="shared" si="4"/>
        <v/>
      </c>
      <c r="R2043" s="33"/>
      <c r="S2043" s="31"/>
      <c r="T2043" s="37"/>
      <c r="U2043" s="37"/>
      <c r="V2043" s="37"/>
      <c r="W2043" s="37"/>
      <c r="X2043" s="25"/>
      <c r="Y2043" s="25"/>
      <c r="Z2043" s="25"/>
      <c r="AA2043" s="25"/>
      <c r="AB2043" s="25"/>
      <c r="AC2043" s="25"/>
      <c r="AD2043" s="25"/>
      <c r="AE2043" s="25"/>
      <c r="AF2043" s="25"/>
      <c r="AG2043" s="25"/>
      <c r="AH2043" s="25"/>
      <c r="AI2043" s="25"/>
      <c r="AJ2043" s="25"/>
      <c r="AK2043" s="25"/>
      <c r="AL2043" s="25"/>
      <c r="AM2043" s="25"/>
    </row>
    <row r="2044">
      <c r="A2044" s="24"/>
      <c r="B2044" s="13"/>
      <c r="C2044" s="62"/>
      <c r="D2044" s="14"/>
      <c r="E2044" s="15"/>
      <c r="F2044" s="16"/>
      <c r="G2044" s="17" t="str">
        <f t="shared" si="61"/>
        <v/>
      </c>
      <c r="H2044" s="18" t="str">
        <f t="shared" si="73"/>
        <v/>
      </c>
      <c r="I2044" s="19" t="str">
        <f t="shared" si="65"/>
        <v/>
      </c>
      <c r="J2044" s="20" t="str">
        <f t="shared" si="25"/>
        <v/>
      </c>
      <c r="K2044" s="20"/>
      <c r="L2044" s="20"/>
      <c r="M2044" s="20"/>
      <c r="N2044" s="21"/>
      <c r="O2044" s="22" t="str">
        <f>IFERROR(__xludf.DUMMYFUNCTION("IFERROR(
  VLOOKUP(C2044,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C2044
    ), 
    7, FALSE
  ), 
  """"
)
"),"")</f>
        <v/>
      </c>
      <c r="P2044" s="22"/>
      <c r="Q2044" s="23" t="str">
        <f t="shared" si="4"/>
        <v/>
      </c>
      <c r="R2044" s="20"/>
      <c r="S2044" s="18"/>
      <c r="T2044" s="24"/>
      <c r="U2044" s="24"/>
      <c r="V2044" s="24"/>
      <c r="W2044" s="24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13"/>
      <c r="AK2044" s="13"/>
      <c r="AL2044" s="13"/>
      <c r="AM2044" s="13"/>
    </row>
    <row r="2045">
      <c r="A2045" s="37"/>
      <c r="B2045" s="25"/>
      <c r="C2045" s="60"/>
      <c r="D2045" s="27"/>
      <c r="E2045" s="28"/>
      <c r="F2045" s="29"/>
      <c r="G2045" s="30" t="str">
        <f t="shared" si="61"/>
        <v/>
      </c>
      <c r="H2045" s="31" t="str">
        <f t="shared" si="73"/>
        <v/>
      </c>
      <c r="I2045" s="32" t="str">
        <f t="shared" si="65"/>
        <v/>
      </c>
      <c r="J2045" s="33" t="str">
        <f t="shared" si="25"/>
        <v/>
      </c>
      <c r="K2045" s="33"/>
      <c r="L2045" s="33"/>
      <c r="M2045" s="33"/>
      <c r="N2045" s="34"/>
      <c r="O2045" s="35" t="str">
        <f>IFERROR(__xludf.DUMMYFUNCTION("IFERROR(
  VLOOKUP(C2045,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C2045
    ), 
    7, FALSE
  ), 
  """"
)
"),"")</f>
        <v/>
      </c>
      <c r="P2045" s="35"/>
      <c r="Q2045" s="36" t="str">
        <f t="shared" si="4"/>
        <v/>
      </c>
      <c r="R2045" s="33"/>
      <c r="S2045" s="31"/>
      <c r="T2045" s="37"/>
      <c r="U2045" s="37"/>
      <c r="V2045" s="37"/>
      <c r="W2045" s="37"/>
      <c r="X2045" s="25"/>
      <c r="Y2045" s="25"/>
      <c r="Z2045" s="25"/>
      <c r="AA2045" s="25"/>
      <c r="AB2045" s="25"/>
      <c r="AC2045" s="25"/>
      <c r="AD2045" s="25"/>
      <c r="AE2045" s="25"/>
      <c r="AF2045" s="25"/>
      <c r="AG2045" s="25"/>
      <c r="AH2045" s="25"/>
      <c r="AI2045" s="25"/>
      <c r="AJ2045" s="25"/>
      <c r="AK2045" s="25"/>
      <c r="AL2045" s="25"/>
      <c r="AM2045" s="25"/>
    </row>
    <row r="2046">
      <c r="A2046" s="24"/>
      <c r="B2046" s="13"/>
      <c r="C2046" s="62"/>
      <c r="D2046" s="14"/>
      <c r="E2046" s="15"/>
      <c r="F2046" s="16"/>
      <c r="G2046" s="17" t="str">
        <f t="shared" si="61"/>
        <v/>
      </c>
      <c r="H2046" s="18" t="str">
        <f t="shared" si="73"/>
        <v/>
      </c>
      <c r="I2046" s="19" t="str">
        <f t="shared" si="65"/>
        <v/>
      </c>
      <c r="J2046" s="20" t="str">
        <f t="shared" si="25"/>
        <v/>
      </c>
      <c r="K2046" s="20"/>
      <c r="L2046" s="20"/>
      <c r="M2046" s="20"/>
      <c r="N2046" s="21"/>
      <c r="O2046" s="22" t="str">
        <f>IFERROR(__xludf.DUMMYFUNCTION("IFERROR(
  VLOOKUP(C2046,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C2046
    ), 
    7, FALSE
  ), 
  """"
)
"),"")</f>
        <v/>
      </c>
      <c r="P2046" s="22"/>
      <c r="Q2046" s="23" t="str">
        <f t="shared" si="4"/>
        <v/>
      </c>
      <c r="R2046" s="20"/>
      <c r="S2046" s="18"/>
      <c r="T2046" s="24"/>
      <c r="U2046" s="24"/>
      <c r="V2046" s="24"/>
      <c r="W2046" s="24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  <c r="AH2046" s="13"/>
      <c r="AI2046" s="13"/>
      <c r="AJ2046" s="13"/>
      <c r="AK2046" s="13"/>
      <c r="AL2046" s="13"/>
      <c r="AM2046" s="13"/>
    </row>
    <row r="2047">
      <c r="A2047" s="37"/>
      <c r="B2047" s="25"/>
      <c r="C2047" s="60"/>
      <c r="D2047" s="27"/>
      <c r="E2047" s="28"/>
      <c r="F2047" s="29"/>
      <c r="G2047" s="30" t="str">
        <f t="shared" si="61"/>
        <v/>
      </c>
      <c r="H2047" s="31" t="str">
        <f t="shared" si="73"/>
        <v/>
      </c>
      <c r="I2047" s="32" t="str">
        <f t="shared" si="65"/>
        <v/>
      </c>
      <c r="J2047" s="33" t="str">
        <f t="shared" si="25"/>
        <v/>
      </c>
      <c r="K2047" s="33"/>
      <c r="L2047" s="33"/>
      <c r="M2047" s="33"/>
      <c r="N2047" s="34"/>
      <c r="O2047" s="35" t="str">
        <f>IFERROR(__xludf.DUMMYFUNCTION("IFERROR(
  VLOOKUP(C2047,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C2047
    ), 
    7, FALSE
  ), 
  """"
)
"),"")</f>
        <v/>
      </c>
      <c r="P2047" s="35"/>
      <c r="Q2047" s="36" t="str">
        <f t="shared" si="4"/>
        <v/>
      </c>
      <c r="R2047" s="33"/>
      <c r="S2047" s="31"/>
      <c r="T2047" s="37"/>
      <c r="U2047" s="37"/>
      <c r="V2047" s="37"/>
      <c r="W2047" s="37"/>
      <c r="X2047" s="25"/>
      <c r="Y2047" s="25"/>
      <c r="Z2047" s="25"/>
      <c r="AA2047" s="25"/>
      <c r="AB2047" s="25"/>
      <c r="AC2047" s="25"/>
      <c r="AD2047" s="25"/>
      <c r="AE2047" s="25"/>
      <c r="AF2047" s="25"/>
      <c r="AG2047" s="25"/>
      <c r="AH2047" s="25"/>
      <c r="AI2047" s="25"/>
      <c r="AJ2047" s="25"/>
      <c r="AK2047" s="25"/>
      <c r="AL2047" s="25"/>
      <c r="AM2047" s="25"/>
    </row>
    <row r="2048">
      <c r="A2048" s="24"/>
      <c r="B2048" s="13"/>
      <c r="C2048" s="62"/>
      <c r="D2048" s="14"/>
      <c r="E2048" s="15"/>
      <c r="F2048" s="16"/>
      <c r="G2048" s="17" t="str">
        <f t="shared" si="61"/>
        <v/>
      </c>
      <c r="H2048" s="18" t="str">
        <f t="shared" si="73"/>
        <v/>
      </c>
      <c r="I2048" s="19" t="str">
        <f t="shared" si="65"/>
        <v/>
      </c>
      <c r="J2048" s="20" t="str">
        <f t="shared" si="25"/>
        <v/>
      </c>
      <c r="K2048" s="20"/>
      <c r="L2048" s="20"/>
      <c r="M2048" s="20"/>
      <c r="N2048" s="21"/>
      <c r="O2048" s="22" t="str">
        <f>IFERROR(__xludf.DUMMYFUNCTION("IFERROR(
  VLOOKUP(C2048,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C2048
    ), 
    7, FALSE
  ), 
  """"
)
"),"")</f>
        <v/>
      </c>
      <c r="P2048" s="22"/>
      <c r="Q2048" s="23" t="str">
        <f t="shared" si="4"/>
        <v/>
      </c>
      <c r="R2048" s="20"/>
      <c r="S2048" s="18"/>
      <c r="T2048" s="24"/>
      <c r="U2048" s="24"/>
      <c r="V2048" s="24"/>
      <c r="W2048" s="24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  <c r="AH2048" s="13"/>
      <c r="AI2048" s="13"/>
      <c r="AJ2048" s="13"/>
      <c r="AK2048" s="13"/>
      <c r="AL2048" s="13"/>
      <c r="AM2048" s="13"/>
    </row>
    <row r="2049">
      <c r="A2049" s="37"/>
      <c r="B2049" s="25"/>
      <c r="C2049" s="60"/>
      <c r="D2049" s="27"/>
      <c r="E2049" s="28"/>
      <c r="F2049" s="29"/>
      <c r="G2049" s="30" t="str">
        <f t="shared" si="61"/>
        <v/>
      </c>
      <c r="H2049" s="31" t="str">
        <f t="shared" si="73"/>
        <v/>
      </c>
      <c r="I2049" s="32" t="str">
        <f t="shared" si="65"/>
        <v/>
      </c>
      <c r="J2049" s="33" t="str">
        <f t="shared" si="25"/>
        <v/>
      </c>
      <c r="K2049" s="33"/>
      <c r="L2049" s="33"/>
      <c r="M2049" s="33"/>
      <c r="N2049" s="34"/>
      <c r="O2049" s="35" t="str">
        <f>IFERROR(__xludf.DUMMYFUNCTION("IFERROR(
  VLOOKUP(C2049,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C2049
    ), 
    7, FALSE
  ), 
  """"
)
"),"")</f>
        <v/>
      </c>
      <c r="P2049" s="35"/>
      <c r="Q2049" s="36" t="str">
        <f t="shared" si="4"/>
        <v/>
      </c>
      <c r="R2049" s="33"/>
      <c r="S2049" s="31"/>
      <c r="T2049" s="37"/>
      <c r="U2049" s="37"/>
      <c r="V2049" s="37"/>
      <c r="W2049" s="37"/>
      <c r="X2049" s="25"/>
      <c r="Y2049" s="25"/>
      <c r="Z2049" s="25"/>
      <c r="AA2049" s="25"/>
      <c r="AB2049" s="25"/>
      <c r="AC2049" s="25"/>
      <c r="AD2049" s="25"/>
      <c r="AE2049" s="25"/>
      <c r="AF2049" s="25"/>
      <c r="AG2049" s="25"/>
      <c r="AH2049" s="25"/>
      <c r="AI2049" s="25"/>
      <c r="AJ2049" s="25"/>
      <c r="AK2049" s="25"/>
      <c r="AL2049" s="25"/>
      <c r="AM2049" s="25"/>
    </row>
    <row r="2050">
      <c r="A2050" s="24"/>
      <c r="B2050" s="13"/>
      <c r="C2050" s="62"/>
      <c r="D2050" s="14"/>
      <c r="E2050" s="15"/>
      <c r="F2050" s="16"/>
      <c r="G2050" s="17" t="str">
        <f t="shared" si="61"/>
        <v/>
      </c>
      <c r="H2050" s="18" t="str">
        <f t="shared" si="73"/>
        <v/>
      </c>
      <c r="I2050" s="19" t="str">
        <f t="shared" si="65"/>
        <v/>
      </c>
      <c r="J2050" s="20" t="str">
        <f t="shared" si="25"/>
        <v/>
      </c>
      <c r="K2050" s="20"/>
      <c r="L2050" s="20"/>
      <c r="M2050" s="20"/>
      <c r="N2050" s="21"/>
      <c r="O2050" s="22" t="str">
        <f>IFERROR(__xludf.DUMMYFUNCTION("IFERROR(
  VLOOKUP(C2050,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C2050
    ), 
    7, FALSE
  ), 
  """"
)
"),"")</f>
        <v/>
      </c>
      <c r="P2050" s="22"/>
      <c r="Q2050" s="23" t="str">
        <f t="shared" si="4"/>
        <v/>
      </c>
      <c r="R2050" s="20"/>
      <c r="S2050" s="18"/>
      <c r="T2050" s="24"/>
      <c r="U2050" s="24"/>
      <c r="V2050" s="24"/>
      <c r="W2050" s="24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  <c r="AH2050" s="13"/>
      <c r="AI2050" s="13"/>
      <c r="AJ2050" s="13"/>
      <c r="AK2050" s="13"/>
      <c r="AL2050" s="13"/>
      <c r="AM2050" s="13"/>
    </row>
    <row r="2051">
      <c r="A2051" s="37"/>
      <c r="B2051" s="25"/>
      <c r="C2051" s="60"/>
      <c r="D2051" s="27"/>
      <c r="E2051" s="28"/>
      <c r="F2051" s="29"/>
      <c r="G2051" s="30" t="str">
        <f t="shared" si="61"/>
        <v/>
      </c>
      <c r="H2051" s="31" t="str">
        <f t="shared" si="73"/>
        <v/>
      </c>
      <c r="I2051" s="32" t="str">
        <f t="shared" si="65"/>
        <v/>
      </c>
      <c r="J2051" s="33" t="str">
        <f t="shared" si="25"/>
        <v/>
      </c>
      <c r="K2051" s="33"/>
      <c r="L2051" s="33"/>
      <c r="M2051" s="33"/>
      <c r="N2051" s="34"/>
      <c r="O2051" s="35" t="str">
        <f>IFERROR(__xludf.DUMMYFUNCTION("IFERROR(
  VLOOKUP(C2051,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C2051
    ), 
    7, FALSE
  ), 
  """"
)
"),"")</f>
        <v/>
      </c>
      <c r="P2051" s="35"/>
      <c r="Q2051" s="36" t="str">
        <f t="shared" si="4"/>
        <v/>
      </c>
      <c r="R2051" s="33"/>
      <c r="S2051" s="31"/>
      <c r="T2051" s="37"/>
      <c r="U2051" s="37"/>
      <c r="V2051" s="37"/>
      <c r="W2051" s="37"/>
      <c r="X2051" s="25"/>
      <c r="Y2051" s="25"/>
      <c r="Z2051" s="25"/>
      <c r="AA2051" s="25"/>
      <c r="AB2051" s="25"/>
      <c r="AC2051" s="25"/>
      <c r="AD2051" s="25"/>
      <c r="AE2051" s="25"/>
      <c r="AF2051" s="25"/>
      <c r="AG2051" s="25"/>
      <c r="AH2051" s="25"/>
      <c r="AI2051" s="25"/>
      <c r="AJ2051" s="25"/>
      <c r="AK2051" s="25"/>
      <c r="AL2051" s="25"/>
      <c r="AM2051" s="25"/>
    </row>
    <row r="2052">
      <c r="A2052" s="24"/>
      <c r="B2052" s="13"/>
      <c r="C2052" s="62"/>
      <c r="D2052" s="14"/>
      <c r="E2052" s="15"/>
      <c r="F2052" s="16"/>
      <c r="G2052" s="17" t="str">
        <f t="shared" si="61"/>
        <v/>
      </c>
      <c r="H2052" s="18" t="str">
        <f t="shared" si="73"/>
        <v/>
      </c>
      <c r="I2052" s="19" t="str">
        <f t="shared" si="65"/>
        <v/>
      </c>
      <c r="J2052" s="20" t="str">
        <f t="shared" si="25"/>
        <v/>
      </c>
      <c r="K2052" s="20"/>
      <c r="L2052" s="20"/>
      <c r="M2052" s="20"/>
      <c r="N2052" s="21"/>
      <c r="O2052" s="22" t="str">
        <f>IFERROR(__xludf.DUMMYFUNCTION("IFERROR(
  VLOOKUP(C2052,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C2052
    ), 
    7, FALSE
  ), 
  """"
)
"),"")</f>
        <v/>
      </c>
      <c r="P2052" s="22"/>
      <c r="Q2052" s="23" t="str">
        <f t="shared" si="4"/>
        <v/>
      </c>
      <c r="R2052" s="20"/>
      <c r="S2052" s="18"/>
      <c r="T2052" s="24"/>
      <c r="U2052" s="24"/>
      <c r="V2052" s="24"/>
      <c r="W2052" s="24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  <c r="AH2052" s="13"/>
      <c r="AI2052" s="13"/>
      <c r="AJ2052" s="13"/>
      <c r="AK2052" s="13"/>
      <c r="AL2052" s="13"/>
      <c r="AM2052" s="13"/>
    </row>
    <row r="2053">
      <c r="A2053" s="37"/>
      <c r="B2053" s="25"/>
      <c r="C2053" s="60"/>
      <c r="D2053" s="27"/>
      <c r="E2053" s="28"/>
      <c r="F2053" s="29"/>
      <c r="G2053" s="30" t="str">
        <f t="shared" si="61"/>
        <v/>
      </c>
      <c r="H2053" s="31" t="str">
        <f t="shared" si="73"/>
        <v/>
      </c>
      <c r="I2053" s="32" t="str">
        <f t="shared" si="65"/>
        <v/>
      </c>
      <c r="J2053" s="33" t="str">
        <f t="shared" si="25"/>
        <v/>
      </c>
      <c r="K2053" s="33"/>
      <c r="L2053" s="33"/>
      <c r="M2053" s="33"/>
      <c r="N2053" s="34"/>
      <c r="O2053" s="35" t="str">
        <f>IFERROR(__xludf.DUMMYFUNCTION("IFERROR(
  VLOOKUP(C2053,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C2053
    ), 
    7, FALSE
  ), 
  """"
)
"),"")</f>
        <v/>
      </c>
      <c r="P2053" s="35"/>
      <c r="Q2053" s="36" t="str">
        <f t="shared" si="4"/>
        <v/>
      </c>
      <c r="R2053" s="33"/>
      <c r="S2053" s="31"/>
      <c r="T2053" s="37"/>
      <c r="U2053" s="37"/>
      <c r="V2053" s="37"/>
      <c r="W2053" s="37"/>
      <c r="X2053" s="25"/>
      <c r="Y2053" s="25"/>
      <c r="Z2053" s="25"/>
      <c r="AA2053" s="25"/>
      <c r="AB2053" s="25"/>
      <c r="AC2053" s="25"/>
      <c r="AD2053" s="25"/>
      <c r="AE2053" s="25"/>
      <c r="AF2053" s="25"/>
      <c r="AG2053" s="25"/>
      <c r="AH2053" s="25"/>
      <c r="AI2053" s="25"/>
      <c r="AJ2053" s="25"/>
      <c r="AK2053" s="25"/>
      <c r="AL2053" s="25"/>
      <c r="AM2053" s="25"/>
    </row>
    <row r="2054">
      <c r="A2054" s="24"/>
      <c r="B2054" s="13"/>
      <c r="C2054" s="62"/>
      <c r="D2054" s="14"/>
      <c r="E2054" s="15"/>
      <c r="F2054" s="16"/>
      <c r="G2054" s="17" t="str">
        <f t="shared" si="61"/>
        <v/>
      </c>
      <c r="H2054" s="18" t="str">
        <f t="shared" si="73"/>
        <v/>
      </c>
      <c r="I2054" s="19" t="str">
        <f t="shared" si="65"/>
        <v/>
      </c>
      <c r="J2054" s="20" t="str">
        <f t="shared" si="25"/>
        <v/>
      </c>
      <c r="K2054" s="20"/>
      <c r="L2054" s="20"/>
      <c r="M2054" s="20"/>
      <c r="N2054" s="21"/>
      <c r="O2054" s="22" t="str">
        <f>IFERROR(__xludf.DUMMYFUNCTION("IFERROR(
  VLOOKUP(C2054,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C2054
    ), 
    7, FALSE
  ), 
  """"
)
"),"")</f>
        <v/>
      </c>
      <c r="P2054" s="22"/>
      <c r="Q2054" s="23" t="str">
        <f t="shared" si="4"/>
        <v/>
      </c>
      <c r="R2054" s="20"/>
      <c r="S2054" s="18"/>
      <c r="T2054" s="24"/>
      <c r="U2054" s="24"/>
      <c r="V2054" s="24"/>
      <c r="W2054" s="24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  <c r="AH2054" s="13"/>
      <c r="AI2054" s="13"/>
      <c r="AJ2054" s="13"/>
      <c r="AK2054" s="13"/>
      <c r="AL2054" s="13"/>
      <c r="AM2054" s="13"/>
    </row>
    <row r="2055">
      <c r="A2055" s="37"/>
      <c r="B2055" s="25"/>
      <c r="C2055" s="60"/>
      <c r="D2055" s="27"/>
      <c r="E2055" s="28"/>
      <c r="F2055" s="29"/>
      <c r="G2055" s="30" t="str">
        <f t="shared" si="61"/>
        <v/>
      </c>
      <c r="H2055" s="31" t="str">
        <f t="shared" si="73"/>
        <v/>
      </c>
      <c r="I2055" s="32" t="str">
        <f t="shared" si="65"/>
        <v/>
      </c>
      <c r="J2055" s="33" t="str">
        <f t="shared" si="25"/>
        <v/>
      </c>
      <c r="K2055" s="33"/>
      <c r="L2055" s="33"/>
      <c r="M2055" s="33"/>
      <c r="N2055" s="34"/>
      <c r="O2055" s="35" t="str">
        <f>IFERROR(__xludf.DUMMYFUNCTION("IFERROR(
  VLOOKUP(C2055,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C2055
    ), 
    7, FALSE
  ), 
  """"
)
"),"")</f>
        <v/>
      </c>
      <c r="P2055" s="35"/>
      <c r="Q2055" s="36" t="str">
        <f t="shared" si="4"/>
        <v/>
      </c>
      <c r="R2055" s="33"/>
      <c r="S2055" s="31"/>
      <c r="T2055" s="37"/>
      <c r="U2055" s="37"/>
      <c r="V2055" s="37"/>
      <c r="W2055" s="37"/>
      <c r="X2055" s="25"/>
      <c r="Y2055" s="25"/>
      <c r="Z2055" s="25"/>
      <c r="AA2055" s="25"/>
      <c r="AB2055" s="25"/>
      <c r="AC2055" s="25"/>
      <c r="AD2055" s="25"/>
      <c r="AE2055" s="25"/>
      <c r="AF2055" s="25"/>
      <c r="AG2055" s="25"/>
      <c r="AH2055" s="25"/>
      <c r="AI2055" s="25"/>
      <c r="AJ2055" s="25"/>
      <c r="AK2055" s="25"/>
      <c r="AL2055" s="25"/>
      <c r="AM2055" s="25"/>
    </row>
    <row r="2056">
      <c r="A2056" s="24"/>
      <c r="B2056" s="13"/>
      <c r="C2056" s="62"/>
      <c r="D2056" s="14"/>
      <c r="E2056" s="15"/>
      <c r="F2056" s="16"/>
      <c r="G2056" s="17" t="str">
        <f t="shared" si="61"/>
        <v/>
      </c>
      <c r="H2056" s="18" t="str">
        <f t="shared" si="73"/>
        <v/>
      </c>
      <c r="I2056" s="19" t="str">
        <f t="shared" si="65"/>
        <v/>
      </c>
      <c r="J2056" s="20" t="str">
        <f t="shared" si="25"/>
        <v/>
      </c>
      <c r="K2056" s="20"/>
      <c r="L2056" s="20"/>
      <c r="M2056" s="20"/>
      <c r="N2056" s="21"/>
      <c r="O2056" s="22" t="str">
        <f>IFERROR(__xludf.DUMMYFUNCTION("IFERROR(
  VLOOKUP(C2056,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C2056
    ), 
    7, FALSE
  ), 
  """"
)
"),"")</f>
        <v/>
      </c>
      <c r="P2056" s="22"/>
      <c r="Q2056" s="23" t="str">
        <f t="shared" si="4"/>
        <v/>
      </c>
      <c r="R2056" s="20"/>
      <c r="S2056" s="18"/>
      <c r="T2056" s="24"/>
      <c r="U2056" s="24"/>
      <c r="V2056" s="24"/>
      <c r="W2056" s="24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</row>
    <row r="2057">
      <c r="A2057" s="37"/>
      <c r="B2057" s="25"/>
      <c r="C2057" s="60"/>
      <c r="D2057" s="27"/>
      <c r="E2057" s="28"/>
      <c r="F2057" s="29"/>
      <c r="G2057" s="30" t="str">
        <f t="shared" si="61"/>
        <v/>
      </c>
      <c r="H2057" s="31" t="str">
        <f t="shared" si="73"/>
        <v/>
      </c>
      <c r="I2057" s="32" t="str">
        <f t="shared" si="65"/>
        <v/>
      </c>
      <c r="J2057" s="33" t="str">
        <f t="shared" si="25"/>
        <v/>
      </c>
      <c r="K2057" s="33"/>
      <c r="L2057" s="33"/>
      <c r="M2057" s="33"/>
      <c r="N2057" s="34"/>
      <c r="O2057" s="35" t="str">
        <f>IFERROR(__xludf.DUMMYFUNCTION("IFERROR(
  VLOOKUP(C2057,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C2057
    ), 
    7, FALSE
  ), 
  """"
)
"),"")</f>
        <v/>
      </c>
      <c r="P2057" s="35"/>
      <c r="Q2057" s="36" t="str">
        <f t="shared" si="4"/>
        <v/>
      </c>
      <c r="R2057" s="33"/>
      <c r="S2057" s="31"/>
      <c r="T2057" s="37"/>
      <c r="U2057" s="37"/>
      <c r="V2057" s="37"/>
      <c r="W2057" s="37"/>
      <c r="X2057" s="25"/>
      <c r="Y2057" s="25"/>
      <c r="Z2057" s="25"/>
      <c r="AA2057" s="25"/>
      <c r="AB2057" s="25"/>
      <c r="AC2057" s="25"/>
      <c r="AD2057" s="25"/>
      <c r="AE2057" s="25"/>
      <c r="AF2057" s="25"/>
      <c r="AG2057" s="25"/>
      <c r="AH2057" s="25"/>
      <c r="AI2057" s="25"/>
      <c r="AJ2057" s="25"/>
      <c r="AK2057" s="25"/>
      <c r="AL2057" s="25"/>
      <c r="AM2057" s="25"/>
    </row>
    <row r="2058">
      <c r="A2058" s="24"/>
      <c r="B2058" s="13"/>
      <c r="C2058" s="62"/>
      <c r="D2058" s="14"/>
      <c r="E2058" s="15"/>
      <c r="F2058" s="16"/>
      <c r="G2058" s="17" t="str">
        <f t="shared" si="61"/>
        <v/>
      </c>
      <c r="H2058" s="18" t="str">
        <f t="shared" si="73"/>
        <v/>
      </c>
      <c r="I2058" s="19" t="str">
        <f t="shared" si="65"/>
        <v/>
      </c>
      <c r="J2058" s="20" t="str">
        <f t="shared" si="25"/>
        <v/>
      </c>
      <c r="K2058" s="20"/>
      <c r="L2058" s="20"/>
      <c r="M2058" s="20"/>
      <c r="N2058" s="21"/>
      <c r="O2058" s="22" t="str">
        <f>IFERROR(__xludf.DUMMYFUNCTION("IFERROR(
  VLOOKUP(C2058,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C2058
    ), 
    7, FALSE
  ), 
  """"
)
"),"")</f>
        <v/>
      </c>
      <c r="P2058" s="22"/>
      <c r="Q2058" s="23" t="str">
        <f t="shared" si="4"/>
        <v/>
      </c>
      <c r="R2058" s="20"/>
      <c r="S2058" s="18"/>
      <c r="T2058" s="24"/>
      <c r="U2058" s="24"/>
      <c r="V2058" s="24"/>
      <c r="W2058" s="24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  <c r="AH2058" s="13"/>
      <c r="AI2058" s="13"/>
      <c r="AJ2058" s="13"/>
      <c r="AK2058" s="13"/>
      <c r="AL2058" s="13"/>
      <c r="AM2058" s="13"/>
    </row>
    <row r="2059">
      <c r="A2059" s="37"/>
      <c r="B2059" s="25"/>
      <c r="C2059" s="60"/>
      <c r="D2059" s="27"/>
      <c r="E2059" s="28"/>
      <c r="F2059" s="29"/>
      <c r="G2059" s="30" t="str">
        <f t="shared" si="61"/>
        <v/>
      </c>
      <c r="H2059" s="31" t="str">
        <f t="shared" si="73"/>
        <v/>
      </c>
      <c r="I2059" s="32" t="str">
        <f t="shared" si="65"/>
        <v/>
      </c>
      <c r="J2059" s="33" t="str">
        <f t="shared" si="25"/>
        <v/>
      </c>
      <c r="K2059" s="33"/>
      <c r="L2059" s="33"/>
      <c r="M2059" s="33"/>
      <c r="N2059" s="34"/>
      <c r="O2059" s="35" t="str">
        <f>IFERROR(__xludf.DUMMYFUNCTION("IFERROR(
  VLOOKUP(C2059,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C2059
    ), 
    7, FALSE
  ), 
  """"
)
"),"")</f>
        <v/>
      </c>
      <c r="P2059" s="35"/>
      <c r="Q2059" s="36" t="str">
        <f t="shared" si="4"/>
        <v/>
      </c>
      <c r="R2059" s="33"/>
      <c r="S2059" s="31"/>
      <c r="T2059" s="37"/>
      <c r="U2059" s="37"/>
      <c r="V2059" s="37"/>
      <c r="W2059" s="37"/>
      <c r="X2059" s="25"/>
      <c r="Y2059" s="25"/>
      <c r="Z2059" s="25"/>
      <c r="AA2059" s="25"/>
      <c r="AB2059" s="25"/>
      <c r="AC2059" s="25"/>
      <c r="AD2059" s="25"/>
      <c r="AE2059" s="25"/>
      <c r="AF2059" s="25"/>
      <c r="AG2059" s="25"/>
      <c r="AH2059" s="25"/>
      <c r="AI2059" s="25"/>
      <c r="AJ2059" s="25"/>
      <c r="AK2059" s="25"/>
      <c r="AL2059" s="25"/>
      <c r="AM2059" s="25"/>
    </row>
    <row r="2060">
      <c r="A2060" s="24"/>
      <c r="B2060" s="13"/>
      <c r="C2060" s="62"/>
      <c r="D2060" s="14"/>
      <c r="E2060" s="15"/>
      <c r="F2060" s="16"/>
      <c r="G2060" s="17" t="str">
        <f t="shared" si="61"/>
        <v/>
      </c>
      <c r="H2060" s="18" t="str">
        <f t="shared" si="73"/>
        <v/>
      </c>
      <c r="I2060" s="19" t="str">
        <f t="shared" si="65"/>
        <v/>
      </c>
      <c r="J2060" s="20" t="str">
        <f t="shared" si="25"/>
        <v/>
      </c>
      <c r="K2060" s="20"/>
      <c r="L2060" s="20"/>
      <c r="M2060" s="20"/>
      <c r="N2060" s="21"/>
      <c r="O2060" s="22" t="str">
        <f>IFERROR(__xludf.DUMMYFUNCTION("IFERROR(
  VLOOKUP(C2060,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C2060
    ), 
    7, FALSE
  ), 
  """"
)
"),"")</f>
        <v/>
      </c>
      <c r="P2060" s="22"/>
      <c r="Q2060" s="23" t="str">
        <f t="shared" si="4"/>
        <v/>
      </c>
      <c r="R2060" s="20"/>
      <c r="S2060" s="18"/>
      <c r="T2060" s="24"/>
      <c r="U2060" s="24"/>
      <c r="V2060" s="24"/>
      <c r="W2060" s="24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  <c r="AH2060" s="13"/>
      <c r="AI2060" s="13"/>
      <c r="AJ2060" s="13"/>
      <c r="AK2060" s="13"/>
      <c r="AL2060" s="13"/>
      <c r="AM2060" s="13"/>
    </row>
    <row r="2061">
      <c r="A2061" s="37"/>
      <c r="B2061" s="25"/>
      <c r="C2061" s="60"/>
      <c r="D2061" s="27"/>
      <c r="E2061" s="28"/>
      <c r="F2061" s="29"/>
      <c r="G2061" s="30" t="str">
        <f t="shared" si="61"/>
        <v/>
      </c>
      <c r="H2061" s="31" t="str">
        <f t="shared" si="73"/>
        <v/>
      </c>
      <c r="I2061" s="32" t="str">
        <f t="shared" si="65"/>
        <v/>
      </c>
      <c r="J2061" s="33" t="str">
        <f t="shared" si="25"/>
        <v/>
      </c>
      <c r="K2061" s="33"/>
      <c r="L2061" s="33"/>
      <c r="M2061" s="33"/>
      <c r="N2061" s="34"/>
      <c r="O2061" s="35" t="str">
        <f>IFERROR(__xludf.DUMMYFUNCTION("IFERROR(
  VLOOKUP(C2061,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C2061
    ), 
    7, FALSE
  ), 
  """"
)
"),"")</f>
        <v/>
      </c>
      <c r="P2061" s="35"/>
      <c r="Q2061" s="36" t="str">
        <f t="shared" si="4"/>
        <v/>
      </c>
      <c r="R2061" s="33"/>
      <c r="S2061" s="31"/>
      <c r="T2061" s="37"/>
      <c r="U2061" s="37"/>
      <c r="V2061" s="37"/>
      <c r="W2061" s="37"/>
      <c r="X2061" s="25"/>
      <c r="Y2061" s="25"/>
      <c r="Z2061" s="25"/>
      <c r="AA2061" s="25"/>
      <c r="AB2061" s="25"/>
      <c r="AC2061" s="25"/>
      <c r="AD2061" s="25"/>
      <c r="AE2061" s="25"/>
      <c r="AF2061" s="25"/>
      <c r="AG2061" s="25"/>
      <c r="AH2061" s="25"/>
      <c r="AI2061" s="25"/>
      <c r="AJ2061" s="25"/>
      <c r="AK2061" s="25"/>
      <c r="AL2061" s="25"/>
      <c r="AM2061" s="25"/>
    </row>
    <row r="2062">
      <c r="A2062" s="24"/>
      <c r="B2062" s="13"/>
      <c r="C2062" s="62"/>
      <c r="D2062" s="14"/>
      <c r="E2062" s="15"/>
      <c r="F2062" s="16"/>
      <c r="G2062" s="17" t="str">
        <f t="shared" si="61"/>
        <v/>
      </c>
      <c r="H2062" s="18" t="str">
        <f t="shared" si="73"/>
        <v/>
      </c>
      <c r="I2062" s="19" t="str">
        <f t="shared" si="65"/>
        <v/>
      </c>
      <c r="J2062" s="20" t="str">
        <f t="shared" si="25"/>
        <v/>
      </c>
      <c r="K2062" s="20"/>
      <c r="L2062" s="20"/>
      <c r="M2062" s="20"/>
      <c r="N2062" s="21"/>
      <c r="O2062" s="22" t="str">
        <f>IFERROR(__xludf.DUMMYFUNCTION("IFERROR(
  VLOOKUP(C2062,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C2062
    ), 
    7, FALSE
  ), 
  """"
)
"),"")</f>
        <v/>
      </c>
      <c r="P2062" s="22"/>
      <c r="Q2062" s="23" t="str">
        <f t="shared" si="4"/>
        <v/>
      </c>
      <c r="R2062" s="20"/>
      <c r="S2062" s="18"/>
      <c r="T2062" s="24"/>
      <c r="U2062" s="24"/>
      <c r="V2062" s="24"/>
      <c r="W2062" s="24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</row>
    <row r="2063">
      <c r="A2063" s="37"/>
      <c r="B2063" s="25"/>
      <c r="C2063" s="60"/>
      <c r="D2063" s="27"/>
      <c r="E2063" s="28"/>
      <c r="F2063" s="29"/>
      <c r="G2063" s="30" t="str">
        <f t="shared" si="61"/>
        <v/>
      </c>
      <c r="H2063" s="31" t="str">
        <f t="shared" si="73"/>
        <v/>
      </c>
      <c r="I2063" s="32" t="str">
        <f t="shared" si="65"/>
        <v/>
      </c>
      <c r="J2063" s="33" t="str">
        <f t="shared" si="25"/>
        <v/>
      </c>
      <c r="K2063" s="33"/>
      <c r="L2063" s="33"/>
      <c r="M2063" s="33"/>
      <c r="N2063" s="34"/>
      <c r="O2063" s="35" t="str">
        <f>IFERROR(__xludf.DUMMYFUNCTION("IFERROR(
  VLOOKUP(C2063,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C2063
    ), 
    7, FALSE
  ), 
  """"
)
"),"")</f>
        <v/>
      </c>
      <c r="P2063" s="35"/>
      <c r="Q2063" s="36" t="str">
        <f t="shared" si="4"/>
        <v/>
      </c>
      <c r="R2063" s="33"/>
      <c r="S2063" s="31"/>
      <c r="T2063" s="37"/>
      <c r="U2063" s="37"/>
      <c r="V2063" s="37"/>
      <c r="W2063" s="37"/>
      <c r="X2063" s="25"/>
      <c r="Y2063" s="25"/>
      <c r="Z2063" s="25"/>
      <c r="AA2063" s="25"/>
      <c r="AB2063" s="25"/>
      <c r="AC2063" s="25"/>
      <c r="AD2063" s="25"/>
      <c r="AE2063" s="25"/>
      <c r="AF2063" s="25"/>
      <c r="AG2063" s="25"/>
      <c r="AH2063" s="25"/>
      <c r="AI2063" s="25"/>
      <c r="AJ2063" s="25"/>
      <c r="AK2063" s="25"/>
      <c r="AL2063" s="25"/>
      <c r="AM2063" s="25"/>
    </row>
    <row r="2064">
      <c r="A2064" s="24"/>
      <c r="B2064" s="13"/>
      <c r="C2064" s="62"/>
      <c r="D2064" s="14"/>
      <c r="E2064" s="15"/>
      <c r="F2064" s="16"/>
      <c r="G2064" s="17" t="str">
        <f t="shared" si="61"/>
        <v/>
      </c>
      <c r="H2064" s="18" t="str">
        <f t="shared" si="73"/>
        <v/>
      </c>
      <c r="I2064" s="19" t="str">
        <f t="shared" si="65"/>
        <v/>
      </c>
      <c r="J2064" s="20" t="str">
        <f t="shared" si="25"/>
        <v/>
      </c>
      <c r="K2064" s="20"/>
      <c r="L2064" s="20"/>
      <c r="M2064" s="20"/>
      <c r="N2064" s="21"/>
      <c r="O2064" s="22" t="str">
        <f>IFERROR(__xludf.DUMMYFUNCTION("IFERROR(
  VLOOKUP(C2064,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C2064
    ), 
    7, FALSE
  ), 
  """"
)
"),"")</f>
        <v/>
      </c>
      <c r="P2064" s="22"/>
      <c r="Q2064" s="23" t="str">
        <f t="shared" si="4"/>
        <v/>
      </c>
      <c r="R2064" s="20"/>
      <c r="S2064" s="18"/>
      <c r="T2064" s="24"/>
      <c r="U2064" s="24"/>
      <c r="V2064" s="24"/>
      <c r="W2064" s="24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3"/>
      <c r="AI2064" s="13"/>
      <c r="AJ2064" s="13"/>
      <c r="AK2064" s="13"/>
      <c r="AL2064" s="13"/>
      <c r="AM2064" s="13"/>
    </row>
    <row r="2065">
      <c r="A2065" s="37"/>
      <c r="B2065" s="25"/>
      <c r="C2065" s="60"/>
      <c r="D2065" s="27"/>
      <c r="E2065" s="28"/>
      <c r="F2065" s="29"/>
      <c r="G2065" s="30" t="str">
        <f t="shared" si="61"/>
        <v/>
      </c>
      <c r="H2065" s="31" t="str">
        <f t="shared" si="73"/>
        <v/>
      </c>
      <c r="I2065" s="32" t="str">
        <f t="shared" si="65"/>
        <v/>
      </c>
      <c r="J2065" s="33" t="str">
        <f t="shared" si="25"/>
        <v/>
      </c>
      <c r="K2065" s="33"/>
      <c r="L2065" s="33"/>
      <c r="M2065" s="33"/>
      <c r="N2065" s="34"/>
      <c r="O2065" s="35" t="str">
        <f>IFERROR(__xludf.DUMMYFUNCTION("IFERROR(
  VLOOKUP(C2065,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C2065
    ), 
    7, FALSE
  ), 
  """"
)
"),"")</f>
        <v/>
      </c>
      <c r="P2065" s="35"/>
      <c r="Q2065" s="36" t="str">
        <f t="shared" si="4"/>
        <v/>
      </c>
      <c r="R2065" s="33"/>
      <c r="S2065" s="31"/>
      <c r="T2065" s="37"/>
      <c r="U2065" s="37"/>
      <c r="V2065" s="37"/>
      <c r="W2065" s="37"/>
      <c r="X2065" s="25"/>
      <c r="Y2065" s="25"/>
      <c r="Z2065" s="25"/>
      <c r="AA2065" s="25"/>
      <c r="AB2065" s="25"/>
      <c r="AC2065" s="25"/>
      <c r="AD2065" s="25"/>
      <c r="AE2065" s="25"/>
      <c r="AF2065" s="25"/>
      <c r="AG2065" s="25"/>
      <c r="AH2065" s="25"/>
      <c r="AI2065" s="25"/>
      <c r="AJ2065" s="25"/>
      <c r="AK2065" s="25"/>
      <c r="AL2065" s="25"/>
      <c r="AM2065" s="25"/>
    </row>
    <row r="2066">
      <c r="A2066" s="24"/>
      <c r="B2066" s="13"/>
      <c r="C2066" s="62"/>
      <c r="D2066" s="14"/>
      <c r="E2066" s="15"/>
      <c r="F2066" s="16"/>
      <c r="G2066" s="17" t="str">
        <f t="shared" si="61"/>
        <v/>
      </c>
      <c r="H2066" s="18" t="str">
        <f t="shared" si="73"/>
        <v/>
      </c>
      <c r="I2066" s="19" t="str">
        <f t="shared" si="65"/>
        <v/>
      </c>
      <c r="J2066" s="20" t="str">
        <f t="shared" si="25"/>
        <v/>
      </c>
      <c r="K2066" s="20"/>
      <c r="L2066" s="20"/>
      <c r="M2066" s="20"/>
      <c r="N2066" s="21"/>
      <c r="O2066" s="22" t="str">
        <f>IFERROR(__xludf.DUMMYFUNCTION("IFERROR(
  VLOOKUP(C2066,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C2066
    ), 
    7, FALSE
  ), 
  """"
)
"),"")</f>
        <v/>
      </c>
      <c r="P2066" s="22"/>
      <c r="Q2066" s="23" t="str">
        <f t="shared" si="4"/>
        <v/>
      </c>
      <c r="R2066" s="20"/>
      <c r="S2066" s="18"/>
      <c r="T2066" s="24"/>
      <c r="U2066" s="24"/>
      <c r="V2066" s="24"/>
      <c r="W2066" s="24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  <c r="AH2066" s="13"/>
      <c r="AI2066" s="13"/>
      <c r="AJ2066" s="13"/>
      <c r="AK2066" s="13"/>
      <c r="AL2066" s="13"/>
      <c r="AM2066" s="13"/>
    </row>
    <row r="2067">
      <c r="A2067" s="37"/>
      <c r="B2067" s="25"/>
      <c r="C2067" s="60"/>
      <c r="D2067" s="27"/>
      <c r="E2067" s="28"/>
      <c r="F2067" s="29"/>
      <c r="G2067" s="30" t="str">
        <f t="shared" si="61"/>
        <v/>
      </c>
      <c r="H2067" s="31" t="str">
        <f t="shared" si="73"/>
        <v/>
      </c>
      <c r="I2067" s="32" t="str">
        <f t="shared" si="65"/>
        <v/>
      </c>
      <c r="J2067" s="33" t="str">
        <f t="shared" si="25"/>
        <v/>
      </c>
      <c r="K2067" s="33"/>
      <c r="L2067" s="33"/>
      <c r="M2067" s="33"/>
      <c r="N2067" s="34"/>
      <c r="O2067" s="35" t="str">
        <f>IFERROR(__xludf.DUMMYFUNCTION("IFERROR(
  VLOOKUP(C2067,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C2067
    ), 
    7, FALSE
  ), 
  """"
)
"),"")</f>
        <v/>
      </c>
      <c r="P2067" s="35"/>
      <c r="Q2067" s="36" t="str">
        <f t="shared" si="4"/>
        <v/>
      </c>
      <c r="R2067" s="33"/>
      <c r="S2067" s="31"/>
      <c r="T2067" s="37"/>
      <c r="U2067" s="37"/>
      <c r="V2067" s="37"/>
      <c r="W2067" s="37"/>
      <c r="X2067" s="25"/>
      <c r="Y2067" s="25"/>
      <c r="Z2067" s="25"/>
      <c r="AA2067" s="25"/>
      <c r="AB2067" s="25"/>
      <c r="AC2067" s="25"/>
      <c r="AD2067" s="25"/>
      <c r="AE2067" s="25"/>
      <c r="AF2067" s="25"/>
      <c r="AG2067" s="25"/>
      <c r="AH2067" s="25"/>
      <c r="AI2067" s="25"/>
      <c r="AJ2067" s="25"/>
      <c r="AK2067" s="25"/>
      <c r="AL2067" s="25"/>
      <c r="AM2067" s="25"/>
    </row>
    <row r="2068">
      <c r="A2068" s="24"/>
      <c r="B2068" s="13"/>
      <c r="C2068" s="62"/>
      <c r="D2068" s="14"/>
      <c r="E2068" s="15"/>
      <c r="F2068" s="16"/>
      <c r="G2068" s="17" t="str">
        <f t="shared" si="61"/>
        <v/>
      </c>
      <c r="H2068" s="18" t="str">
        <f t="shared" si="73"/>
        <v/>
      </c>
      <c r="I2068" s="19" t="str">
        <f t="shared" si="65"/>
        <v/>
      </c>
      <c r="J2068" s="20" t="str">
        <f t="shared" si="25"/>
        <v/>
      </c>
      <c r="K2068" s="20"/>
      <c r="L2068" s="20"/>
      <c r="M2068" s="20"/>
      <c r="N2068" s="21"/>
      <c r="O2068" s="22" t="str">
        <f>IFERROR(__xludf.DUMMYFUNCTION("IFERROR(
  VLOOKUP(C2068,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C2068
    ), 
    7, FALSE
  ), 
  """"
)
"),"")</f>
        <v/>
      </c>
      <c r="P2068" s="22"/>
      <c r="Q2068" s="23" t="str">
        <f t="shared" si="4"/>
        <v/>
      </c>
      <c r="R2068" s="20"/>
      <c r="S2068" s="18"/>
      <c r="T2068" s="24"/>
      <c r="U2068" s="24"/>
      <c r="V2068" s="24"/>
      <c r="W2068" s="24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13"/>
      <c r="AI2068" s="13"/>
      <c r="AJ2068" s="13"/>
      <c r="AK2068" s="13"/>
      <c r="AL2068" s="13"/>
      <c r="AM2068" s="13"/>
    </row>
    <row r="2069">
      <c r="A2069" s="37"/>
      <c r="B2069" s="25"/>
      <c r="C2069" s="60"/>
      <c r="D2069" s="27"/>
      <c r="E2069" s="28"/>
      <c r="F2069" s="29"/>
      <c r="G2069" s="30" t="str">
        <f t="shared" si="61"/>
        <v/>
      </c>
      <c r="H2069" s="31" t="str">
        <f t="shared" si="73"/>
        <v/>
      </c>
      <c r="I2069" s="32" t="str">
        <f t="shared" si="65"/>
        <v/>
      </c>
      <c r="J2069" s="33" t="str">
        <f t="shared" si="25"/>
        <v/>
      </c>
      <c r="K2069" s="33"/>
      <c r="L2069" s="33"/>
      <c r="M2069" s="33"/>
      <c r="N2069" s="34"/>
      <c r="O2069" s="35" t="str">
        <f>IFERROR(__xludf.DUMMYFUNCTION("IFERROR(
  VLOOKUP(C2069,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C2069
    ), 
    7, FALSE
  ), 
  """"
)
"),"")</f>
        <v/>
      </c>
      <c r="P2069" s="35"/>
      <c r="Q2069" s="36" t="str">
        <f t="shared" si="4"/>
        <v/>
      </c>
      <c r="R2069" s="33"/>
      <c r="S2069" s="31"/>
      <c r="T2069" s="37"/>
      <c r="U2069" s="37"/>
      <c r="V2069" s="37"/>
      <c r="W2069" s="37"/>
      <c r="X2069" s="25"/>
      <c r="Y2069" s="25"/>
      <c r="Z2069" s="25"/>
      <c r="AA2069" s="25"/>
      <c r="AB2069" s="25"/>
      <c r="AC2069" s="25"/>
      <c r="AD2069" s="25"/>
      <c r="AE2069" s="25"/>
      <c r="AF2069" s="25"/>
      <c r="AG2069" s="25"/>
      <c r="AH2069" s="25"/>
      <c r="AI2069" s="25"/>
      <c r="AJ2069" s="25"/>
      <c r="AK2069" s="25"/>
      <c r="AL2069" s="25"/>
      <c r="AM2069" s="25"/>
    </row>
    <row r="2070">
      <c r="A2070" s="24"/>
      <c r="B2070" s="13"/>
      <c r="C2070" s="62"/>
      <c r="D2070" s="14"/>
      <c r="E2070" s="15"/>
      <c r="F2070" s="16"/>
      <c r="G2070" s="17" t="str">
        <f t="shared" si="61"/>
        <v/>
      </c>
      <c r="H2070" s="18" t="str">
        <f t="shared" si="73"/>
        <v/>
      </c>
      <c r="I2070" s="19" t="str">
        <f t="shared" si="65"/>
        <v/>
      </c>
      <c r="J2070" s="20" t="str">
        <f t="shared" si="25"/>
        <v/>
      </c>
      <c r="K2070" s="20"/>
      <c r="L2070" s="20"/>
      <c r="M2070" s="20"/>
      <c r="N2070" s="21"/>
      <c r="O2070" s="22" t="str">
        <f>IFERROR(__xludf.DUMMYFUNCTION("IFERROR(
  VLOOKUP(C2070,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C2070
    ), 
    7, FALSE
  ), 
  """"
)
"),"")</f>
        <v/>
      </c>
      <c r="P2070" s="22"/>
      <c r="Q2070" s="23" t="str">
        <f t="shared" si="4"/>
        <v/>
      </c>
      <c r="R2070" s="20"/>
      <c r="S2070" s="18"/>
      <c r="T2070" s="24"/>
      <c r="U2070" s="24"/>
      <c r="V2070" s="24"/>
      <c r="W2070" s="24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  <c r="AH2070" s="13"/>
      <c r="AI2070" s="13"/>
      <c r="AJ2070" s="13"/>
      <c r="AK2070" s="13"/>
      <c r="AL2070" s="13"/>
      <c r="AM2070" s="13"/>
    </row>
    <row r="2071">
      <c r="A2071" s="37"/>
      <c r="B2071" s="25"/>
      <c r="C2071" s="60"/>
      <c r="D2071" s="27"/>
      <c r="E2071" s="28"/>
      <c r="F2071" s="29"/>
      <c r="G2071" s="30" t="str">
        <f t="shared" si="61"/>
        <v/>
      </c>
      <c r="H2071" s="31" t="str">
        <f t="shared" si="73"/>
        <v/>
      </c>
      <c r="I2071" s="32" t="str">
        <f t="shared" si="65"/>
        <v/>
      </c>
      <c r="J2071" s="33" t="str">
        <f t="shared" si="25"/>
        <v/>
      </c>
      <c r="K2071" s="33"/>
      <c r="L2071" s="33"/>
      <c r="M2071" s="33"/>
      <c r="N2071" s="34"/>
      <c r="O2071" s="35" t="str">
        <f>IFERROR(__xludf.DUMMYFUNCTION("IFERROR(
  VLOOKUP(C2071,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C2071
    ), 
    7, FALSE
  ), 
  """"
)
"),"")</f>
        <v/>
      </c>
      <c r="P2071" s="35"/>
      <c r="Q2071" s="36" t="str">
        <f t="shared" si="4"/>
        <v/>
      </c>
      <c r="R2071" s="33"/>
      <c r="S2071" s="31"/>
      <c r="T2071" s="37"/>
      <c r="U2071" s="37"/>
      <c r="V2071" s="37"/>
      <c r="W2071" s="37"/>
      <c r="X2071" s="25"/>
      <c r="Y2071" s="25"/>
      <c r="Z2071" s="25"/>
      <c r="AA2071" s="25"/>
      <c r="AB2071" s="25"/>
      <c r="AC2071" s="25"/>
      <c r="AD2071" s="25"/>
      <c r="AE2071" s="25"/>
      <c r="AF2071" s="25"/>
      <c r="AG2071" s="25"/>
      <c r="AH2071" s="25"/>
      <c r="AI2071" s="25"/>
      <c r="AJ2071" s="25"/>
      <c r="AK2071" s="25"/>
      <c r="AL2071" s="25"/>
      <c r="AM2071" s="25"/>
    </row>
    <row r="2072">
      <c r="A2072" s="24"/>
      <c r="B2072" s="13"/>
      <c r="C2072" s="62"/>
      <c r="D2072" s="14"/>
      <c r="E2072" s="15"/>
      <c r="F2072" s="16"/>
      <c r="G2072" s="17" t="str">
        <f t="shared" si="61"/>
        <v/>
      </c>
      <c r="H2072" s="18" t="str">
        <f t="shared" si="73"/>
        <v/>
      </c>
      <c r="I2072" s="19" t="str">
        <f t="shared" si="65"/>
        <v/>
      </c>
      <c r="J2072" s="20" t="str">
        <f t="shared" si="25"/>
        <v/>
      </c>
      <c r="K2072" s="20"/>
      <c r="L2072" s="20"/>
      <c r="M2072" s="20"/>
      <c r="N2072" s="21"/>
      <c r="O2072" s="22" t="str">
        <f>IFERROR(__xludf.DUMMYFUNCTION("IFERROR(
  VLOOKUP(C2072,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C2072
    ), 
    7, FALSE
  ), 
  """"
)
"),"")</f>
        <v/>
      </c>
      <c r="P2072" s="22"/>
      <c r="Q2072" s="23" t="str">
        <f t="shared" si="4"/>
        <v/>
      </c>
      <c r="R2072" s="20"/>
      <c r="S2072" s="18"/>
      <c r="T2072" s="24"/>
      <c r="U2072" s="24"/>
      <c r="V2072" s="24"/>
      <c r="W2072" s="24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  <c r="AH2072" s="13"/>
      <c r="AI2072" s="13"/>
      <c r="AJ2072" s="13"/>
      <c r="AK2072" s="13"/>
      <c r="AL2072" s="13"/>
      <c r="AM2072" s="13"/>
    </row>
    <row r="2073">
      <c r="A2073" s="37"/>
      <c r="B2073" s="25"/>
      <c r="C2073" s="60"/>
      <c r="D2073" s="27"/>
      <c r="E2073" s="28"/>
      <c r="F2073" s="29"/>
      <c r="G2073" s="30" t="str">
        <f t="shared" si="61"/>
        <v/>
      </c>
      <c r="H2073" s="31" t="str">
        <f t="shared" si="73"/>
        <v/>
      </c>
      <c r="I2073" s="32" t="str">
        <f t="shared" si="65"/>
        <v/>
      </c>
      <c r="J2073" s="33" t="str">
        <f t="shared" si="25"/>
        <v/>
      </c>
      <c r="K2073" s="33"/>
      <c r="L2073" s="33"/>
      <c r="M2073" s="33"/>
      <c r="N2073" s="34"/>
      <c r="O2073" s="35" t="str">
        <f>IFERROR(__xludf.DUMMYFUNCTION("IFERROR(
  VLOOKUP(C2073,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C2073
    ), 
    7, FALSE
  ), 
  """"
)
"),"")</f>
        <v/>
      </c>
      <c r="P2073" s="35"/>
      <c r="Q2073" s="36" t="str">
        <f t="shared" si="4"/>
        <v/>
      </c>
      <c r="R2073" s="33"/>
      <c r="S2073" s="31"/>
      <c r="T2073" s="37"/>
      <c r="U2073" s="37"/>
      <c r="V2073" s="37"/>
      <c r="W2073" s="37"/>
      <c r="X2073" s="25"/>
      <c r="Y2073" s="25"/>
      <c r="Z2073" s="25"/>
      <c r="AA2073" s="25"/>
      <c r="AB2073" s="25"/>
      <c r="AC2073" s="25"/>
      <c r="AD2073" s="25"/>
      <c r="AE2073" s="25"/>
      <c r="AF2073" s="25"/>
      <c r="AG2073" s="25"/>
      <c r="AH2073" s="25"/>
      <c r="AI2073" s="25"/>
      <c r="AJ2073" s="25"/>
      <c r="AK2073" s="25"/>
      <c r="AL2073" s="25"/>
      <c r="AM2073" s="25"/>
    </row>
    <row r="2074">
      <c r="A2074" s="24"/>
      <c r="B2074" s="13"/>
      <c r="C2074" s="62"/>
      <c r="D2074" s="14"/>
      <c r="E2074" s="15"/>
      <c r="F2074" s="16"/>
      <c r="G2074" s="17" t="str">
        <f t="shared" si="61"/>
        <v/>
      </c>
      <c r="H2074" s="18" t="str">
        <f t="shared" si="73"/>
        <v/>
      </c>
      <c r="I2074" s="19" t="str">
        <f t="shared" si="65"/>
        <v/>
      </c>
      <c r="J2074" s="20" t="str">
        <f t="shared" si="25"/>
        <v/>
      </c>
      <c r="K2074" s="20"/>
      <c r="L2074" s="20"/>
      <c r="M2074" s="20"/>
      <c r="N2074" s="21"/>
      <c r="O2074" s="22" t="str">
        <f>IFERROR(__xludf.DUMMYFUNCTION("IFERROR(
  VLOOKUP(C2074,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C2074
    ), 
    7, FALSE
  ), 
  """"
)
"),"")</f>
        <v/>
      </c>
      <c r="P2074" s="22"/>
      <c r="Q2074" s="23" t="str">
        <f t="shared" si="4"/>
        <v/>
      </c>
      <c r="R2074" s="20"/>
      <c r="S2074" s="18"/>
      <c r="T2074" s="24"/>
      <c r="U2074" s="24"/>
      <c r="V2074" s="24"/>
      <c r="W2074" s="24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  <c r="AH2074" s="13"/>
      <c r="AI2074" s="13"/>
      <c r="AJ2074" s="13"/>
      <c r="AK2074" s="13"/>
      <c r="AL2074" s="13"/>
      <c r="AM2074" s="13"/>
    </row>
    <row r="2075">
      <c r="A2075" s="37"/>
      <c r="B2075" s="25"/>
      <c r="C2075" s="60"/>
      <c r="D2075" s="27"/>
      <c r="E2075" s="28"/>
      <c r="F2075" s="29"/>
      <c r="G2075" s="30" t="str">
        <f t="shared" si="61"/>
        <v/>
      </c>
      <c r="H2075" s="31" t="str">
        <f t="shared" si="73"/>
        <v/>
      </c>
      <c r="I2075" s="32" t="str">
        <f t="shared" si="65"/>
        <v/>
      </c>
      <c r="J2075" s="33" t="str">
        <f t="shared" si="25"/>
        <v/>
      </c>
      <c r="K2075" s="33"/>
      <c r="L2075" s="33"/>
      <c r="M2075" s="33"/>
      <c r="N2075" s="34"/>
      <c r="O2075" s="35" t="str">
        <f>IFERROR(__xludf.DUMMYFUNCTION("IFERROR(
  VLOOKUP(C2075,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C2075
    ), 
    7, FALSE
  ), 
  """"
)
"),"")</f>
        <v/>
      </c>
      <c r="P2075" s="35"/>
      <c r="Q2075" s="36" t="str">
        <f t="shared" si="4"/>
        <v/>
      </c>
      <c r="R2075" s="33"/>
      <c r="S2075" s="31"/>
      <c r="T2075" s="37"/>
      <c r="U2075" s="37"/>
      <c r="V2075" s="37"/>
      <c r="W2075" s="37"/>
      <c r="X2075" s="25"/>
      <c r="Y2075" s="25"/>
      <c r="Z2075" s="25"/>
      <c r="AA2075" s="25"/>
      <c r="AB2075" s="25"/>
      <c r="AC2075" s="25"/>
      <c r="AD2075" s="25"/>
      <c r="AE2075" s="25"/>
      <c r="AF2075" s="25"/>
      <c r="AG2075" s="25"/>
      <c r="AH2075" s="25"/>
      <c r="AI2075" s="25"/>
      <c r="AJ2075" s="25"/>
      <c r="AK2075" s="25"/>
      <c r="AL2075" s="25"/>
      <c r="AM2075" s="25"/>
    </row>
    <row r="2076">
      <c r="A2076" s="24"/>
      <c r="B2076" s="13"/>
      <c r="C2076" s="62"/>
      <c r="D2076" s="14"/>
      <c r="E2076" s="15"/>
      <c r="F2076" s="16"/>
      <c r="G2076" s="17" t="str">
        <f t="shared" si="61"/>
        <v/>
      </c>
      <c r="H2076" s="18" t="str">
        <f t="shared" si="73"/>
        <v/>
      </c>
      <c r="I2076" s="19" t="str">
        <f t="shared" si="65"/>
        <v/>
      </c>
      <c r="J2076" s="20" t="str">
        <f t="shared" si="25"/>
        <v/>
      </c>
      <c r="K2076" s="20"/>
      <c r="L2076" s="20"/>
      <c r="M2076" s="20"/>
      <c r="N2076" s="21"/>
      <c r="O2076" s="22" t="str">
        <f>IFERROR(__xludf.DUMMYFUNCTION("IFERROR(
  VLOOKUP(C2076,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C2076
    ), 
    7, FALSE
  ), 
  """"
)
"),"")</f>
        <v/>
      </c>
      <c r="P2076" s="22"/>
      <c r="Q2076" s="23" t="str">
        <f t="shared" si="4"/>
        <v/>
      </c>
      <c r="R2076" s="20"/>
      <c r="S2076" s="18"/>
      <c r="T2076" s="24"/>
      <c r="U2076" s="24"/>
      <c r="V2076" s="24"/>
      <c r="W2076" s="24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  <c r="AH2076" s="13"/>
      <c r="AI2076" s="13"/>
      <c r="AJ2076" s="13"/>
      <c r="AK2076" s="13"/>
      <c r="AL2076" s="13"/>
      <c r="AM2076" s="13"/>
    </row>
    <row r="2077">
      <c r="A2077" s="37"/>
      <c r="B2077" s="25"/>
      <c r="C2077" s="60"/>
      <c r="D2077" s="27"/>
      <c r="E2077" s="28"/>
      <c r="F2077" s="29"/>
      <c r="G2077" s="30" t="str">
        <f t="shared" si="61"/>
        <v/>
      </c>
      <c r="H2077" s="31" t="str">
        <f t="shared" si="73"/>
        <v/>
      </c>
      <c r="I2077" s="32" t="str">
        <f t="shared" si="65"/>
        <v/>
      </c>
      <c r="J2077" s="33" t="str">
        <f t="shared" si="25"/>
        <v/>
      </c>
      <c r="K2077" s="33"/>
      <c r="L2077" s="33"/>
      <c r="M2077" s="33"/>
      <c r="N2077" s="34"/>
      <c r="O2077" s="35" t="str">
        <f>IFERROR(__xludf.DUMMYFUNCTION("IFERROR(
  VLOOKUP(C2077,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C2077
    ), 
    7, FALSE
  ), 
  """"
)
"),"")</f>
        <v/>
      </c>
      <c r="P2077" s="35"/>
      <c r="Q2077" s="36" t="str">
        <f t="shared" si="4"/>
        <v/>
      </c>
      <c r="R2077" s="33"/>
      <c r="S2077" s="31"/>
      <c r="T2077" s="37"/>
      <c r="U2077" s="37"/>
      <c r="V2077" s="37"/>
      <c r="W2077" s="37"/>
      <c r="X2077" s="25"/>
      <c r="Y2077" s="25"/>
      <c r="Z2077" s="25"/>
      <c r="AA2077" s="25"/>
      <c r="AB2077" s="25"/>
      <c r="AC2077" s="25"/>
      <c r="AD2077" s="25"/>
      <c r="AE2077" s="25"/>
      <c r="AF2077" s="25"/>
      <c r="AG2077" s="25"/>
      <c r="AH2077" s="25"/>
      <c r="AI2077" s="25"/>
      <c r="AJ2077" s="25"/>
      <c r="AK2077" s="25"/>
      <c r="AL2077" s="25"/>
      <c r="AM2077" s="25"/>
    </row>
    <row r="2078">
      <c r="A2078" s="24"/>
      <c r="B2078" s="13"/>
      <c r="C2078" s="62"/>
      <c r="D2078" s="14"/>
      <c r="E2078" s="15"/>
      <c r="F2078" s="16"/>
      <c r="G2078" s="17" t="str">
        <f t="shared" si="61"/>
        <v/>
      </c>
      <c r="H2078" s="18" t="str">
        <f t="shared" si="73"/>
        <v/>
      </c>
      <c r="I2078" s="19" t="str">
        <f t="shared" si="65"/>
        <v/>
      </c>
      <c r="J2078" s="20" t="str">
        <f t="shared" si="25"/>
        <v/>
      </c>
      <c r="K2078" s="20"/>
      <c r="L2078" s="20"/>
      <c r="M2078" s="20"/>
      <c r="N2078" s="21"/>
      <c r="O2078" s="22" t="str">
        <f>IFERROR(__xludf.DUMMYFUNCTION("IFERROR(
  VLOOKUP(C2078,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C2078
    ), 
    7, FALSE
  ), 
  """"
)
"),"")</f>
        <v/>
      </c>
      <c r="P2078" s="22"/>
      <c r="Q2078" s="23" t="str">
        <f t="shared" si="4"/>
        <v/>
      </c>
      <c r="R2078" s="20"/>
      <c r="S2078" s="18"/>
      <c r="T2078" s="24"/>
      <c r="U2078" s="24"/>
      <c r="V2078" s="24"/>
      <c r="W2078" s="24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</row>
    <row r="2079">
      <c r="A2079" s="37"/>
      <c r="B2079" s="25"/>
      <c r="C2079" s="60"/>
      <c r="D2079" s="27"/>
      <c r="E2079" s="28"/>
      <c r="F2079" s="29"/>
      <c r="G2079" s="30" t="str">
        <f t="shared" si="61"/>
        <v/>
      </c>
      <c r="H2079" s="31" t="str">
        <f t="shared" si="73"/>
        <v/>
      </c>
      <c r="I2079" s="32" t="str">
        <f t="shared" si="65"/>
        <v/>
      </c>
      <c r="J2079" s="33" t="str">
        <f t="shared" si="25"/>
        <v/>
      </c>
      <c r="K2079" s="33"/>
      <c r="L2079" s="33"/>
      <c r="M2079" s="33"/>
      <c r="N2079" s="34"/>
      <c r="O2079" s="35" t="str">
        <f>IFERROR(__xludf.DUMMYFUNCTION("IFERROR(
  VLOOKUP(C2079,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C2079
    ), 
    7, FALSE
  ), 
  """"
)
"),"")</f>
        <v/>
      </c>
      <c r="P2079" s="35"/>
      <c r="Q2079" s="36" t="str">
        <f t="shared" si="4"/>
        <v/>
      </c>
      <c r="R2079" s="33"/>
      <c r="S2079" s="31"/>
      <c r="T2079" s="37"/>
      <c r="U2079" s="37"/>
      <c r="V2079" s="37"/>
      <c r="W2079" s="37"/>
      <c r="X2079" s="25"/>
      <c r="Y2079" s="25"/>
      <c r="Z2079" s="25"/>
      <c r="AA2079" s="25"/>
      <c r="AB2079" s="25"/>
      <c r="AC2079" s="25"/>
      <c r="AD2079" s="25"/>
      <c r="AE2079" s="25"/>
      <c r="AF2079" s="25"/>
      <c r="AG2079" s="25"/>
      <c r="AH2079" s="25"/>
      <c r="AI2079" s="25"/>
      <c r="AJ2079" s="25"/>
      <c r="AK2079" s="25"/>
      <c r="AL2079" s="25"/>
      <c r="AM2079" s="25"/>
    </row>
    <row r="2080">
      <c r="A2080" s="24"/>
      <c r="B2080" s="13"/>
      <c r="C2080" s="62"/>
      <c r="D2080" s="14"/>
      <c r="E2080" s="15"/>
      <c r="F2080" s="16"/>
      <c r="G2080" s="17" t="str">
        <f t="shared" si="61"/>
        <v/>
      </c>
      <c r="H2080" s="18" t="str">
        <f t="shared" si="73"/>
        <v/>
      </c>
      <c r="I2080" s="19" t="str">
        <f t="shared" si="65"/>
        <v/>
      </c>
      <c r="J2080" s="20" t="str">
        <f t="shared" si="25"/>
        <v/>
      </c>
      <c r="K2080" s="20"/>
      <c r="L2080" s="20"/>
      <c r="M2080" s="20"/>
      <c r="N2080" s="21"/>
      <c r="O2080" s="22" t="str">
        <f>IFERROR(__xludf.DUMMYFUNCTION("IFERROR(
  VLOOKUP(C2080,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C2080
    ), 
    7, FALSE
  ), 
  """"
)
"),"")</f>
        <v/>
      </c>
      <c r="P2080" s="22"/>
      <c r="Q2080" s="23" t="str">
        <f t="shared" si="4"/>
        <v/>
      </c>
      <c r="R2080" s="20"/>
      <c r="S2080" s="18"/>
      <c r="T2080" s="24"/>
      <c r="U2080" s="24"/>
      <c r="V2080" s="24"/>
      <c r="W2080" s="24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  <c r="AH2080" s="13"/>
      <c r="AI2080" s="13"/>
      <c r="AJ2080" s="13"/>
      <c r="AK2080" s="13"/>
      <c r="AL2080" s="13"/>
      <c r="AM2080" s="13"/>
    </row>
    <row r="2081">
      <c r="A2081" s="37"/>
      <c r="B2081" s="25"/>
      <c r="C2081" s="60"/>
      <c r="D2081" s="27"/>
      <c r="E2081" s="28"/>
      <c r="F2081" s="29"/>
      <c r="G2081" s="30" t="str">
        <f t="shared" si="61"/>
        <v/>
      </c>
      <c r="H2081" s="31" t="str">
        <f t="shared" si="73"/>
        <v/>
      </c>
      <c r="I2081" s="32" t="str">
        <f t="shared" si="65"/>
        <v/>
      </c>
      <c r="J2081" s="33" t="str">
        <f t="shared" si="25"/>
        <v/>
      </c>
      <c r="K2081" s="33"/>
      <c r="L2081" s="33"/>
      <c r="M2081" s="33"/>
      <c r="N2081" s="34"/>
      <c r="O2081" s="35" t="str">
        <f>IFERROR(__xludf.DUMMYFUNCTION("IFERROR(
  VLOOKUP(C2081,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C2081
    ), 
    7, FALSE
  ), 
  """"
)
"),"")</f>
        <v/>
      </c>
      <c r="P2081" s="35"/>
      <c r="Q2081" s="36" t="str">
        <f t="shared" si="4"/>
        <v/>
      </c>
      <c r="R2081" s="33"/>
      <c r="S2081" s="31"/>
      <c r="T2081" s="37"/>
      <c r="U2081" s="37"/>
      <c r="V2081" s="37"/>
      <c r="W2081" s="37"/>
      <c r="X2081" s="25"/>
      <c r="Y2081" s="25"/>
      <c r="Z2081" s="25"/>
      <c r="AA2081" s="25"/>
      <c r="AB2081" s="25"/>
      <c r="AC2081" s="25"/>
      <c r="AD2081" s="25"/>
      <c r="AE2081" s="25"/>
      <c r="AF2081" s="25"/>
      <c r="AG2081" s="25"/>
      <c r="AH2081" s="25"/>
      <c r="AI2081" s="25"/>
      <c r="AJ2081" s="25"/>
      <c r="AK2081" s="25"/>
      <c r="AL2081" s="25"/>
      <c r="AM2081" s="25"/>
    </row>
    <row r="2082">
      <c r="A2082" s="24"/>
      <c r="B2082" s="13"/>
      <c r="C2082" s="62"/>
      <c r="D2082" s="14"/>
      <c r="E2082" s="15"/>
      <c r="F2082" s="16"/>
      <c r="G2082" s="17" t="str">
        <f t="shared" si="61"/>
        <v/>
      </c>
      <c r="H2082" s="18" t="str">
        <f t="shared" si="73"/>
        <v/>
      </c>
      <c r="I2082" s="19" t="str">
        <f t="shared" si="65"/>
        <v/>
      </c>
      <c r="J2082" s="20" t="str">
        <f t="shared" si="25"/>
        <v/>
      </c>
      <c r="K2082" s="20"/>
      <c r="L2082" s="20"/>
      <c r="M2082" s="20"/>
      <c r="N2082" s="21"/>
      <c r="O2082" s="22" t="str">
        <f>IFERROR(__xludf.DUMMYFUNCTION("IFERROR(
  VLOOKUP(C2082,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C2082
    ), 
    7, FALSE
  ), 
  """"
)
"),"")</f>
        <v/>
      </c>
      <c r="P2082" s="22"/>
      <c r="Q2082" s="23" t="str">
        <f t="shared" si="4"/>
        <v/>
      </c>
      <c r="R2082" s="20"/>
      <c r="S2082" s="18"/>
      <c r="T2082" s="24"/>
      <c r="U2082" s="24"/>
      <c r="V2082" s="24"/>
      <c r="W2082" s="24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  <c r="AH2082" s="13"/>
      <c r="AI2082" s="13"/>
      <c r="AJ2082" s="13"/>
      <c r="AK2082" s="13"/>
      <c r="AL2082" s="13"/>
      <c r="AM2082" s="13"/>
    </row>
    <row r="2083">
      <c r="A2083" s="37"/>
      <c r="B2083" s="25"/>
      <c r="C2083" s="60"/>
      <c r="D2083" s="27"/>
      <c r="E2083" s="28"/>
      <c r="F2083" s="29"/>
      <c r="G2083" s="30" t="str">
        <f t="shared" si="61"/>
        <v/>
      </c>
      <c r="H2083" s="31" t="str">
        <f t="shared" si="73"/>
        <v/>
      </c>
      <c r="I2083" s="32" t="str">
        <f t="shared" si="65"/>
        <v/>
      </c>
      <c r="J2083" s="33" t="str">
        <f t="shared" si="25"/>
        <v/>
      </c>
      <c r="K2083" s="33"/>
      <c r="L2083" s="33"/>
      <c r="M2083" s="33"/>
      <c r="N2083" s="34"/>
      <c r="O2083" s="35" t="str">
        <f>IFERROR(__xludf.DUMMYFUNCTION("IFERROR(
  VLOOKUP(C2083,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C2083
    ), 
    7, FALSE
  ), 
  """"
)
"),"")</f>
        <v/>
      </c>
      <c r="P2083" s="35"/>
      <c r="Q2083" s="36" t="str">
        <f t="shared" si="4"/>
        <v/>
      </c>
      <c r="R2083" s="33"/>
      <c r="S2083" s="31"/>
      <c r="T2083" s="37"/>
      <c r="U2083" s="37"/>
      <c r="V2083" s="37"/>
      <c r="W2083" s="37"/>
      <c r="X2083" s="25"/>
      <c r="Y2083" s="25"/>
      <c r="Z2083" s="25"/>
      <c r="AA2083" s="25"/>
      <c r="AB2083" s="25"/>
      <c r="AC2083" s="25"/>
      <c r="AD2083" s="25"/>
      <c r="AE2083" s="25"/>
      <c r="AF2083" s="25"/>
      <c r="AG2083" s="25"/>
      <c r="AH2083" s="25"/>
      <c r="AI2083" s="25"/>
      <c r="AJ2083" s="25"/>
      <c r="AK2083" s="25"/>
      <c r="AL2083" s="25"/>
      <c r="AM2083" s="25"/>
    </row>
    <row r="2084">
      <c r="A2084" s="24"/>
      <c r="B2084" s="13"/>
      <c r="C2084" s="62"/>
      <c r="D2084" s="14"/>
      <c r="E2084" s="15"/>
      <c r="F2084" s="16"/>
      <c r="G2084" s="17" t="str">
        <f t="shared" si="61"/>
        <v/>
      </c>
      <c r="H2084" s="18" t="str">
        <f t="shared" si="73"/>
        <v/>
      </c>
      <c r="I2084" s="19" t="str">
        <f t="shared" si="65"/>
        <v/>
      </c>
      <c r="J2084" s="20" t="str">
        <f t="shared" si="25"/>
        <v/>
      </c>
      <c r="K2084" s="20"/>
      <c r="L2084" s="20"/>
      <c r="M2084" s="20"/>
      <c r="N2084" s="21"/>
      <c r="O2084" s="22" t="str">
        <f>IFERROR(__xludf.DUMMYFUNCTION("IFERROR(
  VLOOKUP(C2084,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C2084
    ), 
    7, FALSE
  ), 
  """"
)
"),"")</f>
        <v/>
      </c>
      <c r="P2084" s="22"/>
      <c r="Q2084" s="23" t="str">
        <f t="shared" si="4"/>
        <v/>
      </c>
      <c r="R2084" s="20"/>
      <c r="S2084" s="18"/>
      <c r="T2084" s="24"/>
      <c r="U2084" s="24"/>
      <c r="V2084" s="24"/>
      <c r="W2084" s="24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  <c r="AH2084" s="13"/>
      <c r="AI2084" s="13"/>
      <c r="AJ2084" s="13"/>
      <c r="AK2084" s="13"/>
      <c r="AL2084" s="13"/>
      <c r="AM2084" s="13"/>
    </row>
    <row r="2085">
      <c r="A2085" s="37"/>
      <c r="B2085" s="25"/>
      <c r="C2085" s="60"/>
      <c r="D2085" s="27"/>
      <c r="E2085" s="28"/>
      <c r="F2085" s="29"/>
      <c r="G2085" s="30" t="str">
        <f t="shared" si="61"/>
        <v/>
      </c>
      <c r="H2085" s="31" t="str">
        <f t="shared" si="73"/>
        <v/>
      </c>
      <c r="I2085" s="32" t="str">
        <f t="shared" si="65"/>
        <v/>
      </c>
      <c r="J2085" s="33" t="str">
        <f t="shared" si="25"/>
        <v/>
      </c>
      <c r="K2085" s="33"/>
      <c r="L2085" s="33"/>
      <c r="M2085" s="33"/>
      <c r="N2085" s="34"/>
      <c r="O2085" s="35" t="str">
        <f>IFERROR(__xludf.DUMMYFUNCTION("IFERROR(
  VLOOKUP(C2085,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C2085
    ), 
    7, FALSE
  ), 
  """"
)
"),"")</f>
        <v/>
      </c>
      <c r="P2085" s="35"/>
      <c r="Q2085" s="36" t="str">
        <f t="shared" si="4"/>
        <v/>
      </c>
      <c r="R2085" s="33"/>
      <c r="S2085" s="31"/>
      <c r="T2085" s="37"/>
      <c r="U2085" s="37"/>
      <c r="V2085" s="37"/>
      <c r="W2085" s="37"/>
      <c r="X2085" s="25"/>
      <c r="Y2085" s="25"/>
      <c r="Z2085" s="25"/>
      <c r="AA2085" s="25"/>
      <c r="AB2085" s="25"/>
      <c r="AC2085" s="25"/>
      <c r="AD2085" s="25"/>
      <c r="AE2085" s="25"/>
      <c r="AF2085" s="25"/>
      <c r="AG2085" s="25"/>
      <c r="AH2085" s="25"/>
      <c r="AI2085" s="25"/>
      <c r="AJ2085" s="25"/>
      <c r="AK2085" s="25"/>
      <c r="AL2085" s="25"/>
      <c r="AM2085" s="25"/>
    </row>
    <row r="2086">
      <c r="A2086" s="24"/>
      <c r="B2086" s="13"/>
      <c r="C2086" s="62"/>
      <c r="D2086" s="14"/>
      <c r="E2086" s="15"/>
      <c r="F2086" s="16"/>
      <c r="G2086" s="17" t="str">
        <f t="shared" si="61"/>
        <v/>
      </c>
      <c r="H2086" s="18" t="str">
        <f t="shared" si="73"/>
        <v/>
      </c>
      <c r="I2086" s="19" t="str">
        <f t="shared" si="65"/>
        <v/>
      </c>
      <c r="J2086" s="20" t="str">
        <f t="shared" si="25"/>
        <v/>
      </c>
      <c r="K2086" s="20"/>
      <c r="L2086" s="20"/>
      <c r="M2086" s="20"/>
      <c r="N2086" s="21"/>
      <c r="O2086" s="22" t="str">
        <f>IFERROR(__xludf.DUMMYFUNCTION("IFERROR(
  VLOOKUP(C2086,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C2086
    ), 
    7, FALSE
  ), 
  """"
)
"),"")</f>
        <v/>
      </c>
      <c r="P2086" s="22"/>
      <c r="Q2086" s="23" t="str">
        <f t="shared" si="4"/>
        <v/>
      </c>
      <c r="R2086" s="20"/>
      <c r="S2086" s="18"/>
      <c r="T2086" s="24"/>
      <c r="U2086" s="24"/>
      <c r="V2086" s="24"/>
      <c r="W2086" s="24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  <c r="AH2086" s="13"/>
      <c r="AI2086" s="13"/>
      <c r="AJ2086" s="13"/>
      <c r="AK2086" s="13"/>
      <c r="AL2086" s="13"/>
      <c r="AM2086" s="13"/>
    </row>
    <row r="2087">
      <c r="A2087" s="37"/>
      <c r="B2087" s="25"/>
      <c r="C2087" s="60"/>
      <c r="D2087" s="27"/>
      <c r="E2087" s="28"/>
      <c r="F2087" s="29"/>
      <c r="G2087" s="30" t="str">
        <f t="shared" si="61"/>
        <v/>
      </c>
      <c r="H2087" s="31" t="str">
        <f t="shared" si="73"/>
        <v/>
      </c>
      <c r="I2087" s="32" t="str">
        <f t="shared" si="65"/>
        <v/>
      </c>
      <c r="J2087" s="33" t="str">
        <f t="shared" si="25"/>
        <v/>
      </c>
      <c r="K2087" s="33"/>
      <c r="L2087" s="33"/>
      <c r="M2087" s="33"/>
      <c r="N2087" s="34"/>
      <c r="O2087" s="35" t="str">
        <f>IFERROR(__xludf.DUMMYFUNCTION("IFERROR(
  VLOOKUP(C2087,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C2087
    ), 
    7, FALSE
  ), 
  """"
)
"),"")</f>
        <v/>
      </c>
      <c r="P2087" s="35"/>
      <c r="Q2087" s="36" t="str">
        <f t="shared" si="4"/>
        <v/>
      </c>
      <c r="R2087" s="33"/>
      <c r="S2087" s="31"/>
      <c r="T2087" s="37"/>
      <c r="U2087" s="37"/>
      <c r="V2087" s="37"/>
      <c r="W2087" s="37"/>
      <c r="X2087" s="25"/>
      <c r="Y2087" s="25"/>
      <c r="Z2087" s="25"/>
      <c r="AA2087" s="25"/>
      <c r="AB2087" s="25"/>
      <c r="AC2087" s="25"/>
      <c r="AD2087" s="25"/>
      <c r="AE2087" s="25"/>
      <c r="AF2087" s="25"/>
      <c r="AG2087" s="25"/>
      <c r="AH2087" s="25"/>
      <c r="AI2087" s="25"/>
      <c r="AJ2087" s="25"/>
      <c r="AK2087" s="25"/>
      <c r="AL2087" s="25"/>
      <c r="AM2087" s="25"/>
    </row>
    <row r="2088">
      <c r="A2088" s="24"/>
      <c r="B2088" s="13"/>
      <c r="C2088" s="62"/>
      <c r="D2088" s="14"/>
      <c r="E2088" s="15"/>
      <c r="F2088" s="16"/>
      <c r="G2088" s="17" t="str">
        <f t="shared" si="61"/>
        <v/>
      </c>
      <c r="H2088" s="18" t="str">
        <f t="shared" si="73"/>
        <v/>
      </c>
      <c r="I2088" s="19" t="str">
        <f t="shared" si="65"/>
        <v/>
      </c>
      <c r="J2088" s="20" t="str">
        <f t="shared" si="25"/>
        <v/>
      </c>
      <c r="K2088" s="20"/>
      <c r="L2088" s="20"/>
      <c r="M2088" s="20"/>
      <c r="N2088" s="21"/>
      <c r="O2088" s="22" t="str">
        <f>IFERROR(__xludf.DUMMYFUNCTION("IFERROR(
  VLOOKUP(C2088,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C2088
    ), 
    7, FALSE
  ), 
  """"
)
"),"")</f>
        <v/>
      </c>
      <c r="P2088" s="22"/>
      <c r="Q2088" s="23" t="str">
        <f t="shared" si="4"/>
        <v/>
      </c>
      <c r="R2088" s="20"/>
      <c r="S2088" s="18"/>
      <c r="T2088" s="24"/>
      <c r="U2088" s="24"/>
      <c r="V2088" s="24"/>
      <c r="W2088" s="24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  <c r="AH2088" s="13"/>
      <c r="AI2088" s="13"/>
      <c r="AJ2088" s="13"/>
      <c r="AK2088" s="13"/>
      <c r="AL2088" s="13"/>
      <c r="AM2088" s="13"/>
    </row>
    <row r="2089">
      <c r="A2089" s="37"/>
      <c r="B2089" s="25"/>
      <c r="C2089" s="60"/>
      <c r="D2089" s="27"/>
      <c r="E2089" s="28"/>
      <c r="F2089" s="29"/>
      <c r="G2089" s="30" t="str">
        <f t="shared" si="61"/>
        <v/>
      </c>
      <c r="H2089" s="31" t="str">
        <f t="shared" si="73"/>
        <v/>
      </c>
      <c r="I2089" s="32" t="str">
        <f t="shared" si="65"/>
        <v/>
      </c>
      <c r="J2089" s="33" t="str">
        <f t="shared" si="25"/>
        <v/>
      </c>
      <c r="K2089" s="33"/>
      <c r="L2089" s="33"/>
      <c r="M2089" s="33"/>
      <c r="N2089" s="34"/>
      <c r="O2089" s="35" t="str">
        <f>IFERROR(__xludf.DUMMYFUNCTION("IFERROR(
  VLOOKUP(C2089,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C2089
    ), 
    7, FALSE
  ), 
  """"
)
"),"")</f>
        <v/>
      </c>
      <c r="P2089" s="35"/>
      <c r="Q2089" s="36" t="str">
        <f t="shared" si="4"/>
        <v/>
      </c>
      <c r="R2089" s="33"/>
      <c r="S2089" s="31"/>
      <c r="T2089" s="37"/>
      <c r="U2089" s="37"/>
      <c r="V2089" s="37"/>
      <c r="W2089" s="37"/>
      <c r="X2089" s="25"/>
      <c r="Y2089" s="25"/>
      <c r="Z2089" s="25"/>
      <c r="AA2089" s="25"/>
      <c r="AB2089" s="25"/>
      <c r="AC2089" s="25"/>
      <c r="AD2089" s="25"/>
      <c r="AE2089" s="25"/>
      <c r="AF2089" s="25"/>
      <c r="AG2089" s="25"/>
      <c r="AH2089" s="25"/>
      <c r="AI2089" s="25"/>
      <c r="AJ2089" s="25"/>
      <c r="AK2089" s="25"/>
      <c r="AL2089" s="25"/>
      <c r="AM2089" s="25"/>
    </row>
    <row r="2090">
      <c r="A2090" s="24"/>
      <c r="B2090" s="13"/>
      <c r="C2090" s="62"/>
      <c r="D2090" s="14"/>
      <c r="E2090" s="15"/>
      <c r="F2090" s="16"/>
      <c r="G2090" s="17" t="str">
        <f t="shared" si="61"/>
        <v/>
      </c>
      <c r="H2090" s="18" t="str">
        <f t="shared" si="73"/>
        <v/>
      </c>
      <c r="I2090" s="19" t="str">
        <f t="shared" si="65"/>
        <v/>
      </c>
      <c r="J2090" s="20" t="str">
        <f t="shared" si="25"/>
        <v/>
      </c>
      <c r="K2090" s="20"/>
      <c r="L2090" s="20"/>
      <c r="M2090" s="20"/>
      <c r="N2090" s="21"/>
      <c r="O2090" s="22" t="str">
        <f>IFERROR(__xludf.DUMMYFUNCTION("IFERROR(
  VLOOKUP(C2090,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C2090
    ), 
    7, FALSE
  ), 
  """"
)
"),"")</f>
        <v/>
      </c>
      <c r="P2090" s="22"/>
      <c r="Q2090" s="23" t="str">
        <f t="shared" si="4"/>
        <v/>
      </c>
      <c r="R2090" s="20"/>
      <c r="S2090" s="18"/>
      <c r="T2090" s="24"/>
      <c r="U2090" s="24"/>
      <c r="V2090" s="24"/>
      <c r="W2090" s="24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  <c r="AH2090" s="13"/>
      <c r="AI2090" s="13"/>
      <c r="AJ2090" s="13"/>
      <c r="AK2090" s="13"/>
      <c r="AL2090" s="13"/>
      <c r="AM2090" s="13"/>
    </row>
    <row r="2091">
      <c r="A2091" s="37"/>
      <c r="B2091" s="25"/>
      <c r="C2091" s="60"/>
      <c r="D2091" s="27"/>
      <c r="E2091" s="28"/>
      <c r="F2091" s="29"/>
      <c r="G2091" s="30" t="str">
        <f t="shared" si="61"/>
        <v/>
      </c>
      <c r="H2091" s="31" t="str">
        <f t="shared" si="73"/>
        <v/>
      </c>
      <c r="I2091" s="32" t="str">
        <f t="shared" si="65"/>
        <v/>
      </c>
      <c r="J2091" s="33" t="str">
        <f t="shared" si="25"/>
        <v/>
      </c>
      <c r="K2091" s="33"/>
      <c r="L2091" s="33"/>
      <c r="M2091" s="33"/>
      <c r="N2091" s="34"/>
      <c r="O2091" s="35" t="str">
        <f>IFERROR(__xludf.DUMMYFUNCTION("IFERROR(
  VLOOKUP(C2091,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C2091
    ), 
    7, FALSE
  ), 
  """"
)
"),"")</f>
        <v/>
      </c>
      <c r="P2091" s="35"/>
      <c r="Q2091" s="36" t="str">
        <f t="shared" si="4"/>
        <v/>
      </c>
      <c r="R2091" s="33"/>
      <c r="S2091" s="31"/>
      <c r="T2091" s="37"/>
      <c r="U2091" s="37"/>
      <c r="V2091" s="37"/>
      <c r="W2091" s="37"/>
      <c r="X2091" s="25"/>
      <c r="Y2091" s="25"/>
      <c r="Z2091" s="25"/>
      <c r="AA2091" s="25"/>
      <c r="AB2091" s="25"/>
      <c r="AC2091" s="25"/>
      <c r="AD2091" s="25"/>
      <c r="AE2091" s="25"/>
      <c r="AF2091" s="25"/>
      <c r="AG2091" s="25"/>
      <c r="AH2091" s="25"/>
      <c r="AI2091" s="25"/>
      <c r="AJ2091" s="25"/>
      <c r="AK2091" s="25"/>
      <c r="AL2091" s="25"/>
      <c r="AM2091" s="25"/>
    </row>
    <row r="2092">
      <c r="A2092" s="24"/>
      <c r="B2092" s="13"/>
      <c r="C2092" s="62"/>
      <c r="D2092" s="14"/>
      <c r="E2092" s="15"/>
      <c r="F2092" s="16"/>
      <c r="G2092" s="17" t="str">
        <f t="shared" si="61"/>
        <v/>
      </c>
      <c r="H2092" s="18" t="str">
        <f t="shared" si="73"/>
        <v/>
      </c>
      <c r="I2092" s="19" t="str">
        <f t="shared" si="65"/>
        <v/>
      </c>
      <c r="J2092" s="20" t="str">
        <f t="shared" si="25"/>
        <v/>
      </c>
      <c r="K2092" s="20"/>
      <c r="L2092" s="20"/>
      <c r="M2092" s="20"/>
      <c r="N2092" s="21"/>
      <c r="O2092" s="22" t="str">
        <f>IFERROR(__xludf.DUMMYFUNCTION("IFERROR(
  VLOOKUP(C2092,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C2092
    ), 
    7, FALSE
  ), 
  """"
)
"),"")</f>
        <v/>
      </c>
      <c r="P2092" s="22"/>
      <c r="Q2092" s="23" t="str">
        <f t="shared" si="4"/>
        <v/>
      </c>
      <c r="R2092" s="20"/>
      <c r="S2092" s="18"/>
      <c r="T2092" s="24"/>
      <c r="U2092" s="24"/>
      <c r="V2092" s="24"/>
      <c r="W2092" s="24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  <c r="AH2092" s="13"/>
      <c r="AI2092" s="13"/>
      <c r="AJ2092" s="13"/>
      <c r="AK2092" s="13"/>
      <c r="AL2092" s="13"/>
      <c r="AM2092" s="13"/>
    </row>
    <row r="2093">
      <c r="A2093" s="37"/>
      <c r="B2093" s="25"/>
      <c r="C2093" s="60"/>
      <c r="D2093" s="27"/>
      <c r="E2093" s="28"/>
      <c r="F2093" s="29"/>
      <c r="G2093" s="30" t="str">
        <f t="shared" si="61"/>
        <v/>
      </c>
      <c r="H2093" s="31" t="str">
        <f t="shared" si="73"/>
        <v/>
      </c>
      <c r="I2093" s="32" t="str">
        <f t="shared" si="65"/>
        <v/>
      </c>
      <c r="J2093" s="33" t="str">
        <f t="shared" si="25"/>
        <v/>
      </c>
      <c r="K2093" s="33"/>
      <c r="L2093" s="33"/>
      <c r="M2093" s="33"/>
      <c r="N2093" s="34"/>
      <c r="O2093" s="35" t="str">
        <f>IFERROR(__xludf.DUMMYFUNCTION("IFERROR(
  VLOOKUP(C2093,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C2093
    ), 
    7, FALSE
  ), 
  """"
)
"),"")</f>
        <v/>
      </c>
      <c r="P2093" s="35"/>
      <c r="Q2093" s="36" t="str">
        <f t="shared" si="4"/>
        <v/>
      </c>
      <c r="R2093" s="33"/>
      <c r="S2093" s="31"/>
      <c r="T2093" s="37"/>
      <c r="U2093" s="37"/>
      <c r="V2093" s="37"/>
      <c r="W2093" s="37"/>
      <c r="X2093" s="25"/>
      <c r="Y2093" s="25"/>
      <c r="Z2093" s="25"/>
      <c r="AA2093" s="25"/>
      <c r="AB2093" s="25"/>
      <c r="AC2093" s="25"/>
      <c r="AD2093" s="25"/>
      <c r="AE2093" s="25"/>
      <c r="AF2093" s="25"/>
      <c r="AG2093" s="25"/>
      <c r="AH2093" s="25"/>
      <c r="AI2093" s="25"/>
      <c r="AJ2093" s="25"/>
      <c r="AK2093" s="25"/>
      <c r="AL2093" s="25"/>
      <c r="AM2093" s="25"/>
    </row>
    <row r="2094">
      <c r="A2094" s="24"/>
      <c r="B2094" s="13"/>
      <c r="C2094" s="62"/>
      <c r="D2094" s="14"/>
      <c r="E2094" s="15"/>
      <c r="F2094" s="16"/>
      <c r="G2094" s="17"/>
      <c r="H2094" s="18"/>
      <c r="I2094" s="19"/>
      <c r="J2094" s="20" t="str">
        <f t="shared" si="25"/>
        <v/>
      </c>
      <c r="K2094" s="20"/>
      <c r="L2094" s="20"/>
      <c r="M2094" s="20"/>
      <c r="N2094" s="21"/>
      <c r="O2094" s="22"/>
      <c r="P2094" s="22"/>
      <c r="Q2094" s="23"/>
      <c r="R2094" s="20"/>
      <c r="S2094" s="18"/>
      <c r="T2094" s="24"/>
      <c r="U2094" s="24"/>
      <c r="V2094" s="24"/>
      <c r="W2094" s="24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13"/>
      <c r="AK2094" s="13"/>
      <c r="AL2094" s="13"/>
      <c r="AM2094" s="13"/>
    </row>
    <row r="2095">
      <c r="A2095" s="37"/>
      <c r="B2095" s="25"/>
      <c r="C2095" s="60"/>
      <c r="D2095" s="27"/>
      <c r="E2095" s="28"/>
      <c r="F2095" s="29"/>
      <c r="G2095" s="30"/>
      <c r="H2095" s="31"/>
      <c r="I2095" s="32"/>
      <c r="J2095" s="33" t="str">
        <f t="shared" si="25"/>
        <v/>
      </c>
      <c r="K2095" s="33"/>
      <c r="L2095" s="33"/>
      <c r="M2095" s="33"/>
      <c r="N2095" s="34"/>
      <c r="O2095" s="35"/>
      <c r="P2095" s="35"/>
      <c r="Q2095" s="36"/>
      <c r="R2095" s="33"/>
      <c r="S2095" s="31"/>
      <c r="T2095" s="37"/>
      <c r="U2095" s="37"/>
      <c r="V2095" s="37"/>
      <c r="W2095" s="37"/>
      <c r="X2095" s="25"/>
      <c r="Y2095" s="25"/>
      <c r="Z2095" s="25"/>
      <c r="AA2095" s="25"/>
      <c r="AB2095" s="25"/>
      <c r="AC2095" s="25"/>
      <c r="AD2095" s="25"/>
      <c r="AE2095" s="25"/>
      <c r="AF2095" s="25"/>
      <c r="AG2095" s="25"/>
      <c r="AH2095" s="25"/>
      <c r="AI2095" s="25"/>
      <c r="AJ2095" s="25"/>
      <c r="AK2095" s="25"/>
      <c r="AL2095" s="25"/>
      <c r="AM2095" s="25"/>
    </row>
    <row r="2096">
      <c r="A2096" s="24"/>
      <c r="B2096" s="13"/>
      <c r="C2096" s="62"/>
      <c r="D2096" s="14"/>
      <c r="E2096" s="15"/>
      <c r="F2096" s="16"/>
      <c r="G2096" s="17"/>
      <c r="H2096" s="18"/>
      <c r="I2096" s="19"/>
      <c r="J2096" s="20" t="str">
        <f t="shared" si="25"/>
        <v/>
      </c>
      <c r="K2096" s="20"/>
      <c r="L2096" s="20"/>
      <c r="M2096" s="20"/>
      <c r="N2096" s="21"/>
      <c r="O2096" s="22"/>
      <c r="P2096" s="22"/>
      <c r="Q2096" s="23"/>
      <c r="R2096" s="20"/>
      <c r="S2096" s="18"/>
      <c r="T2096" s="24"/>
      <c r="U2096" s="24"/>
      <c r="V2096" s="24"/>
      <c r="W2096" s="24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  <c r="AL2096" s="13"/>
      <c r="AM2096" s="13"/>
    </row>
    <row r="2097">
      <c r="A2097" s="37"/>
      <c r="B2097" s="25"/>
      <c r="C2097" s="60"/>
      <c r="D2097" s="27"/>
      <c r="E2097" s="28"/>
      <c r="F2097" s="29"/>
      <c r="G2097" s="30"/>
      <c r="H2097" s="31"/>
      <c r="I2097" s="32"/>
      <c r="J2097" s="33" t="str">
        <f t="shared" si="25"/>
        <v/>
      </c>
      <c r="K2097" s="33"/>
      <c r="L2097" s="33"/>
      <c r="M2097" s="33"/>
      <c r="N2097" s="34"/>
      <c r="O2097" s="35"/>
      <c r="P2097" s="35"/>
      <c r="Q2097" s="36"/>
      <c r="R2097" s="33"/>
      <c r="S2097" s="31"/>
      <c r="T2097" s="37"/>
      <c r="U2097" s="37"/>
      <c r="V2097" s="37"/>
      <c r="W2097" s="37"/>
      <c r="X2097" s="25"/>
      <c r="Y2097" s="25"/>
      <c r="Z2097" s="25"/>
      <c r="AA2097" s="25"/>
      <c r="AB2097" s="25"/>
      <c r="AC2097" s="25"/>
      <c r="AD2097" s="25"/>
      <c r="AE2097" s="25"/>
      <c r="AF2097" s="25"/>
      <c r="AG2097" s="25"/>
      <c r="AH2097" s="25"/>
      <c r="AI2097" s="25"/>
      <c r="AJ2097" s="25"/>
      <c r="AK2097" s="25"/>
      <c r="AL2097" s="25"/>
      <c r="AM2097" s="25"/>
    </row>
    <row r="2098">
      <c r="A2098" s="24"/>
      <c r="B2098" s="13"/>
      <c r="C2098" s="62"/>
      <c r="D2098" s="14"/>
      <c r="E2098" s="15"/>
      <c r="F2098" s="16"/>
      <c r="G2098" s="17"/>
      <c r="H2098" s="18"/>
      <c r="I2098" s="19"/>
      <c r="J2098" s="20" t="str">
        <f t="shared" si="25"/>
        <v/>
      </c>
      <c r="K2098" s="20"/>
      <c r="L2098" s="20"/>
      <c r="M2098" s="20"/>
      <c r="N2098" s="21"/>
      <c r="O2098" s="22"/>
      <c r="P2098" s="22"/>
      <c r="Q2098" s="23"/>
      <c r="R2098" s="20"/>
      <c r="S2098" s="18"/>
      <c r="T2098" s="24"/>
      <c r="U2098" s="24"/>
      <c r="V2098" s="24"/>
      <c r="W2098" s="24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</row>
    <row r="2099">
      <c r="A2099" s="37"/>
      <c r="B2099" s="25"/>
      <c r="C2099" s="60"/>
      <c r="D2099" s="27"/>
      <c r="E2099" s="28"/>
      <c r="F2099" s="29"/>
      <c r="G2099" s="30"/>
      <c r="H2099" s="31"/>
      <c r="I2099" s="32"/>
      <c r="J2099" s="33" t="str">
        <f t="shared" si="25"/>
        <v/>
      </c>
      <c r="K2099" s="33"/>
      <c r="L2099" s="33"/>
      <c r="M2099" s="33"/>
      <c r="N2099" s="34"/>
      <c r="O2099" s="35"/>
      <c r="P2099" s="35"/>
      <c r="Q2099" s="36"/>
      <c r="R2099" s="33"/>
      <c r="S2099" s="31"/>
      <c r="T2099" s="37"/>
      <c r="U2099" s="37"/>
      <c r="V2099" s="37"/>
      <c r="W2099" s="37"/>
      <c r="X2099" s="25"/>
      <c r="Y2099" s="25"/>
      <c r="Z2099" s="25"/>
      <c r="AA2099" s="25"/>
      <c r="AB2099" s="25"/>
      <c r="AC2099" s="25"/>
      <c r="AD2099" s="25"/>
      <c r="AE2099" s="25"/>
      <c r="AF2099" s="25"/>
      <c r="AG2099" s="25"/>
      <c r="AH2099" s="25"/>
      <c r="AI2099" s="25"/>
      <c r="AJ2099" s="25"/>
      <c r="AK2099" s="25"/>
      <c r="AL2099" s="25"/>
      <c r="AM2099" s="25"/>
    </row>
    <row r="2100">
      <c r="A2100" s="24"/>
      <c r="B2100" s="13"/>
      <c r="C2100" s="62"/>
      <c r="D2100" s="14"/>
      <c r="E2100" s="15"/>
      <c r="F2100" s="16"/>
      <c r="G2100" s="17"/>
      <c r="H2100" s="18"/>
      <c r="I2100" s="19"/>
      <c r="J2100" s="20" t="str">
        <f t="shared" si="25"/>
        <v/>
      </c>
      <c r="K2100" s="20"/>
      <c r="L2100" s="20"/>
      <c r="M2100" s="20"/>
      <c r="N2100" s="21"/>
      <c r="O2100" s="22"/>
      <c r="P2100" s="22"/>
      <c r="Q2100" s="23"/>
      <c r="R2100" s="20"/>
      <c r="S2100" s="18"/>
      <c r="T2100" s="24"/>
      <c r="U2100" s="24"/>
      <c r="V2100" s="24"/>
      <c r="W2100" s="24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13"/>
      <c r="AK2100" s="13"/>
      <c r="AL2100" s="13"/>
      <c r="AM2100" s="13"/>
    </row>
    <row r="2101">
      <c r="A2101" s="37"/>
      <c r="B2101" s="25"/>
      <c r="C2101" s="60"/>
      <c r="D2101" s="27"/>
      <c r="E2101" s="28"/>
      <c r="F2101" s="29"/>
      <c r="G2101" s="30"/>
      <c r="H2101" s="31"/>
      <c r="I2101" s="32"/>
      <c r="J2101" s="33" t="str">
        <f t="shared" si="25"/>
        <v/>
      </c>
      <c r="K2101" s="33"/>
      <c r="L2101" s="33"/>
      <c r="M2101" s="33"/>
      <c r="N2101" s="34"/>
      <c r="O2101" s="35"/>
      <c r="P2101" s="35"/>
      <c r="Q2101" s="36"/>
      <c r="R2101" s="33"/>
      <c r="S2101" s="31"/>
      <c r="T2101" s="37"/>
      <c r="U2101" s="37"/>
      <c r="V2101" s="37"/>
      <c r="W2101" s="37"/>
      <c r="X2101" s="25"/>
      <c r="Y2101" s="25"/>
      <c r="Z2101" s="25"/>
      <c r="AA2101" s="25"/>
      <c r="AB2101" s="25"/>
      <c r="AC2101" s="25"/>
      <c r="AD2101" s="25"/>
      <c r="AE2101" s="25"/>
      <c r="AF2101" s="25"/>
      <c r="AG2101" s="25"/>
      <c r="AH2101" s="25"/>
      <c r="AI2101" s="25"/>
      <c r="AJ2101" s="25"/>
      <c r="AK2101" s="25"/>
      <c r="AL2101" s="25"/>
      <c r="AM2101" s="25"/>
    </row>
    <row r="2102">
      <c r="A2102" s="24"/>
      <c r="B2102" s="13"/>
      <c r="C2102" s="62"/>
      <c r="D2102" s="14"/>
      <c r="E2102" s="15"/>
      <c r="F2102" s="16"/>
      <c r="G2102" s="17"/>
      <c r="H2102" s="18"/>
      <c r="I2102" s="19"/>
      <c r="J2102" s="20" t="str">
        <f t="shared" si="25"/>
        <v/>
      </c>
      <c r="K2102" s="20"/>
      <c r="L2102" s="20"/>
      <c r="M2102" s="20"/>
      <c r="N2102" s="21"/>
      <c r="O2102" s="22"/>
      <c r="P2102" s="22"/>
      <c r="Q2102" s="23"/>
      <c r="R2102" s="20"/>
      <c r="S2102" s="18"/>
      <c r="T2102" s="24"/>
      <c r="U2102" s="24"/>
      <c r="V2102" s="24"/>
      <c r="W2102" s="24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</row>
    <row r="2103">
      <c r="A2103" s="37"/>
      <c r="B2103" s="25"/>
      <c r="C2103" s="60"/>
      <c r="D2103" s="27"/>
      <c r="E2103" s="28"/>
      <c r="F2103" s="29"/>
      <c r="G2103" s="30"/>
      <c r="H2103" s="31"/>
      <c r="I2103" s="32"/>
      <c r="J2103" s="33" t="str">
        <f t="shared" si="25"/>
        <v/>
      </c>
      <c r="K2103" s="33"/>
      <c r="L2103" s="33"/>
      <c r="M2103" s="33"/>
      <c r="N2103" s="34"/>
      <c r="O2103" s="35"/>
      <c r="P2103" s="35"/>
      <c r="Q2103" s="36"/>
      <c r="R2103" s="33"/>
      <c r="S2103" s="31"/>
      <c r="T2103" s="37"/>
      <c r="U2103" s="37"/>
      <c r="V2103" s="37"/>
      <c r="W2103" s="37"/>
      <c r="X2103" s="25"/>
      <c r="Y2103" s="25"/>
      <c r="Z2103" s="25"/>
      <c r="AA2103" s="25"/>
      <c r="AB2103" s="25"/>
      <c r="AC2103" s="25"/>
      <c r="AD2103" s="25"/>
      <c r="AE2103" s="25"/>
      <c r="AF2103" s="25"/>
      <c r="AG2103" s="25"/>
      <c r="AH2103" s="25"/>
      <c r="AI2103" s="25"/>
      <c r="AJ2103" s="25"/>
      <c r="AK2103" s="25"/>
      <c r="AL2103" s="25"/>
      <c r="AM2103" s="25"/>
    </row>
    <row r="2104">
      <c r="A2104" s="24"/>
      <c r="B2104" s="13"/>
      <c r="C2104" s="62"/>
      <c r="D2104" s="14"/>
      <c r="E2104" s="15"/>
      <c r="F2104" s="16"/>
      <c r="G2104" s="17"/>
      <c r="H2104" s="18"/>
      <c r="I2104" s="19"/>
      <c r="J2104" s="20" t="str">
        <f t="shared" si="25"/>
        <v/>
      </c>
      <c r="K2104" s="20"/>
      <c r="L2104" s="20"/>
      <c r="M2104" s="20"/>
      <c r="N2104" s="21"/>
      <c r="O2104" s="22"/>
      <c r="P2104" s="22"/>
      <c r="Q2104" s="23"/>
      <c r="R2104" s="20"/>
      <c r="S2104" s="18"/>
      <c r="T2104" s="24"/>
      <c r="U2104" s="24"/>
      <c r="V2104" s="24"/>
      <c r="W2104" s="24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  <c r="AH2104" s="13"/>
      <c r="AI2104" s="13"/>
      <c r="AJ2104" s="13"/>
      <c r="AK2104" s="13"/>
      <c r="AL2104" s="13"/>
      <c r="AM2104" s="13"/>
    </row>
    <row r="2105">
      <c r="A2105" s="37"/>
      <c r="B2105" s="25"/>
      <c r="C2105" s="60"/>
      <c r="D2105" s="27"/>
      <c r="E2105" s="28"/>
      <c r="F2105" s="29"/>
      <c r="G2105" s="30"/>
      <c r="H2105" s="31"/>
      <c r="I2105" s="32"/>
      <c r="J2105" s="33" t="str">
        <f t="shared" si="25"/>
        <v/>
      </c>
      <c r="K2105" s="33"/>
      <c r="L2105" s="33"/>
      <c r="M2105" s="33"/>
      <c r="N2105" s="34"/>
      <c r="O2105" s="35"/>
      <c r="P2105" s="35"/>
      <c r="Q2105" s="36"/>
      <c r="R2105" s="33"/>
      <c r="S2105" s="31"/>
      <c r="T2105" s="37"/>
      <c r="U2105" s="37"/>
      <c r="V2105" s="37"/>
      <c r="W2105" s="37"/>
      <c r="X2105" s="25"/>
      <c r="Y2105" s="25"/>
      <c r="Z2105" s="25"/>
      <c r="AA2105" s="25"/>
      <c r="AB2105" s="25"/>
      <c r="AC2105" s="25"/>
      <c r="AD2105" s="25"/>
      <c r="AE2105" s="25"/>
      <c r="AF2105" s="25"/>
      <c r="AG2105" s="25"/>
      <c r="AH2105" s="25"/>
      <c r="AI2105" s="25"/>
      <c r="AJ2105" s="25"/>
      <c r="AK2105" s="25"/>
      <c r="AL2105" s="25"/>
      <c r="AM2105" s="25"/>
    </row>
    <row r="2106">
      <c r="A2106" s="24"/>
      <c r="B2106" s="13"/>
      <c r="C2106" s="62"/>
      <c r="D2106" s="14"/>
      <c r="E2106" s="15"/>
      <c r="F2106" s="16"/>
      <c r="G2106" s="17"/>
      <c r="H2106" s="18"/>
      <c r="I2106" s="19"/>
      <c r="J2106" s="20" t="str">
        <f t="shared" si="25"/>
        <v/>
      </c>
      <c r="K2106" s="20"/>
      <c r="L2106" s="20"/>
      <c r="M2106" s="20"/>
      <c r="N2106" s="21"/>
      <c r="O2106" s="22"/>
      <c r="P2106" s="22"/>
      <c r="Q2106" s="23"/>
      <c r="R2106" s="20"/>
      <c r="S2106" s="18"/>
      <c r="T2106" s="24"/>
      <c r="U2106" s="24"/>
      <c r="V2106" s="24"/>
      <c r="W2106" s="24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13"/>
      <c r="AK2106" s="13"/>
      <c r="AL2106" s="13"/>
      <c r="AM2106" s="13"/>
    </row>
    <row r="2107">
      <c r="A2107" s="37"/>
      <c r="B2107" s="25"/>
      <c r="C2107" s="60"/>
      <c r="D2107" s="27"/>
      <c r="E2107" s="28"/>
      <c r="F2107" s="29"/>
      <c r="G2107" s="30"/>
      <c r="H2107" s="31"/>
      <c r="I2107" s="32"/>
      <c r="J2107" s="33" t="str">
        <f t="shared" si="25"/>
        <v/>
      </c>
      <c r="K2107" s="33"/>
      <c r="L2107" s="33"/>
      <c r="M2107" s="33"/>
      <c r="N2107" s="34"/>
      <c r="O2107" s="35"/>
      <c r="P2107" s="35"/>
      <c r="Q2107" s="36"/>
      <c r="R2107" s="33"/>
      <c r="S2107" s="31"/>
      <c r="T2107" s="37"/>
      <c r="U2107" s="37"/>
      <c r="V2107" s="37"/>
      <c r="W2107" s="37"/>
      <c r="X2107" s="25"/>
      <c r="Y2107" s="25"/>
      <c r="Z2107" s="25"/>
      <c r="AA2107" s="25"/>
      <c r="AB2107" s="25"/>
      <c r="AC2107" s="25"/>
      <c r="AD2107" s="25"/>
      <c r="AE2107" s="25"/>
      <c r="AF2107" s="25"/>
      <c r="AG2107" s="25"/>
      <c r="AH2107" s="25"/>
      <c r="AI2107" s="25"/>
      <c r="AJ2107" s="25"/>
      <c r="AK2107" s="25"/>
      <c r="AL2107" s="25"/>
      <c r="AM2107" s="25"/>
    </row>
    <row r="2108">
      <c r="A2108" s="24"/>
      <c r="B2108" s="13"/>
      <c r="C2108" s="62"/>
      <c r="D2108" s="14"/>
      <c r="E2108" s="15"/>
      <c r="F2108" s="16"/>
      <c r="G2108" s="17"/>
      <c r="H2108" s="18"/>
      <c r="I2108" s="19"/>
      <c r="J2108" s="20" t="str">
        <f t="shared" si="25"/>
        <v/>
      </c>
      <c r="K2108" s="20"/>
      <c r="L2108" s="20"/>
      <c r="M2108" s="20"/>
      <c r="N2108" s="21"/>
      <c r="O2108" s="22"/>
      <c r="P2108" s="22"/>
      <c r="Q2108" s="23"/>
      <c r="R2108" s="20"/>
      <c r="S2108" s="18"/>
      <c r="T2108" s="24"/>
      <c r="U2108" s="24"/>
      <c r="V2108" s="24"/>
      <c r="W2108" s="24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3"/>
      <c r="AM2108" s="13"/>
    </row>
    <row r="2109">
      <c r="A2109" s="37"/>
      <c r="B2109" s="25"/>
      <c r="C2109" s="60"/>
      <c r="D2109" s="27"/>
      <c r="E2109" s="28"/>
      <c r="F2109" s="29"/>
      <c r="G2109" s="30"/>
      <c r="H2109" s="31"/>
      <c r="I2109" s="32"/>
      <c r="J2109" s="33" t="str">
        <f t="shared" si="25"/>
        <v/>
      </c>
      <c r="K2109" s="33"/>
      <c r="L2109" s="33"/>
      <c r="M2109" s="33"/>
      <c r="N2109" s="34"/>
      <c r="O2109" s="35"/>
      <c r="P2109" s="35"/>
      <c r="Q2109" s="36"/>
      <c r="R2109" s="33"/>
      <c r="S2109" s="31"/>
      <c r="T2109" s="37"/>
      <c r="U2109" s="37"/>
      <c r="V2109" s="37"/>
      <c r="W2109" s="37"/>
      <c r="X2109" s="25"/>
      <c r="Y2109" s="25"/>
      <c r="Z2109" s="25"/>
      <c r="AA2109" s="25"/>
      <c r="AB2109" s="25"/>
      <c r="AC2109" s="25"/>
      <c r="AD2109" s="25"/>
      <c r="AE2109" s="25"/>
      <c r="AF2109" s="25"/>
      <c r="AG2109" s="25"/>
      <c r="AH2109" s="25"/>
      <c r="AI2109" s="25"/>
      <c r="AJ2109" s="25"/>
      <c r="AK2109" s="25"/>
      <c r="AL2109" s="25"/>
      <c r="AM2109" s="25"/>
    </row>
    <row r="2110">
      <c r="A2110" s="24"/>
      <c r="B2110" s="13"/>
      <c r="C2110" s="62"/>
      <c r="D2110" s="14"/>
      <c r="E2110" s="15"/>
      <c r="F2110" s="16"/>
      <c r="G2110" s="17"/>
      <c r="H2110" s="18"/>
      <c r="I2110" s="19"/>
      <c r="J2110" s="20" t="str">
        <f t="shared" si="25"/>
        <v/>
      </c>
      <c r="K2110" s="20"/>
      <c r="L2110" s="20"/>
      <c r="M2110" s="20"/>
      <c r="N2110" s="21"/>
      <c r="O2110" s="22"/>
      <c r="P2110" s="22"/>
      <c r="Q2110" s="23"/>
      <c r="R2110" s="20"/>
      <c r="S2110" s="18"/>
      <c r="T2110" s="24"/>
      <c r="U2110" s="24"/>
      <c r="V2110" s="24"/>
      <c r="W2110" s="24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  <c r="AH2110" s="13"/>
      <c r="AI2110" s="13"/>
      <c r="AJ2110" s="13"/>
      <c r="AK2110" s="13"/>
      <c r="AL2110" s="13"/>
      <c r="AM2110" s="13"/>
    </row>
    <row r="2111">
      <c r="A2111" s="37"/>
      <c r="B2111" s="25"/>
      <c r="C2111" s="60"/>
      <c r="D2111" s="27"/>
      <c r="E2111" s="28"/>
      <c r="F2111" s="29"/>
      <c r="G2111" s="30"/>
      <c r="H2111" s="31"/>
      <c r="I2111" s="32"/>
      <c r="J2111" s="33" t="str">
        <f t="shared" si="25"/>
        <v/>
      </c>
      <c r="K2111" s="33"/>
      <c r="L2111" s="33"/>
      <c r="M2111" s="33"/>
      <c r="N2111" s="34"/>
      <c r="O2111" s="35"/>
      <c r="P2111" s="35"/>
      <c r="Q2111" s="36"/>
      <c r="R2111" s="33"/>
      <c r="S2111" s="31"/>
      <c r="T2111" s="37"/>
      <c r="U2111" s="37"/>
      <c r="V2111" s="37"/>
      <c r="W2111" s="37"/>
      <c r="X2111" s="25"/>
      <c r="Y2111" s="25"/>
      <c r="Z2111" s="25"/>
      <c r="AA2111" s="25"/>
      <c r="AB2111" s="25"/>
      <c r="AC2111" s="25"/>
      <c r="AD2111" s="25"/>
      <c r="AE2111" s="25"/>
      <c r="AF2111" s="25"/>
      <c r="AG2111" s="25"/>
      <c r="AH2111" s="25"/>
      <c r="AI2111" s="25"/>
      <c r="AJ2111" s="25"/>
      <c r="AK2111" s="25"/>
      <c r="AL2111" s="25"/>
      <c r="AM2111" s="25"/>
    </row>
    <row r="2112">
      <c r="A2112" s="24"/>
      <c r="B2112" s="13"/>
      <c r="C2112" s="62"/>
      <c r="D2112" s="14"/>
      <c r="E2112" s="15"/>
      <c r="F2112" s="16"/>
      <c r="G2112" s="17"/>
      <c r="H2112" s="18"/>
      <c r="I2112" s="19"/>
      <c r="J2112" s="20" t="str">
        <f t="shared" si="25"/>
        <v/>
      </c>
      <c r="K2112" s="20"/>
      <c r="L2112" s="20"/>
      <c r="M2112" s="20"/>
      <c r="N2112" s="21"/>
      <c r="O2112" s="22"/>
      <c r="P2112" s="22"/>
      <c r="Q2112" s="23"/>
      <c r="R2112" s="20"/>
      <c r="S2112" s="18"/>
      <c r="T2112" s="24"/>
      <c r="U2112" s="24"/>
      <c r="V2112" s="24"/>
      <c r="W2112" s="24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  <c r="AH2112" s="13"/>
      <c r="AI2112" s="13"/>
      <c r="AJ2112" s="13"/>
      <c r="AK2112" s="13"/>
      <c r="AL2112" s="13"/>
      <c r="AM2112" s="13"/>
    </row>
    <row r="2113">
      <c r="A2113" s="37"/>
      <c r="B2113" s="25"/>
      <c r="C2113" s="60"/>
      <c r="D2113" s="27"/>
      <c r="E2113" s="28"/>
      <c r="F2113" s="29"/>
      <c r="G2113" s="30"/>
      <c r="H2113" s="31"/>
      <c r="I2113" s="32"/>
      <c r="J2113" s="33" t="str">
        <f t="shared" si="25"/>
        <v/>
      </c>
      <c r="K2113" s="33"/>
      <c r="L2113" s="33"/>
      <c r="M2113" s="33"/>
      <c r="N2113" s="34"/>
      <c r="O2113" s="35"/>
      <c r="P2113" s="35"/>
      <c r="Q2113" s="36"/>
      <c r="R2113" s="33"/>
      <c r="S2113" s="31"/>
      <c r="T2113" s="37"/>
      <c r="U2113" s="37"/>
      <c r="V2113" s="37"/>
      <c r="W2113" s="37"/>
      <c r="X2113" s="25"/>
      <c r="Y2113" s="25"/>
      <c r="Z2113" s="25"/>
      <c r="AA2113" s="25"/>
      <c r="AB2113" s="25"/>
      <c r="AC2113" s="25"/>
      <c r="AD2113" s="25"/>
      <c r="AE2113" s="25"/>
      <c r="AF2113" s="25"/>
      <c r="AG2113" s="25"/>
      <c r="AH2113" s="25"/>
      <c r="AI2113" s="25"/>
      <c r="AJ2113" s="25"/>
      <c r="AK2113" s="25"/>
      <c r="AL2113" s="25"/>
      <c r="AM2113" s="25"/>
    </row>
    <row r="2114">
      <c r="A2114" s="24"/>
      <c r="B2114" s="13"/>
      <c r="C2114" s="62"/>
      <c r="D2114" s="14"/>
      <c r="E2114" s="15"/>
      <c r="F2114" s="16"/>
      <c r="G2114" s="17"/>
      <c r="H2114" s="18"/>
      <c r="I2114" s="19"/>
      <c r="J2114" s="20" t="str">
        <f t="shared" si="25"/>
        <v/>
      </c>
      <c r="K2114" s="20"/>
      <c r="L2114" s="20"/>
      <c r="M2114" s="20"/>
      <c r="N2114" s="21"/>
      <c r="O2114" s="22"/>
      <c r="P2114" s="22"/>
      <c r="Q2114" s="23"/>
      <c r="R2114" s="20"/>
      <c r="S2114" s="18"/>
      <c r="T2114" s="24"/>
      <c r="U2114" s="24"/>
      <c r="V2114" s="24"/>
      <c r="W2114" s="24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3"/>
      <c r="AM2114" s="13"/>
    </row>
    <row r="2115">
      <c r="A2115" s="37"/>
      <c r="B2115" s="25"/>
      <c r="C2115" s="60"/>
      <c r="D2115" s="27"/>
      <c r="E2115" s="28"/>
      <c r="F2115" s="29"/>
      <c r="G2115" s="30"/>
      <c r="H2115" s="31"/>
      <c r="I2115" s="32"/>
      <c r="J2115" s="33" t="str">
        <f t="shared" si="25"/>
        <v/>
      </c>
      <c r="K2115" s="33"/>
      <c r="L2115" s="33"/>
      <c r="M2115" s="33"/>
      <c r="N2115" s="34"/>
      <c r="O2115" s="35"/>
      <c r="P2115" s="35"/>
      <c r="Q2115" s="36"/>
      <c r="R2115" s="33"/>
      <c r="S2115" s="31"/>
      <c r="T2115" s="37"/>
      <c r="U2115" s="37"/>
      <c r="V2115" s="37"/>
      <c r="W2115" s="37"/>
      <c r="X2115" s="25"/>
      <c r="Y2115" s="25"/>
      <c r="Z2115" s="25"/>
      <c r="AA2115" s="25"/>
      <c r="AB2115" s="25"/>
      <c r="AC2115" s="25"/>
      <c r="AD2115" s="25"/>
      <c r="AE2115" s="25"/>
      <c r="AF2115" s="25"/>
      <c r="AG2115" s="25"/>
      <c r="AH2115" s="25"/>
      <c r="AI2115" s="25"/>
      <c r="AJ2115" s="25"/>
      <c r="AK2115" s="25"/>
      <c r="AL2115" s="25"/>
      <c r="AM2115" s="25"/>
    </row>
    <row r="2116">
      <c r="A2116" s="24"/>
      <c r="B2116" s="13"/>
      <c r="C2116" s="62"/>
      <c r="D2116" s="14"/>
      <c r="E2116" s="15"/>
      <c r="F2116" s="16"/>
      <c r="G2116" s="17"/>
      <c r="H2116" s="18"/>
      <c r="I2116" s="19"/>
      <c r="J2116" s="20" t="str">
        <f t="shared" si="25"/>
        <v/>
      </c>
      <c r="K2116" s="20"/>
      <c r="L2116" s="20"/>
      <c r="M2116" s="20"/>
      <c r="N2116" s="21"/>
      <c r="O2116" s="22"/>
      <c r="P2116" s="22"/>
      <c r="Q2116" s="23"/>
      <c r="R2116" s="20"/>
      <c r="S2116" s="18"/>
      <c r="T2116" s="24"/>
      <c r="U2116" s="24"/>
      <c r="V2116" s="24"/>
      <c r="W2116" s="24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  <c r="AH2116" s="13"/>
      <c r="AI2116" s="13"/>
      <c r="AJ2116" s="13"/>
      <c r="AK2116" s="13"/>
      <c r="AL2116" s="13"/>
      <c r="AM2116" s="13"/>
    </row>
    <row r="2117">
      <c r="A2117" s="37"/>
      <c r="B2117" s="25"/>
      <c r="C2117" s="60"/>
      <c r="D2117" s="27"/>
      <c r="E2117" s="28"/>
      <c r="F2117" s="29"/>
      <c r="G2117" s="30"/>
      <c r="H2117" s="31"/>
      <c r="I2117" s="32"/>
      <c r="J2117" s="33" t="str">
        <f t="shared" si="25"/>
        <v/>
      </c>
      <c r="K2117" s="33"/>
      <c r="L2117" s="33"/>
      <c r="M2117" s="33"/>
      <c r="N2117" s="34"/>
      <c r="O2117" s="35"/>
      <c r="P2117" s="35"/>
      <c r="Q2117" s="36"/>
      <c r="R2117" s="33"/>
      <c r="S2117" s="31"/>
      <c r="T2117" s="37"/>
      <c r="U2117" s="37"/>
      <c r="V2117" s="37"/>
      <c r="W2117" s="37"/>
      <c r="X2117" s="25"/>
      <c r="Y2117" s="25"/>
      <c r="Z2117" s="25"/>
      <c r="AA2117" s="25"/>
      <c r="AB2117" s="25"/>
      <c r="AC2117" s="25"/>
      <c r="AD2117" s="25"/>
      <c r="AE2117" s="25"/>
      <c r="AF2117" s="25"/>
      <c r="AG2117" s="25"/>
      <c r="AH2117" s="25"/>
      <c r="AI2117" s="25"/>
      <c r="AJ2117" s="25"/>
      <c r="AK2117" s="25"/>
      <c r="AL2117" s="25"/>
      <c r="AM2117" s="25"/>
    </row>
    <row r="2118">
      <c r="A2118" s="24"/>
      <c r="B2118" s="13"/>
      <c r="C2118" s="62"/>
      <c r="D2118" s="14"/>
      <c r="E2118" s="15"/>
      <c r="F2118" s="16"/>
      <c r="G2118" s="17"/>
      <c r="H2118" s="18"/>
      <c r="I2118" s="19"/>
      <c r="J2118" s="20" t="str">
        <f t="shared" si="25"/>
        <v/>
      </c>
      <c r="K2118" s="20"/>
      <c r="L2118" s="20"/>
      <c r="M2118" s="20"/>
      <c r="N2118" s="21"/>
      <c r="O2118" s="22"/>
      <c r="P2118" s="22"/>
      <c r="Q2118" s="23"/>
      <c r="R2118" s="20"/>
      <c r="S2118" s="18"/>
      <c r="T2118" s="24"/>
      <c r="U2118" s="24"/>
      <c r="V2118" s="24"/>
      <c r="W2118" s="24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3"/>
      <c r="AI2118" s="13"/>
      <c r="AJ2118" s="13"/>
      <c r="AK2118" s="13"/>
      <c r="AL2118" s="13"/>
      <c r="AM2118" s="13"/>
    </row>
    <row r="2119">
      <c r="A2119" s="37"/>
      <c r="B2119" s="25"/>
      <c r="C2119" s="60"/>
      <c r="D2119" s="27"/>
      <c r="E2119" s="28"/>
      <c r="F2119" s="29"/>
      <c r="G2119" s="30"/>
      <c r="H2119" s="31"/>
      <c r="I2119" s="32"/>
      <c r="J2119" s="33" t="str">
        <f t="shared" si="25"/>
        <v/>
      </c>
      <c r="K2119" s="33"/>
      <c r="L2119" s="33"/>
      <c r="M2119" s="33"/>
      <c r="N2119" s="34"/>
      <c r="O2119" s="35"/>
      <c r="P2119" s="35"/>
      <c r="Q2119" s="36"/>
      <c r="R2119" s="33"/>
      <c r="S2119" s="31"/>
      <c r="T2119" s="37"/>
      <c r="U2119" s="37"/>
      <c r="V2119" s="37"/>
      <c r="W2119" s="37"/>
      <c r="X2119" s="25"/>
      <c r="Y2119" s="25"/>
      <c r="Z2119" s="25"/>
      <c r="AA2119" s="25"/>
      <c r="AB2119" s="25"/>
      <c r="AC2119" s="25"/>
      <c r="AD2119" s="25"/>
      <c r="AE2119" s="25"/>
      <c r="AF2119" s="25"/>
      <c r="AG2119" s="25"/>
      <c r="AH2119" s="25"/>
      <c r="AI2119" s="25"/>
      <c r="AJ2119" s="25"/>
      <c r="AK2119" s="25"/>
      <c r="AL2119" s="25"/>
      <c r="AM2119" s="25"/>
    </row>
    <row r="2120">
      <c r="A2120" s="24"/>
      <c r="B2120" s="13"/>
      <c r="C2120" s="62"/>
      <c r="D2120" s="14"/>
      <c r="E2120" s="15"/>
      <c r="F2120" s="16"/>
      <c r="G2120" s="17"/>
      <c r="H2120" s="18"/>
      <c r="I2120" s="19"/>
      <c r="J2120" s="20" t="str">
        <f t="shared" si="25"/>
        <v/>
      </c>
      <c r="K2120" s="20"/>
      <c r="L2120" s="20"/>
      <c r="M2120" s="20"/>
      <c r="N2120" s="21"/>
      <c r="O2120" s="22"/>
      <c r="P2120" s="22"/>
      <c r="Q2120" s="23"/>
      <c r="R2120" s="20"/>
      <c r="S2120" s="18"/>
      <c r="T2120" s="24"/>
      <c r="U2120" s="24"/>
      <c r="V2120" s="24"/>
      <c r="W2120" s="24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  <c r="AH2120" s="13"/>
      <c r="AI2120" s="13"/>
      <c r="AJ2120" s="13"/>
      <c r="AK2120" s="13"/>
      <c r="AL2120" s="13"/>
      <c r="AM2120" s="13"/>
    </row>
    <row r="2121">
      <c r="A2121" s="37"/>
      <c r="B2121" s="25"/>
      <c r="C2121" s="60"/>
      <c r="D2121" s="27"/>
      <c r="E2121" s="28"/>
      <c r="F2121" s="29"/>
      <c r="G2121" s="30"/>
      <c r="H2121" s="31"/>
      <c r="I2121" s="32"/>
      <c r="J2121" s="33" t="str">
        <f t="shared" si="25"/>
        <v/>
      </c>
      <c r="K2121" s="33"/>
      <c r="L2121" s="33"/>
      <c r="M2121" s="33"/>
      <c r="N2121" s="34"/>
      <c r="O2121" s="35"/>
      <c r="P2121" s="35"/>
      <c r="Q2121" s="36"/>
      <c r="R2121" s="33"/>
      <c r="S2121" s="31"/>
      <c r="T2121" s="37"/>
      <c r="U2121" s="37"/>
      <c r="V2121" s="37"/>
      <c r="W2121" s="37"/>
      <c r="X2121" s="25"/>
      <c r="Y2121" s="25"/>
      <c r="Z2121" s="25"/>
      <c r="AA2121" s="25"/>
      <c r="AB2121" s="25"/>
      <c r="AC2121" s="25"/>
      <c r="AD2121" s="25"/>
      <c r="AE2121" s="25"/>
      <c r="AF2121" s="25"/>
      <c r="AG2121" s="25"/>
      <c r="AH2121" s="25"/>
      <c r="AI2121" s="25"/>
      <c r="AJ2121" s="25"/>
      <c r="AK2121" s="25"/>
      <c r="AL2121" s="25"/>
      <c r="AM2121" s="25"/>
    </row>
    <row r="2122">
      <c r="A2122" s="24"/>
      <c r="B2122" s="13"/>
      <c r="C2122" s="62"/>
      <c r="D2122" s="14"/>
      <c r="E2122" s="15"/>
      <c r="F2122" s="16"/>
      <c r="G2122" s="17"/>
      <c r="H2122" s="18"/>
      <c r="I2122" s="19"/>
      <c r="J2122" s="20" t="str">
        <f t="shared" si="25"/>
        <v/>
      </c>
      <c r="K2122" s="20"/>
      <c r="L2122" s="20"/>
      <c r="M2122" s="20"/>
      <c r="N2122" s="21"/>
      <c r="O2122" s="22"/>
      <c r="P2122" s="22"/>
      <c r="Q2122" s="23"/>
      <c r="R2122" s="20"/>
      <c r="S2122" s="18"/>
      <c r="T2122" s="24"/>
      <c r="U2122" s="24"/>
      <c r="V2122" s="24"/>
      <c r="W2122" s="24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  <c r="AH2122" s="13"/>
      <c r="AI2122" s="13"/>
      <c r="AJ2122" s="13"/>
      <c r="AK2122" s="13"/>
      <c r="AL2122" s="13"/>
      <c r="AM2122" s="13"/>
    </row>
    <row r="2123">
      <c r="A2123" s="37"/>
      <c r="B2123" s="25"/>
      <c r="C2123" s="60"/>
      <c r="D2123" s="27"/>
      <c r="E2123" s="28"/>
      <c r="F2123" s="29"/>
      <c r="G2123" s="30"/>
      <c r="H2123" s="31"/>
      <c r="I2123" s="32"/>
      <c r="J2123" s="33" t="str">
        <f t="shared" si="25"/>
        <v/>
      </c>
      <c r="K2123" s="33"/>
      <c r="L2123" s="33"/>
      <c r="M2123" s="33"/>
      <c r="N2123" s="34"/>
      <c r="O2123" s="35"/>
      <c r="P2123" s="35"/>
      <c r="Q2123" s="36"/>
      <c r="R2123" s="33"/>
      <c r="S2123" s="31"/>
      <c r="T2123" s="37"/>
      <c r="U2123" s="37"/>
      <c r="V2123" s="37"/>
      <c r="W2123" s="37"/>
      <c r="X2123" s="25"/>
      <c r="Y2123" s="25"/>
      <c r="Z2123" s="25"/>
      <c r="AA2123" s="25"/>
      <c r="AB2123" s="25"/>
      <c r="AC2123" s="25"/>
      <c r="AD2123" s="25"/>
      <c r="AE2123" s="25"/>
      <c r="AF2123" s="25"/>
      <c r="AG2123" s="25"/>
      <c r="AH2123" s="25"/>
      <c r="AI2123" s="25"/>
      <c r="AJ2123" s="25"/>
      <c r="AK2123" s="25"/>
      <c r="AL2123" s="25"/>
      <c r="AM2123" s="25"/>
    </row>
    <row r="2124">
      <c r="A2124" s="24"/>
      <c r="B2124" s="13"/>
      <c r="C2124" s="62"/>
      <c r="D2124" s="14"/>
      <c r="E2124" s="15"/>
      <c r="F2124" s="16"/>
      <c r="G2124" s="17"/>
      <c r="H2124" s="18"/>
      <c r="I2124" s="19"/>
      <c r="J2124" s="20" t="str">
        <f t="shared" si="25"/>
        <v/>
      </c>
      <c r="K2124" s="20"/>
      <c r="L2124" s="20"/>
      <c r="M2124" s="20"/>
      <c r="N2124" s="21"/>
      <c r="O2124" s="22"/>
      <c r="P2124" s="22"/>
      <c r="Q2124" s="23"/>
      <c r="R2124" s="20"/>
      <c r="S2124" s="18"/>
      <c r="T2124" s="24"/>
      <c r="U2124" s="24"/>
      <c r="V2124" s="24"/>
      <c r="W2124" s="24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  <c r="AH2124" s="13"/>
      <c r="AI2124" s="13"/>
      <c r="AJ2124" s="13"/>
      <c r="AK2124" s="13"/>
      <c r="AL2124" s="13"/>
      <c r="AM2124" s="13"/>
    </row>
    <row r="2125">
      <c r="A2125" s="37"/>
      <c r="B2125" s="25"/>
      <c r="C2125" s="60"/>
      <c r="D2125" s="27"/>
      <c r="E2125" s="28"/>
      <c r="F2125" s="29"/>
      <c r="G2125" s="30"/>
      <c r="H2125" s="31"/>
      <c r="I2125" s="32"/>
      <c r="J2125" s="33" t="str">
        <f t="shared" si="25"/>
        <v/>
      </c>
      <c r="K2125" s="33"/>
      <c r="L2125" s="33"/>
      <c r="M2125" s="33"/>
      <c r="N2125" s="34"/>
      <c r="O2125" s="35"/>
      <c r="P2125" s="35"/>
      <c r="Q2125" s="36"/>
      <c r="R2125" s="33"/>
      <c r="S2125" s="31"/>
      <c r="T2125" s="37"/>
      <c r="U2125" s="37"/>
      <c r="V2125" s="37"/>
      <c r="W2125" s="37"/>
      <c r="X2125" s="25"/>
      <c r="Y2125" s="25"/>
      <c r="Z2125" s="25"/>
      <c r="AA2125" s="25"/>
      <c r="AB2125" s="25"/>
      <c r="AC2125" s="25"/>
      <c r="AD2125" s="25"/>
      <c r="AE2125" s="25"/>
      <c r="AF2125" s="25"/>
      <c r="AG2125" s="25"/>
      <c r="AH2125" s="25"/>
      <c r="AI2125" s="25"/>
      <c r="AJ2125" s="25"/>
      <c r="AK2125" s="25"/>
      <c r="AL2125" s="25"/>
      <c r="AM2125" s="25"/>
    </row>
    <row r="2126">
      <c r="A2126" s="24"/>
      <c r="B2126" s="13"/>
      <c r="C2126" s="62"/>
      <c r="D2126" s="14"/>
      <c r="E2126" s="15"/>
      <c r="F2126" s="16"/>
      <c r="G2126" s="17"/>
      <c r="H2126" s="18"/>
      <c r="I2126" s="19"/>
      <c r="J2126" s="20" t="str">
        <f t="shared" si="25"/>
        <v/>
      </c>
      <c r="K2126" s="20"/>
      <c r="L2126" s="20"/>
      <c r="M2126" s="20"/>
      <c r="N2126" s="21"/>
      <c r="O2126" s="22"/>
      <c r="P2126" s="22"/>
      <c r="Q2126" s="23"/>
      <c r="R2126" s="20"/>
      <c r="S2126" s="18"/>
      <c r="T2126" s="24"/>
      <c r="U2126" s="24"/>
      <c r="V2126" s="24"/>
      <c r="W2126" s="24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/>
      <c r="AK2126" s="13"/>
      <c r="AL2126" s="13"/>
      <c r="AM2126" s="13"/>
    </row>
    <row r="2127">
      <c r="A2127" s="37"/>
      <c r="B2127" s="25"/>
      <c r="C2127" s="60"/>
      <c r="D2127" s="27"/>
      <c r="E2127" s="28"/>
      <c r="F2127" s="29"/>
      <c r="G2127" s="30"/>
      <c r="H2127" s="31"/>
      <c r="I2127" s="32"/>
      <c r="J2127" s="33" t="str">
        <f t="shared" si="25"/>
        <v/>
      </c>
      <c r="K2127" s="33"/>
      <c r="L2127" s="33"/>
      <c r="M2127" s="33"/>
      <c r="N2127" s="34"/>
      <c r="O2127" s="35"/>
      <c r="P2127" s="35"/>
      <c r="Q2127" s="36"/>
      <c r="R2127" s="33"/>
      <c r="S2127" s="31"/>
      <c r="T2127" s="37"/>
      <c r="U2127" s="37"/>
      <c r="V2127" s="37"/>
      <c r="W2127" s="37"/>
      <c r="X2127" s="25"/>
      <c r="Y2127" s="25"/>
      <c r="Z2127" s="25"/>
      <c r="AA2127" s="25"/>
      <c r="AB2127" s="25"/>
      <c r="AC2127" s="25"/>
      <c r="AD2127" s="25"/>
      <c r="AE2127" s="25"/>
      <c r="AF2127" s="25"/>
      <c r="AG2127" s="25"/>
      <c r="AH2127" s="25"/>
      <c r="AI2127" s="25"/>
      <c r="AJ2127" s="25"/>
      <c r="AK2127" s="25"/>
      <c r="AL2127" s="25"/>
      <c r="AM2127" s="25"/>
    </row>
    <row r="2128">
      <c r="A2128" s="24"/>
      <c r="B2128" s="13"/>
      <c r="C2128" s="62"/>
      <c r="D2128" s="14"/>
      <c r="E2128" s="15"/>
      <c r="F2128" s="16"/>
      <c r="G2128" s="17"/>
      <c r="H2128" s="18"/>
      <c r="I2128" s="19"/>
      <c r="J2128" s="20" t="str">
        <f t="shared" si="25"/>
        <v/>
      </c>
      <c r="K2128" s="20"/>
      <c r="L2128" s="20"/>
      <c r="M2128" s="20"/>
      <c r="N2128" s="21"/>
      <c r="O2128" s="22"/>
      <c r="P2128" s="22"/>
      <c r="Q2128" s="23"/>
      <c r="R2128" s="20"/>
      <c r="S2128" s="18"/>
      <c r="T2128" s="24"/>
      <c r="U2128" s="24"/>
      <c r="V2128" s="24"/>
      <c r="W2128" s="24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  <c r="AH2128" s="13"/>
      <c r="AI2128" s="13"/>
      <c r="AJ2128" s="13"/>
      <c r="AK2128" s="13"/>
      <c r="AL2128" s="13"/>
      <c r="AM2128" s="13"/>
    </row>
    <row r="2129">
      <c r="A2129" s="37"/>
      <c r="B2129" s="25"/>
      <c r="C2129" s="60"/>
      <c r="D2129" s="27"/>
      <c r="E2129" s="28"/>
      <c r="F2129" s="29"/>
      <c r="G2129" s="30"/>
      <c r="H2129" s="31"/>
      <c r="I2129" s="32"/>
      <c r="J2129" s="33" t="str">
        <f t="shared" si="25"/>
        <v/>
      </c>
      <c r="K2129" s="33"/>
      <c r="L2129" s="33"/>
      <c r="M2129" s="33"/>
      <c r="N2129" s="34"/>
      <c r="O2129" s="35"/>
      <c r="P2129" s="35"/>
      <c r="Q2129" s="36"/>
      <c r="R2129" s="33"/>
      <c r="S2129" s="31"/>
      <c r="T2129" s="37"/>
      <c r="U2129" s="37"/>
      <c r="V2129" s="37"/>
      <c r="W2129" s="37"/>
      <c r="X2129" s="25"/>
      <c r="Y2129" s="25"/>
      <c r="Z2129" s="25"/>
      <c r="AA2129" s="25"/>
      <c r="AB2129" s="25"/>
      <c r="AC2129" s="25"/>
      <c r="AD2129" s="25"/>
      <c r="AE2129" s="25"/>
      <c r="AF2129" s="25"/>
      <c r="AG2129" s="25"/>
      <c r="AH2129" s="25"/>
      <c r="AI2129" s="25"/>
      <c r="AJ2129" s="25"/>
      <c r="AK2129" s="25"/>
      <c r="AL2129" s="25"/>
      <c r="AM2129" s="25"/>
    </row>
    <row r="2130">
      <c r="A2130" s="24"/>
      <c r="B2130" s="13"/>
      <c r="C2130" s="62"/>
      <c r="D2130" s="14"/>
      <c r="E2130" s="15"/>
      <c r="F2130" s="16"/>
      <c r="G2130" s="17"/>
      <c r="H2130" s="18"/>
      <c r="I2130" s="19"/>
      <c r="J2130" s="20" t="str">
        <f t="shared" si="25"/>
        <v/>
      </c>
      <c r="K2130" s="20"/>
      <c r="L2130" s="20"/>
      <c r="M2130" s="20"/>
      <c r="N2130" s="21"/>
      <c r="O2130" s="22"/>
      <c r="P2130" s="22"/>
      <c r="Q2130" s="23"/>
      <c r="R2130" s="20"/>
      <c r="S2130" s="18"/>
      <c r="T2130" s="24"/>
      <c r="U2130" s="24"/>
      <c r="V2130" s="24"/>
      <c r="W2130" s="24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  <c r="AH2130" s="13"/>
      <c r="AI2130" s="13"/>
      <c r="AJ2130" s="13"/>
      <c r="AK2130" s="13"/>
      <c r="AL2130" s="13"/>
      <c r="AM2130" s="13"/>
    </row>
    <row r="2131">
      <c r="A2131" s="37"/>
      <c r="B2131" s="25"/>
      <c r="C2131" s="60"/>
      <c r="D2131" s="27"/>
      <c r="E2131" s="28"/>
      <c r="F2131" s="29"/>
      <c r="G2131" s="30"/>
      <c r="H2131" s="31"/>
      <c r="I2131" s="32"/>
      <c r="J2131" s="33" t="str">
        <f t="shared" si="25"/>
        <v/>
      </c>
      <c r="K2131" s="33"/>
      <c r="L2131" s="33"/>
      <c r="M2131" s="33"/>
      <c r="N2131" s="34"/>
      <c r="O2131" s="35"/>
      <c r="P2131" s="35"/>
      <c r="Q2131" s="36"/>
      <c r="R2131" s="33"/>
      <c r="S2131" s="31"/>
      <c r="T2131" s="37"/>
      <c r="U2131" s="37"/>
      <c r="V2131" s="37"/>
      <c r="W2131" s="37"/>
      <c r="X2131" s="25"/>
      <c r="Y2131" s="25"/>
      <c r="Z2131" s="25"/>
      <c r="AA2131" s="25"/>
      <c r="AB2131" s="25"/>
      <c r="AC2131" s="25"/>
      <c r="AD2131" s="25"/>
      <c r="AE2131" s="25"/>
      <c r="AF2131" s="25"/>
      <c r="AG2131" s="25"/>
      <c r="AH2131" s="25"/>
      <c r="AI2131" s="25"/>
      <c r="AJ2131" s="25"/>
      <c r="AK2131" s="25"/>
      <c r="AL2131" s="25"/>
      <c r="AM2131" s="25"/>
    </row>
    <row r="2132">
      <c r="A2132" s="24"/>
      <c r="B2132" s="13"/>
      <c r="C2132" s="62"/>
      <c r="D2132" s="14"/>
      <c r="E2132" s="15"/>
      <c r="F2132" s="16"/>
      <c r="G2132" s="17"/>
      <c r="H2132" s="18"/>
      <c r="I2132" s="19"/>
      <c r="J2132" s="20" t="str">
        <f t="shared" si="25"/>
        <v/>
      </c>
      <c r="K2132" s="20"/>
      <c r="L2132" s="20"/>
      <c r="M2132" s="20"/>
      <c r="N2132" s="21"/>
      <c r="O2132" s="22"/>
      <c r="P2132" s="22"/>
      <c r="Q2132" s="23"/>
      <c r="R2132" s="20"/>
      <c r="S2132" s="18"/>
      <c r="T2132" s="24"/>
      <c r="U2132" s="24"/>
      <c r="V2132" s="24"/>
      <c r="W2132" s="24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  <c r="AH2132" s="13"/>
      <c r="AI2132" s="13"/>
      <c r="AJ2132" s="13"/>
      <c r="AK2132" s="13"/>
      <c r="AL2132" s="13"/>
      <c r="AM2132" s="13"/>
    </row>
    <row r="2133">
      <c r="A2133" s="37"/>
      <c r="B2133" s="25"/>
      <c r="C2133" s="60"/>
      <c r="D2133" s="27"/>
      <c r="E2133" s="28"/>
      <c r="F2133" s="29"/>
      <c r="G2133" s="30"/>
      <c r="H2133" s="31"/>
      <c r="I2133" s="32"/>
      <c r="J2133" s="33" t="str">
        <f t="shared" si="25"/>
        <v/>
      </c>
      <c r="K2133" s="33"/>
      <c r="L2133" s="33"/>
      <c r="M2133" s="33"/>
      <c r="N2133" s="34"/>
      <c r="O2133" s="35"/>
      <c r="P2133" s="35"/>
      <c r="Q2133" s="36"/>
      <c r="R2133" s="33"/>
      <c r="S2133" s="31"/>
      <c r="T2133" s="37"/>
      <c r="U2133" s="37"/>
      <c r="V2133" s="37"/>
      <c r="W2133" s="37"/>
      <c r="X2133" s="25"/>
      <c r="Y2133" s="25"/>
      <c r="Z2133" s="25"/>
      <c r="AA2133" s="25"/>
      <c r="AB2133" s="25"/>
      <c r="AC2133" s="25"/>
      <c r="AD2133" s="25"/>
      <c r="AE2133" s="25"/>
      <c r="AF2133" s="25"/>
      <c r="AG2133" s="25"/>
      <c r="AH2133" s="25"/>
      <c r="AI2133" s="25"/>
      <c r="AJ2133" s="25"/>
      <c r="AK2133" s="25"/>
      <c r="AL2133" s="25"/>
      <c r="AM2133" s="25"/>
    </row>
    <row r="2134">
      <c r="A2134" s="24"/>
      <c r="B2134" s="13"/>
      <c r="C2134" s="62"/>
      <c r="D2134" s="14"/>
      <c r="E2134" s="15"/>
      <c r="F2134" s="16"/>
      <c r="G2134" s="17"/>
      <c r="H2134" s="18"/>
      <c r="I2134" s="19"/>
      <c r="J2134" s="20" t="str">
        <f t="shared" si="25"/>
        <v/>
      </c>
      <c r="K2134" s="20"/>
      <c r="L2134" s="20"/>
      <c r="M2134" s="20"/>
      <c r="N2134" s="21"/>
      <c r="O2134" s="22"/>
      <c r="P2134" s="22"/>
      <c r="Q2134" s="23"/>
      <c r="R2134" s="20"/>
      <c r="S2134" s="18"/>
      <c r="T2134" s="24"/>
      <c r="U2134" s="24"/>
      <c r="V2134" s="24"/>
      <c r="W2134" s="24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  <c r="AH2134" s="13"/>
      <c r="AI2134" s="13"/>
      <c r="AJ2134" s="13"/>
      <c r="AK2134" s="13"/>
      <c r="AL2134" s="13"/>
      <c r="AM2134" s="13"/>
    </row>
    <row r="2135">
      <c r="A2135" s="37"/>
      <c r="B2135" s="25"/>
      <c r="C2135" s="60"/>
      <c r="D2135" s="27"/>
      <c r="E2135" s="28"/>
      <c r="F2135" s="29"/>
      <c r="G2135" s="30"/>
      <c r="H2135" s="31"/>
      <c r="I2135" s="32"/>
      <c r="J2135" s="33" t="str">
        <f t="shared" si="25"/>
        <v/>
      </c>
      <c r="K2135" s="33"/>
      <c r="L2135" s="33"/>
      <c r="M2135" s="33"/>
      <c r="N2135" s="34"/>
      <c r="O2135" s="35"/>
      <c r="P2135" s="35"/>
      <c r="Q2135" s="36"/>
      <c r="R2135" s="33"/>
      <c r="S2135" s="31"/>
      <c r="T2135" s="37"/>
      <c r="U2135" s="37"/>
      <c r="V2135" s="37"/>
      <c r="W2135" s="37"/>
      <c r="X2135" s="25"/>
      <c r="Y2135" s="25"/>
      <c r="Z2135" s="25"/>
      <c r="AA2135" s="25"/>
      <c r="AB2135" s="25"/>
      <c r="AC2135" s="25"/>
      <c r="AD2135" s="25"/>
      <c r="AE2135" s="25"/>
      <c r="AF2135" s="25"/>
      <c r="AG2135" s="25"/>
      <c r="AH2135" s="25"/>
      <c r="AI2135" s="25"/>
      <c r="AJ2135" s="25"/>
      <c r="AK2135" s="25"/>
      <c r="AL2135" s="25"/>
      <c r="AM2135" s="25"/>
    </row>
    <row r="2136">
      <c r="A2136" s="24"/>
      <c r="B2136" s="13"/>
      <c r="C2136" s="62"/>
      <c r="D2136" s="14"/>
      <c r="E2136" s="15"/>
      <c r="F2136" s="16"/>
      <c r="G2136" s="17"/>
      <c r="H2136" s="18"/>
      <c r="I2136" s="19"/>
      <c r="J2136" s="20" t="str">
        <f t="shared" si="25"/>
        <v/>
      </c>
      <c r="K2136" s="20"/>
      <c r="L2136" s="20"/>
      <c r="M2136" s="20"/>
      <c r="N2136" s="21"/>
      <c r="O2136" s="22"/>
      <c r="P2136" s="22"/>
      <c r="Q2136" s="23"/>
      <c r="R2136" s="20"/>
      <c r="S2136" s="18"/>
      <c r="T2136" s="24"/>
      <c r="U2136" s="24"/>
      <c r="V2136" s="24"/>
      <c r="W2136" s="24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  <c r="AH2136" s="13"/>
      <c r="AI2136" s="13"/>
      <c r="AJ2136" s="13"/>
      <c r="AK2136" s="13"/>
      <c r="AL2136" s="13"/>
      <c r="AM2136" s="13"/>
    </row>
    <row r="2137">
      <c r="A2137" s="37"/>
      <c r="B2137" s="25"/>
      <c r="C2137" s="60"/>
      <c r="D2137" s="27"/>
      <c r="E2137" s="28"/>
      <c r="F2137" s="29"/>
      <c r="G2137" s="30"/>
      <c r="H2137" s="31"/>
      <c r="I2137" s="32"/>
      <c r="J2137" s="33" t="str">
        <f t="shared" si="25"/>
        <v/>
      </c>
      <c r="K2137" s="33"/>
      <c r="L2137" s="33"/>
      <c r="M2137" s="33"/>
      <c r="N2137" s="34"/>
      <c r="O2137" s="35"/>
      <c r="P2137" s="35"/>
      <c r="Q2137" s="36"/>
      <c r="R2137" s="33"/>
      <c r="S2137" s="31"/>
      <c r="T2137" s="37"/>
      <c r="U2137" s="37"/>
      <c r="V2137" s="37"/>
      <c r="W2137" s="37"/>
      <c r="X2137" s="25"/>
      <c r="Y2137" s="25"/>
      <c r="Z2137" s="25"/>
      <c r="AA2137" s="25"/>
      <c r="AB2137" s="25"/>
      <c r="AC2137" s="25"/>
      <c r="AD2137" s="25"/>
      <c r="AE2137" s="25"/>
      <c r="AF2137" s="25"/>
      <c r="AG2137" s="25"/>
      <c r="AH2137" s="25"/>
      <c r="AI2137" s="25"/>
      <c r="AJ2137" s="25"/>
      <c r="AK2137" s="25"/>
      <c r="AL2137" s="25"/>
      <c r="AM2137" s="25"/>
    </row>
    <row r="2138">
      <c r="A2138" s="24"/>
      <c r="B2138" s="13"/>
      <c r="C2138" s="62"/>
      <c r="D2138" s="14"/>
      <c r="E2138" s="15"/>
      <c r="F2138" s="16"/>
      <c r="G2138" s="17"/>
      <c r="H2138" s="18"/>
      <c r="I2138" s="19"/>
      <c r="J2138" s="20" t="str">
        <f t="shared" si="25"/>
        <v/>
      </c>
      <c r="K2138" s="20"/>
      <c r="L2138" s="20"/>
      <c r="M2138" s="20"/>
      <c r="N2138" s="21"/>
      <c r="O2138" s="22"/>
      <c r="P2138" s="22"/>
      <c r="Q2138" s="23"/>
      <c r="R2138" s="20"/>
      <c r="S2138" s="18"/>
      <c r="T2138" s="24"/>
      <c r="U2138" s="24"/>
      <c r="V2138" s="24"/>
      <c r="W2138" s="24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13"/>
      <c r="AK2138" s="13"/>
      <c r="AL2138" s="13"/>
      <c r="AM2138" s="13"/>
    </row>
    <row r="2139">
      <c r="A2139" s="37"/>
      <c r="B2139" s="25"/>
      <c r="C2139" s="60"/>
      <c r="D2139" s="27"/>
      <c r="E2139" s="28"/>
      <c r="F2139" s="29"/>
      <c r="G2139" s="30"/>
      <c r="H2139" s="31"/>
      <c r="I2139" s="32"/>
      <c r="J2139" s="33" t="str">
        <f t="shared" si="25"/>
        <v/>
      </c>
      <c r="K2139" s="33"/>
      <c r="L2139" s="33"/>
      <c r="M2139" s="33"/>
      <c r="N2139" s="34"/>
      <c r="O2139" s="35"/>
      <c r="P2139" s="35"/>
      <c r="Q2139" s="36"/>
      <c r="R2139" s="33"/>
      <c r="S2139" s="31"/>
      <c r="T2139" s="37"/>
      <c r="U2139" s="37"/>
      <c r="V2139" s="37"/>
      <c r="W2139" s="37"/>
      <c r="X2139" s="25"/>
      <c r="Y2139" s="25"/>
      <c r="Z2139" s="25"/>
      <c r="AA2139" s="25"/>
      <c r="AB2139" s="25"/>
      <c r="AC2139" s="25"/>
      <c r="AD2139" s="25"/>
      <c r="AE2139" s="25"/>
      <c r="AF2139" s="25"/>
      <c r="AG2139" s="25"/>
      <c r="AH2139" s="25"/>
      <c r="AI2139" s="25"/>
      <c r="AJ2139" s="25"/>
      <c r="AK2139" s="25"/>
      <c r="AL2139" s="25"/>
      <c r="AM2139" s="25"/>
    </row>
    <row r="2140">
      <c r="A2140" s="24"/>
      <c r="B2140" s="13"/>
      <c r="C2140" s="62"/>
      <c r="D2140" s="14"/>
      <c r="E2140" s="15"/>
      <c r="F2140" s="16"/>
      <c r="G2140" s="17"/>
      <c r="H2140" s="18"/>
      <c r="I2140" s="19"/>
      <c r="J2140" s="20" t="str">
        <f t="shared" si="25"/>
        <v/>
      </c>
      <c r="K2140" s="20"/>
      <c r="L2140" s="20"/>
      <c r="M2140" s="20"/>
      <c r="N2140" s="21"/>
      <c r="O2140" s="22"/>
      <c r="P2140" s="22"/>
      <c r="Q2140" s="23"/>
      <c r="R2140" s="20"/>
      <c r="S2140" s="18"/>
      <c r="T2140" s="24"/>
      <c r="U2140" s="24"/>
      <c r="V2140" s="24"/>
      <c r="W2140" s="24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3"/>
      <c r="AM2140" s="13"/>
    </row>
    <row r="2141">
      <c r="A2141" s="37"/>
      <c r="B2141" s="25"/>
      <c r="C2141" s="60"/>
      <c r="D2141" s="27"/>
      <c r="E2141" s="28"/>
      <c r="F2141" s="29"/>
      <c r="G2141" s="30"/>
      <c r="H2141" s="31"/>
      <c r="I2141" s="32"/>
      <c r="J2141" s="33" t="str">
        <f t="shared" si="25"/>
        <v/>
      </c>
      <c r="K2141" s="33"/>
      <c r="L2141" s="33"/>
      <c r="M2141" s="33"/>
      <c r="N2141" s="34"/>
      <c r="O2141" s="35"/>
      <c r="P2141" s="35"/>
      <c r="Q2141" s="36"/>
      <c r="R2141" s="33"/>
      <c r="S2141" s="31"/>
      <c r="T2141" s="37"/>
      <c r="U2141" s="37"/>
      <c r="V2141" s="37"/>
      <c r="W2141" s="37"/>
      <c r="X2141" s="25"/>
      <c r="Y2141" s="25"/>
      <c r="Z2141" s="25"/>
      <c r="AA2141" s="25"/>
      <c r="AB2141" s="25"/>
      <c r="AC2141" s="25"/>
      <c r="AD2141" s="25"/>
      <c r="AE2141" s="25"/>
      <c r="AF2141" s="25"/>
      <c r="AG2141" s="25"/>
      <c r="AH2141" s="25"/>
      <c r="AI2141" s="25"/>
      <c r="AJ2141" s="25"/>
      <c r="AK2141" s="25"/>
      <c r="AL2141" s="25"/>
      <c r="AM2141" s="25"/>
    </row>
    <row r="2142">
      <c r="A2142" s="24"/>
      <c r="B2142" s="13"/>
      <c r="C2142" s="62"/>
      <c r="D2142" s="14"/>
      <c r="E2142" s="15"/>
      <c r="F2142" s="16"/>
      <c r="G2142" s="17"/>
      <c r="H2142" s="18"/>
      <c r="I2142" s="19"/>
      <c r="J2142" s="20" t="str">
        <f t="shared" si="25"/>
        <v/>
      </c>
      <c r="K2142" s="20"/>
      <c r="L2142" s="20"/>
      <c r="M2142" s="20"/>
      <c r="N2142" s="21"/>
      <c r="O2142" s="22"/>
      <c r="P2142" s="22"/>
      <c r="Q2142" s="23"/>
      <c r="R2142" s="20"/>
      <c r="S2142" s="18"/>
      <c r="T2142" s="24"/>
      <c r="U2142" s="24"/>
      <c r="V2142" s="24"/>
      <c r="W2142" s="24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  <c r="AH2142" s="13"/>
      <c r="AI2142" s="13"/>
      <c r="AJ2142" s="13"/>
      <c r="AK2142" s="13"/>
      <c r="AL2142" s="13"/>
      <c r="AM2142" s="13"/>
    </row>
    <row r="2143">
      <c r="A2143" s="37"/>
      <c r="B2143" s="25"/>
      <c r="C2143" s="60"/>
      <c r="D2143" s="27"/>
      <c r="E2143" s="28"/>
      <c r="F2143" s="29"/>
      <c r="G2143" s="30"/>
      <c r="H2143" s="31"/>
      <c r="I2143" s="32"/>
      <c r="J2143" s="33" t="str">
        <f t="shared" si="25"/>
        <v/>
      </c>
      <c r="K2143" s="33"/>
      <c r="L2143" s="33"/>
      <c r="M2143" s="33"/>
      <c r="N2143" s="34"/>
      <c r="O2143" s="35"/>
      <c r="P2143" s="35"/>
      <c r="Q2143" s="36"/>
      <c r="R2143" s="33"/>
      <c r="S2143" s="31"/>
      <c r="T2143" s="37"/>
      <c r="U2143" s="37"/>
      <c r="V2143" s="37"/>
      <c r="W2143" s="37"/>
      <c r="X2143" s="25"/>
      <c r="Y2143" s="25"/>
      <c r="Z2143" s="25"/>
      <c r="AA2143" s="25"/>
      <c r="AB2143" s="25"/>
      <c r="AC2143" s="25"/>
      <c r="AD2143" s="25"/>
      <c r="AE2143" s="25"/>
      <c r="AF2143" s="25"/>
      <c r="AG2143" s="25"/>
      <c r="AH2143" s="25"/>
      <c r="AI2143" s="25"/>
      <c r="AJ2143" s="25"/>
      <c r="AK2143" s="25"/>
      <c r="AL2143" s="25"/>
      <c r="AM2143" s="25"/>
    </row>
    <row r="2144">
      <c r="A2144" s="24"/>
      <c r="B2144" s="13"/>
      <c r="C2144" s="62"/>
      <c r="D2144" s="14"/>
      <c r="E2144" s="15"/>
      <c r="F2144" s="16"/>
      <c r="G2144" s="17"/>
      <c r="H2144" s="18"/>
      <c r="I2144" s="19"/>
      <c r="J2144" s="20" t="str">
        <f t="shared" si="25"/>
        <v/>
      </c>
      <c r="K2144" s="20"/>
      <c r="L2144" s="20"/>
      <c r="M2144" s="20"/>
      <c r="N2144" s="21"/>
      <c r="O2144" s="22"/>
      <c r="P2144" s="22"/>
      <c r="Q2144" s="23"/>
      <c r="R2144" s="20"/>
      <c r="S2144" s="18"/>
      <c r="T2144" s="24"/>
      <c r="U2144" s="24"/>
      <c r="V2144" s="24"/>
      <c r="W2144" s="24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  <c r="AH2144" s="13"/>
      <c r="AI2144" s="13"/>
      <c r="AJ2144" s="13"/>
      <c r="AK2144" s="13"/>
      <c r="AL2144" s="13"/>
      <c r="AM2144" s="13"/>
    </row>
    <row r="2145">
      <c r="A2145" s="37"/>
      <c r="B2145" s="25"/>
      <c r="C2145" s="60"/>
      <c r="D2145" s="27"/>
      <c r="E2145" s="28"/>
      <c r="F2145" s="29"/>
      <c r="G2145" s="30"/>
      <c r="H2145" s="31"/>
      <c r="I2145" s="32"/>
      <c r="J2145" s="33" t="str">
        <f t="shared" si="25"/>
        <v/>
      </c>
      <c r="K2145" s="33"/>
      <c r="L2145" s="33"/>
      <c r="M2145" s="33"/>
      <c r="N2145" s="34"/>
      <c r="O2145" s="35"/>
      <c r="P2145" s="35"/>
      <c r="Q2145" s="36"/>
      <c r="R2145" s="33"/>
      <c r="S2145" s="31"/>
      <c r="T2145" s="37"/>
      <c r="U2145" s="37"/>
      <c r="V2145" s="37"/>
      <c r="W2145" s="37"/>
      <c r="X2145" s="25"/>
      <c r="Y2145" s="25"/>
      <c r="Z2145" s="25"/>
      <c r="AA2145" s="25"/>
      <c r="AB2145" s="25"/>
      <c r="AC2145" s="25"/>
      <c r="AD2145" s="25"/>
      <c r="AE2145" s="25"/>
      <c r="AF2145" s="25"/>
      <c r="AG2145" s="25"/>
      <c r="AH2145" s="25"/>
      <c r="AI2145" s="25"/>
      <c r="AJ2145" s="25"/>
      <c r="AK2145" s="25"/>
      <c r="AL2145" s="25"/>
      <c r="AM2145" s="25"/>
    </row>
    <row r="2146">
      <c r="A2146" s="24"/>
      <c r="B2146" s="13"/>
      <c r="C2146" s="62"/>
      <c r="D2146" s="14"/>
      <c r="E2146" s="15"/>
      <c r="F2146" s="16"/>
      <c r="G2146" s="17"/>
      <c r="H2146" s="18"/>
      <c r="I2146" s="19"/>
      <c r="J2146" s="20" t="str">
        <f t="shared" si="25"/>
        <v/>
      </c>
      <c r="K2146" s="20"/>
      <c r="L2146" s="20"/>
      <c r="M2146" s="20"/>
      <c r="N2146" s="21"/>
      <c r="O2146" s="22"/>
      <c r="P2146" s="22"/>
      <c r="Q2146" s="23"/>
      <c r="R2146" s="20"/>
      <c r="S2146" s="18"/>
      <c r="T2146" s="24"/>
      <c r="U2146" s="24"/>
      <c r="V2146" s="24"/>
      <c r="W2146" s="24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  <c r="AH2146" s="13"/>
      <c r="AI2146" s="13"/>
      <c r="AJ2146" s="13"/>
      <c r="AK2146" s="13"/>
      <c r="AL2146" s="13"/>
      <c r="AM2146" s="13"/>
    </row>
    <row r="2147">
      <c r="A2147" s="37"/>
      <c r="B2147" s="25"/>
      <c r="C2147" s="60"/>
      <c r="D2147" s="27"/>
      <c r="E2147" s="28"/>
      <c r="F2147" s="29"/>
      <c r="G2147" s="30"/>
      <c r="H2147" s="31"/>
      <c r="I2147" s="32"/>
      <c r="J2147" s="33" t="str">
        <f t="shared" si="25"/>
        <v/>
      </c>
      <c r="K2147" s="33"/>
      <c r="L2147" s="33"/>
      <c r="M2147" s="33"/>
      <c r="N2147" s="34"/>
      <c r="O2147" s="35"/>
      <c r="P2147" s="35"/>
      <c r="Q2147" s="36"/>
      <c r="R2147" s="33"/>
      <c r="S2147" s="31"/>
      <c r="T2147" s="37"/>
      <c r="U2147" s="37"/>
      <c r="V2147" s="37"/>
      <c r="W2147" s="37"/>
      <c r="X2147" s="25"/>
      <c r="Y2147" s="25"/>
      <c r="Z2147" s="25"/>
      <c r="AA2147" s="25"/>
      <c r="AB2147" s="25"/>
      <c r="AC2147" s="25"/>
      <c r="AD2147" s="25"/>
      <c r="AE2147" s="25"/>
      <c r="AF2147" s="25"/>
      <c r="AG2147" s="25"/>
      <c r="AH2147" s="25"/>
      <c r="AI2147" s="25"/>
      <c r="AJ2147" s="25"/>
      <c r="AK2147" s="25"/>
      <c r="AL2147" s="25"/>
      <c r="AM2147" s="25"/>
    </row>
    <row r="2148">
      <c r="A2148" s="24"/>
      <c r="B2148" s="13"/>
      <c r="C2148" s="62"/>
      <c r="D2148" s="14"/>
      <c r="E2148" s="15"/>
      <c r="F2148" s="16"/>
      <c r="G2148" s="17"/>
      <c r="H2148" s="18"/>
      <c r="I2148" s="19"/>
      <c r="J2148" s="20" t="str">
        <f t="shared" si="25"/>
        <v/>
      </c>
      <c r="K2148" s="20"/>
      <c r="L2148" s="20"/>
      <c r="M2148" s="20"/>
      <c r="N2148" s="21"/>
      <c r="O2148" s="22"/>
      <c r="P2148" s="22"/>
      <c r="Q2148" s="23"/>
      <c r="R2148" s="20"/>
      <c r="S2148" s="18"/>
      <c r="T2148" s="24"/>
      <c r="U2148" s="24"/>
      <c r="V2148" s="24"/>
      <c r="W2148" s="24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  <c r="AH2148" s="13"/>
      <c r="AI2148" s="13"/>
      <c r="AJ2148" s="13"/>
      <c r="AK2148" s="13"/>
      <c r="AL2148" s="13"/>
      <c r="AM2148" s="13"/>
    </row>
    <row r="2149">
      <c r="A2149" s="37"/>
      <c r="B2149" s="25"/>
      <c r="C2149" s="60"/>
      <c r="D2149" s="27"/>
      <c r="E2149" s="28"/>
      <c r="F2149" s="29"/>
      <c r="G2149" s="30"/>
      <c r="H2149" s="31"/>
      <c r="I2149" s="32"/>
      <c r="J2149" s="33" t="str">
        <f t="shared" si="25"/>
        <v/>
      </c>
      <c r="K2149" s="33"/>
      <c r="L2149" s="33"/>
      <c r="M2149" s="33"/>
      <c r="N2149" s="34"/>
      <c r="O2149" s="35"/>
      <c r="P2149" s="35"/>
      <c r="Q2149" s="36"/>
      <c r="R2149" s="33"/>
      <c r="S2149" s="31"/>
      <c r="T2149" s="37"/>
      <c r="U2149" s="37"/>
      <c r="V2149" s="37"/>
      <c r="W2149" s="37"/>
      <c r="X2149" s="25"/>
      <c r="Y2149" s="25"/>
      <c r="Z2149" s="25"/>
      <c r="AA2149" s="25"/>
      <c r="AB2149" s="25"/>
      <c r="AC2149" s="25"/>
      <c r="AD2149" s="25"/>
      <c r="AE2149" s="25"/>
      <c r="AF2149" s="25"/>
      <c r="AG2149" s="25"/>
      <c r="AH2149" s="25"/>
      <c r="AI2149" s="25"/>
      <c r="AJ2149" s="25"/>
      <c r="AK2149" s="25"/>
      <c r="AL2149" s="25"/>
      <c r="AM2149" s="25"/>
    </row>
    <row r="2150">
      <c r="A2150" s="24"/>
      <c r="B2150" s="13"/>
      <c r="C2150" s="62"/>
      <c r="D2150" s="14"/>
      <c r="E2150" s="15"/>
      <c r="F2150" s="16"/>
      <c r="G2150" s="17"/>
      <c r="H2150" s="18"/>
      <c r="I2150" s="19"/>
      <c r="J2150" s="20" t="str">
        <f t="shared" si="25"/>
        <v/>
      </c>
      <c r="K2150" s="20"/>
      <c r="L2150" s="20"/>
      <c r="M2150" s="20"/>
      <c r="N2150" s="21"/>
      <c r="O2150" s="22"/>
      <c r="P2150" s="22"/>
      <c r="Q2150" s="23"/>
      <c r="R2150" s="20"/>
      <c r="S2150" s="18"/>
      <c r="T2150" s="24"/>
      <c r="U2150" s="24"/>
      <c r="V2150" s="24"/>
      <c r="W2150" s="24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  <c r="AH2150" s="13"/>
      <c r="AI2150" s="13"/>
      <c r="AJ2150" s="13"/>
      <c r="AK2150" s="13"/>
      <c r="AL2150" s="13"/>
      <c r="AM2150" s="13"/>
    </row>
    <row r="2151">
      <c r="A2151" s="37"/>
      <c r="B2151" s="25"/>
      <c r="C2151" s="60"/>
      <c r="D2151" s="27"/>
      <c r="E2151" s="28"/>
      <c r="F2151" s="29"/>
      <c r="G2151" s="30"/>
      <c r="H2151" s="31"/>
      <c r="I2151" s="32"/>
      <c r="J2151" s="33" t="str">
        <f t="shared" si="25"/>
        <v/>
      </c>
      <c r="K2151" s="33"/>
      <c r="L2151" s="33"/>
      <c r="M2151" s="33"/>
      <c r="N2151" s="34"/>
      <c r="O2151" s="35"/>
      <c r="P2151" s="35"/>
      <c r="Q2151" s="36"/>
      <c r="R2151" s="33"/>
      <c r="S2151" s="31"/>
      <c r="T2151" s="37"/>
      <c r="U2151" s="37"/>
      <c r="V2151" s="37"/>
      <c r="W2151" s="37"/>
      <c r="X2151" s="25"/>
      <c r="Y2151" s="25"/>
      <c r="Z2151" s="25"/>
      <c r="AA2151" s="25"/>
      <c r="AB2151" s="25"/>
      <c r="AC2151" s="25"/>
      <c r="AD2151" s="25"/>
      <c r="AE2151" s="25"/>
      <c r="AF2151" s="25"/>
      <c r="AG2151" s="25"/>
      <c r="AH2151" s="25"/>
      <c r="AI2151" s="25"/>
      <c r="AJ2151" s="25"/>
      <c r="AK2151" s="25"/>
      <c r="AL2151" s="25"/>
      <c r="AM2151" s="25"/>
    </row>
    <row r="2152">
      <c r="A2152" s="24"/>
      <c r="B2152" s="13"/>
      <c r="C2152" s="62"/>
      <c r="D2152" s="14"/>
      <c r="E2152" s="15"/>
      <c r="F2152" s="16"/>
      <c r="G2152" s="17"/>
      <c r="H2152" s="18"/>
      <c r="I2152" s="19"/>
      <c r="J2152" s="20" t="str">
        <f t="shared" si="25"/>
        <v/>
      </c>
      <c r="K2152" s="20"/>
      <c r="L2152" s="20"/>
      <c r="M2152" s="20"/>
      <c r="N2152" s="21"/>
      <c r="O2152" s="22"/>
      <c r="P2152" s="22"/>
      <c r="Q2152" s="23"/>
      <c r="R2152" s="20"/>
      <c r="S2152" s="18"/>
      <c r="T2152" s="24"/>
      <c r="U2152" s="24"/>
      <c r="V2152" s="24"/>
      <c r="W2152" s="24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  <c r="AH2152" s="13"/>
      <c r="AI2152" s="13"/>
      <c r="AJ2152" s="13"/>
      <c r="AK2152" s="13"/>
      <c r="AL2152" s="13"/>
      <c r="AM2152" s="13"/>
    </row>
    <row r="2153">
      <c r="A2153" s="37"/>
      <c r="B2153" s="25"/>
      <c r="C2153" s="60"/>
      <c r="D2153" s="27"/>
      <c r="E2153" s="28"/>
      <c r="F2153" s="29"/>
      <c r="G2153" s="30"/>
      <c r="H2153" s="31"/>
      <c r="I2153" s="32"/>
      <c r="J2153" s="33" t="str">
        <f t="shared" si="25"/>
        <v/>
      </c>
      <c r="K2153" s="33"/>
      <c r="L2153" s="33"/>
      <c r="M2153" s="33"/>
      <c r="N2153" s="34"/>
      <c r="O2153" s="35"/>
      <c r="P2153" s="35"/>
      <c r="Q2153" s="36"/>
      <c r="R2153" s="33"/>
      <c r="S2153" s="31"/>
      <c r="T2153" s="37"/>
      <c r="U2153" s="37"/>
      <c r="V2153" s="37"/>
      <c r="W2153" s="37"/>
      <c r="X2153" s="25"/>
      <c r="Y2153" s="25"/>
      <c r="Z2153" s="25"/>
      <c r="AA2153" s="25"/>
      <c r="AB2153" s="25"/>
      <c r="AC2153" s="25"/>
      <c r="AD2153" s="25"/>
      <c r="AE2153" s="25"/>
      <c r="AF2153" s="25"/>
      <c r="AG2153" s="25"/>
      <c r="AH2153" s="25"/>
      <c r="AI2153" s="25"/>
      <c r="AJ2153" s="25"/>
      <c r="AK2153" s="25"/>
      <c r="AL2153" s="25"/>
      <c r="AM2153" s="25"/>
    </row>
    <row r="2154">
      <c r="A2154" s="24"/>
      <c r="B2154" s="13"/>
      <c r="C2154" s="62"/>
      <c r="D2154" s="14"/>
      <c r="E2154" s="15"/>
      <c r="F2154" s="16"/>
      <c r="G2154" s="17"/>
      <c r="H2154" s="18"/>
      <c r="I2154" s="19"/>
      <c r="J2154" s="20" t="str">
        <f t="shared" si="25"/>
        <v/>
      </c>
      <c r="K2154" s="20"/>
      <c r="L2154" s="20"/>
      <c r="M2154" s="20"/>
      <c r="N2154" s="21"/>
      <c r="O2154" s="22"/>
      <c r="P2154" s="22"/>
      <c r="Q2154" s="23"/>
      <c r="R2154" s="20"/>
      <c r="S2154" s="18"/>
      <c r="T2154" s="24"/>
      <c r="U2154" s="24"/>
      <c r="V2154" s="24"/>
      <c r="W2154" s="24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  <c r="AH2154" s="13"/>
      <c r="AI2154" s="13"/>
      <c r="AJ2154" s="13"/>
      <c r="AK2154" s="13"/>
      <c r="AL2154" s="13"/>
      <c r="AM2154" s="13"/>
    </row>
    <row r="2155">
      <c r="A2155" s="37"/>
      <c r="B2155" s="25"/>
      <c r="C2155" s="60"/>
      <c r="D2155" s="27"/>
      <c r="E2155" s="28"/>
      <c r="F2155" s="29"/>
      <c r="G2155" s="30"/>
      <c r="H2155" s="31"/>
      <c r="I2155" s="32"/>
      <c r="J2155" s="33" t="str">
        <f t="shared" si="25"/>
        <v/>
      </c>
      <c r="K2155" s="33"/>
      <c r="L2155" s="33"/>
      <c r="M2155" s="33"/>
      <c r="N2155" s="34"/>
      <c r="O2155" s="35"/>
      <c r="P2155" s="35"/>
      <c r="Q2155" s="36"/>
      <c r="R2155" s="33"/>
      <c r="S2155" s="31"/>
      <c r="T2155" s="37"/>
      <c r="U2155" s="37"/>
      <c r="V2155" s="37"/>
      <c r="W2155" s="37"/>
      <c r="X2155" s="25"/>
      <c r="Y2155" s="25"/>
      <c r="Z2155" s="25"/>
      <c r="AA2155" s="25"/>
      <c r="AB2155" s="25"/>
      <c r="AC2155" s="25"/>
      <c r="AD2155" s="25"/>
      <c r="AE2155" s="25"/>
      <c r="AF2155" s="25"/>
      <c r="AG2155" s="25"/>
      <c r="AH2155" s="25"/>
      <c r="AI2155" s="25"/>
      <c r="AJ2155" s="25"/>
      <c r="AK2155" s="25"/>
      <c r="AL2155" s="25"/>
      <c r="AM2155" s="25"/>
    </row>
    <row r="2156">
      <c r="A2156" s="24"/>
      <c r="B2156" s="13"/>
      <c r="C2156" s="62"/>
      <c r="D2156" s="14"/>
      <c r="E2156" s="15"/>
      <c r="F2156" s="16"/>
      <c r="G2156" s="17"/>
      <c r="H2156" s="18"/>
      <c r="I2156" s="19"/>
      <c r="J2156" s="20" t="str">
        <f t="shared" si="25"/>
        <v/>
      </c>
      <c r="K2156" s="20"/>
      <c r="L2156" s="20"/>
      <c r="M2156" s="20"/>
      <c r="N2156" s="21"/>
      <c r="O2156" s="22"/>
      <c r="P2156" s="22"/>
      <c r="Q2156" s="23"/>
      <c r="R2156" s="20"/>
      <c r="S2156" s="18"/>
      <c r="T2156" s="24"/>
      <c r="U2156" s="24"/>
      <c r="V2156" s="24"/>
      <c r="W2156" s="24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  <c r="AH2156" s="13"/>
      <c r="AI2156" s="13"/>
      <c r="AJ2156" s="13"/>
      <c r="AK2156" s="13"/>
      <c r="AL2156" s="13"/>
      <c r="AM2156" s="13"/>
    </row>
    <row r="2157">
      <c r="A2157" s="37"/>
      <c r="B2157" s="25"/>
      <c r="C2157" s="60"/>
      <c r="D2157" s="27"/>
      <c r="E2157" s="28"/>
      <c r="F2157" s="29"/>
      <c r="G2157" s="30"/>
      <c r="H2157" s="31"/>
      <c r="I2157" s="32"/>
      <c r="J2157" s="33" t="str">
        <f t="shared" si="25"/>
        <v/>
      </c>
      <c r="K2157" s="33"/>
      <c r="L2157" s="33"/>
      <c r="M2157" s="33"/>
      <c r="N2157" s="34"/>
      <c r="O2157" s="35"/>
      <c r="P2157" s="35"/>
      <c r="Q2157" s="36"/>
      <c r="R2157" s="33"/>
      <c r="S2157" s="31"/>
      <c r="T2157" s="37"/>
      <c r="U2157" s="37"/>
      <c r="V2157" s="37"/>
      <c r="W2157" s="37"/>
      <c r="X2157" s="25"/>
      <c r="Y2157" s="25"/>
      <c r="Z2157" s="25"/>
      <c r="AA2157" s="25"/>
      <c r="AB2157" s="25"/>
      <c r="AC2157" s="25"/>
      <c r="AD2157" s="25"/>
      <c r="AE2157" s="25"/>
      <c r="AF2157" s="25"/>
      <c r="AG2157" s="25"/>
      <c r="AH2157" s="25"/>
      <c r="AI2157" s="25"/>
      <c r="AJ2157" s="25"/>
      <c r="AK2157" s="25"/>
      <c r="AL2157" s="25"/>
      <c r="AM2157" s="25"/>
    </row>
    <row r="2158">
      <c r="A2158" s="24"/>
      <c r="B2158" s="13"/>
      <c r="C2158" s="62"/>
      <c r="D2158" s="14"/>
      <c r="E2158" s="15"/>
      <c r="F2158" s="16"/>
      <c r="G2158" s="17"/>
      <c r="H2158" s="18"/>
      <c r="I2158" s="19"/>
      <c r="J2158" s="20" t="str">
        <f t="shared" si="25"/>
        <v/>
      </c>
      <c r="K2158" s="20"/>
      <c r="L2158" s="20"/>
      <c r="M2158" s="20"/>
      <c r="N2158" s="21"/>
      <c r="O2158" s="22"/>
      <c r="P2158" s="22"/>
      <c r="Q2158" s="23"/>
      <c r="R2158" s="20"/>
      <c r="S2158" s="18"/>
      <c r="T2158" s="24"/>
      <c r="U2158" s="24"/>
      <c r="V2158" s="24"/>
      <c r="W2158" s="24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  <c r="AH2158" s="13"/>
      <c r="AI2158" s="13"/>
      <c r="AJ2158" s="13"/>
      <c r="AK2158" s="13"/>
      <c r="AL2158" s="13"/>
      <c r="AM2158" s="13"/>
    </row>
    <row r="2159">
      <c r="A2159" s="37"/>
      <c r="B2159" s="25"/>
      <c r="C2159" s="60"/>
      <c r="D2159" s="27"/>
      <c r="E2159" s="28"/>
      <c r="F2159" s="29"/>
      <c r="G2159" s="30"/>
      <c r="H2159" s="31"/>
      <c r="I2159" s="32"/>
      <c r="J2159" s="33" t="str">
        <f t="shared" si="25"/>
        <v/>
      </c>
      <c r="K2159" s="33"/>
      <c r="L2159" s="33"/>
      <c r="M2159" s="33"/>
      <c r="N2159" s="34"/>
      <c r="O2159" s="35"/>
      <c r="P2159" s="35"/>
      <c r="Q2159" s="36"/>
      <c r="R2159" s="33"/>
      <c r="S2159" s="31"/>
      <c r="T2159" s="37"/>
      <c r="U2159" s="37"/>
      <c r="V2159" s="37"/>
      <c r="W2159" s="37"/>
      <c r="X2159" s="25"/>
      <c r="Y2159" s="25"/>
      <c r="Z2159" s="25"/>
      <c r="AA2159" s="25"/>
      <c r="AB2159" s="25"/>
      <c r="AC2159" s="25"/>
      <c r="AD2159" s="25"/>
      <c r="AE2159" s="25"/>
      <c r="AF2159" s="25"/>
      <c r="AG2159" s="25"/>
      <c r="AH2159" s="25"/>
      <c r="AI2159" s="25"/>
      <c r="AJ2159" s="25"/>
      <c r="AK2159" s="25"/>
      <c r="AL2159" s="25"/>
      <c r="AM2159" s="25"/>
    </row>
    <row r="2160">
      <c r="A2160" s="24"/>
      <c r="B2160" s="13"/>
      <c r="C2160" s="62"/>
      <c r="D2160" s="14"/>
      <c r="E2160" s="15"/>
      <c r="F2160" s="16"/>
      <c r="G2160" s="17"/>
      <c r="H2160" s="18"/>
      <c r="I2160" s="19"/>
      <c r="J2160" s="20" t="str">
        <f t="shared" si="25"/>
        <v/>
      </c>
      <c r="K2160" s="20"/>
      <c r="L2160" s="20"/>
      <c r="M2160" s="20"/>
      <c r="N2160" s="21"/>
      <c r="O2160" s="22"/>
      <c r="P2160" s="22"/>
      <c r="Q2160" s="23"/>
      <c r="R2160" s="20"/>
      <c r="S2160" s="18"/>
      <c r="T2160" s="24"/>
      <c r="U2160" s="24"/>
      <c r="V2160" s="24"/>
      <c r="W2160" s="24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  <c r="AH2160" s="13"/>
      <c r="AI2160" s="13"/>
      <c r="AJ2160" s="13"/>
      <c r="AK2160" s="13"/>
      <c r="AL2160" s="13"/>
      <c r="AM2160" s="13"/>
    </row>
    <row r="2161">
      <c r="A2161" s="37"/>
      <c r="B2161" s="25"/>
      <c r="C2161" s="60"/>
      <c r="D2161" s="27"/>
      <c r="E2161" s="28"/>
      <c r="F2161" s="29"/>
      <c r="G2161" s="30"/>
      <c r="H2161" s="31"/>
      <c r="I2161" s="32"/>
      <c r="J2161" s="33" t="str">
        <f t="shared" si="25"/>
        <v/>
      </c>
      <c r="K2161" s="33"/>
      <c r="L2161" s="33"/>
      <c r="M2161" s="33"/>
      <c r="N2161" s="34"/>
      <c r="O2161" s="35"/>
      <c r="P2161" s="35"/>
      <c r="Q2161" s="36"/>
      <c r="R2161" s="33"/>
      <c r="S2161" s="31"/>
      <c r="T2161" s="37"/>
      <c r="U2161" s="37"/>
      <c r="V2161" s="37"/>
      <c r="W2161" s="37"/>
      <c r="X2161" s="25"/>
      <c r="Y2161" s="25"/>
      <c r="Z2161" s="25"/>
      <c r="AA2161" s="25"/>
      <c r="AB2161" s="25"/>
      <c r="AC2161" s="25"/>
      <c r="AD2161" s="25"/>
      <c r="AE2161" s="25"/>
      <c r="AF2161" s="25"/>
      <c r="AG2161" s="25"/>
      <c r="AH2161" s="25"/>
      <c r="AI2161" s="25"/>
      <c r="AJ2161" s="25"/>
      <c r="AK2161" s="25"/>
      <c r="AL2161" s="25"/>
      <c r="AM2161" s="25"/>
    </row>
    <row r="2162">
      <c r="A2162" s="24"/>
      <c r="B2162" s="13"/>
      <c r="C2162" s="62"/>
      <c r="D2162" s="14"/>
      <c r="E2162" s="15"/>
      <c r="F2162" s="16"/>
      <c r="G2162" s="17"/>
      <c r="H2162" s="18"/>
      <c r="I2162" s="19"/>
      <c r="J2162" s="20" t="str">
        <f t="shared" si="25"/>
        <v/>
      </c>
      <c r="K2162" s="20"/>
      <c r="L2162" s="20"/>
      <c r="M2162" s="20"/>
      <c r="N2162" s="21"/>
      <c r="O2162" s="22"/>
      <c r="P2162" s="22"/>
      <c r="Q2162" s="23"/>
      <c r="R2162" s="20"/>
      <c r="S2162" s="18"/>
      <c r="T2162" s="24"/>
      <c r="U2162" s="24"/>
      <c r="V2162" s="24"/>
      <c r="W2162" s="24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  <c r="AH2162" s="13"/>
      <c r="AI2162" s="13"/>
      <c r="AJ2162" s="13"/>
      <c r="AK2162" s="13"/>
      <c r="AL2162" s="13"/>
      <c r="AM2162" s="13"/>
    </row>
    <row r="2163">
      <c r="A2163" s="37"/>
      <c r="B2163" s="25"/>
      <c r="C2163" s="60"/>
      <c r="D2163" s="27"/>
      <c r="E2163" s="28"/>
      <c r="F2163" s="29"/>
      <c r="G2163" s="30"/>
      <c r="H2163" s="31"/>
      <c r="I2163" s="32"/>
      <c r="J2163" s="33" t="str">
        <f t="shared" si="25"/>
        <v/>
      </c>
      <c r="K2163" s="33"/>
      <c r="L2163" s="33"/>
      <c r="M2163" s="33"/>
      <c r="N2163" s="34"/>
      <c r="O2163" s="35"/>
      <c r="P2163" s="35"/>
      <c r="Q2163" s="36"/>
      <c r="R2163" s="33"/>
      <c r="S2163" s="31"/>
      <c r="T2163" s="37"/>
      <c r="U2163" s="37"/>
      <c r="V2163" s="37"/>
      <c r="W2163" s="37"/>
      <c r="X2163" s="25"/>
      <c r="Y2163" s="25"/>
      <c r="Z2163" s="25"/>
      <c r="AA2163" s="25"/>
      <c r="AB2163" s="25"/>
      <c r="AC2163" s="25"/>
      <c r="AD2163" s="25"/>
      <c r="AE2163" s="25"/>
      <c r="AF2163" s="25"/>
      <c r="AG2163" s="25"/>
      <c r="AH2163" s="25"/>
      <c r="AI2163" s="25"/>
      <c r="AJ2163" s="25"/>
      <c r="AK2163" s="25"/>
      <c r="AL2163" s="25"/>
      <c r="AM2163" s="25"/>
    </row>
    <row r="2164">
      <c r="A2164" s="24"/>
      <c r="B2164" s="13"/>
      <c r="C2164" s="62"/>
      <c r="D2164" s="14"/>
      <c r="E2164" s="15"/>
      <c r="F2164" s="16"/>
      <c r="G2164" s="17"/>
      <c r="H2164" s="18"/>
      <c r="I2164" s="19"/>
      <c r="J2164" s="20" t="str">
        <f t="shared" si="25"/>
        <v/>
      </c>
      <c r="K2164" s="20"/>
      <c r="L2164" s="20"/>
      <c r="M2164" s="20"/>
      <c r="N2164" s="21"/>
      <c r="O2164" s="22"/>
      <c r="P2164" s="22"/>
      <c r="Q2164" s="23"/>
      <c r="R2164" s="20"/>
      <c r="S2164" s="18"/>
      <c r="T2164" s="24"/>
      <c r="U2164" s="24"/>
      <c r="V2164" s="24"/>
      <c r="W2164" s="24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  <c r="AH2164" s="13"/>
      <c r="AI2164" s="13"/>
      <c r="AJ2164" s="13"/>
      <c r="AK2164" s="13"/>
      <c r="AL2164" s="13"/>
      <c r="AM2164" s="13"/>
    </row>
    <row r="2165">
      <c r="A2165" s="37"/>
      <c r="B2165" s="25"/>
      <c r="C2165" s="60"/>
      <c r="D2165" s="27"/>
      <c r="E2165" s="28"/>
      <c r="F2165" s="29"/>
      <c r="G2165" s="30"/>
      <c r="H2165" s="31"/>
      <c r="I2165" s="32"/>
      <c r="J2165" s="33" t="str">
        <f t="shared" si="25"/>
        <v/>
      </c>
      <c r="K2165" s="33"/>
      <c r="L2165" s="33"/>
      <c r="M2165" s="33"/>
      <c r="N2165" s="34"/>
      <c r="O2165" s="35"/>
      <c r="P2165" s="35"/>
      <c r="Q2165" s="36"/>
      <c r="R2165" s="33"/>
      <c r="S2165" s="31"/>
      <c r="T2165" s="37"/>
      <c r="U2165" s="37"/>
      <c r="V2165" s="37"/>
      <c r="W2165" s="37"/>
      <c r="X2165" s="25"/>
      <c r="Y2165" s="25"/>
      <c r="Z2165" s="25"/>
      <c r="AA2165" s="25"/>
      <c r="AB2165" s="25"/>
      <c r="AC2165" s="25"/>
      <c r="AD2165" s="25"/>
      <c r="AE2165" s="25"/>
      <c r="AF2165" s="25"/>
      <c r="AG2165" s="25"/>
      <c r="AH2165" s="25"/>
      <c r="AI2165" s="25"/>
      <c r="AJ2165" s="25"/>
      <c r="AK2165" s="25"/>
      <c r="AL2165" s="25"/>
      <c r="AM2165" s="25"/>
    </row>
    <row r="2166">
      <c r="A2166" s="24"/>
      <c r="B2166" s="13"/>
      <c r="C2166" s="62"/>
      <c r="D2166" s="14"/>
      <c r="E2166" s="15"/>
      <c r="F2166" s="16"/>
      <c r="G2166" s="17"/>
      <c r="H2166" s="18"/>
      <c r="I2166" s="19"/>
      <c r="J2166" s="20" t="str">
        <f t="shared" si="25"/>
        <v/>
      </c>
      <c r="K2166" s="20"/>
      <c r="L2166" s="20"/>
      <c r="M2166" s="20"/>
      <c r="N2166" s="21"/>
      <c r="O2166" s="22"/>
      <c r="P2166" s="22"/>
      <c r="Q2166" s="23"/>
      <c r="R2166" s="20"/>
      <c r="S2166" s="18"/>
      <c r="T2166" s="24"/>
      <c r="U2166" s="24"/>
      <c r="V2166" s="24"/>
      <c r="W2166" s="24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  <c r="AH2166" s="13"/>
      <c r="AI2166" s="13"/>
      <c r="AJ2166" s="13"/>
      <c r="AK2166" s="13"/>
      <c r="AL2166" s="13"/>
      <c r="AM2166" s="13"/>
    </row>
    <row r="2167">
      <c r="A2167" s="37"/>
      <c r="B2167" s="25"/>
      <c r="C2167" s="60"/>
      <c r="D2167" s="27"/>
      <c r="E2167" s="28"/>
      <c r="F2167" s="29"/>
      <c r="G2167" s="30"/>
      <c r="H2167" s="31"/>
      <c r="I2167" s="32"/>
      <c r="J2167" s="33" t="str">
        <f t="shared" si="25"/>
        <v/>
      </c>
      <c r="K2167" s="33"/>
      <c r="L2167" s="33"/>
      <c r="M2167" s="33"/>
      <c r="N2167" s="34"/>
      <c r="O2167" s="35"/>
      <c r="P2167" s="35"/>
      <c r="Q2167" s="36"/>
      <c r="R2167" s="33"/>
      <c r="S2167" s="31"/>
      <c r="T2167" s="37"/>
      <c r="U2167" s="37"/>
      <c r="V2167" s="37"/>
      <c r="W2167" s="37"/>
      <c r="X2167" s="25"/>
      <c r="Y2167" s="25"/>
      <c r="Z2167" s="25"/>
      <c r="AA2167" s="25"/>
      <c r="AB2167" s="25"/>
      <c r="AC2167" s="25"/>
      <c r="AD2167" s="25"/>
      <c r="AE2167" s="25"/>
      <c r="AF2167" s="25"/>
      <c r="AG2167" s="25"/>
      <c r="AH2167" s="25"/>
      <c r="AI2167" s="25"/>
      <c r="AJ2167" s="25"/>
      <c r="AK2167" s="25"/>
      <c r="AL2167" s="25"/>
      <c r="AM2167" s="25"/>
    </row>
    <row r="2168">
      <c r="A2168" s="24"/>
      <c r="B2168" s="13"/>
      <c r="C2168" s="62"/>
      <c r="D2168" s="14"/>
      <c r="E2168" s="15"/>
      <c r="F2168" s="16"/>
      <c r="G2168" s="17"/>
      <c r="H2168" s="18"/>
      <c r="I2168" s="19"/>
      <c r="J2168" s="20" t="str">
        <f t="shared" si="25"/>
        <v/>
      </c>
      <c r="K2168" s="20"/>
      <c r="L2168" s="20"/>
      <c r="M2168" s="20"/>
      <c r="N2168" s="21"/>
      <c r="O2168" s="22"/>
      <c r="P2168" s="22"/>
      <c r="Q2168" s="23"/>
      <c r="R2168" s="20"/>
      <c r="S2168" s="18"/>
      <c r="T2168" s="24"/>
      <c r="U2168" s="24"/>
      <c r="V2168" s="24"/>
      <c r="W2168" s="24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  <c r="AH2168" s="13"/>
      <c r="AI2168" s="13"/>
      <c r="AJ2168" s="13"/>
      <c r="AK2168" s="13"/>
      <c r="AL2168" s="13"/>
      <c r="AM2168" s="13"/>
    </row>
    <row r="2169">
      <c r="A2169" s="37"/>
      <c r="B2169" s="25"/>
      <c r="C2169" s="60"/>
      <c r="D2169" s="27"/>
      <c r="E2169" s="28"/>
      <c r="F2169" s="29"/>
      <c r="G2169" s="30"/>
      <c r="H2169" s="31"/>
      <c r="I2169" s="32"/>
      <c r="J2169" s="33" t="str">
        <f t="shared" si="25"/>
        <v/>
      </c>
      <c r="K2169" s="33"/>
      <c r="L2169" s="33"/>
      <c r="M2169" s="33"/>
      <c r="N2169" s="34"/>
      <c r="O2169" s="35"/>
      <c r="P2169" s="35"/>
      <c r="Q2169" s="36"/>
      <c r="R2169" s="33"/>
      <c r="S2169" s="31"/>
      <c r="T2169" s="37"/>
      <c r="U2169" s="37"/>
      <c r="V2169" s="37"/>
      <c r="W2169" s="37"/>
      <c r="X2169" s="25"/>
      <c r="Y2169" s="25"/>
      <c r="Z2169" s="25"/>
      <c r="AA2169" s="25"/>
      <c r="AB2169" s="25"/>
      <c r="AC2169" s="25"/>
      <c r="AD2169" s="25"/>
      <c r="AE2169" s="25"/>
      <c r="AF2169" s="25"/>
      <c r="AG2169" s="25"/>
      <c r="AH2169" s="25"/>
      <c r="AI2169" s="25"/>
      <c r="AJ2169" s="25"/>
      <c r="AK2169" s="25"/>
      <c r="AL2169" s="25"/>
      <c r="AM2169" s="25"/>
    </row>
    <row r="2170">
      <c r="A2170" s="24"/>
      <c r="B2170" s="13"/>
      <c r="C2170" s="62"/>
      <c r="D2170" s="14"/>
      <c r="E2170" s="15"/>
      <c r="F2170" s="16"/>
      <c r="G2170" s="17"/>
      <c r="H2170" s="18"/>
      <c r="I2170" s="19"/>
      <c r="J2170" s="20" t="str">
        <f t="shared" si="25"/>
        <v/>
      </c>
      <c r="K2170" s="20"/>
      <c r="L2170" s="20"/>
      <c r="M2170" s="20"/>
      <c r="N2170" s="21"/>
      <c r="O2170" s="22"/>
      <c r="P2170" s="22"/>
      <c r="Q2170" s="23"/>
      <c r="R2170" s="20"/>
      <c r="S2170" s="18"/>
      <c r="T2170" s="24"/>
      <c r="U2170" s="24"/>
      <c r="V2170" s="24"/>
      <c r="W2170" s="24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  <c r="AH2170" s="13"/>
      <c r="AI2170" s="13"/>
      <c r="AJ2170" s="13"/>
      <c r="AK2170" s="13"/>
      <c r="AL2170" s="13"/>
      <c r="AM2170" s="13"/>
    </row>
    <row r="2171">
      <c r="A2171" s="37"/>
      <c r="B2171" s="25"/>
      <c r="C2171" s="60"/>
      <c r="D2171" s="27"/>
      <c r="E2171" s="28"/>
      <c r="F2171" s="29"/>
      <c r="G2171" s="30"/>
      <c r="H2171" s="31"/>
      <c r="I2171" s="32"/>
      <c r="J2171" s="33" t="str">
        <f t="shared" si="25"/>
        <v/>
      </c>
      <c r="K2171" s="33"/>
      <c r="L2171" s="33"/>
      <c r="M2171" s="33"/>
      <c r="N2171" s="34"/>
      <c r="O2171" s="35"/>
      <c r="P2171" s="35"/>
      <c r="Q2171" s="36"/>
      <c r="R2171" s="33"/>
      <c r="S2171" s="31"/>
      <c r="T2171" s="37"/>
      <c r="U2171" s="37"/>
      <c r="V2171" s="37"/>
      <c r="W2171" s="37"/>
      <c r="X2171" s="25"/>
      <c r="Y2171" s="25"/>
      <c r="Z2171" s="25"/>
      <c r="AA2171" s="25"/>
      <c r="AB2171" s="25"/>
      <c r="AC2171" s="25"/>
      <c r="AD2171" s="25"/>
      <c r="AE2171" s="25"/>
      <c r="AF2171" s="25"/>
      <c r="AG2171" s="25"/>
      <c r="AH2171" s="25"/>
      <c r="AI2171" s="25"/>
      <c r="AJ2171" s="25"/>
      <c r="AK2171" s="25"/>
      <c r="AL2171" s="25"/>
      <c r="AM2171" s="25"/>
    </row>
    <row r="2172">
      <c r="A2172" s="24"/>
      <c r="B2172" s="13"/>
      <c r="C2172" s="62"/>
      <c r="D2172" s="14"/>
      <c r="E2172" s="15"/>
      <c r="F2172" s="16"/>
      <c r="G2172" s="17"/>
      <c r="H2172" s="18"/>
      <c r="I2172" s="19"/>
      <c r="J2172" s="20" t="str">
        <f t="shared" si="25"/>
        <v/>
      </c>
      <c r="K2172" s="20"/>
      <c r="L2172" s="20"/>
      <c r="M2172" s="20"/>
      <c r="N2172" s="21"/>
      <c r="O2172" s="22"/>
      <c r="P2172" s="22"/>
      <c r="Q2172" s="23"/>
      <c r="R2172" s="20"/>
      <c r="S2172" s="18"/>
      <c r="T2172" s="24"/>
      <c r="U2172" s="24"/>
      <c r="V2172" s="24"/>
      <c r="W2172" s="24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  <c r="AH2172" s="13"/>
      <c r="AI2172" s="13"/>
      <c r="AJ2172" s="13"/>
      <c r="AK2172" s="13"/>
      <c r="AL2172" s="13"/>
      <c r="AM2172" s="13"/>
    </row>
    <row r="2173">
      <c r="A2173" s="37"/>
      <c r="B2173" s="25"/>
      <c r="C2173" s="60"/>
      <c r="D2173" s="27"/>
      <c r="E2173" s="28"/>
      <c r="F2173" s="29"/>
      <c r="G2173" s="30"/>
      <c r="H2173" s="31"/>
      <c r="I2173" s="32"/>
      <c r="J2173" s="33" t="str">
        <f t="shared" si="25"/>
        <v/>
      </c>
      <c r="K2173" s="33"/>
      <c r="L2173" s="33"/>
      <c r="M2173" s="33"/>
      <c r="N2173" s="34"/>
      <c r="O2173" s="35"/>
      <c r="P2173" s="35"/>
      <c r="Q2173" s="36"/>
      <c r="R2173" s="33"/>
      <c r="S2173" s="31"/>
      <c r="T2173" s="37"/>
      <c r="U2173" s="37"/>
      <c r="V2173" s="37"/>
      <c r="W2173" s="37"/>
      <c r="X2173" s="25"/>
      <c r="Y2173" s="25"/>
      <c r="Z2173" s="25"/>
      <c r="AA2173" s="25"/>
      <c r="AB2173" s="25"/>
      <c r="AC2173" s="25"/>
      <c r="AD2173" s="25"/>
      <c r="AE2173" s="25"/>
      <c r="AF2173" s="25"/>
      <c r="AG2173" s="25"/>
      <c r="AH2173" s="25"/>
      <c r="AI2173" s="25"/>
      <c r="AJ2173" s="25"/>
      <c r="AK2173" s="25"/>
      <c r="AL2173" s="25"/>
      <c r="AM2173" s="25"/>
    </row>
    <row r="2174">
      <c r="A2174" s="24"/>
      <c r="B2174" s="13"/>
      <c r="C2174" s="62"/>
      <c r="D2174" s="14"/>
      <c r="E2174" s="15"/>
      <c r="F2174" s="16"/>
      <c r="G2174" s="17"/>
      <c r="H2174" s="18"/>
      <c r="I2174" s="19"/>
      <c r="J2174" s="20" t="str">
        <f t="shared" si="25"/>
        <v/>
      </c>
      <c r="K2174" s="20"/>
      <c r="L2174" s="20"/>
      <c r="M2174" s="20"/>
      <c r="N2174" s="21"/>
      <c r="O2174" s="22"/>
      <c r="P2174" s="22"/>
      <c r="Q2174" s="23"/>
      <c r="R2174" s="20"/>
      <c r="S2174" s="18"/>
      <c r="T2174" s="24"/>
      <c r="U2174" s="24"/>
      <c r="V2174" s="24"/>
      <c r="W2174" s="24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13"/>
      <c r="AI2174" s="13"/>
      <c r="AJ2174" s="13"/>
      <c r="AK2174" s="13"/>
      <c r="AL2174" s="13"/>
      <c r="AM2174" s="13"/>
    </row>
    <row r="2175">
      <c r="A2175" s="37"/>
      <c r="B2175" s="25"/>
      <c r="C2175" s="60"/>
      <c r="D2175" s="27"/>
      <c r="E2175" s="28"/>
      <c r="F2175" s="29"/>
      <c r="G2175" s="30"/>
      <c r="H2175" s="31"/>
      <c r="I2175" s="32"/>
      <c r="J2175" s="33" t="str">
        <f t="shared" si="25"/>
        <v/>
      </c>
      <c r="K2175" s="33"/>
      <c r="L2175" s="33"/>
      <c r="M2175" s="33"/>
      <c r="N2175" s="34"/>
      <c r="O2175" s="35"/>
      <c r="P2175" s="35"/>
      <c r="Q2175" s="36"/>
      <c r="R2175" s="33"/>
      <c r="S2175" s="31"/>
      <c r="T2175" s="37"/>
      <c r="U2175" s="37"/>
      <c r="V2175" s="37"/>
      <c r="W2175" s="37"/>
      <c r="X2175" s="25"/>
      <c r="Y2175" s="25"/>
      <c r="Z2175" s="25"/>
      <c r="AA2175" s="25"/>
      <c r="AB2175" s="25"/>
      <c r="AC2175" s="25"/>
      <c r="AD2175" s="25"/>
      <c r="AE2175" s="25"/>
      <c r="AF2175" s="25"/>
      <c r="AG2175" s="25"/>
      <c r="AH2175" s="25"/>
      <c r="AI2175" s="25"/>
      <c r="AJ2175" s="25"/>
      <c r="AK2175" s="25"/>
      <c r="AL2175" s="25"/>
      <c r="AM2175" s="25"/>
    </row>
    <row r="2176">
      <c r="A2176" s="24"/>
      <c r="B2176" s="13"/>
      <c r="C2176" s="62"/>
      <c r="D2176" s="14"/>
      <c r="E2176" s="15"/>
      <c r="F2176" s="16"/>
      <c r="G2176" s="17"/>
      <c r="H2176" s="18"/>
      <c r="I2176" s="19"/>
      <c r="J2176" s="20" t="str">
        <f t="shared" si="25"/>
        <v/>
      </c>
      <c r="K2176" s="20"/>
      <c r="L2176" s="20"/>
      <c r="M2176" s="20"/>
      <c r="N2176" s="21"/>
      <c r="O2176" s="22"/>
      <c r="P2176" s="22"/>
      <c r="Q2176" s="23"/>
      <c r="R2176" s="20"/>
      <c r="S2176" s="18"/>
      <c r="T2176" s="24"/>
      <c r="U2176" s="24"/>
      <c r="V2176" s="24"/>
      <c r="W2176" s="24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  <c r="AH2176" s="13"/>
      <c r="AI2176" s="13"/>
      <c r="AJ2176" s="13"/>
      <c r="AK2176" s="13"/>
      <c r="AL2176" s="13"/>
      <c r="AM2176" s="13"/>
    </row>
    <row r="2177">
      <c r="A2177" s="37"/>
      <c r="B2177" s="25"/>
      <c r="C2177" s="60"/>
      <c r="D2177" s="27"/>
      <c r="E2177" s="28"/>
      <c r="F2177" s="29"/>
      <c r="G2177" s="30"/>
      <c r="H2177" s="31"/>
      <c r="I2177" s="32"/>
      <c r="J2177" s="33" t="str">
        <f t="shared" si="25"/>
        <v/>
      </c>
      <c r="K2177" s="33"/>
      <c r="L2177" s="33"/>
      <c r="M2177" s="33"/>
      <c r="N2177" s="34"/>
      <c r="O2177" s="35"/>
      <c r="P2177" s="35"/>
      <c r="Q2177" s="36"/>
      <c r="R2177" s="33"/>
      <c r="S2177" s="31"/>
      <c r="T2177" s="37"/>
      <c r="U2177" s="37"/>
      <c r="V2177" s="37"/>
      <c r="W2177" s="37"/>
      <c r="X2177" s="25"/>
      <c r="Y2177" s="25"/>
      <c r="Z2177" s="25"/>
      <c r="AA2177" s="25"/>
      <c r="AB2177" s="25"/>
      <c r="AC2177" s="25"/>
      <c r="AD2177" s="25"/>
      <c r="AE2177" s="25"/>
      <c r="AF2177" s="25"/>
      <c r="AG2177" s="25"/>
      <c r="AH2177" s="25"/>
      <c r="AI2177" s="25"/>
      <c r="AJ2177" s="25"/>
      <c r="AK2177" s="25"/>
      <c r="AL2177" s="25"/>
      <c r="AM2177" s="25"/>
    </row>
    <row r="2178">
      <c r="A2178" s="24"/>
      <c r="B2178" s="13"/>
      <c r="C2178" s="62"/>
      <c r="D2178" s="14"/>
      <c r="E2178" s="15"/>
      <c r="F2178" s="16"/>
      <c r="G2178" s="17"/>
      <c r="H2178" s="18"/>
      <c r="I2178" s="19"/>
      <c r="J2178" s="20" t="str">
        <f t="shared" si="25"/>
        <v/>
      </c>
      <c r="K2178" s="20"/>
      <c r="L2178" s="20"/>
      <c r="M2178" s="20"/>
      <c r="N2178" s="21"/>
      <c r="O2178" s="22"/>
      <c r="P2178" s="22"/>
      <c r="Q2178" s="23"/>
      <c r="R2178" s="20"/>
      <c r="S2178" s="18"/>
      <c r="T2178" s="24"/>
      <c r="U2178" s="24"/>
      <c r="V2178" s="24"/>
      <c r="W2178" s="24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  <c r="AH2178" s="13"/>
      <c r="AI2178" s="13"/>
      <c r="AJ2178" s="13"/>
      <c r="AK2178" s="13"/>
      <c r="AL2178" s="13"/>
      <c r="AM2178" s="13"/>
    </row>
    <row r="2179">
      <c r="A2179" s="37"/>
      <c r="B2179" s="25"/>
      <c r="C2179" s="60"/>
      <c r="D2179" s="27"/>
      <c r="E2179" s="28"/>
      <c r="F2179" s="29"/>
      <c r="G2179" s="30"/>
      <c r="H2179" s="31"/>
      <c r="I2179" s="32"/>
      <c r="J2179" s="33" t="str">
        <f t="shared" si="25"/>
        <v/>
      </c>
      <c r="K2179" s="33"/>
      <c r="L2179" s="33"/>
      <c r="M2179" s="33"/>
      <c r="N2179" s="34"/>
      <c r="O2179" s="35"/>
      <c r="P2179" s="35"/>
      <c r="Q2179" s="36"/>
      <c r="R2179" s="33"/>
      <c r="S2179" s="31"/>
      <c r="T2179" s="37"/>
      <c r="U2179" s="37"/>
      <c r="V2179" s="37"/>
      <c r="W2179" s="37"/>
      <c r="X2179" s="25"/>
      <c r="Y2179" s="25"/>
      <c r="Z2179" s="25"/>
      <c r="AA2179" s="25"/>
      <c r="AB2179" s="25"/>
      <c r="AC2179" s="25"/>
      <c r="AD2179" s="25"/>
      <c r="AE2179" s="25"/>
      <c r="AF2179" s="25"/>
      <c r="AG2179" s="25"/>
      <c r="AH2179" s="25"/>
      <c r="AI2179" s="25"/>
      <c r="AJ2179" s="25"/>
      <c r="AK2179" s="25"/>
      <c r="AL2179" s="25"/>
      <c r="AM2179" s="25"/>
    </row>
    <row r="2180">
      <c r="A2180" s="24"/>
      <c r="B2180" s="13"/>
      <c r="C2180" s="62"/>
      <c r="D2180" s="14"/>
      <c r="E2180" s="15"/>
      <c r="F2180" s="16"/>
      <c r="G2180" s="17"/>
      <c r="H2180" s="18"/>
      <c r="I2180" s="19"/>
      <c r="J2180" s="20" t="str">
        <f t="shared" si="25"/>
        <v/>
      </c>
      <c r="K2180" s="20"/>
      <c r="L2180" s="20"/>
      <c r="M2180" s="20"/>
      <c r="N2180" s="21"/>
      <c r="O2180" s="22"/>
      <c r="P2180" s="22"/>
      <c r="Q2180" s="23"/>
      <c r="R2180" s="20"/>
      <c r="S2180" s="18"/>
      <c r="T2180" s="24"/>
      <c r="U2180" s="24"/>
      <c r="V2180" s="24"/>
      <c r="W2180" s="24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  <c r="AH2180" s="13"/>
      <c r="AI2180" s="13"/>
      <c r="AJ2180" s="13"/>
      <c r="AK2180" s="13"/>
      <c r="AL2180" s="13"/>
      <c r="AM2180" s="13"/>
    </row>
    <row r="2181">
      <c r="A2181" s="37"/>
      <c r="B2181" s="25"/>
      <c r="C2181" s="60"/>
      <c r="D2181" s="27"/>
      <c r="E2181" s="28"/>
      <c r="F2181" s="29"/>
      <c r="G2181" s="30"/>
      <c r="H2181" s="31"/>
      <c r="I2181" s="32"/>
      <c r="J2181" s="33" t="str">
        <f t="shared" si="25"/>
        <v/>
      </c>
      <c r="K2181" s="33"/>
      <c r="L2181" s="33"/>
      <c r="M2181" s="33"/>
      <c r="N2181" s="34"/>
      <c r="O2181" s="35"/>
      <c r="P2181" s="35"/>
      <c r="Q2181" s="36"/>
      <c r="R2181" s="33"/>
      <c r="S2181" s="31"/>
      <c r="T2181" s="37"/>
      <c r="U2181" s="37"/>
      <c r="V2181" s="37"/>
      <c r="W2181" s="37"/>
      <c r="X2181" s="25"/>
      <c r="Y2181" s="25"/>
      <c r="Z2181" s="25"/>
      <c r="AA2181" s="25"/>
      <c r="AB2181" s="25"/>
      <c r="AC2181" s="25"/>
      <c r="AD2181" s="25"/>
      <c r="AE2181" s="25"/>
      <c r="AF2181" s="25"/>
      <c r="AG2181" s="25"/>
      <c r="AH2181" s="25"/>
      <c r="AI2181" s="25"/>
      <c r="AJ2181" s="25"/>
      <c r="AK2181" s="25"/>
      <c r="AL2181" s="25"/>
      <c r="AM2181" s="25"/>
    </row>
    <row r="2182">
      <c r="A2182" s="24"/>
      <c r="B2182" s="13"/>
      <c r="C2182" s="62"/>
      <c r="D2182" s="14"/>
      <c r="E2182" s="15"/>
      <c r="F2182" s="16"/>
      <c r="G2182" s="17"/>
      <c r="H2182" s="18"/>
      <c r="I2182" s="19"/>
      <c r="J2182" s="20" t="str">
        <f t="shared" si="25"/>
        <v/>
      </c>
      <c r="K2182" s="20"/>
      <c r="L2182" s="20"/>
      <c r="M2182" s="20"/>
      <c r="N2182" s="21"/>
      <c r="O2182" s="22"/>
      <c r="P2182" s="22"/>
      <c r="Q2182" s="23"/>
      <c r="R2182" s="20"/>
      <c r="S2182" s="18"/>
      <c r="T2182" s="24"/>
      <c r="U2182" s="24"/>
      <c r="V2182" s="24"/>
      <c r="W2182" s="24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  <c r="AH2182" s="13"/>
      <c r="AI2182" s="13"/>
      <c r="AJ2182" s="13"/>
      <c r="AK2182" s="13"/>
      <c r="AL2182" s="13"/>
      <c r="AM2182" s="13"/>
    </row>
    <row r="2183">
      <c r="A2183" s="37"/>
      <c r="B2183" s="25"/>
      <c r="C2183" s="60"/>
      <c r="D2183" s="27"/>
      <c r="E2183" s="28"/>
      <c r="F2183" s="29"/>
      <c r="G2183" s="30"/>
      <c r="H2183" s="31"/>
      <c r="I2183" s="32"/>
      <c r="J2183" s="33" t="str">
        <f t="shared" si="25"/>
        <v/>
      </c>
      <c r="K2183" s="33"/>
      <c r="L2183" s="33"/>
      <c r="M2183" s="33"/>
      <c r="N2183" s="34"/>
      <c r="O2183" s="35"/>
      <c r="P2183" s="35"/>
      <c r="Q2183" s="36"/>
      <c r="R2183" s="33"/>
      <c r="S2183" s="31"/>
      <c r="T2183" s="37"/>
      <c r="U2183" s="37"/>
      <c r="V2183" s="37"/>
      <c r="W2183" s="37"/>
      <c r="X2183" s="25"/>
      <c r="Y2183" s="25"/>
      <c r="Z2183" s="25"/>
      <c r="AA2183" s="25"/>
      <c r="AB2183" s="25"/>
      <c r="AC2183" s="25"/>
      <c r="AD2183" s="25"/>
      <c r="AE2183" s="25"/>
      <c r="AF2183" s="25"/>
      <c r="AG2183" s="25"/>
      <c r="AH2183" s="25"/>
      <c r="AI2183" s="25"/>
      <c r="AJ2183" s="25"/>
      <c r="AK2183" s="25"/>
      <c r="AL2183" s="25"/>
      <c r="AM2183" s="25"/>
    </row>
    <row r="2184">
      <c r="A2184" s="24"/>
      <c r="B2184" s="13"/>
      <c r="C2184" s="62"/>
      <c r="D2184" s="14"/>
      <c r="E2184" s="15"/>
      <c r="F2184" s="16"/>
      <c r="G2184" s="17"/>
      <c r="H2184" s="18"/>
      <c r="I2184" s="19"/>
      <c r="J2184" s="20" t="str">
        <f t="shared" si="25"/>
        <v/>
      </c>
      <c r="K2184" s="20"/>
      <c r="L2184" s="20"/>
      <c r="M2184" s="20"/>
      <c r="N2184" s="21"/>
      <c r="O2184" s="22"/>
      <c r="P2184" s="22"/>
      <c r="Q2184" s="23"/>
      <c r="R2184" s="20"/>
      <c r="S2184" s="18"/>
      <c r="T2184" s="24"/>
      <c r="U2184" s="24"/>
      <c r="V2184" s="24"/>
      <c r="W2184" s="24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  <c r="AH2184" s="13"/>
      <c r="AI2184" s="13"/>
      <c r="AJ2184" s="13"/>
      <c r="AK2184" s="13"/>
      <c r="AL2184" s="13"/>
      <c r="AM2184" s="13"/>
    </row>
    <row r="2185">
      <c r="A2185" s="37"/>
      <c r="B2185" s="25"/>
      <c r="C2185" s="60"/>
      <c r="D2185" s="27"/>
      <c r="E2185" s="28"/>
      <c r="F2185" s="29"/>
      <c r="G2185" s="30"/>
      <c r="H2185" s="31"/>
      <c r="I2185" s="32"/>
      <c r="J2185" s="33" t="str">
        <f t="shared" si="25"/>
        <v/>
      </c>
      <c r="K2185" s="33"/>
      <c r="L2185" s="33"/>
      <c r="M2185" s="33"/>
      <c r="N2185" s="34"/>
      <c r="O2185" s="35"/>
      <c r="P2185" s="35"/>
      <c r="Q2185" s="36"/>
      <c r="R2185" s="33"/>
      <c r="S2185" s="31"/>
      <c r="T2185" s="37"/>
      <c r="U2185" s="37"/>
      <c r="V2185" s="37"/>
      <c r="W2185" s="37"/>
      <c r="X2185" s="25"/>
      <c r="Y2185" s="25"/>
      <c r="Z2185" s="25"/>
      <c r="AA2185" s="25"/>
      <c r="AB2185" s="25"/>
      <c r="AC2185" s="25"/>
      <c r="AD2185" s="25"/>
      <c r="AE2185" s="25"/>
      <c r="AF2185" s="25"/>
      <c r="AG2185" s="25"/>
      <c r="AH2185" s="25"/>
      <c r="AI2185" s="25"/>
      <c r="AJ2185" s="25"/>
      <c r="AK2185" s="25"/>
      <c r="AL2185" s="25"/>
      <c r="AM2185" s="25"/>
    </row>
    <row r="2186">
      <c r="A2186" s="24"/>
      <c r="B2186" s="13"/>
      <c r="C2186" s="62"/>
      <c r="D2186" s="14"/>
      <c r="E2186" s="15"/>
      <c r="F2186" s="16"/>
      <c r="G2186" s="17"/>
      <c r="H2186" s="18"/>
      <c r="I2186" s="19"/>
      <c r="J2186" s="20" t="str">
        <f t="shared" si="25"/>
        <v/>
      </c>
      <c r="K2186" s="20"/>
      <c r="L2186" s="20"/>
      <c r="M2186" s="20"/>
      <c r="N2186" s="21"/>
      <c r="O2186" s="22"/>
      <c r="P2186" s="22"/>
      <c r="Q2186" s="23"/>
      <c r="R2186" s="20"/>
      <c r="S2186" s="18"/>
      <c r="T2186" s="24"/>
      <c r="U2186" s="24"/>
      <c r="V2186" s="24"/>
      <c r="W2186" s="24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  <c r="AH2186" s="13"/>
      <c r="AI2186" s="13"/>
      <c r="AJ2186" s="13"/>
      <c r="AK2186" s="13"/>
      <c r="AL2186" s="13"/>
      <c r="AM2186" s="13"/>
    </row>
    <row r="2187">
      <c r="A2187" s="37"/>
      <c r="B2187" s="25"/>
      <c r="C2187" s="60"/>
      <c r="D2187" s="27"/>
      <c r="E2187" s="28"/>
      <c r="F2187" s="29"/>
      <c r="G2187" s="30"/>
      <c r="H2187" s="31"/>
      <c r="I2187" s="32"/>
      <c r="J2187" s="33" t="str">
        <f t="shared" si="25"/>
        <v/>
      </c>
      <c r="K2187" s="33"/>
      <c r="L2187" s="33"/>
      <c r="M2187" s="33"/>
      <c r="N2187" s="34"/>
      <c r="O2187" s="35"/>
      <c r="P2187" s="35"/>
      <c r="Q2187" s="36"/>
      <c r="R2187" s="33"/>
      <c r="S2187" s="31"/>
      <c r="T2187" s="37"/>
      <c r="U2187" s="37"/>
      <c r="V2187" s="37"/>
      <c r="W2187" s="37"/>
      <c r="X2187" s="25"/>
      <c r="Y2187" s="25"/>
      <c r="Z2187" s="25"/>
      <c r="AA2187" s="25"/>
      <c r="AB2187" s="25"/>
      <c r="AC2187" s="25"/>
      <c r="AD2187" s="25"/>
      <c r="AE2187" s="25"/>
      <c r="AF2187" s="25"/>
      <c r="AG2187" s="25"/>
      <c r="AH2187" s="25"/>
      <c r="AI2187" s="25"/>
      <c r="AJ2187" s="25"/>
      <c r="AK2187" s="25"/>
      <c r="AL2187" s="25"/>
      <c r="AM2187" s="25"/>
    </row>
    <row r="2188">
      <c r="A2188" s="24"/>
      <c r="B2188" s="13"/>
      <c r="C2188" s="62"/>
      <c r="D2188" s="14"/>
      <c r="E2188" s="15"/>
      <c r="F2188" s="16"/>
      <c r="G2188" s="17"/>
      <c r="H2188" s="18"/>
      <c r="I2188" s="19"/>
      <c r="J2188" s="20" t="str">
        <f t="shared" si="25"/>
        <v/>
      </c>
      <c r="K2188" s="20"/>
      <c r="L2188" s="20"/>
      <c r="M2188" s="20"/>
      <c r="N2188" s="21"/>
      <c r="O2188" s="22"/>
      <c r="P2188" s="22"/>
      <c r="Q2188" s="23"/>
      <c r="R2188" s="20"/>
      <c r="S2188" s="18"/>
      <c r="T2188" s="24"/>
      <c r="U2188" s="24"/>
      <c r="V2188" s="24"/>
      <c r="W2188" s="24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  <c r="AH2188" s="13"/>
      <c r="AI2188" s="13"/>
      <c r="AJ2188" s="13"/>
      <c r="AK2188" s="13"/>
      <c r="AL2188" s="13"/>
      <c r="AM2188" s="13"/>
    </row>
    <row r="2189">
      <c r="A2189" s="37"/>
      <c r="B2189" s="25"/>
      <c r="C2189" s="60"/>
      <c r="D2189" s="27"/>
      <c r="E2189" s="28"/>
      <c r="F2189" s="29"/>
      <c r="G2189" s="30"/>
      <c r="H2189" s="31"/>
      <c r="I2189" s="32"/>
      <c r="J2189" s="33" t="str">
        <f t="shared" si="25"/>
        <v/>
      </c>
      <c r="K2189" s="33"/>
      <c r="L2189" s="33"/>
      <c r="M2189" s="33"/>
      <c r="N2189" s="34"/>
      <c r="O2189" s="35"/>
      <c r="P2189" s="35"/>
      <c r="Q2189" s="36"/>
      <c r="R2189" s="33"/>
      <c r="S2189" s="31"/>
      <c r="T2189" s="37"/>
      <c r="U2189" s="37"/>
      <c r="V2189" s="37"/>
      <c r="W2189" s="37"/>
      <c r="X2189" s="25"/>
      <c r="Y2189" s="25"/>
      <c r="Z2189" s="25"/>
      <c r="AA2189" s="25"/>
      <c r="AB2189" s="25"/>
      <c r="AC2189" s="25"/>
      <c r="AD2189" s="25"/>
      <c r="AE2189" s="25"/>
      <c r="AF2189" s="25"/>
      <c r="AG2189" s="25"/>
      <c r="AH2189" s="25"/>
      <c r="AI2189" s="25"/>
      <c r="AJ2189" s="25"/>
      <c r="AK2189" s="25"/>
      <c r="AL2189" s="25"/>
      <c r="AM2189" s="25"/>
    </row>
    <row r="2190">
      <c r="A2190" s="24"/>
      <c r="B2190" s="13"/>
      <c r="C2190" s="62"/>
      <c r="D2190" s="14"/>
      <c r="E2190" s="15"/>
      <c r="F2190" s="16"/>
      <c r="G2190" s="17"/>
      <c r="H2190" s="18"/>
      <c r="I2190" s="19"/>
      <c r="J2190" s="20" t="str">
        <f t="shared" si="25"/>
        <v/>
      </c>
      <c r="K2190" s="20"/>
      <c r="L2190" s="20"/>
      <c r="M2190" s="20"/>
      <c r="N2190" s="21"/>
      <c r="O2190" s="22"/>
      <c r="P2190" s="22"/>
      <c r="Q2190" s="23"/>
      <c r="R2190" s="20"/>
      <c r="S2190" s="18"/>
      <c r="T2190" s="24"/>
      <c r="U2190" s="24"/>
      <c r="V2190" s="24"/>
      <c r="W2190" s="24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  <c r="AH2190" s="13"/>
      <c r="AI2190" s="13"/>
      <c r="AJ2190" s="13"/>
      <c r="AK2190" s="13"/>
      <c r="AL2190" s="13"/>
      <c r="AM2190" s="13"/>
    </row>
    <row r="2191">
      <c r="A2191" s="37"/>
      <c r="B2191" s="25"/>
      <c r="C2191" s="60"/>
      <c r="D2191" s="27"/>
      <c r="E2191" s="28"/>
      <c r="F2191" s="29"/>
      <c r="G2191" s="30"/>
      <c r="H2191" s="31"/>
      <c r="I2191" s="32"/>
      <c r="J2191" s="33" t="str">
        <f t="shared" si="25"/>
        <v/>
      </c>
      <c r="K2191" s="33"/>
      <c r="L2191" s="33"/>
      <c r="M2191" s="33"/>
      <c r="N2191" s="34"/>
      <c r="O2191" s="35"/>
      <c r="P2191" s="35"/>
      <c r="Q2191" s="36"/>
      <c r="R2191" s="33"/>
      <c r="S2191" s="31"/>
      <c r="T2191" s="37"/>
      <c r="U2191" s="37"/>
      <c r="V2191" s="37"/>
      <c r="W2191" s="37"/>
      <c r="X2191" s="25"/>
      <c r="Y2191" s="25"/>
      <c r="Z2191" s="25"/>
      <c r="AA2191" s="25"/>
      <c r="AB2191" s="25"/>
      <c r="AC2191" s="25"/>
      <c r="AD2191" s="25"/>
      <c r="AE2191" s="25"/>
      <c r="AF2191" s="25"/>
      <c r="AG2191" s="25"/>
      <c r="AH2191" s="25"/>
      <c r="AI2191" s="25"/>
      <c r="AJ2191" s="25"/>
      <c r="AK2191" s="25"/>
      <c r="AL2191" s="25"/>
      <c r="AM2191" s="25"/>
    </row>
    <row r="2192">
      <c r="A2192" s="24"/>
      <c r="B2192" s="13"/>
      <c r="C2192" s="62"/>
      <c r="D2192" s="14"/>
      <c r="E2192" s="15"/>
      <c r="F2192" s="16"/>
      <c r="G2192" s="17"/>
      <c r="H2192" s="18"/>
      <c r="I2192" s="19"/>
      <c r="J2192" s="20" t="str">
        <f t="shared" si="25"/>
        <v/>
      </c>
      <c r="K2192" s="20"/>
      <c r="L2192" s="20"/>
      <c r="M2192" s="20"/>
      <c r="N2192" s="21"/>
      <c r="O2192" s="22"/>
      <c r="P2192" s="22"/>
      <c r="Q2192" s="23"/>
      <c r="R2192" s="20"/>
      <c r="S2192" s="18"/>
      <c r="T2192" s="24"/>
      <c r="U2192" s="24"/>
      <c r="V2192" s="24"/>
      <c r="W2192" s="24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  <c r="AH2192" s="13"/>
      <c r="AI2192" s="13"/>
      <c r="AJ2192" s="13"/>
      <c r="AK2192" s="13"/>
      <c r="AL2192" s="13"/>
      <c r="AM2192" s="13"/>
    </row>
    <row r="2193">
      <c r="A2193" s="37"/>
      <c r="B2193" s="25"/>
      <c r="C2193" s="60"/>
      <c r="D2193" s="27"/>
      <c r="E2193" s="28"/>
      <c r="F2193" s="29"/>
      <c r="G2193" s="30"/>
      <c r="H2193" s="31"/>
      <c r="I2193" s="32"/>
      <c r="J2193" s="33" t="str">
        <f t="shared" si="25"/>
        <v/>
      </c>
      <c r="K2193" s="33"/>
      <c r="L2193" s="33"/>
      <c r="M2193" s="33"/>
      <c r="N2193" s="34"/>
      <c r="O2193" s="35"/>
      <c r="P2193" s="35"/>
      <c r="Q2193" s="36"/>
      <c r="R2193" s="33"/>
      <c r="S2193" s="31"/>
      <c r="T2193" s="37"/>
      <c r="U2193" s="37"/>
      <c r="V2193" s="37"/>
      <c r="W2193" s="37"/>
      <c r="X2193" s="25"/>
      <c r="Y2193" s="25"/>
      <c r="Z2193" s="25"/>
      <c r="AA2193" s="25"/>
      <c r="AB2193" s="25"/>
      <c r="AC2193" s="25"/>
      <c r="AD2193" s="25"/>
      <c r="AE2193" s="25"/>
      <c r="AF2193" s="25"/>
      <c r="AG2193" s="25"/>
      <c r="AH2193" s="25"/>
      <c r="AI2193" s="25"/>
      <c r="AJ2193" s="25"/>
      <c r="AK2193" s="25"/>
      <c r="AL2193" s="25"/>
      <c r="AM2193" s="25"/>
    </row>
    <row r="2194">
      <c r="A2194" s="24"/>
      <c r="B2194" s="13"/>
      <c r="C2194" s="62"/>
      <c r="D2194" s="14"/>
      <c r="E2194" s="15"/>
      <c r="F2194" s="16"/>
      <c r="G2194" s="17"/>
      <c r="H2194" s="18"/>
      <c r="I2194" s="19"/>
      <c r="J2194" s="20" t="str">
        <f t="shared" si="25"/>
        <v/>
      </c>
      <c r="K2194" s="20"/>
      <c r="L2194" s="20"/>
      <c r="M2194" s="20"/>
      <c r="N2194" s="21"/>
      <c r="O2194" s="22"/>
      <c r="P2194" s="22"/>
      <c r="Q2194" s="23"/>
      <c r="R2194" s="20"/>
      <c r="S2194" s="18"/>
      <c r="T2194" s="24"/>
      <c r="U2194" s="24"/>
      <c r="V2194" s="24"/>
      <c r="W2194" s="24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  <c r="AH2194" s="13"/>
      <c r="AI2194" s="13"/>
      <c r="AJ2194" s="13"/>
      <c r="AK2194" s="13"/>
      <c r="AL2194" s="13"/>
      <c r="AM2194" s="13"/>
    </row>
    <row r="2195">
      <c r="A2195" s="37"/>
      <c r="B2195" s="25"/>
      <c r="C2195" s="60"/>
      <c r="D2195" s="27"/>
      <c r="E2195" s="28"/>
      <c r="F2195" s="29"/>
      <c r="G2195" s="30"/>
      <c r="H2195" s="31"/>
      <c r="I2195" s="32"/>
      <c r="J2195" s="33" t="str">
        <f t="shared" si="25"/>
        <v/>
      </c>
      <c r="K2195" s="33"/>
      <c r="L2195" s="33"/>
      <c r="M2195" s="33"/>
      <c r="N2195" s="34"/>
      <c r="O2195" s="35"/>
      <c r="P2195" s="35"/>
      <c r="Q2195" s="36"/>
      <c r="R2195" s="33"/>
      <c r="S2195" s="31"/>
      <c r="T2195" s="37"/>
      <c r="U2195" s="37"/>
      <c r="V2195" s="37"/>
      <c r="W2195" s="37"/>
      <c r="X2195" s="25"/>
      <c r="Y2195" s="25"/>
      <c r="Z2195" s="25"/>
      <c r="AA2195" s="25"/>
      <c r="AB2195" s="25"/>
      <c r="AC2195" s="25"/>
      <c r="AD2195" s="25"/>
      <c r="AE2195" s="25"/>
      <c r="AF2195" s="25"/>
      <c r="AG2195" s="25"/>
      <c r="AH2195" s="25"/>
      <c r="AI2195" s="25"/>
      <c r="AJ2195" s="25"/>
      <c r="AK2195" s="25"/>
      <c r="AL2195" s="25"/>
      <c r="AM2195" s="25"/>
    </row>
    <row r="2196">
      <c r="A2196" s="24"/>
      <c r="B2196" s="13"/>
      <c r="C2196" s="62"/>
      <c r="D2196" s="14"/>
      <c r="E2196" s="15"/>
      <c r="F2196" s="16"/>
      <c r="G2196" s="17"/>
      <c r="H2196" s="18"/>
      <c r="I2196" s="19"/>
      <c r="J2196" s="20" t="str">
        <f t="shared" si="25"/>
        <v/>
      </c>
      <c r="K2196" s="20"/>
      <c r="L2196" s="20"/>
      <c r="M2196" s="20"/>
      <c r="N2196" s="21"/>
      <c r="O2196" s="22"/>
      <c r="P2196" s="22"/>
      <c r="Q2196" s="23"/>
      <c r="R2196" s="20"/>
      <c r="S2196" s="18"/>
      <c r="T2196" s="24"/>
      <c r="U2196" s="24"/>
      <c r="V2196" s="24"/>
      <c r="W2196" s="24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  <c r="AH2196" s="13"/>
      <c r="AI2196" s="13"/>
      <c r="AJ2196" s="13"/>
      <c r="AK2196" s="13"/>
      <c r="AL2196" s="13"/>
      <c r="AM2196" s="13"/>
    </row>
    <row r="2197">
      <c r="A2197" s="37"/>
      <c r="B2197" s="25"/>
      <c r="C2197" s="60"/>
      <c r="D2197" s="27"/>
      <c r="E2197" s="28"/>
      <c r="F2197" s="29"/>
      <c r="G2197" s="30"/>
      <c r="H2197" s="31"/>
      <c r="I2197" s="32"/>
      <c r="J2197" s="33" t="str">
        <f t="shared" si="25"/>
        <v/>
      </c>
      <c r="K2197" s="33"/>
      <c r="L2197" s="33"/>
      <c r="M2197" s="33"/>
      <c r="N2197" s="34"/>
      <c r="O2197" s="35"/>
      <c r="P2197" s="35"/>
      <c r="Q2197" s="36"/>
      <c r="R2197" s="33"/>
      <c r="S2197" s="31"/>
      <c r="T2197" s="37"/>
      <c r="U2197" s="37"/>
      <c r="V2197" s="37"/>
      <c r="W2197" s="37"/>
      <c r="X2197" s="25"/>
      <c r="Y2197" s="25"/>
      <c r="Z2197" s="25"/>
      <c r="AA2197" s="25"/>
      <c r="AB2197" s="25"/>
      <c r="AC2197" s="25"/>
      <c r="AD2197" s="25"/>
      <c r="AE2197" s="25"/>
      <c r="AF2197" s="25"/>
      <c r="AG2197" s="25"/>
      <c r="AH2197" s="25"/>
      <c r="AI2197" s="25"/>
      <c r="AJ2197" s="25"/>
      <c r="AK2197" s="25"/>
      <c r="AL2197" s="25"/>
      <c r="AM2197" s="25"/>
    </row>
    <row r="2198">
      <c r="A2198" s="24"/>
      <c r="B2198" s="13"/>
      <c r="C2198" s="62"/>
      <c r="D2198" s="14"/>
      <c r="E2198" s="15"/>
      <c r="F2198" s="16"/>
      <c r="G2198" s="17"/>
      <c r="H2198" s="18"/>
      <c r="I2198" s="19"/>
      <c r="J2198" s="20" t="str">
        <f t="shared" si="25"/>
        <v/>
      </c>
      <c r="K2198" s="20"/>
      <c r="L2198" s="20"/>
      <c r="M2198" s="20"/>
      <c r="N2198" s="21"/>
      <c r="O2198" s="22"/>
      <c r="P2198" s="22"/>
      <c r="Q2198" s="23"/>
      <c r="R2198" s="20"/>
      <c r="S2198" s="18"/>
      <c r="T2198" s="24"/>
      <c r="U2198" s="24"/>
      <c r="V2198" s="24"/>
      <c r="W2198" s="24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  <c r="AH2198" s="13"/>
      <c r="AI2198" s="13"/>
      <c r="AJ2198" s="13"/>
      <c r="AK2198" s="13"/>
      <c r="AL2198" s="13"/>
      <c r="AM2198" s="13"/>
    </row>
    <row r="2199">
      <c r="A2199" s="37"/>
      <c r="B2199" s="25"/>
      <c r="C2199" s="60"/>
      <c r="D2199" s="27"/>
      <c r="E2199" s="28"/>
      <c r="F2199" s="29"/>
      <c r="G2199" s="30"/>
      <c r="H2199" s="31"/>
      <c r="I2199" s="32"/>
      <c r="J2199" s="33" t="str">
        <f t="shared" si="25"/>
        <v/>
      </c>
      <c r="K2199" s="33"/>
      <c r="L2199" s="33"/>
      <c r="M2199" s="33"/>
      <c r="N2199" s="34"/>
      <c r="O2199" s="35"/>
      <c r="P2199" s="35"/>
      <c r="Q2199" s="36"/>
      <c r="R2199" s="33"/>
      <c r="S2199" s="31"/>
      <c r="T2199" s="37"/>
      <c r="U2199" s="37"/>
      <c r="V2199" s="37"/>
      <c r="W2199" s="37"/>
      <c r="X2199" s="25"/>
      <c r="Y2199" s="25"/>
      <c r="Z2199" s="25"/>
      <c r="AA2199" s="25"/>
      <c r="AB2199" s="25"/>
      <c r="AC2199" s="25"/>
      <c r="AD2199" s="25"/>
      <c r="AE2199" s="25"/>
      <c r="AF2199" s="25"/>
      <c r="AG2199" s="25"/>
      <c r="AH2199" s="25"/>
      <c r="AI2199" s="25"/>
      <c r="AJ2199" s="25"/>
      <c r="AK2199" s="25"/>
      <c r="AL2199" s="25"/>
      <c r="AM2199" s="25"/>
    </row>
    <row r="2200">
      <c r="A2200" s="24"/>
      <c r="B2200" s="13"/>
      <c r="C2200" s="62"/>
      <c r="D2200" s="14"/>
      <c r="E2200" s="15"/>
      <c r="F2200" s="16"/>
      <c r="G2200" s="17"/>
      <c r="H2200" s="18"/>
      <c r="I2200" s="19"/>
      <c r="J2200" s="20" t="str">
        <f t="shared" si="25"/>
        <v/>
      </c>
      <c r="K2200" s="20"/>
      <c r="L2200" s="20"/>
      <c r="M2200" s="20"/>
      <c r="N2200" s="21"/>
      <c r="O2200" s="22"/>
      <c r="P2200" s="22"/>
      <c r="Q2200" s="23"/>
      <c r="R2200" s="20"/>
      <c r="S2200" s="18"/>
      <c r="T2200" s="24"/>
      <c r="U2200" s="24"/>
      <c r="V2200" s="24"/>
      <c r="W2200" s="24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13"/>
      <c r="AK2200" s="13"/>
      <c r="AL2200" s="13"/>
      <c r="AM2200" s="13"/>
    </row>
    <row r="2201">
      <c r="A2201" s="37"/>
      <c r="B2201" s="25"/>
      <c r="C2201" s="60"/>
      <c r="D2201" s="27"/>
      <c r="E2201" s="28"/>
      <c r="F2201" s="29"/>
      <c r="G2201" s="30"/>
      <c r="H2201" s="31"/>
      <c r="I2201" s="32"/>
      <c r="J2201" s="33" t="str">
        <f t="shared" si="25"/>
        <v/>
      </c>
      <c r="K2201" s="33"/>
      <c r="L2201" s="33"/>
      <c r="M2201" s="33"/>
      <c r="N2201" s="34"/>
      <c r="O2201" s="35"/>
      <c r="P2201" s="35"/>
      <c r="Q2201" s="36"/>
      <c r="R2201" s="33"/>
      <c r="S2201" s="31"/>
      <c r="T2201" s="37"/>
      <c r="U2201" s="37"/>
      <c r="V2201" s="37"/>
      <c r="W2201" s="37"/>
      <c r="X2201" s="25"/>
      <c r="Y2201" s="25"/>
      <c r="Z2201" s="25"/>
      <c r="AA2201" s="25"/>
      <c r="AB2201" s="25"/>
      <c r="AC2201" s="25"/>
      <c r="AD2201" s="25"/>
      <c r="AE2201" s="25"/>
      <c r="AF2201" s="25"/>
      <c r="AG2201" s="25"/>
      <c r="AH2201" s="25"/>
      <c r="AI2201" s="25"/>
      <c r="AJ2201" s="25"/>
      <c r="AK2201" s="25"/>
      <c r="AL2201" s="25"/>
      <c r="AM2201" s="25"/>
    </row>
    <row r="2202">
      <c r="A2202" s="24"/>
      <c r="B2202" s="13"/>
      <c r="C2202" s="62"/>
      <c r="D2202" s="14"/>
      <c r="E2202" s="15"/>
      <c r="F2202" s="16"/>
      <c r="G2202" s="17"/>
      <c r="H2202" s="18"/>
      <c r="I2202" s="19"/>
      <c r="J2202" s="20" t="str">
        <f t="shared" si="25"/>
        <v/>
      </c>
      <c r="K2202" s="20"/>
      <c r="L2202" s="20"/>
      <c r="M2202" s="20"/>
      <c r="N2202" s="21"/>
      <c r="O2202" s="22"/>
      <c r="P2202" s="22"/>
      <c r="Q2202" s="23"/>
      <c r="R2202" s="20"/>
      <c r="S2202" s="18"/>
      <c r="T2202" s="24"/>
      <c r="U2202" s="24"/>
      <c r="V2202" s="24"/>
      <c r="W2202" s="24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  <c r="AH2202" s="13"/>
      <c r="AI2202" s="13"/>
      <c r="AJ2202" s="13"/>
      <c r="AK2202" s="13"/>
      <c r="AL2202" s="13"/>
      <c r="AM2202" s="13"/>
    </row>
    <row r="2203">
      <c r="A2203" s="37"/>
      <c r="B2203" s="25"/>
      <c r="C2203" s="60"/>
      <c r="D2203" s="27"/>
      <c r="E2203" s="28"/>
      <c r="F2203" s="29"/>
      <c r="G2203" s="30"/>
      <c r="H2203" s="31"/>
      <c r="I2203" s="32"/>
      <c r="J2203" s="33" t="str">
        <f t="shared" si="25"/>
        <v/>
      </c>
      <c r="K2203" s="33"/>
      <c r="L2203" s="33"/>
      <c r="M2203" s="33"/>
      <c r="N2203" s="34"/>
      <c r="O2203" s="35"/>
      <c r="P2203" s="35"/>
      <c r="Q2203" s="36"/>
      <c r="R2203" s="33"/>
      <c r="S2203" s="31"/>
      <c r="T2203" s="37"/>
      <c r="U2203" s="37"/>
      <c r="V2203" s="37"/>
      <c r="W2203" s="37"/>
      <c r="X2203" s="25"/>
      <c r="Y2203" s="25"/>
      <c r="Z2203" s="25"/>
      <c r="AA2203" s="25"/>
      <c r="AB2203" s="25"/>
      <c r="AC2203" s="25"/>
      <c r="AD2203" s="25"/>
      <c r="AE2203" s="25"/>
      <c r="AF2203" s="25"/>
      <c r="AG2203" s="25"/>
      <c r="AH2203" s="25"/>
      <c r="AI2203" s="25"/>
      <c r="AJ2203" s="25"/>
      <c r="AK2203" s="25"/>
      <c r="AL2203" s="25"/>
      <c r="AM2203" s="25"/>
    </row>
    <row r="2204">
      <c r="A2204" s="24"/>
      <c r="B2204" s="13"/>
      <c r="C2204" s="62"/>
      <c r="D2204" s="14"/>
      <c r="E2204" s="15"/>
      <c r="F2204" s="16"/>
      <c r="G2204" s="17"/>
      <c r="H2204" s="18"/>
      <c r="I2204" s="19"/>
      <c r="J2204" s="20" t="str">
        <f t="shared" si="25"/>
        <v/>
      </c>
      <c r="K2204" s="20"/>
      <c r="L2204" s="20"/>
      <c r="M2204" s="20"/>
      <c r="N2204" s="21"/>
      <c r="O2204" s="22"/>
      <c r="P2204" s="22"/>
      <c r="Q2204" s="23"/>
      <c r="R2204" s="20"/>
      <c r="S2204" s="18"/>
      <c r="T2204" s="24"/>
      <c r="U2204" s="24"/>
      <c r="V2204" s="24"/>
      <c r="W2204" s="24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  <c r="AH2204" s="13"/>
      <c r="AI2204" s="13"/>
      <c r="AJ2204" s="13"/>
      <c r="AK2204" s="13"/>
      <c r="AL2204" s="13"/>
      <c r="AM2204" s="13"/>
    </row>
    <row r="2205">
      <c r="A2205" s="37"/>
      <c r="B2205" s="25"/>
      <c r="C2205" s="60"/>
      <c r="D2205" s="27"/>
      <c r="E2205" s="28"/>
      <c r="F2205" s="29"/>
      <c r="G2205" s="30"/>
      <c r="H2205" s="31"/>
      <c r="I2205" s="32"/>
      <c r="J2205" s="33" t="str">
        <f t="shared" si="25"/>
        <v/>
      </c>
      <c r="K2205" s="33"/>
      <c r="L2205" s="33"/>
      <c r="M2205" s="33"/>
      <c r="N2205" s="34"/>
      <c r="O2205" s="35"/>
      <c r="P2205" s="35"/>
      <c r="Q2205" s="36"/>
      <c r="R2205" s="33"/>
      <c r="S2205" s="31"/>
      <c r="T2205" s="37"/>
      <c r="U2205" s="37"/>
      <c r="V2205" s="37"/>
      <c r="W2205" s="37"/>
      <c r="X2205" s="25"/>
      <c r="Y2205" s="25"/>
      <c r="Z2205" s="25"/>
      <c r="AA2205" s="25"/>
      <c r="AB2205" s="25"/>
      <c r="AC2205" s="25"/>
      <c r="AD2205" s="25"/>
      <c r="AE2205" s="25"/>
      <c r="AF2205" s="25"/>
      <c r="AG2205" s="25"/>
      <c r="AH2205" s="25"/>
      <c r="AI2205" s="25"/>
      <c r="AJ2205" s="25"/>
      <c r="AK2205" s="25"/>
      <c r="AL2205" s="25"/>
      <c r="AM2205" s="25"/>
    </row>
    <row r="2206">
      <c r="A2206" s="24"/>
      <c r="B2206" s="13"/>
      <c r="C2206" s="62"/>
      <c r="D2206" s="14"/>
      <c r="E2206" s="15"/>
      <c r="F2206" s="16"/>
      <c r="G2206" s="17"/>
      <c r="H2206" s="18"/>
      <c r="I2206" s="19"/>
      <c r="J2206" s="20" t="str">
        <f t="shared" si="25"/>
        <v/>
      </c>
      <c r="K2206" s="20"/>
      <c r="L2206" s="20"/>
      <c r="M2206" s="20"/>
      <c r="N2206" s="21"/>
      <c r="O2206" s="22"/>
      <c r="P2206" s="22"/>
      <c r="Q2206" s="23"/>
      <c r="R2206" s="20"/>
      <c r="S2206" s="18"/>
      <c r="T2206" s="24"/>
      <c r="U2206" s="24"/>
      <c r="V2206" s="24"/>
      <c r="W2206" s="24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  <c r="AH2206" s="13"/>
      <c r="AI2206" s="13"/>
      <c r="AJ2206" s="13"/>
      <c r="AK2206" s="13"/>
      <c r="AL2206" s="13"/>
      <c r="AM2206" s="13"/>
    </row>
    <row r="2207">
      <c r="A2207" s="37"/>
      <c r="B2207" s="25"/>
      <c r="C2207" s="60"/>
      <c r="D2207" s="27"/>
      <c r="E2207" s="28"/>
      <c r="F2207" s="29"/>
      <c r="G2207" s="30"/>
      <c r="H2207" s="31"/>
      <c r="I2207" s="32"/>
      <c r="J2207" s="33" t="str">
        <f t="shared" si="25"/>
        <v/>
      </c>
      <c r="K2207" s="33"/>
      <c r="L2207" s="33"/>
      <c r="M2207" s="33"/>
      <c r="N2207" s="34"/>
      <c r="O2207" s="35"/>
      <c r="P2207" s="35"/>
      <c r="Q2207" s="36"/>
      <c r="R2207" s="33"/>
      <c r="S2207" s="31"/>
      <c r="T2207" s="37"/>
      <c r="U2207" s="37"/>
      <c r="V2207" s="37"/>
      <c r="W2207" s="37"/>
      <c r="X2207" s="25"/>
      <c r="Y2207" s="25"/>
      <c r="Z2207" s="25"/>
      <c r="AA2207" s="25"/>
      <c r="AB2207" s="25"/>
      <c r="AC2207" s="25"/>
      <c r="AD2207" s="25"/>
      <c r="AE2207" s="25"/>
      <c r="AF2207" s="25"/>
      <c r="AG2207" s="25"/>
      <c r="AH2207" s="25"/>
      <c r="AI2207" s="25"/>
      <c r="AJ2207" s="25"/>
      <c r="AK2207" s="25"/>
      <c r="AL2207" s="25"/>
      <c r="AM2207" s="25"/>
    </row>
    <row r="2208">
      <c r="A2208" s="24"/>
      <c r="B2208" s="13"/>
      <c r="C2208" s="62"/>
      <c r="D2208" s="14"/>
      <c r="E2208" s="15"/>
      <c r="F2208" s="16"/>
      <c r="G2208" s="17"/>
      <c r="H2208" s="18"/>
      <c r="I2208" s="19"/>
      <c r="J2208" s="20" t="str">
        <f t="shared" si="25"/>
        <v/>
      </c>
      <c r="K2208" s="20"/>
      <c r="L2208" s="20"/>
      <c r="M2208" s="20"/>
      <c r="N2208" s="21"/>
      <c r="O2208" s="22"/>
      <c r="P2208" s="22"/>
      <c r="Q2208" s="23"/>
      <c r="R2208" s="20"/>
      <c r="S2208" s="18"/>
      <c r="T2208" s="24"/>
      <c r="U2208" s="24"/>
      <c r="V2208" s="24"/>
      <c r="W2208" s="24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  <c r="AH2208" s="13"/>
      <c r="AI2208" s="13"/>
      <c r="AJ2208" s="13"/>
      <c r="AK2208" s="13"/>
      <c r="AL2208" s="13"/>
      <c r="AM2208" s="13"/>
    </row>
    <row r="2209">
      <c r="A2209" s="37"/>
      <c r="B2209" s="25"/>
      <c r="C2209" s="60"/>
      <c r="D2209" s="27"/>
      <c r="E2209" s="28"/>
      <c r="F2209" s="29"/>
      <c r="G2209" s="30"/>
      <c r="H2209" s="31"/>
      <c r="I2209" s="32"/>
      <c r="J2209" s="33" t="str">
        <f t="shared" si="25"/>
        <v/>
      </c>
      <c r="K2209" s="33"/>
      <c r="L2209" s="33"/>
      <c r="M2209" s="33"/>
      <c r="N2209" s="34"/>
      <c r="O2209" s="35"/>
      <c r="P2209" s="35"/>
      <c r="Q2209" s="36"/>
      <c r="R2209" s="33"/>
      <c r="S2209" s="31"/>
      <c r="T2209" s="37"/>
      <c r="U2209" s="37"/>
      <c r="V2209" s="37"/>
      <c r="W2209" s="37"/>
      <c r="X2209" s="25"/>
      <c r="Y2209" s="25"/>
      <c r="Z2209" s="25"/>
      <c r="AA2209" s="25"/>
      <c r="AB2209" s="25"/>
      <c r="AC2209" s="25"/>
      <c r="AD2209" s="25"/>
      <c r="AE2209" s="25"/>
      <c r="AF2209" s="25"/>
      <c r="AG2209" s="25"/>
      <c r="AH2209" s="25"/>
      <c r="AI2209" s="25"/>
      <c r="AJ2209" s="25"/>
      <c r="AK2209" s="25"/>
      <c r="AL2209" s="25"/>
      <c r="AM2209" s="25"/>
    </row>
    <row r="2210">
      <c r="A2210" s="24"/>
      <c r="B2210" s="13"/>
      <c r="C2210" s="62"/>
      <c r="D2210" s="14"/>
      <c r="E2210" s="15"/>
      <c r="F2210" s="16"/>
      <c r="G2210" s="17"/>
      <c r="H2210" s="18"/>
      <c r="I2210" s="19"/>
      <c r="J2210" s="20" t="str">
        <f t="shared" si="25"/>
        <v/>
      </c>
      <c r="K2210" s="20"/>
      <c r="L2210" s="20"/>
      <c r="M2210" s="20"/>
      <c r="N2210" s="21"/>
      <c r="O2210" s="22"/>
      <c r="P2210" s="22"/>
      <c r="Q2210" s="23"/>
      <c r="R2210" s="20"/>
      <c r="S2210" s="18"/>
      <c r="T2210" s="24"/>
      <c r="U2210" s="24"/>
      <c r="V2210" s="24"/>
      <c r="W2210" s="24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  <c r="AH2210" s="13"/>
      <c r="AI2210" s="13"/>
      <c r="AJ2210" s="13"/>
      <c r="AK2210" s="13"/>
      <c r="AL2210" s="13"/>
      <c r="AM2210" s="13"/>
    </row>
    <row r="2211">
      <c r="A2211" s="37"/>
      <c r="B2211" s="25"/>
      <c r="C2211" s="60"/>
      <c r="D2211" s="27"/>
      <c r="E2211" s="28"/>
      <c r="F2211" s="29"/>
      <c r="G2211" s="30"/>
      <c r="H2211" s="31"/>
      <c r="I2211" s="32"/>
      <c r="J2211" s="33" t="str">
        <f t="shared" si="25"/>
        <v/>
      </c>
      <c r="K2211" s="33"/>
      <c r="L2211" s="33"/>
      <c r="M2211" s="33"/>
      <c r="N2211" s="34"/>
      <c r="O2211" s="35"/>
      <c r="P2211" s="35"/>
      <c r="Q2211" s="36"/>
      <c r="R2211" s="33"/>
      <c r="S2211" s="31"/>
      <c r="T2211" s="37"/>
      <c r="U2211" s="37"/>
      <c r="V2211" s="37"/>
      <c r="W2211" s="37"/>
      <c r="X2211" s="25"/>
      <c r="Y2211" s="25"/>
      <c r="Z2211" s="25"/>
      <c r="AA2211" s="25"/>
      <c r="AB2211" s="25"/>
      <c r="AC2211" s="25"/>
      <c r="AD2211" s="25"/>
      <c r="AE2211" s="25"/>
      <c r="AF2211" s="25"/>
      <c r="AG2211" s="25"/>
      <c r="AH2211" s="25"/>
      <c r="AI2211" s="25"/>
      <c r="AJ2211" s="25"/>
      <c r="AK2211" s="25"/>
      <c r="AL2211" s="25"/>
      <c r="AM2211" s="25"/>
    </row>
    <row r="2212">
      <c r="A2212" s="24"/>
      <c r="B2212" s="13"/>
      <c r="C2212" s="62"/>
      <c r="D2212" s="14"/>
      <c r="E2212" s="15"/>
      <c r="F2212" s="16"/>
      <c r="G2212" s="17"/>
      <c r="H2212" s="18"/>
      <c r="I2212" s="19"/>
      <c r="J2212" s="20" t="str">
        <f t="shared" si="25"/>
        <v/>
      </c>
      <c r="K2212" s="20"/>
      <c r="L2212" s="20"/>
      <c r="M2212" s="20"/>
      <c r="N2212" s="21"/>
      <c r="O2212" s="22"/>
      <c r="P2212" s="22"/>
      <c r="Q2212" s="23"/>
      <c r="R2212" s="20"/>
      <c r="S2212" s="18"/>
      <c r="T2212" s="24"/>
      <c r="U2212" s="24"/>
      <c r="V2212" s="24"/>
      <c r="W2212" s="24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  <c r="AH2212" s="13"/>
      <c r="AI2212" s="13"/>
      <c r="AJ2212" s="13"/>
      <c r="AK2212" s="13"/>
      <c r="AL2212" s="13"/>
      <c r="AM2212" s="13"/>
    </row>
    <row r="2213">
      <c r="A2213" s="37"/>
      <c r="B2213" s="25"/>
      <c r="C2213" s="60"/>
      <c r="D2213" s="27"/>
      <c r="E2213" s="28"/>
      <c r="F2213" s="29"/>
      <c r="G2213" s="30"/>
      <c r="H2213" s="31"/>
      <c r="I2213" s="32"/>
      <c r="J2213" s="33" t="str">
        <f t="shared" si="25"/>
        <v/>
      </c>
      <c r="K2213" s="33"/>
      <c r="L2213" s="33"/>
      <c r="M2213" s="33"/>
      <c r="N2213" s="34"/>
      <c r="O2213" s="35"/>
      <c r="P2213" s="35"/>
      <c r="Q2213" s="36"/>
      <c r="R2213" s="33"/>
      <c r="S2213" s="31"/>
      <c r="T2213" s="37"/>
      <c r="U2213" s="37"/>
      <c r="V2213" s="37"/>
      <c r="W2213" s="37"/>
      <c r="X2213" s="25"/>
      <c r="Y2213" s="25"/>
      <c r="Z2213" s="25"/>
      <c r="AA2213" s="25"/>
      <c r="AB2213" s="25"/>
      <c r="AC2213" s="25"/>
      <c r="AD2213" s="25"/>
      <c r="AE2213" s="25"/>
      <c r="AF2213" s="25"/>
      <c r="AG2213" s="25"/>
      <c r="AH2213" s="25"/>
      <c r="AI2213" s="25"/>
      <c r="AJ2213" s="25"/>
      <c r="AK2213" s="25"/>
      <c r="AL2213" s="25"/>
      <c r="AM2213" s="25"/>
    </row>
    <row r="2214">
      <c r="A2214" s="24"/>
      <c r="B2214" s="13"/>
      <c r="C2214" s="62"/>
      <c r="D2214" s="14"/>
      <c r="E2214" s="15"/>
      <c r="F2214" s="16"/>
      <c r="G2214" s="17"/>
      <c r="H2214" s="18"/>
      <c r="I2214" s="19"/>
      <c r="J2214" s="20" t="str">
        <f t="shared" si="25"/>
        <v/>
      </c>
      <c r="K2214" s="20"/>
      <c r="L2214" s="20"/>
      <c r="M2214" s="20"/>
      <c r="N2214" s="21"/>
      <c r="O2214" s="22"/>
      <c r="P2214" s="22"/>
      <c r="Q2214" s="23"/>
      <c r="R2214" s="20"/>
      <c r="S2214" s="18"/>
      <c r="T2214" s="24"/>
      <c r="U2214" s="24"/>
      <c r="V2214" s="24"/>
      <c r="W2214" s="24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3"/>
      <c r="AM2214" s="13"/>
    </row>
    <row r="2215">
      <c r="A2215" s="37"/>
      <c r="B2215" s="25"/>
      <c r="C2215" s="60"/>
      <c r="D2215" s="27"/>
      <c r="E2215" s="28"/>
      <c r="F2215" s="29"/>
      <c r="G2215" s="30"/>
      <c r="H2215" s="31"/>
      <c r="I2215" s="32"/>
      <c r="J2215" s="33" t="str">
        <f t="shared" si="25"/>
        <v/>
      </c>
      <c r="K2215" s="33"/>
      <c r="L2215" s="33"/>
      <c r="M2215" s="33"/>
      <c r="N2215" s="34"/>
      <c r="O2215" s="35"/>
      <c r="P2215" s="35"/>
      <c r="Q2215" s="36"/>
      <c r="R2215" s="33"/>
      <c r="S2215" s="31"/>
      <c r="T2215" s="37"/>
      <c r="U2215" s="37"/>
      <c r="V2215" s="37"/>
      <c r="W2215" s="37"/>
      <c r="X2215" s="25"/>
      <c r="Y2215" s="25"/>
      <c r="Z2215" s="25"/>
      <c r="AA2215" s="25"/>
      <c r="AB2215" s="25"/>
      <c r="AC2215" s="25"/>
      <c r="AD2215" s="25"/>
      <c r="AE2215" s="25"/>
      <c r="AF2215" s="25"/>
      <c r="AG2215" s="25"/>
      <c r="AH2215" s="25"/>
      <c r="AI2215" s="25"/>
      <c r="AJ2215" s="25"/>
      <c r="AK2215" s="25"/>
      <c r="AL2215" s="25"/>
      <c r="AM2215" s="25"/>
    </row>
    <row r="2216">
      <c r="A2216" s="24"/>
      <c r="B2216" s="13"/>
      <c r="C2216" s="62"/>
      <c r="D2216" s="14"/>
      <c r="E2216" s="15"/>
      <c r="F2216" s="16"/>
      <c r="G2216" s="17"/>
      <c r="H2216" s="18"/>
      <c r="I2216" s="19"/>
      <c r="J2216" s="20" t="str">
        <f t="shared" si="25"/>
        <v/>
      </c>
      <c r="K2216" s="20"/>
      <c r="L2216" s="20"/>
      <c r="M2216" s="20"/>
      <c r="N2216" s="21"/>
      <c r="O2216" s="22"/>
      <c r="P2216" s="22"/>
      <c r="Q2216" s="23"/>
      <c r="R2216" s="20"/>
      <c r="S2216" s="18"/>
      <c r="T2216" s="24"/>
      <c r="U2216" s="24"/>
      <c r="V2216" s="24"/>
      <c r="W2216" s="24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  <c r="AH2216" s="13"/>
      <c r="AI2216" s="13"/>
      <c r="AJ2216" s="13"/>
      <c r="AK2216" s="13"/>
      <c r="AL2216" s="13"/>
      <c r="AM2216" s="13"/>
    </row>
    <row r="2217">
      <c r="A2217" s="37"/>
      <c r="B2217" s="25"/>
      <c r="C2217" s="60"/>
      <c r="D2217" s="27"/>
      <c r="E2217" s="28"/>
      <c r="F2217" s="29"/>
      <c r="G2217" s="30"/>
      <c r="H2217" s="31"/>
      <c r="I2217" s="32"/>
      <c r="J2217" s="33" t="str">
        <f t="shared" si="25"/>
        <v/>
      </c>
      <c r="K2217" s="33"/>
      <c r="L2217" s="33"/>
      <c r="M2217" s="33"/>
      <c r="N2217" s="34"/>
      <c r="O2217" s="35"/>
      <c r="P2217" s="35"/>
      <c r="Q2217" s="36"/>
      <c r="R2217" s="33"/>
      <c r="S2217" s="31"/>
      <c r="T2217" s="37"/>
      <c r="U2217" s="37"/>
      <c r="V2217" s="37"/>
      <c r="W2217" s="37"/>
      <c r="X2217" s="25"/>
      <c r="Y2217" s="25"/>
      <c r="Z2217" s="25"/>
      <c r="AA2217" s="25"/>
      <c r="AB2217" s="25"/>
      <c r="AC2217" s="25"/>
      <c r="AD2217" s="25"/>
      <c r="AE2217" s="25"/>
      <c r="AF2217" s="25"/>
      <c r="AG2217" s="25"/>
      <c r="AH2217" s="25"/>
      <c r="AI2217" s="25"/>
      <c r="AJ2217" s="25"/>
      <c r="AK2217" s="25"/>
      <c r="AL2217" s="25"/>
      <c r="AM2217" s="25"/>
    </row>
    <row r="2218">
      <c r="A2218" s="24"/>
      <c r="B2218" s="13"/>
      <c r="C2218" s="62"/>
      <c r="D2218" s="14"/>
      <c r="E2218" s="15"/>
      <c r="F2218" s="16"/>
      <c r="G2218" s="17"/>
      <c r="H2218" s="18"/>
      <c r="I2218" s="19"/>
      <c r="J2218" s="20" t="str">
        <f t="shared" si="25"/>
        <v/>
      </c>
      <c r="K2218" s="20"/>
      <c r="L2218" s="20"/>
      <c r="M2218" s="20"/>
      <c r="N2218" s="21"/>
      <c r="O2218" s="22"/>
      <c r="P2218" s="22"/>
      <c r="Q2218" s="23"/>
      <c r="R2218" s="20"/>
      <c r="S2218" s="18"/>
      <c r="T2218" s="24"/>
      <c r="U2218" s="24"/>
      <c r="V2218" s="24"/>
      <c r="W2218" s="24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  <c r="AH2218" s="13"/>
      <c r="AI2218" s="13"/>
      <c r="AJ2218" s="13"/>
      <c r="AK2218" s="13"/>
      <c r="AL2218" s="13"/>
      <c r="AM2218" s="13"/>
    </row>
    <row r="2219">
      <c r="A2219" s="37"/>
      <c r="B2219" s="25"/>
      <c r="C2219" s="60"/>
      <c r="D2219" s="27"/>
      <c r="E2219" s="28"/>
      <c r="F2219" s="29"/>
      <c r="G2219" s="30"/>
      <c r="H2219" s="31"/>
      <c r="I2219" s="32"/>
      <c r="J2219" s="33" t="str">
        <f t="shared" si="25"/>
        <v/>
      </c>
      <c r="K2219" s="33"/>
      <c r="L2219" s="33"/>
      <c r="M2219" s="33"/>
      <c r="N2219" s="34"/>
      <c r="O2219" s="35"/>
      <c r="P2219" s="35"/>
      <c r="Q2219" s="36"/>
      <c r="R2219" s="33"/>
      <c r="S2219" s="31"/>
      <c r="T2219" s="37"/>
      <c r="U2219" s="37"/>
      <c r="V2219" s="37"/>
      <c r="W2219" s="37"/>
      <c r="X2219" s="25"/>
      <c r="Y2219" s="25"/>
      <c r="Z2219" s="25"/>
      <c r="AA2219" s="25"/>
      <c r="AB2219" s="25"/>
      <c r="AC2219" s="25"/>
      <c r="AD2219" s="25"/>
      <c r="AE2219" s="25"/>
      <c r="AF2219" s="25"/>
      <c r="AG2219" s="25"/>
      <c r="AH2219" s="25"/>
      <c r="AI2219" s="25"/>
      <c r="AJ2219" s="25"/>
      <c r="AK2219" s="25"/>
      <c r="AL2219" s="25"/>
      <c r="AM2219" s="25"/>
    </row>
    <row r="2220">
      <c r="A2220" s="24"/>
      <c r="B2220" s="13"/>
      <c r="C2220" s="62"/>
      <c r="D2220" s="14"/>
      <c r="E2220" s="15"/>
      <c r="F2220" s="16"/>
      <c r="G2220" s="17"/>
      <c r="H2220" s="18"/>
      <c r="I2220" s="19"/>
      <c r="J2220" s="20" t="str">
        <f t="shared" si="25"/>
        <v/>
      </c>
      <c r="K2220" s="20"/>
      <c r="L2220" s="20"/>
      <c r="M2220" s="20"/>
      <c r="N2220" s="21"/>
      <c r="O2220" s="22"/>
      <c r="P2220" s="22"/>
      <c r="Q2220" s="23"/>
      <c r="R2220" s="20"/>
      <c r="S2220" s="18"/>
      <c r="T2220" s="24"/>
      <c r="U2220" s="24"/>
      <c r="V2220" s="24"/>
      <c r="W2220" s="24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13"/>
      <c r="AK2220" s="13"/>
      <c r="AL2220" s="13"/>
      <c r="AM2220" s="13"/>
    </row>
    <row r="2221">
      <c r="A2221" s="37"/>
      <c r="B2221" s="25"/>
      <c r="C2221" s="60"/>
      <c r="D2221" s="27"/>
      <c r="E2221" s="28"/>
      <c r="F2221" s="29"/>
      <c r="G2221" s="30"/>
      <c r="H2221" s="31"/>
      <c r="I2221" s="32"/>
      <c r="J2221" s="33" t="str">
        <f t="shared" si="25"/>
        <v/>
      </c>
      <c r="K2221" s="33"/>
      <c r="L2221" s="33"/>
      <c r="M2221" s="33"/>
      <c r="N2221" s="34"/>
      <c r="O2221" s="35"/>
      <c r="P2221" s="35"/>
      <c r="Q2221" s="36"/>
      <c r="R2221" s="33"/>
      <c r="S2221" s="31"/>
      <c r="T2221" s="37"/>
      <c r="U2221" s="37"/>
      <c r="V2221" s="37"/>
      <c r="W2221" s="37"/>
      <c r="X2221" s="25"/>
      <c r="Y2221" s="25"/>
      <c r="Z2221" s="25"/>
      <c r="AA2221" s="25"/>
      <c r="AB2221" s="25"/>
      <c r="AC2221" s="25"/>
      <c r="AD2221" s="25"/>
      <c r="AE2221" s="25"/>
      <c r="AF2221" s="25"/>
      <c r="AG2221" s="25"/>
      <c r="AH2221" s="25"/>
      <c r="AI2221" s="25"/>
      <c r="AJ2221" s="25"/>
      <c r="AK2221" s="25"/>
      <c r="AL2221" s="25"/>
      <c r="AM2221" s="25"/>
    </row>
    <row r="2222">
      <c r="A2222" s="24"/>
      <c r="B2222" s="13"/>
      <c r="C2222" s="62"/>
      <c r="D2222" s="14"/>
      <c r="E2222" s="15"/>
      <c r="F2222" s="16"/>
      <c r="G2222" s="17"/>
      <c r="H2222" s="18"/>
      <c r="I2222" s="19"/>
      <c r="J2222" s="20" t="str">
        <f t="shared" si="25"/>
        <v/>
      </c>
      <c r="K2222" s="20"/>
      <c r="L2222" s="20"/>
      <c r="M2222" s="20"/>
      <c r="N2222" s="21"/>
      <c r="O2222" s="22"/>
      <c r="P2222" s="22"/>
      <c r="Q2222" s="23"/>
      <c r="R2222" s="20"/>
      <c r="S2222" s="18"/>
      <c r="T2222" s="24"/>
      <c r="U2222" s="24"/>
      <c r="V2222" s="24"/>
      <c r="W2222" s="24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  <c r="AH2222" s="13"/>
      <c r="AI2222" s="13"/>
      <c r="AJ2222" s="13"/>
      <c r="AK2222" s="13"/>
      <c r="AL2222" s="13"/>
      <c r="AM2222" s="13"/>
    </row>
    <row r="2223">
      <c r="A2223" s="37"/>
      <c r="B2223" s="25"/>
      <c r="C2223" s="60"/>
      <c r="D2223" s="27"/>
      <c r="E2223" s="28"/>
      <c r="F2223" s="29"/>
      <c r="G2223" s="30"/>
      <c r="H2223" s="31"/>
      <c r="I2223" s="32"/>
      <c r="J2223" s="33" t="str">
        <f t="shared" si="25"/>
        <v/>
      </c>
      <c r="K2223" s="33"/>
      <c r="L2223" s="33"/>
      <c r="M2223" s="33"/>
      <c r="N2223" s="34"/>
      <c r="O2223" s="35"/>
      <c r="P2223" s="35"/>
      <c r="Q2223" s="36"/>
      <c r="R2223" s="33"/>
      <c r="S2223" s="31"/>
      <c r="T2223" s="37"/>
      <c r="U2223" s="37"/>
      <c r="V2223" s="37"/>
      <c r="W2223" s="37"/>
      <c r="X2223" s="25"/>
      <c r="Y2223" s="25"/>
      <c r="Z2223" s="25"/>
      <c r="AA2223" s="25"/>
      <c r="AB2223" s="25"/>
      <c r="AC2223" s="25"/>
      <c r="AD2223" s="25"/>
      <c r="AE2223" s="25"/>
      <c r="AF2223" s="25"/>
      <c r="AG2223" s="25"/>
      <c r="AH2223" s="25"/>
      <c r="AI2223" s="25"/>
      <c r="AJ2223" s="25"/>
      <c r="AK2223" s="25"/>
      <c r="AL2223" s="25"/>
      <c r="AM2223" s="25"/>
    </row>
    <row r="2224">
      <c r="A2224" s="24"/>
      <c r="B2224" s="13"/>
      <c r="C2224" s="62"/>
      <c r="D2224" s="14"/>
      <c r="E2224" s="15"/>
      <c r="F2224" s="16"/>
      <c r="G2224" s="17"/>
      <c r="H2224" s="18"/>
      <c r="I2224" s="19"/>
      <c r="J2224" s="20" t="str">
        <f t="shared" si="25"/>
        <v/>
      </c>
      <c r="K2224" s="20"/>
      <c r="L2224" s="20"/>
      <c r="M2224" s="20"/>
      <c r="N2224" s="21"/>
      <c r="O2224" s="22"/>
      <c r="P2224" s="22"/>
      <c r="Q2224" s="23"/>
      <c r="R2224" s="20"/>
      <c r="S2224" s="18"/>
      <c r="T2224" s="24"/>
      <c r="U2224" s="24"/>
      <c r="V2224" s="24"/>
      <c r="W2224" s="24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  <c r="AH2224" s="13"/>
      <c r="AI2224" s="13"/>
      <c r="AJ2224" s="13"/>
      <c r="AK2224" s="13"/>
      <c r="AL2224" s="13"/>
      <c r="AM2224" s="13"/>
    </row>
    <row r="2225">
      <c r="A2225" s="37"/>
      <c r="B2225" s="25"/>
      <c r="C2225" s="60"/>
      <c r="D2225" s="27"/>
      <c r="E2225" s="28"/>
      <c r="F2225" s="29"/>
      <c r="G2225" s="30"/>
      <c r="H2225" s="31"/>
      <c r="I2225" s="32"/>
      <c r="J2225" s="33" t="str">
        <f t="shared" si="25"/>
        <v/>
      </c>
      <c r="K2225" s="33"/>
      <c r="L2225" s="33"/>
      <c r="M2225" s="33"/>
      <c r="N2225" s="34"/>
      <c r="O2225" s="35"/>
      <c r="P2225" s="35"/>
      <c r="Q2225" s="36"/>
      <c r="R2225" s="33"/>
      <c r="S2225" s="31"/>
      <c r="T2225" s="37"/>
      <c r="U2225" s="37"/>
      <c r="V2225" s="37"/>
      <c r="W2225" s="37"/>
      <c r="X2225" s="25"/>
      <c r="Y2225" s="25"/>
      <c r="Z2225" s="25"/>
      <c r="AA2225" s="25"/>
      <c r="AB2225" s="25"/>
      <c r="AC2225" s="25"/>
      <c r="AD2225" s="25"/>
      <c r="AE2225" s="25"/>
      <c r="AF2225" s="25"/>
      <c r="AG2225" s="25"/>
      <c r="AH2225" s="25"/>
      <c r="AI2225" s="25"/>
      <c r="AJ2225" s="25"/>
      <c r="AK2225" s="25"/>
      <c r="AL2225" s="25"/>
      <c r="AM2225" s="25"/>
    </row>
    <row r="2226">
      <c r="A2226" s="24"/>
      <c r="B2226" s="13"/>
      <c r="C2226" s="62"/>
      <c r="D2226" s="14"/>
      <c r="E2226" s="15"/>
      <c r="F2226" s="16"/>
      <c r="G2226" s="17"/>
      <c r="H2226" s="18"/>
      <c r="I2226" s="19"/>
      <c r="J2226" s="20" t="str">
        <f t="shared" si="25"/>
        <v/>
      </c>
      <c r="K2226" s="20"/>
      <c r="L2226" s="20"/>
      <c r="M2226" s="20"/>
      <c r="N2226" s="21"/>
      <c r="O2226" s="22"/>
      <c r="P2226" s="22"/>
      <c r="Q2226" s="23"/>
      <c r="R2226" s="20"/>
      <c r="S2226" s="18"/>
      <c r="T2226" s="24"/>
      <c r="U2226" s="24"/>
      <c r="V2226" s="24"/>
      <c r="W2226" s="24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  <c r="AH2226" s="13"/>
      <c r="AI2226" s="13"/>
      <c r="AJ2226" s="13"/>
      <c r="AK2226" s="13"/>
      <c r="AL2226" s="13"/>
      <c r="AM2226" s="13"/>
    </row>
    <row r="2227">
      <c r="A2227" s="37"/>
      <c r="B2227" s="25"/>
      <c r="C2227" s="60"/>
      <c r="D2227" s="27"/>
      <c r="E2227" s="28"/>
      <c r="F2227" s="29"/>
      <c r="G2227" s="30"/>
      <c r="H2227" s="31"/>
      <c r="I2227" s="32"/>
      <c r="J2227" s="33" t="str">
        <f t="shared" si="25"/>
        <v/>
      </c>
      <c r="K2227" s="33"/>
      <c r="L2227" s="33"/>
      <c r="M2227" s="33"/>
      <c r="N2227" s="34"/>
      <c r="O2227" s="35"/>
      <c r="P2227" s="35"/>
      <c r="Q2227" s="36"/>
      <c r="R2227" s="33"/>
      <c r="S2227" s="31"/>
      <c r="T2227" s="37"/>
      <c r="U2227" s="37"/>
      <c r="V2227" s="37"/>
      <c r="W2227" s="37"/>
      <c r="X2227" s="25"/>
      <c r="Y2227" s="25"/>
      <c r="Z2227" s="25"/>
      <c r="AA2227" s="25"/>
      <c r="AB2227" s="25"/>
      <c r="AC2227" s="25"/>
      <c r="AD2227" s="25"/>
      <c r="AE2227" s="25"/>
      <c r="AF2227" s="25"/>
      <c r="AG2227" s="25"/>
      <c r="AH2227" s="25"/>
      <c r="AI2227" s="25"/>
      <c r="AJ2227" s="25"/>
      <c r="AK2227" s="25"/>
      <c r="AL2227" s="25"/>
      <c r="AM2227" s="25"/>
    </row>
    <row r="2228">
      <c r="A2228" s="24"/>
      <c r="B2228" s="13"/>
      <c r="C2228" s="62"/>
      <c r="D2228" s="14"/>
      <c r="E2228" s="15"/>
      <c r="F2228" s="16"/>
      <c r="G2228" s="17"/>
      <c r="H2228" s="18"/>
      <c r="I2228" s="19"/>
      <c r="J2228" s="20" t="str">
        <f t="shared" si="25"/>
        <v/>
      </c>
      <c r="K2228" s="20"/>
      <c r="L2228" s="20"/>
      <c r="M2228" s="20"/>
      <c r="N2228" s="21"/>
      <c r="O2228" s="22"/>
      <c r="P2228" s="22"/>
      <c r="Q2228" s="23"/>
      <c r="R2228" s="20"/>
      <c r="S2228" s="18"/>
      <c r="T2228" s="24"/>
      <c r="U2228" s="24"/>
      <c r="V2228" s="24"/>
      <c r="W2228" s="24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  <c r="AH2228" s="13"/>
      <c r="AI2228" s="13"/>
      <c r="AJ2228" s="13"/>
      <c r="AK2228" s="13"/>
      <c r="AL2228" s="13"/>
      <c r="AM2228" s="13"/>
    </row>
    <row r="2229">
      <c r="A2229" s="37"/>
      <c r="B2229" s="25"/>
      <c r="C2229" s="60"/>
      <c r="D2229" s="27"/>
      <c r="E2229" s="28"/>
      <c r="F2229" s="29"/>
      <c r="G2229" s="30"/>
      <c r="H2229" s="31"/>
      <c r="I2229" s="32"/>
      <c r="J2229" s="33" t="str">
        <f t="shared" si="25"/>
        <v/>
      </c>
      <c r="K2229" s="33"/>
      <c r="L2229" s="33"/>
      <c r="M2229" s="33"/>
      <c r="N2229" s="34"/>
      <c r="O2229" s="35"/>
      <c r="P2229" s="35"/>
      <c r="Q2229" s="36"/>
      <c r="R2229" s="33"/>
      <c r="S2229" s="31"/>
      <c r="T2229" s="37"/>
      <c r="U2229" s="37"/>
      <c r="V2229" s="37"/>
      <c r="W2229" s="37"/>
      <c r="X2229" s="25"/>
      <c r="Y2229" s="25"/>
      <c r="Z2229" s="25"/>
      <c r="AA2229" s="25"/>
      <c r="AB2229" s="25"/>
      <c r="AC2229" s="25"/>
      <c r="AD2229" s="25"/>
      <c r="AE2229" s="25"/>
      <c r="AF2229" s="25"/>
      <c r="AG2229" s="25"/>
      <c r="AH2229" s="25"/>
      <c r="AI2229" s="25"/>
      <c r="AJ2229" s="25"/>
      <c r="AK2229" s="25"/>
      <c r="AL2229" s="25"/>
      <c r="AM2229" s="25"/>
    </row>
    <row r="2230">
      <c r="A2230" s="24"/>
      <c r="B2230" s="13"/>
      <c r="C2230" s="62"/>
      <c r="D2230" s="14"/>
      <c r="E2230" s="15"/>
      <c r="F2230" s="16"/>
      <c r="G2230" s="17"/>
      <c r="H2230" s="18"/>
      <c r="I2230" s="19"/>
      <c r="J2230" s="20" t="str">
        <f t="shared" si="25"/>
        <v/>
      </c>
      <c r="K2230" s="20"/>
      <c r="L2230" s="20"/>
      <c r="M2230" s="20"/>
      <c r="N2230" s="21"/>
      <c r="O2230" s="22"/>
      <c r="P2230" s="22"/>
      <c r="Q2230" s="23"/>
      <c r="R2230" s="20"/>
      <c r="S2230" s="18"/>
      <c r="T2230" s="24"/>
      <c r="U2230" s="24"/>
      <c r="V2230" s="24"/>
      <c r="W2230" s="24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  <c r="AH2230" s="13"/>
      <c r="AI2230" s="13"/>
      <c r="AJ2230" s="13"/>
      <c r="AK2230" s="13"/>
      <c r="AL2230" s="13"/>
      <c r="AM2230" s="13"/>
    </row>
    <row r="2231">
      <c r="A2231" s="37"/>
      <c r="B2231" s="25"/>
      <c r="C2231" s="60"/>
      <c r="D2231" s="27"/>
      <c r="E2231" s="28"/>
      <c r="F2231" s="29"/>
      <c r="G2231" s="30"/>
      <c r="H2231" s="31"/>
      <c r="I2231" s="32"/>
      <c r="J2231" s="33" t="str">
        <f t="shared" si="25"/>
        <v/>
      </c>
      <c r="K2231" s="33"/>
      <c r="L2231" s="33"/>
      <c r="M2231" s="33"/>
      <c r="N2231" s="34"/>
      <c r="O2231" s="35"/>
      <c r="P2231" s="35"/>
      <c r="Q2231" s="36"/>
      <c r="R2231" s="33"/>
      <c r="S2231" s="31"/>
      <c r="T2231" s="37"/>
      <c r="U2231" s="37"/>
      <c r="V2231" s="37"/>
      <c r="W2231" s="37"/>
      <c r="X2231" s="25"/>
      <c r="Y2231" s="25"/>
      <c r="Z2231" s="25"/>
      <c r="AA2231" s="25"/>
      <c r="AB2231" s="25"/>
      <c r="AC2231" s="25"/>
      <c r="AD2231" s="25"/>
      <c r="AE2231" s="25"/>
      <c r="AF2231" s="25"/>
      <c r="AG2231" s="25"/>
      <c r="AH2231" s="25"/>
      <c r="AI2231" s="25"/>
      <c r="AJ2231" s="25"/>
      <c r="AK2231" s="25"/>
      <c r="AL2231" s="25"/>
      <c r="AM2231" s="25"/>
    </row>
    <row r="2232">
      <c r="A2232" s="24"/>
      <c r="B2232" s="13"/>
      <c r="C2232" s="62"/>
      <c r="D2232" s="14"/>
      <c r="E2232" s="15"/>
      <c r="F2232" s="16"/>
      <c r="G2232" s="17"/>
      <c r="H2232" s="18"/>
      <c r="I2232" s="19"/>
      <c r="J2232" s="20" t="str">
        <f t="shared" si="25"/>
        <v/>
      </c>
      <c r="K2232" s="20"/>
      <c r="L2232" s="20"/>
      <c r="M2232" s="20"/>
      <c r="N2232" s="21"/>
      <c r="O2232" s="22"/>
      <c r="P2232" s="22"/>
      <c r="Q2232" s="23"/>
      <c r="R2232" s="20"/>
      <c r="S2232" s="18"/>
      <c r="T2232" s="24"/>
      <c r="U2232" s="24"/>
      <c r="V2232" s="24"/>
      <c r="W2232" s="24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  <c r="AH2232" s="13"/>
      <c r="AI2232" s="13"/>
      <c r="AJ2232" s="13"/>
      <c r="AK2232" s="13"/>
      <c r="AL2232" s="13"/>
      <c r="AM2232" s="13"/>
    </row>
    <row r="2233">
      <c r="A2233" s="37"/>
      <c r="B2233" s="25"/>
      <c r="C2233" s="60"/>
      <c r="D2233" s="27"/>
      <c r="E2233" s="28"/>
      <c r="F2233" s="29"/>
      <c r="G2233" s="30"/>
      <c r="H2233" s="31"/>
      <c r="I2233" s="32"/>
      <c r="J2233" s="33" t="str">
        <f t="shared" si="25"/>
        <v/>
      </c>
      <c r="K2233" s="33"/>
      <c r="L2233" s="33"/>
      <c r="M2233" s="33"/>
      <c r="N2233" s="34"/>
      <c r="O2233" s="35"/>
      <c r="P2233" s="35"/>
      <c r="Q2233" s="36"/>
      <c r="R2233" s="33"/>
      <c r="S2233" s="31"/>
      <c r="T2233" s="37"/>
      <c r="U2233" s="37"/>
      <c r="V2233" s="37"/>
      <c r="W2233" s="37"/>
      <c r="X2233" s="25"/>
      <c r="Y2233" s="25"/>
      <c r="Z2233" s="25"/>
      <c r="AA2233" s="25"/>
      <c r="AB2233" s="25"/>
      <c r="AC2233" s="25"/>
      <c r="AD2233" s="25"/>
      <c r="AE2233" s="25"/>
      <c r="AF2233" s="25"/>
      <c r="AG2233" s="25"/>
      <c r="AH2233" s="25"/>
      <c r="AI2233" s="25"/>
      <c r="AJ2233" s="25"/>
      <c r="AK2233" s="25"/>
      <c r="AL2233" s="25"/>
      <c r="AM2233" s="25"/>
    </row>
    <row r="2234">
      <c r="A2234" s="24"/>
      <c r="B2234" s="13"/>
      <c r="C2234" s="62"/>
      <c r="D2234" s="14"/>
      <c r="E2234" s="15"/>
      <c r="F2234" s="16"/>
      <c r="G2234" s="17"/>
      <c r="H2234" s="18"/>
      <c r="I2234" s="19"/>
      <c r="J2234" s="20" t="str">
        <f t="shared" si="25"/>
        <v/>
      </c>
      <c r="K2234" s="20"/>
      <c r="L2234" s="20"/>
      <c r="M2234" s="20"/>
      <c r="N2234" s="21"/>
      <c r="O2234" s="22"/>
      <c r="P2234" s="22"/>
      <c r="Q2234" s="23"/>
      <c r="R2234" s="20"/>
      <c r="S2234" s="18"/>
      <c r="T2234" s="24"/>
      <c r="U2234" s="24"/>
      <c r="V2234" s="24"/>
      <c r="W2234" s="24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  <c r="AH2234" s="13"/>
      <c r="AI2234" s="13"/>
      <c r="AJ2234" s="13"/>
      <c r="AK2234" s="13"/>
      <c r="AL2234" s="13"/>
      <c r="AM2234" s="13"/>
    </row>
    <row r="2235">
      <c r="A2235" s="37"/>
      <c r="B2235" s="25"/>
      <c r="C2235" s="60"/>
      <c r="D2235" s="27"/>
      <c r="E2235" s="28"/>
      <c r="F2235" s="29"/>
      <c r="G2235" s="30"/>
      <c r="H2235" s="31"/>
      <c r="I2235" s="32"/>
      <c r="J2235" s="33" t="str">
        <f t="shared" si="25"/>
        <v/>
      </c>
      <c r="K2235" s="33"/>
      <c r="L2235" s="33"/>
      <c r="M2235" s="33"/>
      <c r="N2235" s="34"/>
      <c r="O2235" s="35"/>
      <c r="P2235" s="35"/>
      <c r="Q2235" s="36"/>
      <c r="R2235" s="33"/>
      <c r="S2235" s="31"/>
      <c r="T2235" s="37"/>
      <c r="U2235" s="37"/>
      <c r="V2235" s="37"/>
      <c r="W2235" s="37"/>
      <c r="X2235" s="25"/>
      <c r="Y2235" s="25"/>
      <c r="Z2235" s="25"/>
      <c r="AA2235" s="25"/>
      <c r="AB2235" s="25"/>
      <c r="AC2235" s="25"/>
      <c r="AD2235" s="25"/>
      <c r="AE2235" s="25"/>
      <c r="AF2235" s="25"/>
      <c r="AG2235" s="25"/>
      <c r="AH2235" s="25"/>
      <c r="AI2235" s="25"/>
      <c r="AJ2235" s="25"/>
      <c r="AK2235" s="25"/>
      <c r="AL2235" s="25"/>
      <c r="AM2235" s="25"/>
    </row>
    <row r="2236">
      <c r="A2236" s="24"/>
      <c r="B2236" s="13"/>
      <c r="C2236" s="62"/>
      <c r="D2236" s="14"/>
      <c r="E2236" s="15"/>
      <c r="F2236" s="16"/>
      <c r="G2236" s="17"/>
      <c r="H2236" s="18"/>
      <c r="I2236" s="19"/>
      <c r="J2236" s="20" t="str">
        <f t="shared" si="25"/>
        <v/>
      </c>
      <c r="K2236" s="20"/>
      <c r="L2236" s="20"/>
      <c r="M2236" s="20"/>
      <c r="N2236" s="21"/>
      <c r="O2236" s="22"/>
      <c r="P2236" s="22"/>
      <c r="Q2236" s="23"/>
      <c r="R2236" s="20"/>
      <c r="S2236" s="18"/>
      <c r="T2236" s="24"/>
      <c r="U2236" s="24"/>
      <c r="V2236" s="24"/>
      <c r="W2236" s="24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  <c r="AH2236" s="13"/>
      <c r="AI2236" s="13"/>
      <c r="AJ2236" s="13"/>
      <c r="AK2236" s="13"/>
      <c r="AL2236" s="13"/>
      <c r="AM2236" s="13"/>
    </row>
    <row r="2237">
      <c r="A2237" s="37"/>
      <c r="B2237" s="25"/>
      <c r="C2237" s="60"/>
      <c r="D2237" s="27"/>
      <c r="E2237" s="28"/>
      <c r="F2237" s="29"/>
      <c r="G2237" s="30"/>
      <c r="H2237" s="31"/>
      <c r="I2237" s="32"/>
      <c r="J2237" s="33" t="str">
        <f t="shared" si="25"/>
        <v/>
      </c>
      <c r="K2237" s="33"/>
      <c r="L2237" s="33"/>
      <c r="M2237" s="33"/>
      <c r="N2237" s="34"/>
      <c r="O2237" s="35"/>
      <c r="P2237" s="35"/>
      <c r="Q2237" s="36"/>
      <c r="R2237" s="33"/>
      <c r="S2237" s="31"/>
      <c r="T2237" s="37"/>
      <c r="U2237" s="37"/>
      <c r="V2237" s="37"/>
      <c r="W2237" s="37"/>
      <c r="X2237" s="25"/>
      <c r="Y2237" s="25"/>
      <c r="Z2237" s="25"/>
      <c r="AA2237" s="25"/>
      <c r="AB2237" s="25"/>
      <c r="AC2237" s="25"/>
      <c r="AD2237" s="25"/>
      <c r="AE2237" s="25"/>
      <c r="AF2237" s="25"/>
      <c r="AG2237" s="25"/>
      <c r="AH2237" s="25"/>
      <c r="AI2237" s="25"/>
      <c r="AJ2237" s="25"/>
      <c r="AK2237" s="25"/>
      <c r="AL2237" s="25"/>
      <c r="AM2237" s="25"/>
    </row>
    <row r="2238">
      <c r="A2238" s="24"/>
      <c r="B2238" s="13"/>
      <c r="C2238" s="62"/>
      <c r="D2238" s="14"/>
      <c r="E2238" s="15"/>
      <c r="F2238" s="16"/>
      <c r="G2238" s="17"/>
      <c r="H2238" s="18"/>
      <c r="I2238" s="19"/>
      <c r="J2238" s="20" t="str">
        <f t="shared" si="25"/>
        <v/>
      </c>
      <c r="K2238" s="20"/>
      <c r="L2238" s="20"/>
      <c r="M2238" s="20"/>
      <c r="N2238" s="21"/>
      <c r="O2238" s="22"/>
      <c r="P2238" s="22"/>
      <c r="Q2238" s="23"/>
      <c r="R2238" s="20"/>
      <c r="S2238" s="18"/>
      <c r="T2238" s="24"/>
      <c r="U2238" s="24"/>
      <c r="V2238" s="24"/>
      <c r="W2238" s="24"/>
      <c r="X2238" s="13"/>
      <c r="Y2238" s="13"/>
      <c r="Z2238" s="13"/>
      <c r="AA2238" s="13"/>
      <c r="AB2238" s="13"/>
      <c r="AC2238" s="13"/>
      <c r="AD2238" s="13"/>
      <c r="AE2238" s="13"/>
      <c r="AF2238" s="13"/>
      <c r="AG2238" s="13"/>
      <c r="AH2238" s="13"/>
      <c r="AI2238" s="13"/>
      <c r="AJ2238" s="13"/>
      <c r="AK2238" s="13"/>
      <c r="AL2238" s="13"/>
      <c r="AM2238" s="13"/>
    </row>
    <row r="2239">
      <c r="A2239" s="37"/>
      <c r="B2239" s="25"/>
      <c r="C2239" s="60"/>
      <c r="D2239" s="27"/>
      <c r="E2239" s="28"/>
      <c r="F2239" s="29"/>
      <c r="G2239" s="30"/>
      <c r="H2239" s="31"/>
      <c r="I2239" s="32"/>
      <c r="J2239" s="33" t="str">
        <f t="shared" si="25"/>
        <v/>
      </c>
      <c r="K2239" s="33"/>
      <c r="L2239" s="33"/>
      <c r="M2239" s="33"/>
      <c r="N2239" s="34"/>
      <c r="O2239" s="35"/>
      <c r="P2239" s="35"/>
      <c r="Q2239" s="36"/>
      <c r="R2239" s="33"/>
      <c r="S2239" s="31"/>
      <c r="T2239" s="37"/>
      <c r="U2239" s="37"/>
      <c r="V2239" s="37"/>
      <c r="W2239" s="37"/>
      <c r="X2239" s="25"/>
      <c r="Y2239" s="25"/>
      <c r="Z2239" s="25"/>
      <c r="AA2239" s="25"/>
      <c r="AB2239" s="25"/>
      <c r="AC2239" s="25"/>
      <c r="AD2239" s="25"/>
      <c r="AE2239" s="25"/>
      <c r="AF2239" s="25"/>
      <c r="AG2239" s="25"/>
      <c r="AH2239" s="25"/>
      <c r="AI2239" s="25"/>
      <c r="AJ2239" s="25"/>
      <c r="AK2239" s="25"/>
      <c r="AL2239" s="25"/>
      <c r="AM2239" s="25"/>
    </row>
    <row r="2240">
      <c r="A2240" s="24"/>
      <c r="B2240" s="13"/>
      <c r="C2240" s="62"/>
      <c r="D2240" s="14"/>
      <c r="E2240" s="15"/>
      <c r="F2240" s="16"/>
      <c r="G2240" s="17"/>
      <c r="H2240" s="18"/>
      <c r="I2240" s="19"/>
      <c r="J2240" s="20" t="str">
        <f t="shared" si="25"/>
        <v/>
      </c>
      <c r="K2240" s="20"/>
      <c r="L2240" s="20"/>
      <c r="M2240" s="20"/>
      <c r="N2240" s="21"/>
      <c r="O2240" s="22"/>
      <c r="P2240" s="22"/>
      <c r="Q2240" s="23"/>
      <c r="R2240" s="20"/>
      <c r="S2240" s="18"/>
      <c r="T2240" s="24"/>
      <c r="U2240" s="24"/>
      <c r="V2240" s="24"/>
      <c r="W2240" s="24"/>
      <c r="X2240" s="13"/>
      <c r="Y2240" s="13"/>
      <c r="Z2240" s="13"/>
      <c r="AA2240" s="13"/>
      <c r="AB2240" s="13"/>
      <c r="AC2240" s="13"/>
      <c r="AD2240" s="13"/>
      <c r="AE2240" s="13"/>
      <c r="AF2240" s="13"/>
      <c r="AG2240" s="13"/>
      <c r="AH2240" s="13"/>
      <c r="AI2240" s="13"/>
      <c r="AJ2240" s="13"/>
      <c r="AK2240" s="13"/>
      <c r="AL2240" s="13"/>
      <c r="AM2240" s="13"/>
    </row>
    <row r="2241">
      <c r="A2241" s="37"/>
      <c r="B2241" s="25"/>
      <c r="C2241" s="60"/>
      <c r="D2241" s="27"/>
      <c r="E2241" s="28"/>
      <c r="F2241" s="29"/>
      <c r="G2241" s="30"/>
      <c r="H2241" s="31"/>
      <c r="I2241" s="32"/>
      <c r="J2241" s="33" t="str">
        <f t="shared" si="25"/>
        <v/>
      </c>
      <c r="K2241" s="33"/>
      <c r="L2241" s="33"/>
      <c r="M2241" s="33"/>
      <c r="N2241" s="34"/>
      <c r="O2241" s="35"/>
      <c r="P2241" s="35"/>
      <c r="Q2241" s="36"/>
      <c r="R2241" s="33"/>
      <c r="S2241" s="31"/>
      <c r="T2241" s="37"/>
      <c r="U2241" s="37"/>
      <c r="V2241" s="37"/>
      <c r="W2241" s="37"/>
      <c r="X2241" s="25"/>
      <c r="Y2241" s="25"/>
      <c r="Z2241" s="25"/>
      <c r="AA2241" s="25"/>
      <c r="AB2241" s="25"/>
      <c r="AC2241" s="25"/>
      <c r="AD2241" s="25"/>
      <c r="AE2241" s="25"/>
      <c r="AF2241" s="25"/>
      <c r="AG2241" s="25"/>
      <c r="AH2241" s="25"/>
      <c r="AI2241" s="25"/>
      <c r="AJ2241" s="25"/>
      <c r="AK2241" s="25"/>
      <c r="AL2241" s="25"/>
      <c r="AM2241" s="25"/>
    </row>
    <row r="2242">
      <c r="A2242" s="24"/>
      <c r="B2242" s="13"/>
      <c r="C2242" s="62"/>
      <c r="D2242" s="14"/>
      <c r="E2242" s="15"/>
      <c r="F2242" s="16"/>
      <c r="G2242" s="17"/>
      <c r="H2242" s="18"/>
      <c r="I2242" s="19"/>
      <c r="J2242" s="20" t="str">
        <f t="shared" si="25"/>
        <v/>
      </c>
      <c r="K2242" s="20"/>
      <c r="L2242" s="20"/>
      <c r="M2242" s="20"/>
      <c r="N2242" s="21"/>
      <c r="O2242" s="22"/>
      <c r="P2242" s="22"/>
      <c r="Q2242" s="23"/>
      <c r="R2242" s="20"/>
      <c r="S2242" s="18"/>
      <c r="T2242" s="24"/>
      <c r="U2242" s="24"/>
      <c r="V2242" s="24"/>
      <c r="W2242" s="24"/>
      <c r="X2242" s="13"/>
      <c r="Y2242" s="13"/>
      <c r="Z2242" s="13"/>
      <c r="AA2242" s="13"/>
      <c r="AB2242" s="13"/>
      <c r="AC2242" s="13"/>
      <c r="AD2242" s="13"/>
      <c r="AE2242" s="13"/>
      <c r="AF2242" s="13"/>
      <c r="AG2242" s="13"/>
      <c r="AH2242" s="13"/>
      <c r="AI2242" s="13"/>
      <c r="AJ2242" s="13"/>
      <c r="AK2242" s="13"/>
      <c r="AL2242" s="13"/>
      <c r="AM2242" s="13"/>
    </row>
    <row r="2243">
      <c r="A2243" s="37"/>
      <c r="B2243" s="25"/>
      <c r="C2243" s="60"/>
      <c r="D2243" s="27"/>
      <c r="E2243" s="28"/>
      <c r="F2243" s="29"/>
      <c r="G2243" s="30"/>
      <c r="H2243" s="31"/>
      <c r="I2243" s="32"/>
      <c r="J2243" s="33" t="str">
        <f t="shared" si="25"/>
        <v/>
      </c>
      <c r="K2243" s="33"/>
      <c r="L2243" s="33"/>
      <c r="M2243" s="33"/>
      <c r="N2243" s="34"/>
      <c r="O2243" s="35"/>
      <c r="P2243" s="35"/>
      <c r="Q2243" s="36"/>
      <c r="R2243" s="33"/>
      <c r="S2243" s="31"/>
      <c r="T2243" s="37"/>
      <c r="U2243" s="37"/>
      <c r="V2243" s="37"/>
      <c r="W2243" s="37"/>
      <c r="X2243" s="25"/>
      <c r="Y2243" s="25"/>
      <c r="Z2243" s="25"/>
      <c r="AA2243" s="25"/>
      <c r="AB2243" s="25"/>
      <c r="AC2243" s="25"/>
      <c r="AD2243" s="25"/>
      <c r="AE2243" s="25"/>
      <c r="AF2243" s="25"/>
      <c r="AG2243" s="25"/>
      <c r="AH2243" s="25"/>
      <c r="AI2243" s="25"/>
      <c r="AJ2243" s="25"/>
      <c r="AK2243" s="25"/>
      <c r="AL2243" s="25"/>
      <c r="AM2243" s="25"/>
    </row>
    <row r="2244">
      <c r="A2244" s="24"/>
      <c r="B2244" s="13"/>
      <c r="C2244" s="62"/>
      <c r="D2244" s="14"/>
      <c r="E2244" s="15"/>
      <c r="F2244" s="16"/>
      <c r="G2244" s="17"/>
      <c r="H2244" s="18"/>
      <c r="I2244" s="19"/>
      <c r="J2244" s="20" t="str">
        <f t="shared" si="25"/>
        <v/>
      </c>
      <c r="K2244" s="20"/>
      <c r="L2244" s="20"/>
      <c r="M2244" s="20"/>
      <c r="N2244" s="21"/>
      <c r="O2244" s="22"/>
      <c r="P2244" s="22"/>
      <c r="Q2244" s="23"/>
      <c r="R2244" s="20"/>
      <c r="S2244" s="18"/>
      <c r="T2244" s="24"/>
      <c r="U2244" s="24"/>
      <c r="V2244" s="24"/>
      <c r="W2244" s="24"/>
      <c r="X2244" s="13"/>
      <c r="Y2244" s="13"/>
      <c r="Z2244" s="13"/>
      <c r="AA2244" s="13"/>
      <c r="AB2244" s="13"/>
      <c r="AC2244" s="13"/>
      <c r="AD2244" s="13"/>
      <c r="AE2244" s="13"/>
      <c r="AF2244" s="13"/>
      <c r="AG2244" s="13"/>
      <c r="AH2244" s="13"/>
      <c r="AI2244" s="13"/>
      <c r="AJ2244" s="13"/>
      <c r="AK2244" s="13"/>
      <c r="AL2244" s="13"/>
      <c r="AM2244" s="13"/>
    </row>
    <row r="2245">
      <c r="A2245" s="37"/>
      <c r="B2245" s="25"/>
      <c r="C2245" s="60"/>
      <c r="D2245" s="27"/>
      <c r="E2245" s="28"/>
      <c r="F2245" s="29"/>
      <c r="G2245" s="30"/>
      <c r="H2245" s="31"/>
      <c r="I2245" s="32"/>
      <c r="J2245" s="33" t="str">
        <f t="shared" si="25"/>
        <v/>
      </c>
      <c r="K2245" s="33"/>
      <c r="L2245" s="33"/>
      <c r="M2245" s="33"/>
      <c r="N2245" s="34"/>
      <c r="O2245" s="35"/>
      <c r="P2245" s="35"/>
      <c r="Q2245" s="36"/>
      <c r="R2245" s="33"/>
      <c r="S2245" s="31"/>
      <c r="T2245" s="37"/>
      <c r="U2245" s="37"/>
      <c r="V2245" s="37"/>
      <c r="W2245" s="37"/>
      <c r="X2245" s="25"/>
      <c r="Y2245" s="25"/>
      <c r="Z2245" s="25"/>
      <c r="AA2245" s="25"/>
      <c r="AB2245" s="25"/>
      <c r="AC2245" s="25"/>
      <c r="AD2245" s="25"/>
      <c r="AE2245" s="25"/>
      <c r="AF2245" s="25"/>
      <c r="AG2245" s="25"/>
      <c r="AH2245" s="25"/>
      <c r="AI2245" s="25"/>
      <c r="AJ2245" s="25"/>
      <c r="AK2245" s="25"/>
      <c r="AL2245" s="25"/>
      <c r="AM2245" s="25"/>
    </row>
    <row r="2246">
      <c r="A2246" s="24"/>
      <c r="B2246" s="13"/>
      <c r="C2246" s="62"/>
      <c r="D2246" s="14"/>
      <c r="E2246" s="15"/>
      <c r="F2246" s="16"/>
      <c r="G2246" s="17"/>
      <c r="H2246" s="18"/>
      <c r="I2246" s="19"/>
      <c r="J2246" s="20" t="str">
        <f t="shared" si="25"/>
        <v/>
      </c>
      <c r="K2246" s="20"/>
      <c r="L2246" s="20"/>
      <c r="M2246" s="20"/>
      <c r="N2246" s="21"/>
      <c r="O2246" s="22"/>
      <c r="P2246" s="22"/>
      <c r="Q2246" s="23"/>
      <c r="R2246" s="20"/>
      <c r="S2246" s="18"/>
      <c r="T2246" s="24"/>
      <c r="U2246" s="24"/>
      <c r="V2246" s="24"/>
      <c r="W2246" s="24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/>
      <c r="AL2246" s="13"/>
      <c r="AM2246" s="13"/>
    </row>
    <row r="2247">
      <c r="A2247" s="37"/>
      <c r="B2247" s="25"/>
      <c r="C2247" s="60"/>
      <c r="D2247" s="27"/>
      <c r="E2247" s="28"/>
      <c r="F2247" s="29"/>
      <c r="G2247" s="30"/>
      <c r="H2247" s="31"/>
      <c r="I2247" s="32"/>
      <c r="J2247" s="33" t="str">
        <f t="shared" si="25"/>
        <v/>
      </c>
      <c r="K2247" s="33"/>
      <c r="L2247" s="33"/>
      <c r="M2247" s="33"/>
      <c r="N2247" s="34"/>
      <c r="O2247" s="35"/>
      <c r="P2247" s="35"/>
      <c r="Q2247" s="36"/>
      <c r="R2247" s="33"/>
      <c r="S2247" s="31"/>
      <c r="T2247" s="37"/>
      <c r="U2247" s="37"/>
      <c r="V2247" s="37"/>
      <c r="W2247" s="37"/>
      <c r="X2247" s="25"/>
      <c r="Y2247" s="25"/>
      <c r="Z2247" s="25"/>
      <c r="AA2247" s="25"/>
      <c r="AB2247" s="25"/>
      <c r="AC2247" s="25"/>
      <c r="AD2247" s="25"/>
      <c r="AE2247" s="25"/>
      <c r="AF2247" s="25"/>
      <c r="AG2247" s="25"/>
      <c r="AH2247" s="25"/>
      <c r="AI2247" s="25"/>
      <c r="AJ2247" s="25"/>
      <c r="AK2247" s="25"/>
      <c r="AL2247" s="25"/>
      <c r="AM2247" s="25"/>
    </row>
    <row r="2248">
      <c r="A2248" s="24"/>
      <c r="B2248" s="13"/>
      <c r="C2248" s="62"/>
      <c r="D2248" s="14"/>
      <c r="E2248" s="15"/>
      <c r="F2248" s="16"/>
      <c r="G2248" s="17"/>
      <c r="H2248" s="18"/>
      <c r="I2248" s="19"/>
      <c r="J2248" s="20" t="str">
        <f t="shared" si="25"/>
        <v/>
      </c>
      <c r="K2248" s="20"/>
      <c r="L2248" s="20"/>
      <c r="M2248" s="20"/>
      <c r="N2248" s="21"/>
      <c r="O2248" s="22"/>
      <c r="P2248" s="22"/>
      <c r="Q2248" s="23"/>
      <c r="R2248" s="20"/>
      <c r="S2248" s="18"/>
      <c r="T2248" s="24"/>
      <c r="U2248" s="24"/>
      <c r="V2248" s="24"/>
      <c r="W2248" s="24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/>
      <c r="AH2248" s="13"/>
      <c r="AI2248" s="13"/>
      <c r="AJ2248" s="13"/>
      <c r="AK2248" s="13"/>
      <c r="AL2248" s="13"/>
      <c r="AM2248" s="13"/>
    </row>
    <row r="2249">
      <c r="A2249" s="37"/>
      <c r="B2249" s="25"/>
      <c r="C2249" s="60"/>
      <c r="D2249" s="27"/>
      <c r="E2249" s="28"/>
      <c r="F2249" s="29"/>
      <c r="G2249" s="30"/>
      <c r="H2249" s="31"/>
      <c r="I2249" s="32"/>
      <c r="J2249" s="33" t="str">
        <f t="shared" si="25"/>
        <v/>
      </c>
      <c r="K2249" s="33"/>
      <c r="L2249" s="33"/>
      <c r="M2249" s="33"/>
      <c r="N2249" s="34"/>
      <c r="O2249" s="35"/>
      <c r="P2249" s="35"/>
      <c r="Q2249" s="36"/>
      <c r="R2249" s="33"/>
      <c r="S2249" s="31"/>
      <c r="T2249" s="37"/>
      <c r="U2249" s="37"/>
      <c r="V2249" s="37"/>
      <c r="W2249" s="37"/>
      <c r="X2249" s="25"/>
      <c r="Y2249" s="25"/>
      <c r="Z2249" s="25"/>
      <c r="AA2249" s="25"/>
      <c r="AB2249" s="25"/>
      <c r="AC2249" s="25"/>
      <c r="AD2249" s="25"/>
      <c r="AE2249" s="25"/>
      <c r="AF2249" s="25"/>
      <c r="AG2249" s="25"/>
      <c r="AH2249" s="25"/>
      <c r="AI2249" s="25"/>
      <c r="AJ2249" s="25"/>
      <c r="AK2249" s="25"/>
      <c r="AL2249" s="25"/>
      <c r="AM2249" s="25"/>
    </row>
    <row r="2250">
      <c r="A2250" s="24"/>
      <c r="B2250" s="13"/>
      <c r="C2250" s="62"/>
      <c r="D2250" s="14"/>
      <c r="E2250" s="15"/>
      <c r="F2250" s="16"/>
      <c r="G2250" s="17"/>
      <c r="H2250" s="18"/>
      <c r="I2250" s="19"/>
      <c r="J2250" s="20" t="str">
        <f t="shared" si="25"/>
        <v/>
      </c>
      <c r="K2250" s="20"/>
      <c r="L2250" s="20"/>
      <c r="M2250" s="20"/>
      <c r="N2250" s="21"/>
      <c r="O2250" s="22"/>
      <c r="P2250" s="22"/>
      <c r="Q2250" s="23"/>
      <c r="R2250" s="20"/>
      <c r="S2250" s="18"/>
      <c r="T2250" s="24"/>
      <c r="U2250" s="24"/>
      <c r="V2250" s="24"/>
      <c r="W2250" s="24"/>
      <c r="X2250" s="13"/>
      <c r="Y2250" s="13"/>
      <c r="Z2250" s="13"/>
      <c r="AA2250" s="13"/>
      <c r="AB2250" s="13"/>
      <c r="AC2250" s="13"/>
      <c r="AD2250" s="13"/>
      <c r="AE2250" s="13"/>
      <c r="AF2250" s="13"/>
      <c r="AG2250" s="13"/>
      <c r="AH2250" s="13"/>
      <c r="AI2250" s="13"/>
      <c r="AJ2250" s="13"/>
      <c r="AK2250" s="13"/>
      <c r="AL2250" s="13"/>
      <c r="AM2250" s="13"/>
    </row>
    <row r="2251">
      <c r="A2251" s="37"/>
      <c r="B2251" s="25"/>
      <c r="C2251" s="60"/>
      <c r="D2251" s="27"/>
      <c r="E2251" s="28"/>
      <c r="F2251" s="29"/>
      <c r="G2251" s="30"/>
      <c r="H2251" s="31"/>
      <c r="I2251" s="32"/>
      <c r="J2251" s="33" t="str">
        <f t="shared" si="25"/>
        <v/>
      </c>
      <c r="K2251" s="33"/>
      <c r="L2251" s="33"/>
      <c r="M2251" s="33"/>
      <c r="N2251" s="34"/>
      <c r="O2251" s="35"/>
      <c r="P2251" s="35"/>
      <c r="Q2251" s="36"/>
      <c r="R2251" s="33"/>
      <c r="S2251" s="31"/>
      <c r="T2251" s="37"/>
      <c r="U2251" s="37"/>
      <c r="V2251" s="37"/>
      <c r="W2251" s="37"/>
      <c r="X2251" s="25"/>
      <c r="Y2251" s="25"/>
      <c r="Z2251" s="25"/>
      <c r="AA2251" s="25"/>
      <c r="AB2251" s="25"/>
      <c r="AC2251" s="25"/>
      <c r="AD2251" s="25"/>
      <c r="AE2251" s="25"/>
      <c r="AF2251" s="25"/>
      <c r="AG2251" s="25"/>
      <c r="AH2251" s="25"/>
      <c r="AI2251" s="25"/>
      <c r="AJ2251" s="25"/>
      <c r="AK2251" s="25"/>
      <c r="AL2251" s="25"/>
      <c r="AM2251" s="25"/>
    </row>
    <row r="2252">
      <c r="A2252" s="24"/>
      <c r="B2252" s="13"/>
      <c r="C2252" s="62"/>
      <c r="D2252" s="14"/>
      <c r="E2252" s="15"/>
      <c r="F2252" s="16"/>
      <c r="G2252" s="17"/>
      <c r="H2252" s="18"/>
      <c r="I2252" s="19"/>
      <c r="J2252" s="20" t="str">
        <f t="shared" si="25"/>
        <v/>
      </c>
      <c r="K2252" s="20"/>
      <c r="L2252" s="20"/>
      <c r="M2252" s="20"/>
      <c r="N2252" s="21"/>
      <c r="O2252" s="22"/>
      <c r="P2252" s="22"/>
      <c r="Q2252" s="23"/>
      <c r="R2252" s="20"/>
      <c r="S2252" s="18"/>
      <c r="T2252" s="24"/>
      <c r="U2252" s="24"/>
      <c r="V2252" s="24"/>
      <c r="W2252" s="24"/>
      <c r="X2252" s="13"/>
      <c r="Y2252" s="13"/>
      <c r="Z2252" s="13"/>
      <c r="AA2252" s="13"/>
      <c r="AB2252" s="13"/>
      <c r="AC2252" s="13"/>
      <c r="AD2252" s="13"/>
      <c r="AE2252" s="13"/>
      <c r="AF2252" s="13"/>
      <c r="AG2252" s="13"/>
      <c r="AH2252" s="13"/>
      <c r="AI2252" s="13"/>
      <c r="AJ2252" s="13"/>
      <c r="AK2252" s="13"/>
      <c r="AL2252" s="13"/>
      <c r="AM2252" s="13"/>
    </row>
    <row r="2253">
      <c r="A2253" s="37"/>
      <c r="B2253" s="25"/>
      <c r="C2253" s="60"/>
      <c r="D2253" s="27"/>
      <c r="E2253" s="28"/>
      <c r="F2253" s="29"/>
      <c r="G2253" s="30"/>
      <c r="H2253" s="31"/>
      <c r="I2253" s="32"/>
      <c r="J2253" s="33" t="str">
        <f t="shared" si="25"/>
        <v/>
      </c>
      <c r="K2253" s="33"/>
      <c r="L2253" s="33"/>
      <c r="M2253" s="33"/>
      <c r="N2253" s="34"/>
      <c r="O2253" s="35"/>
      <c r="P2253" s="35"/>
      <c r="Q2253" s="36"/>
      <c r="R2253" s="33"/>
      <c r="S2253" s="31"/>
      <c r="T2253" s="37"/>
      <c r="U2253" s="37"/>
      <c r="V2253" s="37"/>
      <c r="W2253" s="37"/>
      <c r="X2253" s="25"/>
      <c r="Y2253" s="25"/>
      <c r="Z2253" s="25"/>
      <c r="AA2253" s="25"/>
      <c r="AB2253" s="25"/>
      <c r="AC2253" s="25"/>
      <c r="AD2253" s="25"/>
      <c r="AE2253" s="25"/>
      <c r="AF2253" s="25"/>
      <c r="AG2253" s="25"/>
      <c r="AH2253" s="25"/>
      <c r="AI2253" s="25"/>
      <c r="AJ2253" s="25"/>
      <c r="AK2253" s="25"/>
      <c r="AL2253" s="25"/>
      <c r="AM2253" s="25"/>
    </row>
    <row r="2254">
      <c r="A2254" s="24"/>
      <c r="B2254" s="13"/>
      <c r="C2254" s="62"/>
      <c r="D2254" s="14"/>
      <c r="E2254" s="15"/>
      <c r="F2254" s="16"/>
      <c r="G2254" s="17"/>
      <c r="H2254" s="18"/>
      <c r="I2254" s="19"/>
      <c r="J2254" s="20" t="str">
        <f t="shared" si="25"/>
        <v/>
      </c>
      <c r="K2254" s="20"/>
      <c r="L2254" s="20"/>
      <c r="M2254" s="20"/>
      <c r="N2254" s="21"/>
      <c r="O2254" s="22"/>
      <c r="P2254" s="22"/>
      <c r="Q2254" s="23"/>
      <c r="R2254" s="20"/>
      <c r="S2254" s="18"/>
      <c r="T2254" s="24"/>
      <c r="U2254" s="24"/>
      <c r="V2254" s="24"/>
      <c r="W2254" s="24"/>
      <c r="X2254" s="13"/>
      <c r="Y2254" s="13"/>
      <c r="Z2254" s="13"/>
      <c r="AA2254" s="13"/>
      <c r="AB2254" s="13"/>
      <c r="AC2254" s="13"/>
      <c r="AD2254" s="13"/>
      <c r="AE2254" s="13"/>
      <c r="AF2254" s="13"/>
      <c r="AG2254" s="13"/>
      <c r="AH2254" s="13"/>
      <c r="AI2254" s="13"/>
      <c r="AJ2254" s="13"/>
      <c r="AK2254" s="13"/>
      <c r="AL2254" s="13"/>
      <c r="AM2254" s="13"/>
    </row>
    <row r="2255">
      <c r="A2255" s="37"/>
      <c r="B2255" s="25"/>
      <c r="C2255" s="60"/>
      <c r="D2255" s="27"/>
      <c r="E2255" s="28"/>
      <c r="F2255" s="29"/>
      <c r="G2255" s="30"/>
      <c r="H2255" s="31"/>
      <c r="I2255" s="32"/>
      <c r="J2255" s="33" t="str">
        <f t="shared" si="25"/>
        <v/>
      </c>
      <c r="K2255" s="33"/>
      <c r="L2255" s="33"/>
      <c r="M2255" s="33"/>
      <c r="N2255" s="34"/>
      <c r="O2255" s="35"/>
      <c r="P2255" s="35"/>
      <c r="Q2255" s="36"/>
      <c r="R2255" s="33"/>
      <c r="S2255" s="31"/>
      <c r="T2255" s="37"/>
      <c r="U2255" s="37"/>
      <c r="V2255" s="37"/>
      <c r="W2255" s="37"/>
      <c r="X2255" s="25"/>
      <c r="Y2255" s="25"/>
      <c r="Z2255" s="25"/>
      <c r="AA2255" s="25"/>
      <c r="AB2255" s="25"/>
      <c r="AC2255" s="25"/>
      <c r="AD2255" s="25"/>
      <c r="AE2255" s="25"/>
      <c r="AF2255" s="25"/>
      <c r="AG2255" s="25"/>
      <c r="AH2255" s="25"/>
      <c r="AI2255" s="25"/>
      <c r="AJ2255" s="25"/>
      <c r="AK2255" s="25"/>
      <c r="AL2255" s="25"/>
      <c r="AM2255" s="25"/>
    </row>
    <row r="2256">
      <c r="A2256" s="24"/>
      <c r="B2256" s="13"/>
      <c r="C2256" s="62"/>
      <c r="D2256" s="14"/>
      <c r="E2256" s="15"/>
      <c r="F2256" s="16"/>
      <c r="G2256" s="17"/>
      <c r="H2256" s="18"/>
      <c r="I2256" s="19"/>
      <c r="J2256" s="20" t="str">
        <f t="shared" si="25"/>
        <v/>
      </c>
      <c r="K2256" s="20"/>
      <c r="L2256" s="20"/>
      <c r="M2256" s="20"/>
      <c r="N2256" s="21"/>
      <c r="O2256" s="22"/>
      <c r="P2256" s="22"/>
      <c r="Q2256" s="23"/>
      <c r="R2256" s="20"/>
      <c r="S2256" s="18"/>
      <c r="T2256" s="24"/>
      <c r="U2256" s="24"/>
      <c r="V2256" s="24"/>
      <c r="W2256" s="24"/>
      <c r="X2256" s="13"/>
      <c r="Y2256" s="13"/>
      <c r="Z2256" s="13"/>
      <c r="AA2256" s="13"/>
      <c r="AB2256" s="13"/>
      <c r="AC2256" s="13"/>
      <c r="AD2256" s="13"/>
      <c r="AE2256" s="13"/>
      <c r="AF2256" s="13"/>
      <c r="AG2256" s="13"/>
      <c r="AH2256" s="13"/>
      <c r="AI2256" s="13"/>
      <c r="AJ2256" s="13"/>
      <c r="AK2256" s="13"/>
      <c r="AL2256" s="13"/>
      <c r="AM2256" s="13"/>
    </row>
    <row r="2257">
      <c r="A2257" s="37"/>
      <c r="B2257" s="25"/>
      <c r="C2257" s="60"/>
      <c r="D2257" s="27"/>
      <c r="E2257" s="28"/>
      <c r="F2257" s="29"/>
      <c r="G2257" s="30"/>
      <c r="H2257" s="31"/>
      <c r="I2257" s="32"/>
      <c r="J2257" s="33" t="str">
        <f t="shared" si="25"/>
        <v/>
      </c>
      <c r="K2257" s="33"/>
      <c r="L2257" s="33"/>
      <c r="M2257" s="33"/>
      <c r="N2257" s="34"/>
      <c r="O2257" s="35"/>
      <c r="P2257" s="35"/>
      <c r="Q2257" s="36"/>
      <c r="R2257" s="33"/>
      <c r="S2257" s="31"/>
      <c r="T2257" s="37"/>
      <c r="U2257" s="37"/>
      <c r="V2257" s="37"/>
      <c r="W2257" s="37"/>
      <c r="X2257" s="25"/>
      <c r="Y2257" s="25"/>
      <c r="Z2257" s="25"/>
      <c r="AA2257" s="25"/>
      <c r="AB2257" s="25"/>
      <c r="AC2257" s="25"/>
      <c r="AD2257" s="25"/>
      <c r="AE2257" s="25"/>
      <c r="AF2257" s="25"/>
      <c r="AG2257" s="25"/>
      <c r="AH2257" s="25"/>
      <c r="AI2257" s="25"/>
      <c r="AJ2257" s="25"/>
      <c r="AK2257" s="25"/>
      <c r="AL2257" s="25"/>
      <c r="AM2257" s="25"/>
    </row>
    <row r="2258">
      <c r="A2258" s="24"/>
      <c r="B2258" s="13"/>
      <c r="C2258" s="62"/>
      <c r="D2258" s="14"/>
      <c r="E2258" s="15"/>
      <c r="F2258" s="16"/>
      <c r="G2258" s="17"/>
      <c r="H2258" s="18"/>
      <c r="I2258" s="19"/>
      <c r="J2258" s="20" t="str">
        <f t="shared" si="25"/>
        <v/>
      </c>
      <c r="K2258" s="20"/>
      <c r="L2258" s="20"/>
      <c r="M2258" s="20"/>
      <c r="N2258" s="21"/>
      <c r="O2258" s="22"/>
      <c r="P2258" s="22"/>
      <c r="Q2258" s="23"/>
      <c r="R2258" s="20"/>
      <c r="S2258" s="18"/>
      <c r="T2258" s="24"/>
      <c r="U2258" s="24"/>
      <c r="V2258" s="24"/>
      <c r="W2258" s="24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13"/>
      <c r="AK2258" s="13"/>
      <c r="AL2258" s="13"/>
      <c r="AM2258" s="13"/>
    </row>
    <row r="2259">
      <c r="A2259" s="37"/>
      <c r="B2259" s="25"/>
      <c r="C2259" s="60"/>
      <c r="D2259" s="27"/>
      <c r="E2259" s="28"/>
      <c r="F2259" s="29"/>
      <c r="G2259" s="30"/>
      <c r="H2259" s="31"/>
      <c r="I2259" s="32"/>
      <c r="J2259" s="33" t="str">
        <f t="shared" si="25"/>
        <v/>
      </c>
      <c r="K2259" s="33"/>
      <c r="L2259" s="33"/>
      <c r="M2259" s="33"/>
      <c r="N2259" s="34"/>
      <c r="O2259" s="35"/>
      <c r="P2259" s="35"/>
      <c r="Q2259" s="36"/>
      <c r="R2259" s="33"/>
      <c r="S2259" s="31"/>
      <c r="T2259" s="37"/>
      <c r="U2259" s="37"/>
      <c r="V2259" s="37"/>
      <c r="W2259" s="37"/>
      <c r="X2259" s="25"/>
      <c r="Y2259" s="25"/>
      <c r="Z2259" s="25"/>
      <c r="AA2259" s="25"/>
      <c r="AB2259" s="25"/>
      <c r="AC2259" s="25"/>
      <c r="AD2259" s="25"/>
      <c r="AE2259" s="25"/>
      <c r="AF2259" s="25"/>
      <c r="AG2259" s="25"/>
      <c r="AH2259" s="25"/>
      <c r="AI2259" s="25"/>
      <c r="AJ2259" s="25"/>
      <c r="AK2259" s="25"/>
      <c r="AL2259" s="25"/>
      <c r="AM2259" s="25"/>
    </row>
    <row r="2260">
      <c r="A2260" s="24"/>
      <c r="B2260" s="13"/>
      <c r="C2260" s="62"/>
      <c r="D2260" s="14"/>
      <c r="E2260" s="15"/>
      <c r="F2260" s="16"/>
      <c r="G2260" s="17"/>
      <c r="H2260" s="18"/>
      <c r="I2260" s="19"/>
      <c r="J2260" s="20" t="str">
        <f t="shared" si="25"/>
        <v/>
      </c>
      <c r="K2260" s="20"/>
      <c r="L2260" s="20"/>
      <c r="M2260" s="20"/>
      <c r="N2260" s="21"/>
      <c r="O2260" s="22"/>
      <c r="P2260" s="22"/>
      <c r="Q2260" s="23"/>
      <c r="R2260" s="20"/>
      <c r="S2260" s="18"/>
      <c r="T2260" s="24"/>
      <c r="U2260" s="24"/>
      <c r="V2260" s="24"/>
      <c r="W2260" s="24"/>
      <c r="X2260" s="13"/>
      <c r="Y2260" s="13"/>
      <c r="Z2260" s="13"/>
      <c r="AA2260" s="13"/>
      <c r="AB2260" s="13"/>
      <c r="AC2260" s="13"/>
      <c r="AD2260" s="13"/>
      <c r="AE2260" s="13"/>
      <c r="AF2260" s="13"/>
      <c r="AG2260" s="13"/>
      <c r="AH2260" s="13"/>
      <c r="AI2260" s="13"/>
      <c r="AJ2260" s="13"/>
      <c r="AK2260" s="13"/>
      <c r="AL2260" s="13"/>
      <c r="AM2260" s="13"/>
    </row>
    <row r="2261">
      <c r="A2261" s="37"/>
      <c r="B2261" s="25"/>
      <c r="C2261" s="60"/>
      <c r="D2261" s="27"/>
      <c r="E2261" s="28"/>
      <c r="F2261" s="29"/>
      <c r="G2261" s="30"/>
      <c r="H2261" s="31"/>
      <c r="I2261" s="32"/>
      <c r="J2261" s="33" t="str">
        <f t="shared" si="25"/>
        <v/>
      </c>
      <c r="K2261" s="33"/>
      <c r="L2261" s="33"/>
      <c r="M2261" s="33"/>
      <c r="N2261" s="34"/>
      <c r="O2261" s="35"/>
      <c r="P2261" s="35"/>
      <c r="Q2261" s="36"/>
      <c r="R2261" s="33"/>
      <c r="S2261" s="31"/>
      <c r="T2261" s="37"/>
      <c r="U2261" s="37"/>
      <c r="V2261" s="37"/>
      <c r="W2261" s="37"/>
      <c r="X2261" s="25"/>
      <c r="Y2261" s="25"/>
      <c r="Z2261" s="25"/>
      <c r="AA2261" s="25"/>
      <c r="AB2261" s="25"/>
      <c r="AC2261" s="25"/>
      <c r="AD2261" s="25"/>
      <c r="AE2261" s="25"/>
      <c r="AF2261" s="25"/>
      <c r="AG2261" s="25"/>
      <c r="AH2261" s="25"/>
      <c r="AI2261" s="25"/>
      <c r="AJ2261" s="25"/>
      <c r="AK2261" s="25"/>
      <c r="AL2261" s="25"/>
      <c r="AM2261" s="25"/>
    </row>
    <row r="2262">
      <c r="A2262" s="24"/>
      <c r="B2262" s="13"/>
      <c r="C2262" s="62"/>
      <c r="D2262" s="14"/>
      <c r="E2262" s="15"/>
      <c r="F2262" s="16"/>
      <c r="G2262" s="17"/>
      <c r="H2262" s="18"/>
      <c r="I2262" s="19"/>
      <c r="J2262" s="20" t="str">
        <f t="shared" si="25"/>
        <v/>
      </c>
      <c r="K2262" s="20"/>
      <c r="L2262" s="20"/>
      <c r="M2262" s="20"/>
      <c r="N2262" s="21"/>
      <c r="O2262" s="22"/>
      <c r="P2262" s="22"/>
      <c r="Q2262" s="23"/>
      <c r="R2262" s="20"/>
      <c r="S2262" s="18"/>
      <c r="T2262" s="24"/>
      <c r="U2262" s="24"/>
      <c r="V2262" s="24"/>
      <c r="W2262" s="24"/>
      <c r="X2262" s="13"/>
      <c r="Y2262" s="13"/>
      <c r="Z2262" s="13"/>
      <c r="AA2262" s="13"/>
      <c r="AB2262" s="13"/>
      <c r="AC2262" s="13"/>
      <c r="AD2262" s="13"/>
      <c r="AE2262" s="13"/>
      <c r="AF2262" s="13"/>
      <c r="AG2262" s="13"/>
      <c r="AH2262" s="13"/>
      <c r="AI2262" s="13"/>
      <c r="AJ2262" s="13"/>
      <c r="AK2262" s="13"/>
      <c r="AL2262" s="13"/>
      <c r="AM2262" s="13"/>
    </row>
    <row r="2263">
      <c r="A2263" s="37"/>
      <c r="B2263" s="25"/>
      <c r="C2263" s="60"/>
      <c r="D2263" s="27"/>
      <c r="E2263" s="28"/>
      <c r="F2263" s="29"/>
      <c r="G2263" s="30"/>
      <c r="H2263" s="31"/>
      <c r="I2263" s="32"/>
      <c r="J2263" s="33" t="str">
        <f t="shared" si="25"/>
        <v/>
      </c>
      <c r="K2263" s="33"/>
      <c r="L2263" s="33"/>
      <c r="M2263" s="33"/>
      <c r="N2263" s="34"/>
      <c r="O2263" s="35"/>
      <c r="P2263" s="35"/>
      <c r="Q2263" s="36"/>
      <c r="R2263" s="33"/>
      <c r="S2263" s="31"/>
      <c r="T2263" s="37"/>
      <c r="U2263" s="37"/>
      <c r="V2263" s="37"/>
      <c r="W2263" s="37"/>
      <c r="X2263" s="25"/>
      <c r="Y2263" s="25"/>
      <c r="Z2263" s="25"/>
      <c r="AA2263" s="25"/>
      <c r="AB2263" s="25"/>
      <c r="AC2263" s="25"/>
      <c r="AD2263" s="25"/>
      <c r="AE2263" s="25"/>
      <c r="AF2263" s="25"/>
      <c r="AG2263" s="25"/>
      <c r="AH2263" s="25"/>
      <c r="AI2263" s="25"/>
      <c r="AJ2263" s="25"/>
      <c r="AK2263" s="25"/>
      <c r="AL2263" s="25"/>
      <c r="AM2263" s="25"/>
    </row>
    <row r="2264">
      <c r="A2264" s="24"/>
      <c r="B2264" s="13"/>
      <c r="C2264" s="62"/>
      <c r="D2264" s="14"/>
      <c r="E2264" s="15"/>
      <c r="F2264" s="16"/>
      <c r="G2264" s="17"/>
      <c r="H2264" s="18"/>
      <c r="I2264" s="19"/>
      <c r="J2264" s="20" t="str">
        <f t="shared" si="25"/>
        <v/>
      </c>
      <c r="K2264" s="20"/>
      <c r="L2264" s="20"/>
      <c r="M2264" s="20"/>
      <c r="N2264" s="21"/>
      <c r="O2264" s="22"/>
      <c r="P2264" s="22"/>
      <c r="Q2264" s="23"/>
      <c r="R2264" s="20"/>
      <c r="S2264" s="18"/>
      <c r="T2264" s="24"/>
      <c r="U2264" s="24"/>
      <c r="V2264" s="24"/>
      <c r="W2264" s="24"/>
      <c r="X2264" s="13"/>
      <c r="Y2264" s="13"/>
      <c r="Z2264" s="13"/>
      <c r="AA2264" s="13"/>
      <c r="AB2264" s="13"/>
      <c r="AC2264" s="13"/>
      <c r="AD2264" s="13"/>
      <c r="AE2264" s="13"/>
      <c r="AF2264" s="13"/>
      <c r="AG2264" s="13"/>
      <c r="AH2264" s="13"/>
      <c r="AI2264" s="13"/>
      <c r="AJ2264" s="13"/>
      <c r="AK2264" s="13"/>
      <c r="AL2264" s="13"/>
      <c r="AM2264" s="13"/>
    </row>
    <row r="2265">
      <c r="A2265" s="37"/>
      <c r="B2265" s="25"/>
      <c r="C2265" s="60"/>
      <c r="D2265" s="27"/>
      <c r="E2265" s="28"/>
      <c r="F2265" s="29"/>
      <c r="G2265" s="30"/>
      <c r="H2265" s="31"/>
      <c r="I2265" s="32"/>
      <c r="J2265" s="33" t="str">
        <f t="shared" si="25"/>
        <v/>
      </c>
      <c r="K2265" s="33"/>
      <c r="L2265" s="33"/>
      <c r="M2265" s="33"/>
      <c r="N2265" s="34"/>
      <c r="O2265" s="35"/>
      <c r="P2265" s="35"/>
      <c r="Q2265" s="36"/>
      <c r="R2265" s="33"/>
      <c r="S2265" s="31"/>
      <c r="T2265" s="37"/>
      <c r="U2265" s="37"/>
      <c r="V2265" s="37"/>
      <c r="W2265" s="37"/>
      <c r="X2265" s="25"/>
      <c r="Y2265" s="25"/>
      <c r="Z2265" s="25"/>
      <c r="AA2265" s="25"/>
      <c r="AB2265" s="25"/>
      <c r="AC2265" s="25"/>
      <c r="AD2265" s="25"/>
      <c r="AE2265" s="25"/>
      <c r="AF2265" s="25"/>
      <c r="AG2265" s="25"/>
      <c r="AH2265" s="25"/>
      <c r="AI2265" s="25"/>
      <c r="AJ2265" s="25"/>
      <c r="AK2265" s="25"/>
      <c r="AL2265" s="25"/>
      <c r="AM2265" s="25"/>
    </row>
    <row r="2266">
      <c r="A2266" s="24"/>
      <c r="B2266" s="13"/>
      <c r="C2266" s="62"/>
      <c r="D2266" s="14"/>
      <c r="E2266" s="15"/>
      <c r="F2266" s="16"/>
      <c r="G2266" s="17"/>
      <c r="H2266" s="18"/>
      <c r="I2266" s="19"/>
      <c r="J2266" s="20" t="str">
        <f t="shared" si="25"/>
        <v/>
      </c>
      <c r="K2266" s="20"/>
      <c r="L2266" s="20"/>
      <c r="M2266" s="20"/>
      <c r="N2266" s="21"/>
      <c r="O2266" s="22"/>
      <c r="P2266" s="22"/>
      <c r="Q2266" s="23"/>
      <c r="R2266" s="20"/>
      <c r="S2266" s="18"/>
      <c r="T2266" s="24"/>
      <c r="U2266" s="24"/>
      <c r="V2266" s="24"/>
      <c r="W2266" s="24"/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13"/>
      <c r="AK2266" s="13"/>
      <c r="AL2266" s="13"/>
      <c r="AM2266" s="13"/>
    </row>
    <row r="2267">
      <c r="A2267" s="37"/>
      <c r="B2267" s="25"/>
      <c r="C2267" s="60"/>
      <c r="D2267" s="27"/>
      <c r="E2267" s="28"/>
      <c r="F2267" s="29"/>
      <c r="G2267" s="30"/>
      <c r="H2267" s="31"/>
      <c r="I2267" s="32"/>
      <c r="J2267" s="33" t="str">
        <f t="shared" si="25"/>
        <v/>
      </c>
      <c r="K2267" s="33"/>
      <c r="L2267" s="33"/>
      <c r="M2267" s="33"/>
      <c r="N2267" s="34"/>
      <c r="O2267" s="35"/>
      <c r="P2267" s="35"/>
      <c r="Q2267" s="36"/>
      <c r="R2267" s="33"/>
      <c r="S2267" s="31"/>
      <c r="T2267" s="37"/>
      <c r="U2267" s="37"/>
      <c r="V2267" s="37"/>
      <c r="W2267" s="37"/>
      <c r="X2267" s="25"/>
      <c r="Y2267" s="25"/>
      <c r="Z2267" s="25"/>
      <c r="AA2267" s="25"/>
      <c r="AB2267" s="25"/>
      <c r="AC2267" s="25"/>
      <c r="AD2267" s="25"/>
      <c r="AE2267" s="25"/>
      <c r="AF2267" s="25"/>
      <c r="AG2267" s="25"/>
      <c r="AH2267" s="25"/>
      <c r="AI2267" s="25"/>
      <c r="AJ2267" s="25"/>
      <c r="AK2267" s="25"/>
      <c r="AL2267" s="25"/>
      <c r="AM2267" s="25"/>
    </row>
    <row r="2268">
      <c r="A2268" s="24"/>
      <c r="B2268" s="13"/>
      <c r="C2268" s="62"/>
      <c r="D2268" s="14"/>
      <c r="E2268" s="15"/>
      <c r="F2268" s="16"/>
      <c r="G2268" s="17"/>
      <c r="H2268" s="18"/>
      <c r="I2268" s="19"/>
      <c r="J2268" s="20" t="str">
        <f t="shared" si="25"/>
        <v/>
      </c>
      <c r="K2268" s="20"/>
      <c r="L2268" s="20"/>
      <c r="M2268" s="20"/>
      <c r="N2268" s="21"/>
      <c r="O2268" s="22"/>
      <c r="P2268" s="22"/>
      <c r="Q2268" s="23"/>
      <c r="R2268" s="20"/>
      <c r="S2268" s="18"/>
      <c r="T2268" s="24"/>
      <c r="U2268" s="24"/>
      <c r="V2268" s="24"/>
      <c r="W2268" s="24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/>
      <c r="AH2268" s="13"/>
      <c r="AI2268" s="13"/>
      <c r="AJ2268" s="13"/>
      <c r="AK2268" s="13"/>
      <c r="AL2268" s="13"/>
      <c r="AM2268" s="13"/>
    </row>
    <row r="2269">
      <c r="A2269" s="37"/>
      <c r="B2269" s="25"/>
      <c r="C2269" s="60"/>
      <c r="D2269" s="27"/>
      <c r="E2269" s="28"/>
      <c r="F2269" s="29"/>
      <c r="G2269" s="30"/>
      <c r="H2269" s="31"/>
      <c r="I2269" s="32"/>
      <c r="J2269" s="33" t="str">
        <f t="shared" si="25"/>
        <v/>
      </c>
      <c r="K2269" s="33"/>
      <c r="L2269" s="33"/>
      <c r="M2269" s="33"/>
      <c r="N2269" s="34"/>
      <c r="O2269" s="35"/>
      <c r="P2269" s="35"/>
      <c r="Q2269" s="36"/>
      <c r="R2269" s="33"/>
      <c r="S2269" s="31"/>
      <c r="T2269" s="37"/>
      <c r="U2269" s="37"/>
      <c r="V2269" s="37"/>
      <c r="W2269" s="37"/>
      <c r="X2269" s="25"/>
      <c r="Y2269" s="25"/>
      <c r="Z2269" s="25"/>
      <c r="AA2269" s="25"/>
      <c r="AB2269" s="25"/>
      <c r="AC2269" s="25"/>
      <c r="AD2269" s="25"/>
      <c r="AE2269" s="25"/>
      <c r="AF2269" s="25"/>
      <c r="AG2269" s="25"/>
      <c r="AH2269" s="25"/>
      <c r="AI2269" s="25"/>
      <c r="AJ2269" s="25"/>
      <c r="AK2269" s="25"/>
      <c r="AL2269" s="25"/>
      <c r="AM2269" s="25"/>
    </row>
  </sheetData>
  <autoFilter ref="$A$1:$AM$706">
    <sortState ref="A1:AM706">
      <sortCondition ref="F1:F706"/>
      <sortCondition ref="K1:K706"/>
      <sortCondition ref="E1:E706"/>
      <sortCondition ref="I1:I706"/>
    </sortState>
  </autoFilter>
  <conditionalFormatting sqref="I1:I2269">
    <cfRule type="cellIs" dxfId="1" priority="1" operator="greaterThan">
      <formula>0</formula>
    </cfRule>
  </conditionalFormatting>
  <conditionalFormatting sqref="I1:I2269">
    <cfRule type="cellIs" dxfId="2" priority="2" operator="lessThan">
      <formula>0</formula>
    </cfRule>
  </conditionalFormatting>
  <conditionalFormatting sqref="A1:A2269">
    <cfRule type="containsText" dxfId="2" priority="3" operator="containsText" text="В аренде">
      <formula>NOT(ISERROR(SEARCH(("В аренде"),(A1))))</formula>
    </cfRule>
  </conditionalFormatting>
  <conditionalFormatting sqref="A1:A2269">
    <cfRule type="cellIs" dxfId="3" priority="4" operator="equal">
      <formula>"Завершена"</formula>
    </cfRule>
  </conditionalFormatting>
  <conditionalFormatting sqref="B2:B2269 X2:AM2269">
    <cfRule type="containsText" dxfId="4" priority="5" operator="containsText" text="OFF">
      <formula>NOT(ISERROR(SEARCH(("OFF"),(B2))))</formula>
    </cfRule>
  </conditionalFormatting>
  <conditionalFormatting sqref="B2:B2269 X2:AM2269">
    <cfRule type="containsText" dxfId="5" priority="6" operator="containsText" text="ON">
      <formula>NOT(ISERROR(SEARCH(("ON"),(B2))))</formula>
    </cfRule>
  </conditionalFormatting>
  <conditionalFormatting sqref="E2:E2269">
    <cfRule type="expression" dxfId="2" priority="7">
      <formula>AND(E192&lt;&gt;"", ABS(TODAY()-E192) &lt;= 6)</formula>
    </cfRule>
  </conditionalFormatting>
  <conditionalFormatting sqref="L193">
    <cfRule type="notContainsBlanks" dxfId="2" priority="8">
      <formula>LEN(TRIM(L193))&gt;0</formula>
    </cfRule>
  </conditionalFormatting>
  <conditionalFormatting sqref="F2:F2269">
    <cfRule type="expression" dxfId="6" priority="9">
      <formula>NOW() &gt; (DATEVALUE(LEFT(F2,FIND(",",F2)-2)) + TIMEVALUE(MID(F2,FIND(",",F2) + 2,5)))</formula>
    </cfRule>
  </conditionalFormatting>
  <conditionalFormatting sqref="F2:F2269">
    <cfRule type="expression" dxfId="7" priority="10">
      <formula>TODAY() = DATEVALUE(LEFT(F2,FIND(",",F2)-2))</formula>
    </cfRule>
  </conditionalFormatting>
  <conditionalFormatting sqref="F2:F2269">
    <cfRule type="expression" dxfId="8" priority="11">
      <formula>AND(NOW() &gt;= (DATEVALUE(LEFT(F2,FIND(",",F2)-2)) - 3 + TIMEVALUE(MID(F2,FIND(",",F2) + 2,5))), NOW() &lt; (DATEVALUE(LEFT(F2,FIND(",",F2)-2)) + TIMEVALUE(MID(F2,FIND(",",F2) + 2,5))))</formula>
    </cfRule>
  </conditionalFormatting>
  <conditionalFormatting sqref="F2:F2269">
    <cfRule type="expression" dxfId="9" priority="12">
      <formula>AND(NOW() &gt;= (DATEVALUE(LEFT(F2,FIND(",",F2)-2)) - 7 + TIMEVALUE(MID(F2,FIND(",",F2) + 2,5))), NOW() &lt; (DATEVALUE(LEFT(F2,FIND(",",F2)-2)) - 3 + TIMEVALUE(MID(F2,FIND(",",F2) + 2,5))))</formula>
    </cfRule>
  </conditionalFormatting>
  <conditionalFormatting sqref="P2:P2269">
    <cfRule type="expression" dxfId="10" priority="13">
      <formula>AND($X2:X2269="мото", $P2:P2269 &gt;= 5000)</formula>
    </cfRule>
  </conditionalFormatting>
  <conditionalFormatting sqref="P2:P2269">
    <cfRule type="expression" dxfId="10" priority="14">
      <formula>AND($X2:X2269="скутер", $P2:P2269 &gt;= 3500)</formula>
    </cfRule>
  </conditionalFormatting>
  <conditionalFormatting sqref="P2:P2269">
    <cfRule type="expression" dxfId="5" priority="15">
      <formula>AND($X2:X2269="мото", $P2:P2269 &gt;= 4000)</formula>
    </cfRule>
  </conditionalFormatting>
  <conditionalFormatting sqref="P2:P2269">
    <cfRule type="expression" dxfId="5" priority="16">
      <formula>AND($X2:X2269="скутер", $P2:P2269 &gt;= 2900)</formula>
    </cfRule>
  </conditionalFormatting>
  <conditionalFormatting sqref="P2:P2269">
    <cfRule type="expression" dxfId="9" priority="17">
      <formula>AND($X2:X2269="мото", $P2:P2269 &gt;= 3000)</formula>
    </cfRule>
  </conditionalFormatting>
  <conditionalFormatting sqref="P2:P2269">
    <cfRule type="expression" dxfId="9" priority="18">
      <formula>AND($X2:X2269="скутер", $P2:P2269 &gt;= 240000)</formula>
    </cfRule>
  </conditionalFormatting>
  <conditionalFormatting sqref="E2:E2269">
    <cfRule type="expression" dxfId="11" priority="19">
      <formula>AND($A2 = "Бронь", DATEVALUE($E2) &gt;= NOW(), DATEVALUE($E2) - NOW() &lt;= 5, DATEVALUE($E2) - NOW() &gt; 3)</formula>
    </cfRule>
  </conditionalFormatting>
  <conditionalFormatting sqref="E2:E2269">
    <cfRule type="expression" dxfId="1" priority="20">
      <formula>AND($A2 = "Бронь", DATEVALUE($E2) &gt;= NOW(), DATEVALUE($E2) - NOW() &lt;= 3, DATEVALUE($E2) - NOW() &gt; 1)</formula>
    </cfRule>
  </conditionalFormatting>
  <conditionalFormatting sqref="E2:E2269">
    <cfRule type="expression" dxfId="12" priority="21">
      <formula>AND($A2 = "Бронь", DATEVALUE($E2) - NOW() &lt;= 1)</formula>
    </cfRule>
  </conditionalFormatting>
  <dataValidations>
    <dataValidation type="list" allowBlank="1" sqref="A2:A2269">
      <formula1>"В аренде,Завершена,В аренде 1,В аренде 2,В аренде 3,Бронь,Бронь 1,Бронь 2,Бронь 3"</formula1>
    </dataValidation>
    <dataValidation type="custom" allowBlank="1" showDropDown="1" sqref="F2:F2269">
      <formula1>OR(NOT(ISERROR(DATEVALUE(F2))), AND(ISNUMBER(F2), LEFT(CELL("format", F2))="D"))</formula1>
    </dataValidation>
    <dataValidation type="list" allowBlank="1" showErrorMessage="1" sqref="B2:B2269">
      <formula1>"ON,OFF"</formula1>
    </dataValidation>
    <dataValidation type="list" allowBlank="1" showErrorMessage="1" sqref="C2:C2269">
      <formula1>'список мото'!$A:$A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hidden="1" min="1" max="5" width="11.22"/>
  </cols>
  <sheetData>
    <row r="1" ht="23.25" customHeight="1">
      <c r="A1" s="178"/>
      <c r="F1" s="179" t="s">
        <v>2108</v>
      </c>
      <c r="G1" s="180"/>
      <c r="H1" s="181" t="s">
        <v>2109</v>
      </c>
      <c r="I1" s="182"/>
      <c r="J1" s="183"/>
      <c r="K1" s="184"/>
      <c r="L1" s="184"/>
      <c r="M1" s="184"/>
      <c r="N1" s="184"/>
      <c r="O1" s="185"/>
      <c r="P1" s="185"/>
      <c r="Q1" s="184"/>
      <c r="R1" s="184"/>
      <c r="S1" s="184"/>
      <c r="T1" s="185"/>
      <c r="U1" s="185"/>
      <c r="V1" s="185"/>
      <c r="W1" s="185"/>
      <c r="X1" s="185"/>
      <c r="Y1" s="186"/>
      <c r="Z1" s="186"/>
      <c r="AA1" s="186"/>
    </row>
    <row r="2" ht="23.25" customHeight="1">
      <c r="A2" s="178"/>
      <c r="F2" s="187">
        <v>46208.0</v>
      </c>
      <c r="G2" s="188" t="s">
        <v>2110</v>
      </c>
      <c r="H2" s="189" t="s">
        <v>2111</v>
      </c>
      <c r="I2" s="189" t="s">
        <v>2112</v>
      </c>
      <c r="J2" s="190" t="s">
        <v>2113</v>
      </c>
      <c r="K2" s="184"/>
      <c r="L2" s="184"/>
      <c r="M2" s="184"/>
      <c r="N2" s="184"/>
      <c r="O2" s="185"/>
      <c r="P2" s="185"/>
      <c r="Q2" s="184"/>
      <c r="R2" s="184"/>
      <c r="S2" s="184"/>
      <c r="T2" s="185"/>
      <c r="U2" s="185"/>
      <c r="V2" s="185"/>
      <c r="W2" s="185"/>
      <c r="X2" s="185"/>
      <c r="Y2" s="186"/>
      <c r="Z2" s="186"/>
      <c r="AA2" s="186"/>
    </row>
    <row r="3" ht="18.75" customHeight="1">
      <c r="A3" s="178"/>
      <c r="F3" s="187">
        <v>46218.0</v>
      </c>
      <c r="G3" s="191">
        <f>ABS(F3 - F2)</f>
        <v>10</v>
      </c>
      <c r="H3" s="192">
        <v>0.15</v>
      </c>
      <c r="I3" s="192">
        <v>0.15</v>
      </c>
      <c r="J3" s="193">
        <v>0.25</v>
      </c>
      <c r="K3" s="184"/>
      <c r="L3" s="184"/>
      <c r="M3" s="184"/>
      <c r="N3" s="184"/>
      <c r="O3" s="185"/>
      <c r="P3" s="185"/>
      <c r="Q3" s="184"/>
      <c r="R3" s="184"/>
      <c r="S3" s="184"/>
      <c r="T3" s="185"/>
      <c r="U3" s="185"/>
      <c r="V3" s="185"/>
      <c r="W3" s="185"/>
      <c r="X3" s="185"/>
      <c r="Y3" s="186"/>
      <c r="Z3" s="186"/>
      <c r="AA3" s="186"/>
    </row>
    <row r="4" ht="18.75" customHeight="1">
      <c r="A4" s="178"/>
      <c r="G4" s="194"/>
      <c r="H4" s="194"/>
      <c r="I4" s="194"/>
      <c r="J4" s="195"/>
      <c r="K4" s="185"/>
      <c r="L4" s="185"/>
      <c r="M4" s="185"/>
      <c r="N4" s="185"/>
      <c r="O4" s="185"/>
      <c r="P4" s="185"/>
      <c r="Q4" s="184"/>
      <c r="R4" s="184"/>
      <c r="S4" s="184"/>
      <c r="T4" s="185"/>
      <c r="U4" s="185"/>
      <c r="V4" s="185"/>
      <c r="W4" s="185"/>
      <c r="X4" s="185"/>
      <c r="Y4" s="186"/>
      <c r="Z4" s="186"/>
      <c r="AA4" s="186"/>
    </row>
    <row r="5" ht="16.5" customHeight="1">
      <c r="A5" s="196" t="str">
        <f>IFERROR(__xludf.DUMMYFUNCTION("IMPORTRANGE(""1ZBCmVvzoFu7X0td7O5T5xSJplK8m8h9wvdESBc0a1EE"", ""Лист1!C3:C"")"),"ADV 350CC BLACK PHUKET 5849")</f>
        <v>ADV 350CC BLACK PHUKET 5849</v>
      </c>
      <c r="B5" s="197"/>
      <c r="C5" s="197"/>
      <c r="D5" s="198" t="str">
        <f>IFERROR(__xludf.DUMMYFUNCTION("ARRAYFORMULA(IF(REGEXMATCH(LOWER(SUBSTITUTE(TRIM(F5:F1896), ""сс"", ""cc"")), ""xmax 300""), ""TRUE"", ""FALSE""))
"),"FALSE")</f>
        <v>FALSE</v>
      </c>
      <c r="E5" s="198" t="str">
        <f>IFERROR(__xludf.DUMMYFUNCTION("ARRAYFORMULA(IF(REGEXMATCH(LOWER(SUBSTITUTE(TRIM(F5:F1896), ""сс"", ""cc"")), ""new""), ""TRUE"", ""FALSE""))"),"FALSE")</f>
        <v>FALSE</v>
      </c>
      <c r="F5" s="198" t="str">
        <f>IFERROR(__xludf.DUMMYFUNCTION("FILTER(
  A5:A1896,
  ARRAYFORMULA(
    ISNA(
      VLOOKUP(
        A5:A1896,
        FILTER(
          'клиенты'!C$122:C1896,
          (
            (('клиенты'!A$122:A1896 = ""В аренде"") * ('клиенты'!B$122:B1896 &lt;&gt; ""ON"")) +
            ('клиенты'!A"&amp;"$122:A1896 = ""Бронь"")
          ) *
          ('клиенты'!E$122:E1896 &lt;= F3) *
          ('клиенты'!F$122:F1896 &gt;= F2)
        ),
        1,
        FALSE
      )
    )
  )
)"),"ADV 350CC BLACK PHUKET 5849")</f>
        <v>ADV 350CC BLACK PHUKET 5849</v>
      </c>
      <c r="G5" s="199"/>
      <c r="H5" s="199"/>
      <c r="I5" s="199"/>
      <c r="J5" s="184" t="str">
        <f>IFERROR(__xludf.DUMMYFUNCTION("ARRAYFORMULA(
  IF(
    ISNUMBER(SEARCH(""XSR 155"", F5:F1896)),
    ""XSR 155CC | "" &amp; C5:C1896 &amp; "" дней: "" &amp; G3 &amp; "" стоимость: "" &amp; TEXT('цены альт'!G$3, ""# ##0"") &amp; "", депозит: "" &amp; TEXT('цены альт'!H$3, ""# ##0"") &amp; "" бат"",
    IF(
      ISNUMB"&amp;"ER(SEARCH(""CB 300"", F5:F1896)),
      ""CB 300R | "" &amp; C5:C1896 &amp; "" дней: "" &amp; G3 &amp; "" стоимость: "" &amp; TEXT('цены альт'!G$4, ""# ##0"") &amp; "", депозит: "" &amp; TEXT('цены альт'!H$4, ""# ##0"") &amp; "" бат"",
      IF(
        ISNUMBER(SEARCH(""REBEL 300"", F5"&amp;":F1896)),
        ""REBEL 300CC | "" &amp; C5:C1896 &amp; "" дней: "" &amp; G3 &amp; "" стоимость: "" &amp; TEXT('цены альт'!G$5, ""# ##0"") &amp; "", депозит: "" &amp; TEXT('цены альт'!H$5, ""# ##0"") &amp; "" бат"",
        IF(
          ISNUMBER(SEARCH(""MT-03 300"", F5:F1896)),
    "&amp;"      ""MT-03 300CC | "" &amp; C5:C1896 &amp; "" дней: "" &amp; G3 &amp; "" стоимость: "" &amp; TEXT('цены альт'!G$6, ""# ##0"") &amp; "", депозит: "" &amp; TEXT('цены альт'!H$6, ""# ##0"") &amp; "" бат"",
          IF(
            ISNUMBER(SEARCH(""NINJA 400"", F5:F1896)),
            "&amp;"""NINJA 400CC | "" &amp; C5:C1896 &amp; "" дней: "" &amp; G3 &amp; "" стоимость: "" &amp; TEXT('цены альт'!G$7, ""# ##0"") &amp; "", депозит: "" &amp; TEXT('цены альт'!H$7, ""# ##0"") &amp; "" бат"",
            IF(
              ISNUMBER(SEARCH(""VULCAN 650"", F5:F1896)),
             "&amp;" ""VULCAN 650CC | "" &amp; C5:C1896 &amp; "" дней: "" &amp; G3 &amp; "" стоимость: "" &amp; TEXT('цены альт'!G$10, ""# ##0"") &amp; "", депозит: "" &amp; TEXT('цены альт'!H$10, ""# ##0"") &amp; "" бат"",
              IF(
                ISNUMBER(SEARCH(""CBR 650R"", F5:F1896)),
       "&amp;"         ""CBR 650R | "" &amp; C5:C1896 &amp; "" дней: "" &amp; G3 &amp; "" стоимость: "" &amp; TEXT('цены альт'!G$11, ""# ##0"") &amp; "", депозит: "" &amp; TEXT('цены альт'!H$11, ""# ##0"") &amp; "" бат"",
                IF(
                  ISNUMBER(SEARCH(""CB 650R"", F5:F1896)),
"&amp;"                  ""CB 650R | "" &amp; C5:C1896 &amp; "" дней: "" &amp; G3 &amp; "" стоимость: "" &amp; TEXT('цены альт'!G$12, ""# ##0"") &amp; "", депозит: "" &amp; TEXT('цены альт'!H$12, ""# ##0"") &amp; "" бат"",
                  IF(
                    ISNUMBER(SEARCH(""XSR 900"", "&amp;"F5:F1896)),
                    ""XSR 900CC | "" &amp; C5:C1896 &amp; "" дней: "" &amp; G3 &amp; "" стоимость: "" &amp; TEXT('цены альт'!G$13, ""# ##0"") &amp; "", депозит: "" &amp; TEXT('цены альт'!H$13, ""# ##0"") &amp; "" бат"",
                    IF(
                      ISNUMBER("&amp;"SEARCH(""R7"", F5:F1896)),
                      ""R7 | "" &amp; C5:C1896 &amp; "" дней: "" &amp; G3 &amp; "" стоимость: "" &amp; TEXT('цены альт'!G$14, ""# ##0"") &amp; "", депозит: "" &amp; TEXT('цены альт'!H$14, ""# ##0"") &amp; "" бат"",
                      IF(
                   "&amp;"     ISNUMBER(SEARCH(""CLICK 125"", F5:F1896)),
                        ""CLICK 125CC | "" &amp; C5:C1896 &amp; "" дней: "" &amp; G3 &amp; "" стоимость: "" &amp; TEXT('цены альт'!G$20, ""# ##0"") &amp; "", депозит: "" &amp; TEXT('цены альт'!H$20, ""# ##0"") &amp; "" бат"",
             "&amp;"           IF(
                          ISNUMBER(SEARCH(""PCX 150"", F5:F1896)),
                          ""PCX 150CC | "" &amp; C5:C1896 &amp; "" дней: "" &amp; G3 &amp; "" стоимость: "" &amp; TEXT('цены альт'!G$21, ""# ##0"") &amp; "", депозит: "" &amp; TEXT('цены альт'!H$21, """&amp;"# ##0"") &amp; "" бат"",
                          IF(
                            ISNUMBER(SEARCH(""ADV 150"", F5:F1896)),
                            ""ADV 150CC | "" &amp; C5:C1896 &amp; "" дней: "" &amp; G3 &amp; "" стоимость: "" &amp; TEXT('цены альт'!G$22, ""# ##0"") &amp; "","&amp;" депозит: "" &amp; TEXT('цены альт'!H$22, ""# ##0"") &amp; "" бат"",
                            IF(
                              ISNUMBER(SEARCH(""NMAX 155"", F5:F1896)),
                              ""NMAX 155CC | "" &amp; C5:C1896 &amp; "" дней: "" &amp; G3 &amp; "" стоимос"&amp;"ть: "" &amp; TEXT('цены альт'!G$23, ""# ##0"") &amp; "", депозит: "" &amp; TEXT('цены альт'!H$23, ""# ##0"") &amp; "" бат"",
                              IF(
                                ISNUMBER(SEARCH(""PCX 160"", F5:F1896)),
                                ""PCX 1"&amp;"60CC | "" &amp; C5:C1896 &amp; "" дней: "" &amp; G3 &amp; "" стоимость: "" &amp; TEXT('цены альт'!G$24, ""# ##0"") &amp; "", депозит: "" &amp; TEXT('цены альт'!H$24, ""# ##0"") &amp; "" бат"",
                                IF(
                                  ISNUMBER(SEARCH(""ADV 16"&amp;"0"", F5:F1896)),
                                  ""ADV 160CC | "" &amp; C5:C1896 &amp; "" дней: "" &amp; G3 &amp; "" стоимость: "" &amp; TEXT('цены альт'!G$25, ""# ##0"") &amp; "", депозит: "" &amp; TEXT('цены альт'!H$25, ""# ##0"") &amp; "" бат"",
                                  IF"&amp;"(
                                    ISNUMBER(SEARCH(""FORZA 300"", F5:F1896)),
                                    ""FORZA 300CC | "" &amp; C5:C1896 &amp; "" дней: "" &amp; G3 &amp; "" стоимость: "" &amp; TEXT('цены альт'!G$26, ""# ##0"") &amp; "", депозит: "" &amp; TEXT('цены аль"&amp;"т'!H$26, ""# ##0"") &amp; "" бат"",
                                    IF(
                                      (REGEXMATCH(LOWER(SUBSTITUTE(TRIM(F5:F1896), ""сс"", ""cc"")), ""xmax 300"") * NOT(REGEXMATCH(LOWER(SUBSTITUTE(TRIM(F5:F1896), ""сс"", ""cc"")), "&amp;"""new""))),
                                      ""XMAX 300CC | "" &amp; C5:C1896 &amp; "" дней: "" &amp; G3 &amp; "" стоимость: "" &amp; TEXT('цены альт'!G$27, ""# ##0"") &amp; "", депозит: "" &amp; TEXT('цены альт'!H$27, ""# ##0"") &amp; "" бат"",
                                    "&amp;"  IF(
                                        ISNUMBER(SEARCH(""XMAX 300CC NEW"", F5:F1896)),
                                        ""XMAX 300CC НОВОЕ ПОКОЛЕНИЕ | "" &amp; C5:C1896 &amp; "" дней: "" &amp; G3 &amp; "" стоимость: "" &amp; TEXT('цены альт'!G$28, ""# ##0"") &amp; "&amp;""", депозит: "" &amp; TEXT('цены альт'!H$28, ""# ##0"") &amp; "" бат"",
                                        IF(
                                          ISNUMBER(SEARCH(""ADV 350"", F5:F1896)),
                                          ""ADV 350CC | "" &amp; C5:"&amp;"C1896 &amp; "" дней: "" &amp; G3 &amp; "" стоимость: "" &amp; TEXT('цены альт'!G$29, ""# ##0"") &amp; "", депозит: "" &amp; TEXT('цены альт'!H$29, ""# ##0"") &amp; "" бат"",
                                          IF(
                                            ISNUMBER(SEARCH(""X"&amp;"ADV 750"", F5:F1896)),
                                            ""XADV 750CC | "" &amp; C5:C1896 &amp; "" дней: "" &amp; G3 &amp; "" стоимость: "" &amp; TEXT('цены альт'!G$30, ""# ##0"") &amp; "", депозит: "" &amp; TEXT('цены альт'!H$30, ""# ##0"") &amp; "" бат"",
                   "&amp;"                         """"
                                          )
                                        )
                                      )
                                    )
                                  )
                         "&amp;"       )
                              )
                            )
                          )
                        )
                      )
                    )
                  )
                )
              )
            )
          )
    "&amp;"    )
      )
    )
  )
)
"),"ADV 350CC |  дней: 10 стоимость: 6816  (Скидка за срок 9%, 682 в день), депозит: 7 000 бат")</f>
        <v>ADV 350CC |  дней: 10 стоимость: 6816  (Скидка за срок 9%, 682 в день), депозит: 7 000 бат</v>
      </c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</row>
    <row r="6">
      <c r="A6" s="198" t="str">
        <f>IFERROR(__xludf.DUMMYFUNCTION("""COMPUTED_VALUE"""),"ADV 350CC GREY BKK 798")</f>
        <v>ADV 350CC GREY BKK 798</v>
      </c>
      <c r="C6" s="200"/>
      <c r="D6" s="198" t="str">
        <f>IFERROR(__xludf.DUMMYFUNCTION("""COMPUTED_VALUE"""),"FALSE")</f>
        <v>FALSE</v>
      </c>
      <c r="E6" s="198" t="str">
        <f>IFERROR(__xludf.DUMMYFUNCTION("""COMPUTED_VALUE"""),"FALSE")</f>
        <v>FALSE</v>
      </c>
      <c r="F6" s="198" t="str">
        <f>IFERROR(__xludf.DUMMYFUNCTION("""COMPUTED_VALUE"""),"ADV 350CC GREY BKK 798")</f>
        <v>ADV 350CC GREY BKK 798</v>
      </c>
      <c r="J6" s="184" t="str">
        <f>IFERROR(__xludf.DUMMYFUNCTION("""COMPUTED_VALUE"""),"ADV 350CC |  дней: 10 стоимость: 6816  (Скидка за срок 9%, 682 в день), депозит: 7 000 бат")</f>
        <v>ADV 350CC |  дней: 10 стоимость: 6816  (Скидка за срок 9%, 682 в день), депозит: 7 000 бат</v>
      </c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</row>
    <row r="7">
      <c r="A7" s="201" t="str">
        <f>IFERROR(__xludf.DUMMYFUNCTION("""COMPUTED_VALUE"""),"CB 300CC R 9011")</f>
        <v>CB 300CC R 9011</v>
      </c>
      <c r="C7" s="200"/>
      <c r="D7" s="198" t="str">
        <f>IFERROR(__xludf.DUMMYFUNCTION("""COMPUTED_VALUE"""),"FALSE")</f>
        <v>FALSE</v>
      </c>
      <c r="E7" s="198" t="str">
        <f>IFERROR(__xludf.DUMMYFUNCTION("""COMPUTED_VALUE"""),"FALSE")</f>
        <v>FALSE</v>
      </c>
      <c r="F7" s="201" t="str">
        <f>IFERROR(__xludf.DUMMYFUNCTION("""COMPUTED_VALUE"""),"CBR 650R PHUKET 4505")</f>
        <v>CBR 650R PHUKET 4505</v>
      </c>
      <c r="J7" s="184" t="str">
        <f>IFERROR(__xludf.DUMMYFUNCTION("""COMPUTED_VALUE"""),"CBR 650R |  дней: 10 стоимость: 13141  (Скидка за срок 14%, 1314 в день), депозит: 20 000 бат")</f>
        <v>CBR 650R |  дней: 10 стоимость: 13141  (Скидка за срок 14%, 1314 в день), депозит: 20 000 бат</v>
      </c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</row>
    <row r="8">
      <c r="A8" s="201" t="str">
        <f>IFERROR(__xludf.DUMMYFUNCTION("""COMPUTED_VALUE"""),"CBR 650R PHUKET 4505")</f>
        <v>CBR 650R PHUKET 4505</v>
      </c>
      <c r="D8" s="198" t="str">
        <f>IFERROR(__xludf.DUMMYFUNCTION("""COMPUTED_VALUE"""),"FALSE")</f>
        <v>FALSE</v>
      </c>
      <c r="E8" s="198" t="str">
        <f>IFERROR(__xludf.DUMMYFUNCTION("""COMPUTED_VALUE"""),"FALSE")</f>
        <v>FALSE</v>
      </c>
      <c r="F8" s="201" t="str">
        <f>IFERROR(__xludf.DUMMYFUNCTION("""COMPUTED_VALUE"""),"NINJA 400СС PHUKET 6334")</f>
        <v>NINJA 400СС PHUKET 6334</v>
      </c>
      <c r="J8" s="184" t="str">
        <f>IFERROR(__xludf.DUMMYFUNCTION("""COMPUTED_VALUE"""),"NINJA 400CC |  дней: 10 стоимость: 8660 (Скидка за срок 14%, 866 в день), депозит: 20 000 бат")</f>
        <v>NINJA 400CC |  дней: 10 стоимость: 8660 (Скидка за срок 14%, 866 в день), депозит: 20 000 бат</v>
      </c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</row>
    <row r="9">
      <c r="A9" s="198" t="str">
        <f>IFERROR(__xludf.DUMMYFUNCTION("""COMPUTED_VALUE"""),"CLICK 125CC PHUKET 5580")</f>
        <v>CLICK 125CC PHUKET 5580</v>
      </c>
      <c r="D9" s="198" t="str">
        <f>IFERROR(__xludf.DUMMYFUNCTION("""COMPUTED_VALUE"""),"FALSE")</f>
        <v>FALSE</v>
      </c>
      <c r="E9" s="198" t="str">
        <f>IFERROR(__xludf.DUMMYFUNCTION("""COMPUTED_VALUE"""),"FALSE")</f>
        <v>FALSE</v>
      </c>
      <c r="F9" s="201" t="str">
        <f>IFERROR(__xludf.DUMMYFUNCTION("""COMPUTED_VALUE"""),"NMAX 155CC BLACK GOLD PHUKET 4255")</f>
        <v>NMAX 155CC BLACK GOLD PHUKET 4255</v>
      </c>
      <c r="J9" s="184" t="str">
        <f>IFERROR(__xludf.DUMMYFUNCTION("""COMPUTED_VALUE"""),"NMAX 155CC |  дней: 10 стоимость: 3067  (Скидка за срок 9%, 307 в день), депозит: 3 000 бат")</f>
        <v>NMAX 155CC |  дней: 10 стоимость: 3067  (Скидка за срок 9%, 307 в день), депозит: 3 000 бат</v>
      </c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</row>
    <row r="10">
      <c r="A10" s="201" t="str">
        <f>IFERROR(__xludf.DUMMYFUNCTION("""COMPUTED_VALUE"""),"FORZA 300CC WHITE PHUKET 8950")</f>
        <v>FORZA 300CC WHITE PHUKET 8950</v>
      </c>
      <c r="D10" s="198" t="str">
        <f>IFERROR(__xludf.DUMMYFUNCTION("""COMPUTED_VALUE"""),"FALSE")</f>
        <v>FALSE</v>
      </c>
      <c r="E10" s="198" t="str">
        <f>IFERROR(__xludf.DUMMYFUNCTION("""COMPUTED_VALUE"""),"FALSE")</f>
        <v>FALSE</v>
      </c>
      <c r="F10" s="201" t="str">
        <f>IFERROR(__xludf.DUMMYFUNCTION("""COMPUTED_VALUE"""),"NMAX 155CC BLACK GOLD-2 PHUKET 4685")</f>
        <v>NMAX 155CC BLACK GOLD-2 PHUKET 4685</v>
      </c>
      <c r="J10" s="184" t="str">
        <f>IFERROR(__xludf.DUMMYFUNCTION("""COMPUTED_VALUE"""),"NMAX 155CC |  дней: 10 стоимость: 3067  (Скидка за срок 9%, 307 в день), депозит: 3 000 бат")</f>
        <v>NMAX 155CC |  дней: 10 стоимость: 3067  (Скидка за срок 9%, 307 в день), депозит: 3 000 бат</v>
      </c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</row>
    <row r="11">
      <c r="A11" s="201" t="str">
        <f>IFERROR(__xludf.DUMMYFUNCTION("""COMPUTED_VALUE"""),"MT-03 300СС BLUE PHUKET 5068")</f>
        <v>MT-03 300СС BLUE PHUKET 5068</v>
      </c>
      <c r="D11" s="198" t="str">
        <f>IFERROR(__xludf.DUMMYFUNCTION("""COMPUTED_VALUE"""),"FALSE")</f>
        <v>FALSE</v>
      </c>
      <c r="E11" s="198" t="str">
        <f>IFERROR(__xludf.DUMMYFUNCTION("""COMPUTED_VALUE"""),"FALSE")</f>
        <v>FALSE</v>
      </c>
      <c r="F11" s="201" t="str">
        <f>IFERROR(__xludf.DUMMYFUNCTION("""COMPUTED_VALUE"""),"NMAX 155CC BLACK GOLD-3 PHUKET 7530")</f>
        <v>NMAX 155CC BLACK GOLD-3 PHUKET 7530</v>
      </c>
      <c r="J11" s="184" t="str">
        <f>IFERROR(__xludf.DUMMYFUNCTION("""COMPUTED_VALUE"""),"NMAX 155CC |  дней: 10 стоимость: 3067  (Скидка за срок 9%, 307 в день), депозит: 3 000 бат")</f>
        <v>NMAX 155CC |  дней: 10 стоимость: 3067  (Скидка за срок 9%, 307 в день), депозит: 3 000 бат</v>
      </c>
      <c r="K11" s="184"/>
      <c r="L11" s="202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</row>
    <row r="12">
      <c r="A12" s="201" t="str">
        <f>IFERROR(__xludf.DUMMYFUNCTION("""COMPUTED_VALUE"""),"NINJA 400СС PHUKET 6334")</f>
        <v>NINJA 400СС PHUKET 6334</v>
      </c>
      <c r="D12" s="198" t="str">
        <f>IFERROR(__xludf.DUMMYFUNCTION("""COMPUTED_VALUE"""),"FALSE")</f>
        <v>FALSE</v>
      </c>
      <c r="E12" s="198" t="str">
        <f>IFERROR(__xludf.DUMMYFUNCTION("""COMPUTED_VALUE"""),"FALSE")</f>
        <v>FALSE</v>
      </c>
      <c r="F12" s="201" t="str">
        <f>IFERROR(__xludf.DUMMYFUNCTION("""COMPUTED_VALUE"""),"NMAX 155CC BLACK PHUKET 8952")</f>
        <v>NMAX 155CC BLACK PHUKET 8952</v>
      </c>
      <c r="J12" s="184" t="str">
        <f>IFERROR(__xludf.DUMMYFUNCTION("""COMPUTED_VALUE"""),"NMAX 155CC |  дней: 10 стоимость: 3067  (Скидка за срок 9%, 307 в день), депозит: 3 000 бат")</f>
        <v>NMAX 155CC |  дней: 10 стоимость: 3067  (Скидка за срок 9%, 307 в день), депозит: 3 000 бат</v>
      </c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</row>
    <row r="13">
      <c r="A13" s="201" t="str">
        <f>IFERROR(__xludf.DUMMYFUNCTION("""COMPUTED_VALUE"""),"NMAX 155CC BLACK GOLD PHUKET 4255")</f>
        <v>NMAX 155CC BLACK GOLD PHUKET 4255</v>
      </c>
      <c r="D13" s="198" t="str">
        <f>IFERROR(__xludf.DUMMYFUNCTION("""COMPUTED_VALUE"""),"FALSE")</f>
        <v>FALSE</v>
      </c>
      <c r="E13" s="198" t="str">
        <f>IFERROR(__xludf.DUMMYFUNCTION("""COMPUTED_VALUE"""),"FALSE")</f>
        <v>FALSE</v>
      </c>
      <c r="F13" s="201" t="str">
        <f>IFERROR(__xludf.DUMMYFUNCTION("""COMPUTED_VALUE"""),"NMAX 155CC GREEN-B PHUKET 4957")</f>
        <v>NMAX 155CC GREEN-B PHUKET 4957</v>
      </c>
      <c r="J13" s="184" t="str">
        <f>IFERROR(__xludf.DUMMYFUNCTION("""COMPUTED_VALUE"""),"NMAX 155CC |  дней: 10 стоимость: 3067  (Скидка за срок 9%, 307 в день), депозит: 3 000 бат")</f>
        <v>NMAX 155CC |  дней: 10 стоимость: 3067  (Скидка за срок 9%, 307 в день), депозит: 3 000 бат</v>
      </c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</row>
    <row r="14">
      <c r="A14" s="201" t="str">
        <f>IFERROR(__xludf.DUMMYFUNCTION("""COMPUTED_VALUE"""),"NMAX 155CC BLACK GOLD-2 PHUKET 4685")</f>
        <v>NMAX 155CC BLACK GOLD-2 PHUKET 4685</v>
      </c>
      <c r="D14" s="198" t="str">
        <f>IFERROR(__xludf.DUMMYFUNCTION("""COMPUTED_VALUE"""),"FALSE")</f>
        <v>FALSE</v>
      </c>
      <c r="E14" s="198" t="str">
        <f>IFERROR(__xludf.DUMMYFUNCTION("""COMPUTED_VALUE"""),"FALSE")</f>
        <v>FALSE</v>
      </c>
      <c r="F14" s="198" t="str">
        <f>IFERROR(__xludf.DUMMYFUNCTION("""COMPUTED_VALUE"""),"NMAX 155CC GREY GOLD PHUKET 6908")</f>
        <v>NMAX 155CC GREY GOLD PHUKET 6908</v>
      </c>
      <c r="J14" s="184" t="str">
        <f>IFERROR(__xludf.DUMMYFUNCTION("""COMPUTED_VALUE"""),"NMAX 155CC |  дней: 10 стоимость: 3067  (Скидка за срок 9%, 307 в день), депозит: 3 000 бат")</f>
        <v>NMAX 155CC |  дней: 10 стоимость: 3067  (Скидка за срок 9%, 307 в день), депозит: 3 000 бат</v>
      </c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</row>
    <row r="15">
      <c r="A15" s="201" t="str">
        <f>IFERROR(__xludf.DUMMYFUNCTION("""COMPUTED_VALUE"""),"NMAX 155CC BLACK GOLD-3 PHUKET 7530")</f>
        <v>NMAX 155CC BLACK GOLD-3 PHUKET 7530</v>
      </c>
      <c r="D15" s="198" t="str">
        <f>IFERROR(__xludf.DUMMYFUNCTION("""COMPUTED_VALUE"""),"FALSE")</f>
        <v>FALSE</v>
      </c>
      <c r="E15" s="198" t="str">
        <f>IFERROR(__xludf.DUMMYFUNCTION("""COMPUTED_VALUE"""),"FALSE")</f>
        <v>FALSE</v>
      </c>
      <c r="F15" s="201" t="str">
        <f>IFERROR(__xludf.DUMMYFUNCTION("""COMPUTED_VALUE"""),"NMAX 155CC RACE PHUKET 7532")</f>
        <v>NMAX 155CC RACE PHUKET 7532</v>
      </c>
      <c r="J15" s="184" t="str">
        <f>IFERROR(__xludf.DUMMYFUNCTION("""COMPUTED_VALUE"""),"NMAX 155CC |  дней: 10 стоимость: 3067  (Скидка за срок 9%, 307 в день), депозит: 3 000 бат")</f>
        <v>NMAX 155CC |  дней: 10 стоимость: 3067  (Скидка за срок 9%, 307 в день), депозит: 3 000 бат</v>
      </c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</row>
    <row r="16">
      <c r="A16" s="201" t="str">
        <f>IFERROR(__xludf.DUMMYFUNCTION("""COMPUTED_VALUE"""),"NMAX 155CC BLACK GREEN PHUKET 4253")</f>
        <v>NMAX 155CC BLACK GREEN PHUKET 4253</v>
      </c>
      <c r="D16" s="198" t="str">
        <f>IFERROR(__xludf.DUMMYFUNCTION("""COMPUTED_VALUE"""),"FALSE")</f>
        <v>FALSE</v>
      </c>
      <c r="E16" s="198" t="str">
        <f>IFERROR(__xludf.DUMMYFUNCTION("""COMPUTED_VALUE"""),"FALSE")</f>
        <v>FALSE</v>
      </c>
      <c r="F16" s="201" t="str">
        <f>IFERROR(__xludf.DUMMYFUNCTION("""COMPUTED_VALUE"""),"NMAX 155CC RED WHITE PHUKET 9548")</f>
        <v>NMAX 155CC RED WHITE PHUKET 9548</v>
      </c>
      <c r="J16" s="184" t="str">
        <f>IFERROR(__xludf.DUMMYFUNCTION("""COMPUTED_VALUE"""),"NMAX 155CC |  дней: 10 стоимость: 3067  (Скидка за срок 9%, 307 в день), депозит: 3 000 бат")</f>
        <v>NMAX 155CC |  дней: 10 стоимость: 3067  (Скидка за срок 9%, 307 в день), депозит: 3 000 бат</v>
      </c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</row>
    <row r="17">
      <c r="A17" s="201" t="str">
        <f>IFERROR(__xludf.DUMMYFUNCTION("""COMPUTED_VALUE"""),"NMAX 155CC BLACK PHUKET 8952")</f>
        <v>NMAX 155CC BLACK PHUKET 8952</v>
      </c>
      <c r="D17" s="198" t="str">
        <f>IFERROR(__xludf.DUMMYFUNCTION("""COMPUTED_VALUE"""),"FALSE")</f>
        <v>FALSE</v>
      </c>
      <c r="E17" s="198" t="str">
        <f>IFERROR(__xludf.DUMMYFUNCTION("""COMPUTED_VALUE"""),"FALSE")</f>
        <v>FALSE</v>
      </c>
      <c r="F17" s="201" t="str">
        <f>IFERROR(__xludf.DUMMYFUNCTION("""COMPUTED_VALUE"""),"VULCAN 650CC S PHUKET 5065")</f>
        <v>VULCAN 650CC S PHUKET 5065</v>
      </c>
      <c r="J17" s="184" t="str">
        <f>IFERROR(__xludf.DUMMYFUNCTION("""COMPUTED_VALUE"""),"VULCAN 650CC |  дней: 10 стоимость: 13141  (Скидка за срок 14%, 1314 в день), депозит: 20 000 бат")</f>
        <v>VULCAN 650CC |  дней: 10 стоимость: 13141  (Скидка за срок 14%, 1314 в день), депозит: 20 000 бат</v>
      </c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</row>
    <row r="18">
      <c r="A18" s="201" t="str">
        <f>IFERROR(__xludf.DUMMYFUNCTION("""COMPUTED_VALUE"""),"NMAX 155CC GREEN-B PHUKET 4957")</f>
        <v>NMAX 155CC GREEN-B PHUKET 4957</v>
      </c>
      <c r="D18" s="198" t="str">
        <f>IFERROR(__xludf.DUMMYFUNCTION("""COMPUTED_VALUE"""),"TRUE")</f>
        <v>TRUE</v>
      </c>
      <c r="E18" s="198" t="str">
        <f>IFERROR(__xludf.DUMMYFUNCTION("""COMPUTED_VALUE"""),"TRUE")</f>
        <v>TRUE</v>
      </c>
      <c r="F18" s="198" t="str">
        <f>IFERROR(__xludf.DUMMYFUNCTION("""COMPUTED_VALUE"""),"XMAX 300CC NEW RED GLOSS BKK 5709")</f>
        <v>XMAX 300CC NEW RED GLOSS BKK 5709</v>
      </c>
      <c r="J18" s="184" t="str">
        <f>IFERROR(__xludf.DUMMYFUNCTION("""COMPUTED_VALUE"""),"XMAX 300CC НОВОЕ ПОКОЛЕНИЕ |  дней: 10 стоимость: 6406  (Скидка за срок 9%, 641 в день), депозит: 7 000 бат")</f>
        <v>XMAX 300CC НОВОЕ ПОКОЛЕНИЕ |  дней: 10 стоимость: 6406  (Скидка за срок 9%, 641 в день), депозит: 7 000 бат</v>
      </c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</row>
    <row r="19">
      <c r="A19" s="198" t="str">
        <f>IFERROR(__xludf.DUMMYFUNCTION("""COMPUTED_VALUE"""),"NMAX 155CC GREY GOLD PHUKET 6908")</f>
        <v>NMAX 155CC GREY GOLD PHUKET 6908</v>
      </c>
      <c r="D19" s="198" t="str">
        <f>IFERROR(__xludf.DUMMYFUNCTION("""COMPUTED_VALUE"""),"TRUE")</f>
        <v>TRUE</v>
      </c>
      <c r="E19" s="198" t="str">
        <f>IFERROR(__xludf.DUMMYFUNCTION("""COMPUTED_VALUE"""),"FALSE")</f>
        <v>FALSE</v>
      </c>
      <c r="F19" s="201" t="str">
        <f>IFERROR(__xludf.DUMMYFUNCTION("""COMPUTED_VALUE"""),"XMAX 300CC BLUE PHUKET 5773")</f>
        <v>XMAX 300CC BLUE PHUKET 5773</v>
      </c>
      <c r="J19" s="184" t="str">
        <f>IFERROR(__xludf.DUMMYFUNCTION("""COMPUTED_VALUE"""),"XMAX 300CC |  дней: 10 стоимость: 5396  (Скидка за срок 9%, 540 в день), депозит: 5 000 бат")</f>
        <v>XMAX 300CC |  дней: 10 стоимость: 5396  (Скидка за срок 9%, 540 в день), депозит: 5 000 бат</v>
      </c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</row>
    <row r="20">
      <c r="A20" s="201" t="str">
        <f>IFERROR(__xludf.DUMMYFUNCTION("""COMPUTED_VALUE"""),"NMAX 155CC GREY PHUKET 5960")</f>
        <v>NMAX 155CC GREY PHUKET 5960</v>
      </c>
      <c r="D20" s="198" t="str">
        <f>IFERROR(__xludf.DUMMYFUNCTION("""COMPUTED_VALUE"""),"TRUE")</f>
        <v>TRUE</v>
      </c>
      <c r="E20" s="198" t="str">
        <f>IFERROR(__xludf.DUMMYFUNCTION("""COMPUTED_VALUE"""),"FALSE")</f>
        <v>FALSE</v>
      </c>
      <c r="F20" s="201" t="str">
        <f>IFERROR(__xludf.DUMMYFUNCTION("""COMPUTED_VALUE"""),"XMAX 300CC GREEN PHUKET 4248")</f>
        <v>XMAX 300CC GREEN PHUKET 4248</v>
      </c>
      <c r="J20" s="184" t="str">
        <f>IFERROR(__xludf.DUMMYFUNCTION("""COMPUTED_VALUE"""),"XMAX 300CC |  дней: 10 стоимость: 5396  (Скидка за срок 9%, 540 в день), депозит: 5 000 бат")</f>
        <v>XMAX 300CC |  дней: 10 стоимость: 5396  (Скидка за срок 9%, 540 в день), депозит: 5 000 бат</v>
      </c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</row>
    <row r="21">
      <c r="A21" s="201" t="str">
        <f>IFERROR(__xludf.DUMMYFUNCTION("""COMPUTED_VALUE"""),"NMAX 155CC RACE PHUKET 7532")</f>
        <v>NMAX 155CC RACE PHUKET 7532</v>
      </c>
      <c r="D21" s="198" t="str">
        <f>IFERROR(__xludf.DUMMYFUNCTION("""COMPUTED_VALUE"""),"TRUE")</f>
        <v>TRUE</v>
      </c>
      <c r="E21" s="198" t="str">
        <f>IFERROR(__xludf.DUMMYFUNCTION("""COMPUTED_VALUE"""),"FALSE")</f>
        <v>FALSE</v>
      </c>
      <c r="F21" s="201" t="str">
        <f>IFERROR(__xludf.DUMMYFUNCTION("""COMPUTED_VALUE"""),"XMAX 300CC GREY PHUKET 4246")</f>
        <v>XMAX 300CC GREY PHUKET 4246</v>
      </c>
      <c r="J21" s="184" t="str">
        <f>IFERROR(__xludf.DUMMYFUNCTION("""COMPUTED_VALUE"""),"XMAX 300CC |  дней: 10 стоимость: 5396  (Скидка за срок 9%, 540 в день), депозит: 5 000 бат")</f>
        <v>XMAX 300CC |  дней: 10 стоимость: 5396  (Скидка за срок 9%, 540 в день), депозит: 5 000 бат</v>
      </c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</row>
    <row r="22">
      <c r="A22" s="201" t="str">
        <f>IFERROR(__xludf.DUMMYFUNCTION("""COMPUTED_VALUE"""),"NMAX 155CC RED WHITE PHUKET 9548")</f>
        <v>NMAX 155CC RED WHITE PHUKET 9548</v>
      </c>
      <c r="D22" s="198" t="str">
        <f>IFERROR(__xludf.DUMMYFUNCTION("""COMPUTED_VALUE"""),"FALSE")</f>
        <v>FALSE</v>
      </c>
      <c r="E22" s="198" t="str">
        <f>IFERROR(__xludf.DUMMYFUNCTION("""COMPUTED_VALUE"""),"FALSE")</f>
        <v>FALSE</v>
      </c>
      <c r="F22" s="201" t="str">
        <f>IFERROR(__xludf.DUMMYFUNCTION("""COMPUTED_VALUE"""),"XSR 155СС BLACK PHUKET 8949")</f>
        <v>XSR 155СС BLACK PHUKET 8949</v>
      </c>
      <c r="J22" s="184" t="str">
        <f>IFERROR(__xludf.DUMMYFUNCTION("""COMPUTED_VALUE"""),"XSR 155CC |  дней: 10 стоимость: 4568 (Скидка за срок 9%, 457 в день), депозит: 7 000 бат")</f>
        <v>XSR 155CC |  дней: 10 стоимость: 4568 (Скидка за срок 9%, 457 в день), депозит: 7 000 бат</v>
      </c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</row>
    <row r="23">
      <c r="A23" s="201" t="str">
        <f>IFERROR(__xludf.DUMMYFUNCTION("""COMPUTED_VALUE"""),"VULCAN 650CC S PHUKET 5065")</f>
        <v>VULCAN 650CC S PHUKET 5065</v>
      </c>
      <c r="D23" s="198" t="str">
        <f>IFERROR(__xludf.DUMMYFUNCTION("""COMPUTED_VALUE"""),"FALSE")</f>
        <v>FALSE</v>
      </c>
      <c r="E23" s="198" t="str">
        <f>IFERROR(__xludf.DUMMYFUNCTION("""COMPUTED_VALUE"""),"FALSE")</f>
        <v>FALSE</v>
      </c>
      <c r="F23" s="201" t="str">
        <f>IFERROR(__xludf.DUMMYFUNCTION("""COMPUTED_VALUE"""),"XSR 155СС GREEN")</f>
        <v>XSR 155СС GREEN</v>
      </c>
      <c r="J23" s="184" t="str">
        <f>IFERROR(__xludf.DUMMYFUNCTION("""COMPUTED_VALUE"""),"XSR 155CC |  дней: 10 стоимость: 4568 (Скидка за срок 9%, 457 в день), депозит: 7 000 бат")</f>
        <v>XSR 155CC |  дней: 10 стоимость: 4568 (Скидка за срок 9%, 457 в день), депозит: 7 000 бат</v>
      </c>
      <c r="K23" s="184"/>
      <c r="L23" s="203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</row>
    <row r="24">
      <c r="A24" s="198" t="str">
        <f>IFERROR(__xludf.DUMMYFUNCTION("""COMPUTED_VALUE"""),"XMAX 300CC NEW RED GLOSS BKK 5709")</f>
        <v>XMAX 300CC NEW RED GLOSS BKK 5709</v>
      </c>
      <c r="D24" s="198" t="str">
        <f>IFERROR(__xludf.DUMMYFUNCTION("""COMPUTED_VALUE"""),"TRUE")</f>
        <v>TRUE</v>
      </c>
      <c r="E24" s="198" t="str">
        <f>IFERROR(__xludf.DUMMYFUNCTION("""COMPUTED_VALUE"""),"TRUE")</f>
        <v>TRUE</v>
      </c>
      <c r="F24" s="198" t="str">
        <f>IFERROR(__xludf.DUMMYFUNCTION("""COMPUTED_VALUE"""),"XMAX 300CC NEW BLACK PHUKET 8969")</f>
        <v>XMAX 300CC NEW BLACK PHUKET 8969</v>
      </c>
      <c r="J24" s="184" t="str">
        <f>IFERROR(__xludf.DUMMYFUNCTION("""COMPUTED_VALUE"""),"XMAX 300CC НОВОЕ ПОКОЛЕНИЕ |  дней: 10 стоимость: 6406  (Скидка за срок 9%, 641 в день), депозит: 7 000 бат")</f>
        <v>XMAX 300CC НОВОЕ ПОКОЛЕНИЕ |  дней: 10 стоимость: 6406  (Скидка за срок 9%, 641 в день), депозит: 7 000 бат</v>
      </c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</row>
    <row r="25">
      <c r="A25" s="201" t="str">
        <f>IFERROR(__xludf.DUMMYFUNCTION("""COMPUTED_VALUE"""),"XMAX 300CC BLUE PHUKET 5773")</f>
        <v>XMAX 300CC BLUE PHUKET 5773</v>
      </c>
      <c r="D25" s="198" t="str">
        <f>IFERROR(__xludf.DUMMYFUNCTION("""COMPUTED_VALUE"""),"TRUE")</f>
        <v>TRUE</v>
      </c>
      <c r="E25" s="198" t="str">
        <f>IFERROR(__xludf.DUMMYFUNCTION("""COMPUTED_VALUE"""),"TRUE")</f>
        <v>TRUE</v>
      </c>
      <c r="F25" s="198" t="str">
        <f>IFERROR(__xludf.DUMMYFUNCTION("""COMPUTED_VALUE"""),"XMAX 300CC NEW BLUE PHUKET 1813")</f>
        <v>XMAX 300CC NEW BLUE PHUKET 1813</v>
      </c>
      <c r="J25" s="184" t="str">
        <f>IFERROR(__xludf.DUMMYFUNCTION("""COMPUTED_VALUE"""),"XMAX 300CC НОВОЕ ПОКОЛЕНИЕ |  дней: 10 стоимость: 6406  (Скидка за срок 9%, 641 в день), депозит: 7 000 бат")</f>
        <v>XMAX 300CC НОВОЕ ПОКОЛЕНИЕ |  дней: 10 стоимость: 6406  (Скидка за срок 9%, 641 в день), депозит: 7 000 бат</v>
      </c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</row>
    <row r="26">
      <c r="A26" s="201" t="str">
        <f>IFERROR(__xludf.DUMMYFUNCTION("""COMPUTED_VALUE"""),"XMAX 300CC GREEN PHUKET 4248")</f>
        <v>XMAX 300CC GREEN PHUKET 4248</v>
      </c>
      <c r="D26" s="198" t="str">
        <f>IFERROR(__xludf.DUMMYFUNCTION("""COMPUTED_VALUE"""),"FALSE")</f>
        <v>FALSE</v>
      </c>
      <c r="E26" s="198" t="str">
        <f>IFERROR(__xludf.DUMMYFUNCTION("""COMPUTED_VALUE"""),"FALSE")</f>
        <v>FALSE</v>
      </c>
      <c r="F26" s="198" t="str">
        <f>IFERROR(__xludf.DUMMYFUNCTION("""COMPUTED_VALUE"""),"ADV 350CC DARK GREY BANGKOK 6895")</f>
        <v>ADV 350CC DARK GREY BANGKOK 6895</v>
      </c>
      <c r="J26" s="184" t="str">
        <f>IFERROR(__xludf.DUMMYFUNCTION("""COMPUTED_VALUE"""),"ADV 350CC |  дней: 10 стоимость: 6816  (Скидка за срок 9%, 682 в день), депозит: 7 000 бат")</f>
        <v>ADV 350CC |  дней: 10 стоимость: 6816  (Скидка за срок 9%, 682 в день), депозит: 7 000 бат</v>
      </c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</row>
    <row r="27">
      <c r="A27" s="201" t="str">
        <f>IFERROR(__xludf.DUMMYFUNCTION("""COMPUTED_VALUE"""),"XMAX 300CC GREY PHUKET 4246")</f>
        <v>XMAX 300CC GREY PHUKET 4246</v>
      </c>
      <c r="D27" s="198" t="str">
        <f>IFERROR(__xludf.DUMMYFUNCTION("""COMPUTED_VALUE"""),"TRUE")</f>
        <v>TRUE</v>
      </c>
      <c r="E27" s="198" t="str">
        <f>IFERROR(__xludf.DUMMYFUNCTION("""COMPUTED_VALUE"""),"TRUE")</f>
        <v>TRUE</v>
      </c>
      <c r="F27" s="198" t="str">
        <f>IFERROR(__xludf.DUMMYFUNCTION("""COMPUTED_VALUE"""),"XMAX 300CC NEW RED GLOSS 2 PHUKET 4729")</f>
        <v>XMAX 300CC NEW RED GLOSS 2 PHUKET 4729</v>
      </c>
      <c r="J27" s="184" t="str">
        <f>IFERROR(__xludf.DUMMYFUNCTION("""COMPUTED_VALUE"""),"XMAX 300CC НОВОЕ ПОКОЛЕНИЕ |  дней: 10 стоимость: 6406  (Скидка за срок 9%, 641 в день), депозит: 7 000 бат")</f>
        <v>XMAX 300CC НОВОЕ ПОКОЛЕНИЕ |  дней: 10 стоимость: 6406  (Скидка за срок 9%, 641 в день), депозит: 7 000 бат</v>
      </c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</row>
    <row r="28">
      <c r="A28" s="201" t="str">
        <f>IFERROR(__xludf.DUMMYFUNCTION("""COMPUTED_VALUE"""),"XSR 155СС BLACK PHUKET 8949")</f>
        <v>XSR 155СС BLACK PHUKET 8949</v>
      </c>
      <c r="D28" s="198" t="str">
        <f>IFERROR(__xludf.DUMMYFUNCTION("""COMPUTED_VALUE"""),"TRUE")</f>
        <v>TRUE</v>
      </c>
      <c r="E28" s="198" t="str">
        <f>IFERROR(__xludf.DUMMYFUNCTION("""COMPUTED_VALUE"""),"TRUE")</f>
        <v>TRUE</v>
      </c>
      <c r="F28" s="198" t="str">
        <f>IFERROR(__xludf.DUMMYFUNCTION("""COMPUTED_VALUE"""),"XMAX 300CC NEW BROWN BANGKOK 9315")</f>
        <v>XMAX 300CC NEW BROWN BANGKOK 9315</v>
      </c>
      <c r="J28" s="184" t="str">
        <f>IFERROR(__xludf.DUMMYFUNCTION("""COMPUTED_VALUE"""),"XMAX 300CC НОВОЕ ПОКОЛЕНИЕ |  дней: 10 стоимость: 6406  (Скидка за срок 9%, 641 в день), депозит: 7 000 бат")</f>
        <v>XMAX 300CC НОВОЕ ПОКОЛЕНИЕ |  дней: 10 стоимость: 6406  (Скидка за срок 9%, 641 в день), депозит: 7 000 бат</v>
      </c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</row>
    <row r="29">
      <c r="A29" s="201" t="str">
        <f>IFERROR(__xludf.DUMMYFUNCTION("""COMPUTED_VALUE"""),"XSR 155СС GREEN")</f>
        <v>XSR 155СС GREEN</v>
      </c>
      <c r="D29" s="198" t="str">
        <f>IFERROR(__xludf.DUMMYFUNCTION("""COMPUTED_VALUE"""),"FALSE")</f>
        <v>FALSE</v>
      </c>
      <c r="E29" s="198" t="str">
        <f>IFERROR(__xludf.DUMMYFUNCTION("""COMPUTED_VALUE"""),"FALSE")</f>
        <v>FALSE</v>
      </c>
      <c r="F29" s="198" t="str">
        <f>IFERROR(__xludf.DUMMYFUNCTION("""COMPUTED_VALUE"""),"ADV 350CC RED BKK 9890")</f>
        <v>ADV 350CC RED BKK 9890</v>
      </c>
      <c r="J29" s="184" t="str">
        <f>IFERROR(__xludf.DUMMYFUNCTION("""COMPUTED_VALUE"""),"ADV 350CC |  дней: 10 стоимость: 6816  (Скидка за срок 9%, 682 в день), депозит: 7 000 бат")</f>
        <v>ADV 350CC |  дней: 10 стоимость: 6816  (Скидка за срок 9%, 682 в день), депозит: 7 000 бат</v>
      </c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</row>
    <row r="30">
      <c r="A30" s="198" t="str">
        <f>IFERROR(__xludf.DUMMYFUNCTION("""COMPUTED_VALUE"""),"XMAX 300CC NEW BLACK PHUKET 8969")</f>
        <v>XMAX 300CC NEW BLACK PHUKET 8969</v>
      </c>
      <c r="D30" s="198" t="str">
        <f>IFERROR(__xludf.DUMMYFUNCTION("""COMPUTED_VALUE"""),"FALSE")</f>
        <v>FALSE</v>
      </c>
      <c r="E30" s="198" t="str">
        <f>IFERROR(__xludf.DUMMYFUNCTION("""COMPUTED_VALUE"""),"FALSE")</f>
        <v>FALSE</v>
      </c>
      <c r="F30" s="198" t="str">
        <f>IFERROR(__xludf.DUMMYFUNCTION("""COMPUTED_VALUE"""),"XADV 750CC BLACK BKK 3902")</f>
        <v>XADV 750CC BLACK BKK 3902</v>
      </c>
      <c r="J30" s="184" t="str">
        <f>IFERROR(__xludf.DUMMYFUNCTION("""COMPUTED_VALUE"""),"XADV 750CC |  дней: 10 стоимость: 19028  (Скидка за срок 9%, 1903 в день), депозит: 25 000 бат")</f>
        <v>XADV 750CC |  дней: 10 стоимость: 19028  (Скидка за срок 9%, 1903 в день), депозит: 25 000 бат</v>
      </c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</row>
    <row r="31">
      <c r="A31" s="198" t="str">
        <f>IFERROR(__xludf.DUMMYFUNCTION("""COMPUTED_VALUE"""),"XMAX 300CC NEW BLUE PHUKET 1813")</f>
        <v>XMAX 300CC NEW BLUE PHUKET 1813</v>
      </c>
      <c r="D31" s="198" t="str">
        <f>IFERROR(__xludf.DUMMYFUNCTION("""COMPUTED_VALUE"""),"TRUE")</f>
        <v>TRUE</v>
      </c>
      <c r="E31" s="198" t="str">
        <f>IFERROR(__xludf.DUMMYFUNCTION("""COMPUTED_VALUE"""),"TRUE")</f>
        <v>TRUE</v>
      </c>
      <c r="F31" s="198" t="str">
        <f>IFERROR(__xludf.DUMMYFUNCTION("""COMPUTED_VALUE"""),"XMAX 300CC NEW BLUE-2 PHUKET 4725")</f>
        <v>XMAX 300CC NEW BLUE-2 PHUKET 4725</v>
      </c>
      <c r="J31" s="184" t="str">
        <f>IFERROR(__xludf.DUMMYFUNCTION("""COMPUTED_VALUE"""),"XMAX 300CC НОВОЕ ПОКОЛЕНИЕ |  дней: 10 стоимость: 6406  (Скидка за срок 9%, 641 в день), депозит: 7 000 бат")</f>
        <v>XMAX 300CC НОВОЕ ПОКОЛЕНИЕ |  дней: 10 стоимость: 6406  (Скидка за срок 9%, 641 в день), депозит: 7 000 бат</v>
      </c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</row>
    <row r="32">
      <c r="A32" s="198" t="str">
        <f>IFERROR(__xludf.DUMMYFUNCTION("""COMPUTED_VALUE"""),"ADV 350CC DARK GREY BANGKOK 6895")</f>
        <v>ADV 350CC DARK GREY BANGKOK 6895</v>
      </c>
      <c r="D32" s="198" t="str">
        <f>IFERROR(__xludf.DUMMYFUNCTION("""COMPUTED_VALUE"""),"FALSE")</f>
        <v>FALSE</v>
      </c>
      <c r="E32" s="198" t="str">
        <f>IFERROR(__xludf.DUMMYFUNCTION("""COMPUTED_VALUE"""),"FALSE")</f>
        <v>FALSE</v>
      </c>
      <c r="F32" s="198" t="str">
        <f>IFERROR(__xludf.DUMMYFUNCTION("""COMPUTED_VALUE"""),"CB 650R BLACK PHUKET 3503")</f>
        <v>CB 650R BLACK PHUKET 3503</v>
      </c>
      <c r="J32" s="184" t="str">
        <f>IFERROR(__xludf.DUMMYFUNCTION("""COMPUTED_VALUE"""),"CB 650R |  дней: 10 стоимость: 13141  (Скидка за срок 14%, 1314 в день), депозит: 20 000 бат")</f>
        <v>CB 650R |  дней: 10 стоимость: 13141  (Скидка за срок 14%, 1314 в день), депозит: 20 000 бат</v>
      </c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</row>
    <row r="33">
      <c r="A33" s="198" t="str">
        <f>IFERROR(__xludf.DUMMYFUNCTION("""COMPUTED_VALUE"""),"XMAX 300CC NEW RED GLOSS 2 PHUKET 4729")</f>
        <v>XMAX 300CC NEW RED GLOSS 2 PHUKET 4729</v>
      </c>
      <c r="D33" s="198" t="str">
        <f>IFERROR(__xludf.DUMMYFUNCTION("""COMPUTED_VALUE"""),"FALSE")</f>
        <v>FALSE</v>
      </c>
      <c r="E33" s="198" t="str">
        <f>IFERROR(__xludf.DUMMYFUNCTION("""COMPUTED_VALUE"""),"FALSE")</f>
        <v>FALSE</v>
      </c>
      <c r="F33" s="198" t="str">
        <f>IFERROR(__xludf.DUMMYFUNCTION("""COMPUTED_VALUE"""),"XADV 750CC GREY BKK 2478")</f>
        <v>XADV 750CC GREY BKK 2478</v>
      </c>
      <c r="J33" s="184" t="str">
        <f>IFERROR(__xludf.DUMMYFUNCTION("""COMPUTED_VALUE"""),"XADV 750CC |  дней: 10 стоимость: 19028  (Скидка за срок 9%, 1903 в день), депозит: 25 000 бат")</f>
        <v>XADV 750CC |  дней: 10 стоимость: 19028  (Скидка за срок 9%, 1903 в день), депозит: 25 000 бат</v>
      </c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</row>
    <row r="34">
      <c r="A34" s="198" t="str">
        <f>IFERROR(__xludf.DUMMYFUNCTION("""COMPUTED_VALUE"""),"XMAX 300CC NEW BROWN BANGKOK 9315")</f>
        <v>XMAX 300CC NEW BROWN BANGKOK 9315</v>
      </c>
      <c r="D34" s="198" t="str">
        <f>IFERROR(__xludf.DUMMYFUNCTION("""COMPUTED_VALUE"""),"FALSE")</f>
        <v>FALSE</v>
      </c>
      <c r="E34" s="198" t="str">
        <f>IFERROR(__xludf.DUMMYFUNCTION("""COMPUTED_VALUE"""),"FALSE")</f>
        <v>FALSE</v>
      </c>
      <c r="F34" s="198" t="str">
        <f>IFERROR(__xludf.DUMMYFUNCTION("""COMPUTED_VALUE"""),"ADV 350CC LIGHT GREY HKT 6004")</f>
        <v>ADV 350CC LIGHT GREY HKT 6004</v>
      </c>
      <c r="J34" s="184" t="str">
        <f>IFERROR(__xludf.DUMMYFUNCTION("""COMPUTED_VALUE"""),"ADV 350CC |  дней: 10 стоимость: 6816  (Скидка за срок 9%, 682 в день), депозит: 7 000 бат")</f>
        <v>ADV 350CC |  дней: 10 стоимость: 6816  (Скидка за срок 9%, 682 в день), депозит: 7 000 бат</v>
      </c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</row>
    <row r="35">
      <c r="A35" s="198" t="str">
        <f>IFERROR(__xludf.DUMMYFUNCTION("""COMPUTED_VALUE"""),"ADV 350CC RED BKK 9890")</f>
        <v>ADV 350CC RED BKK 9890</v>
      </c>
      <c r="D35" s="198" t="str">
        <f>IFERROR(__xludf.DUMMYFUNCTION("""COMPUTED_VALUE"""),"FALSE")</f>
        <v>FALSE</v>
      </c>
      <c r="E35" s="198" t="str">
        <f>IFERROR(__xludf.DUMMYFUNCTION("""COMPUTED_VALUE"""),"FALSE")</f>
        <v>FALSE</v>
      </c>
      <c r="F35" s="198" t="str">
        <f>IFERROR(__xludf.DUMMYFUNCTION("""COMPUTED_VALUE"""),"ADV 350CC BLACK GOLD PHUKET 372")</f>
        <v>ADV 350CC BLACK GOLD PHUKET 372</v>
      </c>
      <c r="J35" s="184" t="str">
        <f>IFERROR(__xludf.DUMMYFUNCTION("""COMPUTED_VALUE"""),"ADV 350CC |  дней: 10 стоимость: 6816  (Скидка за срок 9%, 682 в день), депозит: 7 000 бат")</f>
        <v>ADV 350CC |  дней: 10 стоимость: 6816  (Скидка за срок 9%, 682 в день), депозит: 7 000 бат</v>
      </c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</row>
    <row r="36">
      <c r="A36" s="198" t="str">
        <f>IFERROR(__xludf.DUMMYFUNCTION("""COMPUTED_VALUE"""),"XADV 750CC BLACK BKK 3902")</f>
        <v>XADV 750CC BLACK BKK 3902</v>
      </c>
      <c r="D36" s="198" t="str">
        <f>IFERROR(__xludf.DUMMYFUNCTION("""COMPUTED_VALUE"""),"TRUE")</f>
        <v>TRUE</v>
      </c>
      <c r="E36" s="198" t="str">
        <f>IFERROR(__xludf.DUMMYFUNCTION("""COMPUTED_VALUE"""),"TRUE")</f>
        <v>TRUE</v>
      </c>
      <c r="F36" s="198" t="str">
        <f>IFERROR(__xludf.DUMMYFUNCTION("""COMPUTED_VALUE"""),"XMAX 300CC NEW BLUE-3 PHUKET 4724")</f>
        <v>XMAX 300CC NEW BLUE-3 PHUKET 4724</v>
      </c>
      <c r="J36" s="184" t="str">
        <f>IFERROR(__xludf.DUMMYFUNCTION("""COMPUTED_VALUE"""),"XMAX 300CC НОВОЕ ПОКОЛЕНИЕ |  дней: 10 стоимость: 6406  (Скидка за срок 9%, 641 в день), депозит: 7 000 бат")</f>
        <v>XMAX 300CC НОВОЕ ПОКОЛЕНИЕ |  дней: 10 стоимость: 6406  (Скидка за срок 9%, 641 в день), депозит: 7 000 бат</v>
      </c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</row>
    <row r="37">
      <c r="A37" s="198" t="str">
        <f>IFERROR(__xludf.DUMMYFUNCTION("""COMPUTED_VALUE"""),"XMAX 300CC NEW BLUE-2 PHUKET 4725")</f>
        <v>XMAX 300CC NEW BLUE-2 PHUKET 4725</v>
      </c>
      <c r="D37" s="198" t="str">
        <f>IFERROR(__xludf.DUMMYFUNCTION("""COMPUTED_VALUE"""),"FALSE")</f>
        <v>FALSE</v>
      </c>
      <c r="E37" s="198" t="str">
        <f>IFERROR(__xludf.DUMMYFUNCTION("""COMPUTED_VALUE"""),"FALSE")</f>
        <v>FALSE</v>
      </c>
      <c r="F37" s="198"/>
      <c r="J37" s="184" t="str">
        <f>IFERROR(__xludf.DUMMYFUNCTION("""COMPUTED_VALUE"""),"")</f>
        <v/>
      </c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</row>
    <row r="38">
      <c r="A38" s="198" t="str">
        <f>IFERROR(__xludf.DUMMYFUNCTION("""COMPUTED_VALUE"""),"CB 650R BLACK PHUKET 3503")</f>
        <v>CB 650R BLACK PHUKET 3503</v>
      </c>
      <c r="D38" s="198" t="str">
        <f>IFERROR(__xludf.DUMMYFUNCTION("""COMPUTED_VALUE"""),"FALSE")</f>
        <v>FALSE</v>
      </c>
      <c r="E38" s="198" t="str">
        <f>IFERROR(__xludf.DUMMYFUNCTION("""COMPUTED_VALUE"""),"FALSE")</f>
        <v>FALSE</v>
      </c>
      <c r="F38" s="198"/>
      <c r="J38" s="184" t="str">
        <f>IFERROR(__xludf.DUMMYFUNCTION("""COMPUTED_VALUE"""),"")</f>
        <v/>
      </c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</row>
    <row r="39">
      <c r="A39" s="198" t="str">
        <f>IFERROR(__xludf.DUMMYFUNCTION("""COMPUTED_VALUE"""),"XADV 750CC GREY BKK 2478")</f>
        <v>XADV 750CC GREY BKK 2478</v>
      </c>
      <c r="D39" s="198" t="str">
        <f>IFERROR(__xludf.DUMMYFUNCTION("""COMPUTED_VALUE"""),"FALSE")</f>
        <v>FALSE</v>
      </c>
      <c r="E39" s="198" t="str">
        <f>IFERROR(__xludf.DUMMYFUNCTION("""COMPUTED_VALUE"""),"FALSE")</f>
        <v>FALSE</v>
      </c>
      <c r="F39" s="198"/>
      <c r="J39" s="184" t="str">
        <f>IFERROR(__xludf.DUMMYFUNCTION("""COMPUTED_VALUE"""),"")</f>
        <v/>
      </c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</row>
    <row r="40">
      <c r="A40" s="198" t="str">
        <f>IFERROR(__xludf.DUMMYFUNCTION("""COMPUTED_VALUE"""),"ADV 350CC LIGHT GREY HKT 6004")</f>
        <v>ADV 350CC LIGHT GREY HKT 6004</v>
      </c>
      <c r="D40" s="198" t="str">
        <f>IFERROR(__xludf.DUMMYFUNCTION("""COMPUTED_VALUE"""),"FALSE")</f>
        <v>FALSE</v>
      </c>
      <c r="E40" s="198" t="str">
        <f>IFERROR(__xludf.DUMMYFUNCTION("""COMPUTED_VALUE"""),"FALSE")</f>
        <v>FALSE</v>
      </c>
      <c r="F40" s="198"/>
      <c r="J40" s="184" t="str">
        <f>IFERROR(__xludf.DUMMYFUNCTION("""COMPUTED_VALUE"""),"")</f>
        <v/>
      </c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</row>
    <row r="41">
      <c r="A41" s="198" t="str">
        <f>IFERROR(__xludf.DUMMYFUNCTION("""COMPUTED_VALUE"""),"ADV 350CC BLACK GOLD PHUKET 372")</f>
        <v>ADV 350CC BLACK GOLD PHUKET 372</v>
      </c>
      <c r="D41" s="198" t="str">
        <f>IFERROR(__xludf.DUMMYFUNCTION("""COMPUTED_VALUE"""),"FALSE")</f>
        <v>FALSE</v>
      </c>
      <c r="E41" s="198" t="str">
        <f>IFERROR(__xludf.DUMMYFUNCTION("""COMPUTED_VALUE"""),"FALSE")</f>
        <v>FALSE</v>
      </c>
      <c r="F41" s="198"/>
      <c r="J41" s="184" t="str">
        <f>IFERROR(__xludf.DUMMYFUNCTION("""COMPUTED_VALUE"""),"")</f>
        <v/>
      </c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</row>
    <row r="42">
      <c r="A42" s="198" t="str">
        <f>IFERROR(__xludf.DUMMYFUNCTION("""COMPUTED_VALUE"""),"XMAX 300CC NEW BLUE-3 PHUKET 4724")</f>
        <v>XMAX 300CC NEW BLUE-3 PHUKET 4724</v>
      </c>
      <c r="D42" s="198" t="str">
        <f>IFERROR(__xludf.DUMMYFUNCTION("""COMPUTED_VALUE"""),"FALSE")</f>
        <v>FALSE</v>
      </c>
      <c r="E42" s="198" t="str">
        <f>IFERROR(__xludf.DUMMYFUNCTION("""COMPUTED_VALUE"""),"FALSE")</f>
        <v>FALSE</v>
      </c>
      <c r="F42" s="198"/>
      <c r="J42" s="184" t="str">
        <f>IFERROR(__xludf.DUMMYFUNCTION("""COMPUTED_VALUE"""),"")</f>
        <v/>
      </c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</row>
    <row r="43">
      <c r="A43" s="198"/>
      <c r="D43" s="198" t="str">
        <f>IFERROR(__xludf.DUMMYFUNCTION("""COMPUTED_VALUE"""),"FALSE")</f>
        <v>FALSE</v>
      </c>
      <c r="E43" s="198" t="str">
        <f>IFERROR(__xludf.DUMMYFUNCTION("""COMPUTED_VALUE"""),"FALSE")</f>
        <v>FALSE</v>
      </c>
      <c r="F43" s="198"/>
      <c r="J43" s="184" t="str">
        <f>IFERROR(__xludf.DUMMYFUNCTION("""COMPUTED_VALUE"""),"")</f>
        <v/>
      </c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</row>
    <row r="44">
      <c r="A44" s="198"/>
      <c r="D44" s="198" t="str">
        <f>IFERROR(__xludf.DUMMYFUNCTION("""COMPUTED_VALUE"""),"FALSE")</f>
        <v>FALSE</v>
      </c>
      <c r="E44" s="198" t="str">
        <f>IFERROR(__xludf.DUMMYFUNCTION("""COMPUTED_VALUE"""),"FALSE")</f>
        <v>FALSE</v>
      </c>
      <c r="F44" s="198"/>
      <c r="J44" s="184" t="str">
        <f>IFERROR(__xludf.DUMMYFUNCTION("""COMPUTED_VALUE"""),"")</f>
        <v/>
      </c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>
      <c r="A45" s="198"/>
      <c r="D45" s="198" t="str">
        <f>IFERROR(__xludf.DUMMYFUNCTION("""COMPUTED_VALUE"""),"FALSE")</f>
        <v>FALSE</v>
      </c>
      <c r="E45" s="198" t="str">
        <f>IFERROR(__xludf.DUMMYFUNCTION("""COMPUTED_VALUE"""),"FALSE")</f>
        <v>FALSE</v>
      </c>
      <c r="F45" s="198"/>
      <c r="J45" s="184" t="str">
        <f>IFERROR(__xludf.DUMMYFUNCTION("""COMPUTED_VALUE"""),"")</f>
        <v/>
      </c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</row>
    <row r="46">
      <c r="A46" s="198"/>
      <c r="D46" s="198" t="str">
        <f>IFERROR(__xludf.DUMMYFUNCTION("""COMPUTED_VALUE"""),"FALSE")</f>
        <v>FALSE</v>
      </c>
      <c r="E46" s="198" t="str">
        <f>IFERROR(__xludf.DUMMYFUNCTION("""COMPUTED_VALUE"""),"FALSE")</f>
        <v>FALSE</v>
      </c>
      <c r="F46" s="198"/>
      <c r="J46" s="184" t="str">
        <f>IFERROR(__xludf.DUMMYFUNCTION("""COMPUTED_VALUE"""),"")</f>
        <v/>
      </c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>
      <c r="A47" s="198"/>
      <c r="D47" s="198" t="str">
        <f>IFERROR(__xludf.DUMMYFUNCTION("""COMPUTED_VALUE"""),"FALSE")</f>
        <v>FALSE</v>
      </c>
      <c r="E47" s="198" t="str">
        <f>IFERROR(__xludf.DUMMYFUNCTION("""COMPUTED_VALUE"""),"FALSE")</f>
        <v>FALSE</v>
      </c>
      <c r="F47" s="198"/>
      <c r="J47" s="184" t="str">
        <f>IFERROR(__xludf.DUMMYFUNCTION("""COMPUTED_VALUE"""),"")</f>
        <v/>
      </c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>
      <c r="A48" s="198"/>
      <c r="D48" s="198" t="str">
        <f>IFERROR(__xludf.DUMMYFUNCTION("""COMPUTED_VALUE"""),"FALSE")</f>
        <v>FALSE</v>
      </c>
      <c r="E48" s="198" t="str">
        <f>IFERROR(__xludf.DUMMYFUNCTION("""COMPUTED_VALUE"""),"FALSE")</f>
        <v>FALSE</v>
      </c>
      <c r="F48" s="198"/>
      <c r="J48" s="184" t="str">
        <f>IFERROR(__xludf.DUMMYFUNCTION("""COMPUTED_VALUE"""),"")</f>
        <v/>
      </c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</row>
    <row r="49">
      <c r="A49" s="198"/>
      <c r="D49" s="198" t="str">
        <f>IFERROR(__xludf.DUMMYFUNCTION("""COMPUTED_VALUE"""),"FALSE")</f>
        <v>FALSE</v>
      </c>
      <c r="E49" s="198" t="str">
        <f>IFERROR(__xludf.DUMMYFUNCTION("""COMPUTED_VALUE"""),"FALSE")</f>
        <v>FALSE</v>
      </c>
      <c r="F49" s="198"/>
      <c r="J49" s="184" t="str">
        <f>IFERROR(__xludf.DUMMYFUNCTION("""COMPUTED_VALUE"""),"")</f>
        <v/>
      </c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</row>
    <row r="50">
      <c r="A50" s="198"/>
      <c r="D50" s="198" t="str">
        <f>IFERROR(__xludf.DUMMYFUNCTION("""COMPUTED_VALUE"""),"FALSE")</f>
        <v>FALSE</v>
      </c>
      <c r="E50" s="198" t="str">
        <f>IFERROR(__xludf.DUMMYFUNCTION("""COMPUTED_VALUE"""),"FALSE")</f>
        <v>FALSE</v>
      </c>
      <c r="F50" s="198"/>
      <c r="J50" s="184" t="str">
        <f>IFERROR(__xludf.DUMMYFUNCTION("""COMPUTED_VALUE"""),"")</f>
        <v/>
      </c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</row>
    <row r="51">
      <c r="A51" s="198"/>
      <c r="D51" s="198" t="str">
        <f>IFERROR(__xludf.DUMMYFUNCTION("""COMPUTED_VALUE"""),"FALSE")</f>
        <v>FALSE</v>
      </c>
      <c r="E51" s="198" t="str">
        <f>IFERROR(__xludf.DUMMYFUNCTION("""COMPUTED_VALUE"""),"FALSE")</f>
        <v>FALSE</v>
      </c>
      <c r="F51" s="198"/>
      <c r="J51" s="184" t="str">
        <f>IFERROR(__xludf.DUMMYFUNCTION("""COMPUTED_VALUE"""),"")</f>
        <v/>
      </c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>
      <c r="A52" s="198"/>
      <c r="D52" s="198" t="str">
        <f>IFERROR(__xludf.DUMMYFUNCTION("""COMPUTED_VALUE"""),"FALSE")</f>
        <v>FALSE</v>
      </c>
      <c r="E52" s="198" t="str">
        <f>IFERROR(__xludf.DUMMYFUNCTION("""COMPUTED_VALUE"""),"FALSE")</f>
        <v>FALSE</v>
      </c>
      <c r="F52" s="198"/>
      <c r="J52" s="184" t="str">
        <f>IFERROR(__xludf.DUMMYFUNCTION("""COMPUTED_VALUE"""),"")</f>
        <v/>
      </c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>
      <c r="A53" s="198"/>
      <c r="D53" s="198" t="str">
        <f>IFERROR(__xludf.DUMMYFUNCTION("""COMPUTED_VALUE"""),"FALSE")</f>
        <v>FALSE</v>
      </c>
      <c r="E53" s="198" t="str">
        <f>IFERROR(__xludf.DUMMYFUNCTION("""COMPUTED_VALUE"""),"FALSE")</f>
        <v>FALSE</v>
      </c>
      <c r="F53" s="198"/>
      <c r="J53" s="184" t="str">
        <f>IFERROR(__xludf.DUMMYFUNCTION("""COMPUTED_VALUE"""),"")</f>
        <v/>
      </c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>
      <c r="A54" s="198"/>
      <c r="D54" s="198" t="str">
        <f>IFERROR(__xludf.DUMMYFUNCTION("""COMPUTED_VALUE"""),"FALSE")</f>
        <v>FALSE</v>
      </c>
      <c r="E54" s="198" t="str">
        <f>IFERROR(__xludf.DUMMYFUNCTION("""COMPUTED_VALUE"""),"FALSE")</f>
        <v>FALSE</v>
      </c>
      <c r="F54" s="198"/>
      <c r="J54" s="184" t="str">
        <f>IFERROR(__xludf.DUMMYFUNCTION("""COMPUTED_VALUE"""),"")</f>
        <v/>
      </c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</row>
    <row r="55">
      <c r="A55" s="198"/>
      <c r="D55" s="198" t="str">
        <f>IFERROR(__xludf.DUMMYFUNCTION("""COMPUTED_VALUE"""),"FALSE")</f>
        <v>FALSE</v>
      </c>
      <c r="E55" s="198" t="str">
        <f>IFERROR(__xludf.DUMMYFUNCTION("""COMPUTED_VALUE"""),"FALSE")</f>
        <v>FALSE</v>
      </c>
      <c r="F55" s="198"/>
      <c r="J55" s="184" t="str">
        <f>IFERROR(__xludf.DUMMYFUNCTION("""COMPUTED_VALUE"""),"")</f>
        <v/>
      </c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</row>
    <row r="56">
      <c r="A56" s="198"/>
      <c r="D56" s="198" t="str">
        <f>IFERROR(__xludf.DUMMYFUNCTION("""COMPUTED_VALUE"""),"FALSE")</f>
        <v>FALSE</v>
      </c>
      <c r="E56" s="198" t="str">
        <f>IFERROR(__xludf.DUMMYFUNCTION("""COMPUTED_VALUE"""),"FALSE")</f>
        <v>FALSE</v>
      </c>
      <c r="F56" s="198"/>
      <c r="J56" s="184" t="str">
        <f>IFERROR(__xludf.DUMMYFUNCTION("""COMPUTED_VALUE"""),"")</f>
        <v/>
      </c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</row>
    <row r="57">
      <c r="A57" s="198"/>
      <c r="D57" s="198" t="str">
        <f>IFERROR(__xludf.DUMMYFUNCTION("""COMPUTED_VALUE"""),"FALSE")</f>
        <v>FALSE</v>
      </c>
      <c r="E57" s="198" t="str">
        <f>IFERROR(__xludf.DUMMYFUNCTION("""COMPUTED_VALUE"""),"FALSE")</f>
        <v>FALSE</v>
      </c>
      <c r="F57" s="198"/>
      <c r="J57" s="184" t="str">
        <f>IFERROR(__xludf.DUMMYFUNCTION("""COMPUTED_VALUE"""),"")</f>
        <v/>
      </c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</row>
    <row r="58">
      <c r="A58" s="198"/>
      <c r="D58" s="198" t="str">
        <f>IFERROR(__xludf.DUMMYFUNCTION("""COMPUTED_VALUE"""),"FALSE")</f>
        <v>FALSE</v>
      </c>
      <c r="E58" s="198" t="str">
        <f>IFERROR(__xludf.DUMMYFUNCTION("""COMPUTED_VALUE"""),"FALSE")</f>
        <v>FALSE</v>
      </c>
      <c r="F58" s="198"/>
      <c r="J58" s="184" t="str">
        <f>IFERROR(__xludf.DUMMYFUNCTION("""COMPUTED_VALUE"""),"")</f>
        <v/>
      </c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</row>
    <row r="59">
      <c r="A59" s="198"/>
      <c r="D59" s="198" t="str">
        <f>IFERROR(__xludf.DUMMYFUNCTION("""COMPUTED_VALUE"""),"FALSE")</f>
        <v>FALSE</v>
      </c>
      <c r="E59" s="198" t="str">
        <f>IFERROR(__xludf.DUMMYFUNCTION("""COMPUTED_VALUE"""),"FALSE")</f>
        <v>FALSE</v>
      </c>
      <c r="F59" s="198"/>
      <c r="J59" s="184" t="str">
        <f>IFERROR(__xludf.DUMMYFUNCTION("""COMPUTED_VALUE"""),"")</f>
        <v/>
      </c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</row>
    <row r="60">
      <c r="A60" s="198"/>
      <c r="D60" s="198" t="str">
        <f>IFERROR(__xludf.DUMMYFUNCTION("""COMPUTED_VALUE"""),"FALSE")</f>
        <v>FALSE</v>
      </c>
      <c r="E60" s="198" t="str">
        <f>IFERROR(__xludf.DUMMYFUNCTION("""COMPUTED_VALUE"""),"FALSE")</f>
        <v>FALSE</v>
      </c>
      <c r="F60" s="198"/>
      <c r="J60" s="184" t="str">
        <f>IFERROR(__xludf.DUMMYFUNCTION("""COMPUTED_VALUE"""),"")</f>
        <v/>
      </c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</row>
    <row r="61">
      <c r="A61" s="198"/>
      <c r="D61" s="198" t="str">
        <f>IFERROR(__xludf.DUMMYFUNCTION("""COMPUTED_VALUE"""),"FALSE")</f>
        <v>FALSE</v>
      </c>
      <c r="E61" s="198" t="str">
        <f>IFERROR(__xludf.DUMMYFUNCTION("""COMPUTED_VALUE"""),"FALSE")</f>
        <v>FALSE</v>
      </c>
      <c r="F61" s="198"/>
      <c r="J61" s="184" t="str">
        <f>IFERROR(__xludf.DUMMYFUNCTION("""COMPUTED_VALUE"""),"")</f>
        <v/>
      </c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</row>
    <row r="62">
      <c r="A62" s="198"/>
      <c r="D62" s="198" t="str">
        <f>IFERROR(__xludf.DUMMYFUNCTION("""COMPUTED_VALUE"""),"FALSE")</f>
        <v>FALSE</v>
      </c>
      <c r="E62" s="198" t="str">
        <f>IFERROR(__xludf.DUMMYFUNCTION("""COMPUTED_VALUE"""),"FALSE")</f>
        <v>FALSE</v>
      </c>
      <c r="F62" s="198"/>
      <c r="J62" s="184" t="str">
        <f>IFERROR(__xludf.DUMMYFUNCTION("""COMPUTED_VALUE"""),"")</f>
        <v/>
      </c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</row>
    <row r="63">
      <c r="A63" s="198"/>
      <c r="D63" s="198" t="str">
        <f>IFERROR(__xludf.DUMMYFUNCTION("""COMPUTED_VALUE"""),"FALSE")</f>
        <v>FALSE</v>
      </c>
      <c r="E63" s="198" t="str">
        <f>IFERROR(__xludf.DUMMYFUNCTION("""COMPUTED_VALUE"""),"FALSE")</f>
        <v>FALSE</v>
      </c>
      <c r="F63" s="198"/>
      <c r="J63" s="184" t="str">
        <f>IFERROR(__xludf.DUMMYFUNCTION("""COMPUTED_VALUE"""),"")</f>
        <v/>
      </c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</row>
    <row r="64">
      <c r="A64" s="198"/>
      <c r="D64" s="198" t="str">
        <f>IFERROR(__xludf.DUMMYFUNCTION("""COMPUTED_VALUE"""),"FALSE")</f>
        <v>FALSE</v>
      </c>
      <c r="E64" s="198" t="str">
        <f>IFERROR(__xludf.DUMMYFUNCTION("""COMPUTED_VALUE"""),"FALSE")</f>
        <v>FALSE</v>
      </c>
      <c r="F64" s="198"/>
      <c r="J64" s="184" t="str">
        <f>IFERROR(__xludf.DUMMYFUNCTION("""COMPUTED_VALUE"""),"")</f>
        <v/>
      </c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</row>
    <row r="65">
      <c r="A65" s="198"/>
      <c r="D65" s="198" t="str">
        <f>IFERROR(__xludf.DUMMYFUNCTION("""COMPUTED_VALUE"""),"FALSE")</f>
        <v>FALSE</v>
      </c>
      <c r="E65" s="198" t="str">
        <f>IFERROR(__xludf.DUMMYFUNCTION("""COMPUTED_VALUE"""),"FALSE")</f>
        <v>FALSE</v>
      </c>
      <c r="F65" s="198"/>
      <c r="J65" s="184" t="str">
        <f>IFERROR(__xludf.DUMMYFUNCTION("""COMPUTED_VALUE"""),"")</f>
        <v/>
      </c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</row>
    <row r="66">
      <c r="A66" s="198"/>
      <c r="D66" s="198" t="str">
        <f>IFERROR(__xludf.DUMMYFUNCTION("""COMPUTED_VALUE"""),"FALSE")</f>
        <v>FALSE</v>
      </c>
      <c r="E66" s="198" t="str">
        <f>IFERROR(__xludf.DUMMYFUNCTION("""COMPUTED_VALUE"""),"FALSE")</f>
        <v>FALSE</v>
      </c>
      <c r="F66" s="198"/>
      <c r="J66" s="184" t="str">
        <f>IFERROR(__xludf.DUMMYFUNCTION("""COMPUTED_VALUE"""),"")</f>
        <v/>
      </c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</row>
    <row r="67">
      <c r="A67" s="198"/>
      <c r="D67" s="198" t="str">
        <f>IFERROR(__xludf.DUMMYFUNCTION("""COMPUTED_VALUE"""),"FALSE")</f>
        <v>FALSE</v>
      </c>
      <c r="E67" s="198" t="str">
        <f>IFERROR(__xludf.DUMMYFUNCTION("""COMPUTED_VALUE"""),"FALSE")</f>
        <v>FALSE</v>
      </c>
      <c r="F67" s="198"/>
      <c r="J67" s="184" t="str">
        <f>IFERROR(__xludf.DUMMYFUNCTION("""COMPUTED_VALUE"""),"")</f>
        <v/>
      </c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</row>
    <row r="68">
      <c r="A68" s="198"/>
      <c r="D68" s="198" t="str">
        <f>IFERROR(__xludf.DUMMYFUNCTION("""COMPUTED_VALUE"""),"FALSE")</f>
        <v>FALSE</v>
      </c>
      <c r="E68" s="198" t="str">
        <f>IFERROR(__xludf.DUMMYFUNCTION("""COMPUTED_VALUE"""),"FALSE")</f>
        <v>FALSE</v>
      </c>
      <c r="F68" s="198"/>
      <c r="J68" s="184" t="str">
        <f>IFERROR(__xludf.DUMMYFUNCTION("""COMPUTED_VALUE"""),"")</f>
        <v/>
      </c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</row>
    <row r="69">
      <c r="A69" s="198"/>
      <c r="D69" s="198" t="str">
        <f>IFERROR(__xludf.DUMMYFUNCTION("""COMPUTED_VALUE"""),"FALSE")</f>
        <v>FALSE</v>
      </c>
      <c r="E69" s="198" t="str">
        <f>IFERROR(__xludf.DUMMYFUNCTION("""COMPUTED_VALUE"""),"FALSE")</f>
        <v>FALSE</v>
      </c>
      <c r="F69" s="198"/>
      <c r="J69" s="184" t="str">
        <f>IFERROR(__xludf.DUMMYFUNCTION("""COMPUTED_VALUE"""),"")</f>
        <v/>
      </c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</row>
    <row r="70">
      <c r="A70" s="198"/>
      <c r="D70" s="198" t="str">
        <f>IFERROR(__xludf.DUMMYFUNCTION("""COMPUTED_VALUE"""),"FALSE")</f>
        <v>FALSE</v>
      </c>
      <c r="E70" s="198" t="str">
        <f>IFERROR(__xludf.DUMMYFUNCTION("""COMPUTED_VALUE"""),"FALSE")</f>
        <v>FALSE</v>
      </c>
      <c r="F70" s="198"/>
      <c r="J70" s="184" t="str">
        <f>IFERROR(__xludf.DUMMYFUNCTION("""COMPUTED_VALUE"""),"")</f>
        <v/>
      </c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</row>
    <row r="71">
      <c r="A71" s="198"/>
      <c r="D71" s="198" t="str">
        <f>IFERROR(__xludf.DUMMYFUNCTION("""COMPUTED_VALUE"""),"FALSE")</f>
        <v>FALSE</v>
      </c>
      <c r="E71" s="198" t="str">
        <f>IFERROR(__xludf.DUMMYFUNCTION("""COMPUTED_VALUE"""),"FALSE")</f>
        <v>FALSE</v>
      </c>
      <c r="F71" s="198"/>
      <c r="J71" s="184" t="str">
        <f>IFERROR(__xludf.DUMMYFUNCTION("""COMPUTED_VALUE"""),"")</f>
        <v/>
      </c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</row>
    <row r="72">
      <c r="A72" s="198"/>
      <c r="D72" s="198" t="str">
        <f>IFERROR(__xludf.DUMMYFUNCTION("""COMPUTED_VALUE"""),"FALSE")</f>
        <v>FALSE</v>
      </c>
      <c r="E72" s="198" t="str">
        <f>IFERROR(__xludf.DUMMYFUNCTION("""COMPUTED_VALUE"""),"FALSE")</f>
        <v>FALSE</v>
      </c>
      <c r="F72" s="198"/>
      <c r="J72" s="184" t="str">
        <f>IFERROR(__xludf.DUMMYFUNCTION("""COMPUTED_VALUE"""),"")</f>
        <v/>
      </c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</row>
    <row r="73">
      <c r="A73" s="198"/>
      <c r="D73" s="198" t="str">
        <f>IFERROR(__xludf.DUMMYFUNCTION("""COMPUTED_VALUE"""),"FALSE")</f>
        <v>FALSE</v>
      </c>
      <c r="E73" s="198" t="str">
        <f>IFERROR(__xludf.DUMMYFUNCTION("""COMPUTED_VALUE"""),"FALSE")</f>
        <v>FALSE</v>
      </c>
      <c r="F73" s="198"/>
      <c r="J73" s="184" t="str">
        <f>IFERROR(__xludf.DUMMYFUNCTION("""COMPUTED_VALUE"""),"")</f>
        <v/>
      </c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</row>
    <row r="74">
      <c r="A74" s="198"/>
      <c r="D74" s="198" t="str">
        <f>IFERROR(__xludf.DUMMYFUNCTION("""COMPUTED_VALUE"""),"FALSE")</f>
        <v>FALSE</v>
      </c>
      <c r="E74" s="198" t="str">
        <f>IFERROR(__xludf.DUMMYFUNCTION("""COMPUTED_VALUE"""),"FALSE")</f>
        <v>FALSE</v>
      </c>
      <c r="F74" s="198"/>
      <c r="J74" s="184" t="str">
        <f>IFERROR(__xludf.DUMMYFUNCTION("""COMPUTED_VALUE"""),"")</f>
        <v/>
      </c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</row>
    <row r="75">
      <c r="A75" s="198"/>
      <c r="D75" s="198" t="str">
        <f>IFERROR(__xludf.DUMMYFUNCTION("""COMPUTED_VALUE"""),"FALSE")</f>
        <v>FALSE</v>
      </c>
      <c r="E75" s="198" t="str">
        <f>IFERROR(__xludf.DUMMYFUNCTION("""COMPUTED_VALUE"""),"FALSE")</f>
        <v>FALSE</v>
      </c>
      <c r="F75" s="198"/>
      <c r="J75" s="184" t="str">
        <f>IFERROR(__xludf.DUMMYFUNCTION("""COMPUTED_VALUE"""),"")</f>
        <v/>
      </c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</row>
    <row r="76">
      <c r="A76" s="198"/>
      <c r="D76" s="198" t="str">
        <f>IFERROR(__xludf.DUMMYFUNCTION("""COMPUTED_VALUE"""),"FALSE")</f>
        <v>FALSE</v>
      </c>
      <c r="E76" s="198" t="str">
        <f>IFERROR(__xludf.DUMMYFUNCTION("""COMPUTED_VALUE"""),"FALSE")</f>
        <v>FALSE</v>
      </c>
      <c r="F76" s="198"/>
      <c r="J76" s="184" t="str">
        <f>IFERROR(__xludf.DUMMYFUNCTION("""COMPUTED_VALUE"""),"")</f>
        <v/>
      </c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</row>
    <row r="77">
      <c r="A77" s="198"/>
      <c r="D77" s="198" t="str">
        <f>IFERROR(__xludf.DUMMYFUNCTION("""COMPUTED_VALUE"""),"FALSE")</f>
        <v>FALSE</v>
      </c>
      <c r="E77" s="198" t="str">
        <f>IFERROR(__xludf.DUMMYFUNCTION("""COMPUTED_VALUE"""),"FALSE")</f>
        <v>FALSE</v>
      </c>
      <c r="F77" s="198"/>
      <c r="J77" s="184" t="str">
        <f>IFERROR(__xludf.DUMMYFUNCTION("""COMPUTED_VALUE"""),"")</f>
        <v/>
      </c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</row>
    <row r="78">
      <c r="A78" s="198"/>
      <c r="D78" s="198" t="str">
        <f>IFERROR(__xludf.DUMMYFUNCTION("""COMPUTED_VALUE"""),"FALSE")</f>
        <v>FALSE</v>
      </c>
      <c r="E78" s="198" t="str">
        <f>IFERROR(__xludf.DUMMYFUNCTION("""COMPUTED_VALUE"""),"FALSE")</f>
        <v>FALSE</v>
      </c>
      <c r="F78" s="198"/>
      <c r="J78" s="184" t="str">
        <f>IFERROR(__xludf.DUMMYFUNCTION("""COMPUTED_VALUE"""),"")</f>
        <v/>
      </c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</row>
    <row r="79">
      <c r="A79" s="198"/>
      <c r="D79" s="198" t="str">
        <f>IFERROR(__xludf.DUMMYFUNCTION("""COMPUTED_VALUE"""),"FALSE")</f>
        <v>FALSE</v>
      </c>
      <c r="E79" s="198" t="str">
        <f>IFERROR(__xludf.DUMMYFUNCTION("""COMPUTED_VALUE"""),"FALSE")</f>
        <v>FALSE</v>
      </c>
      <c r="F79" s="198"/>
      <c r="J79" s="184" t="str">
        <f>IFERROR(__xludf.DUMMYFUNCTION("""COMPUTED_VALUE"""),"")</f>
        <v/>
      </c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</row>
    <row r="80">
      <c r="A80" s="198"/>
      <c r="D80" s="198" t="str">
        <f>IFERROR(__xludf.DUMMYFUNCTION("""COMPUTED_VALUE"""),"FALSE")</f>
        <v>FALSE</v>
      </c>
      <c r="E80" s="198" t="str">
        <f>IFERROR(__xludf.DUMMYFUNCTION("""COMPUTED_VALUE"""),"FALSE")</f>
        <v>FALSE</v>
      </c>
      <c r="F80" s="198"/>
      <c r="J80" s="184" t="str">
        <f>IFERROR(__xludf.DUMMYFUNCTION("""COMPUTED_VALUE"""),"")</f>
        <v/>
      </c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</row>
    <row r="81">
      <c r="A81" s="198"/>
      <c r="D81" s="198" t="str">
        <f>IFERROR(__xludf.DUMMYFUNCTION("""COMPUTED_VALUE"""),"FALSE")</f>
        <v>FALSE</v>
      </c>
      <c r="E81" s="198" t="str">
        <f>IFERROR(__xludf.DUMMYFUNCTION("""COMPUTED_VALUE"""),"FALSE")</f>
        <v>FALSE</v>
      </c>
      <c r="F81" s="198"/>
      <c r="J81" s="184" t="str">
        <f>IFERROR(__xludf.DUMMYFUNCTION("""COMPUTED_VALUE"""),"")</f>
        <v/>
      </c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</row>
    <row r="82">
      <c r="A82" s="198"/>
      <c r="D82" s="198" t="str">
        <f>IFERROR(__xludf.DUMMYFUNCTION("""COMPUTED_VALUE"""),"FALSE")</f>
        <v>FALSE</v>
      </c>
      <c r="E82" s="198" t="str">
        <f>IFERROR(__xludf.DUMMYFUNCTION("""COMPUTED_VALUE"""),"FALSE")</f>
        <v>FALSE</v>
      </c>
      <c r="F82" s="198"/>
      <c r="J82" s="184" t="str">
        <f>IFERROR(__xludf.DUMMYFUNCTION("""COMPUTED_VALUE"""),"")</f>
        <v/>
      </c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</row>
    <row r="83">
      <c r="A83" s="198"/>
      <c r="D83" s="198" t="str">
        <f>IFERROR(__xludf.DUMMYFUNCTION("""COMPUTED_VALUE"""),"FALSE")</f>
        <v>FALSE</v>
      </c>
      <c r="E83" s="198" t="str">
        <f>IFERROR(__xludf.DUMMYFUNCTION("""COMPUTED_VALUE"""),"FALSE")</f>
        <v>FALSE</v>
      </c>
      <c r="F83" s="198"/>
      <c r="J83" s="184" t="str">
        <f>IFERROR(__xludf.DUMMYFUNCTION("""COMPUTED_VALUE"""),"")</f>
        <v/>
      </c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</row>
    <row r="84">
      <c r="A84" s="198"/>
      <c r="D84" s="198" t="str">
        <f>IFERROR(__xludf.DUMMYFUNCTION("""COMPUTED_VALUE"""),"FALSE")</f>
        <v>FALSE</v>
      </c>
      <c r="E84" s="198" t="str">
        <f>IFERROR(__xludf.DUMMYFUNCTION("""COMPUTED_VALUE"""),"FALSE")</f>
        <v>FALSE</v>
      </c>
      <c r="F84" s="198"/>
      <c r="J84" s="184" t="str">
        <f>IFERROR(__xludf.DUMMYFUNCTION("""COMPUTED_VALUE"""),"")</f>
        <v/>
      </c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</row>
    <row r="85">
      <c r="A85" s="198"/>
      <c r="D85" s="198" t="str">
        <f>IFERROR(__xludf.DUMMYFUNCTION("""COMPUTED_VALUE"""),"FALSE")</f>
        <v>FALSE</v>
      </c>
      <c r="E85" s="198" t="str">
        <f>IFERROR(__xludf.DUMMYFUNCTION("""COMPUTED_VALUE"""),"FALSE")</f>
        <v>FALSE</v>
      </c>
      <c r="F85" s="198"/>
      <c r="J85" s="184" t="str">
        <f>IFERROR(__xludf.DUMMYFUNCTION("""COMPUTED_VALUE"""),"")</f>
        <v/>
      </c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</row>
    <row r="86">
      <c r="A86" s="198"/>
      <c r="D86" s="198" t="str">
        <f>IFERROR(__xludf.DUMMYFUNCTION("""COMPUTED_VALUE"""),"FALSE")</f>
        <v>FALSE</v>
      </c>
      <c r="E86" s="198" t="str">
        <f>IFERROR(__xludf.DUMMYFUNCTION("""COMPUTED_VALUE"""),"FALSE")</f>
        <v>FALSE</v>
      </c>
      <c r="F86" s="198"/>
      <c r="J86" s="184" t="str">
        <f>IFERROR(__xludf.DUMMYFUNCTION("""COMPUTED_VALUE"""),"")</f>
        <v/>
      </c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</row>
    <row r="87">
      <c r="A87" s="198"/>
      <c r="D87" s="198" t="str">
        <f>IFERROR(__xludf.DUMMYFUNCTION("""COMPUTED_VALUE"""),"FALSE")</f>
        <v>FALSE</v>
      </c>
      <c r="E87" s="198" t="str">
        <f>IFERROR(__xludf.DUMMYFUNCTION("""COMPUTED_VALUE"""),"FALSE")</f>
        <v>FALSE</v>
      </c>
      <c r="F87" s="198"/>
      <c r="J87" s="184" t="str">
        <f>IFERROR(__xludf.DUMMYFUNCTION("""COMPUTED_VALUE"""),"")</f>
        <v/>
      </c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</row>
    <row r="88">
      <c r="A88" s="198"/>
      <c r="D88" s="198" t="str">
        <f>IFERROR(__xludf.DUMMYFUNCTION("""COMPUTED_VALUE"""),"FALSE")</f>
        <v>FALSE</v>
      </c>
      <c r="E88" s="198" t="str">
        <f>IFERROR(__xludf.DUMMYFUNCTION("""COMPUTED_VALUE"""),"FALSE")</f>
        <v>FALSE</v>
      </c>
      <c r="F88" s="198"/>
      <c r="J88" s="184" t="str">
        <f>IFERROR(__xludf.DUMMYFUNCTION("""COMPUTED_VALUE"""),"")</f>
        <v/>
      </c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</row>
    <row r="89">
      <c r="A89" s="198"/>
      <c r="D89" s="198" t="str">
        <f>IFERROR(__xludf.DUMMYFUNCTION("""COMPUTED_VALUE"""),"FALSE")</f>
        <v>FALSE</v>
      </c>
      <c r="E89" s="198" t="str">
        <f>IFERROR(__xludf.DUMMYFUNCTION("""COMPUTED_VALUE"""),"FALSE")</f>
        <v>FALSE</v>
      </c>
      <c r="F89" s="198"/>
      <c r="J89" s="184" t="str">
        <f>IFERROR(__xludf.DUMMYFUNCTION("""COMPUTED_VALUE"""),"")</f>
        <v/>
      </c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</row>
    <row r="90">
      <c r="A90" s="198"/>
      <c r="D90" s="198" t="str">
        <f>IFERROR(__xludf.DUMMYFUNCTION("""COMPUTED_VALUE"""),"FALSE")</f>
        <v>FALSE</v>
      </c>
      <c r="E90" s="198" t="str">
        <f>IFERROR(__xludf.DUMMYFUNCTION("""COMPUTED_VALUE"""),"FALSE")</f>
        <v>FALSE</v>
      </c>
      <c r="F90" s="198"/>
      <c r="J90" s="184" t="str">
        <f>IFERROR(__xludf.DUMMYFUNCTION("""COMPUTED_VALUE"""),"")</f>
        <v/>
      </c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</row>
    <row r="91">
      <c r="A91" s="198"/>
      <c r="D91" s="198" t="str">
        <f>IFERROR(__xludf.DUMMYFUNCTION("""COMPUTED_VALUE"""),"FALSE")</f>
        <v>FALSE</v>
      </c>
      <c r="E91" s="198" t="str">
        <f>IFERROR(__xludf.DUMMYFUNCTION("""COMPUTED_VALUE"""),"FALSE")</f>
        <v>FALSE</v>
      </c>
      <c r="F91" s="198"/>
      <c r="J91" s="184" t="str">
        <f>IFERROR(__xludf.DUMMYFUNCTION("""COMPUTED_VALUE"""),"")</f>
        <v/>
      </c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</row>
    <row r="92">
      <c r="A92" s="198"/>
      <c r="D92" s="198" t="str">
        <f>IFERROR(__xludf.DUMMYFUNCTION("""COMPUTED_VALUE"""),"FALSE")</f>
        <v>FALSE</v>
      </c>
      <c r="E92" s="198" t="str">
        <f>IFERROR(__xludf.DUMMYFUNCTION("""COMPUTED_VALUE"""),"FALSE")</f>
        <v>FALSE</v>
      </c>
      <c r="F92" s="198"/>
      <c r="J92" s="184" t="str">
        <f>IFERROR(__xludf.DUMMYFUNCTION("""COMPUTED_VALUE"""),"")</f>
        <v/>
      </c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</row>
    <row r="93">
      <c r="A93" s="198"/>
      <c r="D93" s="198" t="str">
        <f>IFERROR(__xludf.DUMMYFUNCTION("""COMPUTED_VALUE"""),"FALSE")</f>
        <v>FALSE</v>
      </c>
      <c r="E93" s="198" t="str">
        <f>IFERROR(__xludf.DUMMYFUNCTION("""COMPUTED_VALUE"""),"FALSE")</f>
        <v>FALSE</v>
      </c>
      <c r="F93" s="198"/>
      <c r="J93" s="184" t="str">
        <f>IFERROR(__xludf.DUMMYFUNCTION("""COMPUTED_VALUE"""),"")</f>
        <v/>
      </c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</row>
    <row r="94">
      <c r="A94" s="198"/>
      <c r="D94" s="198" t="str">
        <f>IFERROR(__xludf.DUMMYFUNCTION("""COMPUTED_VALUE"""),"FALSE")</f>
        <v>FALSE</v>
      </c>
      <c r="E94" s="198" t="str">
        <f>IFERROR(__xludf.DUMMYFUNCTION("""COMPUTED_VALUE"""),"FALSE")</f>
        <v>FALSE</v>
      </c>
      <c r="F94" s="198"/>
      <c r="J94" s="184" t="str">
        <f>IFERROR(__xludf.DUMMYFUNCTION("""COMPUTED_VALUE"""),"")</f>
        <v/>
      </c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</row>
    <row r="95">
      <c r="A95" s="198"/>
      <c r="D95" s="198" t="str">
        <f>IFERROR(__xludf.DUMMYFUNCTION("""COMPUTED_VALUE"""),"FALSE")</f>
        <v>FALSE</v>
      </c>
      <c r="E95" s="198" t="str">
        <f>IFERROR(__xludf.DUMMYFUNCTION("""COMPUTED_VALUE"""),"FALSE")</f>
        <v>FALSE</v>
      </c>
      <c r="F95" s="198"/>
      <c r="J95" s="184" t="str">
        <f>IFERROR(__xludf.DUMMYFUNCTION("""COMPUTED_VALUE"""),"")</f>
        <v/>
      </c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</row>
    <row r="96">
      <c r="A96" s="198"/>
      <c r="D96" s="198" t="str">
        <f>IFERROR(__xludf.DUMMYFUNCTION("""COMPUTED_VALUE"""),"FALSE")</f>
        <v>FALSE</v>
      </c>
      <c r="E96" s="198" t="str">
        <f>IFERROR(__xludf.DUMMYFUNCTION("""COMPUTED_VALUE"""),"FALSE")</f>
        <v>FALSE</v>
      </c>
      <c r="F96" s="198"/>
      <c r="J96" s="184" t="str">
        <f>IFERROR(__xludf.DUMMYFUNCTION("""COMPUTED_VALUE"""),"")</f>
        <v/>
      </c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</row>
    <row r="97">
      <c r="A97" s="198"/>
      <c r="D97" s="198" t="str">
        <f>IFERROR(__xludf.DUMMYFUNCTION("""COMPUTED_VALUE"""),"FALSE")</f>
        <v>FALSE</v>
      </c>
      <c r="E97" s="198" t="str">
        <f>IFERROR(__xludf.DUMMYFUNCTION("""COMPUTED_VALUE"""),"FALSE")</f>
        <v>FALSE</v>
      </c>
      <c r="F97" s="198"/>
      <c r="J97" s="184" t="str">
        <f>IFERROR(__xludf.DUMMYFUNCTION("""COMPUTED_VALUE"""),"")</f>
        <v/>
      </c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</row>
    <row r="98">
      <c r="A98" s="198"/>
      <c r="D98" s="198" t="str">
        <f>IFERROR(__xludf.DUMMYFUNCTION("""COMPUTED_VALUE"""),"FALSE")</f>
        <v>FALSE</v>
      </c>
      <c r="E98" s="198" t="str">
        <f>IFERROR(__xludf.DUMMYFUNCTION("""COMPUTED_VALUE"""),"FALSE")</f>
        <v>FALSE</v>
      </c>
      <c r="F98" s="198"/>
      <c r="J98" s="184" t="str">
        <f>IFERROR(__xludf.DUMMYFUNCTION("""COMPUTED_VALUE"""),"")</f>
        <v/>
      </c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</row>
    <row r="99">
      <c r="A99" s="198"/>
      <c r="D99" s="198" t="str">
        <f>IFERROR(__xludf.DUMMYFUNCTION("""COMPUTED_VALUE"""),"FALSE")</f>
        <v>FALSE</v>
      </c>
      <c r="E99" s="198" t="str">
        <f>IFERROR(__xludf.DUMMYFUNCTION("""COMPUTED_VALUE"""),"FALSE")</f>
        <v>FALSE</v>
      </c>
      <c r="F99" s="198"/>
      <c r="J99" s="184" t="str">
        <f>IFERROR(__xludf.DUMMYFUNCTION("""COMPUTED_VALUE"""),"")</f>
        <v/>
      </c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</row>
    <row r="100">
      <c r="A100" s="198"/>
      <c r="D100" s="198" t="str">
        <f>IFERROR(__xludf.DUMMYFUNCTION("""COMPUTED_VALUE"""),"FALSE")</f>
        <v>FALSE</v>
      </c>
      <c r="E100" s="198" t="str">
        <f>IFERROR(__xludf.DUMMYFUNCTION("""COMPUTED_VALUE"""),"FALSE")</f>
        <v>FALSE</v>
      </c>
      <c r="F100" s="198"/>
      <c r="J100" s="184" t="str">
        <f>IFERROR(__xludf.DUMMYFUNCTION("""COMPUTED_VALUE"""),"")</f>
        <v/>
      </c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</row>
    <row r="101">
      <c r="A101" s="198"/>
      <c r="D101" s="198" t="str">
        <f>IFERROR(__xludf.DUMMYFUNCTION("""COMPUTED_VALUE"""),"FALSE")</f>
        <v>FALSE</v>
      </c>
      <c r="E101" s="198" t="str">
        <f>IFERROR(__xludf.DUMMYFUNCTION("""COMPUTED_VALUE"""),"FALSE")</f>
        <v>FALSE</v>
      </c>
      <c r="F101" s="198"/>
      <c r="J101" s="184" t="str">
        <f>IFERROR(__xludf.DUMMYFUNCTION("""COMPUTED_VALUE"""),"")</f>
        <v/>
      </c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</row>
    <row r="102">
      <c r="A102" s="198"/>
      <c r="D102" s="198" t="str">
        <f>IFERROR(__xludf.DUMMYFUNCTION("""COMPUTED_VALUE"""),"FALSE")</f>
        <v>FALSE</v>
      </c>
      <c r="E102" s="198" t="str">
        <f>IFERROR(__xludf.DUMMYFUNCTION("""COMPUTED_VALUE"""),"FALSE")</f>
        <v>FALSE</v>
      </c>
      <c r="F102" s="198"/>
      <c r="J102" s="184" t="str">
        <f>IFERROR(__xludf.DUMMYFUNCTION("""COMPUTED_VALUE"""),"")</f>
        <v/>
      </c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</row>
    <row r="103">
      <c r="A103" s="198"/>
      <c r="D103" s="198" t="str">
        <f>IFERROR(__xludf.DUMMYFUNCTION("""COMPUTED_VALUE"""),"FALSE")</f>
        <v>FALSE</v>
      </c>
      <c r="E103" s="198" t="str">
        <f>IFERROR(__xludf.DUMMYFUNCTION("""COMPUTED_VALUE"""),"FALSE")</f>
        <v>FALSE</v>
      </c>
      <c r="F103" s="198"/>
      <c r="J103" s="184" t="str">
        <f>IFERROR(__xludf.DUMMYFUNCTION("""COMPUTED_VALUE"""),"")</f>
        <v/>
      </c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</row>
    <row r="104">
      <c r="A104" s="198"/>
      <c r="D104" s="198" t="str">
        <f>IFERROR(__xludf.DUMMYFUNCTION("""COMPUTED_VALUE"""),"FALSE")</f>
        <v>FALSE</v>
      </c>
      <c r="E104" s="198" t="str">
        <f>IFERROR(__xludf.DUMMYFUNCTION("""COMPUTED_VALUE"""),"FALSE")</f>
        <v>FALSE</v>
      </c>
      <c r="F104" s="198"/>
      <c r="J104" s="184" t="str">
        <f>IFERROR(__xludf.DUMMYFUNCTION("""COMPUTED_VALUE"""),"")</f>
        <v/>
      </c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</row>
    <row r="105">
      <c r="A105" s="198"/>
      <c r="D105" s="198" t="str">
        <f>IFERROR(__xludf.DUMMYFUNCTION("""COMPUTED_VALUE"""),"FALSE")</f>
        <v>FALSE</v>
      </c>
      <c r="E105" s="198" t="str">
        <f>IFERROR(__xludf.DUMMYFUNCTION("""COMPUTED_VALUE"""),"FALSE")</f>
        <v>FALSE</v>
      </c>
      <c r="F105" s="198"/>
      <c r="J105" s="184" t="str">
        <f>IFERROR(__xludf.DUMMYFUNCTION("""COMPUTED_VALUE"""),"")</f>
        <v/>
      </c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</row>
    <row r="106">
      <c r="A106" s="198"/>
      <c r="D106" s="198" t="str">
        <f>IFERROR(__xludf.DUMMYFUNCTION("""COMPUTED_VALUE"""),"FALSE")</f>
        <v>FALSE</v>
      </c>
      <c r="E106" s="198" t="str">
        <f>IFERROR(__xludf.DUMMYFUNCTION("""COMPUTED_VALUE"""),"FALSE")</f>
        <v>FALSE</v>
      </c>
      <c r="F106" s="198"/>
      <c r="J106" s="184" t="str">
        <f>IFERROR(__xludf.DUMMYFUNCTION("""COMPUTED_VALUE"""),"")</f>
        <v/>
      </c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</row>
    <row r="107">
      <c r="A107" s="198"/>
      <c r="D107" s="198" t="str">
        <f>IFERROR(__xludf.DUMMYFUNCTION("""COMPUTED_VALUE"""),"FALSE")</f>
        <v>FALSE</v>
      </c>
      <c r="E107" s="198" t="str">
        <f>IFERROR(__xludf.DUMMYFUNCTION("""COMPUTED_VALUE"""),"FALSE")</f>
        <v>FALSE</v>
      </c>
      <c r="F107" s="198"/>
      <c r="J107" s="184" t="str">
        <f>IFERROR(__xludf.DUMMYFUNCTION("""COMPUTED_VALUE"""),"")</f>
        <v/>
      </c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</row>
    <row r="108">
      <c r="A108" s="198"/>
      <c r="D108" s="198" t="str">
        <f>IFERROR(__xludf.DUMMYFUNCTION("""COMPUTED_VALUE"""),"FALSE")</f>
        <v>FALSE</v>
      </c>
      <c r="E108" s="198" t="str">
        <f>IFERROR(__xludf.DUMMYFUNCTION("""COMPUTED_VALUE"""),"FALSE")</f>
        <v>FALSE</v>
      </c>
      <c r="F108" s="198"/>
      <c r="J108" s="184" t="str">
        <f>IFERROR(__xludf.DUMMYFUNCTION("""COMPUTED_VALUE"""),"")</f>
        <v/>
      </c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</row>
    <row r="109">
      <c r="A109" s="198"/>
      <c r="D109" s="198" t="str">
        <f>IFERROR(__xludf.DUMMYFUNCTION("""COMPUTED_VALUE"""),"FALSE")</f>
        <v>FALSE</v>
      </c>
      <c r="E109" s="198" t="str">
        <f>IFERROR(__xludf.DUMMYFUNCTION("""COMPUTED_VALUE"""),"FALSE")</f>
        <v>FALSE</v>
      </c>
      <c r="F109" s="198"/>
      <c r="J109" s="184" t="str">
        <f>IFERROR(__xludf.DUMMYFUNCTION("""COMPUTED_VALUE"""),"")</f>
        <v/>
      </c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</row>
    <row r="110">
      <c r="A110" s="198"/>
      <c r="D110" s="198" t="str">
        <f>IFERROR(__xludf.DUMMYFUNCTION("""COMPUTED_VALUE"""),"FALSE")</f>
        <v>FALSE</v>
      </c>
      <c r="E110" s="198" t="str">
        <f>IFERROR(__xludf.DUMMYFUNCTION("""COMPUTED_VALUE"""),"FALSE")</f>
        <v>FALSE</v>
      </c>
      <c r="F110" s="198"/>
      <c r="J110" s="184" t="str">
        <f>IFERROR(__xludf.DUMMYFUNCTION("""COMPUTED_VALUE"""),"")</f>
        <v/>
      </c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</row>
    <row r="111">
      <c r="A111" s="198"/>
      <c r="D111" s="198" t="str">
        <f>IFERROR(__xludf.DUMMYFUNCTION("""COMPUTED_VALUE"""),"FALSE")</f>
        <v>FALSE</v>
      </c>
      <c r="E111" s="198" t="str">
        <f>IFERROR(__xludf.DUMMYFUNCTION("""COMPUTED_VALUE"""),"FALSE")</f>
        <v>FALSE</v>
      </c>
      <c r="F111" s="198"/>
      <c r="J111" s="184" t="str">
        <f>IFERROR(__xludf.DUMMYFUNCTION("""COMPUTED_VALUE"""),"")</f>
        <v/>
      </c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</row>
    <row r="112">
      <c r="A112" s="198"/>
      <c r="D112" s="198" t="str">
        <f>IFERROR(__xludf.DUMMYFUNCTION("""COMPUTED_VALUE"""),"FALSE")</f>
        <v>FALSE</v>
      </c>
      <c r="E112" s="198" t="str">
        <f>IFERROR(__xludf.DUMMYFUNCTION("""COMPUTED_VALUE"""),"FALSE")</f>
        <v>FALSE</v>
      </c>
      <c r="F112" s="198"/>
      <c r="J112" s="184" t="str">
        <f>IFERROR(__xludf.DUMMYFUNCTION("""COMPUTED_VALUE"""),"")</f>
        <v/>
      </c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</row>
    <row r="113">
      <c r="A113" s="198"/>
      <c r="D113" s="198" t="str">
        <f>IFERROR(__xludf.DUMMYFUNCTION("""COMPUTED_VALUE"""),"FALSE")</f>
        <v>FALSE</v>
      </c>
      <c r="E113" s="198" t="str">
        <f>IFERROR(__xludf.DUMMYFUNCTION("""COMPUTED_VALUE"""),"FALSE")</f>
        <v>FALSE</v>
      </c>
      <c r="F113" s="198"/>
      <c r="J113" s="184" t="str">
        <f>IFERROR(__xludf.DUMMYFUNCTION("""COMPUTED_VALUE"""),"")</f>
        <v/>
      </c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</row>
    <row r="114">
      <c r="A114" s="198"/>
      <c r="D114" s="198" t="str">
        <f>IFERROR(__xludf.DUMMYFUNCTION("""COMPUTED_VALUE"""),"FALSE")</f>
        <v>FALSE</v>
      </c>
      <c r="E114" s="198" t="str">
        <f>IFERROR(__xludf.DUMMYFUNCTION("""COMPUTED_VALUE"""),"FALSE")</f>
        <v>FALSE</v>
      </c>
      <c r="F114" s="198"/>
      <c r="J114" s="184" t="str">
        <f>IFERROR(__xludf.DUMMYFUNCTION("""COMPUTED_VALUE"""),"")</f>
        <v/>
      </c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</row>
    <row r="115">
      <c r="A115" s="198"/>
      <c r="D115" s="198" t="str">
        <f>IFERROR(__xludf.DUMMYFUNCTION("""COMPUTED_VALUE"""),"FALSE")</f>
        <v>FALSE</v>
      </c>
      <c r="E115" s="198" t="str">
        <f>IFERROR(__xludf.DUMMYFUNCTION("""COMPUTED_VALUE"""),"FALSE")</f>
        <v>FALSE</v>
      </c>
      <c r="F115" s="198"/>
      <c r="J115" s="184" t="str">
        <f>IFERROR(__xludf.DUMMYFUNCTION("""COMPUTED_VALUE"""),"")</f>
        <v/>
      </c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</row>
    <row r="116">
      <c r="A116" s="198"/>
      <c r="D116" s="198" t="str">
        <f>IFERROR(__xludf.DUMMYFUNCTION("""COMPUTED_VALUE"""),"FALSE")</f>
        <v>FALSE</v>
      </c>
      <c r="E116" s="198" t="str">
        <f>IFERROR(__xludf.DUMMYFUNCTION("""COMPUTED_VALUE"""),"FALSE")</f>
        <v>FALSE</v>
      </c>
      <c r="F116" s="198"/>
      <c r="J116" s="184" t="str">
        <f>IFERROR(__xludf.DUMMYFUNCTION("""COMPUTED_VALUE"""),"")</f>
        <v/>
      </c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</row>
    <row r="117">
      <c r="A117" s="198"/>
      <c r="D117" s="198" t="str">
        <f>IFERROR(__xludf.DUMMYFUNCTION("""COMPUTED_VALUE"""),"FALSE")</f>
        <v>FALSE</v>
      </c>
      <c r="E117" s="198" t="str">
        <f>IFERROR(__xludf.DUMMYFUNCTION("""COMPUTED_VALUE"""),"FALSE")</f>
        <v>FALSE</v>
      </c>
      <c r="F117" s="198"/>
      <c r="J117" s="184" t="str">
        <f>IFERROR(__xludf.DUMMYFUNCTION("""COMPUTED_VALUE"""),"")</f>
        <v/>
      </c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</row>
    <row r="118">
      <c r="A118" s="198"/>
      <c r="D118" s="198" t="str">
        <f>IFERROR(__xludf.DUMMYFUNCTION("""COMPUTED_VALUE"""),"FALSE")</f>
        <v>FALSE</v>
      </c>
      <c r="E118" s="198" t="str">
        <f>IFERROR(__xludf.DUMMYFUNCTION("""COMPUTED_VALUE"""),"FALSE")</f>
        <v>FALSE</v>
      </c>
      <c r="F118" s="198"/>
      <c r="J118" s="184" t="str">
        <f>IFERROR(__xludf.DUMMYFUNCTION("""COMPUTED_VALUE"""),"")</f>
        <v/>
      </c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</row>
    <row r="119">
      <c r="A119" s="198"/>
      <c r="D119" s="198" t="str">
        <f>IFERROR(__xludf.DUMMYFUNCTION("""COMPUTED_VALUE"""),"FALSE")</f>
        <v>FALSE</v>
      </c>
      <c r="E119" s="198" t="str">
        <f>IFERROR(__xludf.DUMMYFUNCTION("""COMPUTED_VALUE"""),"FALSE")</f>
        <v>FALSE</v>
      </c>
      <c r="F119" s="198"/>
      <c r="J119" s="184" t="str">
        <f>IFERROR(__xludf.DUMMYFUNCTION("""COMPUTED_VALUE"""),"")</f>
        <v/>
      </c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</row>
    <row r="120">
      <c r="A120" s="198"/>
      <c r="D120" s="198" t="str">
        <f>IFERROR(__xludf.DUMMYFUNCTION("""COMPUTED_VALUE"""),"FALSE")</f>
        <v>FALSE</v>
      </c>
      <c r="E120" s="198" t="str">
        <f>IFERROR(__xludf.DUMMYFUNCTION("""COMPUTED_VALUE"""),"FALSE")</f>
        <v>FALSE</v>
      </c>
      <c r="F120" s="198"/>
      <c r="J120" s="184" t="str">
        <f>IFERROR(__xludf.DUMMYFUNCTION("""COMPUTED_VALUE"""),"")</f>
        <v/>
      </c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</row>
    <row r="121">
      <c r="A121" s="198"/>
      <c r="D121" s="198" t="str">
        <f>IFERROR(__xludf.DUMMYFUNCTION("""COMPUTED_VALUE"""),"FALSE")</f>
        <v>FALSE</v>
      </c>
      <c r="E121" s="198" t="str">
        <f>IFERROR(__xludf.DUMMYFUNCTION("""COMPUTED_VALUE"""),"FALSE")</f>
        <v>FALSE</v>
      </c>
      <c r="F121" s="198"/>
      <c r="J121" s="184" t="str">
        <f>IFERROR(__xludf.DUMMYFUNCTION("""COMPUTED_VALUE"""),"")</f>
        <v/>
      </c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</row>
    <row r="122">
      <c r="A122" s="198"/>
      <c r="D122" s="198" t="str">
        <f>IFERROR(__xludf.DUMMYFUNCTION("""COMPUTED_VALUE"""),"FALSE")</f>
        <v>FALSE</v>
      </c>
      <c r="E122" s="198" t="str">
        <f>IFERROR(__xludf.DUMMYFUNCTION("""COMPUTED_VALUE"""),"FALSE")</f>
        <v>FALSE</v>
      </c>
      <c r="F122" s="198"/>
      <c r="J122" s="184" t="str">
        <f>IFERROR(__xludf.DUMMYFUNCTION("""COMPUTED_VALUE"""),"")</f>
        <v/>
      </c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</row>
    <row r="123">
      <c r="A123" s="198"/>
      <c r="D123" s="198" t="str">
        <f>IFERROR(__xludf.DUMMYFUNCTION("""COMPUTED_VALUE"""),"FALSE")</f>
        <v>FALSE</v>
      </c>
      <c r="E123" s="198" t="str">
        <f>IFERROR(__xludf.DUMMYFUNCTION("""COMPUTED_VALUE"""),"FALSE")</f>
        <v>FALSE</v>
      </c>
      <c r="F123" s="198"/>
      <c r="J123" s="184" t="str">
        <f>IFERROR(__xludf.DUMMYFUNCTION("""COMPUTED_VALUE"""),"")</f>
        <v/>
      </c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</row>
    <row r="124">
      <c r="A124" s="198"/>
      <c r="D124" s="198" t="str">
        <f>IFERROR(__xludf.DUMMYFUNCTION("""COMPUTED_VALUE"""),"FALSE")</f>
        <v>FALSE</v>
      </c>
      <c r="E124" s="198" t="str">
        <f>IFERROR(__xludf.DUMMYFUNCTION("""COMPUTED_VALUE"""),"FALSE")</f>
        <v>FALSE</v>
      </c>
      <c r="F124" s="198"/>
      <c r="J124" s="184" t="str">
        <f>IFERROR(__xludf.DUMMYFUNCTION("""COMPUTED_VALUE"""),"")</f>
        <v/>
      </c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</row>
    <row r="125">
      <c r="A125" s="198"/>
      <c r="D125" s="198" t="str">
        <f>IFERROR(__xludf.DUMMYFUNCTION("""COMPUTED_VALUE"""),"FALSE")</f>
        <v>FALSE</v>
      </c>
      <c r="E125" s="198" t="str">
        <f>IFERROR(__xludf.DUMMYFUNCTION("""COMPUTED_VALUE"""),"FALSE")</f>
        <v>FALSE</v>
      </c>
      <c r="F125" s="198"/>
      <c r="J125" s="184" t="str">
        <f>IFERROR(__xludf.DUMMYFUNCTION("""COMPUTED_VALUE"""),"")</f>
        <v/>
      </c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</row>
    <row r="126">
      <c r="A126" s="198"/>
      <c r="D126" s="198" t="str">
        <f>IFERROR(__xludf.DUMMYFUNCTION("""COMPUTED_VALUE"""),"FALSE")</f>
        <v>FALSE</v>
      </c>
      <c r="E126" s="198" t="str">
        <f>IFERROR(__xludf.DUMMYFUNCTION("""COMPUTED_VALUE"""),"FALSE")</f>
        <v>FALSE</v>
      </c>
      <c r="F126" s="198"/>
      <c r="J126" s="184" t="str">
        <f>IFERROR(__xludf.DUMMYFUNCTION("""COMPUTED_VALUE"""),"")</f>
        <v/>
      </c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</row>
    <row r="127">
      <c r="A127" s="198"/>
      <c r="D127" s="198" t="str">
        <f>IFERROR(__xludf.DUMMYFUNCTION("""COMPUTED_VALUE"""),"FALSE")</f>
        <v>FALSE</v>
      </c>
      <c r="E127" s="198" t="str">
        <f>IFERROR(__xludf.DUMMYFUNCTION("""COMPUTED_VALUE"""),"FALSE")</f>
        <v>FALSE</v>
      </c>
      <c r="F127" s="198"/>
      <c r="J127" s="184" t="str">
        <f>IFERROR(__xludf.DUMMYFUNCTION("""COMPUTED_VALUE"""),"")</f>
        <v/>
      </c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</row>
    <row r="128">
      <c r="A128" s="198"/>
      <c r="D128" s="198" t="str">
        <f>IFERROR(__xludf.DUMMYFUNCTION("""COMPUTED_VALUE"""),"FALSE")</f>
        <v>FALSE</v>
      </c>
      <c r="E128" s="198" t="str">
        <f>IFERROR(__xludf.DUMMYFUNCTION("""COMPUTED_VALUE"""),"FALSE")</f>
        <v>FALSE</v>
      </c>
      <c r="F128" s="198"/>
      <c r="J128" s="184" t="str">
        <f>IFERROR(__xludf.DUMMYFUNCTION("""COMPUTED_VALUE"""),"")</f>
        <v/>
      </c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</row>
    <row r="129">
      <c r="A129" s="198"/>
      <c r="D129" s="198" t="str">
        <f>IFERROR(__xludf.DUMMYFUNCTION("""COMPUTED_VALUE"""),"FALSE")</f>
        <v>FALSE</v>
      </c>
      <c r="E129" s="198" t="str">
        <f>IFERROR(__xludf.DUMMYFUNCTION("""COMPUTED_VALUE"""),"FALSE")</f>
        <v>FALSE</v>
      </c>
      <c r="F129" s="198"/>
      <c r="J129" s="184" t="str">
        <f>IFERROR(__xludf.DUMMYFUNCTION("""COMPUTED_VALUE"""),"")</f>
        <v/>
      </c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</row>
    <row r="130">
      <c r="A130" s="198"/>
      <c r="D130" s="198" t="str">
        <f>IFERROR(__xludf.DUMMYFUNCTION("""COMPUTED_VALUE"""),"FALSE")</f>
        <v>FALSE</v>
      </c>
      <c r="E130" s="198" t="str">
        <f>IFERROR(__xludf.DUMMYFUNCTION("""COMPUTED_VALUE"""),"FALSE")</f>
        <v>FALSE</v>
      </c>
      <c r="F130" s="198"/>
      <c r="J130" s="184" t="str">
        <f>IFERROR(__xludf.DUMMYFUNCTION("""COMPUTED_VALUE"""),"")</f>
        <v/>
      </c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</row>
    <row r="131">
      <c r="A131" s="198"/>
      <c r="D131" s="198" t="str">
        <f>IFERROR(__xludf.DUMMYFUNCTION("""COMPUTED_VALUE"""),"FALSE")</f>
        <v>FALSE</v>
      </c>
      <c r="E131" s="198" t="str">
        <f>IFERROR(__xludf.DUMMYFUNCTION("""COMPUTED_VALUE"""),"FALSE")</f>
        <v>FALSE</v>
      </c>
      <c r="F131" s="198"/>
      <c r="J131" s="184" t="str">
        <f>IFERROR(__xludf.DUMMYFUNCTION("""COMPUTED_VALUE"""),"")</f>
        <v/>
      </c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</row>
    <row r="132">
      <c r="A132" s="198"/>
      <c r="D132" s="198" t="str">
        <f>IFERROR(__xludf.DUMMYFUNCTION("""COMPUTED_VALUE"""),"FALSE")</f>
        <v>FALSE</v>
      </c>
      <c r="E132" s="198" t="str">
        <f>IFERROR(__xludf.DUMMYFUNCTION("""COMPUTED_VALUE"""),"FALSE")</f>
        <v>FALSE</v>
      </c>
      <c r="F132" s="198"/>
      <c r="J132" s="184" t="str">
        <f>IFERROR(__xludf.DUMMYFUNCTION("""COMPUTED_VALUE"""),"")</f>
        <v/>
      </c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</row>
    <row r="133">
      <c r="A133" s="198"/>
      <c r="D133" s="198" t="str">
        <f>IFERROR(__xludf.DUMMYFUNCTION("""COMPUTED_VALUE"""),"FALSE")</f>
        <v>FALSE</v>
      </c>
      <c r="E133" s="198" t="str">
        <f>IFERROR(__xludf.DUMMYFUNCTION("""COMPUTED_VALUE"""),"FALSE")</f>
        <v>FALSE</v>
      </c>
      <c r="F133" s="198"/>
      <c r="J133" s="184" t="str">
        <f>IFERROR(__xludf.DUMMYFUNCTION("""COMPUTED_VALUE"""),"")</f>
        <v/>
      </c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</row>
    <row r="134">
      <c r="A134" s="198"/>
      <c r="D134" s="198" t="str">
        <f>IFERROR(__xludf.DUMMYFUNCTION("""COMPUTED_VALUE"""),"FALSE")</f>
        <v>FALSE</v>
      </c>
      <c r="E134" s="198" t="str">
        <f>IFERROR(__xludf.DUMMYFUNCTION("""COMPUTED_VALUE"""),"FALSE")</f>
        <v>FALSE</v>
      </c>
      <c r="F134" s="198"/>
      <c r="J134" s="184" t="str">
        <f>IFERROR(__xludf.DUMMYFUNCTION("""COMPUTED_VALUE"""),"")</f>
        <v/>
      </c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</row>
    <row r="135">
      <c r="A135" s="198"/>
      <c r="D135" s="198" t="str">
        <f>IFERROR(__xludf.DUMMYFUNCTION("""COMPUTED_VALUE"""),"FALSE")</f>
        <v>FALSE</v>
      </c>
      <c r="E135" s="198" t="str">
        <f>IFERROR(__xludf.DUMMYFUNCTION("""COMPUTED_VALUE"""),"FALSE")</f>
        <v>FALSE</v>
      </c>
      <c r="F135" s="198"/>
      <c r="J135" s="184" t="str">
        <f>IFERROR(__xludf.DUMMYFUNCTION("""COMPUTED_VALUE"""),"")</f>
        <v/>
      </c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</row>
    <row r="136">
      <c r="A136" s="198"/>
      <c r="D136" s="198" t="str">
        <f>IFERROR(__xludf.DUMMYFUNCTION("""COMPUTED_VALUE"""),"FALSE")</f>
        <v>FALSE</v>
      </c>
      <c r="E136" s="198" t="str">
        <f>IFERROR(__xludf.DUMMYFUNCTION("""COMPUTED_VALUE"""),"FALSE")</f>
        <v>FALSE</v>
      </c>
      <c r="F136" s="198"/>
      <c r="J136" s="184" t="str">
        <f>IFERROR(__xludf.DUMMYFUNCTION("""COMPUTED_VALUE"""),"")</f>
        <v/>
      </c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</row>
    <row r="137">
      <c r="A137" s="198"/>
      <c r="D137" s="198" t="str">
        <f>IFERROR(__xludf.DUMMYFUNCTION("""COMPUTED_VALUE"""),"FALSE")</f>
        <v>FALSE</v>
      </c>
      <c r="E137" s="198" t="str">
        <f>IFERROR(__xludf.DUMMYFUNCTION("""COMPUTED_VALUE"""),"FALSE")</f>
        <v>FALSE</v>
      </c>
      <c r="F137" s="198"/>
      <c r="J137" s="184" t="str">
        <f>IFERROR(__xludf.DUMMYFUNCTION("""COMPUTED_VALUE"""),"")</f>
        <v/>
      </c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</row>
    <row r="138">
      <c r="A138" s="198"/>
      <c r="D138" s="198" t="str">
        <f>IFERROR(__xludf.DUMMYFUNCTION("""COMPUTED_VALUE"""),"FALSE")</f>
        <v>FALSE</v>
      </c>
      <c r="E138" s="198" t="str">
        <f>IFERROR(__xludf.DUMMYFUNCTION("""COMPUTED_VALUE"""),"FALSE")</f>
        <v>FALSE</v>
      </c>
      <c r="F138" s="198"/>
      <c r="J138" s="184" t="str">
        <f>IFERROR(__xludf.DUMMYFUNCTION("""COMPUTED_VALUE"""),"")</f>
        <v/>
      </c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</row>
    <row r="139">
      <c r="A139" s="198"/>
      <c r="D139" s="198" t="str">
        <f>IFERROR(__xludf.DUMMYFUNCTION("""COMPUTED_VALUE"""),"FALSE")</f>
        <v>FALSE</v>
      </c>
      <c r="E139" s="198" t="str">
        <f>IFERROR(__xludf.DUMMYFUNCTION("""COMPUTED_VALUE"""),"FALSE")</f>
        <v>FALSE</v>
      </c>
      <c r="F139" s="198"/>
      <c r="J139" s="184" t="str">
        <f>IFERROR(__xludf.DUMMYFUNCTION("""COMPUTED_VALUE"""),"")</f>
        <v/>
      </c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</row>
    <row r="140">
      <c r="A140" s="198"/>
      <c r="D140" s="198" t="str">
        <f>IFERROR(__xludf.DUMMYFUNCTION("""COMPUTED_VALUE"""),"FALSE")</f>
        <v>FALSE</v>
      </c>
      <c r="E140" s="198" t="str">
        <f>IFERROR(__xludf.DUMMYFUNCTION("""COMPUTED_VALUE"""),"FALSE")</f>
        <v>FALSE</v>
      </c>
      <c r="F140" s="198"/>
      <c r="J140" s="184" t="str">
        <f>IFERROR(__xludf.DUMMYFUNCTION("""COMPUTED_VALUE"""),"")</f>
        <v/>
      </c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</row>
    <row r="141">
      <c r="A141" s="198"/>
      <c r="D141" s="198" t="str">
        <f>IFERROR(__xludf.DUMMYFUNCTION("""COMPUTED_VALUE"""),"FALSE")</f>
        <v>FALSE</v>
      </c>
      <c r="E141" s="198" t="str">
        <f>IFERROR(__xludf.DUMMYFUNCTION("""COMPUTED_VALUE"""),"FALSE")</f>
        <v>FALSE</v>
      </c>
      <c r="F141" s="198"/>
      <c r="J141" s="184" t="str">
        <f>IFERROR(__xludf.DUMMYFUNCTION("""COMPUTED_VALUE"""),"")</f>
        <v/>
      </c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</row>
    <row r="142">
      <c r="A142" s="198"/>
      <c r="D142" s="198" t="str">
        <f>IFERROR(__xludf.DUMMYFUNCTION("""COMPUTED_VALUE"""),"FALSE")</f>
        <v>FALSE</v>
      </c>
      <c r="E142" s="198" t="str">
        <f>IFERROR(__xludf.DUMMYFUNCTION("""COMPUTED_VALUE"""),"FALSE")</f>
        <v>FALSE</v>
      </c>
      <c r="F142" s="198"/>
      <c r="J142" s="184" t="str">
        <f>IFERROR(__xludf.DUMMYFUNCTION("""COMPUTED_VALUE"""),"")</f>
        <v/>
      </c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</row>
    <row r="143">
      <c r="A143" s="198"/>
      <c r="D143" s="198" t="str">
        <f>IFERROR(__xludf.DUMMYFUNCTION("""COMPUTED_VALUE"""),"FALSE")</f>
        <v>FALSE</v>
      </c>
      <c r="E143" s="198" t="str">
        <f>IFERROR(__xludf.DUMMYFUNCTION("""COMPUTED_VALUE"""),"FALSE")</f>
        <v>FALSE</v>
      </c>
      <c r="F143" s="198"/>
      <c r="J143" s="184" t="str">
        <f>IFERROR(__xludf.DUMMYFUNCTION("""COMPUTED_VALUE"""),"")</f>
        <v/>
      </c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</row>
    <row r="144">
      <c r="A144" s="198"/>
      <c r="D144" s="198" t="str">
        <f>IFERROR(__xludf.DUMMYFUNCTION("""COMPUTED_VALUE"""),"FALSE")</f>
        <v>FALSE</v>
      </c>
      <c r="E144" s="198" t="str">
        <f>IFERROR(__xludf.DUMMYFUNCTION("""COMPUTED_VALUE"""),"FALSE")</f>
        <v>FALSE</v>
      </c>
      <c r="F144" s="198"/>
      <c r="J144" s="184" t="str">
        <f>IFERROR(__xludf.DUMMYFUNCTION("""COMPUTED_VALUE"""),"")</f>
        <v/>
      </c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</row>
    <row r="145">
      <c r="A145" s="198"/>
      <c r="D145" s="198" t="str">
        <f>IFERROR(__xludf.DUMMYFUNCTION("""COMPUTED_VALUE"""),"FALSE")</f>
        <v>FALSE</v>
      </c>
      <c r="E145" s="198" t="str">
        <f>IFERROR(__xludf.DUMMYFUNCTION("""COMPUTED_VALUE"""),"FALSE")</f>
        <v>FALSE</v>
      </c>
      <c r="F145" s="198"/>
      <c r="J145" s="184" t="str">
        <f>IFERROR(__xludf.DUMMYFUNCTION("""COMPUTED_VALUE"""),"")</f>
        <v/>
      </c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</row>
    <row r="146">
      <c r="A146" s="198"/>
      <c r="D146" s="198" t="str">
        <f>IFERROR(__xludf.DUMMYFUNCTION("""COMPUTED_VALUE"""),"FALSE")</f>
        <v>FALSE</v>
      </c>
      <c r="E146" s="198" t="str">
        <f>IFERROR(__xludf.DUMMYFUNCTION("""COMPUTED_VALUE"""),"FALSE")</f>
        <v>FALSE</v>
      </c>
      <c r="F146" s="198"/>
      <c r="J146" s="184" t="str">
        <f>IFERROR(__xludf.DUMMYFUNCTION("""COMPUTED_VALUE"""),"")</f>
        <v/>
      </c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</row>
    <row r="147">
      <c r="A147" s="198"/>
      <c r="D147" s="198" t="str">
        <f>IFERROR(__xludf.DUMMYFUNCTION("""COMPUTED_VALUE"""),"FALSE")</f>
        <v>FALSE</v>
      </c>
      <c r="E147" s="198" t="str">
        <f>IFERROR(__xludf.DUMMYFUNCTION("""COMPUTED_VALUE"""),"FALSE")</f>
        <v>FALSE</v>
      </c>
      <c r="F147" s="198"/>
      <c r="J147" s="184" t="str">
        <f>IFERROR(__xludf.DUMMYFUNCTION("""COMPUTED_VALUE"""),"")</f>
        <v/>
      </c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</row>
    <row r="148">
      <c r="A148" s="198"/>
      <c r="D148" s="198" t="str">
        <f>IFERROR(__xludf.DUMMYFUNCTION("""COMPUTED_VALUE"""),"FALSE")</f>
        <v>FALSE</v>
      </c>
      <c r="E148" s="198" t="str">
        <f>IFERROR(__xludf.DUMMYFUNCTION("""COMPUTED_VALUE"""),"FALSE")</f>
        <v>FALSE</v>
      </c>
      <c r="F148" s="198"/>
      <c r="J148" s="184" t="str">
        <f>IFERROR(__xludf.DUMMYFUNCTION("""COMPUTED_VALUE"""),"")</f>
        <v/>
      </c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</row>
    <row r="149">
      <c r="A149" s="198"/>
      <c r="D149" s="198" t="str">
        <f>IFERROR(__xludf.DUMMYFUNCTION("""COMPUTED_VALUE"""),"FALSE")</f>
        <v>FALSE</v>
      </c>
      <c r="E149" s="198" t="str">
        <f>IFERROR(__xludf.DUMMYFUNCTION("""COMPUTED_VALUE"""),"FALSE")</f>
        <v>FALSE</v>
      </c>
      <c r="F149" s="198"/>
      <c r="J149" s="184" t="str">
        <f>IFERROR(__xludf.DUMMYFUNCTION("""COMPUTED_VALUE"""),"")</f>
        <v/>
      </c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</row>
    <row r="150">
      <c r="A150" s="198"/>
      <c r="D150" s="198" t="str">
        <f>IFERROR(__xludf.DUMMYFUNCTION("""COMPUTED_VALUE"""),"FALSE")</f>
        <v>FALSE</v>
      </c>
      <c r="E150" s="198" t="str">
        <f>IFERROR(__xludf.DUMMYFUNCTION("""COMPUTED_VALUE"""),"FALSE")</f>
        <v>FALSE</v>
      </c>
      <c r="F150" s="198"/>
      <c r="J150" s="184" t="str">
        <f>IFERROR(__xludf.DUMMYFUNCTION("""COMPUTED_VALUE"""),"")</f>
        <v/>
      </c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</row>
    <row r="151">
      <c r="A151" s="198"/>
      <c r="D151" s="198" t="str">
        <f>IFERROR(__xludf.DUMMYFUNCTION("""COMPUTED_VALUE"""),"FALSE")</f>
        <v>FALSE</v>
      </c>
      <c r="E151" s="198" t="str">
        <f>IFERROR(__xludf.DUMMYFUNCTION("""COMPUTED_VALUE"""),"FALSE")</f>
        <v>FALSE</v>
      </c>
      <c r="F151" s="198"/>
      <c r="J151" s="184" t="str">
        <f>IFERROR(__xludf.DUMMYFUNCTION("""COMPUTED_VALUE"""),"")</f>
        <v/>
      </c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</row>
    <row r="152">
      <c r="A152" s="198"/>
      <c r="D152" s="198" t="str">
        <f>IFERROR(__xludf.DUMMYFUNCTION("""COMPUTED_VALUE"""),"FALSE")</f>
        <v>FALSE</v>
      </c>
      <c r="E152" s="198" t="str">
        <f>IFERROR(__xludf.DUMMYFUNCTION("""COMPUTED_VALUE"""),"FALSE")</f>
        <v>FALSE</v>
      </c>
      <c r="F152" s="198"/>
      <c r="J152" s="184" t="str">
        <f>IFERROR(__xludf.DUMMYFUNCTION("""COMPUTED_VALUE"""),"")</f>
        <v/>
      </c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</row>
    <row r="153">
      <c r="A153" s="198"/>
      <c r="D153" s="198" t="str">
        <f>IFERROR(__xludf.DUMMYFUNCTION("""COMPUTED_VALUE"""),"FALSE")</f>
        <v>FALSE</v>
      </c>
      <c r="E153" s="198" t="str">
        <f>IFERROR(__xludf.DUMMYFUNCTION("""COMPUTED_VALUE"""),"FALSE")</f>
        <v>FALSE</v>
      </c>
      <c r="F153" s="198"/>
      <c r="J153" s="184" t="str">
        <f>IFERROR(__xludf.DUMMYFUNCTION("""COMPUTED_VALUE"""),"")</f>
        <v/>
      </c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</row>
    <row r="154">
      <c r="A154" s="198"/>
      <c r="D154" s="198" t="str">
        <f>IFERROR(__xludf.DUMMYFUNCTION("""COMPUTED_VALUE"""),"FALSE")</f>
        <v>FALSE</v>
      </c>
      <c r="E154" s="198" t="str">
        <f>IFERROR(__xludf.DUMMYFUNCTION("""COMPUTED_VALUE"""),"FALSE")</f>
        <v>FALSE</v>
      </c>
      <c r="F154" s="198"/>
      <c r="J154" s="184" t="str">
        <f>IFERROR(__xludf.DUMMYFUNCTION("""COMPUTED_VALUE"""),"")</f>
        <v/>
      </c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</row>
    <row r="155">
      <c r="A155" s="198"/>
      <c r="D155" s="198" t="str">
        <f>IFERROR(__xludf.DUMMYFUNCTION("""COMPUTED_VALUE"""),"FALSE")</f>
        <v>FALSE</v>
      </c>
      <c r="E155" s="198" t="str">
        <f>IFERROR(__xludf.DUMMYFUNCTION("""COMPUTED_VALUE"""),"FALSE")</f>
        <v>FALSE</v>
      </c>
      <c r="F155" s="198"/>
      <c r="J155" s="184" t="str">
        <f>IFERROR(__xludf.DUMMYFUNCTION("""COMPUTED_VALUE"""),"")</f>
        <v/>
      </c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</row>
    <row r="156">
      <c r="A156" s="198"/>
      <c r="D156" s="198" t="str">
        <f>IFERROR(__xludf.DUMMYFUNCTION("""COMPUTED_VALUE"""),"FALSE")</f>
        <v>FALSE</v>
      </c>
      <c r="E156" s="198" t="str">
        <f>IFERROR(__xludf.DUMMYFUNCTION("""COMPUTED_VALUE"""),"FALSE")</f>
        <v>FALSE</v>
      </c>
      <c r="F156" s="198"/>
      <c r="J156" s="184" t="str">
        <f>IFERROR(__xludf.DUMMYFUNCTION("""COMPUTED_VALUE"""),"")</f>
        <v/>
      </c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</row>
    <row r="157">
      <c r="A157" s="198"/>
      <c r="D157" s="198" t="str">
        <f>IFERROR(__xludf.DUMMYFUNCTION("""COMPUTED_VALUE"""),"FALSE")</f>
        <v>FALSE</v>
      </c>
      <c r="E157" s="198" t="str">
        <f>IFERROR(__xludf.DUMMYFUNCTION("""COMPUTED_VALUE"""),"FALSE")</f>
        <v>FALSE</v>
      </c>
      <c r="F157" s="198"/>
      <c r="J157" s="184" t="str">
        <f>IFERROR(__xludf.DUMMYFUNCTION("""COMPUTED_VALUE"""),"")</f>
        <v/>
      </c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</row>
    <row r="158">
      <c r="A158" s="198"/>
      <c r="D158" s="198" t="str">
        <f>IFERROR(__xludf.DUMMYFUNCTION("""COMPUTED_VALUE"""),"FALSE")</f>
        <v>FALSE</v>
      </c>
      <c r="E158" s="198" t="str">
        <f>IFERROR(__xludf.DUMMYFUNCTION("""COMPUTED_VALUE"""),"FALSE")</f>
        <v>FALSE</v>
      </c>
      <c r="F158" s="198"/>
      <c r="J158" s="184" t="str">
        <f>IFERROR(__xludf.DUMMYFUNCTION("""COMPUTED_VALUE"""),"")</f>
        <v/>
      </c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</row>
    <row r="159">
      <c r="A159" s="198"/>
      <c r="D159" s="198" t="str">
        <f>IFERROR(__xludf.DUMMYFUNCTION("""COMPUTED_VALUE"""),"FALSE")</f>
        <v>FALSE</v>
      </c>
      <c r="E159" s="198" t="str">
        <f>IFERROR(__xludf.DUMMYFUNCTION("""COMPUTED_VALUE"""),"FALSE")</f>
        <v>FALSE</v>
      </c>
      <c r="F159" s="198"/>
      <c r="J159" s="184" t="str">
        <f>IFERROR(__xludf.DUMMYFUNCTION("""COMPUTED_VALUE"""),"")</f>
        <v/>
      </c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</row>
    <row r="160">
      <c r="A160" s="198"/>
      <c r="D160" s="198" t="str">
        <f>IFERROR(__xludf.DUMMYFUNCTION("""COMPUTED_VALUE"""),"FALSE")</f>
        <v>FALSE</v>
      </c>
      <c r="E160" s="198" t="str">
        <f>IFERROR(__xludf.DUMMYFUNCTION("""COMPUTED_VALUE"""),"FALSE")</f>
        <v>FALSE</v>
      </c>
      <c r="F160" s="198"/>
      <c r="J160" s="184" t="str">
        <f>IFERROR(__xludf.DUMMYFUNCTION("""COMPUTED_VALUE"""),"")</f>
        <v/>
      </c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</row>
    <row r="161">
      <c r="A161" s="198"/>
      <c r="D161" s="198" t="str">
        <f>IFERROR(__xludf.DUMMYFUNCTION("""COMPUTED_VALUE"""),"FALSE")</f>
        <v>FALSE</v>
      </c>
      <c r="E161" s="198" t="str">
        <f>IFERROR(__xludf.DUMMYFUNCTION("""COMPUTED_VALUE"""),"FALSE")</f>
        <v>FALSE</v>
      </c>
      <c r="F161" s="198"/>
      <c r="J161" s="184" t="str">
        <f>IFERROR(__xludf.DUMMYFUNCTION("""COMPUTED_VALUE"""),"")</f>
        <v/>
      </c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</row>
    <row r="162">
      <c r="A162" s="198"/>
      <c r="D162" s="198" t="str">
        <f>IFERROR(__xludf.DUMMYFUNCTION("""COMPUTED_VALUE"""),"FALSE")</f>
        <v>FALSE</v>
      </c>
      <c r="E162" s="198" t="str">
        <f>IFERROR(__xludf.DUMMYFUNCTION("""COMPUTED_VALUE"""),"FALSE")</f>
        <v>FALSE</v>
      </c>
      <c r="F162" s="198"/>
      <c r="J162" s="184" t="str">
        <f>IFERROR(__xludf.DUMMYFUNCTION("""COMPUTED_VALUE"""),"")</f>
        <v/>
      </c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</row>
    <row r="163">
      <c r="A163" s="198"/>
      <c r="D163" s="198" t="str">
        <f>IFERROR(__xludf.DUMMYFUNCTION("""COMPUTED_VALUE"""),"FALSE")</f>
        <v>FALSE</v>
      </c>
      <c r="E163" s="198" t="str">
        <f>IFERROR(__xludf.DUMMYFUNCTION("""COMPUTED_VALUE"""),"FALSE")</f>
        <v>FALSE</v>
      </c>
      <c r="F163" s="198"/>
      <c r="J163" s="184" t="str">
        <f>IFERROR(__xludf.DUMMYFUNCTION("""COMPUTED_VALUE"""),"")</f>
        <v/>
      </c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</row>
    <row r="164">
      <c r="A164" s="198"/>
      <c r="D164" s="198" t="str">
        <f>IFERROR(__xludf.DUMMYFUNCTION("""COMPUTED_VALUE"""),"FALSE")</f>
        <v>FALSE</v>
      </c>
      <c r="E164" s="198" t="str">
        <f>IFERROR(__xludf.DUMMYFUNCTION("""COMPUTED_VALUE"""),"FALSE")</f>
        <v>FALSE</v>
      </c>
      <c r="F164" s="198"/>
      <c r="J164" s="184" t="str">
        <f>IFERROR(__xludf.DUMMYFUNCTION("""COMPUTED_VALUE"""),"")</f>
        <v/>
      </c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</row>
    <row r="165">
      <c r="A165" s="198"/>
      <c r="D165" s="198" t="str">
        <f>IFERROR(__xludf.DUMMYFUNCTION("""COMPUTED_VALUE"""),"FALSE")</f>
        <v>FALSE</v>
      </c>
      <c r="E165" s="198" t="str">
        <f>IFERROR(__xludf.DUMMYFUNCTION("""COMPUTED_VALUE"""),"FALSE")</f>
        <v>FALSE</v>
      </c>
      <c r="F165" s="198"/>
      <c r="J165" s="184" t="str">
        <f>IFERROR(__xludf.DUMMYFUNCTION("""COMPUTED_VALUE"""),"")</f>
        <v/>
      </c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</row>
    <row r="166">
      <c r="A166" s="198"/>
      <c r="D166" s="198" t="str">
        <f>IFERROR(__xludf.DUMMYFUNCTION("""COMPUTED_VALUE"""),"FALSE")</f>
        <v>FALSE</v>
      </c>
      <c r="E166" s="198" t="str">
        <f>IFERROR(__xludf.DUMMYFUNCTION("""COMPUTED_VALUE"""),"FALSE")</f>
        <v>FALSE</v>
      </c>
      <c r="F166" s="198"/>
      <c r="J166" s="184" t="str">
        <f>IFERROR(__xludf.DUMMYFUNCTION("""COMPUTED_VALUE"""),"")</f>
        <v/>
      </c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</row>
    <row r="167">
      <c r="A167" s="198"/>
      <c r="D167" s="198" t="str">
        <f>IFERROR(__xludf.DUMMYFUNCTION("""COMPUTED_VALUE"""),"FALSE")</f>
        <v>FALSE</v>
      </c>
      <c r="E167" s="198" t="str">
        <f>IFERROR(__xludf.DUMMYFUNCTION("""COMPUTED_VALUE"""),"FALSE")</f>
        <v>FALSE</v>
      </c>
      <c r="F167" s="198"/>
      <c r="J167" s="184" t="str">
        <f>IFERROR(__xludf.DUMMYFUNCTION("""COMPUTED_VALUE"""),"")</f>
        <v/>
      </c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</row>
    <row r="168">
      <c r="A168" s="198"/>
      <c r="D168" s="198" t="str">
        <f>IFERROR(__xludf.DUMMYFUNCTION("""COMPUTED_VALUE"""),"FALSE")</f>
        <v>FALSE</v>
      </c>
      <c r="E168" s="198" t="str">
        <f>IFERROR(__xludf.DUMMYFUNCTION("""COMPUTED_VALUE"""),"FALSE")</f>
        <v>FALSE</v>
      </c>
      <c r="F168" s="198"/>
      <c r="J168" s="184" t="str">
        <f>IFERROR(__xludf.DUMMYFUNCTION("""COMPUTED_VALUE"""),"")</f>
        <v/>
      </c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</row>
    <row r="169">
      <c r="A169" s="198"/>
      <c r="D169" s="198" t="str">
        <f>IFERROR(__xludf.DUMMYFUNCTION("""COMPUTED_VALUE"""),"FALSE")</f>
        <v>FALSE</v>
      </c>
      <c r="E169" s="198" t="str">
        <f>IFERROR(__xludf.DUMMYFUNCTION("""COMPUTED_VALUE"""),"FALSE")</f>
        <v>FALSE</v>
      </c>
      <c r="F169" s="198"/>
      <c r="J169" s="184" t="str">
        <f>IFERROR(__xludf.DUMMYFUNCTION("""COMPUTED_VALUE"""),"")</f>
        <v/>
      </c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</row>
    <row r="170">
      <c r="A170" s="198"/>
      <c r="D170" s="198" t="str">
        <f>IFERROR(__xludf.DUMMYFUNCTION("""COMPUTED_VALUE"""),"FALSE")</f>
        <v>FALSE</v>
      </c>
      <c r="E170" s="198" t="str">
        <f>IFERROR(__xludf.DUMMYFUNCTION("""COMPUTED_VALUE"""),"FALSE")</f>
        <v>FALSE</v>
      </c>
      <c r="F170" s="198"/>
      <c r="J170" s="184" t="str">
        <f>IFERROR(__xludf.DUMMYFUNCTION("""COMPUTED_VALUE"""),"")</f>
        <v/>
      </c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</row>
    <row r="171">
      <c r="A171" s="198"/>
      <c r="D171" s="198" t="str">
        <f>IFERROR(__xludf.DUMMYFUNCTION("""COMPUTED_VALUE"""),"FALSE")</f>
        <v>FALSE</v>
      </c>
      <c r="E171" s="198" t="str">
        <f>IFERROR(__xludf.DUMMYFUNCTION("""COMPUTED_VALUE"""),"FALSE")</f>
        <v>FALSE</v>
      </c>
      <c r="F171" s="198"/>
      <c r="J171" s="184" t="str">
        <f>IFERROR(__xludf.DUMMYFUNCTION("""COMPUTED_VALUE"""),"")</f>
        <v/>
      </c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</row>
    <row r="172">
      <c r="A172" s="198"/>
      <c r="D172" s="198" t="str">
        <f>IFERROR(__xludf.DUMMYFUNCTION("""COMPUTED_VALUE"""),"FALSE")</f>
        <v>FALSE</v>
      </c>
      <c r="E172" s="198" t="str">
        <f>IFERROR(__xludf.DUMMYFUNCTION("""COMPUTED_VALUE"""),"FALSE")</f>
        <v>FALSE</v>
      </c>
      <c r="F172" s="198"/>
      <c r="J172" s="184" t="str">
        <f>IFERROR(__xludf.DUMMYFUNCTION("""COMPUTED_VALUE"""),"")</f>
        <v/>
      </c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</row>
    <row r="173">
      <c r="A173" s="198"/>
      <c r="D173" s="198" t="str">
        <f>IFERROR(__xludf.DUMMYFUNCTION("""COMPUTED_VALUE"""),"FALSE")</f>
        <v>FALSE</v>
      </c>
      <c r="E173" s="198" t="str">
        <f>IFERROR(__xludf.DUMMYFUNCTION("""COMPUTED_VALUE"""),"FALSE")</f>
        <v>FALSE</v>
      </c>
      <c r="F173" s="198"/>
      <c r="J173" s="184" t="str">
        <f>IFERROR(__xludf.DUMMYFUNCTION("""COMPUTED_VALUE"""),"")</f>
        <v/>
      </c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</row>
    <row r="174">
      <c r="A174" s="198"/>
      <c r="D174" s="198" t="str">
        <f>IFERROR(__xludf.DUMMYFUNCTION("""COMPUTED_VALUE"""),"FALSE")</f>
        <v>FALSE</v>
      </c>
      <c r="E174" s="198" t="str">
        <f>IFERROR(__xludf.DUMMYFUNCTION("""COMPUTED_VALUE"""),"FALSE")</f>
        <v>FALSE</v>
      </c>
      <c r="F174" s="198"/>
      <c r="J174" s="184" t="str">
        <f>IFERROR(__xludf.DUMMYFUNCTION("""COMPUTED_VALUE"""),"")</f>
        <v/>
      </c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</row>
    <row r="175">
      <c r="A175" s="198"/>
      <c r="D175" s="198" t="str">
        <f>IFERROR(__xludf.DUMMYFUNCTION("""COMPUTED_VALUE"""),"FALSE")</f>
        <v>FALSE</v>
      </c>
      <c r="E175" s="198" t="str">
        <f>IFERROR(__xludf.DUMMYFUNCTION("""COMPUTED_VALUE"""),"FALSE")</f>
        <v>FALSE</v>
      </c>
      <c r="F175" s="198"/>
      <c r="J175" s="184" t="str">
        <f>IFERROR(__xludf.DUMMYFUNCTION("""COMPUTED_VALUE"""),"")</f>
        <v/>
      </c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</row>
    <row r="176">
      <c r="A176" s="198"/>
      <c r="D176" s="198" t="str">
        <f>IFERROR(__xludf.DUMMYFUNCTION("""COMPUTED_VALUE"""),"FALSE")</f>
        <v>FALSE</v>
      </c>
      <c r="E176" s="198" t="str">
        <f>IFERROR(__xludf.DUMMYFUNCTION("""COMPUTED_VALUE"""),"FALSE")</f>
        <v>FALSE</v>
      </c>
      <c r="F176" s="198"/>
      <c r="J176" s="184" t="str">
        <f>IFERROR(__xludf.DUMMYFUNCTION("""COMPUTED_VALUE"""),"")</f>
        <v/>
      </c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</row>
    <row r="177">
      <c r="A177" s="198"/>
      <c r="D177" s="198" t="str">
        <f>IFERROR(__xludf.DUMMYFUNCTION("""COMPUTED_VALUE"""),"FALSE")</f>
        <v>FALSE</v>
      </c>
      <c r="E177" s="198" t="str">
        <f>IFERROR(__xludf.DUMMYFUNCTION("""COMPUTED_VALUE"""),"FALSE")</f>
        <v>FALSE</v>
      </c>
      <c r="F177" s="198"/>
      <c r="J177" s="184" t="str">
        <f>IFERROR(__xludf.DUMMYFUNCTION("""COMPUTED_VALUE"""),"")</f>
        <v/>
      </c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</row>
    <row r="178">
      <c r="A178" s="198"/>
      <c r="D178" s="198" t="str">
        <f>IFERROR(__xludf.DUMMYFUNCTION("""COMPUTED_VALUE"""),"FALSE")</f>
        <v>FALSE</v>
      </c>
      <c r="E178" s="198" t="str">
        <f>IFERROR(__xludf.DUMMYFUNCTION("""COMPUTED_VALUE"""),"FALSE")</f>
        <v>FALSE</v>
      </c>
      <c r="F178" s="198"/>
      <c r="J178" s="184" t="str">
        <f>IFERROR(__xludf.DUMMYFUNCTION("""COMPUTED_VALUE"""),"")</f>
        <v/>
      </c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</row>
    <row r="179">
      <c r="A179" s="198"/>
      <c r="D179" s="198" t="str">
        <f>IFERROR(__xludf.DUMMYFUNCTION("""COMPUTED_VALUE"""),"FALSE")</f>
        <v>FALSE</v>
      </c>
      <c r="E179" s="198" t="str">
        <f>IFERROR(__xludf.DUMMYFUNCTION("""COMPUTED_VALUE"""),"FALSE")</f>
        <v>FALSE</v>
      </c>
      <c r="F179" s="198"/>
      <c r="J179" s="184" t="str">
        <f>IFERROR(__xludf.DUMMYFUNCTION("""COMPUTED_VALUE"""),"")</f>
        <v/>
      </c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</row>
    <row r="180">
      <c r="A180" s="198"/>
      <c r="D180" s="198" t="str">
        <f>IFERROR(__xludf.DUMMYFUNCTION("""COMPUTED_VALUE"""),"FALSE")</f>
        <v>FALSE</v>
      </c>
      <c r="E180" s="198" t="str">
        <f>IFERROR(__xludf.DUMMYFUNCTION("""COMPUTED_VALUE"""),"FALSE")</f>
        <v>FALSE</v>
      </c>
      <c r="F180" s="198"/>
      <c r="J180" s="184" t="str">
        <f>IFERROR(__xludf.DUMMYFUNCTION("""COMPUTED_VALUE"""),"")</f>
        <v/>
      </c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</row>
    <row r="181">
      <c r="A181" s="198"/>
      <c r="D181" s="198" t="str">
        <f>IFERROR(__xludf.DUMMYFUNCTION("""COMPUTED_VALUE"""),"FALSE")</f>
        <v>FALSE</v>
      </c>
      <c r="E181" s="198" t="str">
        <f>IFERROR(__xludf.DUMMYFUNCTION("""COMPUTED_VALUE"""),"FALSE")</f>
        <v>FALSE</v>
      </c>
      <c r="F181" s="198"/>
      <c r="J181" s="184" t="str">
        <f>IFERROR(__xludf.DUMMYFUNCTION("""COMPUTED_VALUE"""),"")</f>
        <v/>
      </c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</row>
    <row r="182">
      <c r="A182" s="198"/>
      <c r="D182" s="198" t="str">
        <f>IFERROR(__xludf.DUMMYFUNCTION("""COMPUTED_VALUE"""),"FALSE")</f>
        <v>FALSE</v>
      </c>
      <c r="E182" s="198" t="str">
        <f>IFERROR(__xludf.DUMMYFUNCTION("""COMPUTED_VALUE"""),"FALSE")</f>
        <v>FALSE</v>
      </c>
      <c r="F182" s="198"/>
      <c r="J182" s="184" t="str">
        <f>IFERROR(__xludf.DUMMYFUNCTION("""COMPUTED_VALUE"""),"")</f>
        <v/>
      </c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</row>
    <row r="183">
      <c r="A183" s="198"/>
      <c r="D183" s="198" t="str">
        <f>IFERROR(__xludf.DUMMYFUNCTION("""COMPUTED_VALUE"""),"FALSE")</f>
        <v>FALSE</v>
      </c>
      <c r="E183" s="198" t="str">
        <f>IFERROR(__xludf.DUMMYFUNCTION("""COMPUTED_VALUE"""),"FALSE")</f>
        <v>FALSE</v>
      </c>
      <c r="F183" s="198"/>
      <c r="J183" s="184" t="str">
        <f>IFERROR(__xludf.DUMMYFUNCTION("""COMPUTED_VALUE"""),"")</f>
        <v/>
      </c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</row>
    <row r="184">
      <c r="A184" s="198"/>
      <c r="D184" s="198" t="str">
        <f>IFERROR(__xludf.DUMMYFUNCTION("""COMPUTED_VALUE"""),"FALSE")</f>
        <v>FALSE</v>
      </c>
      <c r="E184" s="198" t="str">
        <f>IFERROR(__xludf.DUMMYFUNCTION("""COMPUTED_VALUE"""),"FALSE")</f>
        <v>FALSE</v>
      </c>
      <c r="F184" s="198"/>
      <c r="J184" s="184" t="str">
        <f>IFERROR(__xludf.DUMMYFUNCTION("""COMPUTED_VALUE"""),"")</f>
        <v/>
      </c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</row>
    <row r="185">
      <c r="A185" s="198"/>
      <c r="D185" s="198" t="str">
        <f>IFERROR(__xludf.DUMMYFUNCTION("""COMPUTED_VALUE"""),"FALSE")</f>
        <v>FALSE</v>
      </c>
      <c r="E185" s="198" t="str">
        <f>IFERROR(__xludf.DUMMYFUNCTION("""COMPUTED_VALUE"""),"FALSE")</f>
        <v>FALSE</v>
      </c>
      <c r="F185" s="198"/>
      <c r="J185" s="184" t="str">
        <f>IFERROR(__xludf.DUMMYFUNCTION("""COMPUTED_VALUE"""),"")</f>
        <v/>
      </c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</row>
    <row r="186">
      <c r="A186" s="198"/>
      <c r="D186" s="198" t="str">
        <f>IFERROR(__xludf.DUMMYFUNCTION("""COMPUTED_VALUE"""),"FALSE")</f>
        <v>FALSE</v>
      </c>
      <c r="E186" s="198" t="str">
        <f>IFERROR(__xludf.DUMMYFUNCTION("""COMPUTED_VALUE"""),"FALSE")</f>
        <v>FALSE</v>
      </c>
      <c r="F186" s="198"/>
      <c r="J186" s="184" t="str">
        <f>IFERROR(__xludf.DUMMYFUNCTION("""COMPUTED_VALUE"""),"")</f>
        <v/>
      </c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</row>
    <row r="187">
      <c r="A187" s="198"/>
      <c r="D187" s="198" t="str">
        <f>IFERROR(__xludf.DUMMYFUNCTION("""COMPUTED_VALUE"""),"FALSE")</f>
        <v>FALSE</v>
      </c>
      <c r="E187" s="198" t="str">
        <f>IFERROR(__xludf.DUMMYFUNCTION("""COMPUTED_VALUE"""),"FALSE")</f>
        <v>FALSE</v>
      </c>
      <c r="F187" s="198"/>
      <c r="J187" s="184" t="str">
        <f>IFERROR(__xludf.DUMMYFUNCTION("""COMPUTED_VALUE"""),"")</f>
        <v/>
      </c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</row>
    <row r="188">
      <c r="A188" s="198"/>
      <c r="D188" s="198" t="str">
        <f>IFERROR(__xludf.DUMMYFUNCTION("""COMPUTED_VALUE"""),"FALSE")</f>
        <v>FALSE</v>
      </c>
      <c r="E188" s="198" t="str">
        <f>IFERROR(__xludf.DUMMYFUNCTION("""COMPUTED_VALUE"""),"FALSE")</f>
        <v>FALSE</v>
      </c>
      <c r="F188" s="198"/>
      <c r="J188" s="184" t="str">
        <f>IFERROR(__xludf.DUMMYFUNCTION("""COMPUTED_VALUE"""),"")</f>
        <v/>
      </c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</row>
    <row r="189">
      <c r="A189" s="198"/>
      <c r="D189" s="198" t="str">
        <f>IFERROR(__xludf.DUMMYFUNCTION("""COMPUTED_VALUE"""),"FALSE")</f>
        <v>FALSE</v>
      </c>
      <c r="E189" s="198" t="str">
        <f>IFERROR(__xludf.DUMMYFUNCTION("""COMPUTED_VALUE"""),"FALSE")</f>
        <v>FALSE</v>
      </c>
      <c r="F189" s="198"/>
      <c r="J189" s="184" t="str">
        <f>IFERROR(__xludf.DUMMYFUNCTION("""COMPUTED_VALUE"""),"")</f>
        <v/>
      </c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</row>
    <row r="190">
      <c r="A190" s="198"/>
      <c r="D190" s="198" t="str">
        <f>IFERROR(__xludf.DUMMYFUNCTION("""COMPUTED_VALUE"""),"FALSE")</f>
        <v>FALSE</v>
      </c>
      <c r="E190" s="198" t="str">
        <f>IFERROR(__xludf.DUMMYFUNCTION("""COMPUTED_VALUE"""),"FALSE")</f>
        <v>FALSE</v>
      </c>
      <c r="F190" s="198"/>
      <c r="J190" s="184" t="str">
        <f>IFERROR(__xludf.DUMMYFUNCTION("""COMPUTED_VALUE"""),"")</f>
        <v/>
      </c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</row>
    <row r="191">
      <c r="A191" s="198"/>
      <c r="D191" s="198" t="str">
        <f>IFERROR(__xludf.DUMMYFUNCTION("""COMPUTED_VALUE"""),"FALSE")</f>
        <v>FALSE</v>
      </c>
      <c r="E191" s="198" t="str">
        <f>IFERROR(__xludf.DUMMYFUNCTION("""COMPUTED_VALUE"""),"FALSE")</f>
        <v>FALSE</v>
      </c>
      <c r="F191" s="198"/>
      <c r="J191" s="184" t="str">
        <f>IFERROR(__xludf.DUMMYFUNCTION("""COMPUTED_VALUE"""),"")</f>
        <v/>
      </c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</row>
    <row r="192">
      <c r="A192" s="198"/>
      <c r="D192" s="198" t="str">
        <f>IFERROR(__xludf.DUMMYFUNCTION("""COMPUTED_VALUE"""),"FALSE")</f>
        <v>FALSE</v>
      </c>
      <c r="E192" s="198" t="str">
        <f>IFERROR(__xludf.DUMMYFUNCTION("""COMPUTED_VALUE"""),"FALSE")</f>
        <v>FALSE</v>
      </c>
      <c r="F192" s="198"/>
      <c r="J192" s="184" t="str">
        <f>IFERROR(__xludf.DUMMYFUNCTION("""COMPUTED_VALUE"""),"")</f>
        <v/>
      </c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</row>
    <row r="193">
      <c r="A193" s="198"/>
      <c r="D193" s="198" t="str">
        <f>IFERROR(__xludf.DUMMYFUNCTION("""COMPUTED_VALUE"""),"FALSE")</f>
        <v>FALSE</v>
      </c>
      <c r="E193" s="198" t="str">
        <f>IFERROR(__xludf.DUMMYFUNCTION("""COMPUTED_VALUE"""),"FALSE")</f>
        <v>FALSE</v>
      </c>
      <c r="F193" s="198"/>
      <c r="J193" s="184" t="str">
        <f>IFERROR(__xludf.DUMMYFUNCTION("""COMPUTED_VALUE"""),"")</f>
        <v/>
      </c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</row>
    <row r="194">
      <c r="A194" s="198"/>
      <c r="D194" s="198" t="str">
        <f>IFERROR(__xludf.DUMMYFUNCTION("""COMPUTED_VALUE"""),"FALSE")</f>
        <v>FALSE</v>
      </c>
      <c r="E194" s="198" t="str">
        <f>IFERROR(__xludf.DUMMYFUNCTION("""COMPUTED_VALUE"""),"FALSE")</f>
        <v>FALSE</v>
      </c>
      <c r="F194" s="198"/>
      <c r="J194" s="184" t="str">
        <f>IFERROR(__xludf.DUMMYFUNCTION("""COMPUTED_VALUE"""),"")</f>
        <v/>
      </c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</row>
    <row r="195">
      <c r="A195" s="198"/>
      <c r="D195" s="198" t="str">
        <f>IFERROR(__xludf.DUMMYFUNCTION("""COMPUTED_VALUE"""),"FALSE")</f>
        <v>FALSE</v>
      </c>
      <c r="E195" s="198" t="str">
        <f>IFERROR(__xludf.DUMMYFUNCTION("""COMPUTED_VALUE"""),"FALSE")</f>
        <v>FALSE</v>
      </c>
      <c r="F195" s="198"/>
      <c r="J195" s="184" t="str">
        <f>IFERROR(__xludf.DUMMYFUNCTION("""COMPUTED_VALUE"""),"")</f>
        <v/>
      </c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</row>
    <row r="196">
      <c r="A196" s="198"/>
      <c r="D196" s="198" t="str">
        <f>IFERROR(__xludf.DUMMYFUNCTION("""COMPUTED_VALUE"""),"FALSE")</f>
        <v>FALSE</v>
      </c>
      <c r="E196" s="198" t="str">
        <f>IFERROR(__xludf.DUMMYFUNCTION("""COMPUTED_VALUE"""),"FALSE")</f>
        <v>FALSE</v>
      </c>
      <c r="F196" s="198"/>
      <c r="J196" s="184" t="str">
        <f>IFERROR(__xludf.DUMMYFUNCTION("""COMPUTED_VALUE"""),"")</f>
        <v/>
      </c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</row>
    <row r="197">
      <c r="A197" s="198"/>
      <c r="D197" s="198" t="str">
        <f>IFERROR(__xludf.DUMMYFUNCTION("""COMPUTED_VALUE"""),"FALSE")</f>
        <v>FALSE</v>
      </c>
      <c r="E197" s="198" t="str">
        <f>IFERROR(__xludf.DUMMYFUNCTION("""COMPUTED_VALUE"""),"FALSE")</f>
        <v>FALSE</v>
      </c>
      <c r="F197" s="198"/>
      <c r="J197" s="184" t="str">
        <f>IFERROR(__xludf.DUMMYFUNCTION("""COMPUTED_VALUE"""),"")</f>
        <v/>
      </c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</row>
    <row r="198">
      <c r="A198" s="198"/>
      <c r="D198" s="198" t="str">
        <f>IFERROR(__xludf.DUMMYFUNCTION("""COMPUTED_VALUE"""),"FALSE")</f>
        <v>FALSE</v>
      </c>
      <c r="E198" s="198" t="str">
        <f>IFERROR(__xludf.DUMMYFUNCTION("""COMPUTED_VALUE"""),"FALSE")</f>
        <v>FALSE</v>
      </c>
      <c r="F198" s="198"/>
      <c r="J198" s="184" t="str">
        <f>IFERROR(__xludf.DUMMYFUNCTION("""COMPUTED_VALUE"""),"")</f>
        <v/>
      </c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</row>
    <row r="199">
      <c r="A199" s="198"/>
      <c r="D199" s="198" t="str">
        <f>IFERROR(__xludf.DUMMYFUNCTION("""COMPUTED_VALUE"""),"FALSE")</f>
        <v>FALSE</v>
      </c>
      <c r="E199" s="198" t="str">
        <f>IFERROR(__xludf.DUMMYFUNCTION("""COMPUTED_VALUE"""),"FALSE")</f>
        <v>FALSE</v>
      </c>
      <c r="F199" s="198"/>
      <c r="J199" s="184" t="str">
        <f>IFERROR(__xludf.DUMMYFUNCTION("""COMPUTED_VALUE"""),"")</f>
        <v/>
      </c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</row>
    <row r="200">
      <c r="A200" s="198"/>
      <c r="D200" s="198" t="str">
        <f>IFERROR(__xludf.DUMMYFUNCTION("""COMPUTED_VALUE"""),"FALSE")</f>
        <v>FALSE</v>
      </c>
      <c r="E200" s="198" t="str">
        <f>IFERROR(__xludf.DUMMYFUNCTION("""COMPUTED_VALUE"""),"FALSE")</f>
        <v>FALSE</v>
      </c>
      <c r="F200" s="198"/>
      <c r="J200" s="184" t="str">
        <f>IFERROR(__xludf.DUMMYFUNCTION("""COMPUTED_VALUE"""),"")</f>
        <v/>
      </c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</row>
    <row r="201">
      <c r="A201" s="198"/>
      <c r="D201" s="198" t="str">
        <f>IFERROR(__xludf.DUMMYFUNCTION("""COMPUTED_VALUE"""),"FALSE")</f>
        <v>FALSE</v>
      </c>
      <c r="E201" s="198" t="str">
        <f>IFERROR(__xludf.DUMMYFUNCTION("""COMPUTED_VALUE"""),"FALSE")</f>
        <v>FALSE</v>
      </c>
      <c r="F201" s="198"/>
      <c r="J201" s="184" t="str">
        <f>IFERROR(__xludf.DUMMYFUNCTION("""COMPUTED_VALUE"""),"")</f>
        <v/>
      </c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</row>
    <row r="202">
      <c r="A202" s="198"/>
      <c r="D202" s="198" t="str">
        <f>IFERROR(__xludf.DUMMYFUNCTION("""COMPUTED_VALUE"""),"FALSE")</f>
        <v>FALSE</v>
      </c>
      <c r="E202" s="198" t="str">
        <f>IFERROR(__xludf.DUMMYFUNCTION("""COMPUTED_VALUE"""),"FALSE")</f>
        <v>FALSE</v>
      </c>
      <c r="F202" s="198"/>
      <c r="J202" s="184" t="str">
        <f>IFERROR(__xludf.DUMMYFUNCTION("""COMPUTED_VALUE"""),"")</f>
        <v/>
      </c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</row>
    <row r="203">
      <c r="A203" s="198"/>
      <c r="D203" s="198" t="str">
        <f>IFERROR(__xludf.DUMMYFUNCTION("""COMPUTED_VALUE"""),"FALSE")</f>
        <v>FALSE</v>
      </c>
      <c r="E203" s="198" t="str">
        <f>IFERROR(__xludf.DUMMYFUNCTION("""COMPUTED_VALUE"""),"FALSE")</f>
        <v>FALSE</v>
      </c>
      <c r="F203" s="198"/>
      <c r="J203" s="184" t="str">
        <f>IFERROR(__xludf.DUMMYFUNCTION("""COMPUTED_VALUE"""),"")</f>
        <v/>
      </c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</row>
    <row r="204">
      <c r="A204" s="198"/>
      <c r="D204" s="198" t="str">
        <f>IFERROR(__xludf.DUMMYFUNCTION("""COMPUTED_VALUE"""),"FALSE")</f>
        <v>FALSE</v>
      </c>
      <c r="E204" s="198" t="str">
        <f>IFERROR(__xludf.DUMMYFUNCTION("""COMPUTED_VALUE"""),"FALSE")</f>
        <v>FALSE</v>
      </c>
      <c r="F204" s="198"/>
      <c r="J204" s="184" t="str">
        <f>IFERROR(__xludf.DUMMYFUNCTION("""COMPUTED_VALUE"""),"")</f>
        <v/>
      </c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</row>
    <row r="205">
      <c r="A205" s="198"/>
      <c r="D205" s="198" t="str">
        <f>IFERROR(__xludf.DUMMYFUNCTION("""COMPUTED_VALUE"""),"FALSE")</f>
        <v>FALSE</v>
      </c>
      <c r="E205" s="198" t="str">
        <f>IFERROR(__xludf.DUMMYFUNCTION("""COMPUTED_VALUE"""),"FALSE")</f>
        <v>FALSE</v>
      </c>
      <c r="F205" s="198"/>
      <c r="J205" s="184" t="str">
        <f>IFERROR(__xludf.DUMMYFUNCTION("""COMPUTED_VALUE"""),"")</f>
        <v/>
      </c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</row>
    <row r="206">
      <c r="A206" s="198"/>
      <c r="D206" s="198" t="str">
        <f>IFERROR(__xludf.DUMMYFUNCTION("""COMPUTED_VALUE"""),"FALSE")</f>
        <v>FALSE</v>
      </c>
      <c r="E206" s="198" t="str">
        <f>IFERROR(__xludf.DUMMYFUNCTION("""COMPUTED_VALUE"""),"FALSE")</f>
        <v>FALSE</v>
      </c>
      <c r="F206" s="198"/>
      <c r="J206" s="184" t="str">
        <f>IFERROR(__xludf.DUMMYFUNCTION("""COMPUTED_VALUE"""),"")</f>
        <v/>
      </c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</row>
    <row r="207">
      <c r="A207" s="198"/>
      <c r="D207" s="198" t="str">
        <f>IFERROR(__xludf.DUMMYFUNCTION("""COMPUTED_VALUE"""),"FALSE")</f>
        <v>FALSE</v>
      </c>
      <c r="E207" s="198" t="str">
        <f>IFERROR(__xludf.DUMMYFUNCTION("""COMPUTED_VALUE"""),"FALSE")</f>
        <v>FALSE</v>
      </c>
      <c r="F207" s="198"/>
      <c r="J207" s="184" t="str">
        <f>IFERROR(__xludf.DUMMYFUNCTION("""COMPUTED_VALUE"""),"")</f>
        <v/>
      </c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</row>
    <row r="208">
      <c r="A208" s="198"/>
      <c r="D208" s="198" t="str">
        <f>IFERROR(__xludf.DUMMYFUNCTION("""COMPUTED_VALUE"""),"FALSE")</f>
        <v>FALSE</v>
      </c>
      <c r="E208" s="198" t="str">
        <f>IFERROR(__xludf.DUMMYFUNCTION("""COMPUTED_VALUE"""),"FALSE")</f>
        <v>FALSE</v>
      </c>
      <c r="F208" s="198"/>
      <c r="J208" s="184" t="str">
        <f>IFERROR(__xludf.DUMMYFUNCTION("""COMPUTED_VALUE"""),"")</f>
        <v/>
      </c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</row>
    <row r="209">
      <c r="A209" s="198"/>
      <c r="D209" s="198" t="str">
        <f>IFERROR(__xludf.DUMMYFUNCTION("""COMPUTED_VALUE"""),"FALSE")</f>
        <v>FALSE</v>
      </c>
      <c r="E209" s="198" t="str">
        <f>IFERROR(__xludf.DUMMYFUNCTION("""COMPUTED_VALUE"""),"FALSE")</f>
        <v>FALSE</v>
      </c>
      <c r="F209" s="198"/>
      <c r="J209" s="184" t="str">
        <f>IFERROR(__xludf.DUMMYFUNCTION("""COMPUTED_VALUE"""),"")</f>
        <v/>
      </c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</row>
    <row r="210">
      <c r="A210" s="198"/>
      <c r="D210" s="198" t="str">
        <f>IFERROR(__xludf.DUMMYFUNCTION("""COMPUTED_VALUE"""),"FALSE")</f>
        <v>FALSE</v>
      </c>
      <c r="E210" s="198" t="str">
        <f>IFERROR(__xludf.DUMMYFUNCTION("""COMPUTED_VALUE"""),"FALSE")</f>
        <v>FALSE</v>
      </c>
      <c r="F210" s="198"/>
      <c r="J210" s="184" t="str">
        <f>IFERROR(__xludf.DUMMYFUNCTION("""COMPUTED_VALUE"""),"")</f>
        <v/>
      </c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</row>
    <row r="211">
      <c r="A211" s="198"/>
      <c r="D211" s="198" t="str">
        <f>IFERROR(__xludf.DUMMYFUNCTION("""COMPUTED_VALUE"""),"FALSE")</f>
        <v>FALSE</v>
      </c>
      <c r="E211" s="198" t="str">
        <f>IFERROR(__xludf.DUMMYFUNCTION("""COMPUTED_VALUE"""),"FALSE")</f>
        <v>FALSE</v>
      </c>
      <c r="F211" s="198"/>
      <c r="J211" s="184" t="str">
        <f>IFERROR(__xludf.DUMMYFUNCTION("""COMPUTED_VALUE"""),"")</f>
        <v/>
      </c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</row>
    <row r="212">
      <c r="A212" s="198"/>
      <c r="D212" s="198" t="str">
        <f>IFERROR(__xludf.DUMMYFUNCTION("""COMPUTED_VALUE"""),"FALSE")</f>
        <v>FALSE</v>
      </c>
      <c r="E212" s="198" t="str">
        <f>IFERROR(__xludf.DUMMYFUNCTION("""COMPUTED_VALUE"""),"FALSE")</f>
        <v>FALSE</v>
      </c>
      <c r="F212" s="198"/>
      <c r="J212" s="184" t="str">
        <f>IFERROR(__xludf.DUMMYFUNCTION("""COMPUTED_VALUE"""),"")</f>
        <v/>
      </c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</row>
    <row r="213">
      <c r="A213" s="198"/>
      <c r="D213" s="198" t="str">
        <f>IFERROR(__xludf.DUMMYFUNCTION("""COMPUTED_VALUE"""),"FALSE")</f>
        <v>FALSE</v>
      </c>
      <c r="E213" s="198" t="str">
        <f>IFERROR(__xludf.DUMMYFUNCTION("""COMPUTED_VALUE"""),"FALSE")</f>
        <v>FALSE</v>
      </c>
      <c r="F213" s="198"/>
      <c r="J213" s="184" t="str">
        <f>IFERROR(__xludf.DUMMYFUNCTION("""COMPUTED_VALUE"""),"")</f>
        <v/>
      </c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</row>
    <row r="214">
      <c r="A214" s="198"/>
      <c r="D214" s="198" t="str">
        <f>IFERROR(__xludf.DUMMYFUNCTION("""COMPUTED_VALUE"""),"FALSE")</f>
        <v>FALSE</v>
      </c>
      <c r="E214" s="198" t="str">
        <f>IFERROR(__xludf.DUMMYFUNCTION("""COMPUTED_VALUE"""),"FALSE")</f>
        <v>FALSE</v>
      </c>
      <c r="F214" s="198"/>
      <c r="J214" s="184" t="str">
        <f>IFERROR(__xludf.DUMMYFUNCTION("""COMPUTED_VALUE"""),"")</f>
        <v/>
      </c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</row>
    <row r="215">
      <c r="A215" s="198"/>
      <c r="D215" s="198" t="str">
        <f>IFERROR(__xludf.DUMMYFUNCTION("""COMPUTED_VALUE"""),"FALSE")</f>
        <v>FALSE</v>
      </c>
      <c r="E215" s="198" t="str">
        <f>IFERROR(__xludf.DUMMYFUNCTION("""COMPUTED_VALUE"""),"FALSE")</f>
        <v>FALSE</v>
      </c>
      <c r="F215" s="198"/>
      <c r="J215" s="184" t="str">
        <f>IFERROR(__xludf.DUMMYFUNCTION("""COMPUTED_VALUE"""),"")</f>
        <v/>
      </c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</row>
    <row r="216">
      <c r="A216" s="198"/>
      <c r="D216" s="198" t="str">
        <f>IFERROR(__xludf.DUMMYFUNCTION("""COMPUTED_VALUE"""),"FALSE")</f>
        <v>FALSE</v>
      </c>
      <c r="E216" s="198" t="str">
        <f>IFERROR(__xludf.DUMMYFUNCTION("""COMPUTED_VALUE"""),"FALSE")</f>
        <v>FALSE</v>
      </c>
      <c r="F216" s="198"/>
      <c r="J216" s="184" t="str">
        <f>IFERROR(__xludf.DUMMYFUNCTION("""COMPUTED_VALUE"""),"")</f>
        <v/>
      </c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</row>
    <row r="217">
      <c r="A217" s="198"/>
      <c r="D217" s="198" t="str">
        <f>IFERROR(__xludf.DUMMYFUNCTION("""COMPUTED_VALUE"""),"FALSE")</f>
        <v>FALSE</v>
      </c>
      <c r="E217" s="198" t="str">
        <f>IFERROR(__xludf.DUMMYFUNCTION("""COMPUTED_VALUE"""),"FALSE")</f>
        <v>FALSE</v>
      </c>
      <c r="F217" s="198"/>
      <c r="J217" s="184" t="str">
        <f>IFERROR(__xludf.DUMMYFUNCTION("""COMPUTED_VALUE"""),"")</f>
        <v/>
      </c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</row>
    <row r="218">
      <c r="A218" s="198"/>
      <c r="D218" s="198" t="str">
        <f>IFERROR(__xludf.DUMMYFUNCTION("""COMPUTED_VALUE"""),"FALSE")</f>
        <v>FALSE</v>
      </c>
      <c r="E218" s="198" t="str">
        <f>IFERROR(__xludf.DUMMYFUNCTION("""COMPUTED_VALUE"""),"FALSE")</f>
        <v>FALSE</v>
      </c>
      <c r="F218" s="198"/>
      <c r="J218" s="184" t="str">
        <f>IFERROR(__xludf.DUMMYFUNCTION("""COMPUTED_VALUE"""),"")</f>
        <v/>
      </c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</row>
    <row r="219">
      <c r="A219" s="198"/>
      <c r="D219" s="198" t="str">
        <f>IFERROR(__xludf.DUMMYFUNCTION("""COMPUTED_VALUE"""),"FALSE")</f>
        <v>FALSE</v>
      </c>
      <c r="E219" s="198" t="str">
        <f>IFERROR(__xludf.DUMMYFUNCTION("""COMPUTED_VALUE"""),"FALSE")</f>
        <v>FALSE</v>
      </c>
      <c r="F219" s="198"/>
      <c r="J219" s="184" t="str">
        <f>IFERROR(__xludf.DUMMYFUNCTION("""COMPUTED_VALUE"""),"")</f>
        <v/>
      </c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</row>
    <row r="220">
      <c r="A220" s="198"/>
      <c r="D220" s="198" t="str">
        <f>IFERROR(__xludf.DUMMYFUNCTION("""COMPUTED_VALUE"""),"FALSE")</f>
        <v>FALSE</v>
      </c>
      <c r="E220" s="198" t="str">
        <f>IFERROR(__xludf.DUMMYFUNCTION("""COMPUTED_VALUE"""),"FALSE")</f>
        <v>FALSE</v>
      </c>
      <c r="F220" s="198"/>
      <c r="J220" s="184" t="str">
        <f>IFERROR(__xludf.DUMMYFUNCTION("""COMPUTED_VALUE"""),"")</f>
        <v/>
      </c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</row>
    <row r="221">
      <c r="A221" s="198"/>
      <c r="D221" s="198" t="str">
        <f>IFERROR(__xludf.DUMMYFUNCTION("""COMPUTED_VALUE"""),"FALSE")</f>
        <v>FALSE</v>
      </c>
      <c r="E221" s="198" t="str">
        <f>IFERROR(__xludf.DUMMYFUNCTION("""COMPUTED_VALUE"""),"FALSE")</f>
        <v>FALSE</v>
      </c>
      <c r="F221" s="198"/>
      <c r="J221" s="184" t="str">
        <f>IFERROR(__xludf.DUMMYFUNCTION("""COMPUTED_VALUE"""),"")</f>
        <v/>
      </c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</row>
    <row r="222">
      <c r="A222" s="198"/>
      <c r="D222" s="198" t="str">
        <f>IFERROR(__xludf.DUMMYFUNCTION("""COMPUTED_VALUE"""),"FALSE")</f>
        <v>FALSE</v>
      </c>
      <c r="E222" s="198" t="str">
        <f>IFERROR(__xludf.DUMMYFUNCTION("""COMPUTED_VALUE"""),"FALSE")</f>
        <v>FALSE</v>
      </c>
      <c r="F222" s="198"/>
      <c r="J222" s="184" t="str">
        <f>IFERROR(__xludf.DUMMYFUNCTION("""COMPUTED_VALUE"""),"")</f>
        <v/>
      </c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</row>
    <row r="223">
      <c r="A223" s="198"/>
      <c r="D223" s="198" t="str">
        <f>IFERROR(__xludf.DUMMYFUNCTION("""COMPUTED_VALUE"""),"FALSE")</f>
        <v>FALSE</v>
      </c>
      <c r="E223" s="198" t="str">
        <f>IFERROR(__xludf.DUMMYFUNCTION("""COMPUTED_VALUE"""),"FALSE")</f>
        <v>FALSE</v>
      </c>
      <c r="F223" s="198"/>
      <c r="J223" s="184" t="str">
        <f>IFERROR(__xludf.DUMMYFUNCTION("""COMPUTED_VALUE"""),"")</f>
        <v/>
      </c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</row>
    <row r="224">
      <c r="A224" s="198"/>
      <c r="D224" s="198" t="str">
        <f>IFERROR(__xludf.DUMMYFUNCTION("""COMPUTED_VALUE"""),"FALSE")</f>
        <v>FALSE</v>
      </c>
      <c r="E224" s="198" t="str">
        <f>IFERROR(__xludf.DUMMYFUNCTION("""COMPUTED_VALUE"""),"FALSE")</f>
        <v>FALSE</v>
      </c>
      <c r="F224" s="198"/>
      <c r="J224" s="184" t="str">
        <f>IFERROR(__xludf.DUMMYFUNCTION("""COMPUTED_VALUE"""),"")</f>
        <v/>
      </c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</row>
    <row r="225">
      <c r="A225" s="198"/>
      <c r="D225" s="198" t="str">
        <f>IFERROR(__xludf.DUMMYFUNCTION("""COMPUTED_VALUE"""),"FALSE")</f>
        <v>FALSE</v>
      </c>
      <c r="E225" s="198" t="str">
        <f>IFERROR(__xludf.DUMMYFUNCTION("""COMPUTED_VALUE"""),"FALSE")</f>
        <v>FALSE</v>
      </c>
      <c r="F225" s="198"/>
      <c r="J225" s="184" t="str">
        <f>IFERROR(__xludf.DUMMYFUNCTION("""COMPUTED_VALUE"""),"")</f>
        <v/>
      </c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</row>
    <row r="226">
      <c r="A226" s="198"/>
      <c r="D226" s="198" t="str">
        <f>IFERROR(__xludf.DUMMYFUNCTION("""COMPUTED_VALUE"""),"FALSE")</f>
        <v>FALSE</v>
      </c>
      <c r="E226" s="198" t="str">
        <f>IFERROR(__xludf.DUMMYFUNCTION("""COMPUTED_VALUE"""),"FALSE")</f>
        <v>FALSE</v>
      </c>
      <c r="F226" s="198"/>
      <c r="J226" s="184" t="str">
        <f>IFERROR(__xludf.DUMMYFUNCTION("""COMPUTED_VALUE"""),"")</f>
        <v/>
      </c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</row>
    <row r="227">
      <c r="A227" s="198"/>
      <c r="D227" s="198" t="str">
        <f>IFERROR(__xludf.DUMMYFUNCTION("""COMPUTED_VALUE"""),"FALSE")</f>
        <v>FALSE</v>
      </c>
      <c r="E227" s="198" t="str">
        <f>IFERROR(__xludf.DUMMYFUNCTION("""COMPUTED_VALUE"""),"FALSE")</f>
        <v>FALSE</v>
      </c>
      <c r="F227" s="198"/>
      <c r="J227" s="184" t="str">
        <f>IFERROR(__xludf.DUMMYFUNCTION("""COMPUTED_VALUE"""),"")</f>
        <v/>
      </c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</row>
    <row r="228">
      <c r="A228" s="198"/>
      <c r="D228" s="198" t="str">
        <f>IFERROR(__xludf.DUMMYFUNCTION("""COMPUTED_VALUE"""),"FALSE")</f>
        <v>FALSE</v>
      </c>
      <c r="E228" s="198" t="str">
        <f>IFERROR(__xludf.DUMMYFUNCTION("""COMPUTED_VALUE"""),"FALSE")</f>
        <v>FALSE</v>
      </c>
      <c r="F228" s="198"/>
      <c r="J228" s="184" t="str">
        <f>IFERROR(__xludf.DUMMYFUNCTION("""COMPUTED_VALUE"""),"")</f>
        <v/>
      </c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</row>
    <row r="229">
      <c r="A229" s="198"/>
      <c r="D229" s="198" t="str">
        <f>IFERROR(__xludf.DUMMYFUNCTION("""COMPUTED_VALUE"""),"FALSE")</f>
        <v>FALSE</v>
      </c>
      <c r="E229" s="198" t="str">
        <f>IFERROR(__xludf.DUMMYFUNCTION("""COMPUTED_VALUE"""),"FALSE")</f>
        <v>FALSE</v>
      </c>
      <c r="F229" s="198"/>
      <c r="J229" s="184" t="str">
        <f>IFERROR(__xludf.DUMMYFUNCTION("""COMPUTED_VALUE"""),"")</f>
        <v/>
      </c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</row>
    <row r="230">
      <c r="A230" s="198"/>
      <c r="D230" s="198" t="str">
        <f>IFERROR(__xludf.DUMMYFUNCTION("""COMPUTED_VALUE"""),"FALSE")</f>
        <v>FALSE</v>
      </c>
      <c r="E230" s="198" t="str">
        <f>IFERROR(__xludf.DUMMYFUNCTION("""COMPUTED_VALUE"""),"FALSE")</f>
        <v>FALSE</v>
      </c>
      <c r="F230" s="198"/>
      <c r="J230" s="184" t="str">
        <f>IFERROR(__xludf.DUMMYFUNCTION("""COMPUTED_VALUE"""),"")</f>
        <v/>
      </c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</row>
    <row r="231">
      <c r="A231" s="198"/>
      <c r="D231" s="198" t="str">
        <f>IFERROR(__xludf.DUMMYFUNCTION("""COMPUTED_VALUE"""),"FALSE")</f>
        <v>FALSE</v>
      </c>
      <c r="E231" s="198" t="str">
        <f>IFERROR(__xludf.DUMMYFUNCTION("""COMPUTED_VALUE"""),"FALSE")</f>
        <v>FALSE</v>
      </c>
      <c r="F231" s="198"/>
      <c r="J231" s="184" t="str">
        <f>IFERROR(__xludf.DUMMYFUNCTION("""COMPUTED_VALUE"""),"")</f>
        <v/>
      </c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</row>
    <row r="232">
      <c r="A232" s="198"/>
      <c r="D232" s="198" t="str">
        <f>IFERROR(__xludf.DUMMYFUNCTION("""COMPUTED_VALUE"""),"FALSE")</f>
        <v>FALSE</v>
      </c>
      <c r="E232" s="198" t="str">
        <f>IFERROR(__xludf.DUMMYFUNCTION("""COMPUTED_VALUE"""),"FALSE")</f>
        <v>FALSE</v>
      </c>
      <c r="F232" s="198"/>
      <c r="J232" s="184" t="str">
        <f>IFERROR(__xludf.DUMMYFUNCTION("""COMPUTED_VALUE"""),"")</f>
        <v/>
      </c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</row>
    <row r="233">
      <c r="A233" s="198"/>
      <c r="D233" s="198" t="str">
        <f>IFERROR(__xludf.DUMMYFUNCTION("""COMPUTED_VALUE"""),"FALSE")</f>
        <v>FALSE</v>
      </c>
      <c r="E233" s="198" t="str">
        <f>IFERROR(__xludf.DUMMYFUNCTION("""COMPUTED_VALUE"""),"FALSE")</f>
        <v>FALSE</v>
      </c>
      <c r="F233" s="198"/>
      <c r="J233" s="184" t="str">
        <f>IFERROR(__xludf.DUMMYFUNCTION("""COMPUTED_VALUE"""),"")</f>
        <v/>
      </c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</row>
    <row r="234">
      <c r="A234" s="198"/>
      <c r="D234" s="198" t="str">
        <f>IFERROR(__xludf.DUMMYFUNCTION("""COMPUTED_VALUE"""),"FALSE")</f>
        <v>FALSE</v>
      </c>
      <c r="E234" s="198" t="str">
        <f>IFERROR(__xludf.DUMMYFUNCTION("""COMPUTED_VALUE"""),"FALSE")</f>
        <v>FALSE</v>
      </c>
      <c r="F234" s="198"/>
      <c r="J234" s="184" t="str">
        <f>IFERROR(__xludf.DUMMYFUNCTION("""COMPUTED_VALUE"""),"")</f>
        <v/>
      </c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</row>
    <row r="235">
      <c r="A235" s="198"/>
      <c r="D235" s="198" t="str">
        <f>IFERROR(__xludf.DUMMYFUNCTION("""COMPUTED_VALUE"""),"FALSE")</f>
        <v>FALSE</v>
      </c>
      <c r="E235" s="198" t="str">
        <f>IFERROR(__xludf.DUMMYFUNCTION("""COMPUTED_VALUE"""),"FALSE")</f>
        <v>FALSE</v>
      </c>
      <c r="F235" s="198"/>
      <c r="J235" s="184" t="str">
        <f>IFERROR(__xludf.DUMMYFUNCTION("""COMPUTED_VALUE"""),"")</f>
        <v/>
      </c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</row>
    <row r="236">
      <c r="A236" s="198"/>
      <c r="D236" s="198" t="str">
        <f>IFERROR(__xludf.DUMMYFUNCTION("""COMPUTED_VALUE"""),"FALSE")</f>
        <v>FALSE</v>
      </c>
      <c r="E236" s="198" t="str">
        <f>IFERROR(__xludf.DUMMYFUNCTION("""COMPUTED_VALUE"""),"FALSE")</f>
        <v>FALSE</v>
      </c>
      <c r="F236" s="198"/>
      <c r="J236" s="184" t="str">
        <f>IFERROR(__xludf.DUMMYFUNCTION("""COMPUTED_VALUE"""),"")</f>
        <v/>
      </c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</row>
    <row r="237">
      <c r="A237" s="198"/>
      <c r="D237" s="198" t="str">
        <f>IFERROR(__xludf.DUMMYFUNCTION("""COMPUTED_VALUE"""),"FALSE")</f>
        <v>FALSE</v>
      </c>
      <c r="E237" s="198" t="str">
        <f>IFERROR(__xludf.DUMMYFUNCTION("""COMPUTED_VALUE"""),"FALSE")</f>
        <v>FALSE</v>
      </c>
      <c r="F237" s="198"/>
      <c r="J237" s="184" t="str">
        <f>IFERROR(__xludf.DUMMYFUNCTION("""COMPUTED_VALUE"""),"")</f>
        <v/>
      </c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</row>
    <row r="238">
      <c r="A238" s="198"/>
      <c r="D238" s="198" t="str">
        <f>IFERROR(__xludf.DUMMYFUNCTION("""COMPUTED_VALUE"""),"FALSE")</f>
        <v>FALSE</v>
      </c>
      <c r="E238" s="198" t="str">
        <f>IFERROR(__xludf.DUMMYFUNCTION("""COMPUTED_VALUE"""),"FALSE")</f>
        <v>FALSE</v>
      </c>
      <c r="F238" s="198"/>
      <c r="J238" s="184" t="str">
        <f>IFERROR(__xludf.DUMMYFUNCTION("""COMPUTED_VALUE"""),"")</f>
        <v/>
      </c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</row>
    <row r="239">
      <c r="A239" s="198"/>
      <c r="D239" s="198" t="str">
        <f>IFERROR(__xludf.DUMMYFUNCTION("""COMPUTED_VALUE"""),"FALSE")</f>
        <v>FALSE</v>
      </c>
      <c r="E239" s="198" t="str">
        <f>IFERROR(__xludf.DUMMYFUNCTION("""COMPUTED_VALUE"""),"FALSE")</f>
        <v>FALSE</v>
      </c>
      <c r="F239" s="198"/>
      <c r="J239" s="184" t="str">
        <f>IFERROR(__xludf.DUMMYFUNCTION("""COMPUTED_VALUE"""),"")</f>
        <v/>
      </c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</row>
    <row r="240">
      <c r="A240" s="198"/>
      <c r="D240" s="198" t="str">
        <f>IFERROR(__xludf.DUMMYFUNCTION("""COMPUTED_VALUE"""),"FALSE")</f>
        <v>FALSE</v>
      </c>
      <c r="E240" s="198" t="str">
        <f>IFERROR(__xludf.DUMMYFUNCTION("""COMPUTED_VALUE"""),"FALSE")</f>
        <v>FALSE</v>
      </c>
      <c r="F240" s="198"/>
      <c r="J240" s="184" t="str">
        <f>IFERROR(__xludf.DUMMYFUNCTION("""COMPUTED_VALUE"""),"")</f>
        <v/>
      </c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</row>
    <row r="241">
      <c r="A241" s="198"/>
      <c r="D241" s="198" t="str">
        <f>IFERROR(__xludf.DUMMYFUNCTION("""COMPUTED_VALUE"""),"FALSE")</f>
        <v>FALSE</v>
      </c>
      <c r="E241" s="198" t="str">
        <f>IFERROR(__xludf.DUMMYFUNCTION("""COMPUTED_VALUE"""),"FALSE")</f>
        <v>FALSE</v>
      </c>
      <c r="F241" s="198"/>
      <c r="J241" s="184" t="str">
        <f>IFERROR(__xludf.DUMMYFUNCTION("""COMPUTED_VALUE"""),"")</f>
        <v/>
      </c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</row>
    <row r="242">
      <c r="A242" s="198"/>
      <c r="D242" s="198" t="str">
        <f>IFERROR(__xludf.DUMMYFUNCTION("""COMPUTED_VALUE"""),"FALSE")</f>
        <v>FALSE</v>
      </c>
      <c r="E242" s="198" t="str">
        <f>IFERROR(__xludf.DUMMYFUNCTION("""COMPUTED_VALUE"""),"FALSE")</f>
        <v>FALSE</v>
      </c>
      <c r="F242" s="198"/>
      <c r="J242" s="184" t="str">
        <f>IFERROR(__xludf.DUMMYFUNCTION("""COMPUTED_VALUE"""),"")</f>
        <v/>
      </c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</row>
    <row r="243">
      <c r="A243" s="198"/>
      <c r="D243" s="198" t="str">
        <f>IFERROR(__xludf.DUMMYFUNCTION("""COMPUTED_VALUE"""),"FALSE")</f>
        <v>FALSE</v>
      </c>
      <c r="E243" s="198" t="str">
        <f>IFERROR(__xludf.DUMMYFUNCTION("""COMPUTED_VALUE"""),"FALSE")</f>
        <v>FALSE</v>
      </c>
      <c r="F243" s="198"/>
      <c r="J243" s="184" t="str">
        <f>IFERROR(__xludf.DUMMYFUNCTION("""COMPUTED_VALUE"""),"")</f>
        <v/>
      </c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</row>
    <row r="244">
      <c r="A244" s="198"/>
      <c r="D244" s="198" t="str">
        <f>IFERROR(__xludf.DUMMYFUNCTION("""COMPUTED_VALUE"""),"FALSE")</f>
        <v>FALSE</v>
      </c>
      <c r="E244" s="198" t="str">
        <f>IFERROR(__xludf.DUMMYFUNCTION("""COMPUTED_VALUE"""),"FALSE")</f>
        <v>FALSE</v>
      </c>
      <c r="F244" s="198"/>
      <c r="J244" s="184" t="str">
        <f>IFERROR(__xludf.DUMMYFUNCTION("""COMPUTED_VALUE"""),"")</f>
        <v/>
      </c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</row>
    <row r="245">
      <c r="A245" s="198"/>
      <c r="D245" s="198" t="str">
        <f>IFERROR(__xludf.DUMMYFUNCTION("""COMPUTED_VALUE"""),"FALSE")</f>
        <v>FALSE</v>
      </c>
      <c r="E245" s="198" t="str">
        <f>IFERROR(__xludf.DUMMYFUNCTION("""COMPUTED_VALUE"""),"FALSE")</f>
        <v>FALSE</v>
      </c>
      <c r="F245" s="198"/>
      <c r="J245" s="184" t="str">
        <f>IFERROR(__xludf.DUMMYFUNCTION("""COMPUTED_VALUE"""),"")</f>
        <v/>
      </c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</row>
    <row r="246">
      <c r="A246" s="198"/>
      <c r="D246" s="198" t="str">
        <f>IFERROR(__xludf.DUMMYFUNCTION("""COMPUTED_VALUE"""),"FALSE")</f>
        <v>FALSE</v>
      </c>
      <c r="E246" s="198" t="str">
        <f>IFERROR(__xludf.DUMMYFUNCTION("""COMPUTED_VALUE"""),"FALSE")</f>
        <v>FALSE</v>
      </c>
      <c r="F246" s="198"/>
      <c r="J246" s="184" t="str">
        <f>IFERROR(__xludf.DUMMYFUNCTION("""COMPUTED_VALUE"""),"")</f>
        <v/>
      </c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</row>
    <row r="247">
      <c r="A247" s="198"/>
      <c r="D247" s="198" t="str">
        <f>IFERROR(__xludf.DUMMYFUNCTION("""COMPUTED_VALUE"""),"FALSE")</f>
        <v>FALSE</v>
      </c>
      <c r="E247" s="198" t="str">
        <f>IFERROR(__xludf.DUMMYFUNCTION("""COMPUTED_VALUE"""),"FALSE")</f>
        <v>FALSE</v>
      </c>
      <c r="F247" s="198"/>
      <c r="J247" s="184" t="str">
        <f>IFERROR(__xludf.DUMMYFUNCTION("""COMPUTED_VALUE"""),"")</f>
        <v/>
      </c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</row>
    <row r="248">
      <c r="A248" s="198"/>
      <c r="D248" s="198" t="str">
        <f>IFERROR(__xludf.DUMMYFUNCTION("""COMPUTED_VALUE"""),"FALSE")</f>
        <v>FALSE</v>
      </c>
      <c r="E248" s="198" t="str">
        <f>IFERROR(__xludf.DUMMYFUNCTION("""COMPUTED_VALUE"""),"FALSE")</f>
        <v>FALSE</v>
      </c>
      <c r="F248" s="198"/>
      <c r="J248" s="184" t="str">
        <f>IFERROR(__xludf.DUMMYFUNCTION("""COMPUTED_VALUE"""),"")</f>
        <v/>
      </c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</row>
    <row r="249">
      <c r="A249" s="198"/>
      <c r="D249" s="198" t="str">
        <f>IFERROR(__xludf.DUMMYFUNCTION("""COMPUTED_VALUE"""),"FALSE")</f>
        <v>FALSE</v>
      </c>
      <c r="E249" s="198" t="str">
        <f>IFERROR(__xludf.DUMMYFUNCTION("""COMPUTED_VALUE"""),"FALSE")</f>
        <v>FALSE</v>
      </c>
      <c r="F249" s="198"/>
      <c r="J249" s="184" t="str">
        <f>IFERROR(__xludf.DUMMYFUNCTION("""COMPUTED_VALUE"""),"")</f>
        <v/>
      </c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</row>
    <row r="250">
      <c r="A250" s="198"/>
      <c r="D250" s="198" t="str">
        <f>IFERROR(__xludf.DUMMYFUNCTION("""COMPUTED_VALUE"""),"FALSE")</f>
        <v>FALSE</v>
      </c>
      <c r="E250" s="198" t="str">
        <f>IFERROR(__xludf.DUMMYFUNCTION("""COMPUTED_VALUE"""),"FALSE")</f>
        <v>FALSE</v>
      </c>
      <c r="F250" s="198"/>
      <c r="J250" s="184" t="str">
        <f>IFERROR(__xludf.DUMMYFUNCTION("""COMPUTED_VALUE"""),"")</f>
        <v/>
      </c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</row>
    <row r="251">
      <c r="A251" s="198"/>
      <c r="D251" s="198" t="str">
        <f>IFERROR(__xludf.DUMMYFUNCTION("""COMPUTED_VALUE"""),"FALSE")</f>
        <v>FALSE</v>
      </c>
      <c r="E251" s="198" t="str">
        <f>IFERROR(__xludf.DUMMYFUNCTION("""COMPUTED_VALUE"""),"FALSE")</f>
        <v>FALSE</v>
      </c>
      <c r="F251" s="198"/>
      <c r="J251" s="184" t="str">
        <f>IFERROR(__xludf.DUMMYFUNCTION("""COMPUTED_VALUE"""),"")</f>
        <v/>
      </c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</row>
    <row r="252">
      <c r="A252" s="198"/>
      <c r="D252" s="198" t="str">
        <f>IFERROR(__xludf.DUMMYFUNCTION("""COMPUTED_VALUE"""),"FALSE")</f>
        <v>FALSE</v>
      </c>
      <c r="E252" s="198" t="str">
        <f>IFERROR(__xludf.DUMMYFUNCTION("""COMPUTED_VALUE"""),"FALSE")</f>
        <v>FALSE</v>
      </c>
      <c r="F252" s="198"/>
      <c r="J252" s="184" t="str">
        <f>IFERROR(__xludf.DUMMYFUNCTION("""COMPUTED_VALUE"""),"")</f>
        <v/>
      </c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</row>
    <row r="253">
      <c r="A253" s="198"/>
      <c r="D253" s="198" t="str">
        <f>IFERROR(__xludf.DUMMYFUNCTION("""COMPUTED_VALUE"""),"FALSE")</f>
        <v>FALSE</v>
      </c>
      <c r="E253" s="198" t="str">
        <f>IFERROR(__xludf.DUMMYFUNCTION("""COMPUTED_VALUE"""),"FALSE")</f>
        <v>FALSE</v>
      </c>
      <c r="F253" s="198"/>
      <c r="J253" s="184" t="str">
        <f>IFERROR(__xludf.DUMMYFUNCTION("""COMPUTED_VALUE"""),"")</f>
        <v/>
      </c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</row>
    <row r="254">
      <c r="A254" s="198"/>
      <c r="D254" s="198" t="str">
        <f>IFERROR(__xludf.DUMMYFUNCTION("""COMPUTED_VALUE"""),"FALSE")</f>
        <v>FALSE</v>
      </c>
      <c r="E254" s="198" t="str">
        <f>IFERROR(__xludf.DUMMYFUNCTION("""COMPUTED_VALUE"""),"FALSE")</f>
        <v>FALSE</v>
      </c>
      <c r="F254" s="198"/>
      <c r="J254" s="184" t="str">
        <f>IFERROR(__xludf.DUMMYFUNCTION("""COMPUTED_VALUE"""),"")</f>
        <v/>
      </c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</row>
    <row r="255">
      <c r="A255" s="198"/>
      <c r="D255" s="198" t="str">
        <f>IFERROR(__xludf.DUMMYFUNCTION("""COMPUTED_VALUE"""),"FALSE")</f>
        <v>FALSE</v>
      </c>
      <c r="E255" s="198" t="str">
        <f>IFERROR(__xludf.DUMMYFUNCTION("""COMPUTED_VALUE"""),"FALSE")</f>
        <v>FALSE</v>
      </c>
      <c r="F255" s="198"/>
      <c r="J255" s="184" t="str">
        <f>IFERROR(__xludf.DUMMYFUNCTION("""COMPUTED_VALUE"""),"")</f>
        <v/>
      </c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</row>
    <row r="256">
      <c r="A256" s="198"/>
      <c r="D256" s="198" t="str">
        <f>IFERROR(__xludf.DUMMYFUNCTION("""COMPUTED_VALUE"""),"FALSE")</f>
        <v>FALSE</v>
      </c>
      <c r="E256" s="198" t="str">
        <f>IFERROR(__xludf.DUMMYFUNCTION("""COMPUTED_VALUE"""),"FALSE")</f>
        <v>FALSE</v>
      </c>
      <c r="F256" s="198"/>
      <c r="J256" s="184" t="str">
        <f>IFERROR(__xludf.DUMMYFUNCTION("""COMPUTED_VALUE"""),"")</f>
        <v/>
      </c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</row>
    <row r="257">
      <c r="A257" s="198"/>
      <c r="D257" s="198" t="str">
        <f>IFERROR(__xludf.DUMMYFUNCTION("""COMPUTED_VALUE"""),"FALSE")</f>
        <v>FALSE</v>
      </c>
      <c r="E257" s="198" t="str">
        <f>IFERROR(__xludf.DUMMYFUNCTION("""COMPUTED_VALUE"""),"FALSE")</f>
        <v>FALSE</v>
      </c>
      <c r="F257" s="198"/>
      <c r="J257" s="184" t="str">
        <f>IFERROR(__xludf.DUMMYFUNCTION("""COMPUTED_VALUE"""),"")</f>
        <v/>
      </c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</row>
    <row r="258">
      <c r="A258" s="198"/>
      <c r="D258" s="198" t="str">
        <f>IFERROR(__xludf.DUMMYFUNCTION("""COMPUTED_VALUE"""),"FALSE")</f>
        <v>FALSE</v>
      </c>
      <c r="E258" s="198" t="str">
        <f>IFERROR(__xludf.DUMMYFUNCTION("""COMPUTED_VALUE"""),"FALSE")</f>
        <v>FALSE</v>
      </c>
      <c r="F258" s="198"/>
      <c r="J258" s="184" t="str">
        <f>IFERROR(__xludf.DUMMYFUNCTION("""COMPUTED_VALUE"""),"")</f>
        <v/>
      </c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</row>
    <row r="259">
      <c r="A259" s="198"/>
      <c r="D259" s="198" t="str">
        <f>IFERROR(__xludf.DUMMYFUNCTION("""COMPUTED_VALUE"""),"FALSE")</f>
        <v>FALSE</v>
      </c>
      <c r="E259" s="198" t="str">
        <f>IFERROR(__xludf.DUMMYFUNCTION("""COMPUTED_VALUE"""),"FALSE")</f>
        <v>FALSE</v>
      </c>
      <c r="F259" s="198"/>
      <c r="J259" s="184" t="str">
        <f>IFERROR(__xludf.DUMMYFUNCTION("""COMPUTED_VALUE"""),"")</f>
        <v/>
      </c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</row>
    <row r="260">
      <c r="A260" s="198"/>
      <c r="D260" s="198" t="str">
        <f>IFERROR(__xludf.DUMMYFUNCTION("""COMPUTED_VALUE"""),"FALSE")</f>
        <v>FALSE</v>
      </c>
      <c r="E260" s="198" t="str">
        <f>IFERROR(__xludf.DUMMYFUNCTION("""COMPUTED_VALUE"""),"FALSE")</f>
        <v>FALSE</v>
      </c>
      <c r="F260" s="198"/>
      <c r="J260" s="184" t="str">
        <f>IFERROR(__xludf.DUMMYFUNCTION("""COMPUTED_VALUE"""),"")</f>
        <v/>
      </c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</row>
    <row r="261">
      <c r="A261" s="198"/>
      <c r="D261" s="198" t="str">
        <f>IFERROR(__xludf.DUMMYFUNCTION("""COMPUTED_VALUE"""),"FALSE")</f>
        <v>FALSE</v>
      </c>
      <c r="E261" s="198" t="str">
        <f>IFERROR(__xludf.DUMMYFUNCTION("""COMPUTED_VALUE"""),"FALSE")</f>
        <v>FALSE</v>
      </c>
      <c r="F261" s="198"/>
      <c r="J261" s="184" t="str">
        <f>IFERROR(__xludf.DUMMYFUNCTION("""COMPUTED_VALUE"""),"")</f>
        <v/>
      </c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</row>
    <row r="262">
      <c r="A262" s="198"/>
      <c r="D262" s="198" t="str">
        <f>IFERROR(__xludf.DUMMYFUNCTION("""COMPUTED_VALUE"""),"FALSE")</f>
        <v>FALSE</v>
      </c>
      <c r="E262" s="198" t="str">
        <f>IFERROR(__xludf.DUMMYFUNCTION("""COMPUTED_VALUE"""),"FALSE")</f>
        <v>FALSE</v>
      </c>
      <c r="F262" s="198"/>
      <c r="J262" s="184" t="str">
        <f>IFERROR(__xludf.DUMMYFUNCTION("""COMPUTED_VALUE"""),"")</f>
        <v/>
      </c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</row>
    <row r="263">
      <c r="A263" s="198"/>
      <c r="D263" s="198" t="str">
        <f>IFERROR(__xludf.DUMMYFUNCTION("""COMPUTED_VALUE"""),"FALSE")</f>
        <v>FALSE</v>
      </c>
      <c r="E263" s="198" t="str">
        <f>IFERROR(__xludf.DUMMYFUNCTION("""COMPUTED_VALUE"""),"FALSE")</f>
        <v>FALSE</v>
      </c>
      <c r="F263" s="198"/>
      <c r="J263" s="184" t="str">
        <f>IFERROR(__xludf.DUMMYFUNCTION("""COMPUTED_VALUE"""),"")</f>
        <v/>
      </c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</row>
    <row r="264">
      <c r="A264" s="198"/>
      <c r="D264" s="198" t="str">
        <f>IFERROR(__xludf.DUMMYFUNCTION("""COMPUTED_VALUE"""),"FALSE")</f>
        <v>FALSE</v>
      </c>
      <c r="E264" s="198" t="str">
        <f>IFERROR(__xludf.DUMMYFUNCTION("""COMPUTED_VALUE"""),"FALSE")</f>
        <v>FALSE</v>
      </c>
      <c r="F264" s="198"/>
      <c r="J264" s="184" t="str">
        <f>IFERROR(__xludf.DUMMYFUNCTION("""COMPUTED_VALUE"""),"")</f>
        <v/>
      </c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</row>
    <row r="265">
      <c r="A265" s="198"/>
      <c r="D265" s="198" t="str">
        <f>IFERROR(__xludf.DUMMYFUNCTION("""COMPUTED_VALUE"""),"FALSE")</f>
        <v>FALSE</v>
      </c>
      <c r="E265" s="198" t="str">
        <f>IFERROR(__xludf.DUMMYFUNCTION("""COMPUTED_VALUE"""),"FALSE")</f>
        <v>FALSE</v>
      </c>
      <c r="F265" s="198"/>
      <c r="J265" s="184" t="str">
        <f>IFERROR(__xludf.DUMMYFUNCTION("""COMPUTED_VALUE"""),"")</f>
        <v/>
      </c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</row>
    <row r="266">
      <c r="A266" s="198"/>
      <c r="D266" s="198" t="str">
        <f>IFERROR(__xludf.DUMMYFUNCTION("""COMPUTED_VALUE"""),"FALSE")</f>
        <v>FALSE</v>
      </c>
      <c r="E266" s="198" t="str">
        <f>IFERROR(__xludf.DUMMYFUNCTION("""COMPUTED_VALUE"""),"FALSE")</f>
        <v>FALSE</v>
      </c>
      <c r="F266" s="198"/>
      <c r="J266" s="184" t="str">
        <f>IFERROR(__xludf.DUMMYFUNCTION("""COMPUTED_VALUE"""),"")</f>
        <v/>
      </c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</row>
    <row r="267">
      <c r="A267" s="198"/>
      <c r="D267" s="198" t="str">
        <f>IFERROR(__xludf.DUMMYFUNCTION("""COMPUTED_VALUE"""),"FALSE")</f>
        <v>FALSE</v>
      </c>
      <c r="E267" s="198" t="str">
        <f>IFERROR(__xludf.DUMMYFUNCTION("""COMPUTED_VALUE"""),"FALSE")</f>
        <v>FALSE</v>
      </c>
      <c r="F267" s="198"/>
      <c r="J267" s="184" t="str">
        <f>IFERROR(__xludf.DUMMYFUNCTION("""COMPUTED_VALUE"""),"")</f>
        <v/>
      </c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</row>
    <row r="268">
      <c r="A268" s="198"/>
      <c r="D268" s="198" t="str">
        <f>IFERROR(__xludf.DUMMYFUNCTION("""COMPUTED_VALUE"""),"FALSE")</f>
        <v>FALSE</v>
      </c>
      <c r="E268" s="198" t="str">
        <f>IFERROR(__xludf.DUMMYFUNCTION("""COMPUTED_VALUE"""),"FALSE")</f>
        <v>FALSE</v>
      </c>
      <c r="F268" s="198"/>
      <c r="J268" s="184" t="str">
        <f>IFERROR(__xludf.DUMMYFUNCTION("""COMPUTED_VALUE"""),"")</f>
        <v/>
      </c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</row>
    <row r="269">
      <c r="A269" s="198"/>
      <c r="D269" s="198" t="str">
        <f>IFERROR(__xludf.DUMMYFUNCTION("""COMPUTED_VALUE"""),"FALSE")</f>
        <v>FALSE</v>
      </c>
      <c r="E269" s="198" t="str">
        <f>IFERROR(__xludf.DUMMYFUNCTION("""COMPUTED_VALUE"""),"FALSE")</f>
        <v>FALSE</v>
      </c>
      <c r="F269" s="198"/>
      <c r="J269" s="184" t="str">
        <f>IFERROR(__xludf.DUMMYFUNCTION("""COMPUTED_VALUE"""),"")</f>
        <v/>
      </c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</row>
    <row r="270">
      <c r="A270" s="198"/>
      <c r="D270" s="198" t="str">
        <f>IFERROR(__xludf.DUMMYFUNCTION("""COMPUTED_VALUE"""),"FALSE")</f>
        <v>FALSE</v>
      </c>
      <c r="E270" s="198" t="str">
        <f>IFERROR(__xludf.DUMMYFUNCTION("""COMPUTED_VALUE"""),"FALSE")</f>
        <v>FALSE</v>
      </c>
      <c r="F270" s="198"/>
      <c r="J270" s="184" t="str">
        <f>IFERROR(__xludf.DUMMYFUNCTION("""COMPUTED_VALUE"""),"")</f>
        <v/>
      </c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</row>
    <row r="271">
      <c r="A271" s="198"/>
      <c r="D271" s="198" t="str">
        <f>IFERROR(__xludf.DUMMYFUNCTION("""COMPUTED_VALUE"""),"FALSE")</f>
        <v>FALSE</v>
      </c>
      <c r="E271" s="198" t="str">
        <f>IFERROR(__xludf.DUMMYFUNCTION("""COMPUTED_VALUE"""),"FALSE")</f>
        <v>FALSE</v>
      </c>
      <c r="F271" s="198"/>
      <c r="J271" s="184" t="str">
        <f>IFERROR(__xludf.DUMMYFUNCTION("""COMPUTED_VALUE"""),"")</f>
        <v/>
      </c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</row>
    <row r="272">
      <c r="A272" s="198"/>
      <c r="D272" s="198" t="str">
        <f>IFERROR(__xludf.DUMMYFUNCTION("""COMPUTED_VALUE"""),"FALSE")</f>
        <v>FALSE</v>
      </c>
      <c r="E272" s="198" t="str">
        <f>IFERROR(__xludf.DUMMYFUNCTION("""COMPUTED_VALUE"""),"FALSE")</f>
        <v>FALSE</v>
      </c>
      <c r="F272" s="198"/>
      <c r="J272" s="184" t="str">
        <f>IFERROR(__xludf.DUMMYFUNCTION("""COMPUTED_VALUE"""),"")</f>
        <v/>
      </c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</row>
    <row r="273">
      <c r="A273" s="198"/>
      <c r="D273" s="198" t="str">
        <f>IFERROR(__xludf.DUMMYFUNCTION("""COMPUTED_VALUE"""),"FALSE")</f>
        <v>FALSE</v>
      </c>
      <c r="E273" s="198" t="str">
        <f>IFERROR(__xludf.DUMMYFUNCTION("""COMPUTED_VALUE"""),"FALSE")</f>
        <v>FALSE</v>
      </c>
      <c r="F273" s="198"/>
      <c r="J273" s="184" t="str">
        <f>IFERROR(__xludf.DUMMYFUNCTION("""COMPUTED_VALUE"""),"")</f>
        <v/>
      </c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</row>
    <row r="274">
      <c r="A274" s="198"/>
      <c r="D274" s="198" t="str">
        <f>IFERROR(__xludf.DUMMYFUNCTION("""COMPUTED_VALUE"""),"FALSE")</f>
        <v>FALSE</v>
      </c>
      <c r="E274" s="198" t="str">
        <f>IFERROR(__xludf.DUMMYFUNCTION("""COMPUTED_VALUE"""),"FALSE")</f>
        <v>FALSE</v>
      </c>
      <c r="F274" s="198"/>
      <c r="J274" s="184" t="str">
        <f>IFERROR(__xludf.DUMMYFUNCTION("""COMPUTED_VALUE"""),"")</f>
        <v/>
      </c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</row>
    <row r="275">
      <c r="A275" s="198"/>
      <c r="D275" s="198" t="str">
        <f>IFERROR(__xludf.DUMMYFUNCTION("""COMPUTED_VALUE"""),"FALSE")</f>
        <v>FALSE</v>
      </c>
      <c r="E275" s="198" t="str">
        <f>IFERROR(__xludf.DUMMYFUNCTION("""COMPUTED_VALUE"""),"FALSE")</f>
        <v>FALSE</v>
      </c>
      <c r="F275" s="198"/>
      <c r="J275" s="184" t="str">
        <f>IFERROR(__xludf.DUMMYFUNCTION("""COMPUTED_VALUE"""),"")</f>
        <v/>
      </c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</row>
    <row r="276">
      <c r="A276" s="198"/>
      <c r="D276" s="198" t="str">
        <f>IFERROR(__xludf.DUMMYFUNCTION("""COMPUTED_VALUE"""),"FALSE")</f>
        <v>FALSE</v>
      </c>
      <c r="E276" s="198" t="str">
        <f>IFERROR(__xludf.DUMMYFUNCTION("""COMPUTED_VALUE"""),"FALSE")</f>
        <v>FALSE</v>
      </c>
      <c r="F276" s="198"/>
      <c r="J276" s="184" t="str">
        <f>IFERROR(__xludf.DUMMYFUNCTION("""COMPUTED_VALUE"""),"")</f>
        <v/>
      </c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</row>
    <row r="277">
      <c r="A277" s="198"/>
      <c r="D277" s="198" t="str">
        <f>IFERROR(__xludf.DUMMYFUNCTION("""COMPUTED_VALUE"""),"FALSE")</f>
        <v>FALSE</v>
      </c>
      <c r="E277" s="198" t="str">
        <f>IFERROR(__xludf.DUMMYFUNCTION("""COMPUTED_VALUE"""),"FALSE")</f>
        <v>FALSE</v>
      </c>
      <c r="F277" s="198"/>
      <c r="J277" s="184" t="str">
        <f>IFERROR(__xludf.DUMMYFUNCTION("""COMPUTED_VALUE"""),"")</f>
        <v/>
      </c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</row>
    <row r="278">
      <c r="A278" s="198"/>
      <c r="D278" s="198" t="str">
        <f>IFERROR(__xludf.DUMMYFUNCTION("""COMPUTED_VALUE"""),"FALSE")</f>
        <v>FALSE</v>
      </c>
      <c r="E278" s="198" t="str">
        <f>IFERROR(__xludf.DUMMYFUNCTION("""COMPUTED_VALUE"""),"FALSE")</f>
        <v>FALSE</v>
      </c>
      <c r="F278" s="198"/>
      <c r="J278" s="184" t="str">
        <f>IFERROR(__xludf.DUMMYFUNCTION("""COMPUTED_VALUE"""),"")</f>
        <v/>
      </c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</row>
    <row r="279">
      <c r="A279" s="198"/>
      <c r="D279" s="198" t="str">
        <f>IFERROR(__xludf.DUMMYFUNCTION("""COMPUTED_VALUE"""),"FALSE")</f>
        <v>FALSE</v>
      </c>
      <c r="E279" s="198" t="str">
        <f>IFERROR(__xludf.DUMMYFUNCTION("""COMPUTED_VALUE"""),"FALSE")</f>
        <v>FALSE</v>
      </c>
      <c r="F279" s="198"/>
      <c r="J279" s="184" t="str">
        <f>IFERROR(__xludf.DUMMYFUNCTION("""COMPUTED_VALUE"""),"")</f>
        <v/>
      </c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</row>
    <row r="280">
      <c r="A280" s="198"/>
      <c r="D280" s="198" t="str">
        <f>IFERROR(__xludf.DUMMYFUNCTION("""COMPUTED_VALUE"""),"FALSE")</f>
        <v>FALSE</v>
      </c>
      <c r="E280" s="198" t="str">
        <f>IFERROR(__xludf.DUMMYFUNCTION("""COMPUTED_VALUE"""),"FALSE")</f>
        <v>FALSE</v>
      </c>
      <c r="F280" s="198"/>
      <c r="J280" s="184" t="str">
        <f>IFERROR(__xludf.DUMMYFUNCTION("""COMPUTED_VALUE"""),"")</f>
        <v/>
      </c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</row>
    <row r="281">
      <c r="A281" s="198"/>
      <c r="D281" s="198" t="str">
        <f>IFERROR(__xludf.DUMMYFUNCTION("""COMPUTED_VALUE"""),"FALSE")</f>
        <v>FALSE</v>
      </c>
      <c r="E281" s="198" t="str">
        <f>IFERROR(__xludf.DUMMYFUNCTION("""COMPUTED_VALUE"""),"FALSE")</f>
        <v>FALSE</v>
      </c>
      <c r="F281" s="198"/>
      <c r="J281" s="184" t="str">
        <f>IFERROR(__xludf.DUMMYFUNCTION("""COMPUTED_VALUE"""),"")</f>
        <v/>
      </c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</row>
    <row r="282">
      <c r="A282" s="198"/>
      <c r="D282" s="198" t="str">
        <f>IFERROR(__xludf.DUMMYFUNCTION("""COMPUTED_VALUE"""),"FALSE")</f>
        <v>FALSE</v>
      </c>
      <c r="E282" s="198" t="str">
        <f>IFERROR(__xludf.DUMMYFUNCTION("""COMPUTED_VALUE"""),"FALSE")</f>
        <v>FALSE</v>
      </c>
      <c r="F282" s="198"/>
      <c r="J282" s="184" t="str">
        <f>IFERROR(__xludf.DUMMYFUNCTION("""COMPUTED_VALUE"""),"")</f>
        <v/>
      </c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</row>
    <row r="283">
      <c r="A283" s="198"/>
      <c r="D283" s="198" t="str">
        <f>IFERROR(__xludf.DUMMYFUNCTION("""COMPUTED_VALUE"""),"FALSE")</f>
        <v>FALSE</v>
      </c>
      <c r="E283" s="198" t="str">
        <f>IFERROR(__xludf.DUMMYFUNCTION("""COMPUTED_VALUE"""),"FALSE")</f>
        <v>FALSE</v>
      </c>
      <c r="F283" s="198"/>
      <c r="J283" s="184" t="str">
        <f>IFERROR(__xludf.DUMMYFUNCTION("""COMPUTED_VALUE"""),"")</f>
        <v/>
      </c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</row>
    <row r="284">
      <c r="A284" s="198"/>
      <c r="D284" s="198" t="str">
        <f>IFERROR(__xludf.DUMMYFUNCTION("""COMPUTED_VALUE"""),"FALSE")</f>
        <v>FALSE</v>
      </c>
      <c r="E284" s="198" t="str">
        <f>IFERROR(__xludf.DUMMYFUNCTION("""COMPUTED_VALUE"""),"FALSE")</f>
        <v>FALSE</v>
      </c>
      <c r="F284" s="198"/>
      <c r="J284" s="184" t="str">
        <f>IFERROR(__xludf.DUMMYFUNCTION("""COMPUTED_VALUE"""),"")</f>
        <v/>
      </c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</row>
    <row r="285">
      <c r="A285" s="198"/>
      <c r="D285" s="198" t="str">
        <f>IFERROR(__xludf.DUMMYFUNCTION("""COMPUTED_VALUE"""),"FALSE")</f>
        <v>FALSE</v>
      </c>
      <c r="E285" s="198" t="str">
        <f>IFERROR(__xludf.DUMMYFUNCTION("""COMPUTED_VALUE"""),"FALSE")</f>
        <v>FALSE</v>
      </c>
      <c r="F285" s="198"/>
      <c r="J285" s="184" t="str">
        <f>IFERROR(__xludf.DUMMYFUNCTION("""COMPUTED_VALUE"""),"")</f>
        <v/>
      </c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</row>
    <row r="286">
      <c r="A286" s="198"/>
      <c r="D286" s="198" t="str">
        <f>IFERROR(__xludf.DUMMYFUNCTION("""COMPUTED_VALUE"""),"FALSE")</f>
        <v>FALSE</v>
      </c>
      <c r="E286" s="198" t="str">
        <f>IFERROR(__xludf.DUMMYFUNCTION("""COMPUTED_VALUE"""),"FALSE")</f>
        <v>FALSE</v>
      </c>
      <c r="F286" s="198"/>
      <c r="J286" s="184" t="str">
        <f>IFERROR(__xludf.DUMMYFUNCTION("""COMPUTED_VALUE"""),"")</f>
        <v/>
      </c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</row>
    <row r="287">
      <c r="A287" s="198"/>
      <c r="D287" s="198" t="str">
        <f>IFERROR(__xludf.DUMMYFUNCTION("""COMPUTED_VALUE"""),"FALSE")</f>
        <v>FALSE</v>
      </c>
      <c r="E287" s="198" t="str">
        <f>IFERROR(__xludf.DUMMYFUNCTION("""COMPUTED_VALUE"""),"FALSE")</f>
        <v>FALSE</v>
      </c>
      <c r="F287" s="198"/>
      <c r="J287" s="184" t="str">
        <f>IFERROR(__xludf.DUMMYFUNCTION("""COMPUTED_VALUE"""),"")</f>
        <v/>
      </c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</row>
    <row r="288">
      <c r="A288" s="198"/>
      <c r="D288" s="198" t="str">
        <f>IFERROR(__xludf.DUMMYFUNCTION("""COMPUTED_VALUE"""),"FALSE")</f>
        <v>FALSE</v>
      </c>
      <c r="E288" s="198" t="str">
        <f>IFERROR(__xludf.DUMMYFUNCTION("""COMPUTED_VALUE"""),"FALSE")</f>
        <v>FALSE</v>
      </c>
      <c r="F288" s="198"/>
      <c r="J288" s="184" t="str">
        <f>IFERROR(__xludf.DUMMYFUNCTION("""COMPUTED_VALUE"""),"")</f>
        <v/>
      </c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</row>
    <row r="289">
      <c r="A289" s="198"/>
      <c r="D289" s="198" t="str">
        <f>IFERROR(__xludf.DUMMYFUNCTION("""COMPUTED_VALUE"""),"FALSE")</f>
        <v>FALSE</v>
      </c>
      <c r="E289" s="198" t="str">
        <f>IFERROR(__xludf.DUMMYFUNCTION("""COMPUTED_VALUE"""),"FALSE")</f>
        <v>FALSE</v>
      </c>
      <c r="F289" s="198"/>
      <c r="J289" s="184" t="str">
        <f>IFERROR(__xludf.DUMMYFUNCTION("""COMPUTED_VALUE"""),"")</f>
        <v/>
      </c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</row>
    <row r="290">
      <c r="A290" s="198"/>
      <c r="D290" s="198" t="str">
        <f>IFERROR(__xludf.DUMMYFUNCTION("""COMPUTED_VALUE"""),"FALSE")</f>
        <v>FALSE</v>
      </c>
      <c r="E290" s="198" t="str">
        <f>IFERROR(__xludf.DUMMYFUNCTION("""COMPUTED_VALUE"""),"FALSE")</f>
        <v>FALSE</v>
      </c>
      <c r="F290" s="198"/>
      <c r="J290" s="184" t="str">
        <f>IFERROR(__xludf.DUMMYFUNCTION("""COMPUTED_VALUE"""),"")</f>
        <v/>
      </c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</row>
    <row r="291">
      <c r="A291" s="198"/>
      <c r="D291" s="198" t="str">
        <f>IFERROR(__xludf.DUMMYFUNCTION("""COMPUTED_VALUE"""),"FALSE")</f>
        <v>FALSE</v>
      </c>
      <c r="E291" s="198" t="str">
        <f>IFERROR(__xludf.DUMMYFUNCTION("""COMPUTED_VALUE"""),"FALSE")</f>
        <v>FALSE</v>
      </c>
      <c r="F291" s="198"/>
      <c r="J291" s="184" t="str">
        <f>IFERROR(__xludf.DUMMYFUNCTION("""COMPUTED_VALUE"""),"")</f>
        <v/>
      </c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</row>
    <row r="292">
      <c r="A292" s="198"/>
      <c r="D292" s="198" t="str">
        <f>IFERROR(__xludf.DUMMYFUNCTION("""COMPUTED_VALUE"""),"FALSE")</f>
        <v>FALSE</v>
      </c>
      <c r="E292" s="198" t="str">
        <f>IFERROR(__xludf.DUMMYFUNCTION("""COMPUTED_VALUE"""),"FALSE")</f>
        <v>FALSE</v>
      </c>
      <c r="F292" s="198"/>
      <c r="J292" s="184" t="str">
        <f>IFERROR(__xludf.DUMMYFUNCTION("""COMPUTED_VALUE"""),"")</f>
        <v/>
      </c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</row>
    <row r="293">
      <c r="A293" s="198"/>
      <c r="D293" s="198" t="str">
        <f>IFERROR(__xludf.DUMMYFUNCTION("""COMPUTED_VALUE"""),"FALSE")</f>
        <v>FALSE</v>
      </c>
      <c r="E293" s="198" t="str">
        <f>IFERROR(__xludf.DUMMYFUNCTION("""COMPUTED_VALUE"""),"FALSE")</f>
        <v>FALSE</v>
      </c>
      <c r="F293" s="198"/>
      <c r="J293" s="184" t="str">
        <f>IFERROR(__xludf.DUMMYFUNCTION("""COMPUTED_VALUE"""),"")</f>
        <v/>
      </c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</row>
    <row r="294">
      <c r="A294" s="198"/>
      <c r="D294" s="198" t="str">
        <f>IFERROR(__xludf.DUMMYFUNCTION("""COMPUTED_VALUE"""),"FALSE")</f>
        <v>FALSE</v>
      </c>
      <c r="E294" s="198" t="str">
        <f>IFERROR(__xludf.DUMMYFUNCTION("""COMPUTED_VALUE"""),"FALSE")</f>
        <v>FALSE</v>
      </c>
      <c r="F294" s="198"/>
      <c r="J294" s="184" t="str">
        <f>IFERROR(__xludf.DUMMYFUNCTION("""COMPUTED_VALUE"""),"")</f>
        <v/>
      </c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</row>
    <row r="295">
      <c r="A295" s="198"/>
      <c r="D295" s="198" t="str">
        <f>IFERROR(__xludf.DUMMYFUNCTION("""COMPUTED_VALUE"""),"FALSE")</f>
        <v>FALSE</v>
      </c>
      <c r="E295" s="198" t="str">
        <f>IFERROR(__xludf.DUMMYFUNCTION("""COMPUTED_VALUE"""),"FALSE")</f>
        <v>FALSE</v>
      </c>
      <c r="F295" s="198"/>
      <c r="J295" s="184" t="str">
        <f>IFERROR(__xludf.DUMMYFUNCTION("""COMPUTED_VALUE"""),"")</f>
        <v/>
      </c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</row>
    <row r="296">
      <c r="A296" s="198"/>
      <c r="D296" s="198" t="str">
        <f>IFERROR(__xludf.DUMMYFUNCTION("""COMPUTED_VALUE"""),"FALSE")</f>
        <v>FALSE</v>
      </c>
      <c r="E296" s="198" t="str">
        <f>IFERROR(__xludf.DUMMYFUNCTION("""COMPUTED_VALUE"""),"FALSE")</f>
        <v>FALSE</v>
      </c>
      <c r="F296" s="198"/>
      <c r="J296" s="184" t="str">
        <f>IFERROR(__xludf.DUMMYFUNCTION("""COMPUTED_VALUE"""),"")</f>
        <v/>
      </c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</row>
    <row r="297">
      <c r="A297" s="198"/>
      <c r="D297" s="198" t="str">
        <f>IFERROR(__xludf.DUMMYFUNCTION("""COMPUTED_VALUE"""),"FALSE")</f>
        <v>FALSE</v>
      </c>
      <c r="E297" s="198" t="str">
        <f>IFERROR(__xludf.DUMMYFUNCTION("""COMPUTED_VALUE"""),"FALSE")</f>
        <v>FALSE</v>
      </c>
      <c r="F297" s="198"/>
      <c r="J297" s="184" t="str">
        <f>IFERROR(__xludf.DUMMYFUNCTION("""COMPUTED_VALUE"""),"")</f>
        <v/>
      </c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</row>
    <row r="298">
      <c r="A298" s="198"/>
      <c r="D298" s="198" t="str">
        <f>IFERROR(__xludf.DUMMYFUNCTION("""COMPUTED_VALUE"""),"FALSE")</f>
        <v>FALSE</v>
      </c>
      <c r="E298" s="198" t="str">
        <f>IFERROR(__xludf.DUMMYFUNCTION("""COMPUTED_VALUE"""),"FALSE")</f>
        <v>FALSE</v>
      </c>
      <c r="F298" s="198"/>
      <c r="J298" s="184" t="str">
        <f>IFERROR(__xludf.DUMMYFUNCTION("""COMPUTED_VALUE"""),"")</f>
        <v/>
      </c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</row>
    <row r="299">
      <c r="A299" s="198"/>
      <c r="D299" s="198" t="str">
        <f>IFERROR(__xludf.DUMMYFUNCTION("""COMPUTED_VALUE"""),"FALSE")</f>
        <v>FALSE</v>
      </c>
      <c r="E299" s="198" t="str">
        <f>IFERROR(__xludf.DUMMYFUNCTION("""COMPUTED_VALUE"""),"FALSE")</f>
        <v>FALSE</v>
      </c>
      <c r="F299" s="198"/>
      <c r="J299" s="184" t="str">
        <f>IFERROR(__xludf.DUMMYFUNCTION("""COMPUTED_VALUE"""),"")</f>
        <v/>
      </c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</row>
    <row r="300">
      <c r="A300" s="198"/>
      <c r="D300" s="198" t="str">
        <f>IFERROR(__xludf.DUMMYFUNCTION("""COMPUTED_VALUE"""),"FALSE")</f>
        <v>FALSE</v>
      </c>
      <c r="E300" s="198" t="str">
        <f>IFERROR(__xludf.DUMMYFUNCTION("""COMPUTED_VALUE"""),"FALSE")</f>
        <v>FALSE</v>
      </c>
      <c r="F300" s="198"/>
      <c r="J300" s="184" t="str">
        <f>IFERROR(__xludf.DUMMYFUNCTION("""COMPUTED_VALUE"""),"")</f>
        <v/>
      </c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</row>
    <row r="301">
      <c r="A301" s="198"/>
      <c r="D301" s="198" t="str">
        <f>IFERROR(__xludf.DUMMYFUNCTION("""COMPUTED_VALUE"""),"FALSE")</f>
        <v>FALSE</v>
      </c>
      <c r="E301" s="198" t="str">
        <f>IFERROR(__xludf.DUMMYFUNCTION("""COMPUTED_VALUE"""),"FALSE")</f>
        <v>FALSE</v>
      </c>
      <c r="F301" s="198"/>
      <c r="J301" s="184" t="str">
        <f>IFERROR(__xludf.DUMMYFUNCTION("""COMPUTED_VALUE"""),"")</f>
        <v/>
      </c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</row>
    <row r="302">
      <c r="A302" s="198"/>
      <c r="D302" s="198" t="str">
        <f>IFERROR(__xludf.DUMMYFUNCTION("""COMPUTED_VALUE"""),"FALSE")</f>
        <v>FALSE</v>
      </c>
      <c r="E302" s="198" t="str">
        <f>IFERROR(__xludf.DUMMYFUNCTION("""COMPUTED_VALUE"""),"FALSE")</f>
        <v>FALSE</v>
      </c>
      <c r="F302" s="198"/>
      <c r="J302" s="184" t="str">
        <f>IFERROR(__xludf.DUMMYFUNCTION("""COMPUTED_VALUE"""),"")</f>
        <v/>
      </c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</row>
    <row r="303">
      <c r="A303" s="198"/>
      <c r="D303" s="198" t="str">
        <f>IFERROR(__xludf.DUMMYFUNCTION("""COMPUTED_VALUE"""),"FALSE")</f>
        <v>FALSE</v>
      </c>
      <c r="E303" s="198" t="str">
        <f>IFERROR(__xludf.DUMMYFUNCTION("""COMPUTED_VALUE"""),"FALSE")</f>
        <v>FALSE</v>
      </c>
      <c r="F303" s="198"/>
      <c r="J303" s="184" t="str">
        <f>IFERROR(__xludf.DUMMYFUNCTION("""COMPUTED_VALUE"""),"")</f>
        <v/>
      </c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</row>
    <row r="304">
      <c r="A304" s="198"/>
      <c r="D304" s="198" t="str">
        <f>IFERROR(__xludf.DUMMYFUNCTION("""COMPUTED_VALUE"""),"FALSE")</f>
        <v>FALSE</v>
      </c>
      <c r="E304" s="198" t="str">
        <f>IFERROR(__xludf.DUMMYFUNCTION("""COMPUTED_VALUE"""),"FALSE")</f>
        <v>FALSE</v>
      </c>
      <c r="F304" s="198"/>
      <c r="J304" s="184" t="str">
        <f>IFERROR(__xludf.DUMMYFUNCTION("""COMPUTED_VALUE"""),"")</f>
        <v/>
      </c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</row>
    <row r="305">
      <c r="A305" s="198"/>
      <c r="D305" s="198" t="str">
        <f>IFERROR(__xludf.DUMMYFUNCTION("""COMPUTED_VALUE"""),"FALSE")</f>
        <v>FALSE</v>
      </c>
      <c r="E305" s="198" t="str">
        <f>IFERROR(__xludf.DUMMYFUNCTION("""COMPUTED_VALUE"""),"FALSE")</f>
        <v>FALSE</v>
      </c>
      <c r="F305" s="198"/>
      <c r="J305" s="184" t="str">
        <f>IFERROR(__xludf.DUMMYFUNCTION("""COMPUTED_VALUE"""),"")</f>
        <v/>
      </c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</row>
    <row r="306">
      <c r="A306" s="198"/>
      <c r="D306" s="198" t="str">
        <f>IFERROR(__xludf.DUMMYFUNCTION("""COMPUTED_VALUE"""),"FALSE")</f>
        <v>FALSE</v>
      </c>
      <c r="E306" s="198" t="str">
        <f>IFERROR(__xludf.DUMMYFUNCTION("""COMPUTED_VALUE"""),"FALSE")</f>
        <v>FALSE</v>
      </c>
      <c r="F306" s="198"/>
      <c r="J306" s="184" t="str">
        <f>IFERROR(__xludf.DUMMYFUNCTION("""COMPUTED_VALUE"""),"")</f>
        <v/>
      </c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</row>
    <row r="307">
      <c r="A307" s="198"/>
      <c r="D307" s="198" t="str">
        <f>IFERROR(__xludf.DUMMYFUNCTION("""COMPUTED_VALUE"""),"FALSE")</f>
        <v>FALSE</v>
      </c>
      <c r="E307" s="198" t="str">
        <f>IFERROR(__xludf.DUMMYFUNCTION("""COMPUTED_VALUE"""),"FALSE")</f>
        <v>FALSE</v>
      </c>
      <c r="F307" s="198"/>
      <c r="J307" s="184" t="str">
        <f>IFERROR(__xludf.DUMMYFUNCTION("""COMPUTED_VALUE"""),"")</f>
        <v/>
      </c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</row>
    <row r="308">
      <c r="A308" s="198"/>
      <c r="D308" s="198" t="str">
        <f>IFERROR(__xludf.DUMMYFUNCTION("""COMPUTED_VALUE"""),"FALSE")</f>
        <v>FALSE</v>
      </c>
      <c r="E308" s="198" t="str">
        <f>IFERROR(__xludf.DUMMYFUNCTION("""COMPUTED_VALUE"""),"FALSE")</f>
        <v>FALSE</v>
      </c>
      <c r="F308" s="198"/>
      <c r="J308" s="184" t="str">
        <f>IFERROR(__xludf.DUMMYFUNCTION("""COMPUTED_VALUE"""),"")</f>
        <v/>
      </c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</row>
    <row r="309">
      <c r="A309" s="198"/>
      <c r="D309" s="198" t="str">
        <f>IFERROR(__xludf.DUMMYFUNCTION("""COMPUTED_VALUE"""),"FALSE")</f>
        <v>FALSE</v>
      </c>
      <c r="E309" s="198" t="str">
        <f>IFERROR(__xludf.DUMMYFUNCTION("""COMPUTED_VALUE"""),"FALSE")</f>
        <v>FALSE</v>
      </c>
      <c r="F309" s="198"/>
      <c r="J309" s="184" t="str">
        <f>IFERROR(__xludf.DUMMYFUNCTION("""COMPUTED_VALUE"""),"")</f>
        <v/>
      </c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</row>
    <row r="310">
      <c r="A310" s="198"/>
      <c r="D310" s="198" t="str">
        <f>IFERROR(__xludf.DUMMYFUNCTION("""COMPUTED_VALUE"""),"FALSE")</f>
        <v>FALSE</v>
      </c>
      <c r="E310" s="198" t="str">
        <f>IFERROR(__xludf.DUMMYFUNCTION("""COMPUTED_VALUE"""),"FALSE")</f>
        <v>FALSE</v>
      </c>
      <c r="F310" s="198"/>
      <c r="J310" s="184" t="str">
        <f>IFERROR(__xludf.DUMMYFUNCTION("""COMPUTED_VALUE"""),"")</f>
        <v/>
      </c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</row>
    <row r="311">
      <c r="A311" s="198"/>
      <c r="D311" s="198" t="str">
        <f>IFERROR(__xludf.DUMMYFUNCTION("""COMPUTED_VALUE"""),"FALSE")</f>
        <v>FALSE</v>
      </c>
      <c r="E311" s="198" t="str">
        <f>IFERROR(__xludf.DUMMYFUNCTION("""COMPUTED_VALUE"""),"FALSE")</f>
        <v>FALSE</v>
      </c>
      <c r="F311" s="198"/>
      <c r="J311" s="184" t="str">
        <f>IFERROR(__xludf.DUMMYFUNCTION("""COMPUTED_VALUE"""),"")</f>
        <v/>
      </c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</row>
    <row r="312">
      <c r="A312" s="198"/>
      <c r="D312" s="198" t="str">
        <f>IFERROR(__xludf.DUMMYFUNCTION("""COMPUTED_VALUE"""),"FALSE")</f>
        <v>FALSE</v>
      </c>
      <c r="E312" s="198" t="str">
        <f>IFERROR(__xludf.DUMMYFUNCTION("""COMPUTED_VALUE"""),"FALSE")</f>
        <v>FALSE</v>
      </c>
      <c r="F312" s="198"/>
      <c r="J312" s="184" t="str">
        <f>IFERROR(__xludf.DUMMYFUNCTION("""COMPUTED_VALUE"""),"")</f>
        <v/>
      </c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</row>
    <row r="313">
      <c r="A313" s="198"/>
      <c r="D313" s="198" t="str">
        <f>IFERROR(__xludf.DUMMYFUNCTION("""COMPUTED_VALUE"""),"FALSE")</f>
        <v>FALSE</v>
      </c>
      <c r="E313" s="198" t="str">
        <f>IFERROR(__xludf.DUMMYFUNCTION("""COMPUTED_VALUE"""),"FALSE")</f>
        <v>FALSE</v>
      </c>
      <c r="F313" s="198"/>
      <c r="J313" s="184" t="str">
        <f>IFERROR(__xludf.DUMMYFUNCTION("""COMPUTED_VALUE"""),"")</f>
        <v/>
      </c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</row>
    <row r="314">
      <c r="A314" s="198"/>
      <c r="D314" s="198" t="str">
        <f>IFERROR(__xludf.DUMMYFUNCTION("""COMPUTED_VALUE"""),"FALSE")</f>
        <v>FALSE</v>
      </c>
      <c r="E314" s="198" t="str">
        <f>IFERROR(__xludf.DUMMYFUNCTION("""COMPUTED_VALUE"""),"FALSE")</f>
        <v>FALSE</v>
      </c>
      <c r="F314" s="198"/>
      <c r="J314" s="184" t="str">
        <f>IFERROR(__xludf.DUMMYFUNCTION("""COMPUTED_VALUE"""),"")</f>
        <v/>
      </c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</row>
    <row r="315">
      <c r="A315" s="198"/>
      <c r="D315" s="198" t="str">
        <f>IFERROR(__xludf.DUMMYFUNCTION("""COMPUTED_VALUE"""),"FALSE")</f>
        <v>FALSE</v>
      </c>
      <c r="E315" s="198" t="str">
        <f>IFERROR(__xludf.DUMMYFUNCTION("""COMPUTED_VALUE"""),"FALSE")</f>
        <v>FALSE</v>
      </c>
      <c r="F315" s="198"/>
      <c r="J315" s="184" t="str">
        <f>IFERROR(__xludf.DUMMYFUNCTION("""COMPUTED_VALUE"""),"")</f>
        <v/>
      </c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</row>
    <row r="316">
      <c r="A316" s="198"/>
      <c r="D316" s="198" t="str">
        <f>IFERROR(__xludf.DUMMYFUNCTION("""COMPUTED_VALUE"""),"FALSE")</f>
        <v>FALSE</v>
      </c>
      <c r="E316" s="198" t="str">
        <f>IFERROR(__xludf.DUMMYFUNCTION("""COMPUTED_VALUE"""),"FALSE")</f>
        <v>FALSE</v>
      </c>
      <c r="F316" s="198"/>
      <c r="J316" s="184" t="str">
        <f>IFERROR(__xludf.DUMMYFUNCTION("""COMPUTED_VALUE"""),"")</f>
        <v/>
      </c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</row>
    <row r="317">
      <c r="A317" s="198"/>
      <c r="D317" s="198" t="str">
        <f>IFERROR(__xludf.DUMMYFUNCTION("""COMPUTED_VALUE"""),"FALSE")</f>
        <v>FALSE</v>
      </c>
      <c r="E317" s="198" t="str">
        <f>IFERROR(__xludf.DUMMYFUNCTION("""COMPUTED_VALUE"""),"FALSE")</f>
        <v>FALSE</v>
      </c>
      <c r="F317" s="198"/>
      <c r="J317" s="184" t="str">
        <f>IFERROR(__xludf.DUMMYFUNCTION("""COMPUTED_VALUE"""),"")</f>
        <v/>
      </c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</row>
    <row r="318">
      <c r="A318" s="198"/>
      <c r="D318" s="198" t="str">
        <f>IFERROR(__xludf.DUMMYFUNCTION("""COMPUTED_VALUE"""),"FALSE")</f>
        <v>FALSE</v>
      </c>
      <c r="E318" s="198" t="str">
        <f>IFERROR(__xludf.DUMMYFUNCTION("""COMPUTED_VALUE"""),"FALSE")</f>
        <v>FALSE</v>
      </c>
      <c r="F318" s="198"/>
      <c r="J318" s="184" t="str">
        <f>IFERROR(__xludf.DUMMYFUNCTION("""COMPUTED_VALUE"""),"")</f>
        <v/>
      </c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</row>
    <row r="319">
      <c r="A319" s="198"/>
      <c r="D319" s="198" t="str">
        <f>IFERROR(__xludf.DUMMYFUNCTION("""COMPUTED_VALUE"""),"FALSE")</f>
        <v>FALSE</v>
      </c>
      <c r="E319" s="198" t="str">
        <f>IFERROR(__xludf.DUMMYFUNCTION("""COMPUTED_VALUE"""),"FALSE")</f>
        <v>FALSE</v>
      </c>
      <c r="F319" s="198"/>
      <c r="J319" s="184" t="str">
        <f>IFERROR(__xludf.DUMMYFUNCTION("""COMPUTED_VALUE"""),"")</f>
        <v/>
      </c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</row>
    <row r="320">
      <c r="A320" s="198"/>
      <c r="D320" s="198" t="str">
        <f>IFERROR(__xludf.DUMMYFUNCTION("""COMPUTED_VALUE"""),"FALSE")</f>
        <v>FALSE</v>
      </c>
      <c r="E320" s="198" t="str">
        <f>IFERROR(__xludf.DUMMYFUNCTION("""COMPUTED_VALUE"""),"FALSE")</f>
        <v>FALSE</v>
      </c>
      <c r="F320" s="198"/>
      <c r="J320" s="184" t="str">
        <f>IFERROR(__xludf.DUMMYFUNCTION("""COMPUTED_VALUE"""),"")</f>
        <v/>
      </c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</row>
    <row r="321">
      <c r="A321" s="198"/>
      <c r="D321" s="198" t="str">
        <f>IFERROR(__xludf.DUMMYFUNCTION("""COMPUTED_VALUE"""),"FALSE")</f>
        <v>FALSE</v>
      </c>
      <c r="E321" s="198" t="str">
        <f>IFERROR(__xludf.DUMMYFUNCTION("""COMPUTED_VALUE"""),"FALSE")</f>
        <v>FALSE</v>
      </c>
      <c r="F321" s="198"/>
      <c r="J321" s="184" t="str">
        <f>IFERROR(__xludf.DUMMYFUNCTION("""COMPUTED_VALUE"""),"")</f>
        <v/>
      </c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</row>
    <row r="322">
      <c r="A322" s="198"/>
      <c r="D322" s="198" t="str">
        <f>IFERROR(__xludf.DUMMYFUNCTION("""COMPUTED_VALUE"""),"FALSE")</f>
        <v>FALSE</v>
      </c>
      <c r="E322" s="198" t="str">
        <f>IFERROR(__xludf.DUMMYFUNCTION("""COMPUTED_VALUE"""),"FALSE")</f>
        <v>FALSE</v>
      </c>
      <c r="F322" s="198"/>
      <c r="J322" s="184" t="str">
        <f>IFERROR(__xludf.DUMMYFUNCTION("""COMPUTED_VALUE"""),"")</f>
        <v/>
      </c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</row>
    <row r="323">
      <c r="A323" s="198"/>
      <c r="D323" s="198" t="str">
        <f>IFERROR(__xludf.DUMMYFUNCTION("""COMPUTED_VALUE"""),"FALSE")</f>
        <v>FALSE</v>
      </c>
      <c r="E323" s="198" t="str">
        <f>IFERROR(__xludf.DUMMYFUNCTION("""COMPUTED_VALUE"""),"FALSE")</f>
        <v>FALSE</v>
      </c>
      <c r="F323" s="198"/>
      <c r="J323" s="184" t="str">
        <f>IFERROR(__xludf.DUMMYFUNCTION("""COMPUTED_VALUE"""),"")</f>
        <v/>
      </c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</row>
    <row r="324">
      <c r="A324" s="198"/>
      <c r="D324" s="198" t="str">
        <f>IFERROR(__xludf.DUMMYFUNCTION("""COMPUTED_VALUE"""),"FALSE")</f>
        <v>FALSE</v>
      </c>
      <c r="E324" s="198" t="str">
        <f>IFERROR(__xludf.DUMMYFUNCTION("""COMPUTED_VALUE"""),"FALSE")</f>
        <v>FALSE</v>
      </c>
      <c r="F324" s="198"/>
      <c r="J324" s="184" t="str">
        <f>IFERROR(__xludf.DUMMYFUNCTION("""COMPUTED_VALUE"""),"")</f>
        <v/>
      </c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</row>
    <row r="325">
      <c r="A325" s="198"/>
      <c r="D325" s="198" t="str">
        <f>IFERROR(__xludf.DUMMYFUNCTION("""COMPUTED_VALUE"""),"FALSE")</f>
        <v>FALSE</v>
      </c>
      <c r="E325" s="198" t="str">
        <f>IFERROR(__xludf.DUMMYFUNCTION("""COMPUTED_VALUE"""),"FALSE")</f>
        <v>FALSE</v>
      </c>
      <c r="F325" s="198"/>
      <c r="J325" s="184" t="str">
        <f>IFERROR(__xludf.DUMMYFUNCTION("""COMPUTED_VALUE"""),"")</f>
        <v/>
      </c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</row>
    <row r="326">
      <c r="A326" s="198"/>
      <c r="D326" s="198" t="str">
        <f>IFERROR(__xludf.DUMMYFUNCTION("""COMPUTED_VALUE"""),"FALSE")</f>
        <v>FALSE</v>
      </c>
      <c r="E326" s="198" t="str">
        <f>IFERROR(__xludf.DUMMYFUNCTION("""COMPUTED_VALUE"""),"FALSE")</f>
        <v>FALSE</v>
      </c>
      <c r="F326" s="198"/>
      <c r="J326" s="184" t="str">
        <f>IFERROR(__xludf.DUMMYFUNCTION("""COMPUTED_VALUE"""),"")</f>
        <v/>
      </c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</row>
    <row r="327">
      <c r="A327" s="198"/>
      <c r="D327" s="198" t="str">
        <f>IFERROR(__xludf.DUMMYFUNCTION("""COMPUTED_VALUE"""),"FALSE")</f>
        <v>FALSE</v>
      </c>
      <c r="E327" s="198" t="str">
        <f>IFERROR(__xludf.DUMMYFUNCTION("""COMPUTED_VALUE"""),"FALSE")</f>
        <v>FALSE</v>
      </c>
      <c r="F327" s="198"/>
      <c r="J327" s="184" t="str">
        <f>IFERROR(__xludf.DUMMYFUNCTION("""COMPUTED_VALUE"""),"")</f>
        <v/>
      </c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</row>
    <row r="328">
      <c r="A328" s="198"/>
      <c r="D328" s="198" t="str">
        <f>IFERROR(__xludf.DUMMYFUNCTION("""COMPUTED_VALUE"""),"FALSE")</f>
        <v>FALSE</v>
      </c>
      <c r="E328" s="198" t="str">
        <f>IFERROR(__xludf.DUMMYFUNCTION("""COMPUTED_VALUE"""),"FALSE")</f>
        <v>FALSE</v>
      </c>
      <c r="F328" s="198"/>
      <c r="J328" s="184" t="str">
        <f>IFERROR(__xludf.DUMMYFUNCTION("""COMPUTED_VALUE"""),"")</f>
        <v/>
      </c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</row>
    <row r="329">
      <c r="A329" s="198"/>
      <c r="D329" s="198" t="str">
        <f>IFERROR(__xludf.DUMMYFUNCTION("""COMPUTED_VALUE"""),"FALSE")</f>
        <v>FALSE</v>
      </c>
      <c r="E329" s="198" t="str">
        <f>IFERROR(__xludf.DUMMYFUNCTION("""COMPUTED_VALUE"""),"FALSE")</f>
        <v>FALSE</v>
      </c>
      <c r="F329" s="198"/>
      <c r="J329" s="184" t="str">
        <f>IFERROR(__xludf.DUMMYFUNCTION("""COMPUTED_VALUE"""),"")</f>
        <v/>
      </c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</row>
    <row r="330">
      <c r="A330" s="198"/>
      <c r="D330" s="198" t="str">
        <f>IFERROR(__xludf.DUMMYFUNCTION("""COMPUTED_VALUE"""),"FALSE")</f>
        <v>FALSE</v>
      </c>
      <c r="E330" s="198" t="str">
        <f>IFERROR(__xludf.DUMMYFUNCTION("""COMPUTED_VALUE"""),"FALSE")</f>
        <v>FALSE</v>
      </c>
      <c r="F330" s="198"/>
      <c r="J330" s="184" t="str">
        <f>IFERROR(__xludf.DUMMYFUNCTION("""COMPUTED_VALUE"""),"")</f>
        <v/>
      </c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</row>
    <row r="331">
      <c r="A331" s="198"/>
      <c r="D331" s="198" t="str">
        <f>IFERROR(__xludf.DUMMYFUNCTION("""COMPUTED_VALUE"""),"FALSE")</f>
        <v>FALSE</v>
      </c>
      <c r="E331" s="198" t="str">
        <f>IFERROR(__xludf.DUMMYFUNCTION("""COMPUTED_VALUE"""),"FALSE")</f>
        <v>FALSE</v>
      </c>
      <c r="F331" s="198"/>
      <c r="J331" s="184" t="str">
        <f>IFERROR(__xludf.DUMMYFUNCTION("""COMPUTED_VALUE"""),"")</f>
        <v/>
      </c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</row>
    <row r="332">
      <c r="A332" s="198"/>
      <c r="D332" s="198" t="str">
        <f>IFERROR(__xludf.DUMMYFUNCTION("""COMPUTED_VALUE"""),"FALSE")</f>
        <v>FALSE</v>
      </c>
      <c r="E332" s="198" t="str">
        <f>IFERROR(__xludf.DUMMYFUNCTION("""COMPUTED_VALUE"""),"FALSE")</f>
        <v>FALSE</v>
      </c>
      <c r="F332" s="198"/>
      <c r="J332" s="184" t="str">
        <f>IFERROR(__xludf.DUMMYFUNCTION("""COMPUTED_VALUE"""),"")</f>
        <v/>
      </c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</row>
    <row r="333">
      <c r="A333" s="198"/>
      <c r="D333" s="198" t="str">
        <f>IFERROR(__xludf.DUMMYFUNCTION("""COMPUTED_VALUE"""),"FALSE")</f>
        <v>FALSE</v>
      </c>
      <c r="E333" s="198" t="str">
        <f>IFERROR(__xludf.DUMMYFUNCTION("""COMPUTED_VALUE"""),"FALSE")</f>
        <v>FALSE</v>
      </c>
      <c r="F333" s="198"/>
      <c r="J333" s="184" t="str">
        <f>IFERROR(__xludf.DUMMYFUNCTION("""COMPUTED_VALUE"""),"")</f>
        <v/>
      </c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</row>
    <row r="334">
      <c r="A334" s="198"/>
      <c r="D334" s="198" t="str">
        <f>IFERROR(__xludf.DUMMYFUNCTION("""COMPUTED_VALUE"""),"FALSE")</f>
        <v>FALSE</v>
      </c>
      <c r="E334" s="198" t="str">
        <f>IFERROR(__xludf.DUMMYFUNCTION("""COMPUTED_VALUE"""),"FALSE")</f>
        <v>FALSE</v>
      </c>
      <c r="F334" s="198"/>
      <c r="J334" s="184" t="str">
        <f>IFERROR(__xludf.DUMMYFUNCTION("""COMPUTED_VALUE"""),"")</f>
        <v/>
      </c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</row>
    <row r="335">
      <c r="A335" s="198"/>
      <c r="D335" s="198" t="str">
        <f>IFERROR(__xludf.DUMMYFUNCTION("""COMPUTED_VALUE"""),"FALSE")</f>
        <v>FALSE</v>
      </c>
      <c r="E335" s="198" t="str">
        <f>IFERROR(__xludf.DUMMYFUNCTION("""COMPUTED_VALUE"""),"FALSE")</f>
        <v>FALSE</v>
      </c>
      <c r="F335" s="198"/>
      <c r="J335" s="184" t="str">
        <f>IFERROR(__xludf.DUMMYFUNCTION("""COMPUTED_VALUE"""),"")</f>
        <v/>
      </c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</row>
    <row r="336">
      <c r="A336" s="198"/>
      <c r="D336" s="198" t="str">
        <f>IFERROR(__xludf.DUMMYFUNCTION("""COMPUTED_VALUE"""),"FALSE")</f>
        <v>FALSE</v>
      </c>
      <c r="E336" s="198" t="str">
        <f>IFERROR(__xludf.DUMMYFUNCTION("""COMPUTED_VALUE"""),"FALSE")</f>
        <v>FALSE</v>
      </c>
      <c r="F336" s="198"/>
      <c r="J336" s="184" t="str">
        <f>IFERROR(__xludf.DUMMYFUNCTION("""COMPUTED_VALUE"""),"")</f>
        <v/>
      </c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</row>
    <row r="337">
      <c r="A337" s="198"/>
      <c r="D337" s="198" t="str">
        <f>IFERROR(__xludf.DUMMYFUNCTION("""COMPUTED_VALUE"""),"FALSE")</f>
        <v>FALSE</v>
      </c>
      <c r="E337" s="198" t="str">
        <f>IFERROR(__xludf.DUMMYFUNCTION("""COMPUTED_VALUE"""),"FALSE")</f>
        <v>FALSE</v>
      </c>
      <c r="F337" s="198"/>
      <c r="J337" s="184" t="str">
        <f>IFERROR(__xludf.DUMMYFUNCTION("""COMPUTED_VALUE"""),"")</f>
        <v/>
      </c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</row>
    <row r="338">
      <c r="A338" s="198"/>
      <c r="D338" s="198" t="str">
        <f>IFERROR(__xludf.DUMMYFUNCTION("""COMPUTED_VALUE"""),"FALSE")</f>
        <v>FALSE</v>
      </c>
      <c r="E338" s="198" t="str">
        <f>IFERROR(__xludf.DUMMYFUNCTION("""COMPUTED_VALUE"""),"FALSE")</f>
        <v>FALSE</v>
      </c>
      <c r="F338" s="198"/>
      <c r="J338" s="184" t="str">
        <f>IFERROR(__xludf.DUMMYFUNCTION("""COMPUTED_VALUE"""),"")</f>
        <v/>
      </c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</row>
    <row r="339">
      <c r="A339" s="198"/>
      <c r="D339" s="198" t="str">
        <f>IFERROR(__xludf.DUMMYFUNCTION("""COMPUTED_VALUE"""),"FALSE")</f>
        <v>FALSE</v>
      </c>
      <c r="E339" s="198" t="str">
        <f>IFERROR(__xludf.DUMMYFUNCTION("""COMPUTED_VALUE"""),"FALSE")</f>
        <v>FALSE</v>
      </c>
      <c r="F339" s="198"/>
      <c r="J339" s="184" t="str">
        <f>IFERROR(__xludf.DUMMYFUNCTION("""COMPUTED_VALUE"""),"")</f>
        <v/>
      </c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</row>
    <row r="340">
      <c r="A340" s="198"/>
      <c r="D340" s="198" t="str">
        <f>IFERROR(__xludf.DUMMYFUNCTION("""COMPUTED_VALUE"""),"FALSE")</f>
        <v>FALSE</v>
      </c>
      <c r="E340" s="198" t="str">
        <f>IFERROR(__xludf.DUMMYFUNCTION("""COMPUTED_VALUE"""),"FALSE")</f>
        <v>FALSE</v>
      </c>
      <c r="F340" s="198"/>
      <c r="J340" s="184" t="str">
        <f>IFERROR(__xludf.DUMMYFUNCTION("""COMPUTED_VALUE"""),"")</f>
        <v/>
      </c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</row>
    <row r="341">
      <c r="A341" s="198"/>
      <c r="D341" s="198" t="str">
        <f>IFERROR(__xludf.DUMMYFUNCTION("""COMPUTED_VALUE"""),"FALSE")</f>
        <v>FALSE</v>
      </c>
      <c r="E341" s="198" t="str">
        <f>IFERROR(__xludf.DUMMYFUNCTION("""COMPUTED_VALUE"""),"FALSE")</f>
        <v>FALSE</v>
      </c>
      <c r="F341" s="198"/>
      <c r="J341" s="184" t="str">
        <f>IFERROR(__xludf.DUMMYFUNCTION("""COMPUTED_VALUE"""),"")</f>
        <v/>
      </c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</row>
    <row r="342">
      <c r="A342" s="198"/>
      <c r="D342" s="198" t="str">
        <f>IFERROR(__xludf.DUMMYFUNCTION("""COMPUTED_VALUE"""),"FALSE")</f>
        <v>FALSE</v>
      </c>
      <c r="E342" s="198" t="str">
        <f>IFERROR(__xludf.DUMMYFUNCTION("""COMPUTED_VALUE"""),"FALSE")</f>
        <v>FALSE</v>
      </c>
      <c r="F342" s="198"/>
      <c r="J342" s="184" t="str">
        <f>IFERROR(__xludf.DUMMYFUNCTION("""COMPUTED_VALUE"""),"")</f>
        <v/>
      </c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</row>
    <row r="343">
      <c r="A343" s="198"/>
      <c r="D343" s="198" t="str">
        <f>IFERROR(__xludf.DUMMYFUNCTION("""COMPUTED_VALUE"""),"FALSE")</f>
        <v>FALSE</v>
      </c>
      <c r="E343" s="198" t="str">
        <f>IFERROR(__xludf.DUMMYFUNCTION("""COMPUTED_VALUE"""),"FALSE")</f>
        <v>FALSE</v>
      </c>
      <c r="F343" s="198"/>
      <c r="J343" s="184" t="str">
        <f>IFERROR(__xludf.DUMMYFUNCTION("""COMPUTED_VALUE"""),"")</f>
        <v/>
      </c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</row>
    <row r="344">
      <c r="A344" s="198"/>
      <c r="D344" s="198" t="str">
        <f>IFERROR(__xludf.DUMMYFUNCTION("""COMPUTED_VALUE"""),"FALSE")</f>
        <v>FALSE</v>
      </c>
      <c r="E344" s="198" t="str">
        <f>IFERROR(__xludf.DUMMYFUNCTION("""COMPUTED_VALUE"""),"FALSE")</f>
        <v>FALSE</v>
      </c>
      <c r="F344" s="198"/>
      <c r="J344" s="184" t="str">
        <f>IFERROR(__xludf.DUMMYFUNCTION("""COMPUTED_VALUE"""),"")</f>
        <v/>
      </c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</row>
    <row r="345">
      <c r="A345" s="198"/>
      <c r="D345" s="198" t="str">
        <f>IFERROR(__xludf.DUMMYFUNCTION("""COMPUTED_VALUE"""),"FALSE")</f>
        <v>FALSE</v>
      </c>
      <c r="E345" s="198" t="str">
        <f>IFERROR(__xludf.DUMMYFUNCTION("""COMPUTED_VALUE"""),"FALSE")</f>
        <v>FALSE</v>
      </c>
      <c r="F345" s="198"/>
      <c r="J345" s="184" t="str">
        <f>IFERROR(__xludf.DUMMYFUNCTION("""COMPUTED_VALUE"""),"")</f>
        <v/>
      </c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</row>
    <row r="346">
      <c r="A346" s="198"/>
      <c r="D346" s="198" t="str">
        <f>IFERROR(__xludf.DUMMYFUNCTION("""COMPUTED_VALUE"""),"FALSE")</f>
        <v>FALSE</v>
      </c>
      <c r="E346" s="198" t="str">
        <f>IFERROR(__xludf.DUMMYFUNCTION("""COMPUTED_VALUE"""),"FALSE")</f>
        <v>FALSE</v>
      </c>
      <c r="F346" s="198"/>
      <c r="J346" s="184" t="str">
        <f>IFERROR(__xludf.DUMMYFUNCTION("""COMPUTED_VALUE"""),"")</f>
        <v/>
      </c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</row>
    <row r="347">
      <c r="A347" s="198"/>
      <c r="D347" s="198" t="str">
        <f>IFERROR(__xludf.DUMMYFUNCTION("""COMPUTED_VALUE"""),"FALSE")</f>
        <v>FALSE</v>
      </c>
      <c r="E347" s="198" t="str">
        <f>IFERROR(__xludf.DUMMYFUNCTION("""COMPUTED_VALUE"""),"FALSE")</f>
        <v>FALSE</v>
      </c>
      <c r="F347" s="198"/>
      <c r="J347" s="184" t="str">
        <f>IFERROR(__xludf.DUMMYFUNCTION("""COMPUTED_VALUE"""),"")</f>
        <v/>
      </c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</row>
    <row r="348">
      <c r="A348" s="198"/>
      <c r="D348" s="198" t="str">
        <f>IFERROR(__xludf.DUMMYFUNCTION("""COMPUTED_VALUE"""),"FALSE")</f>
        <v>FALSE</v>
      </c>
      <c r="E348" s="198" t="str">
        <f>IFERROR(__xludf.DUMMYFUNCTION("""COMPUTED_VALUE"""),"FALSE")</f>
        <v>FALSE</v>
      </c>
      <c r="F348" s="198"/>
      <c r="J348" s="184" t="str">
        <f>IFERROR(__xludf.DUMMYFUNCTION("""COMPUTED_VALUE"""),"")</f>
        <v/>
      </c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</row>
    <row r="349">
      <c r="A349" s="198"/>
      <c r="D349" s="198" t="str">
        <f>IFERROR(__xludf.DUMMYFUNCTION("""COMPUTED_VALUE"""),"FALSE")</f>
        <v>FALSE</v>
      </c>
      <c r="E349" s="198" t="str">
        <f>IFERROR(__xludf.DUMMYFUNCTION("""COMPUTED_VALUE"""),"FALSE")</f>
        <v>FALSE</v>
      </c>
      <c r="F349" s="198"/>
      <c r="J349" s="184" t="str">
        <f>IFERROR(__xludf.DUMMYFUNCTION("""COMPUTED_VALUE"""),"")</f>
        <v/>
      </c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</row>
    <row r="350">
      <c r="A350" s="198"/>
      <c r="D350" s="198" t="str">
        <f>IFERROR(__xludf.DUMMYFUNCTION("""COMPUTED_VALUE"""),"FALSE")</f>
        <v>FALSE</v>
      </c>
      <c r="E350" s="198" t="str">
        <f>IFERROR(__xludf.DUMMYFUNCTION("""COMPUTED_VALUE"""),"FALSE")</f>
        <v>FALSE</v>
      </c>
      <c r="F350" s="198"/>
      <c r="J350" s="184" t="str">
        <f>IFERROR(__xludf.DUMMYFUNCTION("""COMPUTED_VALUE"""),"")</f>
        <v/>
      </c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</row>
    <row r="351">
      <c r="A351" s="198"/>
      <c r="D351" s="198" t="str">
        <f>IFERROR(__xludf.DUMMYFUNCTION("""COMPUTED_VALUE"""),"FALSE")</f>
        <v>FALSE</v>
      </c>
      <c r="E351" s="198" t="str">
        <f>IFERROR(__xludf.DUMMYFUNCTION("""COMPUTED_VALUE"""),"FALSE")</f>
        <v>FALSE</v>
      </c>
      <c r="F351" s="198"/>
      <c r="J351" s="184" t="str">
        <f>IFERROR(__xludf.DUMMYFUNCTION("""COMPUTED_VALUE"""),"")</f>
        <v/>
      </c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</row>
    <row r="352">
      <c r="A352" s="198"/>
      <c r="D352" s="198" t="str">
        <f>IFERROR(__xludf.DUMMYFUNCTION("""COMPUTED_VALUE"""),"FALSE")</f>
        <v>FALSE</v>
      </c>
      <c r="E352" s="198" t="str">
        <f>IFERROR(__xludf.DUMMYFUNCTION("""COMPUTED_VALUE"""),"FALSE")</f>
        <v>FALSE</v>
      </c>
      <c r="F352" s="198"/>
      <c r="J352" s="184" t="str">
        <f>IFERROR(__xludf.DUMMYFUNCTION("""COMPUTED_VALUE"""),"")</f>
        <v/>
      </c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</row>
    <row r="353">
      <c r="A353" s="198"/>
      <c r="D353" s="198" t="str">
        <f>IFERROR(__xludf.DUMMYFUNCTION("""COMPUTED_VALUE"""),"FALSE")</f>
        <v>FALSE</v>
      </c>
      <c r="E353" s="198" t="str">
        <f>IFERROR(__xludf.DUMMYFUNCTION("""COMPUTED_VALUE"""),"FALSE")</f>
        <v>FALSE</v>
      </c>
      <c r="F353" s="198"/>
      <c r="J353" s="184" t="str">
        <f>IFERROR(__xludf.DUMMYFUNCTION("""COMPUTED_VALUE"""),"")</f>
        <v/>
      </c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</row>
    <row r="354">
      <c r="A354" s="198"/>
      <c r="D354" s="198" t="str">
        <f>IFERROR(__xludf.DUMMYFUNCTION("""COMPUTED_VALUE"""),"FALSE")</f>
        <v>FALSE</v>
      </c>
      <c r="E354" s="198" t="str">
        <f>IFERROR(__xludf.DUMMYFUNCTION("""COMPUTED_VALUE"""),"FALSE")</f>
        <v>FALSE</v>
      </c>
      <c r="F354" s="198"/>
      <c r="J354" s="184" t="str">
        <f>IFERROR(__xludf.DUMMYFUNCTION("""COMPUTED_VALUE"""),"")</f>
        <v/>
      </c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</row>
    <row r="355">
      <c r="A355" s="198"/>
      <c r="D355" s="198" t="str">
        <f>IFERROR(__xludf.DUMMYFUNCTION("""COMPUTED_VALUE"""),"FALSE")</f>
        <v>FALSE</v>
      </c>
      <c r="E355" s="198" t="str">
        <f>IFERROR(__xludf.DUMMYFUNCTION("""COMPUTED_VALUE"""),"FALSE")</f>
        <v>FALSE</v>
      </c>
      <c r="F355" s="198"/>
      <c r="J355" s="184" t="str">
        <f>IFERROR(__xludf.DUMMYFUNCTION("""COMPUTED_VALUE"""),"")</f>
        <v/>
      </c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</row>
    <row r="356">
      <c r="A356" s="198"/>
      <c r="D356" s="198" t="str">
        <f>IFERROR(__xludf.DUMMYFUNCTION("""COMPUTED_VALUE"""),"FALSE")</f>
        <v>FALSE</v>
      </c>
      <c r="E356" s="198" t="str">
        <f>IFERROR(__xludf.DUMMYFUNCTION("""COMPUTED_VALUE"""),"FALSE")</f>
        <v>FALSE</v>
      </c>
      <c r="F356" s="198"/>
      <c r="J356" s="184" t="str">
        <f>IFERROR(__xludf.DUMMYFUNCTION("""COMPUTED_VALUE"""),"")</f>
        <v/>
      </c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</row>
    <row r="357">
      <c r="A357" s="198"/>
      <c r="D357" s="198" t="str">
        <f>IFERROR(__xludf.DUMMYFUNCTION("""COMPUTED_VALUE"""),"FALSE")</f>
        <v>FALSE</v>
      </c>
      <c r="E357" s="198" t="str">
        <f>IFERROR(__xludf.DUMMYFUNCTION("""COMPUTED_VALUE"""),"FALSE")</f>
        <v>FALSE</v>
      </c>
      <c r="F357" s="198"/>
      <c r="J357" s="184" t="str">
        <f>IFERROR(__xludf.DUMMYFUNCTION("""COMPUTED_VALUE"""),"")</f>
        <v/>
      </c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</row>
    <row r="358">
      <c r="A358" s="198"/>
      <c r="D358" s="198" t="str">
        <f>IFERROR(__xludf.DUMMYFUNCTION("""COMPUTED_VALUE"""),"FALSE")</f>
        <v>FALSE</v>
      </c>
      <c r="E358" s="198" t="str">
        <f>IFERROR(__xludf.DUMMYFUNCTION("""COMPUTED_VALUE"""),"FALSE")</f>
        <v>FALSE</v>
      </c>
      <c r="F358" s="198"/>
      <c r="J358" s="184" t="str">
        <f>IFERROR(__xludf.DUMMYFUNCTION("""COMPUTED_VALUE"""),"")</f>
        <v/>
      </c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</row>
    <row r="359">
      <c r="A359" s="198"/>
      <c r="D359" s="198" t="str">
        <f>IFERROR(__xludf.DUMMYFUNCTION("""COMPUTED_VALUE"""),"FALSE")</f>
        <v>FALSE</v>
      </c>
      <c r="E359" s="198" t="str">
        <f>IFERROR(__xludf.DUMMYFUNCTION("""COMPUTED_VALUE"""),"FALSE")</f>
        <v>FALSE</v>
      </c>
      <c r="F359" s="198"/>
      <c r="J359" s="184" t="str">
        <f>IFERROR(__xludf.DUMMYFUNCTION("""COMPUTED_VALUE"""),"")</f>
        <v/>
      </c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</row>
    <row r="360">
      <c r="A360" s="198"/>
      <c r="D360" s="198" t="str">
        <f>IFERROR(__xludf.DUMMYFUNCTION("""COMPUTED_VALUE"""),"FALSE")</f>
        <v>FALSE</v>
      </c>
      <c r="E360" s="198" t="str">
        <f>IFERROR(__xludf.DUMMYFUNCTION("""COMPUTED_VALUE"""),"FALSE")</f>
        <v>FALSE</v>
      </c>
      <c r="F360" s="198"/>
      <c r="J360" s="184" t="str">
        <f>IFERROR(__xludf.DUMMYFUNCTION("""COMPUTED_VALUE"""),"")</f>
        <v/>
      </c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</row>
    <row r="361">
      <c r="A361" s="198"/>
      <c r="D361" s="198" t="str">
        <f>IFERROR(__xludf.DUMMYFUNCTION("""COMPUTED_VALUE"""),"FALSE")</f>
        <v>FALSE</v>
      </c>
      <c r="E361" s="198" t="str">
        <f>IFERROR(__xludf.DUMMYFUNCTION("""COMPUTED_VALUE"""),"FALSE")</f>
        <v>FALSE</v>
      </c>
      <c r="F361" s="198"/>
      <c r="J361" s="184" t="str">
        <f>IFERROR(__xludf.DUMMYFUNCTION("""COMPUTED_VALUE"""),"")</f>
        <v/>
      </c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</row>
    <row r="362">
      <c r="A362" s="198"/>
      <c r="D362" s="198" t="str">
        <f>IFERROR(__xludf.DUMMYFUNCTION("""COMPUTED_VALUE"""),"FALSE")</f>
        <v>FALSE</v>
      </c>
      <c r="E362" s="198" t="str">
        <f>IFERROR(__xludf.DUMMYFUNCTION("""COMPUTED_VALUE"""),"FALSE")</f>
        <v>FALSE</v>
      </c>
      <c r="F362" s="198"/>
      <c r="J362" s="184" t="str">
        <f>IFERROR(__xludf.DUMMYFUNCTION("""COMPUTED_VALUE"""),"")</f>
        <v/>
      </c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</row>
    <row r="363">
      <c r="A363" s="198"/>
      <c r="D363" s="198" t="str">
        <f>IFERROR(__xludf.DUMMYFUNCTION("""COMPUTED_VALUE"""),"FALSE")</f>
        <v>FALSE</v>
      </c>
      <c r="E363" s="198" t="str">
        <f>IFERROR(__xludf.DUMMYFUNCTION("""COMPUTED_VALUE"""),"FALSE")</f>
        <v>FALSE</v>
      </c>
      <c r="F363" s="198"/>
      <c r="J363" s="184" t="str">
        <f>IFERROR(__xludf.DUMMYFUNCTION("""COMPUTED_VALUE"""),"")</f>
        <v/>
      </c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</row>
    <row r="364">
      <c r="A364" s="198"/>
      <c r="D364" s="198" t="str">
        <f>IFERROR(__xludf.DUMMYFUNCTION("""COMPUTED_VALUE"""),"FALSE")</f>
        <v>FALSE</v>
      </c>
      <c r="E364" s="198" t="str">
        <f>IFERROR(__xludf.DUMMYFUNCTION("""COMPUTED_VALUE"""),"FALSE")</f>
        <v>FALSE</v>
      </c>
      <c r="F364" s="198"/>
      <c r="J364" s="184" t="str">
        <f>IFERROR(__xludf.DUMMYFUNCTION("""COMPUTED_VALUE"""),"")</f>
        <v/>
      </c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</row>
    <row r="365">
      <c r="A365" s="198"/>
      <c r="D365" s="198" t="str">
        <f>IFERROR(__xludf.DUMMYFUNCTION("""COMPUTED_VALUE"""),"FALSE")</f>
        <v>FALSE</v>
      </c>
      <c r="E365" s="198" t="str">
        <f>IFERROR(__xludf.DUMMYFUNCTION("""COMPUTED_VALUE"""),"FALSE")</f>
        <v>FALSE</v>
      </c>
      <c r="F365" s="198"/>
      <c r="J365" s="184" t="str">
        <f>IFERROR(__xludf.DUMMYFUNCTION("""COMPUTED_VALUE"""),"")</f>
        <v/>
      </c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</row>
    <row r="366">
      <c r="A366" s="198"/>
      <c r="D366" s="198" t="str">
        <f>IFERROR(__xludf.DUMMYFUNCTION("""COMPUTED_VALUE"""),"FALSE")</f>
        <v>FALSE</v>
      </c>
      <c r="E366" s="198" t="str">
        <f>IFERROR(__xludf.DUMMYFUNCTION("""COMPUTED_VALUE"""),"FALSE")</f>
        <v>FALSE</v>
      </c>
      <c r="F366" s="198"/>
      <c r="J366" s="184" t="str">
        <f>IFERROR(__xludf.DUMMYFUNCTION("""COMPUTED_VALUE"""),"")</f>
        <v/>
      </c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</row>
    <row r="367">
      <c r="A367" s="198"/>
      <c r="D367" s="198" t="str">
        <f>IFERROR(__xludf.DUMMYFUNCTION("""COMPUTED_VALUE"""),"FALSE")</f>
        <v>FALSE</v>
      </c>
      <c r="E367" s="198" t="str">
        <f>IFERROR(__xludf.DUMMYFUNCTION("""COMPUTED_VALUE"""),"FALSE")</f>
        <v>FALSE</v>
      </c>
      <c r="F367" s="198"/>
      <c r="J367" s="184" t="str">
        <f>IFERROR(__xludf.DUMMYFUNCTION("""COMPUTED_VALUE"""),"")</f>
        <v/>
      </c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</row>
    <row r="368">
      <c r="A368" s="198"/>
      <c r="D368" s="198" t="str">
        <f>IFERROR(__xludf.DUMMYFUNCTION("""COMPUTED_VALUE"""),"FALSE")</f>
        <v>FALSE</v>
      </c>
      <c r="E368" s="198" t="str">
        <f>IFERROR(__xludf.DUMMYFUNCTION("""COMPUTED_VALUE"""),"FALSE")</f>
        <v>FALSE</v>
      </c>
      <c r="F368" s="198"/>
      <c r="J368" s="184" t="str">
        <f>IFERROR(__xludf.DUMMYFUNCTION("""COMPUTED_VALUE"""),"")</f>
        <v/>
      </c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</row>
    <row r="369">
      <c r="A369" s="198"/>
      <c r="D369" s="198" t="str">
        <f>IFERROR(__xludf.DUMMYFUNCTION("""COMPUTED_VALUE"""),"FALSE")</f>
        <v>FALSE</v>
      </c>
      <c r="E369" s="198" t="str">
        <f>IFERROR(__xludf.DUMMYFUNCTION("""COMPUTED_VALUE"""),"FALSE")</f>
        <v>FALSE</v>
      </c>
      <c r="F369" s="198"/>
      <c r="J369" s="184" t="str">
        <f>IFERROR(__xludf.DUMMYFUNCTION("""COMPUTED_VALUE"""),"")</f>
        <v/>
      </c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</row>
    <row r="370">
      <c r="A370" s="198"/>
      <c r="D370" s="198" t="str">
        <f>IFERROR(__xludf.DUMMYFUNCTION("""COMPUTED_VALUE"""),"FALSE")</f>
        <v>FALSE</v>
      </c>
      <c r="E370" s="198" t="str">
        <f>IFERROR(__xludf.DUMMYFUNCTION("""COMPUTED_VALUE"""),"FALSE")</f>
        <v>FALSE</v>
      </c>
      <c r="F370" s="198"/>
      <c r="J370" s="184" t="str">
        <f>IFERROR(__xludf.DUMMYFUNCTION("""COMPUTED_VALUE"""),"")</f>
        <v/>
      </c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</row>
    <row r="371">
      <c r="A371" s="198"/>
      <c r="D371" s="198" t="str">
        <f>IFERROR(__xludf.DUMMYFUNCTION("""COMPUTED_VALUE"""),"FALSE")</f>
        <v>FALSE</v>
      </c>
      <c r="E371" s="198" t="str">
        <f>IFERROR(__xludf.DUMMYFUNCTION("""COMPUTED_VALUE"""),"FALSE")</f>
        <v>FALSE</v>
      </c>
      <c r="F371" s="198"/>
      <c r="J371" s="184" t="str">
        <f>IFERROR(__xludf.DUMMYFUNCTION("""COMPUTED_VALUE"""),"")</f>
        <v/>
      </c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</row>
    <row r="372">
      <c r="A372" s="198"/>
      <c r="D372" s="198" t="str">
        <f>IFERROR(__xludf.DUMMYFUNCTION("""COMPUTED_VALUE"""),"FALSE")</f>
        <v>FALSE</v>
      </c>
      <c r="E372" s="198" t="str">
        <f>IFERROR(__xludf.DUMMYFUNCTION("""COMPUTED_VALUE"""),"FALSE")</f>
        <v>FALSE</v>
      </c>
      <c r="F372" s="198"/>
      <c r="J372" s="184" t="str">
        <f>IFERROR(__xludf.DUMMYFUNCTION("""COMPUTED_VALUE"""),"")</f>
        <v/>
      </c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</row>
    <row r="373">
      <c r="A373" s="198"/>
      <c r="D373" s="198" t="str">
        <f>IFERROR(__xludf.DUMMYFUNCTION("""COMPUTED_VALUE"""),"FALSE")</f>
        <v>FALSE</v>
      </c>
      <c r="E373" s="198" t="str">
        <f>IFERROR(__xludf.DUMMYFUNCTION("""COMPUTED_VALUE"""),"FALSE")</f>
        <v>FALSE</v>
      </c>
      <c r="F373" s="198"/>
      <c r="J373" s="184" t="str">
        <f>IFERROR(__xludf.DUMMYFUNCTION("""COMPUTED_VALUE"""),"")</f>
        <v/>
      </c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</row>
    <row r="374">
      <c r="A374" s="198"/>
      <c r="D374" s="198" t="str">
        <f>IFERROR(__xludf.DUMMYFUNCTION("""COMPUTED_VALUE"""),"FALSE")</f>
        <v>FALSE</v>
      </c>
      <c r="E374" s="198" t="str">
        <f>IFERROR(__xludf.DUMMYFUNCTION("""COMPUTED_VALUE"""),"FALSE")</f>
        <v>FALSE</v>
      </c>
      <c r="F374" s="198"/>
      <c r="J374" s="184" t="str">
        <f>IFERROR(__xludf.DUMMYFUNCTION("""COMPUTED_VALUE"""),"")</f>
        <v/>
      </c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</row>
    <row r="375">
      <c r="A375" s="198"/>
      <c r="D375" s="198" t="str">
        <f>IFERROR(__xludf.DUMMYFUNCTION("""COMPUTED_VALUE"""),"FALSE")</f>
        <v>FALSE</v>
      </c>
      <c r="E375" s="198" t="str">
        <f>IFERROR(__xludf.DUMMYFUNCTION("""COMPUTED_VALUE"""),"FALSE")</f>
        <v>FALSE</v>
      </c>
      <c r="F375" s="198"/>
      <c r="J375" s="184" t="str">
        <f>IFERROR(__xludf.DUMMYFUNCTION("""COMPUTED_VALUE"""),"")</f>
        <v/>
      </c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</row>
    <row r="376">
      <c r="A376" s="198"/>
      <c r="D376" s="198" t="str">
        <f>IFERROR(__xludf.DUMMYFUNCTION("""COMPUTED_VALUE"""),"FALSE")</f>
        <v>FALSE</v>
      </c>
      <c r="E376" s="198" t="str">
        <f>IFERROR(__xludf.DUMMYFUNCTION("""COMPUTED_VALUE"""),"FALSE")</f>
        <v>FALSE</v>
      </c>
      <c r="F376" s="198"/>
      <c r="J376" s="184" t="str">
        <f>IFERROR(__xludf.DUMMYFUNCTION("""COMPUTED_VALUE"""),"")</f>
        <v/>
      </c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</row>
    <row r="377">
      <c r="A377" s="198"/>
      <c r="D377" s="198" t="str">
        <f>IFERROR(__xludf.DUMMYFUNCTION("""COMPUTED_VALUE"""),"FALSE")</f>
        <v>FALSE</v>
      </c>
      <c r="E377" s="198" t="str">
        <f>IFERROR(__xludf.DUMMYFUNCTION("""COMPUTED_VALUE"""),"FALSE")</f>
        <v>FALSE</v>
      </c>
      <c r="F377" s="198"/>
      <c r="J377" s="184" t="str">
        <f>IFERROR(__xludf.DUMMYFUNCTION("""COMPUTED_VALUE"""),"")</f>
        <v/>
      </c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</row>
    <row r="378">
      <c r="A378" s="198"/>
      <c r="D378" s="198" t="str">
        <f>IFERROR(__xludf.DUMMYFUNCTION("""COMPUTED_VALUE"""),"FALSE")</f>
        <v>FALSE</v>
      </c>
      <c r="E378" s="198" t="str">
        <f>IFERROR(__xludf.DUMMYFUNCTION("""COMPUTED_VALUE"""),"FALSE")</f>
        <v>FALSE</v>
      </c>
      <c r="F378" s="198"/>
      <c r="J378" s="184" t="str">
        <f>IFERROR(__xludf.DUMMYFUNCTION("""COMPUTED_VALUE"""),"")</f>
        <v/>
      </c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</row>
    <row r="379">
      <c r="A379" s="198"/>
      <c r="D379" s="198" t="str">
        <f>IFERROR(__xludf.DUMMYFUNCTION("""COMPUTED_VALUE"""),"FALSE")</f>
        <v>FALSE</v>
      </c>
      <c r="E379" s="198" t="str">
        <f>IFERROR(__xludf.DUMMYFUNCTION("""COMPUTED_VALUE"""),"FALSE")</f>
        <v>FALSE</v>
      </c>
      <c r="F379" s="198"/>
      <c r="J379" s="184" t="str">
        <f>IFERROR(__xludf.DUMMYFUNCTION("""COMPUTED_VALUE"""),"")</f>
        <v/>
      </c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</row>
    <row r="380">
      <c r="A380" s="198"/>
      <c r="D380" s="198" t="str">
        <f>IFERROR(__xludf.DUMMYFUNCTION("""COMPUTED_VALUE"""),"FALSE")</f>
        <v>FALSE</v>
      </c>
      <c r="E380" s="198" t="str">
        <f>IFERROR(__xludf.DUMMYFUNCTION("""COMPUTED_VALUE"""),"FALSE")</f>
        <v>FALSE</v>
      </c>
      <c r="F380" s="198"/>
      <c r="J380" s="184" t="str">
        <f>IFERROR(__xludf.DUMMYFUNCTION("""COMPUTED_VALUE"""),"")</f>
        <v/>
      </c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</row>
    <row r="381">
      <c r="A381" s="198"/>
      <c r="D381" s="198" t="str">
        <f>IFERROR(__xludf.DUMMYFUNCTION("""COMPUTED_VALUE"""),"FALSE")</f>
        <v>FALSE</v>
      </c>
      <c r="E381" s="198" t="str">
        <f>IFERROR(__xludf.DUMMYFUNCTION("""COMPUTED_VALUE"""),"FALSE")</f>
        <v>FALSE</v>
      </c>
      <c r="F381" s="198"/>
      <c r="J381" s="184" t="str">
        <f>IFERROR(__xludf.DUMMYFUNCTION("""COMPUTED_VALUE"""),"")</f>
        <v/>
      </c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</row>
    <row r="382">
      <c r="A382" s="198"/>
      <c r="D382" s="198" t="str">
        <f>IFERROR(__xludf.DUMMYFUNCTION("""COMPUTED_VALUE"""),"FALSE")</f>
        <v>FALSE</v>
      </c>
      <c r="E382" s="198" t="str">
        <f>IFERROR(__xludf.DUMMYFUNCTION("""COMPUTED_VALUE"""),"FALSE")</f>
        <v>FALSE</v>
      </c>
      <c r="F382" s="198"/>
      <c r="J382" s="184" t="str">
        <f>IFERROR(__xludf.DUMMYFUNCTION("""COMPUTED_VALUE"""),"")</f>
        <v/>
      </c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</row>
    <row r="383">
      <c r="A383" s="198"/>
      <c r="D383" s="198" t="str">
        <f>IFERROR(__xludf.DUMMYFUNCTION("""COMPUTED_VALUE"""),"FALSE")</f>
        <v>FALSE</v>
      </c>
      <c r="E383" s="198" t="str">
        <f>IFERROR(__xludf.DUMMYFUNCTION("""COMPUTED_VALUE"""),"FALSE")</f>
        <v>FALSE</v>
      </c>
      <c r="F383" s="198"/>
      <c r="J383" s="184" t="str">
        <f>IFERROR(__xludf.DUMMYFUNCTION("""COMPUTED_VALUE"""),"")</f>
        <v/>
      </c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</row>
    <row r="384">
      <c r="A384" s="198"/>
      <c r="D384" s="198" t="str">
        <f>IFERROR(__xludf.DUMMYFUNCTION("""COMPUTED_VALUE"""),"FALSE")</f>
        <v>FALSE</v>
      </c>
      <c r="E384" s="198" t="str">
        <f>IFERROR(__xludf.DUMMYFUNCTION("""COMPUTED_VALUE"""),"FALSE")</f>
        <v>FALSE</v>
      </c>
      <c r="F384" s="198"/>
      <c r="J384" s="184" t="str">
        <f>IFERROR(__xludf.DUMMYFUNCTION("""COMPUTED_VALUE"""),"")</f>
        <v/>
      </c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</row>
    <row r="385">
      <c r="A385" s="198"/>
      <c r="D385" s="198" t="str">
        <f>IFERROR(__xludf.DUMMYFUNCTION("""COMPUTED_VALUE"""),"FALSE")</f>
        <v>FALSE</v>
      </c>
      <c r="E385" s="198" t="str">
        <f>IFERROR(__xludf.DUMMYFUNCTION("""COMPUTED_VALUE"""),"FALSE")</f>
        <v>FALSE</v>
      </c>
      <c r="F385" s="198"/>
      <c r="J385" s="184" t="str">
        <f>IFERROR(__xludf.DUMMYFUNCTION("""COMPUTED_VALUE"""),"")</f>
        <v/>
      </c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</row>
    <row r="386">
      <c r="A386" s="198"/>
      <c r="D386" s="198" t="str">
        <f>IFERROR(__xludf.DUMMYFUNCTION("""COMPUTED_VALUE"""),"FALSE")</f>
        <v>FALSE</v>
      </c>
      <c r="E386" s="198" t="str">
        <f>IFERROR(__xludf.DUMMYFUNCTION("""COMPUTED_VALUE"""),"FALSE")</f>
        <v>FALSE</v>
      </c>
      <c r="F386" s="198"/>
      <c r="J386" s="184" t="str">
        <f>IFERROR(__xludf.DUMMYFUNCTION("""COMPUTED_VALUE"""),"")</f>
        <v/>
      </c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</row>
    <row r="387">
      <c r="A387" s="198"/>
      <c r="D387" s="198" t="str">
        <f>IFERROR(__xludf.DUMMYFUNCTION("""COMPUTED_VALUE"""),"FALSE")</f>
        <v>FALSE</v>
      </c>
      <c r="E387" s="198" t="str">
        <f>IFERROR(__xludf.DUMMYFUNCTION("""COMPUTED_VALUE"""),"FALSE")</f>
        <v>FALSE</v>
      </c>
      <c r="F387" s="198"/>
      <c r="J387" s="184" t="str">
        <f>IFERROR(__xludf.DUMMYFUNCTION("""COMPUTED_VALUE"""),"")</f>
        <v/>
      </c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</row>
    <row r="388">
      <c r="A388" s="198"/>
      <c r="D388" s="198" t="str">
        <f>IFERROR(__xludf.DUMMYFUNCTION("""COMPUTED_VALUE"""),"FALSE")</f>
        <v>FALSE</v>
      </c>
      <c r="E388" s="198" t="str">
        <f>IFERROR(__xludf.DUMMYFUNCTION("""COMPUTED_VALUE"""),"FALSE")</f>
        <v>FALSE</v>
      </c>
      <c r="F388" s="198"/>
      <c r="J388" s="184" t="str">
        <f>IFERROR(__xludf.DUMMYFUNCTION("""COMPUTED_VALUE"""),"")</f>
        <v/>
      </c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</row>
    <row r="389">
      <c r="A389" s="198"/>
      <c r="D389" s="198" t="str">
        <f>IFERROR(__xludf.DUMMYFUNCTION("""COMPUTED_VALUE"""),"FALSE")</f>
        <v>FALSE</v>
      </c>
      <c r="E389" s="198" t="str">
        <f>IFERROR(__xludf.DUMMYFUNCTION("""COMPUTED_VALUE"""),"FALSE")</f>
        <v>FALSE</v>
      </c>
      <c r="F389" s="198"/>
      <c r="J389" s="184" t="str">
        <f>IFERROR(__xludf.DUMMYFUNCTION("""COMPUTED_VALUE"""),"")</f>
        <v/>
      </c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</row>
    <row r="390">
      <c r="A390" s="198"/>
      <c r="D390" s="198" t="str">
        <f>IFERROR(__xludf.DUMMYFUNCTION("""COMPUTED_VALUE"""),"FALSE")</f>
        <v>FALSE</v>
      </c>
      <c r="E390" s="198" t="str">
        <f>IFERROR(__xludf.DUMMYFUNCTION("""COMPUTED_VALUE"""),"FALSE")</f>
        <v>FALSE</v>
      </c>
      <c r="F390" s="198"/>
      <c r="J390" s="184" t="str">
        <f>IFERROR(__xludf.DUMMYFUNCTION("""COMPUTED_VALUE"""),"")</f>
        <v/>
      </c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</row>
    <row r="391">
      <c r="A391" s="198"/>
      <c r="D391" s="198" t="str">
        <f>IFERROR(__xludf.DUMMYFUNCTION("""COMPUTED_VALUE"""),"FALSE")</f>
        <v>FALSE</v>
      </c>
      <c r="E391" s="198" t="str">
        <f>IFERROR(__xludf.DUMMYFUNCTION("""COMPUTED_VALUE"""),"FALSE")</f>
        <v>FALSE</v>
      </c>
      <c r="F391" s="198"/>
      <c r="J391" s="184" t="str">
        <f>IFERROR(__xludf.DUMMYFUNCTION("""COMPUTED_VALUE"""),"")</f>
        <v/>
      </c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</row>
    <row r="392">
      <c r="A392" s="198"/>
      <c r="D392" s="198" t="str">
        <f>IFERROR(__xludf.DUMMYFUNCTION("""COMPUTED_VALUE"""),"FALSE")</f>
        <v>FALSE</v>
      </c>
      <c r="E392" s="198" t="str">
        <f>IFERROR(__xludf.DUMMYFUNCTION("""COMPUTED_VALUE"""),"FALSE")</f>
        <v>FALSE</v>
      </c>
      <c r="F392" s="198"/>
      <c r="J392" s="184" t="str">
        <f>IFERROR(__xludf.DUMMYFUNCTION("""COMPUTED_VALUE"""),"")</f>
        <v/>
      </c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</row>
    <row r="393">
      <c r="A393" s="198"/>
      <c r="D393" s="198" t="str">
        <f>IFERROR(__xludf.DUMMYFUNCTION("""COMPUTED_VALUE"""),"FALSE")</f>
        <v>FALSE</v>
      </c>
      <c r="E393" s="198" t="str">
        <f>IFERROR(__xludf.DUMMYFUNCTION("""COMPUTED_VALUE"""),"FALSE")</f>
        <v>FALSE</v>
      </c>
      <c r="F393" s="198"/>
      <c r="J393" s="184" t="str">
        <f>IFERROR(__xludf.DUMMYFUNCTION("""COMPUTED_VALUE"""),"")</f>
        <v/>
      </c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</row>
    <row r="394">
      <c r="A394" s="198"/>
      <c r="D394" s="198" t="str">
        <f>IFERROR(__xludf.DUMMYFUNCTION("""COMPUTED_VALUE"""),"FALSE")</f>
        <v>FALSE</v>
      </c>
      <c r="E394" s="198" t="str">
        <f>IFERROR(__xludf.DUMMYFUNCTION("""COMPUTED_VALUE"""),"FALSE")</f>
        <v>FALSE</v>
      </c>
      <c r="F394" s="198"/>
      <c r="J394" s="184" t="str">
        <f>IFERROR(__xludf.DUMMYFUNCTION("""COMPUTED_VALUE"""),"")</f>
        <v/>
      </c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</row>
    <row r="395">
      <c r="A395" s="198"/>
      <c r="D395" s="198" t="str">
        <f>IFERROR(__xludf.DUMMYFUNCTION("""COMPUTED_VALUE"""),"FALSE")</f>
        <v>FALSE</v>
      </c>
      <c r="E395" s="198" t="str">
        <f>IFERROR(__xludf.DUMMYFUNCTION("""COMPUTED_VALUE"""),"FALSE")</f>
        <v>FALSE</v>
      </c>
      <c r="F395" s="198"/>
      <c r="J395" s="184" t="str">
        <f>IFERROR(__xludf.DUMMYFUNCTION("""COMPUTED_VALUE"""),"")</f>
        <v/>
      </c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</row>
    <row r="396">
      <c r="A396" s="198"/>
      <c r="D396" s="198" t="str">
        <f>IFERROR(__xludf.DUMMYFUNCTION("""COMPUTED_VALUE"""),"FALSE")</f>
        <v>FALSE</v>
      </c>
      <c r="E396" s="198" t="str">
        <f>IFERROR(__xludf.DUMMYFUNCTION("""COMPUTED_VALUE"""),"FALSE")</f>
        <v>FALSE</v>
      </c>
      <c r="F396" s="198"/>
      <c r="J396" s="184" t="str">
        <f>IFERROR(__xludf.DUMMYFUNCTION("""COMPUTED_VALUE"""),"")</f>
        <v/>
      </c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</row>
    <row r="397">
      <c r="A397" s="198"/>
      <c r="D397" s="198" t="str">
        <f>IFERROR(__xludf.DUMMYFUNCTION("""COMPUTED_VALUE"""),"FALSE")</f>
        <v>FALSE</v>
      </c>
      <c r="E397" s="198" t="str">
        <f>IFERROR(__xludf.DUMMYFUNCTION("""COMPUTED_VALUE"""),"FALSE")</f>
        <v>FALSE</v>
      </c>
      <c r="F397" s="198"/>
      <c r="J397" s="184" t="str">
        <f>IFERROR(__xludf.DUMMYFUNCTION("""COMPUTED_VALUE"""),"")</f>
        <v/>
      </c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</row>
    <row r="398">
      <c r="A398" s="198"/>
      <c r="D398" s="198" t="str">
        <f>IFERROR(__xludf.DUMMYFUNCTION("""COMPUTED_VALUE"""),"FALSE")</f>
        <v>FALSE</v>
      </c>
      <c r="E398" s="198" t="str">
        <f>IFERROR(__xludf.DUMMYFUNCTION("""COMPUTED_VALUE"""),"FALSE")</f>
        <v>FALSE</v>
      </c>
      <c r="F398" s="198"/>
      <c r="J398" s="184" t="str">
        <f>IFERROR(__xludf.DUMMYFUNCTION("""COMPUTED_VALUE"""),"")</f>
        <v/>
      </c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</row>
    <row r="399">
      <c r="A399" s="198"/>
      <c r="D399" s="198" t="str">
        <f>IFERROR(__xludf.DUMMYFUNCTION("""COMPUTED_VALUE"""),"FALSE")</f>
        <v>FALSE</v>
      </c>
      <c r="E399" s="198" t="str">
        <f>IFERROR(__xludf.DUMMYFUNCTION("""COMPUTED_VALUE"""),"FALSE")</f>
        <v>FALSE</v>
      </c>
      <c r="F399" s="198"/>
      <c r="J399" s="184" t="str">
        <f>IFERROR(__xludf.DUMMYFUNCTION("""COMPUTED_VALUE"""),"")</f>
        <v/>
      </c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</row>
    <row r="400">
      <c r="A400" s="198"/>
      <c r="D400" s="198" t="str">
        <f>IFERROR(__xludf.DUMMYFUNCTION("""COMPUTED_VALUE"""),"FALSE")</f>
        <v>FALSE</v>
      </c>
      <c r="E400" s="198" t="str">
        <f>IFERROR(__xludf.DUMMYFUNCTION("""COMPUTED_VALUE"""),"FALSE")</f>
        <v>FALSE</v>
      </c>
      <c r="F400" s="198"/>
      <c r="J400" s="184" t="str">
        <f>IFERROR(__xludf.DUMMYFUNCTION("""COMPUTED_VALUE"""),"")</f>
        <v/>
      </c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</row>
    <row r="401">
      <c r="A401" s="198"/>
      <c r="D401" s="198" t="str">
        <f>IFERROR(__xludf.DUMMYFUNCTION("""COMPUTED_VALUE"""),"FALSE")</f>
        <v>FALSE</v>
      </c>
      <c r="E401" s="198" t="str">
        <f>IFERROR(__xludf.DUMMYFUNCTION("""COMPUTED_VALUE"""),"FALSE")</f>
        <v>FALSE</v>
      </c>
      <c r="F401" s="198"/>
      <c r="J401" s="184" t="str">
        <f>IFERROR(__xludf.DUMMYFUNCTION("""COMPUTED_VALUE"""),"")</f>
        <v/>
      </c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</row>
    <row r="402">
      <c r="A402" s="198"/>
      <c r="D402" s="198" t="str">
        <f>IFERROR(__xludf.DUMMYFUNCTION("""COMPUTED_VALUE"""),"FALSE")</f>
        <v>FALSE</v>
      </c>
      <c r="E402" s="198" t="str">
        <f>IFERROR(__xludf.DUMMYFUNCTION("""COMPUTED_VALUE"""),"FALSE")</f>
        <v>FALSE</v>
      </c>
      <c r="F402" s="198"/>
      <c r="J402" s="184" t="str">
        <f>IFERROR(__xludf.DUMMYFUNCTION("""COMPUTED_VALUE"""),"")</f>
        <v/>
      </c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</row>
    <row r="403">
      <c r="A403" s="198"/>
      <c r="D403" s="198" t="str">
        <f>IFERROR(__xludf.DUMMYFUNCTION("""COMPUTED_VALUE"""),"FALSE")</f>
        <v>FALSE</v>
      </c>
      <c r="E403" s="198" t="str">
        <f>IFERROR(__xludf.DUMMYFUNCTION("""COMPUTED_VALUE"""),"FALSE")</f>
        <v>FALSE</v>
      </c>
      <c r="F403" s="198"/>
      <c r="J403" s="184" t="str">
        <f>IFERROR(__xludf.DUMMYFUNCTION("""COMPUTED_VALUE"""),"")</f>
        <v/>
      </c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</row>
    <row r="404">
      <c r="A404" s="198"/>
      <c r="D404" s="198" t="str">
        <f>IFERROR(__xludf.DUMMYFUNCTION("""COMPUTED_VALUE"""),"FALSE")</f>
        <v>FALSE</v>
      </c>
      <c r="E404" s="198" t="str">
        <f>IFERROR(__xludf.DUMMYFUNCTION("""COMPUTED_VALUE"""),"FALSE")</f>
        <v>FALSE</v>
      </c>
      <c r="F404" s="198"/>
      <c r="J404" s="184" t="str">
        <f>IFERROR(__xludf.DUMMYFUNCTION("""COMPUTED_VALUE"""),"")</f>
        <v/>
      </c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</row>
    <row r="405">
      <c r="A405" s="198"/>
      <c r="D405" s="198" t="str">
        <f>IFERROR(__xludf.DUMMYFUNCTION("""COMPUTED_VALUE"""),"FALSE")</f>
        <v>FALSE</v>
      </c>
      <c r="E405" s="198" t="str">
        <f>IFERROR(__xludf.DUMMYFUNCTION("""COMPUTED_VALUE"""),"FALSE")</f>
        <v>FALSE</v>
      </c>
      <c r="F405" s="198"/>
      <c r="J405" s="184" t="str">
        <f>IFERROR(__xludf.DUMMYFUNCTION("""COMPUTED_VALUE"""),"")</f>
        <v/>
      </c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</row>
    <row r="406">
      <c r="A406" s="198"/>
      <c r="D406" s="198" t="str">
        <f>IFERROR(__xludf.DUMMYFUNCTION("""COMPUTED_VALUE"""),"FALSE")</f>
        <v>FALSE</v>
      </c>
      <c r="E406" s="198" t="str">
        <f>IFERROR(__xludf.DUMMYFUNCTION("""COMPUTED_VALUE"""),"FALSE")</f>
        <v>FALSE</v>
      </c>
      <c r="F406" s="198"/>
      <c r="J406" s="184" t="str">
        <f>IFERROR(__xludf.DUMMYFUNCTION("""COMPUTED_VALUE"""),"")</f>
        <v/>
      </c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</row>
    <row r="407">
      <c r="A407" s="198"/>
      <c r="D407" s="198" t="str">
        <f>IFERROR(__xludf.DUMMYFUNCTION("""COMPUTED_VALUE"""),"FALSE")</f>
        <v>FALSE</v>
      </c>
      <c r="E407" s="198" t="str">
        <f>IFERROR(__xludf.DUMMYFUNCTION("""COMPUTED_VALUE"""),"FALSE")</f>
        <v>FALSE</v>
      </c>
      <c r="F407" s="198"/>
      <c r="J407" s="184" t="str">
        <f>IFERROR(__xludf.DUMMYFUNCTION("""COMPUTED_VALUE"""),"")</f>
        <v/>
      </c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</row>
    <row r="408">
      <c r="A408" s="198"/>
      <c r="D408" s="198" t="str">
        <f>IFERROR(__xludf.DUMMYFUNCTION("""COMPUTED_VALUE"""),"FALSE")</f>
        <v>FALSE</v>
      </c>
      <c r="E408" s="198" t="str">
        <f>IFERROR(__xludf.DUMMYFUNCTION("""COMPUTED_VALUE"""),"FALSE")</f>
        <v>FALSE</v>
      </c>
      <c r="F408" s="198"/>
      <c r="J408" s="184" t="str">
        <f>IFERROR(__xludf.DUMMYFUNCTION("""COMPUTED_VALUE"""),"")</f>
        <v/>
      </c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</row>
    <row r="409">
      <c r="A409" s="198"/>
      <c r="D409" s="198" t="str">
        <f>IFERROR(__xludf.DUMMYFUNCTION("""COMPUTED_VALUE"""),"FALSE")</f>
        <v>FALSE</v>
      </c>
      <c r="E409" s="198" t="str">
        <f>IFERROR(__xludf.DUMMYFUNCTION("""COMPUTED_VALUE"""),"FALSE")</f>
        <v>FALSE</v>
      </c>
      <c r="F409" s="198"/>
      <c r="J409" s="184" t="str">
        <f>IFERROR(__xludf.DUMMYFUNCTION("""COMPUTED_VALUE"""),"")</f>
        <v/>
      </c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</row>
    <row r="410">
      <c r="A410" s="198"/>
      <c r="D410" s="198" t="str">
        <f>IFERROR(__xludf.DUMMYFUNCTION("""COMPUTED_VALUE"""),"FALSE")</f>
        <v>FALSE</v>
      </c>
      <c r="E410" s="198" t="str">
        <f>IFERROR(__xludf.DUMMYFUNCTION("""COMPUTED_VALUE"""),"FALSE")</f>
        <v>FALSE</v>
      </c>
      <c r="F410" s="198"/>
      <c r="J410" s="184" t="str">
        <f>IFERROR(__xludf.DUMMYFUNCTION("""COMPUTED_VALUE"""),"")</f>
        <v/>
      </c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</row>
    <row r="411">
      <c r="A411" s="198"/>
      <c r="D411" s="198" t="str">
        <f>IFERROR(__xludf.DUMMYFUNCTION("""COMPUTED_VALUE"""),"FALSE")</f>
        <v>FALSE</v>
      </c>
      <c r="E411" s="198" t="str">
        <f>IFERROR(__xludf.DUMMYFUNCTION("""COMPUTED_VALUE"""),"FALSE")</f>
        <v>FALSE</v>
      </c>
      <c r="F411" s="198"/>
      <c r="J411" s="184" t="str">
        <f>IFERROR(__xludf.DUMMYFUNCTION("""COMPUTED_VALUE"""),"")</f>
        <v/>
      </c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</row>
    <row r="412">
      <c r="A412" s="198"/>
      <c r="D412" s="198" t="str">
        <f>IFERROR(__xludf.DUMMYFUNCTION("""COMPUTED_VALUE"""),"FALSE")</f>
        <v>FALSE</v>
      </c>
      <c r="E412" s="198" t="str">
        <f>IFERROR(__xludf.DUMMYFUNCTION("""COMPUTED_VALUE"""),"FALSE")</f>
        <v>FALSE</v>
      </c>
      <c r="F412" s="198"/>
      <c r="J412" s="184" t="str">
        <f>IFERROR(__xludf.DUMMYFUNCTION("""COMPUTED_VALUE"""),"")</f>
        <v/>
      </c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</row>
    <row r="413">
      <c r="A413" s="198"/>
      <c r="D413" s="198" t="str">
        <f>IFERROR(__xludf.DUMMYFUNCTION("""COMPUTED_VALUE"""),"FALSE")</f>
        <v>FALSE</v>
      </c>
      <c r="E413" s="198" t="str">
        <f>IFERROR(__xludf.DUMMYFUNCTION("""COMPUTED_VALUE"""),"FALSE")</f>
        <v>FALSE</v>
      </c>
      <c r="F413" s="198"/>
      <c r="J413" s="184" t="str">
        <f>IFERROR(__xludf.DUMMYFUNCTION("""COMPUTED_VALUE"""),"")</f>
        <v/>
      </c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</row>
    <row r="414">
      <c r="A414" s="198"/>
      <c r="D414" s="198" t="str">
        <f>IFERROR(__xludf.DUMMYFUNCTION("""COMPUTED_VALUE"""),"FALSE")</f>
        <v>FALSE</v>
      </c>
      <c r="E414" s="198" t="str">
        <f>IFERROR(__xludf.DUMMYFUNCTION("""COMPUTED_VALUE"""),"FALSE")</f>
        <v>FALSE</v>
      </c>
      <c r="F414" s="198"/>
      <c r="J414" s="184" t="str">
        <f>IFERROR(__xludf.DUMMYFUNCTION("""COMPUTED_VALUE"""),"")</f>
        <v/>
      </c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</row>
    <row r="415">
      <c r="A415" s="198"/>
      <c r="D415" s="198" t="str">
        <f>IFERROR(__xludf.DUMMYFUNCTION("""COMPUTED_VALUE"""),"FALSE")</f>
        <v>FALSE</v>
      </c>
      <c r="E415" s="198" t="str">
        <f>IFERROR(__xludf.DUMMYFUNCTION("""COMPUTED_VALUE"""),"FALSE")</f>
        <v>FALSE</v>
      </c>
      <c r="F415" s="198"/>
      <c r="J415" s="184" t="str">
        <f>IFERROR(__xludf.DUMMYFUNCTION("""COMPUTED_VALUE"""),"")</f>
        <v/>
      </c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</row>
    <row r="416">
      <c r="A416" s="198"/>
      <c r="D416" s="198" t="str">
        <f>IFERROR(__xludf.DUMMYFUNCTION("""COMPUTED_VALUE"""),"FALSE")</f>
        <v>FALSE</v>
      </c>
      <c r="E416" s="198" t="str">
        <f>IFERROR(__xludf.DUMMYFUNCTION("""COMPUTED_VALUE"""),"FALSE")</f>
        <v>FALSE</v>
      </c>
      <c r="F416" s="198"/>
      <c r="J416" s="184" t="str">
        <f>IFERROR(__xludf.DUMMYFUNCTION("""COMPUTED_VALUE"""),"")</f>
        <v/>
      </c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</row>
    <row r="417">
      <c r="A417" s="198"/>
      <c r="D417" s="198" t="str">
        <f>IFERROR(__xludf.DUMMYFUNCTION("""COMPUTED_VALUE"""),"FALSE")</f>
        <v>FALSE</v>
      </c>
      <c r="E417" s="198" t="str">
        <f>IFERROR(__xludf.DUMMYFUNCTION("""COMPUTED_VALUE"""),"FALSE")</f>
        <v>FALSE</v>
      </c>
      <c r="F417" s="198"/>
      <c r="J417" s="184" t="str">
        <f>IFERROR(__xludf.DUMMYFUNCTION("""COMPUTED_VALUE"""),"")</f>
        <v/>
      </c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</row>
    <row r="418">
      <c r="A418" s="198"/>
      <c r="D418" s="198" t="str">
        <f>IFERROR(__xludf.DUMMYFUNCTION("""COMPUTED_VALUE"""),"FALSE")</f>
        <v>FALSE</v>
      </c>
      <c r="E418" s="198" t="str">
        <f>IFERROR(__xludf.DUMMYFUNCTION("""COMPUTED_VALUE"""),"FALSE")</f>
        <v>FALSE</v>
      </c>
      <c r="F418" s="198"/>
      <c r="J418" s="184" t="str">
        <f>IFERROR(__xludf.DUMMYFUNCTION("""COMPUTED_VALUE"""),"")</f>
        <v/>
      </c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</row>
    <row r="419">
      <c r="A419" s="198"/>
      <c r="D419" s="198" t="str">
        <f>IFERROR(__xludf.DUMMYFUNCTION("""COMPUTED_VALUE"""),"FALSE")</f>
        <v>FALSE</v>
      </c>
      <c r="E419" s="198" t="str">
        <f>IFERROR(__xludf.DUMMYFUNCTION("""COMPUTED_VALUE"""),"FALSE")</f>
        <v>FALSE</v>
      </c>
      <c r="F419" s="198"/>
      <c r="J419" s="184" t="str">
        <f>IFERROR(__xludf.DUMMYFUNCTION("""COMPUTED_VALUE"""),"")</f>
        <v/>
      </c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</row>
    <row r="420">
      <c r="A420" s="198"/>
      <c r="D420" s="198" t="str">
        <f>IFERROR(__xludf.DUMMYFUNCTION("""COMPUTED_VALUE"""),"FALSE")</f>
        <v>FALSE</v>
      </c>
      <c r="E420" s="198" t="str">
        <f>IFERROR(__xludf.DUMMYFUNCTION("""COMPUTED_VALUE"""),"FALSE")</f>
        <v>FALSE</v>
      </c>
      <c r="F420" s="198"/>
      <c r="J420" s="184" t="str">
        <f>IFERROR(__xludf.DUMMYFUNCTION("""COMPUTED_VALUE"""),"")</f>
        <v/>
      </c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</row>
    <row r="421">
      <c r="A421" s="198"/>
      <c r="D421" s="198" t="str">
        <f>IFERROR(__xludf.DUMMYFUNCTION("""COMPUTED_VALUE"""),"FALSE")</f>
        <v>FALSE</v>
      </c>
      <c r="E421" s="198" t="str">
        <f>IFERROR(__xludf.DUMMYFUNCTION("""COMPUTED_VALUE"""),"FALSE")</f>
        <v>FALSE</v>
      </c>
      <c r="F421" s="198"/>
      <c r="J421" s="184" t="str">
        <f>IFERROR(__xludf.DUMMYFUNCTION("""COMPUTED_VALUE"""),"")</f>
        <v/>
      </c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</row>
    <row r="422">
      <c r="A422" s="198"/>
      <c r="D422" s="198" t="str">
        <f>IFERROR(__xludf.DUMMYFUNCTION("""COMPUTED_VALUE"""),"FALSE")</f>
        <v>FALSE</v>
      </c>
      <c r="E422" s="198" t="str">
        <f>IFERROR(__xludf.DUMMYFUNCTION("""COMPUTED_VALUE"""),"FALSE")</f>
        <v>FALSE</v>
      </c>
      <c r="F422" s="198"/>
      <c r="J422" s="184" t="str">
        <f>IFERROR(__xludf.DUMMYFUNCTION("""COMPUTED_VALUE"""),"")</f>
        <v/>
      </c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</row>
    <row r="423">
      <c r="A423" s="198"/>
      <c r="D423" s="198" t="str">
        <f>IFERROR(__xludf.DUMMYFUNCTION("""COMPUTED_VALUE"""),"FALSE")</f>
        <v>FALSE</v>
      </c>
      <c r="E423" s="198" t="str">
        <f>IFERROR(__xludf.DUMMYFUNCTION("""COMPUTED_VALUE"""),"FALSE")</f>
        <v>FALSE</v>
      </c>
      <c r="F423" s="198"/>
      <c r="J423" s="184" t="str">
        <f>IFERROR(__xludf.DUMMYFUNCTION("""COMPUTED_VALUE"""),"")</f>
        <v/>
      </c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</row>
    <row r="424">
      <c r="A424" s="198"/>
      <c r="D424" s="198" t="str">
        <f>IFERROR(__xludf.DUMMYFUNCTION("""COMPUTED_VALUE"""),"FALSE")</f>
        <v>FALSE</v>
      </c>
      <c r="E424" s="198" t="str">
        <f>IFERROR(__xludf.DUMMYFUNCTION("""COMPUTED_VALUE"""),"FALSE")</f>
        <v>FALSE</v>
      </c>
      <c r="F424" s="198"/>
      <c r="J424" s="184" t="str">
        <f>IFERROR(__xludf.DUMMYFUNCTION("""COMPUTED_VALUE"""),"")</f>
        <v/>
      </c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</row>
    <row r="425">
      <c r="A425" s="198"/>
      <c r="D425" s="198" t="str">
        <f>IFERROR(__xludf.DUMMYFUNCTION("""COMPUTED_VALUE"""),"FALSE")</f>
        <v>FALSE</v>
      </c>
      <c r="E425" s="198" t="str">
        <f>IFERROR(__xludf.DUMMYFUNCTION("""COMPUTED_VALUE"""),"FALSE")</f>
        <v>FALSE</v>
      </c>
      <c r="F425" s="198"/>
      <c r="J425" s="184" t="str">
        <f>IFERROR(__xludf.DUMMYFUNCTION("""COMPUTED_VALUE"""),"")</f>
        <v/>
      </c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</row>
    <row r="426">
      <c r="A426" s="198"/>
      <c r="D426" s="198" t="str">
        <f>IFERROR(__xludf.DUMMYFUNCTION("""COMPUTED_VALUE"""),"FALSE")</f>
        <v>FALSE</v>
      </c>
      <c r="E426" s="198" t="str">
        <f>IFERROR(__xludf.DUMMYFUNCTION("""COMPUTED_VALUE"""),"FALSE")</f>
        <v>FALSE</v>
      </c>
      <c r="F426" s="198"/>
      <c r="J426" s="184" t="str">
        <f>IFERROR(__xludf.DUMMYFUNCTION("""COMPUTED_VALUE"""),"")</f>
        <v/>
      </c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</row>
    <row r="427">
      <c r="A427" s="198"/>
      <c r="D427" s="198" t="str">
        <f>IFERROR(__xludf.DUMMYFUNCTION("""COMPUTED_VALUE"""),"FALSE")</f>
        <v>FALSE</v>
      </c>
      <c r="E427" s="198" t="str">
        <f>IFERROR(__xludf.DUMMYFUNCTION("""COMPUTED_VALUE"""),"FALSE")</f>
        <v>FALSE</v>
      </c>
      <c r="F427" s="198"/>
      <c r="J427" s="184" t="str">
        <f>IFERROR(__xludf.DUMMYFUNCTION("""COMPUTED_VALUE"""),"")</f>
        <v/>
      </c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</row>
    <row r="428">
      <c r="A428" s="198"/>
      <c r="D428" s="198" t="str">
        <f>IFERROR(__xludf.DUMMYFUNCTION("""COMPUTED_VALUE"""),"FALSE")</f>
        <v>FALSE</v>
      </c>
      <c r="E428" s="198" t="str">
        <f>IFERROR(__xludf.DUMMYFUNCTION("""COMPUTED_VALUE"""),"FALSE")</f>
        <v>FALSE</v>
      </c>
      <c r="F428" s="198"/>
      <c r="J428" s="184" t="str">
        <f>IFERROR(__xludf.DUMMYFUNCTION("""COMPUTED_VALUE"""),"")</f>
        <v/>
      </c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</row>
    <row r="429">
      <c r="A429" s="198"/>
      <c r="D429" s="198" t="str">
        <f>IFERROR(__xludf.DUMMYFUNCTION("""COMPUTED_VALUE"""),"FALSE")</f>
        <v>FALSE</v>
      </c>
      <c r="E429" s="198" t="str">
        <f>IFERROR(__xludf.DUMMYFUNCTION("""COMPUTED_VALUE"""),"FALSE")</f>
        <v>FALSE</v>
      </c>
      <c r="F429" s="198"/>
      <c r="J429" s="184" t="str">
        <f>IFERROR(__xludf.DUMMYFUNCTION("""COMPUTED_VALUE"""),"")</f>
        <v/>
      </c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</row>
    <row r="430">
      <c r="A430" s="198"/>
      <c r="D430" s="198" t="str">
        <f>IFERROR(__xludf.DUMMYFUNCTION("""COMPUTED_VALUE"""),"FALSE")</f>
        <v>FALSE</v>
      </c>
      <c r="E430" s="198" t="str">
        <f>IFERROR(__xludf.DUMMYFUNCTION("""COMPUTED_VALUE"""),"FALSE")</f>
        <v>FALSE</v>
      </c>
      <c r="F430" s="198"/>
      <c r="J430" s="184" t="str">
        <f>IFERROR(__xludf.DUMMYFUNCTION("""COMPUTED_VALUE"""),"")</f>
        <v/>
      </c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</row>
    <row r="431">
      <c r="A431" s="198"/>
      <c r="D431" s="198" t="str">
        <f>IFERROR(__xludf.DUMMYFUNCTION("""COMPUTED_VALUE"""),"FALSE")</f>
        <v>FALSE</v>
      </c>
      <c r="E431" s="198" t="str">
        <f>IFERROR(__xludf.DUMMYFUNCTION("""COMPUTED_VALUE"""),"FALSE")</f>
        <v>FALSE</v>
      </c>
      <c r="F431" s="198"/>
      <c r="J431" s="184" t="str">
        <f>IFERROR(__xludf.DUMMYFUNCTION("""COMPUTED_VALUE"""),"")</f>
        <v/>
      </c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</row>
    <row r="432">
      <c r="A432" s="198"/>
      <c r="D432" s="198" t="str">
        <f>IFERROR(__xludf.DUMMYFUNCTION("""COMPUTED_VALUE"""),"FALSE")</f>
        <v>FALSE</v>
      </c>
      <c r="E432" s="198" t="str">
        <f>IFERROR(__xludf.DUMMYFUNCTION("""COMPUTED_VALUE"""),"FALSE")</f>
        <v>FALSE</v>
      </c>
      <c r="F432" s="198"/>
      <c r="J432" s="184" t="str">
        <f>IFERROR(__xludf.DUMMYFUNCTION("""COMPUTED_VALUE"""),"")</f>
        <v/>
      </c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</row>
    <row r="433">
      <c r="A433" s="198"/>
      <c r="D433" s="198" t="str">
        <f>IFERROR(__xludf.DUMMYFUNCTION("""COMPUTED_VALUE"""),"FALSE")</f>
        <v>FALSE</v>
      </c>
      <c r="E433" s="198" t="str">
        <f>IFERROR(__xludf.DUMMYFUNCTION("""COMPUTED_VALUE"""),"FALSE")</f>
        <v>FALSE</v>
      </c>
      <c r="F433" s="198"/>
      <c r="J433" s="184" t="str">
        <f>IFERROR(__xludf.DUMMYFUNCTION("""COMPUTED_VALUE"""),"")</f>
        <v/>
      </c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</row>
    <row r="434">
      <c r="A434" s="198"/>
      <c r="D434" s="198" t="str">
        <f>IFERROR(__xludf.DUMMYFUNCTION("""COMPUTED_VALUE"""),"FALSE")</f>
        <v>FALSE</v>
      </c>
      <c r="E434" s="198" t="str">
        <f>IFERROR(__xludf.DUMMYFUNCTION("""COMPUTED_VALUE"""),"FALSE")</f>
        <v>FALSE</v>
      </c>
      <c r="F434" s="198"/>
      <c r="J434" s="184" t="str">
        <f>IFERROR(__xludf.DUMMYFUNCTION("""COMPUTED_VALUE"""),"")</f>
        <v/>
      </c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</row>
    <row r="435">
      <c r="A435" s="198"/>
      <c r="D435" s="198" t="str">
        <f>IFERROR(__xludf.DUMMYFUNCTION("""COMPUTED_VALUE"""),"FALSE")</f>
        <v>FALSE</v>
      </c>
      <c r="E435" s="198" t="str">
        <f>IFERROR(__xludf.DUMMYFUNCTION("""COMPUTED_VALUE"""),"FALSE")</f>
        <v>FALSE</v>
      </c>
      <c r="F435" s="198"/>
      <c r="J435" s="184" t="str">
        <f>IFERROR(__xludf.DUMMYFUNCTION("""COMPUTED_VALUE"""),"")</f>
        <v/>
      </c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</row>
    <row r="436">
      <c r="A436" s="198"/>
      <c r="D436" s="198" t="str">
        <f>IFERROR(__xludf.DUMMYFUNCTION("""COMPUTED_VALUE"""),"FALSE")</f>
        <v>FALSE</v>
      </c>
      <c r="E436" s="198" t="str">
        <f>IFERROR(__xludf.DUMMYFUNCTION("""COMPUTED_VALUE"""),"FALSE")</f>
        <v>FALSE</v>
      </c>
      <c r="F436" s="198"/>
      <c r="J436" s="184" t="str">
        <f>IFERROR(__xludf.DUMMYFUNCTION("""COMPUTED_VALUE"""),"")</f>
        <v/>
      </c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</row>
    <row r="437">
      <c r="A437" s="198"/>
      <c r="D437" s="198" t="str">
        <f>IFERROR(__xludf.DUMMYFUNCTION("""COMPUTED_VALUE"""),"FALSE")</f>
        <v>FALSE</v>
      </c>
      <c r="E437" s="198" t="str">
        <f>IFERROR(__xludf.DUMMYFUNCTION("""COMPUTED_VALUE"""),"FALSE")</f>
        <v>FALSE</v>
      </c>
      <c r="F437" s="198"/>
      <c r="J437" s="184" t="str">
        <f>IFERROR(__xludf.DUMMYFUNCTION("""COMPUTED_VALUE"""),"")</f>
        <v/>
      </c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</row>
    <row r="438">
      <c r="A438" s="198"/>
      <c r="D438" s="198" t="str">
        <f>IFERROR(__xludf.DUMMYFUNCTION("""COMPUTED_VALUE"""),"FALSE")</f>
        <v>FALSE</v>
      </c>
      <c r="E438" s="198" t="str">
        <f>IFERROR(__xludf.DUMMYFUNCTION("""COMPUTED_VALUE"""),"FALSE")</f>
        <v>FALSE</v>
      </c>
      <c r="F438" s="198"/>
      <c r="J438" s="184" t="str">
        <f>IFERROR(__xludf.DUMMYFUNCTION("""COMPUTED_VALUE"""),"")</f>
        <v/>
      </c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</row>
    <row r="439">
      <c r="A439" s="198"/>
      <c r="D439" s="198" t="str">
        <f>IFERROR(__xludf.DUMMYFUNCTION("""COMPUTED_VALUE"""),"FALSE")</f>
        <v>FALSE</v>
      </c>
      <c r="E439" s="198" t="str">
        <f>IFERROR(__xludf.DUMMYFUNCTION("""COMPUTED_VALUE"""),"FALSE")</f>
        <v>FALSE</v>
      </c>
      <c r="F439" s="198"/>
      <c r="J439" s="184" t="str">
        <f>IFERROR(__xludf.DUMMYFUNCTION("""COMPUTED_VALUE"""),"")</f>
        <v/>
      </c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</row>
    <row r="440">
      <c r="A440" s="198"/>
      <c r="D440" s="198" t="str">
        <f>IFERROR(__xludf.DUMMYFUNCTION("""COMPUTED_VALUE"""),"FALSE")</f>
        <v>FALSE</v>
      </c>
      <c r="E440" s="198" t="str">
        <f>IFERROR(__xludf.DUMMYFUNCTION("""COMPUTED_VALUE"""),"FALSE")</f>
        <v>FALSE</v>
      </c>
      <c r="F440" s="198"/>
      <c r="J440" s="184" t="str">
        <f>IFERROR(__xludf.DUMMYFUNCTION("""COMPUTED_VALUE"""),"")</f>
        <v/>
      </c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</row>
    <row r="441">
      <c r="A441" s="198"/>
      <c r="D441" s="198" t="str">
        <f>IFERROR(__xludf.DUMMYFUNCTION("""COMPUTED_VALUE"""),"FALSE")</f>
        <v>FALSE</v>
      </c>
      <c r="E441" s="198" t="str">
        <f>IFERROR(__xludf.DUMMYFUNCTION("""COMPUTED_VALUE"""),"FALSE")</f>
        <v>FALSE</v>
      </c>
      <c r="F441" s="198"/>
      <c r="J441" s="184" t="str">
        <f>IFERROR(__xludf.DUMMYFUNCTION("""COMPUTED_VALUE"""),"")</f>
        <v/>
      </c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</row>
    <row r="442">
      <c r="A442" s="198"/>
      <c r="D442" s="198" t="str">
        <f>IFERROR(__xludf.DUMMYFUNCTION("""COMPUTED_VALUE"""),"FALSE")</f>
        <v>FALSE</v>
      </c>
      <c r="E442" s="198" t="str">
        <f>IFERROR(__xludf.DUMMYFUNCTION("""COMPUTED_VALUE"""),"FALSE")</f>
        <v>FALSE</v>
      </c>
      <c r="F442" s="198"/>
      <c r="J442" s="184" t="str">
        <f>IFERROR(__xludf.DUMMYFUNCTION("""COMPUTED_VALUE"""),"")</f>
        <v/>
      </c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</row>
    <row r="443">
      <c r="A443" s="198"/>
      <c r="D443" s="198" t="str">
        <f>IFERROR(__xludf.DUMMYFUNCTION("""COMPUTED_VALUE"""),"FALSE")</f>
        <v>FALSE</v>
      </c>
      <c r="E443" s="198" t="str">
        <f>IFERROR(__xludf.DUMMYFUNCTION("""COMPUTED_VALUE"""),"FALSE")</f>
        <v>FALSE</v>
      </c>
      <c r="F443" s="198"/>
      <c r="J443" s="184" t="str">
        <f>IFERROR(__xludf.DUMMYFUNCTION("""COMPUTED_VALUE"""),"")</f>
        <v/>
      </c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</row>
    <row r="444">
      <c r="A444" s="198"/>
      <c r="D444" s="198" t="str">
        <f>IFERROR(__xludf.DUMMYFUNCTION("""COMPUTED_VALUE"""),"FALSE")</f>
        <v>FALSE</v>
      </c>
      <c r="E444" s="198" t="str">
        <f>IFERROR(__xludf.DUMMYFUNCTION("""COMPUTED_VALUE"""),"FALSE")</f>
        <v>FALSE</v>
      </c>
      <c r="F444" s="198"/>
      <c r="J444" s="184" t="str">
        <f>IFERROR(__xludf.DUMMYFUNCTION("""COMPUTED_VALUE"""),"")</f>
        <v/>
      </c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</row>
    <row r="445">
      <c r="A445" s="198"/>
      <c r="D445" s="198" t="str">
        <f>IFERROR(__xludf.DUMMYFUNCTION("""COMPUTED_VALUE"""),"FALSE")</f>
        <v>FALSE</v>
      </c>
      <c r="E445" s="198" t="str">
        <f>IFERROR(__xludf.DUMMYFUNCTION("""COMPUTED_VALUE"""),"FALSE")</f>
        <v>FALSE</v>
      </c>
      <c r="F445" s="198"/>
      <c r="J445" s="184" t="str">
        <f>IFERROR(__xludf.DUMMYFUNCTION("""COMPUTED_VALUE"""),"")</f>
        <v/>
      </c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</row>
    <row r="446">
      <c r="A446" s="198"/>
      <c r="D446" s="198" t="str">
        <f>IFERROR(__xludf.DUMMYFUNCTION("""COMPUTED_VALUE"""),"FALSE")</f>
        <v>FALSE</v>
      </c>
      <c r="E446" s="198" t="str">
        <f>IFERROR(__xludf.DUMMYFUNCTION("""COMPUTED_VALUE"""),"FALSE")</f>
        <v>FALSE</v>
      </c>
      <c r="F446" s="198"/>
      <c r="J446" s="184" t="str">
        <f>IFERROR(__xludf.DUMMYFUNCTION("""COMPUTED_VALUE"""),"")</f>
        <v/>
      </c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</row>
    <row r="447">
      <c r="A447" s="198"/>
      <c r="D447" s="198" t="str">
        <f>IFERROR(__xludf.DUMMYFUNCTION("""COMPUTED_VALUE"""),"FALSE")</f>
        <v>FALSE</v>
      </c>
      <c r="E447" s="198" t="str">
        <f>IFERROR(__xludf.DUMMYFUNCTION("""COMPUTED_VALUE"""),"FALSE")</f>
        <v>FALSE</v>
      </c>
      <c r="F447" s="198"/>
      <c r="J447" s="184" t="str">
        <f>IFERROR(__xludf.DUMMYFUNCTION("""COMPUTED_VALUE"""),"")</f>
        <v/>
      </c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</row>
    <row r="448">
      <c r="A448" s="198"/>
      <c r="D448" s="198" t="str">
        <f>IFERROR(__xludf.DUMMYFUNCTION("""COMPUTED_VALUE"""),"FALSE")</f>
        <v>FALSE</v>
      </c>
      <c r="E448" s="198" t="str">
        <f>IFERROR(__xludf.DUMMYFUNCTION("""COMPUTED_VALUE"""),"FALSE")</f>
        <v>FALSE</v>
      </c>
      <c r="F448" s="198"/>
      <c r="J448" s="184" t="str">
        <f>IFERROR(__xludf.DUMMYFUNCTION("""COMPUTED_VALUE"""),"")</f>
        <v/>
      </c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</row>
    <row r="449">
      <c r="A449" s="198"/>
      <c r="D449" s="198" t="str">
        <f>IFERROR(__xludf.DUMMYFUNCTION("""COMPUTED_VALUE"""),"FALSE")</f>
        <v>FALSE</v>
      </c>
      <c r="E449" s="198" t="str">
        <f>IFERROR(__xludf.DUMMYFUNCTION("""COMPUTED_VALUE"""),"FALSE")</f>
        <v>FALSE</v>
      </c>
      <c r="F449" s="198"/>
      <c r="J449" s="184" t="str">
        <f>IFERROR(__xludf.DUMMYFUNCTION("""COMPUTED_VALUE"""),"")</f>
        <v/>
      </c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</row>
    <row r="450">
      <c r="A450" s="198"/>
      <c r="D450" s="198" t="str">
        <f>IFERROR(__xludf.DUMMYFUNCTION("""COMPUTED_VALUE"""),"FALSE")</f>
        <v>FALSE</v>
      </c>
      <c r="E450" s="198" t="str">
        <f>IFERROR(__xludf.DUMMYFUNCTION("""COMPUTED_VALUE"""),"FALSE")</f>
        <v>FALSE</v>
      </c>
      <c r="F450" s="198"/>
      <c r="J450" s="184" t="str">
        <f>IFERROR(__xludf.DUMMYFUNCTION("""COMPUTED_VALUE"""),"")</f>
        <v/>
      </c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</row>
    <row r="451">
      <c r="A451" s="198"/>
      <c r="D451" s="198" t="str">
        <f>IFERROR(__xludf.DUMMYFUNCTION("""COMPUTED_VALUE"""),"FALSE")</f>
        <v>FALSE</v>
      </c>
      <c r="E451" s="198" t="str">
        <f>IFERROR(__xludf.DUMMYFUNCTION("""COMPUTED_VALUE"""),"FALSE")</f>
        <v>FALSE</v>
      </c>
      <c r="F451" s="198"/>
      <c r="J451" s="184" t="str">
        <f>IFERROR(__xludf.DUMMYFUNCTION("""COMPUTED_VALUE"""),"")</f>
        <v/>
      </c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</row>
    <row r="452">
      <c r="A452" s="198"/>
      <c r="D452" s="198" t="str">
        <f>IFERROR(__xludf.DUMMYFUNCTION("""COMPUTED_VALUE"""),"FALSE")</f>
        <v>FALSE</v>
      </c>
      <c r="E452" s="198" t="str">
        <f>IFERROR(__xludf.DUMMYFUNCTION("""COMPUTED_VALUE"""),"FALSE")</f>
        <v>FALSE</v>
      </c>
      <c r="F452" s="198"/>
      <c r="J452" s="184" t="str">
        <f>IFERROR(__xludf.DUMMYFUNCTION("""COMPUTED_VALUE"""),"")</f>
        <v/>
      </c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</row>
    <row r="453">
      <c r="A453" s="198"/>
      <c r="D453" s="198" t="str">
        <f>IFERROR(__xludf.DUMMYFUNCTION("""COMPUTED_VALUE"""),"FALSE")</f>
        <v>FALSE</v>
      </c>
      <c r="E453" s="198" t="str">
        <f>IFERROR(__xludf.DUMMYFUNCTION("""COMPUTED_VALUE"""),"FALSE")</f>
        <v>FALSE</v>
      </c>
      <c r="F453" s="198"/>
      <c r="J453" s="184" t="str">
        <f>IFERROR(__xludf.DUMMYFUNCTION("""COMPUTED_VALUE"""),"")</f>
        <v/>
      </c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</row>
    <row r="454">
      <c r="A454" s="198"/>
      <c r="D454" s="198" t="str">
        <f>IFERROR(__xludf.DUMMYFUNCTION("""COMPUTED_VALUE"""),"FALSE")</f>
        <v>FALSE</v>
      </c>
      <c r="E454" s="198" t="str">
        <f>IFERROR(__xludf.DUMMYFUNCTION("""COMPUTED_VALUE"""),"FALSE")</f>
        <v>FALSE</v>
      </c>
      <c r="F454" s="198"/>
      <c r="J454" s="184" t="str">
        <f>IFERROR(__xludf.DUMMYFUNCTION("""COMPUTED_VALUE"""),"")</f>
        <v/>
      </c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</row>
    <row r="455">
      <c r="A455" s="198"/>
      <c r="D455" s="198" t="str">
        <f>IFERROR(__xludf.DUMMYFUNCTION("""COMPUTED_VALUE"""),"FALSE")</f>
        <v>FALSE</v>
      </c>
      <c r="E455" s="198" t="str">
        <f>IFERROR(__xludf.DUMMYFUNCTION("""COMPUTED_VALUE"""),"FALSE")</f>
        <v>FALSE</v>
      </c>
      <c r="F455" s="198"/>
      <c r="J455" s="184" t="str">
        <f>IFERROR(__xludf.DUMMYFUNCTION("""COMPUTED_VALUE"""),"")</f>
        <v/>
      </c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</row>
    <row r="456">
      <c r="A456" s="198"/>
      <c r="D456" s="198" t="str">
        <f>IFERROR(__xludf.DUMMYFUNCTION("""COMPUTED_VALUE"""),"FALSE")</f>
        <v>FALSE</v>
      </c>
      <c r="E456" s="198" t="str">
        <f>IFERROR(__xludf.DUMMYFUNCTION("""COMPUTED_VALUE"""),"FALSE")</f>
        <v>FALSE</v>
      </c>
      <c r="F456" s="198"/>
      <c r="J456" s="184" t="str">
        <f>IFERROR(__xludf.DUMMYFUNCTION("""COMPUTED_VALUE"""),"")</f>
        <v/>
      </c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</row>
    <row r="457">
      <c r="A457" s="198"/>
      <c r="D457" s="198" t="str">
        <f>IFERROR(__xludf.DUMMYFUNCTION("""COMPUTED_VALUE"""),"FALSE")</f>
        <v>FALSE</v>
      </c>
      <c r="E457" s="198" t="str">
        <f>IFERROR(__xludf.DUMMYFUNCTION("""COMPUTED_VALUE"""),"FALSE")</f>
        <v>FALSE</v>
      </c>
      <c r="F457" s="198"/>
      <c r="J457" s="184" t="str">
        <f>IFERROR(__xludf.DUMMYFUNCTION("""COMPUTED_VALUE"""),"")</f>
        <v/>
      </c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</row>
    <row r="458">
      <c r="A458" s="198"/>
      <c r="D458" s="198" t="str">
        <f>IFERROR(__xludf.DUMMYFUNCTION("""COMPUTED_VALUE"""),"FALSE")</f>
        <v>FALSE</v>
      </c>
      <c r="E458" s="198" t="str">
        <f>IFERROR(__xludf.DUMMYFUNCTION("""COMPUTED_VALUE"""),"FALSE")</f>
        <v>FALSE</v>
      </c>
      <c r="F458" s="198"/>
      <c r="J458" s="184" t="str">
        <f>IFERROR(__xludf.DUMMYFUNCTION("""COMPUTED_VALUE"""),"")</f>
        <v/>
      </c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</row>
    <row r="459">
      <c r="A459" s="198"/>
      <c r="D459" s="198" t="str">
        <f>IFERROR(__xludf.DUMMYFUNCTION("""COMPUTED_VALUE"""),"FALSE")</f>
        <v>FALSE</v>
      </c>
      <c r="E459" s="198" t="str">
        <f>IFERROR(__xludf.DUMMYFUNCTION("""COMPUTED_VALUE"""),"FALSE")</f>
        <v>FALSE</v>
      </c>
      <c r="F459" s="198"/>
      <c r="J459" s="184" t="str">
        <f>IFERROR(__xludf.DUMMYFUNCTION("""COMPUTED_VALUE"""),"")</f>
        <v/>
      </c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</row>
    <row r="460">
      <c r="A460" s="198"/>
      <c r="D460" s="198" t="str">
        <f>IFERROR(__xludf.DUMMYFUNCTION("""COMPUTED_VALUE"""),"FALSE")</f>
        <v>FALSE</v>
      </c>
      <c r="E460" s="198" t="str">
        <f>IFERROR(__xludf.DUMMYFUNCTION("""COMPUTED_VALUE"""),"FALSE")</f>
        <v>FALSE</v>
      </c>
      <c r="F460" s="198"/>
      <c r="J460" s="184" t="str">
        <f>IFERROR(__xludf.DUMMYFUNCTION("""COMPUTED_VALUE"""),"")</f>
        <v/>
      </c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</row>
    <row r="461">
      <c r="A461" s="198"/>
      <c r="D461" s="198" t="str">
        <f>IFERROR(__xludf.DUMMYFUNCTION("""COMPUTED_VALUE"""),"FALSE")</f>
        <v>FALSE</v>
      </c>
      <c r="E461" s="198" t="str">
        <f>IFERROR(__xludf.DUMMYFUNCTION("""COMPUTED_VALUE"""),"FALSE")</f>
        <v>FALSE</v>
      </c>
      <c r="F461" s="198"/>
      <c r="J461" s="184" t="str">
        <f>IFERROR(__xludf.DUMMYFUNCTION("""COMPUTED_VALUE"""),"")</f>
        <v/>
      </c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</row>
    <row r="462">
      <c r="A462" s="198"/>
      <c r="D462" s="198" t="str">
        <f>IFERROR(__xludf.DUMMYFUNCTION("""COMPUTED_VALUE"""),"FALSE")</f>
        <v>FALSE</v>
      </c>
      <c r="E462" s="198" t="str">
        <f>IFERROR(__xludf.DUMMYFUNCTION("""COMPUTED_VALUE"""),"FALSE")</f>
        <v>FALSE</v>
      </c>
      <c r="F462" s="198"/>
      <c r="J462" s="184" t="str">
        <f>IFERROR(__xludf.DUMMYFUNCTION("""COMPUTED_VALUE"""),"")</f>
        <v/>
      </c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</row>
    <row r="463">
      <c r="A463" s="198"/>
      <c r="D463" s="198" t="str">
        <f>IFERROR(__xludf.DUMMYFUNCTION("""COMPUTED_VALUE"""),"FALSE")</f>
        <v>FALSE</v>
      </c>
      <c r="E463" s="198" t="str">
        <f>IFERROR(__xludf.DUMMYFUNCTION("""COMPUTED_VALUE"""),"FALSE")</f>
        <v>FALSE</v>
      </c>
      <c r="F463" s="198"/>
      <c r="J463" s="184" t="str">
        <f>IFERROR(__xludf.DUMMYFUNCTION("""COMPUTED_VALUE"""),"")</f>
        <v/>
      </c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</row>
    <row r="464">
      <c r="A464" s="198"/>
      <c r="D464" s="198" t="str">
        <f>IFERROR(__xludf.DUMMYFUNCTION("""COMPUTED_VALUE"""),"FALSE")</f>
        <v>FALSE</v>
      </c>
      <c r="E464" s="198" t="str">
        <f>IFERROR(__xludf.DUMMYFUNCTION("""COMPUTED_VALUE"""),"FALSE")</f>
        <v>FALSE</v>
      </c>
      <c r="F464" s="198"/>
      <c r="J464" s="184" t="str">
        <f>IFERROR(__xludf.DUMMYFUNCTION("""COMPUTED_VALUE"""),"")</f>
        <v/>
      </c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</row>
    <row r="465">
      <c r="A465" s="198"/>
      <c r="D465" s="198" t="str">
        <f>IFERROR(__xludf.DUMMYFUNCTION("""COMPUTED_VALUE"""),"FALSE")</f>
        <v>FALSE</v>
      </c>
      <c r="E465" s="198" t="str">
        <f>IFERROR(__xludf.DUMMYFUNCTION("""COMPUTED_VALUE"""),"FALSE")</f>
        <v>FALSE</v>
      </c>
      <c r="F465" s="198"/>
      <c r="J465" s="184" t="str">
        <f>IFERROR(__xludf.DUMMYFUNCTION("""COMPUTED_VALUE"""),"")</f>
        <v/>
      </c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</row>
    <row r="466">
      <c r="A466" s="198"/>
      <c r="D466" s="198" t="str">
        <f>IFERROR(__xludf.DUMMYFUNCTION("""COMPUTED_VALUE"""),"FALSE")</f>
        <v>FALSE</v>
      </c>
      <c r="E466" s="198" t="str">
        <f>IFERROR(__xludf.DUMMYFUNCTION("""COMPUTED_VALUE"""),"FALSE")</f>
        <v>FALSE</v>
      </c>
      <c r="F466" s="198"/>
      <c r="J466" s="184" t="str">
        <f>IFERROR(__xludf.DUMMYFUNCTION("""COMPUTED_VALUE"""),"")</f>
        <v/>
      </c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</row>
    <row r="467">
      <c r="A467" s="198"/>
      <c r="D467" s="198" t="str">
        <f>IFERROR(__xludf.DUMMYFUNCTION("""COMPUTED_VALUE"""),"FALSE")</f>
        <v>FALSE</v>
      </c>
      <c r="E467" s="198" t="str">
        <f>IFERROR(__xludf.DUMMYFUNCTION("""COMPUTED_VALUE"""),"FALSE")</f>
        <v>FALSE</v>
      </c>
      <c r="F467" s="198"/>
      <c r="J467" s="184" t="str">
        <f>IFERROR(__xludf.DUMMYFUNCTION("""COMPUTED_VALUE"""),"")</f>
        <v/>
      </c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</row>
    <row r="468">
      <c r="A468" s="198"/>
      <c r="D468" s="198" t="str">
        <f>IFERROR(__xludf.DUMMYFUNCTION("""COMPUTED_VALUE"""),"FALSE")</f>
        <v>FALSE</v>
      </c>
      <c r="E468" s="198" t="str">
        <f>IFERROR(__xludf.DUMMYFUNCTION("""COMPUTED_VALUE"""),"FALSE")</f>
        <v>FALSE</v>
      </c>
      <c r="F468" s="198"/>
      <c r="J468" s="184" t="str">
        <f>IFERROR(__xludf.DUMMYFUNCTION("""COMPUTED_VALUE"""),"")</f>
        <v/>
      </c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</row>
    <row r="469">
      <c r="A469" s="198"/>
      <c r="D469" s="198" t="str">
        <f>IFERROR(__xludf.DUMMYFUNCTION("""COMPUTED_VALUE"""),"FALSE")</f>
        <v>FALSE</v>
      </c>
      <c r="E469" s="198" t="str">
        <f>IFERROR(__xludf.DUMMYFUNCTION("""COMPUTED_VALUE"""),"FALSE")</f>
        <v>FALSE</v>
      </c>
      <c r="F469" s="198"/>
      <c r="J469" s="184" t="str">
        <f>IFERROR(__xludf.DUMMYFUNCTION("""COMPUTED_VALUE"""),"")</f>
        <v/>
      </c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</row>
    <row r="470">
      <c r="A470" s="198"/>
      <c r="D470" s="198" t="str">
        <f>IFERROR(__xludf.DUMMYFUNCTION("""COMPUTED_VALUE"""),"FALSE")</f>
        <v>FALSE</v>
      </c>
      <c r="E470" s="198" t="str">
        <f>IFERROR(__xludf.DUMMYFUNCTION("""COMPUTED_VALUE"""),"FALSE")</f>
        <v>FALSE</v>
      </c>
      <c r="F470" s="198"/>
      <c r="J470" s="184" t="str">
        <f>IFERROR(__xludf.DUMMYFUNCTION("""COMPUTED_VALUE"""),"")</f>
        <v/>
      </c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</row>
    <row r="471">
      <c r="A471" s="198"/>
      <c r="D471" s="198" t="str">
        <f>IFERROR(__xludf.DUMMYFUNCTION("""COMPUTED_VALUE"""),"FALSE")</f>
        <v>FALSE</v>
      </c>
      <c r="E471" s="198" t="str">
        <f>IFERROR(__xludf.DUMMYFUNCTION("""COMPUTED_VALUE"""),"FALSE")</f>
        <v>FALSE</v>
      </c>
      <c r="F471" s="198"/>
      <c r="J471" s="184" t="str">
        <f>IFERROR(__xludf.DUMMYFUNCTION("""COMPUTED_VALUE"""),"")</f>
        <v/>
      </c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</row>
    <row r="472">
      <c r="A472" s="198"/>
      <c r="D472" s="198" t="str">
        <f>IFERROR(__xludf.DUMMYFUNCTION("""COMPUTED_VALUE"""),"FALSE")</f>
        <v>FALSE</v>
      </c>
      <c r="E472" s="198" t="str">
        <f>IFERROR(__xludf.DUMMYFUNCTION("""COMPUTED_VALUE"""),"FALSE")</f>
        <v>FALSE</v>
      </c>
      <c r="F472" s="198"/>
      <c r="J472" s="184" t="str">
        <f>IFERROR(__xludf.DUMMYFUNCTION("""COMPUTED_VALUE"""),"")</f>
        <v/>
      </c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</row>
    <row r="473">
      <c r="A473" s="198"/>
      <c r="D473" s="198" t="str">
        <f>IFERROR(__xludf.DUMMYFUNCTION("""COMPUTED_VALUE"""),"FALSE")</f>
        <v>FALSE</v>
      </c>
      <c r="E473" s="198" t="str">
        <f>IFERROR(__xludf.DUMMYFUNCTION("""COMPUTED_VALUE"""),"FALSE")</f>
        <v>FALSE</v>
      </c>
      <c r="F473" s="198"/>
      <c r="J473" s="184" t="str">
        <f>IFERROR(__xludf.DUMMYFUNCTION("""COMPUTED_VALUE"""),"")</f>
        <v/>
      </c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</row>
    <row r="474">
      <c r="A474" s="198"/>
      <c r="D474" s="198" t="str">
        <f>IFERROR(__xludf.DUMMYFUNCTION("""COMPUTED_VALUE"""),"FALSE")</f>
        <v>FALSE</v>
      </c>
      <c r="E474" s="198" t="str">
        <f>IFERROR(__xludf.DUMMYFUNCTION("""COMPUTED_VALUE"""),"FALSE")</f>
        <v>FALSE</v>
      </c>
      <c r="F474" s="198"/>
      <c r="J474" s="184" t="str">
        <f>IFERROR(__xludf.DUMMYFUNCTION("""COMPUTED_VALUE"""),"")</f>
        <v/>
      </c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</row>
    <row r="475">
      <c r="A475" s="198"/>
      <c r="D475" s="198" t="str">
        <f>IFERROR(__xludf.DUMMYFUNCTION("""COMPUTED_VALUE"""),"FALSE")</f>
        <v>FALSE</v>
      </c>
      <c r="E475" s="198" t="str">
        <f>IFERROR(__xludf.DUMMYFUNCTION("""COMPUTED_VALUE"""),"FALSE")</f>
        <v>FALSE</v>
      </c>
      <c r="F475" s="198"/>
      <c r="J475" s="184" t="str">
        <f>IFERROR(__xludf.DUMMYFUNCTION("""COMPUTED_VALUE"""),"")</f>
        <v/>
      </c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</row>
    <row r="476">
      <c r="A476" s="198"/>
      <c r="D476" s="198" t="str">
        <f>IFERROR(__xludf.DUMMYFUNCTION("""COMPUTED_VALUE"""),"FALSE")</f>
        <v>FALSE</v>
      </c>
      <c r="E476" s="198" t="str">
        <f>IFERROR(__xludf.DUMMYFUNCTION("""COMPUTED_VALUE"""),"FALSE")</f>
        <v>FALSE</v>
      </c>
      <c r="F476" s="198"/>
      <c r="J476" s="184" t="str">
        <f>IFERROR(__xludf.DUMMYFUNCTION("""COMPUTED_VALUE"""),"")</f>
        <v/>
      </c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</row>
    <row r="477">
      <c r="A477" s="198"/>
      <c r="D477" s="198" t="str">
        <f>IFERROR(__xludf.DUMMYFUNCTION("""COMPUTED_VALUE"""),"FALSE")</f>
        <v>FALSE</v>
      </c>
      <c r="E477" s="198" t="str">
        <f>IFERROR(__xludf.DUMMYFUNCTION("""COMPUTED_VALUE"""),"FALSE")</f>
        <v>FALSE</v>
      </c>
      <c r="F477" s="198"/>
      <c r="J477" s="184" t="str">
        <f>IFERROR(__xludf.DUMMYFUNCTION("""COMPUTED_VALUE"""),"")</f>
        <v/>
      </c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</row>
    <row r="478">
      <c r="A478" s="198"/>
      <c r="D478" s="198" t="str">
        <f>IFERROR(__xludf.DUMMYFUNCTION("""COMPUTED_VALUE"""),"FALSE")</f>
        <v>FALSE</v>
      </c>
      <c r="E478" s="198" t="str">
        <f>IFERROR(__xludf.DUMMYFUNCTION("""COMPUTED_VALUE"""),"FALSE")</f>
        <v>FALSE</v>
      </c>
      <c r="F478" s="198"/>
      <c r="J478" s="184" t="str">
        <f>IFERROR(__xludf.DUMMYFUNCTION("""COMPUTED_VALUE"""),"")</f>
        <v/>
      </c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</row>
    <row r="479">
      <c r="A479" s="198"/>
      <c r="D479" s="198" t="str">
        <f>IFERROR(__xludf.DUMMYFUNCTION("""COMPUTED_VALUE"""),"FALSE")</f>
        <v>FALSE</v>
      </c>
      <c r="E479" s="198" t="str">
        <f>IFERROR(__xludf.DUMMYFUNCTION("""COMPUTED_VALUE"""),"FALSE")</f>
        <v>FALSE</v>
      </c>
      <c r="F479" s="198"/>
      <c r="J479" s="184" t="str">
        <f>IFERROR(__xludf.DUMMYFUNCTION("""COMPUTED_VALUE"""),"")</f>
        <v/>
      </c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</row>
    <row r="480">
      <c r="A480" s="198"/>
      <c r="D480" s="198" t="str">
        <f>IFERROR(__xludf.DUMMYFUNCTION("""COMPUTED_VALUE"""),"FALSE")</f>
        <v>FALSE</v>
      </c>
      <c r="E480" s="198" t="str">
        <f>IFERROR(__xludf.DUMMYFUNCTION("""COMPUTED_VALUE"""),"FALSE")</f>
        <v>FALSE</v>
      </c>
      <c r="F480" s="198"/>
      <c r="J480" s="184" t="str">
        <f>IFERROR(__xludf.DUMMYFUNCTION("""COMPUTED_VALUE"""),"")</f>
        <v/>
      </c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</row>
    <row r="481">
      <c r="A481" s="198"/>
      <c r="D481" s="198" t="str">
        <f>IFERROR(__xludf.DUMMYFUNCTION("""COMPUTED_VALUE"""),"FALSE")</f>
        <v>FALSE</v>
      </c>
      <c r="E481" s="198" t="str">
        <f>IFERROR(__xludf.DUMMYFUNCTION("""COMPUTED_VALUE"""),"FALSE")</f>
        <v>FALSE</v>
      </c>
      <c r="F481" s="198"/>
      <c r="J481" s="184" t="str">
        <f>IFERROR(__xludf.DUMMYFUNCTION("""COMPUTED_VALUE"""),"")</f>
        <v/>
      </c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</row>
    <row r="482">
      <c r="A482" s="198"/>
      <c r="D482" s="198" t="str">
        <f>IFERROR(__xludf.DUMMYFUNCTION("""COMPUTED_VALUE"""),"FALSE")</f>
        <v>FALSE</v>
      </c>
      <c r="E482" s="198" t="str">
        <f>IFERROR(__xludf.DUMMYFUNCTION("""COMPUTED_VALUE"""),"FALSE")</f>
        <v>FALSE</v>
      </c>
      <c r="F482" s="198"/>
      <c r="J482" s="184" t="str">
        <f>IFERROR(__xludf.DUMMYFUNCTION("""COMPUTED_VALUE"""),"")</f>
        <v/>
      </c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</row>
    <row r="483">
      <c r="A483" s="198"/>
      <c r="D483" s="198" t="str">
        <f>IFERROR(__xludf.DUMMYFUNCTION("""COMPUTED_VALUE"""),"FALSE")</f>
        <v>FALSE</v>
      </c>
      <c r="E483" s="198" t="str">
        <f>IFERROR(__xludf.DUMMYFUNCTION("""COMPUTED_VALUE"""),"FALSE")</f>
        <v>FALSE</v>
      </c>
      <c r="F483" s="198"/>
      <c r="J483" s="184" t="str">
        <f>IFERROR(__xludf.DUMMYFUNCTION("""COMPUTED_VALUE"""),"")</f>
        <v/>
      </c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</row>
    <row r="484">
      <c r="A484" s="198"/>
      <c r="D484" s="198" t="str">
        <f>IFERROR(__xludf.DUMMYFUNCTION("""COMPUTED_VALUE"""),"FALSE")</f>
        <v>FALSE</v>
      </c>
      <c r="E484" s="198" t="str">
        <f>IFERROR(__xludf.DUMMYFUNCTION("""COMPUTED_VALUE"""),"FALSE")</f>
        <v>FALSE</v>
      </c>
      <c r="F484" s="198"/>
      <c r="J484" s="184" t="str">
        <f>IFERROR(__xludf.DUMMYFUNCTION("""COMPUTED_VALUE"""),"")</f>
        <v/>
      </c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</row>
    <row r="485">
      <c r="A485" s="198"/>
      <c r="D485" s="198" t="str">
        <f>IFERROR(__xludf.DUMMYFUNCTION("""COMPUTED_VALUE"""),"FALSE")</f>
        <v>FALSE</v>
      </c>
      <c r="E485" s="198" t="str">
        <f>IFERROR(__xludf.DUMMYFUNCTION("""COMPUTED_VALUE"""),"FALSE")</f>
        <v>FALSE</v>
      </c>
      <c r="F485" s="198"/>
      <c r="J485" s="184" t="str">
        <f>IFERROR(__xludf.DUMMYFUNCTION("""COMPUTED_VALUE"""),"")</f>
        <v/>
      </c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</row>
    <row r="486">
      <c r="A486" s="198"/>
      <c r="D486" s="198" t="str">
        <f>IFERROR(__xludf.DUMMYFUNCTION("""COMPUTED_VALUE"""),"FALSE")</f>
        <v>FALSE</v>
      </c>
      <c r="E486" s="198" t="str">
        <f>IFERROR(__xludf.DUMMYFUNCTION("""COMPUTED_VALUE"""),"FALSE")</f>
        <v>FALSE</v>
      </c>
      <c r="F486" s="198"/>
      <c r="J486" s="184" t="str">
        <f>IFERROR(__xludf.DUMMYFUNCTION("""COMPUTED_VALUE"""),"")</f>
        <v/>
      </c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</row>
    <row r="487">
      <c r="A487" s="198"/>
      <c r="D487" s="198" t="str">
        <f>IFERROR(__xludf.DUMMYFUNCTION("""COMPUTED_VALUE"""),"FALSE")</f>
        <v>FALSE</v>
      </c>
      <c r="E487" s="198" t="str">
        <f>IFERROR(__xludf.DUMMYFUNCTION("""COMPUTED_VALUE"""),"FALSE")</f>
        <v>FALSE</v>
      </c>
      <c r="F487" s="198"/>
      <c r="J487" s="184" t="str">
        <f>IFERROR(__xludf.DUMMYFUNCTION("""COMPUTED_VALUE"""),"")</f>
        <v/>
      </c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</row>
    <row r="488">
      <c r="A488" s="198"/>
      <c r="D488" s="198" t="str">
        <f>IFERROR(__xludf.DUMMYFUNCTION("""COMPUTED_VALUE"""),"FALSE")</f>
        <v>FALSE</v>
      </c>
      <c r="E488" s="198" t="str">
        <f>IFERROR(__xludf.DUMMYFUNCTION("""COMPUTED_VALUE"""),"FALSE")</f>
        <v>FALSE</v>
      </c>
      <c r="F488" s="198"/>
      <c r="J488" s="184" t="str">
        <f>IFERROR(__xludf.DUMMYFUNCTION("""COMPUTED_VALUE"""),"")</f>
        <v/>
      </c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</row>
    <row r="489">
      <c r="A489" s="198"/>
      <c r="D489" s="198" t="str">
        <f>IFERROR(__xludf.DUMMYFUNCTION("""COMPUTED_VALUE"""),"FALSE")</f>
        <v>FALSE</v>
      </c>
      <c r="E489" s="198" t="str">
        <f>IFERROR(__xludf.DUMMYFUNCTION("""COMPUTED_VALUE"""),"FALSE")</f>
        <v>FALSE</v>
      </c>
      <c r="F489" s="198"/>
      <c r="J489" s="184" t="str">
        <f>IFERROR(__xludf.DUMMYFUNCTION("""COMPUTED_VALUE"""),"")</f>
        <v/>
      </c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</row>
    <row r="490">
      <c r="A490" s="198"/>
      <c r="D490" s="198" t="str">
        <f>IFERROR(__xludf.DUMMYFUNCTION("""COMPUTED_VALUE"""),"FALSE")</f>
        <v>FALSE</v>
      </c>
      <c r="E490" s="198" t="str">
        <f>IFERROR(__xludf.DUMMYFUNCTION("""COMPUTED_VALUE"""),"FALSE")</f>
        <v>FALSE</v>
      </c>
      <c r="F490" s="198"/>
      <c r="J490" s="184" t="str">
        <f>IFERROR(__xludf.DUMMYFUNCTION("""COMPUTED_VALUE"""),"")</f>
        <v/>
      </c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</row>
    <row r="491">
      <c r="A491" s="198"/>
      <c r="D491" s="198" t="str">
        <f>IFERROR(__xludf.DUMMYFUNCTION("""COMPUTED_VALUE"""),"FALSE")</f>
        <v>FALSE</v>
      </c>
      <c r="E491" s="198" t="str">
        <f>IFERROR(__xludf.DUMMYFUNCTION("""COMPUTED_VALUE"""),"FALSE")</f>
        <v>FALSE</v>
      </c>
      <c r="F491" s="198"/>
      <c r="J491" s="184" t="str">
        <f>IFERROR(__xludf.DUMMYFUNCTION("""COMPUTED_VALUE"""),"")</f>
        <v/>
      </c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</row>
    <row r="492">
      <c r="A492" s="198"/>
      <c r="D492" s="198" t="str">
        <f>IFERROR(__xludf.DUMMYFUNCTION("""COMPUTED_VALUE"""),"FALSE")</f>
        <v>FALSE</v>
      </c>
      <c r="E492" s="198" t="str">
        <f>IFERROR(__xludf.DUMMYFUNCTION("""COMPUTED_VALUE"""),"FALSE")</f>
        <v>FALSE</v>
      </c>
      <c r="F492" s="198"/>
      <c r="J492" s="184" t="str">
        <f>IFERROR(__xludf.DUMMYFUNCTION("""COMPUTED_VALUE"""),"")</f>
        <v/>
      </c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</row>
    <row r="493">
      <c r="A493" s="198"/>
      <c r="D493" s="198" t="str">
        <f>IFERROR(__xludf.DUMMYFUNCTION("""COMPUTED_VALUE"""),"FALSE")</f>
        <v>FALSE</v>
      </c>
      <c r="E493" s="198" t="str">
        <f>IFERROR(__xludf.DUMMYFUNCTION("""COMPUTED_VALUE"""),"FALSE")</f>
        <v>FALSE</v>
      </c>
      <c r="F493" s="198"/>
      <c r="J493" s="184" t="str">
        <f>IFERROR(__xludf.DUMMYFUNCTION("""COMPUTED_VALUE"""),"")</f>
        <v/>
      </c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</row>
    <row r="494">
      <c r="A494" s="198"/>
      <c r="D494" s="198" t="str">
        <f>IFERROR(__xludf.DUMMYFUNCTION("""COMPUTED_VALUE"""),"FALSE")</f>
        <v>FALSE</v>
      </c>
      <c r="E494" s="198" t="str">
        <f>IFERROR(__xludf.DUMMYFUNCTION("""COMPUTED_VALUE"""),"FALSE")</f>
        <v>FALSE</v>
      </c>
      <c r="F494" s="198"/>
      <c r="J494" s="184" t="str">
        <f>IFERROR(__xludf.DUMMYFUNCTION("""COMPUTED_VALUE"""),"")</f>
        <v/>
      </c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</row>
    <row r="495">
      <c r="A495" s="198"/>
      <c r="D495" s="198" t="str">
        <f>IFERROR(__xludf.DUMMYFUNCTION("""COMPUTED_VALUE"""),"FALSE")</f>
        <v>FALSE</v>
      </c>
      <c r="E495" s="198" t="str">
        <f>IFERROR(__xludf.DUMMYFUNCTION("""COMPUTED_VALUE"""),"FALSE")</f>
        <v>FALSE</v>
      </c>
      <c r="F495" s="198"/>
      <c r="J495" s="184" t="str">
        <f>IFERROR(__xludf.DUMMYFUNCTION("""COMPUTED_VALUE"""),"")</f>
        <v/>
      </c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</row>
    <row r="496">
      <c r="A496" s="198"/>
      <c r="D496" s="198" t="str">
        <f>IFERROR(__xludf.DUMMYFUNCTION("""COMPUTED_VALUE"""),"FALSE")</f>
        <v>FALSE</v>
      </c>
      <c r="E496" s="198" t="str">
        <f>IFERROR(__xludf.DUMMYFUNCTION("""COMPUTED_VALUE"""),"FALSE")</f>
        <v>FALSE</v>
      </c>
      <c r="F496" s="198"/>
      <c r="J496" s="184" t="str">
        <f>IFERROR(__xludf.DUMMYFUNCTION("""COMPUTED_VALUE"""),"")</f>
        <v/>
      </c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</row>
    <row r="497">
      <c r="A497" s="198"/>
      <c r="D497" s="198" t="str">
        <f>IFERROR(__xludf.DUMMYFUNCTION("""COMPUTED_VALUE"""),"FALSE")</f>
        <v>FALSE</v>
      </c>
      <c r="E497" s="198" t="str">
        <f>IFERROR(__xludf.DUMMYFUNCTION("""COMPUTED_VALUE"""),"FALSE")</f>
        <v>FALSE</v>
      </c>
      <c r="F497" s="198"/>
      <c r="J497" s="184" t="str">
        <f>IFERROR(__xludf.DUMMYFUNCTION("""COMPUTED_VALUE"""),"")</f>
        <v/>
      </c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</row>
    <row r="498">
      <c r="A498" s="198"/>
      <c r="D498" s="198" t="str">
        <f>IFERROR(__xludf.DUMMYFUNCTION("""COMPUTED_VALUE"""),"FALSE")</f>
        <v>FALSE</v>
      </c>
      <c r="E498" s="198" t="str">
        <f>IFERROR(__xludf.DUMMYFUNCTION("""COMPUTED_VALUE"""),"FALSE")</f>
        <v>FALSE</v>
      </c>
      <c r="F498" s="198"/>
      <c r="J498" s="184" t="str">
        <f>IFERROR(__xludf.DUMMYFUNCTION("""COMPUTED_VALUE"""),"")</f>
        <v/>
      </c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</row>
    <row r="499">
      <c r="A499" s="198"/>
      <c r="D499" s="198" t="str">
        <f>IFERROR(__xludf.DUMMYFUNCTION("""COMPUTED_VALUE"""),"FALSE")</f>
        <v>FALSE</v>
      </c>
      <c r="E499" s="198" t="str">
        <f>IFERROR(__xludf.DUMMYFUNCTION("""COMPUTED_VALUE"""),"FALSE")</f>
        <v>FALSE</v>
      </c>
      <c r="F499" s="198"/>
      <c r="J499" s="184" t="str">
        <f>IFERROR(__xludf.DUMMYFUNCTION("""COMPUTED_VALUE"""),"")</f>
        <v/>
      </c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</row>
    <row r="500">
      <c r="A500" s="198"/>
      <c r="D500" s="198" t="str">
        <f>IFERROR(__xludf.DUMMYFUNCTION("""COMPUTED_VALUE"""),"FALSE")</f>
        <v>FALSE</v>
      </c>
      <c r="E500" s="198" t="str">
        <f>IFERROR(__xludf.DUMMYFUNCTION("""COMPUTED_VALUE"""),"FALSE")</f>
        <v>FALSE</v>
      </c>
      <c r="F500" s="198"/>
      <c r="J500" s="184" t="str">
        <f>IFERROR(__xludf.DUMMYFUNCTION("""COMPUTED_VALUE"""),"")</f>
        <v/>
      </c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</row>
    <row r="501">
      <c r="A501" s="198"/>
      <c r="D501" s="198" t="str">
        <f>IFERROR(__xludf.DUMMYFUNCTION("""COMPUTED_VALUE"""),"FALSE")</f>
        <v>FALSE</v>
      </c>
      <c r="E501" s="198" t="str">
        <f>IFERROR(__xludf.DUMMYFUNCTION("""COMPUTED_VALUE"""),"FALSE")</f>
        <v>FALSE</v>
      </c>
      <c r="F501" s="198"/>
      <c r="J501" s="184" t="str">
        <f>IFERROR(__xludf.DUMMYFUNCTION("""COMPUTED_VALUE"""),"")</f>
        <v/>
      </c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</row>
    <row r="502">
      <c r="A502" s="198"/>
      <c r="D502" s="198" t="str">
        <f>IFERROR(__xludf.DUMMYFUNCTION("""COMPUTED_VALUE"""),"FALSE")</f>
        <v>FALSE</v>
      </c>
      <c r="E502" s="198" t="str">
        <f>IFERROR(__xludf.DUMMYFUNCTION("""COMPUTED_VALUE"""),"FALSE")</f>
        <v>FALSE</v>
      </c>
      <c r="F502" s="198"/>
      <c r="J502" s="184" t="str">
        <f>IFERROR(__xludf.DUMMYFUNCTION("""COMPUTED_VALUE"""),"")</f>
        <v/>
      </c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</row>
    <row r="503">
      <c r="A503" s="198"/>
      <c r="D503" s="198" t="str">
        <f>IFERROR(__xludf.DUMMYFUNCTION("""COMPUTED_VALUE"""),"FALSE")</f>
        <v>FALSE</v>
      </c>
      <c r="E503" s="198" t="str">
        <f>IFERROR(__xludf.DUMMYFUNCTION("""COMPUTED_VALUE"""),"FALSE")</f>
        <v>FALSE</v>
      </c>
      <c r="F503" s="198"/>
      <c r="J503" s="184" t="str">
        <f>IFERROR(__xludf.DUMMYFUNCTION("""COMPUTED_VALUE"""),"")</f>
        <v/>
      </c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</row>
    <row r="504">
      <c r="A504" s="198"/>
      <c r="D504" s="198" t="str">
        <f>IFERROR(__xludf.DUMMYFUNCTION("""COMPUTED_VALUE"""),"FALSE")</f>
        <v>FALSE</v>
      </c>
      <c r="E504" s="198" t="str">
        <f>IFERROR(__xludf.DUMMYFUNCTION("""COMPUTED_VALUE"""),"FALSE")</f>
        <v>FALSE</v>
      </c>
      <c r="F504" s="198"/>
      <c r="J504" s="184" t="str">
        <f>IFERROR(__xludf.DUMMYFUNCTION("""COMPUTED_VALUE"""),"")</f>
        <v/>
      </c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</row>
    <row r="505">
      <c r="A505" s="198"/>
      <c r="D505" s="198" t="str">
        <f>IFERROR(__xludf.DUMMYFUNCTION("""COMPUTED_VALUE"""),"FALSE")</f>
        <v>FALSE</v>
      </c>
      <c r="E505" s="198" t="str">
        <f>IFERROR(__xludf.DUMMYFUNCTION("""COMPUTED_VALUE"""),"FALSE")</f>
        <v>FALSE</v>
      </c>
      <c r="F505" s="198"/>
      <c r="J505" s="184" t="str">
        <f>IFERROR(__xludf.DUMMYFUNCTION("""COMPUTED_VALUE"""),"")</f>
        <v/>
      </c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</row>
    <row r="506">
      <c r="A506" s="198"/>
      <c r="D506" s="198" t="str">
        <f>IFERROR(__xludf.DUMMYFUNCTION("""COMPUTED_VALUE"""),"FALSE")</f>
        <v>FALSE</v>
      </c>
      <c r="E506" s="198" t="str">
        <f>IFERROR(__xludf.DUMMYFUNCTION("""COMPUTED_VALUE"""),"FALSE")</f>
        <v>FALSE</v>
      </c>
      <c r="F506" s="198"/>
      <c r="J506" s="184" t="str">
        <f>IFERROR(__xludf.DUMMYFUNCTION("""COMPUTED_VALUE"""),"")</f>
        <v/>
      </c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</row>
    <row r="507">
      <c r="A507" s="198"/>
      <c r="D507" s="198" t="str">
        <f>IFERROR(__xludf.DUMMYFUNCTION("""COMPUTED_VALUE"""),"FALSE")</f>
        <v>FALSE</v>
      </c>
      <c r="E507" s="198" t="str">
        <f>IFERROR(__xludf.DUMMYFUNCTION("""COMPUTED_VALUE"""),"FALSE")</f>
        <v>FALSE</v>
      </c>
      <c r="F507" s="198"/>
      <c r="J507" s="184" t="str">
        <f>IFERROR(__xludf.DUMMYFUNCTION("""COMPUTED_VALUE"""),"")</f>
        <v/>
      </c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</row>
    <row r="508">
      <c r="A508" s="198"/>
      <c r="D508" s="198" t="str">
        <f>IFERROR(__xludf.DUMMYFUNCTION("""COMPUTED_VALUE"""),"FALSE")</f>
        <v>FALSE</v>
      </c>
      <c r="E508" s="198" t="str">
        <f>IFERROR(__xludf.DUMMYFUNCTION("""COMPUTED_VALUE"""),"FALSE")</f>
        <v>FALSE</v>
      </c>
      <c r="F508" s="198"/>
      <c r="J508" s="184" t="str">
        <f>IFERROR(__xludf.DUMMYFUNCTION("""COMPUTED_VALUE"""),"")</f>
        <v/>
      </c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</row>
    <row r="509">
      <c r="A509" s="198"/>
      <c r="D509" s="198" t="str">
        <f>IFERROR(__xludf.DUMMYFUNCTION("""COMPUTED_VALUE"""),"FALSE")</f>
        <v>FALSE</v>
      </c>
      <c r="E509" s="198" t="str">
        <f>IFERROR(__xludf.DUMMYFUNCTION("""COMPUTED_VALUE"""),"FALSE")</f>
        <v>FALSE</v>
      </c>
      <c r="F509" s="198"/>
      <c r="J509" s="184" t="str">
        <f>IFERROR(__xludf.DUMMYFUNCTION("""COMPUTED_VALUE"""),"")</f>
        <v/>
      </c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</row>
    <row r="510">
      <c r="A510" s="198"/>
      <c r="D510" s="198" t="str">
        <f>IFERROR(__xludf.DUMMYFUNCTION("""COMPUTED_VALUE"""),"FALSE")</f>
        <v>FALSE</v>
      </c>
      <c r="E510" s="198" t="str">
        <f>IFERROR(__xludf.DUMMYFUNCTION("""COMPUTED_VALUE"""),"FALSE")</f>
        <v>FALSE</v>
      </c>
      <c r="F510" s="198"/>
      <c r="J510" s="184" t="str">
        <f>IFERROR(__xludf.DUMMYFUNCTION("""COMPUTED_VALUE"""),"")</f>
        <v/>
      </c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</row>
    <row r="511">
      <c r="A511" s="198"/>
      <c r="D511" s="198" t="str">
        <f>IFERROR(__xludf.DUMMYFUNCTION("""COMPUTED_VALUE"""),"FALSE")</f>
        <v>FALSE</v>
      </c>
      <c r="E511" s="198" t="str">
        <f>IFERROR(__xludf.DUMMYFUNCTION("""COMPUTED_VALUE"""),"FALSE")</f>
        <v>FALSE</v>
      </c>
      <c r="F511" s="198"/>
      <c r="J511" s="184" t="str">
        <f>IFERROR(__xludf.DUMMYFUNCTION("""COMPUTED_VALUE"""),"")</f>
        <v/>
      </c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</row>
    <row r="512">
      <c r="A512" s="198"/>
      <c r="D512" s="198" t="str">
        <f>IFERROR(__xludf.DUMMYFUNCTION("""COMPUTED_VALUE"""),"FALSE")</f>
        <v>FALSE</v>
      </c>
      <c r="E512" s="198" t="str">
        <f>IFERROR(__xludf.DUMMYFUNCTION("""COMPUTED_VALUE"""),"FALSE")</f>
        <v>FALSE</v>
      </c>
      <c r="F512" s="198"/>
      <c r="J512" s="184" t="str">
        <f>IFERROR(__xludf.DUMMYFUNCTION("""COMPUTED_VALUE"""),"")</f>
        <v/>
      </c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</row>
    <row r="513">
      <c r="A513" s="198"/>
      <c r="D513" s="198" t="str">
        <f>IFERROR(__xludf.DUMMYFUNCTION("""COMPUTED_VALUE"""),"FALSE")</f>
        <v>FALSE</v>
      </c>
      <c r="E513" s="198" t="str">
        <f>IFERROR(__xludf.DUMMYFUNCTION("""COMPUTED_VALUE"""),"FALSE")</f>
        <v>FALSE</v>
      </c>
      <c r="F513" s="198"/>
      <c r="J513" s="184" t="str">
        <f>IFERROR(__xludf.DUMMYFUNCTION("""COMPUTED_VALUE"""),"")</f>
        <v/>
      </c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</row>
    <row r="514">
      <c r="A514" s="198"/>
      <c r="D514" s="198" t="str">
        <f>IFERROR(__xludf.DUMMYFUNCTION("""COMPUTED_VALUE"""),"FALSE")</f>
        <v>FALSE</v>
      </c>
      <c r="E514" s="198" t="str">
        <f>IFERROR(__xludf.DUMMYFUNCTION("""COMPUTED_VALUE"""),"FALSE")</f>
        <v>FALSE</v>
      </c>
      <c r="F514" s="198"/>
      <c r="J514" s="184" t="str">
        <f>IFERROR(__xludf.DUMMYFUNCTION("""COMPUTED_VALUE"""),"")</f>
        <v/>
      </c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</row>
    <row r="515">
      <c r="A515" s="198"/>
      <c r="D515" s="198" t="str">
        <f>IFERROR(__xludf.DUMMYFUNCTION("""COMPUTED_VALUE"""),"FALSE")</f>
        <v>FALSE</v>
      </c>
      <c r="E515" s="198" t="str">
        <f>IFERROR(__xludf.DUMMYFUNCTION("""COMPUTED_VALUE"""),"FALSE")</f>
        <v>FALSE</v>
      </c>
      <c r="F515" s="198"/>
      <c r="J515" s="184" t="str">
        <f>IFERROR(__xludf.DUMMYFUNCTION("""COMPUTED_VALUE"""),"")</f>
        <v/>
      </c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</row>
    <row r="516">
      <c r="A516" s="198"/>
      <c r="D516" s="198" t="str">
        <f>IFERROR(__xludf.DUMMYFUNCTION("""COMPUTED_VALUE"""),"FALSE")</f>
        <v>FALSE</v>
      </c>
      <c r="E516" s="198" t="str">
        <f>IFERROR(__xludf.DUMMYFUNCTION("""COMPUTED_VALUE"""),"FALSE")</f>
        <v>FALSE</v>
      </c>
      <c r="F516" s="198"/>
      <c r="J516" s="184" t="str">
        <f>IFERROR(__xludf.DUMMYFUNCTION("""COMPUTED_VALUE"""),"")</f>
        <v/>
      </c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</row>
    <row r="517">
      <c r="A517" s="198"/>
      <c r="D517" s="198" t="str">
        <f>IFERROR(__xludf.DUMMYFUNCTION("""COMPUTED_VALUE"""),"FALSE")</f>
        <v>FALSE</v>
      </c>
      <c r="E517" s="198" t="str">
        <f>IFERROR(__xludf.DUMMYFUNCTION("""COMPUTED_VALUE"""),"FALSE")</f>
        <v>FALSE</v>
      </c>
      <c r="F517" s="198"/>
      <c r="J517" s="184" t="str">
        <f>IFERROR(__xludf.DUMMYFUNCTION("""COMPUTED_VALUE"""),"")</f>
        <v/>
      </c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</row>
    <row r="518">
      <c r="A518" s="198"/>
      <c r="D518" s="198" t="str">
        <f>IFERROR(__xludf.DUMMYFUNCTION("""COMPUTED_VALUE"""),"FALSE")</f>
        <v>FALSE</v>
      </c>
      <c r="E518" s="198" t="str">
        <f>IFERROR(__xludf.DUMMYFUNCTION("""COMPUTED_VALUE"""),"FALSE")</f>
        <v>FALSE</v>
      </c>
      <c r="F518" s="198"/>
      <c r="J518" s="184" t="str">
        <f>IFERROR(__xludf.DUMMYFUNCTION("""COMPUTED_VALUE"""),"")</f>
        <v/>
      </c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</row>
    <row r="519">
      <c r="A519" s="198"/>
      <c r="D519" s="198" t="str">
        <f>IFERROR(__xludf.DUMMYFUNCTION("""COMPUTED_VALUE"""),"FALSE")</f>
        <v>FALSE</v>
      </c>
      <c r="E519" s="198" t="str">
        <f>IFERROR(__xludf.DUMMYFUNCTION("""COMPUTED_VALUE"""),"FALSE")</f>
        <v>FALSE</v>
      </c>
      <c r="F519" s="198"/>
      <c r="J519" s="184" t="str">
        <f>IFERROR(__xludf.DUMMYFUNCTION("""COMPUTED_VALUE"""),"")</f>
        <v/>
      </c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</row>
    <row r="520">
      <c r="A520" s="198"/>
      <c r="D520" s="198" t="str">
        <f>IFERROR(__xludf.DUMMYFUNCTION("""COMPUTED_VALUE"""),"FALSE")</f>
        <v>FALSE</v>
      </c>
      <c r="E520" s="198" t="str">
        <f>IFERROR(__xludf.DUMMYFUNCTION("""COMPUTED_VALUE"""),"FALSE")</f>
        <v>FALSE</v>
      </c>
      <c r="F520" s="198"/>
      <c r="J520" s="184" t="str">
        <f>IFERROR(__xludf.DUMMYFUNCTION("""COMPUTED_VALUE"""),"")</f>
        <v/>
      </c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</row>
    <row r="521">
      <c r="A521" s="198"/>
      <c r="D521" s="198" t="str">
        <f>IFERROR(__xludf.DUMMYFUNCTION("""COMPUTED_VALUE"""),"FALSE")</f>
        <v>FALSE</v>
      </c>
      <c r="E521" s="198" t="str">
        <f>IFERROR(__xludf.DUMMYFUNCTION("""COMPUTED_VALUE"""),"FALSE")</f>
        <v>FALSE</v>
      </c>
      <c r="F521" s="198"/>
      <c r="J521" s="184" t="str">
        <f>IFERROR(__xludf.DUMMYFUNCTION("""COMPUTED_VALUE"""),"")</f>
        <v/>
      </c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</row>
    <row r="522">
      <c r="A522" s="198"/>
      <c r="D522" s="198" t="str">
        <f>IFERROR(__xludf.DUMMYFUNCTION("""COMPUTED_VALUE"""),"FALSE")</f>
        <v>FALSE</v>
      </c>
      <c r="E522" s="198" t="str">
        <f>IFERROR(__xludf.DUMMYFUNCTION("""COMPUTED_VALUE"""),"FALSE")</f>
        <v>FALSE</v>
      </c>
      <c r="F522" s="198"/>
      <c r="J522" s="184" t="str">
        <f>IFERROR(__xludf.DUMMYFUNCTION("""COMPUTED_VALUE"""),"")</f>
        <v/>
      </c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</row>
    <row r="523">
      <c r="A523" s="198"/>
      <c r="D523" s="198" t="str">
        <f>IFERROR(__xludf.DUMMYFUNCTION("""COMPUTED_VALUE"""),"FALSE")</f>
        <v>FALSE</v>
      </c>
      <c r="E523" s="198" t="str">
        <f>IFERROR(__xludf.DUMMYFUNCTION("""COMPUTED_VALUE"""),"FALSE")</f>
        <v>FALSE</v>
      </c>
      <c r="F523" s="198"/>
      <c r="J523" s="184" t="str">
        <f>IFERROR(__xludf.DUMMYFUNCTION("""COMPUTED_VALUE"""),"")</f>
        <v/>
      </c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</row>
    <row r="524">
      <c r="A524" s="198"/>
      <c r="D524" s="198" t="str">
        <f>IFERROR(__xludf.DUMMYFUNCTION("""COMPUTED_VALUE"""),"FALSE")</f>
        <v>FALSE</v>
      </c>
      <c r="E524" s="198" t="str">
        <f>IFERROR(__xludf.DUMMYFUNCTION("""COMPUTED_VALUE"""),"FALSE")</f>
        <v>FALSE</v>
      </c>
      <c r="F524" s="198"/>
      <c r="J524" s="184" t="str">
        <f>IFERROR(__xludf.DUMMYFUNCTION("""COMPUTED_VALUE"""),"")</f>
        <v/>
      </c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</row>
    <row r="525">
      <c r="A525" s="198"/>
      <c r="D525" s="198" t="str">
        <f>IFERROR(__xludf.DUMMYFUNCTION("""COMPUTED_VALUE"""),"FALSE")</f>
        <v>FALSE</v>
      </c>
      <c r="E525" s="198" t="str">
        <f>IFERROR(__xludf.DUMMYFUNCTION("""COMPUTED_VALUE"""),"FALSE")</f>
        <v>FALSE</v>
      </c>
      <c r="F525" s="198"/>
      <c r="J525" s="184" t="str">
        <f>IFERROR(__xludf.DUMMYFUNCTION("""COMPUTED_VALUE"""),"")</f>
        <v/>
      </c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</row>
    <row r="526">
      <c r="A526" s="198"/>
      <c r="D526" s="198" t="str">
        <f>IFERROR(__xludf.DUMMYFUNCTION("""COMPUTED_VALUE"""),"FALSE")</f>
        <v>FALSE</v>
      </c>
      <c r="E526" s="198" t="str">
        <f>IFERROR(__xludf.DUMMYFUNCTION("""COMPUTED_VALUE"""),"FALSE")</f>
        <v>FALSE</v>
      </c>
      <c r="F526" s="198"/>
      <c r="J526" s="184" t="str">
        <f>IFERROR(__xludf.DUMMYFUNCTION("""COMPUTED_VALUE"""),"")</f>
        <v/>
      </c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</row>
    <row r="527">
      <c r="A527" s="198"/>
      <c r="D527" s="198" t="str">
        <f>IFERROR(__xludf.DUMMYFUNCTION("""COMPUTED_VALUE"""),"FALSE")</f>
        <v>FALSE</v>
      </c>
      <c r="E527" s="198" t="str">
        <f>IFERROR(__xludf.DUMMYFUNCTION("""COMPUTED_VALUE"""),"FALSE")</f>
        <v>FALSE</v>
      </c>
      <c r="F527" s="198"/>
      <c r="J527" s="184" t="str">
        <f>IFERROR(__xludf.DUMMYFUNCTION("""COMPUTED_VALUE"""),"")</f>
        <v/>
      </c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</row>
    <row r="528">
      <c r="A528" s="198"/>
      <c r="D528" s="198" t="str">
        <f>IFERROR(__xludf.DUMMYFUNCTION("""COMPUTED_VALUE"""),"FALSE")</f>
        <v>FALSE</v>
      </c>
      <c r="E528" s="198" t="str">
        <f>IFERROR(__xludf.DUMMYFUNCTION("""COMPUTED_VALUE"""),"FALSE")</f>
        <v>FALSE</v>
      </c>
      <c r="F528" s="198"/>
      <c r="J528" s="184" t="str">
        <f>IFERROR(__xludf.DUMMYFUNCTION("""COMPUTED_VALUE"""),"")</f>
        <v/>
      </c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</row>
    <row r="529">
      <c r="A529" s="198"/>
      <c r="D529" s="198" t="str">
        <f>IFERROR(__xludf.DUMMYFUNCTION("""COMPUTED_VALUE"""),"FALSE")</f>
        <v>FALSE</v>
      </c>
      <c r="E529" s="198" t="str">
        <f>IFERROR(__xludf.DUMMYFUNCTION("""COMPUTED_VALUE"""),"FALSE")</f>
        <v>FALSE</v>
      </c>
      <c r="F529" s="198"/>
      <c r="J529" s="184" t="str">
        <f>IFERROR(__xludf.DUMMYFUNCTION("""COMPUTED_VALUE"""),"")</f>
        <v/>
      </c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</row>
    <row r="530">
      <c r="A530" s="198"/>
      <c r="D530" s="198" t="str">
        <f>IFERROR(__xludf.DUMMYFUNCTION("""COMPUTED_VALUE"""),"FALSE")</f>
        <v>FALSE</v>
      </c>
      <c r="E530" s="198" t="str">
        <f>IFERROR(__xludf.DUMMYFUNCTION("""COMPUTED_VALUE"""),"FALSE")</f>
        <v>FALSE</v>
      </c>
      <c r="F530" s="198"/>
      <c r="J530" s="184" t="str">
        <f>IFERROR(__xludf.DUMMYFUNCTION("""COMPUTED_VALUE"""),"")</f>
        <v/>
      </c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</row>
    <row r="531">
      <c r="A531" s="198"/>
      <c r="D531" s="198" t="str">
        <f>IFERROR(__xludf.DUMMYFUNCTION("""COMPUTED_VALUE"""),"FALSE")</f>
        <v>FALSE</v>
      </c>
      <c r="E531" s="198" t="str">
        <f>IFERROR(__xludf.DUMMYFUNCTION("""COMPUTED_VALUE"""),"FALSE")</f>
        <v>FALSE</v>
      </c>
      <c r="F531" s="198"/>
      <c r="J531" s="184" t="str">
        <f>IFERROR(__xludf.DUMMYFUNCTION("""COMPUTED_VALUE"""),"")</f>
        <v/>
      </c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</row>
    <row r="532">
      <c r="A532" s="198"/>
      <c r="D532" s="198" t="str">
        <f>IFERROR(__xludf.DUMMYFUNCTION("""COMPUTED_VALUE"""),"FALSE")</f>
        <v>FALSE</v>
      </c>
      <c r="E532" s="198" t="str">
        <f>IFERROR(__xludf.DUMMYFUNCTION("""COMPUTED_VALUE"""),"FALSE")</f>
        <v>FALSE</v>
      </c>
      <c r="F532" s="198"/>
      <c r="J532" s="184" t="str">
        <f>IFERROR(__xludf.DUMMYFUNCTION("""COMPUTED_VALUE"""),"")</f>
        <v/>
      </c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</row>
    <row r="533">
      <c r="A533" s="198"/>
      <c r="D533" s="198" t="str">
        <f>IFERROR(__xludf.DUMMYFUNCTION("""COMPUTED_VALUE"""),"FALSE")</f>
        <v>FALSE</v>
      </c>
      <c r="E533" s="198" t="str">
        <f>IFERROR(__xludf.DUMMYFUNCTION("""COMPUTED_VALUE"""),"FALSE")</f>
        <v>FALSE</v>
      </c>
      <c r="F533" s="198"/>
      <c r="J533" s="184" t="str">
        <f>IFERROR(__xludf.DUMMYFUNCTION("""COMPUTED_VALUE"""),"")</f>
        <v/>
      </c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</row>
    <row r="534">
      <c r="A534" s="198"/>
      <c r="D534" s="198" t="str">
        <f>IFERROR(__xludf.DUMMYFUNCTION("""COMPUTED_VALUE"""),"FALSE")</f>
        <v>FALSE</v>
      </c>
      <c r="E534" s="198" t="str">
        <f>IFERROR(__xludf.DUMMYFUNCTION("""COMPUTED_VALUE"""),"FALSE")</f>
        <v>FALSE</v>
      </c>
      <c r="F534" s="198"/>
      <c r="J534" s="184" t="str">
        <f>IFERROR(__xludf.DUMMYFUNCTION("""COMPUTED_VALUE"""),"")</f>
        <v/>
      </c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</row>
    <row r="535">
      <c r="A535" s="198"/>
      <c r="D535" s="198" t="str">
        <f>IFERROR(__xludf.DUMMYFUNCTION("""COMPUTED_VALUE"""),"FALSE")</f>
        <v>FALSE</v>
      </c>
      <c r="E535" s="198" t="str">
        <f>IFERROR(__xludf.DUMMYFUNCTION("""COMPUTED_VALUE"""),"FALSE")</f>
        <v>FALSE</v>
      </c>
      <c r="F535" s="198"/>
      <c r="J535" s="184" t="str">
        <f>IFERROR(__xludf.DUMMYFUNCTION("""COMPUTED_VALUE"""),"")</f>
        <v/>
      </c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</row>
    <row r="536">
      <c r="A536" s="198"/>
      <c r="D536" s="198" t="str">
        <f>IFERROR(__xludf.DUMMYFUNCTION("""COMPUTED_VALUE"""),"FALSE")</f>
        <v>FALSE</v>
      </c>
      <c r="E536" s="198" t="str">
        <f>IFERROR(__xludf.DUMMYFUNCTION("""COMPUTED_VALUE"""),"FALSE")</f>
        <v>FALSE</v>
      </c>
      <c r="F536" s="198"/>
      <c r="J536" s="184" t="str">
        <f>IFERROR(__xludf.DUMMYFUNCTION("""COMPUTED_VALUE"""),"")</f>
        <v/>
      </c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</row>
    <row r="537">
      <c r="A537" s="198"/>
      <c r="D537" s="198" t="str">
        <f>IFERROR(__xludf.DUMMYFUNCTION("""COMPUTED_VALUE"""),"FALSE")</f>
        <v>FALSE</v>
      </c>
      <c r="E537" s="198" t="str">
        <f>IFERROR(__xludf.DUMMYFUNCTION("""COMPUTED_VALUE"""),"FALSE")</f>
        <v>FALSE</v>
      </c>
      <c r="F537" s="198"/>
      <c r="J537" s="184" t="str">
        <f>IFERROR(__xludf.DUMMYFUNCTION("""COMPUTED_VALUE"""),"")</f>
        <v/>
      </c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</row>
    <row r="538">
      <c r="A538" s="198"/>
      <c r="D538" s="198" t="str">
        <f>IFERROR(__xludf.DUMMYFUNCTION("""COMPUTED_VALUE"""),"FALSE")</f>
        <v>FALSE</v>
      </c>
      <c r="E538" s="198" t="str">
        <f>IFERROR(__xludf.DUMMYFUNCTION("""COMPUTED_VALUE"""),"FALSE")</f>
        <v>FALSE</v>
      </c>
      <c r="F538" s="198"/>
      <c r="J538" s="184" t="str">
        <f>IFERROR(__xludf.DUMMYFUNCTION("""COMPUTED_VALUE"""),"")</f>
        <v/>
      </c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</row>
    <row r="539">
      <c r="A539" s="198"/>
      <c r="D539" s="198" t="str">
        <f>IFERROR(__xludf.DUMMYFUNCTION("""COMPUTED_VALUE"""),"FALSE")</f>
        <v>FALSE</v>
      </c>
      <c r="E539" s="198" t="str">
        <f>IFERROR(__xludf.DUMMYFUNCTION("""COMPUTED_VALUE"""),"FALSE")</f>
        <v>FALSE</v>
      </c>
      <c r="F539" s="198"/>
      <c r="J539" s="184" t="str">
        <f>IFERROR(__xludf.DUMMYFUNCTION("""COMPUTED_VALUE"""),"")</f>
        <v/>
      </c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</row>
    <row r="540">
      <c r="A540" s="198"/>
      <c r="D540" s="198" t="str">
        <f>IFERROR(__xludf.DUMMYFUNCTION("""COMPUTED_VALUE"""),"FALSE")</f>
        <v>FALSE</v>
      </c>
      <c r="E540" s="198" t="str">
        <f>IFERROR(__xludf.DUMMYFUNCTION("""COMPUTED_VALUE"""),"FALSE")</f>
        <v>FALSE</v>
      </c>
      <c r="F540" s="198"/>
      <c r="J540" s="184" t="str">
        <f>IFERROR(__xludf.DUMMYFUNCTION("""COMPUTED_VALUE"""),"")</f>
        <v/>
      </c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</row>
    <row r="541">
      <c r="A541" s="198"/>
      <c r="D541" s="198" t="str">
        <f>IFERROR(__xludf.DUMMYFUNCTION("""COMPUTED_VALUE"""),"FALSE")</f>
        <v>FALSE</v>
      </c>
      <c r="E541" s="198" t="str">
        <f>IFERROR(__xludf.DUMMYFUNCTION("""COMPUTED_VALUE"""),"FALSE")</f>
        <v>FALSE</v>
      </c>
      <c r="F541" s="198"/>
      <c r="J541" s="184" t="str">
        <f>IFERROR(__xludf.DUMMYFUNCTION("""COMPUTED_VALUE"""),"")</f>
        <v/>
      </c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</row>
    <row r="542">
      <c r="A542" s="198"/>
      <c r="D542" s="198" t="str">
        <f>IFERROR(__xludf.DUMMYFUNCTION("""COMPUTED_VALUE"""),"FALSE")</f>
        <v>FALSE</v>
      </c>
      <c r="E542" s="198" t="str">
        <f>IFERROR(__xludf.DUMMYFUNCTION("""COMPUTED_VALUE"""),"FALSE")</f>
        <v>FALSE</v>
      </c>
      <c r="F542" s="198"/>
      <c r="J542" s="184" t="str">
        <f>IFERROR(__xludf.DUMMYFUNCTION("""COMPUTED_VALUE"""),"")</f>
        <v/>
      </c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</row>
    <row r="543">
      <c r="A543" s="198"/>
      <c r="D543" s="198" t="str">
        <f>IFERROR(__xludf.DUMMYFUNCTION("""COMPUTED_VALUE"""),"FALSE")</f>
        <v>FALSE</v>
      </c>
      <c r="E543" s="198" t="str">
        <f>IFERROR(__xludf.DUMMYFUNCTION("""COMPUTED_VALUE"""),"FALSE")</f>
        <v>FALSE</v>
      </c>
      <c r="F543" s="198"/>
      <c r="J543" s="184" t="str">
        <f>IFERROR(__xludf.DUMMYFUNCTION("""COMPUTED_VALUE"""),"")</f>
        <v/>
      </c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</row>
    <row r="544">
      <c r="A544" s="198"/>
      <c r="D544" s="198" t="str">
        <f>IFERROR(__xludf.DUMMYFUNCTION("""COMPUTED_VALUE"""),"FALSE")</f>
        <v>FALSE</v>
      </c>
      <c r="E544" s="198" t="str">
        <f>IFERROR(__xludf.DUMMYFUNCTION("""COMPUTED_VALUE"""),"FALSE")</f>
        <v>FALSE</v>
      </c>
      <c r="F544" s="198"/>
      <c r="J544" s="184" t="str">
        <f>IFERROR(__xludf.DUMMYFUNCTION("""COMPUTED_VALUE"""),"")</f>
        <v/>
      </c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</row>
    <row r="545">
      <c r="A545" s="198"/>
      <c r="D545" s="198" t="str">
        <f>IFERROR(__xludf.DUMMYFUNCTION("""COMPUTED_VALUE"""),"FALSE")</f>
        <v>FALSE</v>
      </c>
      <c r="E545" s="198" t="str">
        <f>IFERROR(__xludf.DUMMYFUNCTION("""COMPUTED_VALUE"""),"FALSE")</f>
        <v>FALSE</v>
      </c>
      <c r="F545" s="198"/>
      <c r="J545" s="184" t="str">
        <f>IFERROR(__xludf.DUMMYFUNCTION("""COMPUTED_VALUE"""),"")</f>
        <v/>
      </c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</row>
    <row r="546">
      <c r="A546" s="198"/>
      <c r="D546" s="198" t="str">
        <f>IFERROR(__xludf.DUMMYFUNCTION("""COMPUTED_VALUE"""),"FALSE")</f>
        <v>FALSE</v>
      </c>
      <c r="E546" s="198" t="str">
        <f>IFERROR(__xludf.DUMMYFUNCTION("""COMPUTED_VALUE"""),"FALSE")</f>
        <v>FALSE</v>
      </c>
      <c r="F546" s="198"/>
      <c r="J546" s="184" t="str">
        <f>IFERROR(__xludf.DUMMYFUNCTION("""COMPUTED_VALUE"""),"")</f>
        <v/>
      </c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</row>
    <row r="547">
      <c r="A547" s="198"/>
      <c r="D547" s="198" t="str">
        <f>IFERROR(__xludf.DUMMYFUNCTION("""COMPUTED_VALUE"""),"FALSE")</f>
        <v>FALSE</v>
      </c>
      <c r="E547" s="198" t="str">
        <f>IFERROR(__xludf.DUMMYFUNCTION("""COMPUTED_VALUE"""),"FALSE")</f>
        <v>FALSE</v>
      </c>
      <c r="F547" s="198"/>
      <c r="J547" s="184" t="str">
        <f>IFERROR(__xludf.DUMMYFUNCTION("""COMPUTED_VALUE"""),"")</f>
        <v/>
      </c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</row>
    <row r="548">
      <c r="A548" s="198"/>
      <c r="D548" s="198" t="str">
        <f>IFERROR(__xludf.DUMMYFUNCTION("""COMPUTED_VALUE"""),"FALSE")</f>
        <v>FALSE</v>
      </c>
      <c r="E548" s="198" t="str">
        <f>IFERROR(__xludf.DUMMYFUNCTION("""COMPUTED_VALUE"""),"FALSE")</f>
        <v>FALSE</v>
      </c>
      <c r="F548" s="198"/>
      <c r="J548" s="184" t="str">
        <f>IFERROR(__xludf.DUMMYFUNCTION("""COMPUTED_VALUE"""),"")</f>
        <v/>
      </c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</row>
    <row r="549">
      <c r="A549" s="198"/>
      <c r="D549" s="198" t="str">
        <f>IFERROR(__xludf.DUMMYFUNCTION("""COMPUTED_VALUE"""),"FALSE")</f>
        <v>FALSE</v>
      </c>
      <c r="E549" s="198" t="str">
        <f>IFERROR(__xludf.DUMMYFUNCTION("""COMPUTED_VALUE"""),"FALSE")</f>
        <v>FALSE</v>
      </c>
      <c r="F549" s="198"/>
      <c r="J549" s="184" t="str">
        <f>IFERROR(__xludf.DUMMYFUNCTION("""COMPUTED_VALUE"""),"")</f>
        <v/>
      </c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</row>
    <row r="550">
      <c r="A550" s="198"/>
      <c r="D550" s="198" t="str">
        <f>IFERROR(__xludf.DUMMYFUNCTION("""COMPUTED_VALUE"""),"FALSE")</f>
        <v>FALSE</v>
      </c>
      <c r="E550" s="198" t="str">
        <f>IFERROR(__xludf.DUMMYFUNCTION("""COMPUTED_VALUE"""),"FALSE")</f>
        <v>FALSE</v>
      </c>
      <c r="F550" s="198"/>
      <c r="J550" s="184" t="str">
        <f>IFERROR(__xludf.DUMMYFUNCTION("""COMPUTED_VALUE"""),"")</f>
        <v/>
      </c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</row>
    <row r="551">
      <c r="A551" s="198"/>
      <c r="D551" s="198" t="str">
        <f>IFERROR(__xludf.DUMMYFUNCTION("""COMPUTED_VALUE"""),"FALSE")</f>
        <v>FALSE</v>
      </c>
      <c r="E551" s="198" t="str">
        <f>IFERROR(__xludf.DUMMYFUNCTION("""COMPUTED_VALUE"""),"FALSE")</f>
        <v>FALSE</v>
      </c>
      <c r="F551" s="198"/>
      <c r="J551" s="184" t="str">
        <f>IFERROR(__xludf.DUMMYFUNCTION("""COMPUTED_VALUE"""),"")</f>
        <v/>
      </c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</row>
    <row r="552">
      <c r="A552" s="198"/>
      <c r="D552" s="198" t="str">
        <f>IFERROR(__xludf.DUMMYFUNCTION("""COMPUTED_VALUE"""),"FALSE")</f>
        <v>FALSE</v>
      </c>
      <c r="E552" s="198" t="str">
        <f>IFERROR(__xludf.DUMMYFUNCTION("""COMPUTED_VALUE"""),"FALSE")</f>
        <v>FALSE</v>
      </c>
      <c r="F552" s="198"/>
      <c r="J552" s="184" t="str">
        <f>IFERROR(__xludf.DUMMYFUNCTION("""COMPUTED_VALUE"""),"")</f>
        <v/>
      </c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</row>
    <row r="553">
      <c r="A553" s="198"/>
      <c r="D553" s="198" t="str">
        <f>IFERROR(__xludf.DUMMYFUNCTION("""COMPUTED_VALUE"""),"FALSE")</f>
        <v>FALSE</v>
      </c>
      <c r="E553" s="198" t="str">
        <f>IFERROR(__xludf.DUMMYFUNCTION("""COMPUTED_VALUE"""),"FALSE")</f>
        <v>FALSE</v>
      </c>
      <c r="F553" s="198"/>
      <c r="J553" s="184" t="str">
        <f>IFERROR(__xludf.DUMMYFUNCTION("""COMPUTED_VALUE"""),"")</f>
        <v/>
      </c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</row>
    <row r="554">
      <c r="A554" s="198"/>
      <c r="D554" s="198" t="str">
        <f>IFERROR(__xludf.DUMMYFUNCTION("""COMPUTED_VALUE"""),"FALSE")</f>
        <v>FALSE</v>
      </c>
      <c r="E554" s="198" t="str">
        <f>IFERROR(__xludf.DUMMYFUNCTION("""COMPUTED_VALUE"""),"FALSE")</f>
        <v>FALSE</v>
      </c>
      <c r="F554" s="198"/>
      <c r="J554" s="184" t="str">
        <f>IFERROR(__xludf.DUMMYFUNCTION("""COMPUTED_VALUE"""),"")</f>
        <v/>
      </c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</row>
    <row r="555">
      <c r="A555" s="198"/>
      <c r="D555" s="198" t="str">
        <f>IFERROR(__xludf.DUMMYFUNCTION("""COMPUTED_VALUE"""),"FALSE")</f>
        <v>FALSE</v>
      </c>
      <c r="E555" s="198" t="str">
        <f>IFERROR(__xludf.DUMMYFUNCTION("""COMPUTED_VALUE"""),"FALSE")</f>
        <v>FALSE</v>
      </c>
      <c r="F555" s="198"/>
      <c r="J555" s="184" t="str">
        <f>IFERROR(__xludf.DUMMYFUNCTION("""COMPUTED_VALUE"""),"")</f>
        <v/>
      </c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</row>
    <row r="556">
      <c r="A556" s="198"/>
      <c r="D556" s="198" t="str">
        <f>IFERROR(__xludf.DUMMYFUNCTION("""COMPUTED_VALUE"""),"FALSE")</f>
        <v>FALSE</v>
      </c>
      <c r="E556" s="198" t="str">
        <f>IFERROR(__xludf.DUMMYFUNCTION("""COMPUTED_VALUE"""),"FALSE")</f>
        <v>FALSE</v>
      </c>
      <c r="F556" s="198"/>
      <c r="J556" s="184" t="str">
        <f>IFERROR(__xludf.DUMMYFUNCTION("""COMPUTED_VALUE"""),"")</f>
        <v/>
      </c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</row>
    <row r="557">
      <c r="A557" s="198"/>
      <c r="D557" s="198" t="str">
        <f>IFERROR(__xludf.DUMMYFUNCTION("""COMPUTED_VALUE"""),"FALSE")</f>
        <v>FALSE</v>
      </c>
      <c r="E557" s="198" t="str">
        <f>IFERROR(__xludf.DUMMYFUNCTION("""COMPUTED_VALUE"""),"FALSE")</f>
        <v>FALSE</v>
      </c>
      <c r="F557" s="198"/>
      <c r="J557" s="184" t="str">
        <f>IFERROR(__xludf.DUMMYFUNCTION("""COMPUTED_VALUE"""),"")</f>
        <v/>
      </c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</row>
    <row r="558">
      <c r="A558" s="198"/>
      <c r="D558" s="198" t="str">
        <f>IFERROR(__xludf.DUMMYFUNCTION("""COMPUTED_VALUE"""),"FALSE")</f>
        <v>FALSE</v>
      </c>
      <c r="E558" s="198" t="str">
        <f>IFERROR(__xludf.DUMMYFUNCTION("""COMPUTED_VALUE"""),"FALSE")</f>
        <v>FALSE</v>
      </c>
      <c r="F558" s="198"/>
      <c r="J558" s="184" t="str">
        <f>IFERROR(__xludf.DUMMYFUNCTION("""COMPUTED_VALUE"""),"")</f>
        <v/>
      </c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</row>
    <row r="559">
      <c r="A559" s="198"/>
      <c r="D559" s="198" t="str">
        <f>IFERROR(__xludf.DUMMYFUNCTION("""COMPUTED_VALUE"""),"FALSE")</f>
        <v>FALSE</v>
      </c>
      <c r="E559" s="198" t="str">
        <f>IFERROR(__xludf.DUMMYFUNCTION("""COMPUTED_VALUE"""),"FALSE")</f>
        <v>FALSE</v>
      </c>
      <c r="F559" s="198"/>
      <c r="J559" s="184" t="str">
        <f>IFERROR(__xludf.DUMMYFUNCTION("""COMPUTED_VALUE"""),"")</f>
        <v/>
      </c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</row>
    <row r="560">
      <c r="A560" s="198"/>
      <c r="D560" s="198" t="str">
        <f>IFERROR(__xludf.DUMMYFUNCTION("""COMPUTED_VALUE"""),"FALSE")</f>
        <v>FALSE</v>
      </c>
      <c r="E560" s="198" t="str">
        <f>IFERROR(__xludf.DUMMYFUNCTION("""COMPUTED_VALUE"""),"FALSE")</f>
        <v>FALSE</v>
      </c>
      <c r="F560" s="198"/>
      <c r="J560" s="184" t="str">
        <f>IFERROR(__xludf.DUMMYFUNCTION("""COMPUTED_VALUE"""),"")</f>
        <v/>
      </c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</row>
    <row r="561">
      <c r="A561" s="198"/>
      <c r="D561" s="198" t="str">
        <f>IFERROR(__xludf.DUMMYFUNCTION("""COMPUTED_VALUE"""),"FALSE")</f>
        <v>FALSE</v>
      </c>
      <c r="E561" s="198" t="str">
        <f>IFERROR(__xludf.DUMMYFUNCTION("""COMPUTED_VALUE"""),"FALSE")</f>
        <v>FALSE</v>
      </c>
      <c r="F561" s="198"/>
      <c r="J561" s="184" t="str">
        <f>IFERROR(__xludf.DUMMYFUNCTION("""COMPUTED_VALUE"""),"")</f>
        <v/>
      </c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</row>
    <row r="562">
      <c r="A562" s="198"/>
      <c r="D562" s="198" t="str">
        <f>IFERROR(__xludf.DUMMYFUNCTION("""COMPUTED_VALUE"""),"FALSE")</f>
        <v>FALSE</v>
      </c>
      <c r="E562" s="198" t="str">
        <f>IFERROR(__xludf.DUMMYFUNCTION("""COMPUTED_VALUE"""),"FALSE")</f>
        <v>FALSE</v>
      </c>
      <c r="F562" s="198"/>
      <c r="J562" s="184" t="str">
        <f>IFERROR(__xludf.DUMMYFUNCTION("""COMPUTED_VALUE"""),"")</f>
        <v/>
      </c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</row>
    <row r="563">
      <c r="A563" s="198"/>
      <c r="D563" s="198" t="str">
        <f>IFERROR(__xludf.DUMMYFUNCTION("""COMPUTED_VALUE"""),"FALSE")</f>
        <v>FALSE</v>
      </c>
      <c r="E563" s="198" t="str">
        <f>IFERROR(__xludf.DUMMYFUNCTION("""COMPUTED_VALUE"""),"FALSE")</f>
        <v>FALSE</v>
      </c>
      <c r="F563" s="198"/>
      <c r="J563" s="184" t="str">
        <f>IFERROR(__xludf.DUMMYFUNCTION("""COMPUTED_VALUE"""),"")</f>
        <v/>
      </c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</row>
    <row r="564">
      <c r="A564" s="198"/>
      <c r="D564" s="198" t="str">
        <f>IFERROR(__xludf.DUMMYFUNCTION("""COMPUTED_VALUE"""),"FALSE")</f>
        <v>FALSE</v>
      </c>
      <c r="E564" s="198" t="str">
        <f>IFERROR(__xludf.DUMMYFUNCTION("""COMPUTED_VALUE"""),"FALSE")</f>
        <v>FALSE</v>
      </c>
      <c r="F564" s="198"/>
      <c r="J564" s="184" t="str">
        <f>IFERROR(__xludf.DUMMYFUNCTION("""COMPUTED_VALUE"""),"")</f>
        <v/>
      </c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</row>
    <row r="565">
      <c r="A565" s="198"/>
      <c r="D565" s="198" t="str">
        <f>IFERROR(__xludf.DUMMYFUNCTION("""COMPUTED_VALUE"""),"FALSE")</f>
        <v>FALSE</v>
      </c>
      <c r="E565" s="198" t="str">
        <f>IFERROR(__xludf.DUMMYFUNCTION("""COMPUTED_VALUE"""),"FALSE")</f>
        <v>FALSE</v>
      </c>
      <c r="F565" s="198"/>
      <c r="J565" s="184" t="str">
        <f>IFERROR(__xludf.DUMMYFUNCTION("""COMPUTED_VALUE"""),"")</f>
        <v/>
      </c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</row>
    <row r="566">
      <c r="A566" s="198"/>
      <c r="D566" s="198" t="str">
        <f>IFERROR(__xludf.DUMMYFUNCTION("""COMPUTED_VALUE"""),"FALSE")</f>
        <v>FALSE</v>
      </c>
      <c r="E566" s="198" t="str">
        <f>IFERROR(__xludf.DUMMYFUNCTION("""COMPUTED_VALUE"""),"FALSE")</f>
        <v>FALSE</v>
      </c>
      <c r="F566" s="198"/>
      <c r="J566" s="184" t="str">
        <f>IFERROR(__xludf.DUMMYFUNCTION("""COMPUTED_VALUE"""),"")</f>
        <v/>
      </c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</row>
    <row r="567">
      <c r="A567" s="198"/>
      <c r="D567" s="198" t="str">
        <f>IFERROR(__xludf.DUMMYFUNCTION("""COMPUTED_VALUE"""),"FALSE")</f>
        <v>FALSE</v>
      </c>
      <c r="E567" s="198" t="str">
        <f>IFERROR(__xludf.DUMMYFUNCTION("""COMPUTED_VALUE"""),"FALSE")</f>
        <v>FALSE</v>
      </c>
      <c r="F567" s="198"/>
      <c r="J567" s="184" t="str">
        <f>IFERROR(__xludf.DUMMYFUNCTION("""COMPUTED_VALUE"""),"")</f>
        <v/>
      </c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</row>
    <row r="568">
      <c r="A568" s="198"/>
      <c r="D568" s="198" t="str">
        <f>IFERROR(__xludf.DUMMYFUNCTION("""COMPUTED_VALUE"""),"FALSE")</f>
        <v>FALSE</v>
      </c>
      <c r="E568" s="198" t="str">
        <f>IFERROR(__xludf.DUMMYFUNCTION("""COMPUTED_VALUE"""),"FALSE")</f>
        <v>FALSE</v>
      </c>
      <c r="F568" s="198"/>
      <c r="J568" s="184" t="str">
        <f>IFERROR(__xludf.DUMMYFUNCTION("""COMPUTED_VALUE"""),"")</f>
        <v/>
      </c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</row>
    <row r="569">
      <c r="A569" s="198"/>
      <c r="D569" s="198" t="str">
        <f>IFERROR(__xludf.DUMMYFUNCTION("""COMPUTED_VALUE"""),"FALSE")</f>
        <v>FALSE</v>
      </c>
      <c r="E569" s="198" t="str">
        <f>IFERROR(__xludf.DUMMYFUNCTION("""COMPUTED_VALUE"""),"FALSE")</f>
        <v>FALSE</v>
      </c>
      <c r="F569" s="198"/>
      <c r="J569" s="184" t="str">
        <f>IFERROR(__xludf.DUMMYFUNCTION("""COMPUTED_VALUE"""),"")</f>
        <v/>
      </c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</row>
    <row r="570">
      <c r="A570" s="198"/>
      <c r="D570" s="198" t="str">
        <f>IFERROR(__xludf.DUMMYFUNCTION("""COMPUTED_VALUE"""),"FALSE")</f>
        <v>FALSE</v>
      </c>
      <c r="E570" s="198" t="str">
        <f>IFERROR(__xludf.DUMMYFUNCTION("""COMPUTED_VALUE"""),"FALSE")</f>
        <v>FALSE</v>
      </c>
      <c r="F570" s="198"/>
      <c r="J570" s="184" t="str">
        <f>IFERROR(__xludf.DUMMYFUNCTION("""COMPUTED_VALUE"""),"")</f>
        <v/>
      </c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</row>
    <row r="571">
      <c r="A571" s="198"/>
      <c r="D571" s="198" t="str">
        <f>IFERROR(__xludf.DUMMYFUNCTION("""COMPUTED_VALUE"""),"FALSE")</f>
        <v>FALSE</v>
      </c>
      <c r="E571" s="198" t="str">
        <f>IFERROR(__xludf.DUMMYFUNCTION("""COMPUTED_VALUE"""),"FALSE")</f>
        <v>FALSE</v>
      </c>
      <c r="F571" s="198"/>
      <c r="J571" s="184" t="str">
        <f>IFERROR(__xludf.DUMMYFUNCTION("""COMPUTED_VALUE"""),"")</f>
        <v/>
      </c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</row>
    <row r="572">
      <c r="A572" s="198"/>
      <c r="D572" s="198" t="str">
        <f>IFERROR(__xludf.DUMMYFUNCTION("""COMPUTED_VALUE"""),"FALSE")</f>
        <v>FALSE</v>
      </c>
      <c r="E572" s="198" t="str">
        <f>IFERROR(__xludf.DUMMYFUNCTION("""COMPUTED_VALUE"""),"FALSE")</f>
        <v>FALSE</v>
      </c>
      <c r="F572" s="198"/>
      <c r="J572" s="184" t="str">
        <f>IFERROR(__xludf.DUMMYFUNCTION("""COMPUTED_VALUE"""),"")</f>
        <v/>
      </c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</row>
    <row r="573">
      <c r="A573" s="198"/>
      <c r="D573" s="198" t="str">
        <f>IFERROR(__xludf.DUMMYFUNCTION("""COMPUTED_VALUE"""),"FALSE")</f>
        <v>FALSE</v>
      </c>
      <c r="E573" s="198" t="str">
        <f>IFERROR(__xludf.DUMMYFUNCTION("""COMPUTED_VALUE"""),"FALSE")</f>
        <v>FALSE</v>
      </c>
      <c r="F573" s="198"/>
      <c r="J573" s="184" t="str">
        <f>IFERROR(__xludf.DUMMYFUNCTION("""COMPUTED_VALUE"""),"")</f>
        <v/>
      </c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</row>
    <row r="574">
      <c r="A574" s="198"/>
      <c r="D574" s="198" t="str">
        <f>IFERROR(__xludf.DUMMYFUNCTION("""COMPUTED_VALUE"""),"FALSE")</f>
        <v>FALSE</v>
      </c>
      <c r="E574" s="198" t="str">
        <f>IFERROR(__xludf.DUMMYFUNCTION("""COMPUTED_VALUE"""),"FALSE")</f>
        <v>FALSE</v>
      </c>
      <c r="F574" s="198"/>
      <c r="J574" s="184" t="str">
        <f>IFERROR(__xludf.DUMMYFUNCTION("""COMPUTED_VALUE"""),"")</f>
        <v/>
      </c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</row>
    <row r="575">
      <c r="A575" s="198"/>
      <c r="D575" s="198" t="str">
        <f>IFERROR(__xludf.DUMMYFUNCTION("""COMPUTED_VALUE"""),"FALSE")</f>
        <v>FALSE</v>
      </c>
      <c r="E575" s="198" t="str">
        <f>IFERROR(__xludf.DUMMYFUNCTION("""COMPUTED_VALUE"""),"FALSE")</f>
        <v>FALSE</v>
      </c>
      <c r="F575" s="198"/>
      <c r="J575" s="184" t="str">
        <f>IFERROR(__xludf.DUMMYFUNCTION("""COMPUTED_VALUE"""),"")</f>
        <v/>
      </c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</row>
    <row r="576">
      <c r="A576" s="198"/>
      <c r="D576" s="198" t="str">
        <f>IFERROR(__xludf.DUMMYFUNCTION("""COMPUTED_VALUE"""),"FALSE")</f>
        <v>FALSE</v>
      </c>
      <c r="E576" s="198" t="str">
        <f>IFERROR(__xludf.DUMMYFUNCTION("""COMPUTED_VALUE"""),"FALSE")</f>
        <v>FALSE</v>
      </c>
      <c r="F576" s="198"/>
      <c r="J576" s="184" t="str">
        <f>IFERROR(__xludf.DUMMYFUNCTION("""COMPUTED_VALUE"""),"")</f>
        <v/>
      </c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</row>
    <row r="577">
      <c r="A577" s="198"/>
      <c r="D577" s="198" t="str">
        <f>IFERROR(__xludf.DUMMYFUNCTION("""COMPUTED_VALUE"""),"FALSE")</f>
        <v>FALSE</v>
      </c>
      <c r="E577" s="198" t="str">
        <f>IFERROR(__xludf.DUMMYFUNCTION("""COMPUTED_VALUE"""),"FALSE")</f>
        <v>FALSE</v>
      </c>
      <c r="F577" s="198"/>
      <c r="J577" s="184" t="str">
        <f>IFERROR(__xludf.DUMMYFUNCTION("""COMPUTED_VALUE"""),"")</f>
        <v/>
      </c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</row>
    <row r="578">
      <c r="A578" s="198"/>
      <c r="D578" s="198" t="str">
        <f>IFERROR(__xludf.DUMMYFUNCTION("""COMPUTED_VALUE"""),"FALSE")</f>
        <v>FALSE</v>
      </c>
      <c r="E578" s="198" t="str">
        <f>IFERROR(__xludf.DUMMYFUNCTION("""COMPUTED_VALUE"""),"FALSE")</f>
        <v>FALSE</v>
      </c>
      <c r="F578" s="198"/>
      <c r="J578" s="184" t="str">
        <f>IFERROR(__xludf.DUMMYFUNCTION("""COMPUTED_VALUE"""),"")</f>
        <v/>
      </c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</row>
    <row r="579">
      <c r="A579" s="198"/>
      <c r="D579" s="198" t="str">
        <f>IFERROR(__xludf.DUMMYFUNCTION("""COMPUTED_VALUE"""),"FALSE")</f>
        <v>FALSE</v>
      </c>
      <c r="E579" s="198" t="str">
        <f>IFERROR(__xludf.DUMMYFUNCTION("""COMPUTED_VALUE"""),"FALSE")</f>
        <v>FALSE</v>
      </c>
      <c r="F579" s="198"/>
      <c r="J579" s="184" t="str">
        <f>IFERROR(__xludf.DUMMYFUNCTION("""COMPUTED_VALUE"""),"")</f>
        <v/>
      </c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</row>
    <row r="580">
      <c r="A580" s="198"/>
      <c r="D580" s="198" t="str">
        <f>IFERROR(__xludf.DUMMYFUNCTION("""COMPUTED_VALUE"""),"FALSE")</f>
        <v>FALSE</v>
      </c>
      <c r="E580" s="198" t="str">
        <f>IFERROR(__xludf.DUMMYFUNCTION("""COMPUTED_VALUE"""),"FALSE")</f>
        <v>FALSE</v>
      </c>
      <c r="F580" s="198"/>
      <c r="J580" s="184" t="str">
        <f>IFERROR(__xludf.DUMMYFUNCTION("""COMPUTED_VALUE"""),"")</f>
        <v/>
      </c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</row>
    <row r="581">
      <c r="A581" s="198"/>
      <c r="D581" s="198" t="str">
        <f>IFERROR(__xludf.DUMMYFUNCTION("""COMPUTED_VALUE"""),"FALSE")</f>
        <v>FALSE</v>
      </c>
      <c r="E581" s="198" t="str">
        <f>IFERROR(__xludf.DUMMYFUNCTION("""COMPUTED_VALUE"""),"FALSE")</f>
        <v>FALSE</v>
      </c>
      <c r="F581" s="198"/>
      <c r="J581" s="184" t="str">
        <f>IFERROR(__xludf.DUMMYFUNCTION("""COMPUTED_VALUE"""),"")</f>
        <v/>
      </c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</row>
    <row r="582">
      <c r="A582" s="198"/>
      <c r="D582" s="198" t="str">
        <f>IFERROR(__xludf.DUMMYFUNCTION("""COMPUTED_VALUE"""),"FALSE")</f>
        <v>FALSE</v>
      </c>
      <c r="E582" s="198" t="str">
        <f>IFERROR(__xludf.DUMMYFUNCTION("""COMPUTED_VALUE"""),"FALSE")</f>
        <v>FALSE</v>
      </c>
      <c r="F582" s="198"/>
      <c r="J582" s="184" t="str">
        <f>IFERROR(__xludf.DUMMYFUNCTION("""COMPUTED_VALUE"""),"")</f>
        <v/>
      </c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</row>
    <row r="583">
      <c r="A583" s="198"/>
      <c r="D583" s="198" t="str">
        <f>IFERROR(__xludf.DUMMYFUNCTION("""COMPUTED_VALUE"""),"FALSE")</f>
        <v>FALSE</v>
      </c>
      <c r="E583" s="198" t="str">
        <f>IFERROR(__xludf.DUMMYFUNCTION("""COMPUTED_VALUE"""),"FALSE")</f>
        <v>FALSE</v>
      </c>
      <c r="F583" s="198"/>
      <c r="J583" s="184" t="str">
        <f>IFERROR(__xludf.DUMMYFUNCTION("""COMPUTED_VALUE"""),"")</f>
        <v/>
      </c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</row>
    <row r="584">
      <c r="A584" s="198"/>
      <c r="D584" s="198" t="str">
        <f>IFERROR(__xludf.DUMMYFUNCTION("""COMPUTED_VALUE"""),"FALSE")</f>
        <v>FALSE</v>
      </c>
      <c r="E584" s="198" t="str">
        <f>IFERROR(__xludf.DUMMYFUNCTION("""COMPUTED_VALUE"""),"FALSE")</f>
        <v>FALSE</v>
      </c>
      <c r="F584" s="198"/>
      <c r="J584" s="184" t="str">
        <f>IFERROR(__xludf.DUMMYFUNCTION("""COMPUTED_VALUE"""),"")</f>
        <v/>
      </c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</row>
    <row r="585">
      <c r="A585" s="198"/>
      <c r="D585" s="198" t="str">
        <f>IFERROR(__xludf.DUMMYFUNCTION("""COMPUTED_VALUE"""),"FALSE")</f>
        <v>FALSE</v>
      </c>
      <c r="E585" s="198" t="str">
        <f>IFERROR(__xludf.DUMMYFUNCTION("""COMPUTED_VALUE"""),"FALSE")</f>
        <v>FALSE</v>
      </c>
      <c r="F585" s="198"/>
      <c r="J585" s="184" t="str">
        <f>IFERROR(__xludf.DUMMYFUNCTION("""COMPUTED_VALUE"""),"")</f>
        <v/>
      </c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</row>
    <row r="586">
      <c r="A586" s="198"/>
      <c r="D586" s="198" t="str">
        <f>IFERROR(__xludf.DUMMYFUNCTION("""COMPUTED_VALUE"""),"FALSE")</f>
        <v>FALSE</v>
      </c>
      <c r="E586" s="198" t="str">
        <f>IFERROR(__xludf.DUMMYFUNCTION("""COMPUTED_VALUE"""),"FALSE")</f>
        <v>FALSE</v>
      </c>
      <c r="F586" s="198"/>
      <c r="J586" s="184" t="str">
        <f>IFERROR(__xludf.DUMMYFUNCTION("""COMPUTED_VALUE"""),"")</f>
        <v/>
      </c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</row>
    <row r="587">
      <c r="A587" s="198"/>
      <c r="D587" s="198" t="str">
        <f>IFERROR(__xludf.DUMMYFUNCTION("""COMPUTED_VALUE"""),"FALSE")</f>
        <v>FALSE</v>
      </c>
      <c r="E587" s="198" t="str">
        <f>IFERROR(__xludf.DUMMYFUNCTION("""COMPUTED_VALUE"""),"FALSE")</f>
        <v>FALSE</v>
      </c>
      <c r="F587" s="198"/>
      <c r="J587" s="184" t="str">
        <f>IFERROR(__xludf.DUMMYFUNCTION("""COMPUTED_VALUE"""),"")</f>
        <v/>
      </c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</row>
    <row r="588">
      <c r="A588" s="198"/>
      <c r="D588" s="198" t="str">
        <f>IFERROR(__xludf.DUMMYFUNCTION("""COMPUTED_VALUE"""),"FALSE")</f>
        <v>FALSE</v>
      </c>
      <c r="E588" s="198" t="str">
        <f>IFERROR(__xludf.DUMMYFUNCTION("""COMPUTED_VALUE"""),"FALSE")</f>
        <v>FALSE</v>
      </c>
      <c r="F588" s="198"/>
      <c r="J588" s="184" t="str">
        <f>IFERROR(__xludf.DUMMYFUNCTION("""COMPUTED_VALUE"""),"")</f>
        <v/>
      </c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</row>
    <row r="589">
      <c r="A589" s="198"/>
      <c r="D589" s="198" t="str">
        <f>IFERROR(__xludf.DUMMYFUNCTION("""COMPUTED_VALUE"""),"FALSE")</f>
        <v>FALSE</v>
      </c>
      <c r="E589" s="198" t="str">
        <f>IFERROR(__xludf.DUMMYFUNCTION("""COMPUTED_VALUE"""),"FALSE")</f>
        <v>FALSE</v>
      </c>
      <c r="F589" s="198"/>
      <c r="J589" s="184" t="str">
        <f>IFERROR(__xludf.DUMMYFUNCTION("""COMPUTED_VALUE"""),"")</f>
        <v/>
      </c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</row>
    <row r="590">
      <c r="A590" s="198"/>
      <c r="D590" s="198" t="str">
        <f>IFERROR(__xludf.DUMMYFUNCTION("""COMPUTED_VALUE"""),"FALSE")</f>
        <v>FALSE</v>
      </c>
      <c r="E590" s="198" t="str">
        <f>IFERROR(__xludf.DUMMYFUNCTION("""COMPUTED_VALUE"""),"FALSE")</f>
        <v>FALSE</v>
      </c>
      <c r="F590" s="198"/>
      <c r="J590" s="184" t="str">
        <f>IFERROR(__xludf.DUMMYFUNCTION("""COMPUTED_VALUE"""),"")</f>
        <v/>
      </c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</row>
    <row r="591">
      <c r="A591" s="198"/>
      <c r="D591" s="198" t="str">
        <f>IFERROR(__xludf.DUMMYFUNCTION("""COMPUTED_VALUE"""),"FALSE")</f>
        <v>FALSE</v>
      </c>
      <c r="E591" s="198" t="str">
        <f>IFERROR(__xludf.DUMMYFUNCTION("""COMPUTED_VALUE"""),"FALSE")</f>
        <v>FALSE</v>
      </c>
      <c r="F591" s="198"/>
      <c r="J591" s="184" t="str">
        <f>IFERROR(__xludf.DUMMYFUNCTION("""COMPUTED_VALUE"""),"")</f>
        <v/>
      </c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</row>
    <row r="592">
      <c r="A592" s="198"/>
      <c r="D592" s="198" t="str">
        <f>IFERROR(__xludf.DUMMYFUNCTION("""COMPUTED_VALUE"""),"FALSE")</f>
        <v>FALSE</v>
      </c>
      <c r="E592" s="198" t="str">
        <f>IFERROR(__xludf.DUMMYFUNCTION("""COMPUTED_VALUE"""),"FALSE")</f>
        <v>FALSE</v>
      </c>
      <c r="F592" s="198"/>
      <c r="J592" s="184" t="str">
        <f>IFERROR(__xludf.DUMMYFUNCTION("""COMPUTED_VALUE"""),"")</f>
        <v/>
      </c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</row>
    <row r="593">
      <c r="A593" s="198"/>
      <c r="D593" s="198" t="str">
        <f>IFERROR(__xludf.DUMMYFUNCTION("""COMPUTED_VALUE"""),"FALSE")</f>
        <v>FALSE</v>
      </c>
      <c r="E593" s="198" t="str">
        <f>IFERROR(__xludf.DUMMYFUNCTION("""COMPUTED_VALUE"""),"FALSE")</f>
        <v>FALSE</v>
      </c>
      <c r="F593" s="198"/>
      <c r="J593" s="184" t="str">
        <f>IFERROR(__xludf.DUMMYFUNCTION("""COMPUTED_VALUE"""),"")</f>
        <v/>
      </c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</row>
    <row r="594">
      <c r="A594" s="198"/>
      <c r="D594" s="198" t="str">
        <f>IFERROR(__xludf.DUMMYFUNCTION("""COMPUTED_VALUE"""),"FALSE")</f>
        <v>FALSE</v>
      </c>
      <c r="E594" s="198" t="str">
        <f>IFERROR(__xludf.DUMMYFUNCTION("""COMPUTED_VALUE"""),"FALSE")</f>
        <v>FALSE</v>
      </c>
      <c r="F594" s="198"/>
      <c r="J594" s="184" t="str">
        <f>IFERROR(__xludf.DUMMYFUNCTION("""COMPUTED_VALUE"""),"")</f>
        <v/>
      </c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</row>
    <row r="595">
      <c r="A595" s="198"/>
      <c r="D595" s="198" t="str">
        <f>IFERROR(__xludf.DUMMYFUNCTION("""COMPUTED_VALUE"""),"FALSE")</f>
        <v>FALSE</v>
      </c>
      <c r="E595" s="198" t="str">
        <f>IFERROR(__xludf.DUMMYFUNCTION("""COMPUTED_VALUE"""),"FALSE")</f>
        <v>FALSE</v>
      </c>
      <c r="F595" s="198"/>
      <c r="J595" s="184" t="str">
        <f>IFERROR(__xludf.DUMMYFUNCTION("""COMPUTED_VALUE"""),"")</f>
        <v/>
      </c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</row>
    <row r="596">
      <c r="A596" s="198"/>
      <c r="D596" s="198" t="str">
        <f>IFERROR(__xludf.DUMMYFUNCTION("""COMPUTED_VALUE"""),"FALSE")</f>
        <v>FALSE</v>
      </c>
      <c r="E596" s="198" t="str">
        <f>IFERROR(__xludf.DUMMYFUNCTION("""COMPUTED_VALUE"""),"FALSE")</f>
        <v>FALSE</v>
      </c>
      <c r="F596" s="198"/>
      <c r="J596" s="184" t="str">
        <f>IFERROR(__xludf.DUMMYFUNCTION("""COMPUTED_VALUE"""),"")</f>
        <v/>
      </c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</row>
    <row r="597">
      <c r="A597" s="198"/>
      <c r="D597" s="198" t="str">
        <f>IFERROR(__xludf.DUMMYFUNCTION("""COMPUTED_VALUE"""),"FALSE")</f>
        <v>FALSE</v>
      </c>
      <c r="E597" s="198" t="str">
        <f>IFERROR(__xludf.DUMMYFUNCTION("""COMPUTED_VALUE"""),"FALSE")</f>
        <v>FALSE</v>
      </c>
      <c r="F597" s="198"/>
      <c r="J597" s="184" t="str">
        <f>IFERROR(__xludf.DUMMYFUNCTION("""COMPUTED_VALUE"""),"")</f>
        <v/>
      </c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</row>
    <row r="598">
      <c r="A598" s="198"/>
      <c r="D598" s="198" t="str">
        <f>IFERROR(__xludf.DUMMYFUNCTION("""COMPUTED_VALUE"""),"FALSE")</f>
        <v>FALSE</v>
      </c>
      <c r="E598" s="198" t="str">
        <f>IFERROR(__xludf.DUMMYFUNCTION("""COMPUTED_VALUE"""),"FALSE")</f>
        <v>FALSE</v>
      </c>
      <c r="F598" s="198"/>
      <c r="J598" s="184" t="str">
        <f>IFERROR(__xludf.DUMMYFUNCTION("""COMPUTED_VALUE"""),"")</f>
        <v/>
      </c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</row>
    <row r="599">
      <c r="A599" s="198"/>
      <c r="D599" s="198" t="str">
        <f>IFERROR(__xludf.DUMMYFUNCTION("""COMPUTED_VALUE"""),"FALSE")</f>
        <v>FALSE</v>
      </c>
      <c r="E599" s="198" t="str">
        <f>IFERROR(__xludf.DUMMYFUNCTION("""COMPUTED_VALUE"""),"FALSE")</f>
        <v>FALSE</v>
      </c>
      <c r="F599" s="198"/>
      <c r="J599" s="184" t="str">
        <f>IFERROR(__xludf.DUMMYFUNCTION("""COMPUTED_VALUE"""),"")</f>
        <v/>
      </c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</row>
    <row r="600">
      <c r="A600" s="198"/>
      <c r="D600" s="198" t="str">
        <f>IFERROR(__xludf.DUMMYFUNCTION("""COMPUTED_VALUE"""),"FALSE")</f>
        <v>FALSE</v>
      </c>
      <c r="E600" s="198" t="str">
        <f>IFERROR(__xludf.DUMMYFUNCTION("""COMPUTED_VALUE"""),"FALSE")</f>
        <v>FALSE</v>
      </c>
      <c r="F600" s="198"/>
      <c r="J600" s="184" t="str">
        <f>IFERROR(__xludf.DUMMYFUNCTION("""COMPUTED_VALUE"""),"")</f>
        <v/>
      </c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</row>
    <row r="601">
      <c r="A601" s="198"/>
      <c r="D601" s="198" t="str">
        <f>IFERROR(__xludf.DUMMYFUNCTION("""COMPUTED_VALUE"""),"FALSE")</f>
        <v>FALSE</v>
      </c>
      <c r="E601" s="198" t="str">
        <f>IFERROR(__xludf.DUMMYFUNCTION("""COMPUTED_VALUE"""),"FALSE")</f>
        <v>FALSE</v>
      </c>
      <c r="F601" s="198"/>
      <c r="J601" s="184" t="str">
        <f>IFERROR(__xludf.DUMMYFUNCTION("""COMPUTED_VALUE"""),"")</f>
        <v/>
      </c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</row>
    <row r="602">
      <c r="A602" s="198"/>
      <c r="D602" s="198" t="str">
        <f>IFERROR(__xludf.DUMMYFUNCTION("""COMPUTED_VALUE"""),"FALSE")</f>
        <v>FALSE</v>
      </c>
      <c r="E602" s="198" t="str">
        <f>IFERROR(__xludf.DUMMYFUNCTION("""COMPUTED_VALUE"""),"FALSE")</f>
        <v>FALSE</v>
      </c>
      <c r="F602" s="198"/>
      <c r="J602" s="184" t="str">
        <f>IFERROR(__xludf.DUMMYFUNCTION("""COMPUTED_VALUE"""),"")</f>
        <v/>
      </c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</row>
    <row r="603">
      <c r="A603" s="198"/>
      <c r="D603" s="198" t="str">
        <f>IFERROR(__xludf.DUMMYFUNCTION("""COMPUTED_VALUE"""),"FALSE")</f>
        <v>FALSE</v>
      </c>
      <c r="E603" s="198" t="str">
        <f>IFERROR(__xludf.DUMMYFUNCTION("""COMPUTED_VALUE"""),"FALSE")</f>
        <v>FALSE</v>
      </c>
      <c r="F603" s="198"/>
      <c r="J603" s="184" t="str">
        <f>IFERROR(__xludf.DUMMYFUNCTION("""COMPUTED_VALUE"""),"")</f>
        <v/>
      </c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</row>
    <row r="604">
      <c r="A604" s="198"/>
      <c r="D604" s="198" t="str">
        <f>IFERROR(__xludf.DUMMYFUNCTION("""COMPUTED_VALUE"""),"FALSE")</f>
        <v>FALSE</v>
      </c>
      <c r="E604" s="198" t="str">
        <f>IFERROR(__xludf.DUMMYFUNCTION("""COMPUTED_VALUE"""),"FALSE")</f>
        <v>FALSE</v>
      </c>
      <c r="F604" s="198"/>
      <c r="J604" s="184" t="str">
        <f>IFERROR(__xludf.DUMMYFUNCTION("""COMPUTED_VALUE"""),"")</f>
        <v/>
      </c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</row>
    <row r="605">
      <c r="A605" s="198"/>
      <c r="D605" s="198" t="str">
        <f>IFERROR(__xludf.DUMMYFUNCTION("""COMPUTED_VALUE"""),"FALSE")</f>
        <v>FALSE</v>
      </c>
      <c r="E605" s="198" t="str">
        <f>IFERROR(__xludf.DUMMYFUNCTION("""COMPUTED_VALUE"""),"FALSE")</f>
        <v>FALSE</v>
      </c>
      <c r="F605" s="198"/>
      <c r="J605" s="184" t="str">
        <f>IFERROR(__xludf.DUMMYFUNCTION("""COMPUTED_VALUE"""),"")</f>
        <v/>
      </c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</row>
    <row r="606">
      <c r="A606" s="198"/>
      <c r="D606" s="198" t="str">
        <f>IFERROR(__xludf.DUMMYFUNCTION("""COMPUTED_VALUE"""),"FALSE")</f>
        <v>FALSE</v>
      </c>
      <c r="E606" s="198" t="str">
        <f>IFERROR(__xludf.DUMMYFUNCTION("""COMPUTED_VALUE"""),"FALSE")</f>
        <v>FALSE</v>
      </c>
      <c r="F606" s="198"/>
      <c r="J606" s="184" t="str">
        <f>IFERROR(__xludf.DUMMYFUNCTION("""COMPUTED_VALUE"""),"")</f>
        <v/>
      </c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</row>
    <row r="607">
      <c r="A607" s="198"/>
      <c r="D607" s="198" t="str">
        <f>IFERROR(__xludf.DUMMYFUNCTION("""COMPUTED_VALUE"""),"FALSE")</f>
        <v>FALSE</v>
      </c>
      <c r="E607" s="198" t="str">
        <f>IFERROR(__xludf.DUMMYFUNCTION("""COMPUTED_VALUE"""),"FALSE")</f>
        <v>FALSE</v>
      </c>
      <c r="F607" s="198"/>
      <c r="J607" s="184" t="str">
        <f>IFERROR(__xludf.DUMMYFUNCTION("""COMPUTED_VALUE"""),"")</f>
        <v/>
      </c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</row>
    <row r="608">
      <c r="A608" s="198"/>
      <c r="D608" s="198" t="str">
        <f>IFERROR(__xludf.DUMMYFUNCTION("""COMPUTED_VALUE"""),"FALSE")</f>
        <v>FALSE</v>
      </c>
      <c r="E608" s="198" t="str">
        <f>IFERROR(__xludf.DUMMYFUNCTION("""COMPUTED_VALUE"""),"FALSE")</f>
        <v>FALSE</v>
      </c>
      <c r="F608" s="198"/>
      <c r="J608" s="184" t="str">
        <f>IFERROR(__xludf.DUMMYFUNCTION("""COMPUTED_VALUE"""),"")</f>
        <v/>
      </c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</row>
    <row r="609">
      <c r="A609" s="198"/>
      <c r="D609" s="198" t="str">
        <f>IFERROR(__xludf.DUMMYFUNCTION("""COMPUTED_VALUE"""),"FALSE")</f>
        <v>FALSE</v>
      </c>
      <c r="E609" s="198" t="str">
        <f>IFERROR(__xludf.DUMMYFUNCTION("""COMPUTED_VALUE"""),"FALSE")</f>
        <v>FALSE</v>
      </c>
      <c r="F609" s="198"/>
      <c r="J609" s="184" t="str">
        <f>IFERROR(__xludf.DUMMYFUNCTION("""COMPUTED_VALUE"""),"")</f>
        <v/>
      </c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</row>
    <row r="610">
      <c r="A610" s="198"/>
      <c r="D610" s="198" t="str">
        <f>IFERROR(__xludf.DUMMYFUNCTION("""COMPUTED_VALUE"""),"FALSE")</f>
        <v>FALSE</v>
      </c>
      <c r="E610" s="198" t="str">
        <f>IFERROR(__xludf.DUMMYFUNCTION("""COMPUTED_VALUE"""),"FALSE")</f>
        <v>FALSE</v>
      </c>
      <c r="F610" s="198"/>
      <c r="J610" s="184" t="str">
        <f>IFERROR(__xludf.DUMMYFUNCTION("""COMPUTED_VALUE"""),"")</f>
        <v/>
      </c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</row>
    <row r="611">
      <c r="A611" s="198"/>
      <c r="D611" s="198" t="str">
        <f>IFERROR(__xludf.DUMMYFUNCTION("""COMPUTED_VALUE"""),"FALSE")</f>
        <v>FALSE</v>
      </c>
      <c r="E611" s="198" t="str">
        <f>IFERROR(__xludf.DUMMYFUNCTION("""COMPUTED_VALUE"""),"FALSE")</f>
        <v>FALSE</v>
      </c>
      <c r="F611" s="198"/>
      <c r="J611" s="184" t="str">
        <f>IFERROR(__xludf.DUMMYFUNCTION("""COMPUTED_VALUE"""),"")</f>
        <v/>
      </c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</row>
    <row r="612">
      <c r="A612" s="198"/>
      <c r="D612" s="198" t="str">
        <f>IFERROR(__xludf.DUMMYFUNCTION("""COMPUTED_VALUE"""),"FALSE")</f>
        <v>FALSE</v>
      </c>
      <c r="E612" s="198" t="str">
        <f>IFERROR(__xludf.DUMMYFUNCTION("""COMPUTED_VALUE"""),"FALSE")</f>
        <v>FALSE</v>
      </c>
      <c r="F612" s="198"/>
      <c r="J612" s="184" t="str">
        <f>IFERROR(__xludf.DUMMYFUNCTION("""COMPUTED_VALUE"""),"")</f>
        <v/>
      </c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</row>
    <row r="613">
      <c r="A613" s="198"/>
      <c r="D613" s="198" t="str">
        <f>IFERROR(__xludf.DUMMYFUNCTION("""COMPUTED_VALUE"""),"FALSE")</f>
        <v>FALSE</v>
      </c>
      <c r="E613" s="198" t="str">
        <f>IFERROR(__xludf.DUMMYFUNCTION("""COMPUTED_VALUE"""),"FALSE")</f>
        <v>FALSE</v>
      </c>
      <c r="F613" s="198"/>
      <c r="J613" s="184" t="str">
        <f>IFERROR(__xludf.DUMMYFUNCTION("""COMPUTED_VALUE"""),"")</f>
        <v/>
      </c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</row>
    <row r="614">
      <c r="A614" s="198"/>
      <c r="D614" s="198" t="str">
        <f>IFERROR(__xludf.DUMMYFUNCTION("""COMPUTED_VALUE"""),"FALSE")</f>
        <v>FALSE</v>
      </c>
      <c r="E614" s="198" t="str">
        <f>IFERROR(__xludf.DUMMYFUNCTION("""COMPUTED_VALUE"""),"FALSE")</f>
        <v>FALSE</v>
      </c>
      <c r="F614" s="198"/>
      <c r="J614" s="184" t="str">
        <f>IFERROR(__xludf.DUMMYFUNCTION("""COMPUTED_VALUE"""),"")</f>
        <v/>
      </c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</row>
    <row r="615">
      <c r="A615" s="198"/>
      <c r="D615" s="198" t="str">
        <f>IFERROR(__xludf.DUMMYFUNCTION("""COMPUTED_VALUE"""),"FALSE")</f>
        <v>FALSE</v>
      </c>
      <c r="E615" s="198" t="str">
        <f>IFERROR(__xludf.DUMMYFUNCTION("""COMPUTED_VALUE"""),"FALSE")</f>
        <v>FALSE</v>
      </c>
      <c r="F615" s="198"/>
      <c r="J615" s="184" t="str">
        <f>IFERROR(__xludf.DUMMYFUNCTION("""COMPUTED_VALUE"""),"")</f>
        <v/>
      </c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</row>
    <row r="616">
      <c r="A616" s="198"/>
      <c r="D616" s="198" t="str">
        <f>IFERROR(__xludf.DUMMYFUNCTION("""COMPUTED_VALUE"""),"FALSE")</f>
        <v>FALSE</v>
      </c>
      <c r="E616" s="198" t="str">
        <f>IFERROR(__xludf.DUMMYFUNCTION("""COMPUTED_VALUE"""),"FALSE")</f>
        <v>FALSE</v>
      </c>
      <c r="F616" s="198"/>
      <c r="J616" s="184" t="str">
        <f>IFERROR(__xludf.DUMMYFUNCTION("""COMPUTED_VALUE"""),"")</f>
        <v/>
      </c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</row>
    <row r="617">
      <c r="A617" s="198"/>
      <c r="D617" s="198" t="str">
        <f>IFERROR(__xludf.DUMMYFUNCTION("""COMPUTED_VALUE"""),"FALSE")</f>
        <v>FALSE</v>
      </c>
      <c r="E617" s="198" t="str">
        <f>IFERROR(__xludf.DUMMYFUNCTION("""COMPUTED_VALUE"""),"FALSE")</f>
        <v>FALSE</v>
      </c>
      <c r="F617" s="198"/>
      <c r="J617" s="184" t="str">
        <f>IFERROR(__xludf.DUMMYFUNCTION("""COMPUTED_VALUE"""),"")</f>
        <v/>
      </c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</row>
    <row r="618">
      <c r="A618" s="198"/>
      <c r="D618" s="198" t="str">
        <f>IFERROR(__xludf.DUMMYFUNCTION("""COMPUTED_VALUE"""),"FALSE")</f>
        <v>FALSE</v>
      </c>
      <c r="E618" s="198" t="str">
        <f>IFERROR(__xludf.DUMMYFUNCTION("""COMPUTED_VALUE"""),"FALSE")</f>
        <v>FALSE</v>
      </c>
      <c r="F618" s="198"/>
      <c r="J618" s="184" t="str">
        <f>IFERROR(__xludf.DUMMYFUNCTION("""COMPUTED_VALUE"""),"")</f>
        <v/>
      </c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</row>
    <row r="619">
      <c r="A619" s="198"/>
      <c r="D619" s="198" t="str">
        <f>IFERROR(__xludf.DUMMYFUNCTION("""COMPUTED_VALUE"""),"FALSE")</f>
        <v>FALSE</v>
      </c>
      <c r="E619" s="198" t="str">
        <f>IFERROR(__xludf.DUMMYFUNCTION("""COMPUTED_VALUE"""),"FALSE")</f>
        <v>FALSE</v>
      </c>
      <c r="F619" s="198"/>
      <c r="J619" s="184" t="str">
        <f>IFERROR(__xludf.DUMMYFUNCTION("""COMPUTED_VALUE"""),"")</f>
        <v/>
      </c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</row>
    <row r="620">
      <c r="A620" s="198"/>
      <c r="D620" s="198" t="str">
        <f>IFERROR(__xludf.DUMMYFUNCTION("""COMPUTED_VALUE"""),"FALSE")</f>
        <v>FALSE</v>
      </c>
      <c r="E620" s="198" t="str">
        <f>IFERROR(__xludf.DUMMYFUNCTION("""COMPUTED_VALUE"""),"FALSE")</f>
        <v>FALSE</v>
      </c>
      <c r="F620" s="198"/>
      <c r="J620" s="184" t="str">
        <f>IFERROR(__xludf.DUMMYFUNCTION("""COMPUTED_VALUE"""),"")</f>
        <v/>
      </c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</row>
    <row r="621">
      <c r="A621" s="198"/>
      <c r="D621" s="198" t="str">
        <f>IFERROR(__xludf.DUMMYFUNCTION("""COMPUTED_VALUE"""),"FALSE")</f>
        <v>FALSE</v>
      </c>
      <c r="E621" s="198" t="str">
        <f>IFERROR(__xludf.DUMMYFUNCTION("""COMPUTED_VALUE"""),"FALSE")</f>
        <v>FALSE</v>
      </c>
      <c r="F621" s="198"/>
      <c r="J621" s="184" t="str">
        <f>IFERROR(__xludf.DUMMYFUNCTION("""COMPUTED_VALUE"""),"")</f>
        <v/>
      </c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</row>
    <row r="622">
      <c r="A622" s="198"/>
      <c r="D622" s="198" t="str">
        <f>IFERROR(__xludf.DUMMYFUNCTION("""COMPUTED_VALUE"""),"FALSE")</f>
        <v>FALSE</v>
      </c>
      <c r="E622" s="198" t="str">
        <f>IFERROR(__xludf.DUMMYFUNCTION("""COMPUTED_VALUE"""),"FALSE")</f>
        <v>FALSE</v>
      </c>
      <c r="F622" s="198"/>
      <c r="J622" s="184" t="str">
        <f>IFERROR(__xludf.DUMMYFUNCTION("""COMPUTED_VALUE"""),"")</f>
        <v/>
      </c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</row>
    <row r="623">
      <c r="A623" s="198"/>
      <c r="D623" s="198" t="str">
        <f>IFERROR(__xludf.DUMMYFUNCTION("""COMPUTED_VALUE"""),"FALSE")</f>
        <v>FALSE</v>
      </c>
      <c r="E623" s="198" t="str">
        <f>IFERROR(__xludf.DUMMYFUNCTION("""COMPUTED_VALUE"""),"FALSE")</f>
        <v>FALSE</v>
      </c>
      <c r="F623" s="198"/>
      <c r="J623" s="184" t="str">
        <f>IFERROR(__xludf.DUMMYFUNCTION("""COMPUTED_VALUE"""),"")</f>
        <v/>
      </c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</row>
    <row r="624">
      <c r="A624" s="198"/>
      <c r="D624" s="198" t="str">
        <f>IFERROR(__xludf.DUMMYFUNCTION("""COMPUTED_VALUE"""),"FALSE")</f>
        <v>FALSE</v>
      </c>
      <c r="E624" s="198" t="str">
        <f>IFERROR(__xludf.DUMMYFUNCTION("""COMPUTED_VALUE"""),"FALSE")</f>
        <v>FALSE</v>
      </c>
      <c r="F624" s="198"/>
      <c r="J624" s="184" t="str">
        <f>IFERROR(__xludf.DUMMYFUNCTION("""COMPUTED_VALUE"""),"")</f>
        <v/>
      </c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</row>
    <row r="625">
      <c r="A625" s="198"/>
      <c r="D625" s="198" t="str">
        <f>IFERROR(__xludf.DUMMYFUNCTION("""COMPUTED_VALUE"""),"FALSE")</f>
        <v>FALSE</v>
      </c>
      <c r="E625" s="198" t="str">
        <f>IFERROR(__xludf.DUMMYFUNCTION("""COMPUTED_VALUE"""),"FALSE")</f>
        <v>FALSE</v>
      </c>
      <c r="F625" s="198"/>
      <c r="J625" s="184" t="str">
        <f>IFERROR(__xludf.DUMMYFUNCTION("""COMPUTED_VALUE"""),"")</f>
        <v/>
      </c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</row>
    <row r="626">
      <c r="A626" s="198"/>
      <c r="D626" s="198" t="str">
        <f>IFERROR(__xludf.DUMMYFUNCTION("""COMPUTED_VALUE"""),"FALSE")</f>
        <v>FALSE</v>
      </c>
      <c r="E626" s="198" t="str">
        <f>IFERROR(__xludf.DUMMYFUNCTION("""COMPUTED_VALUE"""),"FALSE")</f>
        <v>FALSE</v>
      </c>
      <c r="F626" s="198"/>
      <c r="J626" s="184" t="str">
        <f>IFERROR(__xludf.DUMMYFUNCTION("""COMPUTED_VALUE"""),"")</f>
        <v/>
      </c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</row>
    <row r="627">
      <c r="A627" s="198"/>
      <c r="D627" s="198" t="str">
        <f>IFERROR(__xludf.DUMMYFUNCTION("""COMPUTED_VALUE"""),"FALSE")</f>
        <v>FALSE</v>
      </c>
      <c r="E627" s="198" t="str">
        <f>IFERROR(__xludf.DUMMYFUNCTION("""COMPUTED_VALUE"""),"FALSE")</f>
        <v>FALSE</v>
      </c>
      <c r="F627" s="198"/>
      <c r="J627" s="184" t="str">
        <f>IFERROR(__xludf.DUMMYFUNCTION("""COMPUTED_VALUE"""),"")</f>
        <v/>
      </c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</row>
    <row r="628">
      <c r="A628" s="198"/>
      <c r="D628" s="198" t="str">
        <f>IFERROR(__xludf.DUMMYFUNCTION("""COMPUTED_VALUE"""),"FALSE")</f>
        <v>FALSE</v>
      </c>
      <c r="E628" s="198" t="str">
        <f>IFERROR(__xludf.DUMMYFUNCTION("""COMPUTED_VALUE"""),"FALSE")</f>
        <v>FALSE</v>
      </c>
      <c r="F628" s="198"/>
      <c r="J628" s="184" t="str">
        <f>IFERROR(__xludf.DUMMYFUNCTION("""COMPUTED_VALUE"""),"")</f>
        <v/>
      </c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</row>
    <row r="629">
      <c r="A629" s="198"/>
      <c r="D629" s="198" t="str">
        <f>IFERROR(__xludf.DUMMYFUNCTION("""COMPUTED_VALUE"""),"FALSE")</f>
        <v>FALSE</v>
      </c>
      <c r="E629" s="198" t="str">
        <f>IFERROR(__xludf.DUMMYFUNCTION("""COMPUTED_VALUE"""),"FALSE")</f>
        <v>FALSE</v>
      </c>
      <c r="F629" s="198"/>
      <c r="J629" s="184" t="str">
        <f>IFERROR(__xludf.DUMMYFUNCTION("""COMPUTED_VALUE"""),"")</f>
        <v/>
      </c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</row>
    <row r="630">
      <c r="A630" s="198"/>
      <c r="D630" s="198" t="str">
        <f>IFERROR(__xludf.DUMMYFUNCTION("""COMPUTED_VALUE"""),"FALSE")</f>
        <v>FALSE</v>
      </c>
      <c r="E630" s="198" t="str">
        <f>IFERROR(__xludf.DUMMYFUNCTION("""COMPUTED_VALUE"""),"FALSE")</f>
        <v>FALSE</v>
      </c>
      <c r="F630" s="198"/>
      <c r="J630" s="184" t="str">
        <f>IFERROR(__xludf.DUMMYFUNCTION("""COMPUTED_VALUE"""),"")</f>
        <v/>
      </c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</row>
    <row r="631">
      <c r="A631" s="198"/>
      <c r="D631" s="198" t="str">
        <f>IFERROR(__xludf.DUMMYFUNCTION("""COMPUTED_VALUE"""),"FALSE")</f>
        <v>FALSE</v>
      </c>
      <c r="E631" s="198" t="str">
        <f>IFERROR(__xludf.DUMMYFUNCTION("""COMPUTED_VALUE"""),"FALSE")</f>
        <v>FALSE</v>
      </c>
      <c r="F631" s="198"/>
      <c r="J631" s="184" t="str">
        <f>IFERROR(__xludf.DUMMYFUNCTION("""COMPUTED_VALUE"""),"")</f>
        <v/>
      </c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</row>
    <row r="632">
      <c r="A632" s="198"/>
      <c r="D632" s="198" t="str">
        <f>IFERROR(__xludf.DUMMYFUNCTION("""COMPUTED_VALUE"""),"FALSE")</f>
        <v>FALSE</v>
      </c>
      <c r="E632" s="198" t="str">
        <f>IFERROR(__xludf.DUMMYFUNCTION("""COMPUTED_VALUE"""),"FALSE")</f>
        <v>FALSE</v>
      </c>
      <c r="F632" s="198"/>
      <c r="J632" s="184" t="str">
        <f>IFERROR(__xludf.DUMMYFUNCTION("""COMPUTED_VALUE"""),"")</f>
        <v/>
      </c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</row>
    <row r="633">
      <c r="A633" s="198"/>
      <c r="D633" s="198" t="str">
        <f>IFERROR(__xludf.DUMMYFUNCTION("""COMPUTED_VALUE"""),"FALSE")</f>
        <v>FALSE</v>
      </c>
      <c r="E633" s="198" t="str">
        <f>IFERROR(__xludf.DUMMYFUNCTION("""COMPUTED_VALUE"""),"FALSE")</f>
        <v>FALSE</v>
      </c>
      <c r="F633" s="198"/>
      <c r="J633" s="184" t="str">
        <f>IFERROR(__xludf.DUMMYFUNCTION("""COMPUTED_VALUE"""),"")</f>
        <v/>
      </c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</row>
    <row r="634">
      <c r="A634" s="198"/>
      <c r="D634" s="198" t="str">
        <f>IFERROR(__xludf.DUMMYFUNCTION("""COMPUTED_VALUE"""),"FALSE")</f>
        <v>FALSE</v>
      </c>
      <c r="E634" s="198" t="str">
        <f>IFERROR(__xludf.DUMMYFUNCTION("""COMPUTED_VALUE"""),"FALSE")</f>
        <v>FALSE</v>
      </c>
      <c r="F634" s="198"/>
      <c r="J634" s="184" t="str">
        <f>IFERROR(__xludf.DUMMYFUNCTION("""COMPUTED_VALUE"""),"")</f>
        <v/>
      </c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</row>
    <row r="635">
      <c r="A635" s="198"/>
      <c r="D635" s="198" t="str">
        <f>IFERROR(__xludf.DUMMYFUNCTION("""COMPUTED_VALUE"""),"FALSE")</f>
        <v>FALSE</v>
      </c>
      <c r="E635" s="198" t="str">
        <f>IFERROR(__xludf.DUMMYFUNCTION("""COMPUTED_VALUE"""),"FALSE")</f>
        <v>FALSE</v>
      </c>
      <c r="F635" s="198"/>
      <c r="J635" s="184" t="str">
        <f>IFERROR(__xludf.DUMMYFUNCTION("""COMPUTED_VALUE"""),"")</f>
        <v/>
      </c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</row>
    <row r="636">
      <c r="A636" s="198"/>
      <c r="D636" s="198" t="str">
        <f>IFERROR(__xludf.DUMMYFUNCTION("""COMPUTED_VALUE"""),"FALSE")</f>
        <v>FALSE</v>
      </c>
      <c r="E636" s="198" t="str">
        <f>IFERROR(__xludf.DUMMYFUNCTION("""COMPUTED_VALUE"""),"FALSE")</f>
        <v>FALSE</v>
      </c>
      <c r="F636" s="198"/>
      <c r="J636" s="184" t="str">
        <f>IFERROR(__xludf.DUMMYFUNCTION("""COMPUTED_VALUE"""),"")</f>
        <v/>
      </c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</row>
    <row r="637">
      <c r="A637" s="198"/>
      <c r="D637" s="198" t="str">
        <f>IFERROR(__xludf.DUMMYFUNCTION("""COMPUTED_VALUE"""),"FALSE")</f>
        <v>FALSE</v>
      </c>
      <c r="E637" s="198" t="str">
        <f>IFERROR(__xludf.DUMMYFUNCTION("""COMPUTED_VALUE"""),"FALSE")</f>
        <v>FALSE</v>
      </c>
      <c r="F637" s="198"/>
      <c r="J637" s="184" t="str">
        <f>IFERROR(__xludf.DUMMYFUNCTION("""COMPUTED_VALUE"""),"")</f>
        <v/>
      </c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</row>
    <row r="638">
      <c r="A638" s="198"/>
      <c r="D638" s="198" t="str">
        <f>IFERROR(__xludf.DUMMYFUNCTION("""COMPUTED_VALUE"""),"FALSE")</f>
        <v>FALSE</v>
      </c>
      <c r="E638" s="198" t="str">
        <f>IFERROR(__xludf.DUMMYFUNCTION("""COMPUTED_VALUE"""),"FALSE")</f>
        <v>FALSE</v>
      </c>
      <c r="F638" s="198"/>
      <c r="J638" s="184" t="str">
        <f>IFERROR(__xludf.DUMMYFUNCTION("""COMPUTED_VALUE"""),"")</f>
        <v/>
      </c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</row>
    <row r="639">
      <c r="A639" s="198"/>
      <c r="D639" s="198" t="str">
        <f>IFERROR(__xludf.DUMMYFUNCTION("""COMPUTED_VALUE"""),"FALSE")</f>
        <v>FALSE</v>
      </c>
      <c r="E639" s="198" t="str">
        <f>IFERROR(__xludf.DUMMYFUNCTION("""COMPUTED_VALUE"""),"FALSE")</f>
        <v>FALSE</v>
      </c>
      <c r="F639" s="198"/>
      <c r="J639" s="184" t="str">
        <f>IFERROR(__xludf.DUMMYFUNCTION("""COMPUTED_VALUE"""),"")</f>
        <v/>
      </c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</row>
    <row r="640">
      <c r="A640" s="198"/>
      <c r="D640" s="198" t="str">
        <f>IFERROR(__xludf.DUMMYFUNCTION("""COMPUTED_VALUE"""),"FALSE")</f>
        <v>FALSE</v>
      </c>
      <c r="E640" s="198" t="str">
        <f>IFERROR(__xludf.DUMMYFUNCTION("""COMPUTED_VALUE"""),"FALSE")</f>
        <v>FALSE</v>
      </c>
      <c r="F640" s="198"/>
      <c r="J640" s="184" t="str">
        <f>IFERROR(__xludf.DUMMYFUNCTION("""COMPUTED_VALUE"""),"")</f>
        <v/>
      </c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</row>
    <row r="641">
      <c r="A641" s="198"/>
      <c r="D641" s="198" t="str">
        <f>IFERROR(__xludf.DUMMYFUNCTION("""COMPUTED_VALUE"""),"FALSE")</f>
        <v>FALSE</v>
      </c>
      <c r="E641" s="198" t="str">
        <f>IFERROR(__xludf.DUMMYFUNCTION("""COMPUTED_VALUE"""),"FALSE")</f>
        <v>FALSE</v>
      </c>
      <c r="F641" s="198"/>
      <c r="J641" s="184" t="str">
        <f>IFERROR(__xludf.DUMMYFUNCTION("""COMPUTED_VALUE"""),"")</f>
        <v/>
      </c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</row>
    <row r="642">
      <c r="A642" s="198"/>
      <c r="D642" s="198" t="str">
        <f>IFERROR(__xludf.DUMMYFUNCTION("""COMPUTED_VALUE"""),"FALSE")</f>
        <v>FALSE</v>
      </c>
      <c r="E642" s="198" t="str">
        <f>IFERROR(__xludf.DUMMYFUNCTION("""COMPUTED_VALUE"""),"FALSE")</f>
        <v>FALSE</v>
      </c>
      <c r="F642" s="198"/>
      <c r="J642" s="184" t="str">
        <f>IFERROR(__xludf.DUMMYFUNCTION("""COMPUTED_VALUE"""),"")</f>
        <v/>
      </c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</row>
    <row r="643">
      <c r="A643" s="198"/>
      <c r="D643" s="198" t="str">
        <f>IFERROR(__xludf.DUMMYFUNCTION("""COMPUTED_VALUE"""),"FALSE")</f>
        <v>FALSE</v>
      </c>
      <c r="E643" s="198" t="str">
        <f>IFERROR(__xludf.DUMMYFUNCTION("""COMPUTED_VALUE"""),"FALSE")</f>
        <v>FALSE</v>
      </c>
      <c r="F643" s="198"/>
      <c r="J643" s="184" t="str">
        <f>IFERROR(__xludf.DUMMYFUNCTION("""COMPUTED_VALUE"""),"")</f>
        <v/>
      </c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</row>
    <row r="644">
      <c r="A644" s="198"/>
      <c r="D644" s="198" t="str">
        <f>IFERROR(__xludf.DUMMYFUNCTION("""COMPUTED_VALUE"""),"FALSE")</f>
        <v>FALSE</v>
      </c>
      <c r="E644" s="198" t="str">
        <f>IFERROR(__xludf.DUMMYFUNCTION("""COMPUTED_VALUE"""),"FALSE")</f>
        <v>FALSE</v>
      </c>
      <c r="F644" s="198"/>
      <c r="J644" s="184" t="str">
        <f>IFERROR(__xludf.DUMMYFUNCTION("""COMPUTED_VALUE"""),"")</f>
        <v/>
      </c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</row>
    <row r="645">
      <c r="A645" s="198"/>
      <c r="D645" s="198" t="str">
        <f>IFERROR(__xludf.DUMMYFUNCTION("""COMPUTED_VALUE"""),"FALSE")</f>
        <v>FALSE</v>
      </c>
      <c r="E645" s="198" t="str">
        <f>IFERROR(__xludf.DUMMYFUNCTION("""COMPUTED_VALUE"""),"FALSE")</f>
        <v>FALSE</v>
      </c>
      <c r="F645" s="198"/>
      <c r="J645" s="184" t="str">
        <f>IFERROR(__xludf.DUMMYFUNCTION("""COMPUTED_VALUE"""),"")</f>
        <v/>
      </c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</row>
    <row r="646">
      <c r="A646" s="198"/>
      <c r="D646" s="198" t="str">
        <f>IFERROR(__xludf.DUMMYFUNCTION("""COMPUTED_VALUE"""),"FALSE")</f>
        <v>FALSE</v>
      </c>
      <c r="E646" s="198" t="str">
        <f>IFERROR(__xludf.DUMMYFUNCTION("""COMPUTED_VALUE"""),"FALSE")</f>
        <v>FALSE</v>
      </c>
      <c r="F646" s="198"/>
      <c r="J646" s="184" t="str">
        <f>IFERROR(__xludf.DUMMYFUNCTION("""COMPUTED_VALUE"""),"")</f>
        <v/>
      </c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</row>
    <row r="647">
      <c r="A647" s="198"/>
      <c r="D647" s="198" t="str">
        <f>IFERROR(__xludf.DUMMYFUNCTION("""COMPUTED_VALUE"""),"FALSE")</f>
        <v>FALSE</v>
      </c>
      <c r="E647" s="198" t="str">
        <f>IFERROR(__xludf.DUMMYFUNCTION("""COMPUTED_VALUE"""),"FALSE")</f>
        <v>FALSE</v>
      </c>
      <c r="F647" s="198"/>
      <c r="J647" s="184" t="str">
        <f>IFERROR(__xludf.DUMMYFUNCTION("""COMPUTED_VALUE"""),"")</f>
        <v/>
      </c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</row>
    <row r="648">
      <c r="A648" s="198"/>
      <c r="D648" s="198" t="str">
        <f>IFERROR(__xludf.DUMMYFUNCTION("""COMPUTED_VALUE"""),"FALSE")</f>
        <v>FALSE</v>
      </c>
      <c r="E648" s="198" t="str">
        <f>IFERROR(__xludf.DUMMYFUNCTION("""COMPUTED_VALUE"""),"FALSE")</f>
        <v>FALSE</v>
      </c>
      <c r="F648" s="198"/>
      <c r="J648" s="184" t="str">
        <f>IFERROR(__xludf.DUMMYFUNCTION("""COMPUTED_VALUE"""),"")</f>
        <v/>
      </c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</row>
    <row r="649">
      <c r="A649" s="198"/>
      <c r="D649" s="198" t="str">
        <f>IFERROR(__xludf.DUMMYFUNCTION("""COMPUTED_VALUE"""),"FALSE")</f>
        <v>FALSE</v>
      </c>
      <c r="E649" s="198" t="str">
        <f>IFERROR(__xludf.DUMMYFUNCTION("""COMPUTED_VALUE"""),"FALSE")</f>
        <v>FALSE</v>
      </c>
      <c r="F649" s="198"/>
      <c r="J649" s="184" t="str">
        <f>IFERROR(__xludf.DUMMYFUNCTION("""COMPUTED_VALUE"""),"")</f>
        <v/>
      </c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</row>
    <row r="650">
      <c r="A650" s="198"/>
      <c r="D650" s="198" t="str">
        <f>IFERROR(__xludf.DUMMYFUNCTION("""COMPUTED_VALUE"""),"FALSE")</f>
        <v>FALSE</v>
      </c>
      <c r="E650" s="198" t="str">
        <f>IFERROR(__xludf.DUMMYFUNCTION("""COMPUTED_VALUE"""),"FALSE")</f>
        <v>FALSE</v>
      </c>
      <c r="F650" s="198"/>
      <c r="J650" s="184" t="str">
        <f>IFERROR(__xludf.DUMMYFUNCTION("""COMPUTED_VALUE"""),"")</f>
        <v/>
      </c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</row>
    <row r="651">
      <c r="A651" s="198"/>
      <c r="D651" s="198" t="str">
        <f>IFERROR(__xludf.DUMMYFUNCTION("""COMPUTED_VALUE"""),"FALSE")</f>
        <v>FALSE</v>
      </c>
      <c r="E651" s="198" t="str">
        <f>IFERROR(__xludf.DUMMYFUNCTION("""COMPUTED_VALUE"""),"FALSE")</f>
        <v>FALSE</v>
      </c>
      <c r="F651" s="198"/>
      <c r="J651" s="184" t="str">
        <f>IFERROR(__xludf.DUMMYFUNCTION("""COMPUTED_VALUE"""),"")</f>
        <v/>
      </c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</row>
    <row r="652">
      <c r="A652" s="198"/>
      <c r="D652" s="198" t="str">
        <f>IFERROR(__xludf.DUMMYFUNCTION("""COMPUTED_VALUE"""),"FALSE")</f>
        <v>FALSE</v>
      </c>
      <c r="E652" s="198" t="str">
        <f>IFERROR(__xludf.DUMMYFUNCTION("""COMPUTED_VALUE"""),"FALSE")</f>
        <v>FALSE</v>
      </c>
      <c r="F652" s="198"/>
      <c r="J652" s="184" t="str">
        <f>IFERROR(__xludf.DUMMYFUNCTION("""COMPUTED_VALUE"""),"")</f>
        <v/>
      </c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</row>
    <row r="653">
      <c r="A653" s="198"/>
      <c r="D653" s="198" t="str">
        <f>IFERROR(__xludf.DUMMYFUNCTION("""COMPUTED_VALUE"""),"FALSE")</f>
        <v>FALSE</v>
      </c>
      <c r="E653" s="198" t="str">
        <f>IFERROR(__xludf.DUMMYFUNCTION("""COMPUTED_VALUE"""),"FALSE")</f>
        <v>FALSE</v>
      </c>
      <c r="F653" s="198"/>
      <c r="J653" s="184" t="str">
        <f>IFERROR(__xludf.DUMMYFUNCTION("""COMPUTED_VALUE"""),"")</f>
        <v/>
      </c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</row>
    <row r="654">
      <c r="A654" s="198"/>
      <c r="D654" s="198" t="str">
        <f>IFERROR(__xludf.DUMMYFUNCTION("""COMPUTED_VALUE"""),"FALSE")</f>
        <v>FALSE</v>
      </c>
      <c r="E654" s="198" t="str">
        <f>IFERROR(__xludf.DUMMYFUNCTION("""COMPUTED_VALUE"""),"FALSE")</f>
        <v>FALSE</v>
      </c>
      <c r="F654" s="198"/>
      <c r="J654" s="184" t="str">
        <f>IFERROR(__xludf.DUMMYFUNCTION("""COMPUTED_VALUE"""),"")</f>
        <v/>
      </c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</row>
    <row r="655">
      <c r="A655" s="198"/>
      <c r="D655" s="198" t="str">
        <f>IFERROR(__xludf.DUMMYFUNCTION("""COMPUTED_VALUE"""),"FALSE")</f>
        <v>FALSE</v>
      </c>
      <c r="E655" s="198" t="str">
        <f>IFERROR(__xludf.DUMMYFUNCTION("""COMPUTED_VALUE"""),"FALSE")</f>
        <v>FALSE</v>
      </c>
      <c r="F655" s="198"/>
      <c r="J655" s="184" t="str">
        <f>IFERROR(__xludf.DUMMYFUNCTION("""COMPUTED_VALUE"""),"")</f>
        <v/>
      </c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</row>
    <row r="656">
      <c r="A656" s="198"/>
      <c r="D656" s="198" t="str">
        <f>IFERROR(__xludf.DUMMYFUNCTION("""COMPUTED_VALUE"""),"FALSE")</f>
        <v>FALSE</v>
      </c>
      <c r="E656" s="198" t="str">
        <f>IFERROR(__xludf.DUMMYFUNCTION("""COMPUTED_VALUE"""),"FALSE")</f>
        <v>FALSE</v>
      </c>
      <c r="F656" s="198"/>
      <c r="J656" s="184" t="str">
        <f>IFERROR(__xludf.DUMMYFUNCTION("""COMPUTED_VALUE"""),"")</f>
        <v/>
      </c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</row>
    <row r="657">
      <c r="A657" s="198"/>
      <c r="D657" s="198" t="str">
        <f>IFERROR(__xludf.DUMMYFUNCTION("""COMPUTED_VALUE"""),"FALSE")</f>
        <v>FALSE</v>
      </c>
      <c r="E657" s="198" t="str">
        <f>IFERROR(__xludf.DUMMYFUNCTION("""COMPUTED_VALUE"""),"FALSE")</f>
        <v>FALSE</v>
      </c>
      <c r="F657" s="198"/>
      <c r="J657" s="184" t="str">
        <f>IFERROR(__xludf.DUMMYFUNCTION("""COMPUTED_VALUE"""),"")</f>
        <v/>
      </c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</row>
    <row r="658">
      <c r="A658" s="198"/>
      <c r="D658" s="198" t="str">
        <f>IFERROR(__xludf.DUMMYFUNCTION("""COMPUTED_VALUE"""),"FALSE")</f>
        <v>FALSE</v>
      </c>
      <c r="E658" s="198" t="str">
        <f>IFERROR(__xludf.DUMMYFUNCTION("""COMPUTED_VALUE"""),"FALSE")</f>
        <v>FALSE</v>
      </c>
      <c r="F658" s="198"/>
      <c r="J658" s="184" t="str">
        <f>IFERROR(__xludf.DUMMYFUNCTION("""COMPUTED_VALUE"""),"")</f>
        <v/>
      </c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</row>
    <row r="659">
      <c r="A659" s="198"/>
      <c r="D659" s="198" t="str">
        <f>IFERROR(__xludf.DUMMYFUNCTION("""COMPUTED_VALUE"""),"FALSE")</f>
        <v>FALSE</v>
      </c>
      <c r="E659" s="198" t="str">
        <f>IFERROR(__xludf.DUMMYFUNCTION("""COMPUTED_VALUE"""),"FALSE")</f>
        <v>FALSE</v>
      </c>
      <c r="F659" s="198"/>
      <c r="J659" s="184" t="str">
        <f>IFERROR(__xludf.DUMMYFUNCTION("""COMPUTED_VALUE"""),"")</f>
        <v/>
      </c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</row>
    <row r="660">
      <c r="A660" s="198"/>
      <c r="D660" s="198" t="str">
        <f>IFERROR(__xludf.DUMMYFUNCTION("""COMPUTED_VALUE"""),"FALSE")</f>
        <v>FALSE</v>
      </c>
      <c r="E660" s="198" t="str">
        <f>IFERROR(__xludf.DUMMYFUNCTION("""COMPUTED_VALUE"""),"FALSE")</f>
        <v>FALSE</v>
      </c>
      <c r="F660" s="198"/>
      <c r="J660" s="184" t="str">
        <f>IFERROR(__xludf.DUMMYFUNCTION("""COMPUTED_VALUE"""),"")</f>
        <v/>
      </c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</row>
    <row r="661">
      <c r="A661" s="198"/>
      <c r="D661" s="198" t="str">
        <f>IFERROR(__xludf.DUMMYFUNCTION("""COMPUTED_VALUE"""),"FALSE")</f>
        <v>FALSE</v>
      </c>
      <c r="E661" s="198" t="str">
        <f>IFERROR(__xludf.DUMMYFUNCTION("""COMPUTED_VALUE"""),"FALSE")</f>
        <v>FALSE</v>
      </c>
      <c r="F661" s="198"/>
      <c r="J661" s="184" t="str">
        <f>IFERROR(__xludf.DUMMYFUNCTION("""COMPUTED_VALUE"""),"")</f>
        <v/>
      </c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</row>
    <row r="662">
      <c r="A662" s="198"/>
      <c r="D662" s="198" t="str">
        <f>IFERROR(__xludf.DUMMYFUNCTION("""COMPUTED_VALUE"""),"FALSE")</f>
        <v>FALSE</v>
      </c>
      <c r="E662" s="198" t="str">
        <f>IFERROR(__xludf.DUMMYFUNCTION("""COMPUTED_VALUE"""),"FALSE")</f>
        <v>FALSE</v>
      </c>
      <c r="F662" s="198"/>
      <c r="J662" s="184" t="str">
        <f>IFERROR(__xludf.DUMMYFUNCTION("""COMPUTED_VALUE"""),"")</f>
        <v/>
      </c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</row>
    <row r="663">
      <c r="A663" s="198"/>
      <c r="D663" s="198" t="str">
        <f>IFERROR(__xludf.DUMMYFUNCTION("""COMPUTED_VALUE"""),"FALSE")</f>
        <v>FALSE</v>
      </c>
      <c r="E663" s="198" t="str">
        <f>IFERROR(__xludf.DUMMYFUNCTION("""COMPUTED_VALUE"""),"FALSE")</f>
        <v>FALSE</v>
      </c>
      <c r="F663" s="198"/>
      <c r="J663" s="184" t="str">
        <f>IFERROR(__xludf.DUMMYFUNCTION("""COMPUTED_VALUE"""),"")</f>
        <v/>
      </c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</row>
    <row r="664">
      <c r="A664" s="198"/>
      <c r="D664" s="198" t="str">
        <f>IFERROR(__xludf.DUMMYFUNCTION("""COMPUTED_VALUE"""),"FALSE")</f>
        <v>FALSE</v>
      </c>
      <c r="E664" s="198" t="str">
        <f>IFERROR(__xludf.DUMMYFUNCTION("""COMPUTED_VALUE"""),"FALSE")</f>
        <v>FALSE</v>
      </c>
      <c r="F664" s="198"/>
      <c r="J664" s="184" t="str">
        <f>IFERROR(__xludf.DUMMYFUNCTION("""COMPUTED_VALUE"""),"")</f>
        <v/>
      </c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</row>
    <row r="665">
      <c r="A665" s="198"/>
      <c r="D665" s="198" t="str">
        <f>IFERROR(__xludf.DUMMYFUNCTION("""COMPUTED_VALUE"""),"FALSE")</f>
        <v>FALSE</v>
      </c>
      <c r="E665" s="198" t="str">
        <f>IFERROR(__xludf.DUMMYFUNCTION("""COMPUTED_VALUE"""),"FALSE")</f>
        <v>FALSE</v>
      </c>
      <c r="F665" s="198"/>
      <c r="J665" s="184" t="str">
        <f>IFERROR(__xludf.DUMMYFUNCTION("""COMPUTED_VALUE"""),"")</f>
        <v/>
      </c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</row>
    <row r="666">
      <c r="A666" s="198"/>
      <c r="D666" s="198" t="str">
        <f>IFERROR(__xludf.DUMMYFUNCTION("""COMPUTED_VALUE"""),"FALSE")</f>
        <v>FALSE</v>
      </c>
      <c r="E666" s="198" t="str">
        <f>IFERROR(__xludf.DUMMYFUNCTION("""COMPUTED_VALUE"""),"FALSE")</f>
        <v>FALSE</v>
      </c>
      <c r="F666" s="198"/>
      <c r="J666" s="184" t="str">
        <f>IFERROR(__xludf.DUMMYFUNCTION("""COMPUTED_VALUE"""),"")</f>
        <v/>
      </c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</row>
    <row r="667">
      <c r="A667" s="198"/>
      <c r="D667" s="198" t="str">
        <f>IFERROR(__xludf.DUMMYFUNCTION("""COMPUTED_VALUE"""),"FALSE")</f>
        <v>FALSE</v>
      </c>
      <c r="E667" s="198" t="str">
        <f>IFERROR(__xludf.DUMMYFUNCTION("""COMPUTED_VALUE"""),"FALSE")</f>
        <v>FALSE</v>
      </c>
      <c r="F667" s="198"/>
      <c r="J667" s="184" t="str">
        <f>IFERROR(__xludf.DUMMYFUNCTION("""COMPUTED_VALUE"""),"")</f>
        <v/>
      </c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</row>
    <row r="668">
      <c r="A668" s="198"/>
      <c r="D668" s="198" t="str">
        <f>IFERROR(__xludf.DUMMYFUNCTION("""COMPUTED_VALUE"""),"FALSE")</f>
        <v>FALSE</v>
      </c>
      <c r="E668" s="198" t="str">
        <f>IFERROR(__xludf.DUMMYFUNCTION("""COMPUTED_VALUE"""),"FALSE")</f>
        <v>FALSE</v>
      </c>
      <c r="F668" s="198"/>
      <c r="J668" s="184" t="str">
        <f>IFERROR(__xludf.DUMMYFUNCTION("""COMPUTED_VALUE"""),"")</f>
        <v/>
      </c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</row>
    <row r="669">
      <c r="A669" s="198"/>
      <c r="D669" s="198" t="str">
        <f>IFERROR(__xludf.DUMMYFUNCTION("""COMPUTED_VALUE"""),"FALSE")</f>
        <v>FALSE</v>
      </c>
      <c r="E669" s="198" t="str">
        <f>IFERROR(__xludf.DUMMYFUNCTION("""COMPUTED_VALUE"""),"FALSE")</f>
        <v>FALSE</v>
      </c>
      <c r="F669" s="198"/>
      <c r="J669" s="184" t="str">
        <f>IFERROR(__xludf.DUMMYFUNCTION("""COMPUTED_VALUE"""),"")</f>
        <v/>
      </c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</row>
    <row r="670">
      <c r="A670" s="198"/>
      <c r="D670" s="198" t="str">
        <f>IFERROR(__xludf.DUMMYFUNCTION("""COMPUTED_VALUE"""),"FALSE")</f>
        <v>FALSE</v>
      </c>
      <c r="E670" s="198" t="str">
        <f>IFERROR(__xludf.DUMMYFUNCTION("""COMPUTED_VALUE"""),"FALSE")</f>
        <v>FALSE</v>
      </c>
      <c r="F670" s="198"/>
      <c r="J670" s="184" t="str">
        <f>IFERROR(__xludf.DUMMYFUNCTION("""COMPUTED_VALUE"""),"")</f>
        <v/>
      </c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</row>
    <row r="671">
      <c r="A671" s="198"/>
      <c r="D671" s="198" t="str">
        <f>IFERROR(__xludf.DUMMYFUNCTION("""COMPUTED_VALUE"""),"FALSE")</f>
        <v>FALSE</v>
      </c>
      <c r="E671" s="198" t="str">
        <f>IFERROR(__xludf.DUMMYFUNCTION("""COMPUTED_VALUE"""),"FALSE")</f>
        <v>FALSE</v>
      </c>
      <c r="F671" s="198"/>
      <c r="J671" s="184" t="str">
        <f>IFERROR(__xludf.DUMMYFUNCTION("""COMPUTED_VALUE"""),"")</f>
        <v/>
      </c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</row>
    <row r="672">
      <c r="A672" s="198"/>
      <c r="D672" s="198" t="str">
        <f>IFERROR(__xludf.DUMMYFUNCTION("""COMPUTED_VALUE"""),"FALSE")</f>
        <v>FALSE</v>
      </c>
      <c r="E672" s="198" t="str">
        <f>IFERROR(__xludf.DUMMYFUNCTION("""COMPUTED_VALUE"""),"FALSE")</f>
        <v>FALSE</v>
      </c>
      <c r="F672" s="198"/>
      <c r="J672" s="184" t="str">
        <f>IFERROR(__xludf.DUMMYFUNCTION("""COMPUTED_VALUE"""),"")</f>
        <v/>
      </c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</row>
    <row r="673">
      <c r="A673" s="198"/>
      <c r="D673" s="198" t="str">
        <f>IFERROR(__xludf.DUMMYFUNCTION("""COMPUTED_VALUE"""),"FALSE")</f>
        <v>FALSE</v>
      </c>
      <c r="E673" s="198" t="str">
        <f>IFERROR(__xludf.DUMMYFUNCTION("""COMPUTED_VALUE"""),"FALSE")</f>
        <v>FALSE</v>
      </c>
      <c r="F673" s="198"/>
      <c r="J673" s="184" t="str">
        <f>IFERROR(__xludf.DUMMYFUNCTION("""COMPUTED_VALUE"""),"")</f>
        <v/>
      </c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</row>
    <row r="674">
      <c r="A674" s="198"/>
      <c r="D674" s="198" t="str">
        <f>IFERROR(__xludf.DUMMYFUNCTION("""COMPUTED_VALUE"""),"FALSE")</f>
        <v>FALSE</v>
      </c>
      <c r="E674" s="198" t="str">
        <f>IFERROR(__xludf.DUMMYFUNCTION("""COMPUTED_VALUE"""),"FALSE")</f>
        <v>FALSE</v>
      </c>
      <c r="F674" s="198"/>
      <c r="J674" s="184" t="str">
        <f>IFERROR(__xludf.DUMMYFUNCTION("""COMPUTED_VALUE"""),"")</f>
        <v/>
      </c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</row>
    <row r="675">
      <c r="A675" s="198"/>
      <c r="D675" s="198" t="str">
        <f>IFERROR(__xludf.DUMMYFUNCTION("""COMPUTED_VALUE"""),"FALSE")</f>
        <v>FALSE</v>
      </c>
      <c r="E675" s="198" t="str">
        <f>IFERROR(__xludf.DUMMYFUNCTION("""COMPUTED_VALUE"""),"FALSE")</f>
        <v>FALSE</v>
      </c>
      <c r="F675" s="198"/>
      <c r="J675" s="184" t="str">
        <f>IFERROR(__xludf.DUMMYFUNCTION("""COMPUTED_VALUE"""),"")</f>
        <v/>
      </c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</row>
    <row r="676">
      <c r="A676" s="198"/>
      <c r="D676" s="198" t="str">
        <f>IFERROR(__xludf.DUMMYFUNCTION("""COMPUTED_VALUE"""),"FALSE")</f>
        <v>FALSE</v>
      </c>
      <c r="E676" s="198" t="str">
        <f>IFERROR(__xludf.DUMMYFUNCTION("""COMPUTED_VALUE"""),"FALSE")</f>
        <v>FALSE</v>
      </c>
      <c r="F676" s="198"/>
      <c r="J676" s="184" t="str">
        <f>IFERROR(__xludf.DUMMYFUNCTION("""COMPUTED_VALUE"""),"")</f>
        <v/>
      </c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</row>
    <row r="677">
      <c r="A677" s="198"/>
      <c r="D677" s="198" t="str">
        <f>IFERROR(__xludf.DUMMYFUNCTION("""COMPUTED_VALUE"""),"FALSE")</f>
        <v>FALSE</v>
      </c>
      <c r="E677" s="198" t="str">
        <f>IFERROR(__xludf.DUMMYFUNCTION("""COMPUTED_VALUE"""),"FALSE")</f>
        <v>FALSE</v>
      </c>
      <c r="F677" s="198"/>
      <c r="J677" s="184" t="str">
        <f>IFERROR(__xludf.DUMMYFUNCTION("""COMPUTED_VALUE"""),"")</f>
        <v/>
      </c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</row>
    <row r="678">
      <c r="A678" s="198"/>
      <c r="D678" s="198" t="str">
        <f>IFERROR(__xludf.DUMMYFUNCTION("""COMPUTED_VALUE"""),"FALSE")</f>
        <v>FALSE</v>
      </c>
      <c r="E678" s="198" t="str">
        <f>IFERROR(__xludf.DUMMYFUNCTION("""COMPUTED_VALUE"""),"FALSE")</f>
        <v>FALSE</v>
      </c>
      <c r="F678" s="198"/>
      <c r="J678" s="184" t="str">
        <f>IFERROR(__xludf.DUMMYFUNCTION("""COMPUTED_VALUE"""),"")</f>
        <v/>
      </c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</row>
    <row r="679">
      <c r="A679" s="198"/>
      <c r="D679" s="198" t="str">
        <f>IFERROR(__xludf.DUMMYFUNCTION("""COMPUTED_VALUE"""),"FALSE")</f>
        <v>FALSE</v>
      </c>
      <c r="E679" s="198" t="str">
        <f>IFERROR(__xludf.DUMMYFUNCTION("""COMPUTED_VALUE"""),"FALSE")</f>
        <v>FALSE</v>
      </c>
      <c r="F679" s="198"/>
      <c r="J679" s="184" t="str">
        <f>IFERROR(__xludf.DUMMYFUNCTION("""COMPUTED_VALUE"""),"")</f>
        <v/>
      </c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</row>
    <row r="680">
      <c r="A680" s="198"/>
      <c r="D680" s="198" t="str">
        <f>IFERROR(__xludf.DUMMYFUNCTION("""COMPUTED_VALUE"""),"FALSE")</f>
        <v>FALSE</v>
      </c>
      <c r="E680" s="198" t="str">
        <f>IFERROR(__xludf.DUMMYFUNCTION("""COMPUTED_VALUE"""),"FALSE")</f>
        <v>FALSE</v>
      </c>
      <c r="F680" s="198"/>
      <c r="J680" s="184" t="str">
        <f>IFERROR(__xludf.DUMMYFUNCTION("""COMPUTED_VALUE"""),"")</f>
        <v/>
      </c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</row>
    <row r="681">
      <c r="A681" s="198"/>
      <c r="D681" s="198" t="str">
        <f>IFERROR(__xludf.DUMMYFUNCTION("""COMPUTED_VALUE"""),"FALSE")</f>
        <v>FALSE</v>
      </c>
      <c r="E681" s="198" t="str">
        <f>IFERROR(__xludf.DUMMYFUNCTION("""COMPUTED_VALUE"""),"FALSE")</f>
        <v>FALSE</v>
      </c>
      <c r="F681" s="198"/>
      <c r="J681" s="184" t="str">
        <f>IFERROR(__xludf.DUMMYFUNCTION("""COMPUTED_VALUE"""),"")</f>
        <v/>
      </c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</row>
    <row r="682">
      <c r="A682" s="198"/>
      <c r="D682" s="198" t="str">
        <f>IFERROR(__xludf.DUMMYFUNCTION("""COMPUTED_VALUE"""),"FALSE")</f>
        <v>FALSE</v>
      </c>
      <c r="E682" s="198" t="str">
        <f>IFERROR(__xludf.DUMMYFUNCTION("""COMPUTED_VALUE"""),"FALSE")</f>
        <v>FALSE</v>
      </c>
      <c r="F682" s="198"/>
      <c r="J682" s="184" t="str">
        <f>IFERROR(__xludf.DUMMYFUNCTION("""COMPUTED_VALUE"""),"")</f>
        <v/>
      </c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</row>
    <row r="683">
      <c r="A683" s="198"/>
      <c r="D683" s="198" t="str">
        <f>IFERROR(__xludf.DUMMYFUNCTION("""COMPUTED_VALUE"""),"FALSE")</f>
        <v>FALSE</v>
      </c>
      <c r="E683" s="198" t="str">
        <f>IFERROR(__xludf.DUMMYFUNCTION("""COMPUTED_VALUE"""),"FALSE")</f>
        <v>FALSE</v>
      </c>
      <c r="F683" s="198"/>
      <c r="J683" s="184" t="str">
        <f>IFERROR(__xludf.DUMMYFUNCTION("""COMPUTED_VALUE"""),"")</f>
        <v/>
      </c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</row>
    <row r="684">
      <c r="A684" s="198"/>
      <c r="D684" s="198" t="str">
        <f>IFERROR(__xludf.DUMMYFUNCTION("""COMPUTED_VALUE"""),"FALSE")</f>
        <v>FALSE</v>
      </c>
      <c r="E684" s="198" t="str">
        <f>IFERROR(__xludf.DUMMYFUNCTION("""COMPUTED_VALUE"""),"FALSE")</f>
        <v>FALSE</v>
      </c>
      <c r="F684" s="198"/>
      <c r="J684" s="184" t="str">
        <f>IFERROR(__xludf.DUMMYFUNCTION("""COMPUTED_VALUE"""),"")</f>
        <v/>
      </c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</row>
    <row r="685">
      <c r="A685" s="198"/>
      <c r="D685" s="198" t="str">
        <f>IFERROR(__xludf.DUMMYFUNCTION("""COMPUTED_VALUE"""),"FALSE")</f>
        <v>FALSE</v>
      </c>
      <c r="E685" s="198" t="str">
        <f>IFERROR(__xludf.DUMMYFUNCTION("""COMPUTED_VALUE"""),"FALSE")</f>
        <v>FALSE</v>
      </c>
      <c r="F685" s="198"/>
      <c r="J685" s="184" t="str">
        <f>IFERROR(__xludf.DUMMYFUNCTION("""COMPUTED_VALUE"""),"")</f>
        <v/>
      </c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</row>
    <row r="686">
      <c r="A686" s="198"/>
      <c r="D686" s="198" t="str">
        <f>IFERROR(__xludf.DUMMYFUNCTION("""COMPUTED_VALUE"""),"FALSE")</f>
        <v>FALSE</v>
      </c>
      <c r="E686" s="198" t="str">
        <f>IFERROR(__xludf.DUMMYFUNCTION("""COMPUTED_VALUE"""),"FALSE")</f>
        <v>FALSE</v>
      </c>
      <c r="F686" s="198"/>
      <c r="J686" s="184" t="str">
        <f>IFERROR(__xludf.DUMMYFUNCTION("""COMPUTED_VALUE"""),"")</f>
        <v/>
      </c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</row>
    <row r="687">
      <c r="A687" s="198"/>
      <c r="D687" s="198" t="str">
        <f>IFERROR(__xludf.DUMMYFUNCTION("""COMPUTED_VALUE"""),"FALSE")</f>
        <v>FALSE</v>
      </c>
      <c r="E687" s="198" t="str">
        <f>IFERROR(__xludf.DUMMYFUNCTION("""COMPUTED_VALUE"""),"FALSE")</f>
        <v>FALSE</v>
      </c>
      <c r="F687" s="198"/>
      <c r="J687" s="184" t="str">
        <f>IFERROR(__xludf.DUMMYFUNCTION("""COMPUTED_VALUE"""),"")</f>
        <v/>
      </c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</row>
    <row r="688">
      <c r="A688" s="198"/>
      <c r="D688" s="198" t="str">
        <f>IFERROR(__xludf.DUMMYFUNCTION("""COMPUTED_VALUE"""),"FALSE")</f>
        <v>FALSE</v>
      </c>
      <c r="E688" s="198" t="str">
        <f>IFERROR(__xludf.DUMMYFUNCTION("""COMPUTED_VALUE"""),"FALSE")</f>
        <v>FALSE</v>
      </c>
      <c r="F688" s="198"/>
      <c r="J688" s="184" t="str">
        <f>IFERROR(__xludf.DUMMYFUNCTION("""COMPUTED_VALUE"""),"")</f>
        <v/>
      </c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</row>
    <row r="689">
      <c r="A689" s="198"/>
      <c r="D689" s="198" t="str">
        <f>IFERROR(__xludf.DUMMYFUNCTION("""COMPUTED_VALUE"""),"FALSE")</f>
        <v>FALSE</v>
      </c>
      <c r="E689" s="198" t="str">
        <f>IFERROR(__xludf.DUMMYFUNCTION("""COMPUTED_VALUE"""),"FALSE")</f>
        <v>FALSE</v>
      </c>
      <c r="F689" s="198"/>
      <c r="J689" s="184" t="str">
        <f>IFERROR(__xludf.DUMMYFUNCTION("""COMPUTED_VALUE"""),"")</f>
        <v/>
      </c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</row>
    <row r="690">
      <c r="A690" s="198"/>
      <c r="D690" s="198" t="str">
        <f>IFERROR(__xludf.DUMMYFUNCTION("""COMPUTED_VALUE"""),"FALSE")</f>
        <v>FALSE</v>
      </c>
      <c r="E690" s="198" t="str">
        <f>IFERROR(__xludf.DUMMYFUNCTION("""COMPUTED_VALUE"""),"FALSE")</f>
        <v>FALSE</v>
      </c>
      <c r="F690" s="198"/>
      <c r="J690" s="184" t="str">
        <f>IFERROR(__xludf.DUMMYFUNCTION("""COMPUTED_VALUE"""),"")</f>
        <v/>
      </c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</row>
    <row r="691">
      <c r="A691" s="198"/>
      <c r="D691" s="198" t="str">
        <f>IFERROR(__xludf.DUMMYFUNCTION("""COMPUTED_VALUE"""),"FALSE")</f>
        <v>FALSE</v>
      </c>
      <c r="E691" s="198" t="str">
        <f>IFERROR(__xludf.DUMMYFUNCTION("""COMPUTED_VALUE"""),"FALSE")</f>
        <v>FALSE</v>
      </c>
      <c r="F691" s="198"/>
      <c r="J691" s="184" t="str">
        <f>IFERROR(__xludf.DUMMYFUNCTION("""COMPUTED_VALUE"""),"")</f>
        <v/>
      </c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</row>
    <row r="692">
      <c r="A692" s="198"/>
      <c r="D692" s="198" t="str">
        <f>IFERROR(__xludf.DUMMYFUNCTION("""COMPUTED_VALUE"""),"FALSE")</f>
        <v>FALSE</v>
      </c>
      <c r="E692" s="198" t="str">
        <f>IFERROR(__xludf.DUMMYFUNCTION("""COMPUTED_VALUE"""),"FALSE")</f>
        <v>FALSE</v>
      </c>
      <c r="F692" s="198"/>
      <c r="J692" s="184" t="str">
        <f>IFERROR(__xludf.DUMMYFUNCTION("""COMPUTED_VALUE"""),"")</f>
        <v/>
      </c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</row>
    <row r="693">
      <c r="A693" s="198"/>
      <c r="D693" s="198" t="str">
        <f>IFERROR(__xludf.DUMMYFUNCTION("""COMPUTED_VALUE"""),"FALSE")</f>
        <v>FALSE</v>
      </c>
      <c r="E693" s="198" t="str">
        <f>IFERROR(__xludf.DUMMYFUNCTION("""COMPUTED_VALUE"""),"FALSE")</f>
        <v>FALSE</v>
      </c>
      <c r="F693" s="198"/>
      <c r="J693" s="184" t="str">
        <f>IFERROR(__xludf.DUMMYFUNCTION("""COMPUTED_VALUE"""),"")</f>
        <v/>
      </c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</row>
    <row r="694">
      <c r="A694" s="198"/>
      <c r="D694" s="198" t="str">
        <f>IFERROR(__xludf.DUMMYFUNCTION("""COMPUTED_VALUE"""),"FALSE")</f>
        <v>FALSE</v>
      </c>
      <c r="E694" s="198" t="str">
        <f>IFERROR(__xludf.DUMMYFUNCTION("""COMPUTED_VALUE"""),"FALSE")</f>
        <v>FALSE</v>
      </c>
      <c r="F694" s="198"/>
      <c r="J694" s="184" t="str">
        <f>IFERROR(__xludf.DUMMYFUNCTION("""COMPUTED_VALUE"""),"")</f>
        <v/>
      </c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</row>
    <row r="695">
      <c r="A695" s="198"/>
      <c r="D695" s="198" t="str">
        <f>IFERROR(__xludf.DUMMYFUNCTION("""COMPUTED_VALUE"""),"FALSE")</f>
        <v>FALSE</v>
      </c>
      <c r="E695" s="198" t="str">
        <f>IFERROR(__xludf.DUMMYFUNCTION("""COMPUTED_VALUE"""),"FALSE")</f>
        <v>FALSE</v>
      </c>
      <c r="F695" s="198"/>
      <c r="J695" s="184" t="str">
        <f>IFERROR(__xludf.DUMMYFUNCTION("""COMPUTED_VALUE"""),"")</f>
        <v/>
      </c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</row>
    <row r="696">
      <c r="A696" s="198"/>
      <c r="D696" s="198" t="str">
        <f>IFERROR(__xludf.DUMMYFUNCTION("""COMPUTED_VALUE"""),"FALSE")</f>
        <v>FALSE</v>
      </c>
      <c r="E696" s="198" t="str">
        <f>IFERROR(__xludf.DUMMYFUNCTION("""COMPUTED_VALUE"""),"FALSE")</f>
        <v>FALSE</v>
      </c>
      <c r="F696" s="198"/>
      <c r="J696" s="184" t="str">
        <f>IFERROR(__xludf.DUMMYFUNCTION("""COMPUTED_VALUE"""),"")</f>
        <v/>
      </c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</row>
    <row r="697">
      <c r="A697" s="198"/>
      <c r="D697" s="198" t="str">
        <f>IFERROR(__xludf.DUMMYFUNCTION("""COMPUTED_VALUE"""),"FALSE")</f>
        <v>FALSE</v>
      </c>
      <c r="E697" s="198" t="str">
        <f>IFERROR(__xludf.DUMMYFUNCTION("""COMPUTED_VALUE"""),"FALSE")</f>
        <v>FALSE</v>
      </c>
      <c r="F697" s="198"/>
      <c r="J697" s="184" t="str">
        <f>IFERROR(__xludf.DUMMYFUNCTION("""COMPUTED_VALUE"""),"")</f>
        <v/>
      </c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</row>
    <row r="698">
      <c r="A698" s="198"/>
      <c r="D698" s="198" t="str">
        <f>IFERROR(__xludf.DUMMYFUNCTION("""COMPUTED_VALUE"""),"FALSE")</f>
        <v>FALSE</v>
      </c>
      <c r="E698" s="198" t="str">
        <f>IFERROR(__xludf.DUMMYFUNCTION("""COMPUTED_VALUE"""),"FALSE")</f>
        <v>FALSE</v>
      </c>
      <c r="F698" s="198"/>
      <c r="J698" s="184" t="str">
        <f>IFERROR(__xludf.DUMMYFUNCTION("""COMPUTED_VALUE"""),"")</f>
        <v/>
      </c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</row>
    <row r="699">
      <c r="A699" s="198"/>
      <c r="D699" s="198" t="str">
        <f>IFERROR(__xludf.DUMMYFUNCTION("""COMPUTED_VALUE"""),"FALSE")</f>
        <v>FALSE</v>
      </c>
      <c r="E699" s="198" t="str">
        <f>IFERROR(__xludf.DUMMYFUNCTION("""COMPUTED_VALUE"""),"FALSE")</f>
        <v>FALSE</v>
      </c>
      <c r="F699" s="198"/>
      <c r="J699" s="184" t="str">
        <f>IFERROR(__xludf.DUMMYFUNCTION("""COMPUTED_VALUE"""),"")</f>
        <v/>
      </c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</row>
    <row r="700">
      <c r="A700" s="198"/>
      <c r="D700" s="198" t="str">
        <f>IFERROR(__xludf.DUMMYFUNCTION("""COMPUTED_VALUE"""),"FALSE")</f>
        <v>FALSE</v>
      </c>
      <c r="E700" s="198" t="str">
        <f>IFERROR(__xludf.DUMMYFUNCTION("""COMPUTED_VALUE"""),"FALSE")</f>
        <v>FALSE</v>
      </c>
      <c r="F700" s="198"/>
      <c r="J700" s="184" t="str">
        <f>IFERROR(__xludf.DUMMYFUNCTION("""COMPUTED_VALUE"""),"")</f>
        <v/>
      </c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</row>
    <row r="701">
      <c r="A701" s="198"/>
      <c r="D701" s="198" t="str">
        <f>IFERROR(__xludf.DUMMYFUNCTION("""COMPUTED_VALUE"""),"FALSE")</f>
        <v>FALSE</v>
      </c>
      <c r="E701" s="198" t="str">
        <f>IFERROR(__xludf.DUMMYFUNCTION("""COMPUTED_VALUE"""),"FALSE")</f>
        <v>FALSE</v>
      </c>
      <c r="F701" s="198"/>
      <c r="J701" s="184" t="str">
        <f>IFERROR(__xludf.DUMMYFUNCTION("""COMPUTED_VALUE"""),"")</f>
        <v/>
      </c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</row>
    <row r="702">
      <c r="A702" s="198"/>
      <c r="D702" s="198" t="str">
        <f>IFERROR(__xludf.DUMMYFUNCTION("""COMPUTED_VALUE"""),"FALSE")</f>
        <v>FALSE</v>
      </c>
      <c r="E702" s="198" t="str">
        <f>IFERROR(__xludf.DUMMYFUNCTION("""COMPUTED_VALUE"""),"FALSE")</f>
        <v>FALSE</v>
      </c>
      <c r="F702" s="198"/>
      <c r="J702" s="184" t="str">
        <f>IFERROR(__xludf.DUMMYFUNCTION("""COMPUTED_VALUE"""),"")</f>
        <v/>
      </c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</row>
    <row r="703">
      <c r="A703" s="198"/>
      <c r="D703" s="198" t="str">
        <f>IFERROR(__xludf.DUMMYFUNCTION("""COMPUTED_VALUE"""),"FALSE")</f>
        <v>FALSE</v>
      </c>
      <c r="E703" s="198" t="str">
        <f>IFERROR(__xludf.DUMMYFUNCTION("""COMPUTED_VALUE"""),"FALSE")</f>
        <v>FALSE</v>
      </c>
      <c r="F703" s="198"/>
      <c r="J703" s="184" t="str">
        <f>IFERROR(__xludf.DUMMYFUNCTION("""COMPUTED_VALUE"""),"")</f>
        <v/>
      </c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</row>
    <row r="704">
      <c r="A704" s="198"/>
      <c r="D704" s="198" t="str">
        <f>IFERROR(__xludf.DUMMYFUNCTION("""COMPUTED_VALUE"""),"FALSE")</f>
        <v>FALSE</v>
      </c>
      <c r="E704" s="198" t="str">
        <f>IFERROR(__xludf.DUMMYFUNCTION("""COMPUTED_VALUE"""),"FALSE")</f>
        <v>FALSE</v>
      </c>
      <c r="F704" s="198"/>
      <c r="J704" s="184" t="str">
        <f>IFERROR(__xludf.DUMMYFUNCTION("""COMPUTED_VALUE"""),"")</f>
        <v/>
      </c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</row>
    <row r="705">
      <c r="A705" s="198"/>
      <c r="D705" s="198" t="str">
        <f>IFERROR(__xludf.DUMMYFUNCTION("""COMPUTED_VALUE"""),"FALSE")</f>
        <v>FALSE</v>
      </c>
      <c r="E705" s="198" t="str">
        <f>IFERROR(__xludf.DUMMYFUNCTION("""COMPUTED_VALUE"""),"FALSE")</f>
        <v>FALSE</v>
      </c>
      <c r="F705" s="198"/>
      <c r="J705" s="184" t="str">
        <f>IFERROR(__xludf.DUMMYFUNCTION("""COMPUTED_VALUE"""),"")</f>
        <v/>
      </c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</row>
    <row r="706">
      <c r="A706" s="198"/>
      <c r="D706" s="198" t="str">
        <f>IFERROR(__xludf.DUMMYFUNCTION("""COMPUTED_VALUE"""),"FALSE")</f>
        <v>FALSE</v>
      </c>
      <c r="E706" s="198" t="str">
        <f>IFERROR(__xludf.DUMMYFUNCTION("""COMPUTED_VALUE"""),"FALSE")</f>
        <v>FALSE</v>
      </c>
      <c r="F706" s="198"/>
      <c r="J706" s="184" t="str">
        <f>IFERROR(__xludf.DUMMYFUNCTION("""COMPUTED_VALUE"""),"")</f>
        <v/>
      </c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</row>
    <row r="707">
      <c r="A707" s="198"/>
      <c r="D707" s="198" t="str">
        <f>IFERROR(__xludf.DUMMYFUNCTION("""COMPUTED_VALUE"""),"FALSE")</f>
        <v>FALSE</v>
      </c>
      <c r="E707" s="198" t="str">
        <f>IFERROR(__xludf.DUMMYFUNCTION("""COMPUTED_VALUE"""),"FALSE")</f>
        <v>FALSE</v>
      </c>
      <c r="F707" s="198"/>
      <c r="J707" s="184" t="str">
        <f>IFERROR(__xludf.DUMMYFUNCTION("""COMPUTED_VALUE"""),"")</f>
        <v/>
      </c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</row>
    <row r="708">
      <c r="A708" s="198"/>
      <c r="D708" s="198" t="str">
        <f>IFERROR(__xludf.DUMMYFUNCTION("""COMPUTED_VALUE"""),"FALSE")</f>
        <v>FALSE</v>
      </c>
      <c r="E708" s="198" t="str">
        <f>IFERROR(__xludf.DUMMYFUNCTION("""COMPUTED_VALUE"""),"FALSE")</f>
        <v>FALSE</v>
      </c>
      <c r="F708" s="198"/>
      <c r="J708" s="184" t="str">
        <f>IFERROR(__xludf.DUMMYFUNCTION("""COMPUTED_VALUE"""),"")</f>
        <v/>
      </c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</row>
    <row r="709">
      <c r="A709" s="198"/>
      <c r="D709" s="198" t="str">
        <f>IFERROR(__xludf.DUMMYFUNCTION("""COMPUTED_VALUE"""),"FALSE")</f>
        <v>FALSE</v>
      </c>
      <c r="E709" s="198" t="str">
        <f>IFERROR(__xludf.DUMMYFUNCTION("""COMPUTED_VALUE"""),"FALSE")</f>
        <v>FALSE</v>
      </c>
      <c r="F709" s="198"/>
      <c r="J709" s="184" t="str">
        <f>IFERROR(__xludf.DUMMYFUNCTION("""COMPUTED_VALUE"""),"")</f>
        <v/>
      </c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</row>
    <row r="710">
      <c r="A710" s="198"/>
      <c r="D710" s="198" t="str">
        <f>IFERROR(__xludf.DUMMYFUNCTION("""COMPUTED_VALUE"""),"FALSE")</f>
        <v>FALSE</v>
      </c>
      <c r="E710" s="198" t="str">
        <f>IFERROR(__xludf.DUMMYFUNCTION("""COMPUTED_VALUE"""),"FALSE")</f>
        <v>FALSE</v>
      </c>
      <c r="F710" s="198"/>
      <c r="J710" s="184" t="str">
        <f>IFERROR(__xludf.DUMMYFUNCTION("""COMPUTED_VALUE"""),"")</f>
        <v/>
      </c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</row>
    <row r="711">
      <c r="A711" s="198"/>
      <c r="D711" s="198" t="str">
        <f>IFERROR(__xludf.DUMMYFUNCTION("""COMPUTED_VALUE"""),"FALSE")</f>
        <v>FALSE</v>
      </c>
      <c r="E711" s="198" t="str">
        <f>IFERROR(__xludf.DUMMYFUNCTION("""COMPUTED_VALUE"""),"FALSE")</f>
        <v>FALSE</v>
      </c>
      <c r="F711" s="198"/>
      <c r="J711" s="184" t="str">
        <f>IFERROR(__xludf.DUMMYFUNCTION("""COMPUTED_VALUE"""),"")</f>
        <v/>
      </c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</row>
    <row r="712">
      <c r="A712" s="198"/>
      <c r="D712" s="198" t="str">
        <f>IFERROR(__xludf.DUMMYFUNCTION("""COMPUTED_VALUE"""),"FALSE")</f>
        <v>FALSE</v>
      </c>
      <c r="E712" s="198" t="str">
        <f>IFERROR(__xludf.DUMMYFUNCTION("""COMPUTED_VALUE"""),"FALSE")</f>
        <v>FALSE</v>
      </c>
      <c r="F712" s="198"/>
      <c r="J712" s="184" t="str">
        <f>IFERROR(__xludf.DUMMYFUNCTION("""COMPUTED_VALUE"""),"")</f>
        <v/>
      </c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</row>
    <row r="713">
      <c r="A713" s="198"/>
      <c r="D713" s="198" t="str">
        <f>IFERROR(__xludf.DUMMYFUNCTION("""COMPUTED_VALUE"""),"FALSE")</f>
        <v>FALSE</v>
      </c>
      <c r="E713" s="198" t="str">
        <f>IFERROR(__xludf.DUMMYFUNCTION("""COMPUTED_VALUE"""),"FALSE")</f>
        <v>FALSE</v>
      </c>
      <c r="F713" s="198"/>
      <c r="J713" s="184" t="str">
        <f>IFERROR(__xludf.DUMMYFUNCTION("""COMPUTED_VALUE"""),"")</f>
        <v/>
      </c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</row>
    <row r="714">
      <c r="A714" s="198"/>
      <c r="D714" s="198" t="str">
        <f>IFERROR(__xludf.DUMMYFUNCTION("""COMPUTED_VALUE"""),"FALSE")</f>
        <v>FALSE</v>
      </c>
      <c r="E714" s="198" t="str">
        <f>IFERROR(__xludf.DUMMYFUNCTION("""COMPUTED_VALUE"""),"FALSE")</f>
        <v>FALSE</v>
      </c>
      <c r="F714" s="198"/>
      <c r="J714" s="184" t="str">
        <f>IFERROR(__xludf.DUMMYFUNCTION("""COMPUTED_VALUE"""),"")</f>
        <v/>
      </c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</row>
    <row r="715">
      <c r="A715" s="198"/>
      <c r="D715" s="198" t="str">
        <f>IFERROR(__xludf.DUMMYFUNCTION("""COMPUTED_VALUE"""),"FALSE")</f>
        <v>FALSE</v>
      </c>
      <c r="E715" s="198" t="str">
        <f>IFERROR(__xludf.DUMMYFUNCTION("""COMPUTED_VALUE"""),"FALSE")</f>
        <v>FALSE</v>
      </c>
      <c r="F715" s="198"/>
      <c r="J715" s="184" t="str">
        <f>IFERROR(__xludf.DUMMYFUNCTION("""COMPUTED_VALUE"""),"")</f>
        <v/>
      </c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</row>
    <row r="716">
      <c r="A716" s="198"/>
      <c r="D716" s="198" t="str">
        <f>IFERROR(__xludf.DUMMYFUNCTION("""COMPUTED_VALUE"""),"FALSE")</f>
        <v>FALSE</v>
      </c>
      <c r="E716" s="198" t="str">
        <f>IFERROR(__xludf.DUMMYFUNCTION("""COMPUTED_VALUE"""),"FALSE")</f>
        <v>FALSE</v>
      </c>
      <c r="F716" s="198"/>
      <c r="J716" s="184" t="str">
        <f>IFERROR(__xludf.DUMMYFUNCTION("""COMPUTED_VALUE"""),"")</f>
        <v/>
      </c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</row>
    <row r="717">
      <c r="A717" s="198"/>
      <c r="D717" s="198" t="str">
        <f>IFERROR(__xludf.DUMMYFUNCTION("""COMPUTED_VALUE"""),"FALSE")</f>
        <v>FALSE</v>
      </c>
      <c r="E717" s="198" t="str">
        <f>IFERROR(__xludf.DUMMYFUNCTION("""COMPUTED_VALUE"""),"FALSE")</f>
        <v>FALSE</v>
      </c>
      <c r="F717" s="198"/>
      <c r="J717" s="184" t="str">
        <f>IFERROR(__xludf.DUMMYFUNCTION("""COMPUTED_VALUE"""),"")</f>
        <v/>
      </c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</row>
    <row r="718">
      <c r="A718" s="198"/>
      <c r="D718" s="198" t="str">
        <f>IFERROR(__xludf.DUMMYFUNCTION("""COMPUTED_VALUE"""),"FALSE")</f>
        <v>FALSE</v>
      </c>
      <c r="E718" s="198" t="str">
        <f>IFERROR(__xludf.DUMMYFUNCTION("""COMPUTED_VALUE"""),"FALSE")</f>
        <v>FALSE</v>
      </c>
      <c r="F718" s="198"/>
      <c r="J718" s="184" t="str">
        <f>IFERROR(__xludf.DUMMYFUNCTION("""COMPUTED_VALUE"""),"")</f>
        <v/>
      </c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</row>
    <row r="719">
      <c r="A719" s="198"/>
      <c r="D719" s="198" t="str">
        <f>IFERROR(__xludf.DUMMYFUNCTION("""COMPUTED_VALUE"""),"FALSE")</f>
        <v>FALSE</v>
      </c>
      <c r="E719" s="198" t="str">
        <f>IFERROR(__xludf.DUMMYFUNCTION("""COMPUTED_VALUE"""),"FALSE")</f>
        <v>FALSE</v>
      </c>
      <c r="F719" s="198"/>
      <c r="J719" s="184" t="str">
        <f>IFERROR(__xludf.DUMMYFUNCTION("""COMPUTED_VALUE"""),"")</f>
        <v/>
      </c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</row>
    <row r="720">
      <c r="A720" s="198"/>
      <c r="D720" s="198" t="str">
        <f>IFERROR(__xludf.DUMMYFUNCTION("""COMPUTED_VALUE"""),"FALSE")</f>
        <v>FALSE</v>
      </c>
      <c r="E720" s="198" t="str">
        <f>IFERROR(__xludf.DUMMYFUNCTION("""COMPUTED_VALUE"""),"FALSE")</f>
        <v>FALSE</v>
      </c>
      <c r="F720" s="198"/>
      <c r="J720" s="184" t="str">
        <f>IFERROR(__xludf.DUMMYFUNCTION("""COMPUTED_VALUE"""),"")</f>
        <v/>
      </c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</row>
    <row r="721">
      <c r="A721" s="198"/>
      <c r="D721" s="198" t="str">
        <f>IFERROR(__xludf.DUMMYFUNCTION("""COMPUTED_VALUE"""),"FALSE")</f>
        <v>FALSE</v>
      </c>
      <c r="E721" s="198" t="str">
        <f>IFERROR(__xludf.DUMMYFUNCTION("""COMPUTED_VALUE"""),"FALSE")</f>
        <v>FALSE</v>
      </c>
      <c r="F721" s="198"/>
      <c r="J721" s="184" t="str">
        <f>IFERROR(__xludf.DUMMYFUNCTION("""COMPUTED_VALUE"""),"")</f>
        <v/>
      </c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</row>
    <row r="722">
      <c r="A722" s="198"/>
      <c r="D722" s="198" t="str">
        <f>IFERROR(__xludf.DUMMYFUNCTION("""COMPUTED_VALUE"""),"FALSE")</f>
        <v>FALSE</v>
      </c>
      <c r="E722" s="198" t="str">
        <f>IFERROR(__xludf.DUMMYFUNCTION("""COMPUTED_VALUE"""),"FALSE")</f>
        <v>FALSE</v>
      </c>
      <c r="F722" s="198"/>
      <c r="J722" s="184" t="str">
        <f>IFERROR(__xludf.DUMMYFUNCTION("""COMPUTED_VALUE"""),"")</f>
        <v/>
      </c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</row>
    <row r="723">
      <c r="A723" s="198"/>
      <c r="D723" s="198" t="str">
        <f>IFERROR(__xludf.DUMMYFUNCTION("""COMPUTED_VALUE"""),"FALSE")</f>
        <v>FALSE</v>
      </c>
      <c r="E723" s="198" t="str">
        <f>IFERROR(__xludf.DUMMYFUNCTION("""COMPUTED_VALUE"""),"FALSE")</f>
        <v>FALSE</v>
      </c>
      <c r="F723" s="198"/>
      <c r="J723" s="184" t="str">
        <f>IFERROR(__xludf.DUMMYFUNCTION("""COMPUTED_VALUE"""),"")</f>
        <v/>
      </c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</row>
    <row r="724">
      <c r="A724" s="198"/>
      <c r="D724" s="198" t="str">
        <f>IFERROR(__xludf.DUMMYFUNCTION("""COMPUTED_VALUE"""),"FALSE")</f>
        <v>FALSE</v>
      </c>
      <c r="E724" s="198" t="str">
        <f>IFERROR(__xludf.DUMMYFUNCTION("""COMPUTED_VALUE"""),"FALSE")</f>
        <v>FALSE</v>
      </c>
      <c r="F724" s="198"/>
      <c r="J724" s="184" t="str">
        <f>IFERROR(__xludf.DUMMYFUNCTION("""COMPUTED_VALUE"""),"")</f>
        <v/>
      </c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</row>
    <row r="725">
      <c r="A725" s="198"/>
      <c r="D725" s="198" t="str">
        <f>IFERROR(__xludf.DUMMYFUNCTION("""COMPUTED_VALUE"""),"FALSE")</f>
        <v>FALSE</v>
      </c>
      <c r="E725" s="198" t="str">
        <f>IFERROR(__xludf.DUMMYFUNCTION("""COMPUTED_VALUE"""),"FALSE")</f>
        <v>FALSE</v>
      </c>
      <c r="F725" s="198"/>
      <c r="J725" s="184" t="str">
        <f>IFERROR(__xludf.DUMMYFUNCTION("""COMPUTED_VALUE"""),"")</f>
        <v/>
      </c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</row>
    <row r="726">
      <c r="A726" s="198"/>
      <c r="D726" s="198" t="str">
        <f>IFERROR(__xludf.DUMMYFUNCTION("""COMPUTED_VALUE"""),"FALSE")</f>
        <v>FALSE</v>
      </c>
      <c r="E726" s="198" t="str">
        <f>IFERROR(__xludf.DUMMYFUNCTION("""COMPUTED_VALUE"""),"FALSE")</f>
        <v>FALSE</v>
      </c>
      <c r="F726" s="198"/>
      <c r="J726" s="184" t="str">
        <f>IFERROR(__xludf.DUMMYFUNCTION("""COMPUTED_VALUE"""),"")</f>
        <v/>
      </c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</row>
    <row r="727">
      <c r="A727" s="198"/>
      <c r="D727" s="198" t="str">
        <f>IFERROR(__xludf.DUMMYFUNCTION("""COMPUTED_VALUE"""),"FALSE")</f>
        <v>FALSE</v>
      </c>
      <c r="E727" s="198" t="str">
        <f>IFERROR(__xludf.DUMMYFUNCTION("""COMPUTED_VALUE"""),"FALSE")</f>
        <v>FALSE</v>
      </c>
      <c r="F727" s="198"/>
      <c r="J727" s="184" t="str">
        <f>IFERROR(__xludf.DUMMYFUNCTION("""COMPUTED_VALUE"""),"")</f>
        <v/>
      </c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</row>
    <row r="728">
      <c r="A728" s="198"/>
      <c r="D728" s="198" t="str">
        <f>IFERROR(__xludf.DUMMYFUNCTION("""COMPUTED_VALUE"""),"FALSE")</f>
        <v>FALSE</v>
      </c>
      <c r="E728" s="198" t="str">
        <f>IFERROR(__xludf.DUMMYFUNCTION("""COMPUTED_VALUE"""),"FALSE")</f>
        <v>FALSE</v>
      </c>
      <c r="F728" s="198"/>
      <c r="J728" s="184" t="str">
        <f>IFERROR(__xludf.DUMMYFUNCTION("""COMPUTED_VALUE"""),"")</f>
        <v/>
      </c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</row>
    <row r="729">
      <c r="A729" s="198"/>
      <c r="D729" s="198" t="str">
        <f>IFERROR(__xludf.DUMMYFUNCTION("""COMPUTED_VALUE"""),"FALSE")</f>
        <v>FALSE</v>
      </c>
      <c r="E729" s="198" t="str">
        <f>IFERROR(__xludf.DUMMYFUNCTION("""COMPUTED_VALUE"""),"FALSE")</f>
        <v>FALSE</v>
      </c>
      <c r="F729" s="198"/>
      <c r="J729" s="184" t="str">
        <f>IFERROR(__xludf.DUMMYFUNCTION("""COMPUTED_VALUE"""),"")</f>
        <v/>
      </c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</row>
    <row r="730">
      <c r="A730" s="198"/>
      <c r="D730" s="198" t="str">
        <f>IFERROR(__xludf.DUMMYFUNCTION("""COMPUTED_VALUE"""),"FALSE")</f>
        <v>FALSE</v>
      </c>
      <c r="E730" s="198" t="str">
        <f>IFERROR(__xludf.DUMMYFUNCTION("""COMPUTED_VALUE"""),"FALSE")</f>
        <v>FALSE</v>
      </c>
      <c r="F730" s="198"/>
      <c r="J730" s="184" t="str">
        <f>IFERROR(__xludf.DUMMYFUNCTION("""COMPUTED_VALUE"""),"")</f>
        <v/>
      </c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</row>
    <row r="731">
      <c r="A731" s="198"/>
      <c r="D731" s="198" t="str">
        <f>IFERROR(__xludf.DUMMYFUNCTION("""COMPUTED_VALUE"""),"FALSE")</f>
        <v>FALSE</v>
      </c>
      <c r="E731" s="198" t="str">
        <f>IFERROR(__xludf.DUMMYFUNCTION("""COMPUTED_VALUE"""),"FALSE")</f>
        <v>FALSE</v>
      </c>
      <c r="F731" s="198"/>
      <c r="J731" s="184" t="str">
        <f>IFERROR(__xludf.DUMMYFUNCTION("""COMPUTED_VALUE"""),"")</f>
        <v/>
      </c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</row>
    <row r="732">
      <c r="A732" s="198"/>
      <c r="D732" s="198" t="str">
        <f>IFERROR(__xludf.DUMMYFUNCTION("""COMPUTED_VALUE"""),"FALSE")</f>
        <v>FALSE</v>
      </c>
      <c r="E732" s="198" t="str">
        <f>IFERROR(__xludf.DUMMYFUNCTION("""COMPUTED_VALUE"""),"FALSE")</f>
        <v>FALSE</v>
      </c>
      <c r="F732" s="198"/>
      <c r="J732" s="184" t="str">
        <f>IFERROR(__xludf.DUMMYFUNCTION("""COMPUTED_VALUE"""),"")</f>
        <v/>
      </c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</row>
    <row r="733">
      <c r="A733" s="198"/>
      <c r="D733" s="198" t="str">
        <f>IFERROR(__xludf.DUMMYFUNCTION("""COMPUTED_VALUE"""),"FALSE")</f>
        <v>FALSE</v>
      </c>
      <c r="E733" s="198" t="str">
        <f>IFERROR(__xludf.DUMMYFUNCTION("""COMPUTED_VALUE"""),"FALSE")</f>
        <v>FALSE</v>
      </c>
      <c r="F733" s="198"/>
      <c r="J733" s="184" t="str">
        <f>IFERROR(__xludf.DUMMYFUNCTION("""COMPUTED_VALUE"""),"")</f>
        <v/>
      </c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</row>
    <row r="734">
      <c r="A734" s="198"/>
      <c r="D734" s="198" t="str">
        <f>IFERROR(__xludf.DUMMYFUNCTION("""COMPUTED_VALUE"""),"FALSE")</f>
        <v>FALSE</v>
      </c>
      <c r="E734" s="198" t="str">
        <f>IFERROR(__xludf.DUMMYFUNCTION("""COMPUTED_VALUE"""),"FALSE")</f>
        <v>FALSE</v>
      </c>
      <c r="F734" s="198"/>
      <c r="J734" s="184" t="str">
        <f>IFERROR(__xludf.DUMMYFUNCTION("""COMPUTED_VALUE"""),"")</f>
        <v/>
      </c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</row>
    <row r="735">
      <c r="A735" s="198"/>
      <c r="D735" s="198" t="str">
        <f>IFERROR(__xludf.DUMMYFUNCTION("""COMPUTED_VALUE"""),"FALSE")</f>
        <v>FALSE</v>
      </c>
      <c r="E735" s="198" t="str">
        <f>IFERROR(__xludf.DUMMYFUNCTION("""COMPUTED_VALUE"""),"FALSE")</f>
        <v>FALSE</v>
      </c>
      <c r="F735" s="198"/>
      <c r="J735" s="184" t="str">
        <f>IFERROR(__xludf.DUMMYFUNCTION("""COMPUTED_VALUE"""),"")</f>
        <v/>
      </c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</row>
    <row r="736">
      <c r="A736" s="198"/>
      <c r="D736" s="198" t="str">
        <f>IFERROR(__xludf.DUMMYFUNCTION("""COMPUTED_VALUE"""),"FALSE")</f>
        <v>FALSE</v>
      </c>
      <c r="E736" s="198" t="str">
        <f>IFERROR(__xludf.DUMMYFUNCTION("""COMPUTED_VALUE"""),"FALSE")</f>
        <v>FALSE</v>
      </c>
      <c r="F736" s="198"/>
      <c r="J736" s="184" t="str">
        <f>IFERROR(__xludf.DUMMYFUNCTION("""COMPUTED_VALUE"""),"")</f>
        <v/>
      </c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</row>
    <row r="737">
      <c r="A737" s="198"/>
      <c r="D737" s="198" t="str">
        <f>IFERROR(__xludf.DUMMYFUNCTION("""COMPUTED_VALUE"""),"FALSE")</f>
        <v>FALSE</v>
      </c>
      <c r="E737" s="198" t="str">
        <f>IFERROR(__xludf.DUMMYFUNCTION("""COMPUTED_VALUE"""),"FALSE")</f>
        <v>FALSE</v>
      </c>
      <c r="F737" s="198"/>
      <c r="J737" s="184" t="str">
        <f>IFERROR(__xludf.DUMMYFUNCTION("""COMPUTED_VALUE"""),"")</f>
        <v/>
      </c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</row>
    <row r="738">
      <c r="A738" s="198"/>
      <c r="D738" s="198" t="str">
        <f>IFERROR(__xludf.DUMMYFUNCTION("""COMPUTED_VALUE"""),"FALSE")</f>
        <v>FALSE</v>
      </c>
      <c r="E738" s="198" t="str">
        <f>IFERROR(__xludf.DUMMYFUNCTION("""COMPUTED_VALUE"""),"FALSE")</f>
        <v>FALSE</v>
      </c>
      <c r="F738" s="198"/>
      <c r="J738" s="184" t="str">
        <f>IFERROR(__xludf.DUMMYFUNCTION("""COMPUTED_VALUE"""),"")</f>
        <v/>
      </c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</row>
    <row r="739">
      <c r="A739" s="198"/>
      <c r="D739" s="198" t="str">
        <f>IFERROR(__xludf.DUMMYFUNCTION("""COMPUTED_VALUE"""),"FALSE")</f>
        <v>FALSE</v>
      </c>
      <c r="E739" s="198" t="str">
        <f>IFERROR(__xludf.DUMMYFUNCTION("""COMPUTED_VALUE"""),"FALSE")</f>
        <v>FALSE</v>
      </c>
      <c r="F739" s="198"/>
      <c r="J739" s="184" t="str">
        <f>IFERROR(__xludf.DUMMYFUNCTION("""COMPUTED_VALUE"""),"")</f>
        <v/>
      </c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</row>
    <row r="740">
      <c r="A740" s="198"/>
      <c r="D740" s="198" t="str">
        <f>IFERROR(__xludf.DUMMYFUNCTION("""COMPUTED_VALUE"""),"FALSE")</f>
        <v>FALSE</v>
      </c>
      <c r="E740" s="198" t="str">
        <f>IFERROR(__xludf.DUMMYFUNCTION("""COMPUTED_VALUE"""),"FALSE")</f>
        <v>FALSE</v>
      </c>
      <c r="F740" s="198"/>
      <c r="J740" s="184" t="str">
        <f>IFERROR(__xludf.DUMMYFUNCTION("""COMPUTED_VALUE"""),"")</f>
        <v/>
      </c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</row>
    <row r="741">
      <c r="A741" s="198"/>
      <c r="D741" s="198" t="str">
        <f>IFERROR(__xludf.DUMMYFUNCTION("""COMPUTED_VALUE"""),"FALSE")</f>
        <v>FALSE</v>
      </c>
      <c r="E741" s="198" t="str">
        <f>IFERROR(__xludf.DUMMYFUNCTION("""COMPUTED_VALUE"""),"FALSE")</f>
        <v>FALSE</v>
      </c>
      <c r="F741" s="198"/>
      <c r="J741" s="184" t="str">
        <f>IFERROR(__xludf.DUMMYFUNCTION("""COMPUTED_VALUE"""),"")</f>
        <v/>
      </c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</row>
    <row r="742">
      <c r="A742" s="198"/>
      <c r="D742" s="198" t="str">
        <f>IFERROR(__xludf.DUMMYFUNCTION("""COMPUTED_VALUE"""),"FALSE")</f>
        <v>FALSE</v>
      </c>
      <c r="E742" s="198" t="str">
        <f>IFERROR(__xludf.DUMMYFUNCTION("""COMPUTED_VALUE"""),"FALSE")</f>
        <v>FALSE</v>
      </c>
      <c r="F742" s="198"/>
      <c r="J742" s="184" t="str">
        <f>IFERROR(__xludf.DUMMYFUNCTION("""COMPUTED_VALUE"""),"")</f>
        <v/>
      </c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</row>
    <row r="743">
      <c r="A743" s="198"/>
      <c r="D743" s="198" t="str">
        <f>IFERROR(__xludf.DUMMYFUNCTION("""COMPUTED_VALUE"""),"FALSE")</f>
        <v>FALSE</v>
      </c>
      <c r="E743" s="198" t="str">
        <f>IFERROR(__xludf.DUMMYFUNCTION("""COMPUTED_VALUE"""),"FALSE")</f>
        <v>FALSE</v>
      </c>
      <c r="F743" s="198"/>
      <c r="J743" s="184" t="str">
        <f>IFERROR(__xludf.DUMMYFUNCTION("""COMPUTED_VALUE"""),"")</f>
        <v/>
      </c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</row>
    <row r="744">
      <c r="A744" s="198"/>
      <c r="D744" s="198" t="str">
        <f>IFERROR(__xludf.DUMMYFUNCTION("""COMPUTED_VALUE"""),"FALSE")</f>
        <v>FALSE</v>
      </c>
      <c r="E744" s="198" t="str">
        <f>IFERROR(__xludf.DUMMYFUNCTION("""COMPUTED_VALUE"""),"FALSE")</f>
        <v>FALSE</v>
      </c>
      <c r="F744" s="198"/>
      <c r="J744" s="184" t="str">
        <f>IFERROR(__xludf.DUMMYFUNCTION("""COMPUTED_VALUE"""),"")</f>
        <v/>
      </c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</row>
    <row r="745">
      <c r="A745" s="198"/>
      <c r="D745" s="198" t="str">
        <f>IFERROR(__xludf.DUMMYFUNCTION("""COMPUTED_VALUE"""),"FALSE")</f>
        <v>FALSE</v>
      </c>
      <c r="E745" s="198" t="str">
        <f>IFERROR(__xludf.DUMMYFUNCTION("""COMPUTED_VALUE"""),"FALSE")</f>
        <v>FALSE</v>
      </c>
      <c r="F745" s="198"/>
      <c r="J745" s="184" t="str">
        <f>IFERROR(__xludf.DUMMYFUNCTION("""COMPUTED_VALUE"""),"")</f>
        <v/>
      </c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</row>
    <row r="746">
      <c r="A746" s="198"/>
      <c r="D746" s="198" t="str">
        <f>IFERROR(__xludf.DUMMYFUNCTION("""COMPUTED_VALUE"""),"FALSE")</f>
        <v>FALSE</v>
      </c>
      <c r="E746" s="198" t="str">
        <f>IFERROR(__xludf.DUMMYFUNCTION("""COMPUTED_VALUE"""),"FALSE")</f>
        <v>FALSE</v>
      </c>
      <c r="F746" s="198"/>
      <c r="J746" s="184" t="str">
        <f>IFERROR(__xludf.DUMMYFUNCTION("""COMPUTED_VALUE"""),"")</f>
        <v/>
      </c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</row>
    <row r="747">
      <c r="A747" s="198"/>
      <c r="D747" s="198" t="str">
        <f>IFERROR(__xludf.DUMMYFUNCTION("""COMPUTED_VALUE"""),"FALSE")</f>
        <v>FALSE</v>
      </c>
      <c r="E747" s="198" t="str">
        <f>IFERROR(__xludf.DUMMYFUNCTION("""COMPUTED_VALUE"""),"FALSE")</f>
        <v>FALSE</v>
      </c>
      <c r="F747" s="198"/>
      <c r="J747" s="184" t="str">
        <f>IFERROR(__xludf.DUMMYFUNCTION("""COMPUTED_VALUE"""),"")</f>
        <v/>
      </c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</row>
    <row r="748">
      <c r="A748" s="198"/>
      <c r="D748" s="198" t="str">
        <f>IFERROR(__xludf.DUMMYFUNCTION("""COMPUTED_VALUE"""),"FALSE")</f>
        <v>FALSE</v>
      </c>
      <c r="E748" s="198" t="str">
        <f>IFERROR(__xludf.DUMMYFUNCTION("""COMPUTED_VALUE"""),"FALSE")</f>
        <v>FALSE</v>
      </c>
      <c r="F748" s="198"/>
      <c r="J748" s="184" t="str">
        <f>IFERROR(__xludf.DUMMYFUNCTION("""COMPUTED_VALUE"""),"")</f>
        <v/>
      </c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</row>
    <row r="749">
      <c r="A749" s="198"/>
      <c r="D749" s="198" t="str">
        <f>IFERROR(__xludf.DUMMYFUNCTION("""COMPUTED_VALUE"""),"FALSE")</f>
        <v>FALSE</v>
      </c>
      <c r="E749" s="198" t="str">
        <f>IFERROR(__xludf.DUMMYFUNCTION("""COMPUTED_VALUE"""),"FALSE")</f>
        <v>FALSE</v>
      </c>
      <c r="F749" s="198"/>
      <c r="J749" s="184" t="str">
        <f>IFERROR(__xludf.DUMMYFUNCTION("""COMPUTED_VALUE"""),"")</f>
        <v/>
      </c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</row>
    <row r="750">
      <c r="A750" s="198"/>
      <c r="D750" s="198" t="str">
        <f>IFERROR(__xludf.DUMMYFUNCTION("""COMPUTED_VALUE"""),"FALSE")</f>
        <v>FALSE</v>
      </c>
      <c r="E750" s="198" t="str">
        <f>IFERROR(__xludf.DUMMYFUNCTION("""COMPUTED_VALUE"""),"FALSE")</f>
        <v>FALSE</v>
      </c>
      <c r="F750" s="198"/>
      <c r="J750" s="184" t="str">
        <f>IFERROR(__xludf.DUMMYFUNCTION("""COMPUTED_VALUE"""),"")</f>
        <v/>
      </c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</row>
    <row r="751">
      <c r="A751" s="198"/>
      <c r="D751" s="198" t="str">
        <f>IFERROR(__xludf.DUMMYFUNCTION("""COMPUTED_VALUE"""),"FALSE")</f>
        <v>FALSE</v>
      </c>
      <c r="E751" s="198" t="str">
        <f>IFERROR(__xludf.DUMMYFUNCTION("""COMPUTED_VALUE"""),"FALSE")</f>
        <v>FALSE</v>
      </c>
      <c r="F751" s="198"/>
      <c r="J751" s="184" t="str">
        <f>IFERROR(__xludf.DUMMYFUNCTION("""COMPUTED_VALUE"""),"")</f>
        <v/>
      </c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</row>
    <row r="752">
      <c r="A752" s="198"/>
      <c r="D752" s="198" t="str">
        <f>IFERROR(__xludf.DUMMYFUNCTION("""COMPUTED_VALUE"""),"FALSE")</f>
        <v>FALSE</v>
      </c>
      <c r="E752" s="198" t="str">
        <f>IFERROR(__xludf.DUMMYFUNCTION("""COMPUTED_VALUE"""),"FALSE")</f>
        <v>FALSE</v>
      </c>
      <c r="F752" s="198"/>
      <c r="J752" s="184" t="str">
        <f>IFERROR(__xludf.DUMMYFUNCTION("""COMPUTED_VALUE"""),"")</f>
        <v/>
      </c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</row>
    <row r="753">
      <c r="A753" s="198"/>
      <c r="D753" s="198" t="str">
        <f>IFERROR(__xludf.DUMMYFUNCTION("""COMPUTED_VALUE"""),"FALSE")</f>
        <v>FALSE</v>
      </c>
      <c r="E753" s="198" t="str">
        <f>IFERROR(__xludf.DUMMYFUNCTION("""COMPUTED_VALUE"""),"FALSE")</f>
        <v>FALSE</v>
      </c>
      <c r="F753" s="198"/>
      <c r="J753" s="184" t="str">
        <f>IFERROR(__xludf.DUMMYFUNCTION("""COMPUTED_VALUE"""),"")</f>
        <v/>
      </c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</row>
    <row r="754">
      <c r="A754" s="198"/>
      <c r="D754" s="198" t="str">
        <f>IFERROR(__xludf.DUMMYFUNCTION("""COMPUTED_VALUE"""),"FALSE")</f>
        <v>FALSE</v>
      </c>
      <c r="E754" s="198" t="str">
        <f>IFERROR(__xludf.DUMMYFUNCTION("""COMPUTED_VALUE"""),"FALSE")</f>
        <v>FALSE</v>
      </c>
      <c r="F754" s="198"/>
      <c r="J754" s="184" t="str">
        <f>IFERROR(__xludf.DUMMYFUNCTION("""COMPUTED_VALUE"""),"")</f>
        <v/>
      </c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</row>
    <row r="755">
      <c r="A755" s="198"/>
      <c r="D755" s="198" t="str">
        <f>IFERROR(__xludf.DUMMYFUNCTION("""COMPUTED_VALUE"""),"FALSE")</f>
        <v>FALSE</v>
      </c>
      <c r="E755" s="198" t="str">
        <f>IFERROR(__xludf.DUMMYFUNCTION("""COMPUTED_VALUE"""),"FALSE")</f>
        <v>FALSE</v>
      </c>
      <c r="F755" s="198"/>
      <c r="J755" s="184" t="str">
        <f>IFERROR(__xludf.DUMMYFUNCTION("""COMPUTED_VALUE"""),"")</f>
        <v/>
      </c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</row>
    <row r="756">
      <c r="A756" s="198"/>
      <c r="D756" s="198" t="str">
        <f>IFERROR(__xludf.DUMMYFUNCTION("""COMPUTED_VALUE"""),"FALSE")</f>
        <v>FALSE</v>
      </c>
      <c r="E756" s="198" t="str">
        <f>IFERROR(__xludf.DUMMYFUNCTION("""COMPUTED_VALUE"""),"FALSE")</f>
        <v>FALSE</v>
      </c>
      <c r="F756" s="198"/>
      <c r="J756" s="184" t="str">
        <f>IFERROR(__xludf.DUMMYFUNCTION("""COMPUTED_VALUE"""),"")</f>
        <v/>
      </c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</row>
    <row r="757">
      <c r="A757" s="198"/>
      <c r="D757" s="198" t="str">
        <f>IFERROR(__xludf.DUMMYFUNCTION("""COMPUTED_VALUE"""),"FALSE")</f>
        <v>FALSE</v>
      </c>
      <c r="E757" s="198" t="str">
        <f>IFERROR(__xludf.DUMMYFUNCTION("""COMPUTED_VALUE"""),"FALSE")</f>
        <v>FALSE</v>
      </c>
      <c r="F757" s="198"/>
      <c r="J757" s="184" t="str">
        <f>IFERROR(__xludf.DUMMYFUNCTION("""COMPUTED_VALUE"""),"")</f>
        <v/>
      </c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</row>
    <row r="758">
      <c r="A758" s="198"/>
      <c r="D758" s="198" t="str">
        <f>IFERROR(__xludf.DUMMYFUNCTION("""COMPUTED_VALUE"""),"FALSE")</f>
        <v>FALSE</v>
      </c>
      <c r="E758" s="198" t="str">
        <f>IFERROR(__xludf.DUMMYFUNCTION("""COMPUTED_VALUE"""),"FALSE")</f>
        <v>FALSE</v>
      </c>
      <c r="F758" s="198"/>
      <c r="J758" s="184" t="str">
        <f>IFERROR(__xludf.DUMMYFUNCTION("""COMPUTED_VALUE"""),"")</f>
        <v/>
      </c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</row>
    <row r="759">
      <c r="A759" s="198"/>
      <c r="D759" s="198" t="str">
        <f>IFERROR(__xludf.DUMMYFUNCTION("""COMPUTED_VALUE"""),"FALSE")</f>
        <v>FALSE</v>
      </c>
      <c r="E759" s="198" t="str">
        <f>IFERROR(__xludf.DUMMYFUNCTION("""COMPUTED_VALUE"""),"FALSE")</f>
        <v>FALSE</v>
      </c>
      <c r="F759" s="198"/>
      <c r="J759" s="184" t="str">
        <f>IFERROR(__xludf.DUMMYFUNCTION("""COMPUTED_VALUE"""),"")</f>
        <v/>
      </c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</row>
    <row r="760">
      <c r="A760" s="198"/>
      <c r="D760" s="198" t="str">
        <f>IFERROR(__xludf.DUMMYFUNCTION("""COMPUTED_VALUE"""),"FALSE")</f>
        <v>FALSE</v>
      </c>
      <c r="E760" s="198" t="str">
        <f>IFERROR(__xludf.DUMMYFUNCTION("""COMPUTED_VALUE"""),"FALSE")</f>
        <v>FALSE</v>
      </c>
      <c r="F760" s="198"/>
      <c r="J760" s="184" t="str">
        <f>IFERROR(__xludf.DUMMYFUNCTION("""COMPUTED_VALUE"""),"")</f>
        <v/>
      </c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</row>
    <row r="761">
      <c r="A761" s="198"/>
      <c r="D761" s="198" t="str">
        <f>IFERROR(__xludf.DUMMYFUNCTION("""COMPUTED_VALUE"""),"FALSE")</f>
        <v>FALSE</v>
      </c>
      <c r="E761" s="198" t="str">
        <f>IFERROR(__xludf.DUMMYFUNCTION("""COMPUTED_VALUE"""),"FALSE")</f>
        <v>FALSE</v>
      </c>
      <c r="F761" s="198"/>
      <c r="J761" s="184" t="str">
        <f>IFERROR(__xludf.DUMMYFUNCTION("""COMPUTED_VALUE"""),"")</f>
        <v/>
      </c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</row>
    <row r="762">
      <c r="A762" s="198"/>
      <c r="D762" s="198" t="str">
        <f>IFERROR(__xludf.DUMMYFUNCTION("""COMPUTED_VALUE"""),"FALSE")</f>
        <v>FALSE</v>
      </c>
      <c r="E762" s="198" t="str">
        <f>IFERROR(__xludf.DUMMYFUNCTION("""COMPUTED_VALUE"""),"FALSE")</f>
        <v>FALSE</v>
      </c>
      <c r="F762" s="198"/>
      <c r="J762" s="184" t="str">
        <f>IFERROR(__xludf.DUMMYFUNCTION("""COMPUTED_VALUE"""),"")</f>
        <v/>
      </c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</row>
    <row r="763">
      <c r="A763" s="198"/>
      <c r="D763" s="198" t="str">
        <f>IFERROR(__xludf.DUMMYFUNCTION("""COMPUTED_VALUE"""),"FALSE")</f>
        <v>FALSE</v>
      </c>
      <c r="E763" s="198" t="str">
        <f>IFERROR(__xludf.DUMMYFUNCTION("""COMPUTED_VALUE"""),"FALSE")</f>
        <v>FALSE</v>
      </c>
      <c r="F763" s="198"/>
      <c r="J763" s="184" t="str">
        <f>IFERROR(__xludf.DUMMYFUNCTION("""COMPUTED_VALUE"""),"")</f>
        <v/>
      </c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</row>
    <row r="764">
      <c r="A764" s="198"/>
      <c r="D764" s="198" t="str">
        <f>IFERROR(__xludf.DUMMYFUNCTION("""COMPUTED_VALUE"""),"FALSE")</f>
        <v>FALSE</v>
      </c>
      <c r="E764" s="198" t="str">
        <f>IFERROR(__xludf.DUMMYFUNCTION("""COMPUTED_VALUE"""),"FALSE")</f>
        <v>FALSE</v>
      </c>
      <c r="F764" s="198"/>
      <c r="J764" s="184" t="str">
        <f>IFERROR(__xludf.DUMMYFUNCTION("""COMPUTED_VALUE"""),"")</f>
        <v/>
      </c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</row>
    <row r="765">
      <c r="A765" s="198"/>
      <c r="D765" s="198" t="str">
        <f>IFERROR(__xludf.DUMMYFUNCTION("""COMPUTED_VALUE"""),"FALSE")</f>
        <v>FALSE</v>
      </c>
      <c r="E765" s="198" t="str">
        <f>IFERROR(__xludf.DUMMYFUNCTION("""COMPUTED_VALUE"""),"FALSE")</f>
        <v>FALSE</v>
      </c>
      <c r="F765" s="198"/>
      <c r="J765" s="184" t="str">
        <f>IFERROR(__xludf.DUMMYFUNCTION("""COMPUTED_VALUE"""),"")</f>
        <v/>
      </c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</row>
    <row r="766">
      <c r="A766" s="198"/>
      <c r="D766" s="198" t="str">
        <f>IFERROR(__xludf.DUMMYFUNCTION("""COMPUTED_VALUE"""),"FALSE")</f>
        <v>FALSE</v>
      </c>
      <c r="E766" s="198" t="str">
        <f>IFERROR(__xludf.DUMMYFUNCTION("""COMPUTED_VALUE"""),"FALSE")</f>
        <v>FALSE</v>
      </c>
      <c r="F766" s="198"/>
      <c r="J766" s="184" t="str">
        <f>IFERROR(__xludf.DUMMYFUNCTION("""COMPUTED_VALUE"""),"")</f>
        <v/>
      </c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</row>
    <row r="767">
      <c r="A767" s="198"/>
      <c r="D767" s="198" t="str">
        <f>IFERROR(__xludf.DUMMYFUNCTION("""COMPUTED_VALUE"""),"FALSE")</f>
        <v>FALSE</v>
      </c>
      <c r="E767" s="198" t="str">
        <f>IFERROR(__xludf.DUMMYFUNCTION("""COMPUTED_VALUE"""),"FALSE")</f>
        <v>FALSE</v>
      </c>
      <c r="F767" s="198"/>
      <c r="J767" s="184" t="str">
        <f>IFERROR(__xludf.DUMMYFUNCTION("""COMPUTED_VALUE"""),"")</f>
        <v/>
      </c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</row>
    <row r="768">
      <c r="A768" s="198"/>
      <c r="D768" s="198" t="str">
        <f>IFERROR(__xludf.DUMMYFUNCTION("""COMPUTED_VALUE"""),"FALSE")</f>
        <v>FALSE</v>
      </c>
      <c r="E768" s="198" t="str">
        <f>IFERROR(__xludf.DUMMYFUNCTION("""COMPUTED_VALUE"""),"FALSE")</f>
        <v>FALSE</v>
      </c>
      <c r="F768" s="198"/>
      <c r="J768" s="184" t="str">
        <f>IFERROR(__xludf.DUMMYFUNCTION("""COMPUTED_VALUE"""),"")</f>
        <v/>
      </c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</row>
    <row r="769">
      <c r="A769" s="198"/>
      <c r="D769" s="198" t="str">
        <f>IFERROR(__xludf.DUMMYFUNCTION("""COMPUTED_VALUE"""),"FALSE")</f>
        <v>FALSE</v>
      </c>
      <c r="E769" s="198" t="str">
        <f>IFERROR(__xludf.DUMMYFUNCTION("""COMPUTED_VALUE"""),"FALSE")</f>
        <v>FALSE</v>
      </c>
      <c r="F769" s="198"/>
      <c r="J769" s="184" t="str">
        <f>IFERROR(__xludf.DUMMYFUNCTION("""COMPUTED_VALUE"""),"")</f>
        <v/>
      </c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</row>
    <row r="770">
      <c r="A770" s="198"/>
      <c r="D770" s="198" t="str">
        <f>IFERROR(__xludf.DUMMYFUNCTION("""COMPUTED_VALUE"""),"FALSE")</f>
        <v>FALSE</v>
      </c>
      <c r="E770" s="198" t="str">
        <f>IFERROR(__xludf.DUMMYFUNCTION("""COMPUTED_VALUE"""),"FALSE")</f>
        <v>FALSE</v>
      </c>
      <c r="F770" s="198"/>
      <c r="J770" s="184" t="str">
        <f>IFERROR(__xludf.DUMMYFUNCTION("""COMPUTED_VALUE"""),"")</f>
        <v/>
      </c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</row>
    <row r="771">
      <c r="A771" s="198"/>
      <c r="D771" s="198" t="str">
        <f>IFERROR(__xludf.DUMMYFUNCTION("""COMPUTED_VALUE"""),"FALSE")</f>
        <v>FALSE</v>
      </c>
      <c r="E771" s="198" t="str">
        <f>IFERROR(__xludf.DUMMYFUNCTION("""COMPUTED_VALUE"""),"FALSE")</f>
        <v>FALSE</v>
      </c>
      <c r="F771" s="198"/>
      <c r="J771" s="184" t="str">
        <f>IFERROR(__xludf.DUMMYFUNCTION("""COMPUTED_VALUE"""),"")</f>
        <v/>
      </c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</row>
    <row r="772">
      <c r="A772" s="198"/>
      <c r="D772" s="198" t="str">
        <f>IFERROR(__xludf.DUMMYFUNCTION("""COMPUTED_VALUE"""),"FALSE")</f>
        <v>FALSE</v>
      </c>
      <c r="E772" s="198" t="str">
        <f>IFERROR(__xludf.DUMMYFUNCTION("""COMPUTED_VALUE"""),"FALSE")</f>
        <v>FALSE</v>
      </c>
      <c r="F772" s="198"/>
      <c r="J772" s="184" t="str">
        <f>IFERROR(__xludf.DUMMYFUNCTION("""COMPUTED_VALUE"""),"")</f>
        <v/>
      </c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</row>
    <row r="773">
      <c r="A773" s="198"/>
      <c r="D773" s="198" t="str">
        <f>IFERROR(__xludf.DUMMYFUNCTION("""COMPUTED_VALUE"""),"FALSE")</f>
        <v>FALSE</v>
      </c>
      <c r="E773" s="198" t="str">
        <f>IFERROR(__xludf.DUMMYFUNCTION("""COMPUTED_VALUE"""),"FALSE")</f>
        <v>FALSE</v>
      </c>
      <c r="F773" s="198"/>
      <c r="J773" s="184" t="str">
        <f>IFERROR(__xludf.DUMMYFUNCTION("""COMPUTED_VALUE"""),"")</f>
        <v/>
      </c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</row>
    <row r="774">
      <c r="A774" s="198"/>
      <c r="D774" s="198" t="str">
        <f>IFERROR(__xludf.DUMMYFUNCTION("""COMPUTED_VALUE"""),"FALSE")</f>
        <v>FALSE</v>
      </c>
      <c r="E774" s="198" t="str">
        <f>IFERROR(__xludf.DUMMYFUNCTION("""COMPUTED_VALUE"""),"FALSE")</f>
        <v>FALSE</v>
      </c>
      <c r="F774" s="198"/>
      <c r="J774" s="184" t="str">
        <f>IFERROR(__xludf.DUMMYFUNCTION("""COMPUTED_VALUE"""),"")</f>
        <v/>
      </c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</row>
    <row r="775">
      <c r="A775" s="198"/>
      <c r="D775" s="198" t="str">
        <f>IFERROR(__xludf.DUMMYFUNCTION("""COMPUTED_VALUE"""),"FALSE")</f>
        <v>FALSE</v>
      </c>
      <c r="E775" s="198" t="str">
        <f>IFERROR(__xludf.DUMMYFUNCTION("""COMPUTED_VALUE"""),"FALSE")</f>
        <v>FALSE</v>
      </c>
      <c r="F775" s="198"/>
      <c r="J775" s="184" t="str">
        <f>IFERROR(__xludf.DUMMYFUNCTION("""COMPUTED_VALUE"""),"")</f>
        <v/>
      </c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</row>
    <row r="776">
      <c r="A776" s="198"/>
      <c r="D776" s="198" t="str">
        <f>IFERROR(__xludf.DUMMYFUNCTION("""COMPUTED_VALUE"""),"FALSE")</f>
        <v>FALSE</v>
      </c>
      <c r="E776" s="198" t="str">
        <f>IFERROR(__xludf.DUMMYFUNCTION("""COMPUTED_VALUE"""),"FALSE")</f>
        <v>FALSE</v>
      </c>
      <c r="F776" s="198"/>
      <c r="J776" s="184" t="str">
        <f>IFERROR(__xludf.DUMMYFUNCTION("""COMPUTED_VALUE"""),"")</f>
        <v/>
      </c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</row>
    <row r="777">
      <c r="A777" s="198"/>
      <c r="D777" s="198" t="str">
        <f>IFERROR(__xludf.DUMMYFUNCTION("""COMPUTED_VALUE"""),"FALSE")</f>
        <v>FALSE</v>
      </c>
      <c r="E777" s="198" t="str">
        <f>IFERROR(__xludf.DUMMYFUNCTION("""COMPUTED_VALUE"""),"FALSE")</f>
        <v>FALSE</v>
      </c>
      <c r="F777" s="198"/>
      <c r="J777" s="184" t="str">
        <f>IFERROR(__xludf.DUMMYFUNCTION("""COMPUTED_VALUE"""),"")</f>
        <v/>
      </c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</row>
    <row r="778">
      <c r="A778" s="198"/>
      <c r="D778" s="198" t="str">
        <f>IFERROR(__xludf.DUMMYFUNCTION("""COMPUTED_VALUE"""),"FALSE")</f>
        <v>FALSE</v>
      </c>
      <c r="E778" s="198" t="str">
        <f>IFERROR(__xludf.DUMMYFUNCTION("""COMPUTED_VALUE"""),"FALSE")</f>
        <v>FALSE</v>
      </c>
      <c r="F778" s="198"/>
      <c r="J778" s="184" t="str">
        <f>IFERROR(__xludf.DUMMYFUNCTION("""COMPUTED_VALUE"""),"")</f>
        <v/>
      </c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</row>
    <row r="779">
      <c r="A779" s="198"/>
      <c r="D779" s="198" t="str">
        <f>IFERROR(__xludf.DUMMYFUNCTION("""COMPUTED_VALUE"""),"FALSE")</f>
        <v>FALSE</v>
      </c>
      <c r="E779" s="198" t="str">
        <f>IFERROR(__xludf.DUMMYFUNCTION("""COMPUTED_VALUE"""),"FALSE")</f>
        <v>FALSE</v>
      </c>
      <c r="F779" s="198"/>
      <c r="J779" s="184" t="str">
        <f>IFERROR(__xludf.DUMMYFUNCTION("""COMPUTED_VALUE"""),"")</f>
        <v/>
      </c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</row>
    <row r="780">
      <c r="A780" s="198"/>
      <c r="D780" s="198" t="str">
        <f>IFERROR(__xludf.DUMMYFUNCTION("""COMPUTED_VALUE"""),"FALSE")</f>
        <v>FALSE</v>
      </c>
      <c r="E780" s="198" t="str">
        <f>IFERROR(__xludf.DUMMYFUNCTION("""COMPUTED_VALUE"""),"FALSE")</f>
        <v>FALSE</v>
      </c>
      <c r="F780" s="198"/>
      <c r="J780" s="184" t="str">
        <f>IFERROR(__xludf.DUMMYFUNCTION("""COMPUTED_VALUE"""),"")</f>
        <v/>
      </c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</row>
    <row r="781">
      <c r="A781" s="198"/>
      <c r="D781" s="198" t="str">
        <f>IFERROR(__xludf.DUMMYFUNCTION("""COMPUTED_VALUE"""),"FALSE")</f>
        <v>FALSE</v>
      </c>
      <c r="E781" s="198" t="str">
        <f>IFERROR(__xludf.DUMMYFUNCTION("""COMPUTED_VALUE"""),"FALSE")</f>
        <v>FALSE</v>
      </c>
      <c r="F781" s="198"/>
      <c r="J781" s="184" t="str">
        <f>IFERROR(__xludf.DUMMYFUNCTION("""COMPUTED_VALUE"""),"")</f>
        <v/>
      </c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</row>
    <row r="782">
      <c r="A782" s="198"/>
      <c r="D782" s="198" t="str">
        <f>IFERROR(__xludf.DUMMYFUNCTION("""COMPUTED_VALUE"""),"FALSE")</f>
        <v>FALSE</v>
      </c>
      <c r="E782" s="198" t="str">
        <f>IFERROR(__xludf.DUMMYFUNCTION("""COMPUTED_VALUE"""),"FALSE")</f>
        <v>FALSE</v>
      </c>
      <c r="F782" s="198"/>
      <c r="J782" s="184" t="str">
        <f>IFERROR(__xludf.DUMMYFUNCTION("""COMPUTED_VALUE"""),"")</f>
        <v/>
      </c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</row>
    <row r="783">
      <c r="A783" s="198"/>
      <c r="D783" s="198" t="str">
        <f>IFERROR(__xludf.DUMMYFUNCTION("""COMPUTED_VALUE"""),"FALSE")</f>
        <v>FALSE</v>
      </c>
      <c r="E783" s="198" t="str">
        <f>IFERROR(__xludf.DUMMYFUNCTION("""COMPUTED_VALUE"""),"FALSE")</f>
        <v>FALSE</v>
      </c>
      <c r="F783" s="198"/>
      <c r="J783" s="184" t="str">
        <f>IFERROR(__xludf.DUMMYFUNCTION("""COMPUTED_VALUE"""),"")</f>
        <v/>
      </c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</row>
    <row r="784">
      <c r="A784" s="198"/>
      <c r="D784" s="198" t="str">
        <f>IFERROR(__xludf.DUMMYFUNCTION("""COMPUTED_VALUE"""),"FALSE")</f>
        <v>FALSE</v>
      </c>
      <c r="E784" s="198" t="str">
        <f>IFERROR(__xludf.DUMMYFUNCTION("""COMPUTED_VALUE"""),"FALSE")</f>
        <v>FALSE</v>
      </c>
      <c r="F784" s="198"/>
      <c r="J784" s="184" t="str">
        <f>IFERROR(__xludf.DUMMYFUNCTION("""COMPUTED_VALUE"""),"")</f>
        <v/>
      </c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</row>
    <row r="785">
      <c r="A785" s="198"/>
      <c r="D785" s="198" t="str">
        <f>IFERROR(__xludf.DUMMYFUNCTION("""COMPUTED_VALUE"""),"FALSE")</f>
        <v>FALSE</v>
      </c>
      <c r="E785" s="198" t="str">
        <f>IFERROR(__xludf.DUMMYFUNCTION("""COMPUTED_VALUE"""),"FALSE")</f>
        <v>FALSE</v>
      </c>
      <c r="F785" s="198"/>
      <c r="J785" s="184" t="str">
        <f>IFERROR(__xludf.DUMMYFUNCTION("""COMPUTED_VALUE"""),"")</f>
        <v/>
      </c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</row>
    <row r="786">
      <c r="A786" s="198"/>
      <c r="D786" s="198" t="str">
        <f>IFERROR(__xludf.DUMMYFUNCTION("""COMPUTED_VALUE"""),"FALSE")</f>
        <v>FALSE</v>
      </c>
      <c r="E786" s="198" t="str">
        <f>IFERROR(__xludf.DUMMYFUNCTION("""COMPUTED_VALUE"""),"FALSE")</f>
        <v>FALSE</v>
      </c>
      <c r="F786" s="198"/>
      <c r="J786" s="184" t="str">
        <f>IFERROR(__xludf.DUMMYFUNCTION("""COMPUTED_VALUE"""),"")</f>
        <v/>
      </c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</row>
    <row r="787">
      <c r="A787" s="198"/>
      <c r="D787" s="198" t="str">
        <f>IFERROR(__xludf.DUMMYFUNCTION("""COMPUTED_VALUE"""),"FALSE")</f>
        <v>FALSE</v>
      </c>
      <c r="E787" s="198" t="str">
        <f>IFERROR(__xludf.DUMMYFUNCTION("""COMPUTED_VALUE"""),"FALSE")</f>
        <v>FALSE</v>
      </c>
      <c r="F787" s="198"/>
      <c r="J787" s="184" t="str">
        <f>IFERROR(__xludf.DUMMYFUNCTION("""COMPUTED_VALUE"""),"")</f>
        <v/>
      </c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</row>
    <row r="788">
      <c r="A788" s="198"/>
      <c r="D788" s="198" t="str">
        <f>IFERROR(__xludf.DUMMYFUNCTION("""COMPUTED_VALUE"""),"FALSE")</f>
        <v>FALSE</v>
      </c>
      <c r="E788" s="198" t="str">
        <f>IFERROR(__xludf.DUMMYFUNCTION("""COMPUTED_VALUE"""),"FALSE")</f>
        <v>FALSE</v>
      </c>
      <c r="F788" s="198"/>
      <c r="J788" s="184" t="str">
        <f>IFERROR(__xludf.DUMMYFUNCTION("""COMPUTED_VALUE"""),"")</f>
        <v/>
      </c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</row>
    <row r="789">
      <c r="A789" s="198"/>
      <c r="D789" s="198" t="str">
        <f>IFERROR(__xludf.DUMMYFUNCTION("""COMPUTED_VALUE"""),"FALSE")</f>
        <v>FALSE</v>
      </c>
      <c r="E789" s="198" t="str">
        <f>IFERROR(__xludf.DUMMYFUNCTION("""COMPUTED_VALUE"""),"FALSE")</f>
        <v>FALSE</v>
      </c>
      <c r="F789" s="198"/>
      <c r="J789" s="184" t="str">
        <f>IFERROR(__xludf.DUMMYFUNCTION("""COMPUTED_VALUE"""),"")</f>
        <v/>
      </c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</row>
    <row r="790">
      <c r="A790" s="198"/>
      <c r="D790" s="198" t="str">
        <f>IFERROR(__xludf.DUMMYFUNCTION("""COMPUTED_VALUE"""),"FALSE")</f>
        <v>FALSE</v>
      </c>
      <c r="E790" s="198" t="str">
        <f>IFERROR(__xludf.DUMMYFUNCTION("""COMPUTED_VALUE"""),"FALSE")</f>
        <v>FALSE</v>
      </c>
      <c r="F790" s="198"/>
      <c r="J790" s="184" t="str">
        <f>IFERROR(__xludf.DUMMYFUNCTION("""COMPUTED_VALUE"""),"")</f>
        <v/>
      </c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</row>
    <row r="791">
      <c r="A791" s="198"/>
      <c r="D791" s="198" t="str">
        <f>IFERROR(__xludf.DUMMYFUNCTION("""COMPUTED_VALUE"""),"FALSE")</f>
        <v>FALSE</v>
      </c>
      <c r="E791" s="198" t="str">
        <f>IFERROR(__xludf.DUMMYFUNCTION("""COMPUTED_VALUE"""),"FALSE")</f>
        <v>FALSE</v>
      </c>
      <c r="F791" s="198"/>
      <c r="J791" s="184" t="str">
        <f>IFERROR(__xludf.DUMMYFUNCTION("""COMPUTED_VALUE"""),"")</f>
        <v/>
      </c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</row>
    <row r="792">
      <c r="A792" s="198"/>
      <c r="D792" s="198" t="str">
        <f>IFERROR(__xludf.DUMMYFUNCTION("""COMPUTED_VALUE"""),"FALSE")</f>
        <v>FALSE</v>
      </c>
      <c r="E792" s="198" t="str">
        <f>IFERROR(__xludf.DUMMYFUNCTION("""COMPUTED_VALUE"""),"FALSE")</f>
        <v>FALSE</v>
      </c>
      <c r="F792" s="198"/>
      <c r="J792" s="184" t="str">
        <f>IFERROR(__xludf.DUMMYFUNCTION("""COMPUTED_VALUE"""),"")</f>
        <v/>
      </c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</row>
    <row r="793">
      <c r="A793" s="198"/>
      <c r="D793" s="198" t="str">
        <f>IFERROR(__xludf.DUMMYFUNCTION("""COMPUTED_VALUE"""),"FALSE")</f>
        <v>FALSE</v>
      </c>
      <c r="E793" s="198" t="str">
        <f>IFERROR(__xludf.DUMMYFUNCTION("""COMPUTED_VALUE"""),"FALSE")</f>
        <v>FALSE</v>
      </c>
      <c r="F793" s="198"/>
      <c r="J793" s="184" t="str">
        <f>IFERROR(__xludf.DUMMYFUNCTION("""COMPUTED_VALUE"""),"")</f>
        <v/>
      </c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</row>
    <row r="794">
      <c r="A794" s="198"/>
      <c r="D794" s="198" t="str">
        <f>IFERROR(__xludf.DUMMYFUNCTION("""COMPUTED_VALUE"""),"FALSE")</f>
        <v>FALSE</v>
      </c>
      <c r="E794" s="198" t="str">
        <f>IFERROR(__xludf.DUMMYFUNCTION("""COMPUTED_VALUE"""),"FALSE")</f>
        <v>FALSE</v>
      </c>
      <c r="F794" s="198"/>
      <c r="J794" s="184" t="str">
        <f>IFERROR(__xludf.DUMMYFUNCTION("""COMPUTED_VALUE"""),"")</f>
        <v/>
      </c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</row>
    <row r="795">
      <c r="A795" s="198"/>
      <c r="D795" s="198" t="str">
        <f>IFERROR(__xludf.DUMMYFUNCTION("""COMPUTED_VALUE"""),"FALSE")</f>
        <v>FALSE</v>
      </c>
      <c r="E795" s="198" t="str">
        <f>IFERROR(__xludf.DUMMYFUNCTION("""COMPUTED_VALUE"""),"FALSE")</f>
        <v>FALSE</v>
      </c>
      <c r="F795" s="198"/>
      <c r="J795" s="184" t="str">
        <f>IFERROR(__xludf.DUMMYFUNCTION("""COMPUTED_VALUE"""),"")</f>
        <v/>
      </c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</row>
    <row r="796">
      <c r="A796" s="198"/>
      <c r="D796" s="198" t="str">
        <f>IFERROR(__xludf.DUMMYFUNCTION("""COMPUTED_VALUE"""),"FALSE")</f>
        <v>FALSE</v>
      </c>
      <c r="E796" s="198" t="str">
        <f>IFERROR(__xludf.DUMMYFUNCTION("""COMPUTED_VALUE"""),"FALSE")</f>
        <v>FALSE</v>
      </c>
      <c r="F796" s="198"/>
      <c r="J796" s="184" t="str">
        <f>IFERROR(__xludf.DUMMYFUNCTION("""COMPUTED_VALUE"""),"")</f>
        <v/>
      </c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</row>
    <row r="797">
      <c r="A797" s="198"/>
      <c r="D797" s="198" t="str">
        <f>IFERROR(__xludf.DUMMYFUNCTION("""COMPUTED_VALUE"""),"FALSE")</f>
        <v>FALSE</v>
      </c>
      <c r="E797" s="198" t="str">
        <f>IFERROR(__xludf.DUMMYFUNCTION("""COMPUTED_VALUE"""),"FALSE")</f>
        <v>FALSE</v>
      </c>
      <c r="F797" s="198"/>
      <c r="J797" s="184" t="str">
        <f>IFERROR(__xludf.DUMMYFUNCTION("""COMPUTED_VALUE"""),"")</f>
        <v/>
      </c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</row>
    <row r="798">
      <c r="A798" s="198"/>
      <c r="D798" s="198" t="str">
        <f>IFERROR(__xludf.DUMMYFUNCTION("""COMPUTED_VALUE"""),"FALSE")</f>
        <v>FALSE</v>
      </c>
      <c r="E798" s="198" t="str">
        <f>IFERROR(__xludf.DUMMYFUNCTION("""COMPUTED_VALUE"""),"FALSE")</f>
        <v>FALSE</v>
      </c>
      <c r="F798" s="198"/>
      <c r="J798" s="184" t="str">
        <f>IFERROR(__xludf.DUMMYFUNCTION("""COMPUTED_VALUE"""),"")</f>
        <v/>
      </c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</row>
    <row r="799">
      <c r="A799" s="198"/>
      <c r="D799" s="198" t="str">
        <f>IFERROR(__xludf.DUMMYFUNCTION("""COMPUTED_VALUE"""),"FALSE")</f>
        <v>FALSE</v>
      </c>
      <c r="E799" s="198" t="str">
        <f>IFERROR(__xludf.DUMMYFUNCTION("""COMPUTED_VALUE"""),"FALSE")</f>
        <v>FALSE</v>
      </c>
      <c r="F799" s="198"/>
      <c r="J799" s="184" t="str">
        <f>IFERROR(__xludf.DUMMYFUNCTION("""COMPUTED_VALUE"""),"")</f>
        <v/>
      </c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</row>
    <row r="800">
      <c r="A800" s="198"/>
      <c r="D800" s="198" t="str">
        <f>IFERROR(__xludf.DUMMYFUNCTION("""COMPUTED_VALUE"""),"FALSE")</f>
        <v>FALSE</v>
      </c>
      <c r="E800" s="198" t="str">
        <f>IFERROR(__xludf.DUMMYFUNCTION("""COMPUTED_VALUE"""),"FALSE")</f>
        <v>FALSE</v>
      </c>
      <c r="F800" s="198"/>
      <c r="J800" s="184" t="str">
        <f>IFERROR(__xludf.DUMMYFUNCTION("""COMPUTED_VALUE"""),"")</f>
        <v/>
      </c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</row>
    <row r="801">
      <c r="A801" s="198"/>
      <c r="D801" s="198" t="str">
        <f>IFERROR(__xludf.DUMMYFUNCTION("""COMPUTED_VALUE"""),"FALSE")</f>
        <v>FALSE</v>
      </c>
      <c r="E801" s="198" t="str">
        <f>IFERROR(__xludf.DUMMYFUNCTION("""COMPUTED_VALUE"""),"FALSE")</f>
        <v>FALSE</v>
      </c>
      <c r="F801" s="198"/>
      <c r="J801" s="184" t="str">
        <f>IFERROR(__xludf.DUMMYFUNCTION("""COMPUTED_VALUE"""),"")</f>
        <v/>
      </c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</row>
    <row r="802">
      <c r="A802" s="198"/>
      <c r="D802" s="198" t="str">
        <f>IFERROR(__xludf.DUMMYFUNCTION("""COMPUTED_VALUE"""),"FALSE")</f>
        <v>FALSE</v>
      </c>
      <c r="E802" s="198" t="str">
        <f>IFERROR(__xludf.DUMMYFUNCTION("""COMPUTED_VALUE"""),"FALSE")</f>
        <v>FALSE</v>
      </c>
      <c r="F802" s="198"/>
      <c r="J802" s="184" t="str">
        <f>IFERROR(__xludf.DUMMYFUNCTION("""COMPUTED_VALUE"""),"")</f>
        <v/>
      </c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</row>
    <row r="803">
      <c r="A803" s="198"/>
      <c r="D803" s="198" t="str">
        <f>IFERROR(__xludf.DUMMYFUNCTION("""COMPUTED_VALUE"""),"FALSE")</f>
        <v>FALSE</v>
      </c>
      <c r="E803" s="198" t="str">
        <f>IFERROR(__xludf.DUMMYFUNCTION("""COMPUTED_VALUE"""),"FALSE")</f>
        <v>FALSE</v>
      </c>
      <c r="F803" s="198"/>
      <c r="J803" s="184" t="str">
        <f>IFERROR(__xludf.DUMMYFUNCTION("""COMPUTED_VALUE"""),"")</f>
        <v/>
      </c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</row>
    <row r="804">
      <c r="A804" s="198"/>
      <c r="D804" s="198" t="str">
        <f>IFERROR(__xludf.DUMMYFUNCTION("""COMPUTED_VALUE"""),"FALSE")</f>
        <v>FALSE</v>
      </c>
      <c r="E804" s="198" t="str">
        <f>IFERROR(__xludf.DUMMYFUNCTION("""COMPUTED_VALUE"""),"FALSE")</f>
        <v>FALSE</v>
      </c>
      <c r="F804" s="198"/>
      <c r="J804" s="184" t="str">
        <f>IFERROR(__xludf.DUMMYFUNCTION("""COMPUTED_VALUE"""),"")</f>
        <v/>
      </c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</row>
    <row r="805">
      <c r="A805" s="198"/>
      <c r="D805" s="198" t="str">
        <f>IFERROR(__xludf.DUMMYFUNCTION("""COMPUTED_VALUE"""),"FALSE")</f>
        <v>FALSE</v>
      </c>
      <c r="E805" s="198" t="str">
        <f>IFERROR(__xludf.DUMMYFUNCTION("""COMPUTED_VALUE"""),"FALSE")</f>
        <v>FALSE</v>
      </c>
      <c r="F805" s="198"/>
      <c r="J805" s="184" t="str">
        <f>IFERROR(__xludf.DUMMYFUNCTION("""COMPUTED_VALUE"""),"")</f>
        <v/>
      </c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</row>
    <row r="806">
      <c r="A806" s="198"/>
      <c r="D806" s="198" t="str">
        <f>IFERROR(__xludf.DUMMYFUNCTION("""COMPUTED_VALUE"""),"FALSE")</f>
        <v>FALSE</v>
      </c>
      <c r="E806" s="198" t="str">
        <f>IFERROR(__xludf.DUMMYFUNCTION("""COMPUTED_VALUE"""),"FALSE")</f>
        <v>FALSE</v>
      </c>
      <c r="F806" s="198"/>
      <c r="J806" s="184" t="str">
        <f>IFERROR(__xludf.DUMMYFUNCTION("""COMPUTED_VALUE"""),"")</f>
        <v/>
      </c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</row>
    <row r="807">
      <c r="A807" s="198"/>
      <c r="D807" s="198" t="str">
        <f>IFERROR(__xludf.DUMMYFUNCTION("""COMPUTED_VALUE"""),"FALSE")</f>
        <v>FALSE</v>
      </c>
      <c r="E807" s="198" t="str">
        <f>IFERROR(__xludf.DUMMYFUNCTION("""COMPUTED_VALUE"""),"FALSE")</f>
        <v>FALSE</v>
      </c>
      <c r="F807" s="198"/>
      <c r="J807" s="184" t="str">
        <f>IFERROR(__xludf.DUMMYFUNCTION("""COMPUTED_VALUE"""),"")</f>
        <v/>
      </c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</row>
    <row r="808">
      <c r="A808" s="198"/>
      <c r="D808" s="198" t="str">
        <f>IFERROR(__xludf.DUMMYFUNCTION("""COMPUTED_VALUE"""),"FALSE")</f>
        <v>FALSE</v>
      </c>
      <c r="E808" s="198" t="str">
        <f>IFERROR(__xludf.DUMMYFUNCTION("""COMPUTED_VALUE"""),"FALSE")</f>
        <v>FALSE</v>
      </c>
      <c r="F808" s="198"/>
      <c r="J808" s="184" t="str">
        <f>IFERROR(__xludf.DUMMYFUNCTION("""COMPUTED_VALUE"""),"")</f>
        <v/>
      </c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</row>
    <row r="809">
      <c r="A809" s="198"/>
      <c r="D809" s="198" t="str">
        <f>IFERROR(__xludf.DUMMYFUNCTION("""COMPUTED_VALUE"""),"FALSE")</f>
        <v>FALSE</v>
      </c>
      <c r="E809" s="198" t="str">
        <f>IFERROR(__xludf.DUMMYFUNCTION("""COMPUTED_VALUE"""),"FALSE")</f>
        <v>FALSE</v>
      </c>
      <c r="F809" s="198"/>
      <c r="J809" s="184" t="str">
        <f>IFERROR(__xludf.DUMMYFUNCTION("""COMPUTED_VALUE"""),"")</f>
        <v/>
      </c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</row>
    <row r="810">
      <c r="A810" s="198"/>
      <c r="D810" s="198" t="str">
        <f>IFERROR(__xludf.DUMMYFUNCTION("""COMPUTED_VALUE"""),"FALSE")</f>
        <v>FALSE</v>
      </c>
      <c r="E810" s="198" t="str">
        <f>IFERROR(__xludf.DUMMYFUNCTION("""COMPUTED_VALUE"""),"FALSE")</f>
        <v>FALSE</v>
      </c>
      <c r="F810" s="198"/>
      <c r="J810" s="184" t="str">
        <f>IFERROR(__xludf.DUMMYFUNCTION("""COMPUTED_VALUE"""),"")</f>
        <v/>
      </c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</row>
    <row r="811">
      <c r="A811" s="198"/>
      <c r="D811" s="198" t="str">
        <f>IFERROR(__xludf.DUMMYFUNCTION("""COMPUTED_VALUE"""),"FALSE")</f>
        <v>FALSE</v>
      </c>
      <c r="E811" s="198" t="str">
        <f>IFERROR(__xludf.DUMMYFUNCTION("""COMPUTED_VALUE"""),"FALSE")</f>
        <v>FALSE</v>
      </c>
      <c r="F811" s="198"/>
      <c r="J811" s="184" t="str">
        <f>IFERROR(__xludf.DUMMYFUNCTION("""COMPUTED_VALUE"""),"")</f>
        <v/>
      </c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</row>
    <row r="812">
      <c r="A812" s="198"/>
      <c r="D812" s="198" t="str">
        <f>IFERROR(__xludf.DUMMYFUNCTION("""COMPUTED_VALUE"""),"FALSE")</f>
        <v>FALSE</v>
      </c>
      <c r="E812" s="198" t="str">
        <f>IFERROR(__xludf.DUMMYFUNCTION("""COMPUTED_VALUE"""),"FALSE")</f>
        <v>FALSE</v>
      </c>
      <c r="F812" s="198"/>
      <c r="J812" s="184" t="str">
        <f>IFERROR(__xludf.DUMMYFUNCTION("""COMPUTED_VALUE"""),"")</f>
        <v/>
      </c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</row>
    <row r="813">
      <c r="A813" s="198"/>
      <c r="D813" s="198" t="str">
        <f>IFERROR(__xludf.DUMMYFUNCTION("""COMPUTED_VALUE"""),"FALSE")</f>
        <v>FALSE</v>
      </c>
      <c r="E813" s="198" t="str">
        <f>IFERROR(__xludf.DUMMYFUNCTION("""COMPUTED_VALUE"""),"FALSE")</f>
        <v>FALSE</v>
      </c>
      <c r="F813" s="198"/>
      <c r="J813" s="184" t="str">
        <f>IFERROR(__xludf.DUMMYFUNCTION("""COMPUTED_VALUE"""),"")</f>
        <v/>
      </c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</row>
    <row r="814">
      <c r="A814" s="198"/>
      <c r="D814" s="198" t="str">
        <f>IFERROR(__xludf.DUMMYFUNCTION("""COMPUTED_VALUE"""),"FALSE")</f>
        <v>FALSE</v>
      </c>
      <c r="E814" s="198" t="str">
        <f>IFERROR(__xludf.DUMMYFUNCTION("""COMPUTED_VALUE"""),"FALSE")</f>
        <v>FALSE</v>
      </c>
      <c r="F814" s="198"/>
      <c r="J814" s="184" t="str">
        <f>IFERROR(__xludf.DUMMYFUNCTION("""COMPUTED_VALUE"""),"")</f>
        <v/>
      </c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</row>
    <row r="815">
      <c r="A815" s="198"/>
      <c r="D815" s="198" t="str">
        <f>IFERROR(__xludf.DUMMYFUNCTION("""COMPUTED_VALUE"""),"FALSE")</f>
        <v>FALSE</v>
      </c>
      <c r="E815" s="198" t="str">
        <f>IFERROR(__xludf.DUMMYFUNCTION("""COMPUTED_VALUE"""),"FALSE")</f>
        <v>FALSE</v>
      </c>
      <c r="F815" s="198"/>
      <c r="J815" s="184" t="str">
        <f>IFERROR(__xludf.DUMMYFUNCTION("""COMPUTED_VALUE"""),"")</f>
        <v/>
      </c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</row>
    <row r="816">
      <c r="A816" s="198"/>
      <c r="D816" s="198" t="str">
        <f>IFERROR(__xludf.DUMMYFUNCTION("""COMPUTED_VALUE"""),"FALSE")</f>
        <v>FALSE</v>
      </c>
      <c r="E816" s="198" t="str">
        <f>IFERROR(__xludf.DUMMYFUNCTION("""COMPUTED_VALUE"""),"FALSE")</f>
        <v>FALSE</v>
      </c>
      <c r="F816" s="198"/>
      <c r="J816" s="184" t="str">
        <f>IFERROR(__xludf.DUMMYFUNCTION("""COMPUTED_VALUE"""),"")</f>
        <v/>
      </c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</row>
    <row r="817">
      <c r="A817" s="198"/>
      <c r="D817" s="198" t="str">
        <f>IFERROR(__xludf.DUMMYFUNCTION("""COMPUTED_VALUE"""),"FALSE")</f>
        <v>FALSE</v>
      </c>
      <c r="E817" s="198" t="str">
        <f>IFERROR(__xludf.DUMMYFUNCTION("""COMPUTED_VALUE"""),"FALSE")</f>
        <v>FALSE</v>
      </c>
      <c r="F817" s="198"/>
      <c r="J817" s="184" t="str">
        <f>IFERROR(__xludf.DUMMYFUNCTION("""COMPUTED_VALUE"""),"")</f>
        <v/>
      </c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</row>
    <row r="818">
      <c r="A818" s="198"/>
      <c r="D818" s="198" t="str">
        <f>IFERROR(__xludf.DUMMYFUNCTION("""COMPUTED_VALUE"""),"FALSE")</f>
        <v>FALSE</v>
      </c>
      <c r="E818" s="198" t="str">
        <f>IFERROR(__xludf.DUMMYFUNCTION("""COMPUTED_VALUE"""),"FALSE")</f>
        <v>FALSE</v>
      </c>
      <c r="F818" s="198"/>
      <c r="J818" s="184" t="str">
        <f>IFERROR(__xludf.DUMMYFUNCTION("""COMPUTED_VALUE"""),"")</f>
        <v/>
      </c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</row>
    <row r="819">
      <c r="A819" s="198"/>
      <c r="D819" s="198" t="str">
        <f>IFERROR(__xludf.DUMMYFUNCTION("""COMPUTED_VALUE"""),"FALSE")</f>
        <v>FALSE</v>
      </c>
      <c r="E819" s="198" t="str">
        <f>IFERROR(__xludf.DUMMYFUNCTION("""COMPUTED_VALUE"""),"FALSE")</f>
        <v>FALSE</v>
      </c>
      <c r="F819" s="198"/>
      <c r="J819" s="184" t="str">
        <f>IFERROR(__xludf.DUMMYFUNCTION("""COMPUTED_VALUE"""),"")</f>
        <v/>
      </c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</row>
    <row r="820">
      <c r="A820" s="198"/>
      <c r="D820" s="198" t="str">
        <f>IFERROR(__xludf.DUMMYFUNCTION("""COMPUTED_VALUE"""),"FALSE")</f>
        <v>FALSE</v>
      </c>
      <c r="E820" s="198" t="str">
        <f>IFERROR(__xludf.DUMMYFUNCTION("""COMPUTED_VALUE"""),"FALSE")</f>
        <v>FALSE</v>
      </c>
      <c r="F820" s="198"/>
      <c r="J820" s="184" t="str">
        <f>IFERROR(__xludf.DUMMYFUNCTION("""COMPUTED_VALUE"""),"")</f>
        <v/>
      </c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</row>
    <row r="821">
      <c r="A821" s="198"/>
      <c r="D821" s="198" t="str">
        <f>IFERROR(__xludf.DUMMYFUNCTION("""COMPUTED_VALUE"""),"FALSE")</f>
        <v>FALSE</v>
      </c>
      <c r="E821" s="198" t="str">
        <f>IFERROR(__xludf.DUMMYFUNCTION("""COMPUTED_VALUE"""),"FALSE")</f>
        <v>FALSE</v>
      </c>
      <c r="F821" s="198"/>
      <c r="J821" s="184" t="str">
        <f>IFERROR(__xludf.DUMMYFUNCTION("""COMPUTED_VALUE"""),"")</f>
        <v/>
      </c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</row>
    <row r="822">
      <c r="A822" s="198"/>
      <c r="D822" s="198" t="str">
        <f>IFERROR(__xludf.DUMMYFUNCTION("""COMPUTED_VALUE"""),"FALSE")</f>
        <v>FALSE</v>
      </c>
      <c r="E822" s="198" t="str">
        <f>IFERROR(__xludf.DUMMYFUNCTION("""COMPUTED_VALUE"""),"FALSE")</f>
        <v>FALSE</v>
      </c>
      <c r="F822" s="198"/>
      <c r="J822" s="184" t="str">
        <f>IFERROR(__xludf.DUMMYFUNCTION("""COMPUTED_VALUE"""),"")</f>
        <v/>
      </c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</row>
    <row r="823">
      <c r="A823" s="198"/>
      <c r="D823" s="198" t="str">
        <f>IFERROR(__xludf.DUMMYFUNCTION("""COMPUTED_VALUE"""),"FALSE")</f>
        <v>FALSE</v>
      </c>
      <c r="E823" s="198" t="str">
        <f>IFERROR(__xludf.DUMMYFUNCTION("""COMPUTED_VALUE"""),"FALSE")</f>
        <v>FALSE</v>
      </c>
      <c r="F823" s="198"/>
      <c r="J823" s="184" t="str">
        <f>IFERROR(__xludf.DUMMYFUNCTION("""COMPUTED_VALUE"""),"")</f>
        <v/>
      </c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</row>
    <row r="824">
      <c r="A824" s="198"/>
      <c r="D824" s="198" t="str">
        <f>IFERROR(__xludf.DUMMYFUNCTION("""COMPUTED_VALUE"""),"FALSE")</f>
        <v>FALSE</v>
      </c>
      <c r="E824" s="198" t="str">
        <f>IFERROR(__xludf.DUMMYFUNCTION("""COMPUTED_VALUE"""),"FALSE")</f>
        <v>FALSE</v>
      </c>
      <c r="F824" s="198"/>
      <c r="J824" s="184" t="str">
        <f>IFERROR(__xludf.DUMMYFUNCTION("""COMPUTED_VALUE"""),"")</f>
        <v/>
      </c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</row>
    <row r="825">
      <c r="A825" s="198"/>
      <c r="D825" s="198" t="str">
        <f>IFERROR(__xludf.DUMMYFUNCTION("""COMPUTED_VALUE"""),"FALSE")</f>
        <v>FALSE</v>
      </c>
      <c r="E825" s="198" t="str">
        <f>IFERROR(__xludf.DUMMYFUNCTION("""COMPUTED_VALUE"""),"FALSE")</f>
        <v>FALSE</v>
      </c>
      <c r="F825" s="198"/>
      <c r="J825" s="184" t="str">
        <f>IFERROR(__xludf.DUMMYFUNCTION("""COMPUTED_VALUE"""),"")</f>
        <v/>
      </c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</row>
    <row r="826">
      <c r="A826" s="198"/>
      <c r="D826" s="198" t="str">
        <f>IFERROR(__xludf.DUMMYFUNCTION("""COMPUTED_VALUE"""),"FALSE")</f>
        <v>FALSE</v>
      </c>
      <c r="E826" s="198" t="str">
        <f>IFERROR(__xludf.DUMMYFUNCTION("""COMPUTED_VALUE"""),"FALSE")</f>
        <v>FALSE</v>
      </c>
      <c r="F826" s="198"/>
      <c r="J826" s="184" t="str">
        <f>IFERROR(__xludf.DUMMYFUNCTION("""COMPUTED_VALUE"""),"")</f>
        <v/>
      </c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</row>
    <row r="827">
      <c r="A827" s="198"/>
      <c r="D827" s="198" t="str">
        <f>IFERROR(__xludf.DUMMYFUNCTION("""COMPUTED_VALUE"""),"FALSE")</f>
        <v>FALSE</v>
      </c>
      <c r="E827" s="198" t="str">
        <f>IFERROR(__xludf.DUMMYFUNCTION("""COMPUTED_VALUE"""),"FALSE")</f>
        <v>FALSE</v>
      </c>
      <c r="F827" s="198"/>
      <c r="J827" s="184" t="str">
        <f>IFERROR(__xludf.DUMMYFUNCTION("""COMPUTED_VALUE"""),"")</f>
        <v/>
      </c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</row>
    <row r="828">
      <c r="A828" s="198"/>
      <c r="D828" s="198" t="str">
        <f>IFERROR(__xludf.DUMMYFUNCTION("""COMPUTED_VALUE"""),"FALSE")</f>
        <v>FALSE</v>
      </c>
      <c r="E828" s="198" t="str">
        <f>IFERROR(__xludf.DUMMYFUNCTION("""COMPUTED_VALUE"""),"FALSE")</f>
        <v>FALSE</v>
      </c>
      <c r="F828" s="198"/>
      <c r="J828" s="184" t="str">
        <f>IFERROR(__xludf.DUMMYFUNCTION("""COMPUTED_VALUE"""),"")</f>
        <v/>
      </c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</row>
    <row r="829">
      <c r="A829" s="198"/>
      <c r="D829" s="198" t="str">
        <f>IFERROR(__xludf.DUMMYFUNCTION("""COMPUTED_VALUE"""),"FALSE")</f>
        <v>FALSE</v>
      </c>
      <c r="E829" s="198" t="str">
        <f>IFERROR(__xludf.DUMMYFUNCTION("""COMPUTED_VALUE"""),"FALSE")</f>
        <v>FALSE</v>
      </c>
      <c r="F829" s="198"/>
      <c r="J829" s="184" t="str">
        <f>IFERROR(__xludf.DUMMYFUNCTION("""COMPUTED_VALUE"""),"")</f>
        <v/>
      </c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</row>
    <row r="830">
      <c r="A830" s="198"/>
      <c r="D830" s="198" t="str">
        <f>IFERROR(__xludf.DUMMYFUNCTION("""COMPUTED_VALUE"""),"FALSE")</f>
        <v>FALSE</v>
      </c>
      <c r="E830" s="198" t="str">
        <f>IFERROR(__xludf.DUMMYFUNCTION("""COMPUTED_VALUE"""),"FALSE")</f>
        <v>FALSE</v>
      </c>
      <c r="F830" s="198"/>
      <c r="J830" s="184" t="str">
        <f>IFERROR(__xludf.DUMMYFUNCTION("""COMPUTED_VALUE"""),"")</f>
        <v/>
      </c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</row>
    <row r="831">
      <c r="A831" s="198"/>
      <c r="D831" s="198" t="str">
        <f>IFERROR(__xludf.DUMMYFUNCTION("""COMPUTED_VALUE"""),"FALSE")</f>
        <v>FALSE</v>
      </c>
      <c r="E831" s="198" t="str">
        <f>IFERROR(__xludf.DUMMYFUNCTION("""COMPUTED_VALUE"""),"FALSE")</f>
        <v>FALSE</v>
      </c>
      <c r="F831" s="198"/>
      <c r="J831" s="184" t="str">
        <f>IFERROR(__xludf.DUMMYFUNCTION("""COMPUTED_VALUE"""),"")</f>
        <v/>
      </c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</row>
    <row r="832">
      <c r="A832" s="198"/>
      <c r="D832" s="198" t="str">
        <f>IFERROR(__xludf.DUMMYFUNCTION("""COMPUTED_VALUE"""),"FALSE")</f>
        <v>FALSE</v>
      </c>
      <c r="E832" s="198" t="str">
        <f>IFERROR(__xludf.DUMMYFUNCTION("""COMPUTED_VALUE"""),"FALSE")</f>
        <v>FALSE</v>
      </c>
      <c r="F832" s="198"/>
      <c r="J832" s="184" t="str">
        <f>IFERROR(__xludf.DUMMYFUNCTION("""COMPUTED_VALUE"""),"")</f>
        <v/>
      </c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</row>
    <row r="833">
      <c r="A833" s="198"/>
      <c r="D833" s="198" t="str">
        <f>IFERROR(__xludf.DUMMYFUNCTION("""COMPUTED_VALUE"""),"FALSE")</f>
        <v>FALSE</v>
      </c>
      <c r="E833" s="198" t="str">
        <f>IFERROR(__xludf.DUMMYFUNCTION("""COMPUTED_VALUE"""),"FALSE")</f>
        <v>FALSE</v>
      </c>
      <c r="F833" s="198"/>
      <c r="J833" s="184" t="str">
        <f>IFERROR(__xludf.DUMMYFUNCTION("""COMPUTED_VALUE"""),"")</f>
        <v/>
      </c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</row>
    <row r="834">
      <c r="A834" s="198"/>
      <c r="D834" s="198" t="str">
        <f>IFERROR(__xludf.DUMMYFUNCTION("""COMPUTED_VALUE"""),"FALSE")</f>
        <v>FALSE</v>
      </c>
      <c r="E834" s="198" t="str">
        <f>IFERROR(__xludf.DUMMYFUNCTION("""COMPUTED_VALUE"""),"FALSE")</f>
        <v>FALSE</v>
      </c>
      <c r="F834" s="198"/>
      <c r="J834" s="184" t="str">
        <f>IFERROR(__xludf.DUMMYFUNCTION("""COMPUTED_VALUE"""),"")</f>
        <v/>
      </c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</row>
    <row r="835">
      <c r="A835" s="198"/>
      <c r="D835" s="198" t="str">
        <f>IFERROR(__xludf.DUMMYFUNCTION("""COMPUTED_VALUE"""),"FALSE")</f>
        <v>FALSE</v>
      </c>
      <c r="E835" s="198" t="str">
        <f>IFERROR(__xludf.DUMMYFUNCTION("""COMPUTED_VALUE"""),"FALSE")</f>
        <v>FALSE</v>
      </c>
      <c r="F835" s="198"/>
      <c r="J835" s="184" t="str">
        <f>IFERROR(__xludf.DUMMYFUNCTION("""COMPUTED_VALUE"""),"")</f>
        <v/>
      </c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</row>
    <row r="836">
      <c r="A836" s="198"/>
      <c r="D836" s="198" t="str">
        <f>IFERROR(__xludf.DUMMYFUNCTION("""COMPUTED_VALUE"""),"FALSE")</f>
        <v>FALSE</v>
      </c>
      <c r="E836" s="198" t="str">
        <f>IFERROR(__xludf.DUMMYFUNCTION("""COMPUTED_VALUE"""),"FALSE")</f>
        <v>FALSE</v>
      </c>
      <c r="F836" s="198"/>
      <c r="J836" s="184" t="str">
        <f>IFERROR(__xludf.DUMMYFUNCTION("""COMPUTED_VALUE"""),"")</f>
        <v/>
      </c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</row>
    <row r="837">
      <c r="A837" s="198"/>
      <c r="D837" s="198" t="str">
        <f>IFERROR(__xludf.DUMMYFUNCTION("""COMPUTED_VALUE"""),"FALSE")</f>
        <v>FALSE</v>
      </c>
      <c r="E837" s="198" t="str">
        <f>IFERROR(__xludf.DUMMYFUNCTION("""COMPUTED_VALUE"""),"FALSE")</f>
        <v>FALSE</v>
      </c>
      <c r="F837" s="198"/>
      <c r="J837" s="184" t="str">
        <f>IFERROR(__xludf.DUMMYFUNCTION("""COMPUTED_VALUE"""),"")</f>
        <v/>
      </c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</row>
    <row r="838">
      <c r="A838" s="198"/>
      <c r="D838" s="198" t="str">
        <f>IFERROR(__xludf.DUMMYFUNCTION("""COMPUTED_VALUE"""),"FALSE")</f>
        <v>FALSE</v>
      </c>
      <c r="E838" s="198" t="str">
        <f>IFERROR(__xludf.DUMMYFUNCTION("""COMPUTED_VALUE"""),"FALSE")</f>
        <v>FALSE</v>
      </c>
      <c r="F838" s="198"/>
      <c r="J838" s="184" t="str">
        <f>IFERROR(__xludf.DUMMYFUNCTION("""COMPUTED_VALUE"""),"")</f>
        <v/>
      </c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</row>
    <row r="839">
      <c r="A839" s="198"/>
      <c r="D839" s="198" t="str">
        <f>IFERROR(__xludf.DUMMYFUNCTION("""COMPUTED_VALUE"""),"FALSE")</f>
        <v>FALSE</v>
      </c>
      <c r="E839" s="198" t="str">
        <f>IFERROR(__xludf.DUMMYFUNCTION("""COMPUTED_VALUE"""),"FALSE")</f>
        <v>FALSE</v>
      </c>
      <c r="F839" s="198"/>
      <c r="J839" s="184" t="str">
        <f>IFERROR(__xludf.DUMMYFUNCTION("""COMPUTED_VALUE"""),"")</f>
        <v/>
      </c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</row>
    <row r="840">
      <c r="A840" s="198"/>
      <c r="D840" s="198" t="str">
        <f>IFERROR(__xludf.DUMMYFUNCTION("""COMPUTED_VALUE"""),"FALSE")</f>
        <v>FALSE</v>
      </c>
      <c r="E840" s="198" t="str">
        <f>IFERROR(__xludf.DUMMYFUNCTION("""COMPUTED_VALUE"""),"FALSE")</f>
        <v>FALSE</v>
      </c>
      <c r="F840" s="198"/>
      <c r="J840" s="184" t="str">
        <f>IFERROR(__xludf.DUMMYFUNCTION("""COMPUTED_VALUE"""),"")</f>
        <v/>
      </c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</row>
    <row r="841">
      <c r="A841" s="198"/>
      <c r="D841" s="198" t="str">
        <f>IFERROR(__xludf.DUMMYFUNCTION("""COMPUTED_VALUE"""),"FALSE")</f>
        <v>FALSE</v>
      </c>
      <c r="E841" s="198" t="str">
        <f>IFERROR(__xludf.DUMMYFUNCTION("""COMPUTED_VALUE"""),"FALSE")</f>
        <v>FALSE</v>
      </c>
      <c r="F841" s="198"/>
      <c r="J841" s="184" t="str">
        <f>IFERROR(__xludf.DUMMYFUNCTION("""COMPUTED_VALUE"""),"")</f>
        <v/>
      </c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</row>
    <row r="842">
      <c r="A842" s="198"/>
      <c r="D842" s="198" t="str">
        <f>IFERROR(__xludf.DUMMYFUNCTION("""COMPUTED_VALUE"""),"FALSE")</f>
        <v>FALSE</v>
      </c>
      <c r="E842" s="198" t="str">
        <f>IFERROR(__xludf.DUMMYFUNCTION("""COMPUTED_VALUE"""),"FALSE")</f>
        <v>FALSE</v>
      </c>
      <c r="F842" s="198"/>
      <c r="J842" s="184" t="str">
        <f>IFERROR(__xludf.DUMMYFUNCTION("""COMPUTED_VALUE"""),"")</f>
        <v/>
      </c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</row>
    <row r="843">
      <c r="A843" s="198"/>
      <c r="D843" s="198" t="str">
        <f>IFERROR(__xludf.DUMMYFUNCTION("""COMPUTED_VALUE"""),"FALSE")</f>
        <v>FALSE</v>
      </c>
      <c r="E843" s="198" t="str">
        <f>IFERROR(__xludf.DUMMYFUNCTION("""COMPUTED_VALUE"""),"FALSE")</f>
        <v>FALSE</v>
      </c>
      <c r="F843" s="198"/>
      <c r="J843" s="184" t="str">
        <f>IFERROR(__xludf.DUMMYFUNCTION("""COMPUTED_VALUE"""),"")</f>
        <v/>
      </c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</row>
    <row r="844">
      <c r="A844" s="198"/>
      <c r="D844" s="198" t="str">
        <f>IFERROR(__xludf.DUMMYFUNCTION("""COMPUTED_VALUE"""),"FALSE")</f>
        <v>FALSE</v>
      </c>
      <c r="E844" s="198" t="str">
        <f>IFERROR(__xludf.DUMMYFUNCTION("""COMPUTED_VALUE"""),"FALSE")</f>
        <v>FALSE</v>
      </c>
      <c r="F844" s="198"/>
      <c r="J844" s="184" t="str">
        <f>IFERROR(__xludf.DUMMYFUNCTION("""COMPUTED_VALUE"""),"")</f>
        <v/>
      </c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</row>
    <row r="845">
      <c r="A845" s="198"/>
      <c r="D845" s="198" t="str">
        <f>IFERROR(__xludf.DUMMYFUNCTION("""COMPUTED_VALUE"""),"FALSE")</f>
        <v>FALSE</v>
      </c>
      <c r="E845" s="198" t="str">
        <f>IFERROR(__xludf.DUMMYFUNCTION("""COMPUTED_VALUE"""),"FALSE")</f>
        <v>FALSE</v>
      </c>
      <c r="F845" s="198"/>
      <c r="J845" s="184" t="str">
        <f>IFERROR(__xludf.DUMMYFUNCTION("""COMPUTED_VALUE"""),"")</f>
        <v/>
      </c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</row>
    <row r="846">
      <c r="A846" s="198"/>
      <c r="D846" s="198" t="str">
        <f>IFERROR(__xludf.DUMMYFUNCTION("""COMPUTED_VALUE"""),"FALSE")</f>
        <v>FALSE</v>
      </c>
      <c r="E846" s="198" t="str">
        <f>IFERROR(__xludf.DUMMYFUNCTION("""COMPUTED_VALUE"""),"FALSE")</f>
        <v>FALSE</v>
      </c>
      <c r="F846" s="198"/>
      <c r="J846" s="184" t="str">
        <f>IFERROR(__xludf.DUMMYFUNCTION("""COMPUTED_VALUE"""),"")</f>
        <v/>
      </c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</row>
    <row r="847">
      <c r="A847" s="198"/>
      <c r="D847" s="198" t="str">
        <f>IFERROR(__xludf.DUMMYFUNCTION("""COMPUTED_VALUE"""),"FALSE")</f>
        <v>FALSE</v>
      </c>
      <c r="E847" s="198" t="str">
        <f>IFERROR(__xludf.DUMMYFUNCTION("""COMPUTED_VALUE"""),"FALSE")</f>
        <v>FALSE</v>
      </c>
      <c r="F847" s="198"/>
      <c r="J847" s="184" t="str">
        <f>IFERROR(__xludf.DUMMYFUNCTION("""COMPUTED_VALUE"""),"")</f>
        <v/>
      </c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</row>
    <row r="848">
      <c r="A848" s="198"/>
      <c r="D848" s="198" t="str">
        <f>IFERROR(__xludf.DUMMYFUNCTION("""COMPUTED_VALUE"""),"FALSE")</f>
        <v>FALSE</v>
      </c>
      <c r="E848" s="198" t="str">
        <f>IFERROR(__xludf.DUMMYFUNCTION("""COMPUTED_VALUE"""),"FALSE")</f>
        <v>FALSE</v>
      </c>
      <c r="F848" s="198"/>
      <c r="J848" s="184" t="str">
        <f>IFERROR(__xludf.DUMMYFUNCTION("""COMPUTED_VALUE"""),"")</f>
        <v/>
      </c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</row>
    <row r="849">
      <c r="A849" s="198"/>
      <c r="D849" s="198" t="str">
        <f>IFERROR(__xludf.DUMMYFUNCTION("""COMPUTED_VALUE"""),"FALSE")</f>
        <v>FALSE</v>
      </c>
      <c r="E849" s="198" t="str">
        <f>IFERROR(__xludf.DUMMYFUNCTION("""COMPUTED_VALUE"""),"FALSE")</f>
        <v>FALSE</v>
      </c>
      <c r="F849" s="198"/>
      <c r="J849" s="184" t="str">
        <f>IFERROR(__xludf.DUMMYFUNCTION("""COMPUTED_VALUE"""),"")</f>
        <v/>
      </c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</row>
    <row r="850">
      <c r="A850" s="198"/>
      <c r="D850" s="198" t="str">
        <f>IFERROR(__xludf.DUMMYFUNCTION("""COMPUTED_VALUE"""),"FALSE")</f>
        <v>FALSE</v>
      </c>
      <c r="E850" s="198" t="str">
        <f>IFERROR(__xludf.DUMMYFUNCTION("""COMPUTED_VALUE"""),"FALSE")</f>
        <v>FALSE</v>
      </c>
      <c r="F850" s="198"/>
      <c r="J850" s="184" t="str">
        <f>IFERROR(__xludf.DUMMYFUNCTION("""COMPUTED_VALUE"""),"")</f>
        <v/>
      </c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</row>
    <row r="851">
      <c r="A851" s="198"/>
      <c r="D851" s="198" t="str">
        <f>IFERROR(__xludf.DUMMYFUNCTION("""COMPUTED_VALUE"""),"FALSE")</f>
        <v>FALSE</v>
      </c>
      <c r="E851" s="198" t="str">
        <f>IFERROR(__xludf.DUMMYFUNCTION("""COMPUTED_VALUE"""),"FALSE")</f>
        <v>FALSE</v>
      </c>
      <c r="F851" s="198"/>
      <c r="J851" s="184" t="str">
        <f>IFERROR(__xludf.DUMMYFUNCTION("""COMPUTED_VALUE"""),"")</f>
        <v/>
      </c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</row>
    <row r="852">
      <c r="A852" s="198"/>
      <c r="D852" s="198" t="str">
        <f>IFERROR(__xludf.DUMMYFUNCTION("""COMPUTED_VALUE"""),"FALSE")</f>
        <v>FALSE</v>
      </c>
      <c r="E852" s="198" t="str">
        <f>IFERROR(__xludf.DUMMYFUNCTION("""COMPUTED_VALUE"""),"FALSE")</f>
        <v>FALSE</v>
      </c>
      <c r="F852" s="198"/>
      <c r="J852" s="184" t="str">
        <f>IFERROR(__xludf.DUMMYFUNCTION("""COMPUTED_VALUE"""),"")</f>
        <v/>
      </c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</row>
    <row r="853">
      <c r="A853" s="198"/>
      <c r="D853" s="198" t="str">
        <f>IFERROR(__xludf.DUMMYFUNCTION("""COMPUTED_VALUE"""),"FALSE")</f>
        <v>FALSE</v>
      </c>
      <c r="E853" s="198" t="str">
        <f>IFERROR(__xludf.DUMMYFUNCTION("""COMPUTED_VALUE"""),"FALSE")</f>
        <v>FALSE</v>
      </c>
      <c r="F853" s="198"/>
      <c r="J853" s="184" t="str">
        <f>IFERROR(__xludf.DUMMYFUNCTION("""COMPUTED_VALUE"""),"")</f>
        <v/>
      </c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</row>
    <row r="854">
      <c r="A854" s="198"/>
      <c r="D854" s="198" t="str">
        <f>IFERROR(__xludf.DUMMYFUNCTION("""COMPUTED_VALUE"""),"FALSE")</f>
        <v>FALSE</v>
      </c>
      <c r="E854" s="198" t="str">
        <f>IFERROR(__xludf.DUMMYFUNCTION("""COMPUTED_VALUE"""),"FALSE")</f>
        <v>FALSE</v>
      </c>
      <c r="F854" s="198"/>
      <c r="J854" s="184" t="str">
        <f>IFERROR(__xludf.DUMMYFUNCTION("""COMPUTED_VALUE"""),"")</f>
        <v/>
      </c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</row>
    <row r="855">
      <c r="A855" s="198"/>
      <c r="D855" s="198" t="str">
        <f>IFERROR(__xludf.DUMMYFUNCTION("""COMPUTED_VALUE"""),"FALSE")</f>
        <v>FALSE</v>
      </c>
      <c r="E855" s="198" t="str">
        <f>IFERROR(__xludf.DUMMYFUNCTION("""COMPUTED_VALUE"""),"FALSE")</f>
        <v>FALSE</v>
      </c>
      <c r="F855" s="198"/>
      <c r="J855" s="184" t="str">
        <f>IFERROR(__xludf.DUMMYFUNCTION("""COMPUTED_VALUE"""),"")</f>
        <v/>
      </c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</row>
    <row r="856">
      <c r="A856" s="198"/>
      <c r="D856" s="198" t="str">
        <f>IFERROR(__xludf.DUMMYFUNCTION("""COMPUTED_VALUE"""),"FALSE")</f>
        <v>FALSE</v>
      </c>
      <c r="E856" s="198" t="str">
        <f>IFERROR(__xludf.DUMMYFUNCTION("""COMPUTED_VALUE"""),"FALSE")</f>
        <v>FALSE</v>
      </c>
      <c r="F856" s="198"/>
      <c r="J856" s="184" t="str">
        <f>IFERROR(__xludf.DUMMYFUNCTION("""COMPUTED_VALUE"""),"")</f>
        <v/>
      </c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</row>
    <row r="857">
      <c r="A857" s="198"/>
      <c r="D857" s="198" t="str">
        <f>IFERROR(__xludf.DUMMYFUNCTION("""COMPUTED_VALUE"""),"FALSE")</f>
        <v>FALSE</v>
      </c>
      <c r="E857" s="198" t="str">
        <f>IFERROR(__xludf.DUMMYFUNCTION("""COMPUTED_VALUE"""),"FALSE")</f>
        <v>FALSE</v>
      </c>
      <c r="F857" s="198"/>
      <c r="J857" s="184" t="str">
        <f>IFERROR(__xludf.DUMMYFUNCTION("""COMPUTED_VALUE"""),"")</f>
        <v/>
      </c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</row>
    <row r="858">
      <c r="A858" s="198"/>
      <c r="D858" s="198" t="str">
        <f>IFERROR(__xludf.DUMMYFUNCTION("""COMPUTED_VALUE"""),"FALSE")</f>
        <v>FALSE</v>
      </c>
      <c r="E858" s="198" t="str">
        <f>IFERROR(__xludf.DUMMYFUNCTION("""COMPUTED_VALUE"""),"FALSE")</f>
        <v>FALSE</v>
      </c>
      <c r="F858" s="198"/>
      <c r="J858" s="184" t="str">
        <f>IFERROR(__xludf.DUMMYFUNCTION("""COMPUTED_VALUE"""),"")</f>
        <v/>
      </c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</row>
    <row r="859">
      <c r="A859" s="198"/>
      <c r="D859" s="198" t="str">
        <f>IFERROR(__xludf.DUMMYFUNCTION("""COMPUTED_VALUE"""),"FALSE")</f>
        <v>FALSE</v>
      </c>
      <c r="E859" s="198" t="str">
        <f>IFERROR(__xludf.DUMMYFUNCTION("""COMPUTED_VALUE"""),"FALSE")</f>
        <v>FALSE</v>
      </c>
      <c r="F859" s="198"/>
      <c r="J859" s="184" t="str">
        <f>IFERROR(__xludf.DUMMYFUNCTION("""COMPUTED_VALUE"""),"")</f>
        <v/>
      </c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</row>
    <row r="860">
      <c r="A860" s="198"/>
      <c r="D860" s="198" t="str">
        <f>IFERROR(__xludf.DUMMYFUNCTION("""COMPUTED_VALUE"""),"FALSE")</f>
        <v>FALSE</v>
      </c>
      <c r="E860" s="198" t="str">
        <f>IFERROR(__xludf.DUMMYFUNCTION("""COMPUTED_VALUE"""),"FALSE")</f>
        <v>FALSE</v>
      </c>
      <c r="F860" s="198"/>
      <c r="J860" s="184" t="str">
        <f>IFERROR(__xludf.DUMMYFUNCTION("""COMPUTED_VALUE"""),"")</f>
        <v/>
      </c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</row>
    <row r="861">
      <c r="A861" s="198"/>
      <c r="D861" s="198" t="str">
        <f>IFERROR(__xludf.DUMMYFUNCTION("""COMPUTED_VALUE"""),"FALSE")</f>
        <v>FALSE</v>
      </c>
      <c r="E861" s="198" t="str">
        <f>IFERROR(__xludf.DUMMYFUNCTION("""COMPUTED_VALUE"""),"FALSE")</f>
        <v>FALSE</v>
      </c>
      <c r="F861" s="198"/>
      <c r="J861" s="184" t="str">
        <f>IFERROR(__xludf.DUMMYFUNCTION("""COMPUTED_VALUE"""),"")</f>
        <v/>
      </c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</row>
    <row r="862">
      <c r="A862" s="198"/>
      <c r="D862" s="198" t="str">
        <f>IFERROR(__xludf.DUMMYFUNCTION("""COMPUTED_VALUE"""),"FALSE")</f>
        <v>FALSE</v>
      </c>
      <c r="E862" s="198" t="str">
        <f>IFERROR(__xludf.DUMMYFUNCTION("""COMPUTED_VALUE"""),"FALSE")</f>
        <v>FALSE</v>
      </c>
      <c r="F862" s="198"/>
      <c r="J862" s="184" t="str">
        <f>IFERROR(__xludf.DUMMYFUNCTION("""COMPUTED_VALUE"""),"")</f>
        <v/>
      </c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</row>
    <row r="863">
      <c r="A863" s="198"/>
      <c r="D863" s="198" t="str">
        <f>IFERROR(__xludf.DUMMYFUNCTION("""COMPUTED_VALUE"""),"FALSE")</f>
        <v>FALSE</v>
      </c>
      <c r="E863" s="198" t="str">
        <f>IFERROR(__xludf.DUMMYFUNCTION("""COMPUTED_VALUE"""),"FALSE")</f>
        <v>FALSE</v>
      </c>
      <c r="F863" s="198"/>
      <c r="J863" s="184" t="str">
        <f>IFERROR(__xludf.DUMMYFUNCTION("""COMPUTED_VALUE"""),"")</f>
        <v/>
      </c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</row>
    <row r="864">
      <c r="A864" s="198"/>
      <c r="D864" s="198" t="str">
        <f>IFERROR(__xludf.DUMMYFUNCTION("""COMPUTED_VALUE"""),"FALSE")</f>
        <v>FALSE</v>
      </c>
      <c r="E864" s="198" t="str">
        <f>IFERROR(__xludf.DUMMYFUNCTION("""COMPUTED_VALUE"""),"FALSE")</f>
        <v>FALSE</v>
      </c>
      <c r="F864" s="198"/>
      <c r="J864" s="184" t="str">
        <f>IFERROR(__xludf.DUMMYFUNCTION("""COMPUTED_VALUE"""),"")</f>
        <v/>
      </c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</row>
    <row r="865">
      <c r="A865" s="198"/>
      <c r="D865" s="198" t="str">
        <f>IFERROR(__xludf.DUMMYFUNCTION("""COMPUTED_VALUE"""),"FALSE")</f>
        <v>FALSE</v>
      </c>
      <c r="E865" s="198" t="str">
        <f>IFERROR(__xludf.DUMMYFUNCTION("""COMPUTED_VALUE"""),"FALSE")</f>
        <v>FALSE</v>
      </c>
      <c r="F865" s="198"/>
      <c r="J865" s="184" t="str">
        <f>IFERROR(__xludf.DUMMYFUNCTION("""COMPUTED_VALUE"""),"")</f>
        <v/>
      </c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</row>
    <row r="866">
      <c r="A866" s="198"/>
      <c r="D866" s="198" t="str">
        <f>IFERROR(__xludf.DUMMYFUNCTION("""COMPUTED_VALUE"""),"FALSE")</f>
        <v>FALSE</v>
      </c>
      <c r="E866" s="198" t="str">
        <f>IFERROR(__xludf.DUMMYFUNCTION("""COMPUTED_VALUE"""),"FALSE")</f>
        <v>FALSE</v>
      </c>
      <c r="F866" s="198"/>
      <c r="J866" s="184" t="str">
        <f>IFERROR(__xludf.DUMMYFUNCTION("""COMPUTED_VALUE"""),"")</f>
        <v/>
      </c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</row>
    <row r="867">
      <c r="A867" s="198"/>
      <c r="D867" s="198" t="str">
        <f>IFERROR(__xludf.DUMMYFUNCTION("""COMPUTED_VALUE"""),"FALSE")</f>
        <v>FALSE</v>
      </c>
      <c r="E867" s="198" t="str">
        <f>IFERROR(__xludf.DUMMYFUNCTION("""COMPUTED_VALUE"""),"FALSE")</f>
        <v>FALSE</v>
      </c>
      <c r="F867" s="198"/>
      <c r="J867" s="184" t="str">
        <f>IFERROR(__xludf.DUMMYFUNCTION("""COMPUTED_VALUE"""),"")</f>
        <v/>
      </c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</row>
    <row r="868">
      <c r="A868" s="198"/>
      <c r="D868" s="198" t="str">
        <f>IFERROR(__xludf.DUMMYFUNCTION("""COMPUTED_VALUE"""),"FALSE")</f>
        <v>FALSE</v>
      </c>
      <c r="E868" s="198" t="str">
        <f>IFERROR(__xludf.DUMMYFUNCTION("""COMPUTED_VALUE"""),"FALSE")</f>
        <v>FALSE</v>
      </c>
      <c r="F868" s="198"/>
      <c r="J868" s="184" t="str">
        <f>IFERROR(__xludf.DUMMYFUNCTION("""COMPUTED_VALUE"""),"")</f>
        <v/>
      </c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</row>
    <row r="869">
      <c r="A869" s="198"/>
      <c r="D869" s="198" t="str">
        <f>IFERROR(__xludf.DUMMYFUNCTION("""COMPUTED_VALUE"""),"FALSE")</f>
        <v>FALSE</v>
      </c>
      <c r="E869" s="198" t="str">
        <f>IFERROR(__xludf.DUMMYFUNCTION("""COMPUTED_VALUE"""),"FALSE")</f>
        <v>FALSE</v>
      </c>
      <c r="F869" s="198"/>
      <c r="J869" s="184" t="str">
        <f>IFERROR(__xludf.DUMMYFUNCTION("""COMPUTED_VALUE"""),"")</f>
        <v/>
      </c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</row>
    <row r="870">
      <c r="A870" s="198"/>
      <c r="D870" s="198" t="str">
        <f>IFERROR(__xludf.DUMMYFUNCTION("""COMPUTED_VALUE"""),"FALSE")</f>
        <v>FALSE</v>
      </c>
      <c r="E870" s="198" t="str">
        <f>IFERROR(__xludf.DUMMYFUNCTION("""COMPUTED_VALUE"""),"FALSE")</f>
        <v>FALSE</v>
      </c>
      <c r="F870" s="198"/>
      <c r="J870" s="184" t="str">
        <f>IFERROR(__xludf.DUMMYFUNCTION("""COMPUTED_VALUE"""),"")</f>
        <v/>
      </c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</row>
    <row r="871">
      <c r="A871" s="198"/>
      <c r="D871" s="198" t="str">
        <f>IFERROR(__xludf.DUMMYFUNCTION("""COMPUTED_VALUE"""),"FALSE")</f>
        <v>FALSE</v>
      </c>
      <c r="E871" s="198" t="str">
        <f>IFERROR(__xludf.DUMMYFUNCTION("""COMPUTED_VALUE"""),"FALSE")</f>
        <v>FALSE</v>
      </c>
      <c r="F871" s="198"/>
      <c r="J871" s="184" t="str">
        <f>IFERROR(__xludf.DUMMYFUNCTION("""COMPUTED_VALUE"""),"")</f>
        <v/>
      </c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</row>
    <row r="872">
      <c r="A872" s="198"/>
      <c r="D872" s="198" t="str">
        <f>IFERROR(__xludf.DUMMYFUNCTION("""COMPUTED_VALUE"""),"FALSE")</f>
        <v>FALSE</v>
      </c>
      <c r="E872" s="198" t="str">
        <f>IFERROR(__xludf.DUMMYFUNCTION("""COMPUTED_VALUE"""),"FALSE")</f>
        <v>FALSE</v>
      </c>
      <c r="F872" s="198"/>
      <c r="J872" s="184" t="str">
        <f>IFERROR(__xludf.DUMMYFUNCTION("""COMPUTED_VALUE"""),"")</f>
        <v/>
      </c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</row>
    <row r="873">
      <c r="A873" s="198"/>
      <c r="D873" s="198" t="str">
        <f>IFERROR(__xludf.DUMMYFUNCTION("""COMPUTED_VALUE"""),"FALSE")</f>
        <v>FALSE</v>
      </c>
      <c r="E873" s="198" t="str">
        <f>IFERROR(__xludf.DUMMYFUNCTION("""COMPUTED_VALUE"""),"FALSE")</f>
        <v>FALSE</v>
      </c>
      <c r="F873" s="198"/>
      <c r="J873" s="184" t="str">
        <f>IFERROR(__xludf.DUMMYFUNCTION("""COMPUTED_VALUE"""),"")</f>
        <v/>
      </c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</row>
    <row r="874">
      <c r="A874" s="198"/>
      <c r="D874" s="198" t="str">
        <f>IFERROR(__xludf.DUMMYFUNCTION("""COMPUTED_VALUE"""),"FALSE")</f>
        <v>FALSE</v>
      </c>
      <c r="E874" s="198" t="str">
        <f>IFERROR(__xludf.DUMMYFUNCTION("""COMPUTED_VALUE"""),"FALSE")</f>
        <v>FALSE</v>
      </c>
      <c r="F874" s="198"/>
      <c r="J874" s="184" t="str">
        <f>IFERROR(__xludf.DUMMYFUNCTION("""COMPUTED_VALUE"""),"")</f>
        <v/>
      </c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</row>
    <row r="875">
      <c r="A875" s="198"/>
      <c r="D875" s="198" t="str">
        <f>IFERROR(__xludf.DUMMYFUNCTION("""COMPUTED_VALUE"""),"FALSE")</f>
        <v>FALSE</v>
      </c>
      <c r="E875" s="198" t="str">
        <f>IFERROR(__xludf.DUMMYFUNCTION("""COMPUTED_VALUE"""),"FALSE")</f>
        <v>FALSE</v>
      </c>
      <c r="F875" s="198"/>
      <c r="J875" s="184" t="str">
        <f>IFERROR(__xludf.DUMMYFUNCTION("""COMPUTED_VALUE"""),"")</f>
        <v/>
      </c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</row>
    <row r="876">
      <c r="A876" s="198"/>
      <c r="D876" s="198" t="str">
        <f>IFERROR(__xludf.DUMMYFUNCTION("""COMPUTED_VALUE"""),"FALSE")</f>
        <v>FALSE</v>
      </c>
      <c r="E876" s="198" t="str">
        <f>IFERROR(__xludf.DUMMYFUNCTION("""COMPUTED_VALUE"""),"FALSE")</f>
        <v>FALSE</v>
      </c>
      <c r="F876" s="198"/>
      <c r="J876" s="184" t="str">
        <f>IFERROR(__xludf.DUMMYFUNCTION("""COMPUTED_VALUE"""),"")</f>
        <v/>
      </c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</row>
    <row r="877">
      <c r="A877" s="198"/>
      <c r="D877" s="198" t="str">
        <f>IFERROR(__xludf.DUMMYFUNCTION("""COMPUTED_VALUE"""),"FALSE")</f>
        <v>FALSE</v>
      </c>
      <c r="E877" s="198" t="str">
        <f>IFERROR(__xludf.DUMMYFUNCTION("""COMPUTED_VALUE"""),"FALSE")</f>
        <v>FALSE</v>
      </c>
      <c r="F877" s="198"/>
      <c r="J877" s="184" t="str">
        <f>IFERROR(__xludf.DUMMYFUNCTION("""COMPUTED_VALUE"""),"")</f>
        <v/>
      </c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</row>
    <row r="878">
      <c r="A878" s="198"/>
      <c r="D878" s="198" t="str">
        <f>IFERROR(__xludf.DUMMYFUNCTION("""COMPUTED_VALUE"""),"FALSE")</f>
        <v>FALSE</v>
      </c>
      <c r="E878" s="198" t="str">
        <f>IFERROR(__xludf.DUMMYFUNCTION("""COMPUTED_VALUE"""),"FALSE")</f>
        <v>FALSE</v>
      </c>
      <c r="F878" s="198"/>
      <c r="J878" s="184" t="str">
        <f>IFERROR(__xludf.DUMMYFUNCTION("""COMPUTED_VALUE"""),"")</f>
        <v/>
      </c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</row>
    <row r="879">
      <c r="A879" s="198"/>
      <c r="D879" s="198" t="str">
        <f>IFERROR(__xludf.DUMMYFUNCTION("""COMPUTED_VALUE"""),"FALSE")</f>
        <v>FALSE</v>
      </c>
      <c r="E879" s="198" t="str">
        <f>IFERROR(__xludf.DUMMYFUNCTION("""COMPUTED_VALUE"""),"FALSE")</f>
        <v>FALSE</v>
      </c>
      <c r="F879" s="198"/>
      <c r="J879" s="184" t="str">
        <f>IFERROR(__xludf.DUMMYFUNCTION("""COMPUTED_VALUE"""),"")</f>
        <v/>
      </c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</row>
    <row r="880">
      <c r="A880" s="198"/>
      <c r="D880" s="198" t="str">
        <f>IFERROR(__xludf.DUMMYFUNCTION("""COMPUTED_VALUE"""),"FALSE")</f>
        <v>FALSE</v>
      </c>
      <c r="E880" s="198" t="str">
        <f>IFERROR(__xludf.DUMMYFUNCTION("""COMPUTED_VALUE"""),"FALSE")</f>
        <v>FALSE</v>
      </c>
      <c r="F880" s="198"/>
      <c r="J880" s="184" t="str">
        <f>IFERROR(__xludf.DUMMYFUNCTION("""COMPUTED_VALUE"""),"")</f>
        <v/>
      </c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</row>
    <row r="881">
      <c r="A881" s="198"/>
      <c r="D881" s="198" t="str">
        <f>IFERROR(__xludf.DUMMYFUNCTION("""COMPUTED_VALUE"""),"FALSE")</f>
        <v>FALSE</v>
      </c>
      <c r="E881" s="198" t="str">
        <f>IFERROR(__xludf.DUMMYFUNCTION("""COMPUTED_VALUE"""),"FALSE")</f>
        <v>FALSE</v>
      </c>
      <c r="F881" s="198"/>
      <c r="J881" s="184" t="str">
        <f>IFERROR(__xludf.DUMMYFUNCTION("""COMPUTED_VALUE"""),"")</f>
        <v/>
      </c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</row>
    <row r="882">
      <c r="A882" s="198"/>
      <c r="D882" s="198" t="str">
        <f>IFERROR(__xludf.DUMMYFUNCTION("""COMPUTED_VALUE"""),"FALSE")</f>
        <v>FALSE</v>
      </c>
      <c r="E882" s="198" t="str">
        <f>IFERROR(__xludf.DUMMYFUNCTION("""COMPUTED_VALUE"""),"FALSE")</f>
        <v>FALSE</v>
      </c>
      <c r="F882" s="198"/>
      <c r="J882" s="184" t="str">
        <f>IFERROR(__xludf.DUMMYFUNCTION("""COMPUTED_VALUE"""),"")</f>
        <v/>
      </c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</row>
    <row r="883">
      <c r="A883" s="198"/>
      <c r="D883" s="198" t="str">
        <f>IFERROR(__xludf.DUMMYFUNCTION("""COMPUTED_VALUE"""),"FALSE")</f>
        <v>FALSE</v>
      </c>
      <c r="E883" s="198" t="str">
        <f>IFERROR(__xludf.DUMMYFUNCTION("""COMPUTED_VALUE"""),"FALSE")</f>
        <v>FALSE</v>
      </c>
      <c r="F883" s="198"/>
      <c r="J883" s="184" t="str">
        <f>IFERROR(__xludf.DUMMYFUNCTION("""COMPUTED_VALUE"""),"")</f>
        <v/>
      </c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</row>
    <row r="884">
      <c r="A884" s="198"/>
      <c r="D884" s="198" t="str">
        <f>IFERROR(__xludf.DUMMYFUNCTION("""COMPUTED_VALUE"""),"FALSE")</f>
        <v>FALSE</v>
      </c>
      <c r="E884" s="198" t="str">
        <f>IFERROR(__xludf.DUMMYFUNCTION("""COMPUTED_VALUE"""),"FALSE")</f>
        <v>FALSE</v>
      </c>
      <c r="F884" s="198"/>
      <c r="J884" s="184" t="str">
        <f>IFERROR(__xludf.DUMMYFUNCTION("""COMPUTED_VALUE"""),"")</f>
        <v/>
      </c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</row>
    <row r="885">
      <c r="A885" s="198"/>
      <c r="D885" s="198" t="str">
        <f>IFERROR(__xludf.DUMMYFUNCTION("""COMPUTED_VALUE"""),"FALSE")</f>
        <v>FALSE</v>
      </c>
      <c r="E885" s="198" t="str">
        <f>IFERROR(__xludf.DUMMYFUNCTION("""COMPUTED_VALUE"""),"FALSE")</f>
        <v>FALSE</v>
      </c>
      <c r="F885" s="198"/>
      <c r="J885" s="184" t="str">
        <f>IFERROR(__xludf.DUMMYFUNCTION("""COMPUTED_VALUE"""),"")</f>
        <v/>
      </c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</row>
    <row r="886">
      <c r="A886" s="198"/>
      <c r="D886" s="198" t="str">
        <f>IFERROR(__xludf.DUMMYFUNCTION("""COMPUTED_VALUE"""),"FALSE")</f>
        <v>FALSE</v>
      </c>
      <c r="E886" s="198" t="str">
        <f>IFERROR(__xludf.DUMMYFUNCTION("""COMPUTED_VALUE"""),"FALSE")</f>
        <v>FALSE</v>
      </c>
      <c r="F886" s="198"/>
      <c r="J886" s="184" t="str">
        <f>IFERROR(__xludf.DUMMYFUNCTION("""COMPUTED_VALUE"""),"")</f>
        <v/>
      </c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</row>
    <row r="887">
      <c r="A887" s="198"/>
      <c r="D887" s="198" t="str">
        <f>IFERROR(__xludf.DUMMYFUNCTION("""COMPUTED_VALUE"""),"FALSE")</f>
        <v>FALSE</v>
      </c>
      <c r="E887" s="198" t="str">
        <f>IFERROR(__xludf.DUMMYFUNCTION("""COMPUTED_VALUE"""),"FALSE")</f>
        <v>FALSE</v>
      </c>
      <c r="F887" s="198"/>
      <c r="J887" s="184" t="str">
        <f>IFERROR(__xludf.DUMMYFUNCTION("""COMPUTED_VALUE"""),"")</f>
        <v/>
      </c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</row>
    <row r="888">
      <c r="A888" s="198"/>
      <c r="D888" s="198" t="str">
        <f>IFERROR(__xludf.DUMMYFUNCTION("""COMPUTED_VALUE"""),"FALSE")</f>
        <v>FALSE</v>
      </c>
      <c r="E888" s="198" t="str">
        <f>IFERROR(__xludf.DUMMYFUNCTION("""COMPUTED_VALUE"""),"FALSE")</f>
        <v>FALSE</v>
      </c>
      <c r="F888" s="198"/>
      <c r="J888" s="184" t="str">
        <f>IFERROR(__xludf.DUMMYFUNCTION("""COMPUTED_VALUE"""),"")</f>
        <v/>
      </c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</row>
    <row r="889">
      <c r="A889" s="198"/>
      <c r="D889" s="198" t="str">
        <f>IFERROR(__xludf.DUMMYFUNCTION("""COMPUTED_VALUE"""),"FALSE")</f>
        <v>FALSE</v>
      </c>
      <c r="E889" s="198" t="str">
        <f>IFERROR(__xludf.DUMMYFUNCTION("""COMPUTED_VALUE"""),"FALSE")</f>
        <v>FALSE</v>
      </c>
      <c r="F889" s="198"/>
      <c r="J889" s="184" t="str">
        <f>IFERROR(__xludf.DUMMYFUNCTION("""COMPUTED_VALUE"""),"")</f>
        <v/>
      </c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</row>
    <row r="890">
      <c r="A890" s="198"/>
      <c r="D890" s="198" t="str">
        <f>IFERROR(__xludf.DUMMYFUNCTION("""COMPUTED_VALUE"""),"FALSE")</f>
        <v>FALSE</v>
      </c>
      <c r="E890" s="198" t="str">
        <f>IFERROR(__xludf.DUMMYFUNCTION("""COMPUTED_VALUE"""),"FALSE")</f>
        <v>FALSE</v>
      </c>
      <c r="F890" s="198"/>
      <c r="J890" s="184" t="str">
        <f>IFERROR(__xludf.DUMMYFUNCTION("""COMPUTED_VALUE"""),"")</f>
        <v/>
      </c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</row>
    <row r="891">
      <c r="A891" s="198"/>
      <c r="D891" s="198" t="str">
        <f>IFERROR(__xludf.DUMMYFUNCTION("""COMPUTED_VALUE"""),"FALSE")</f>
        <v>FALSE</v>
      </c>
      <c r="E891" s="198" t="str">
        <f>IFERROR(__xludf.DUMMYFUNCTION("""COMPUTED_VALUE"""),"FALSE")</f>
        <v>FALSE</v>
      </c>
      <c r="F891" s="198"/>
      <c r="J891" s="184" t="str">
        <f>IFERROR(__xludf.DUMMYFUNCTION("""COMPUTED_VALUE"""),"")</f>
        <v/>
      </c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</row>
    <row r="892">
      <c r="A892" s="198"/>
      <c r="D892" s="198" t="str">
        <f>IFERROR(__xludf.DUMMYFUNCTION("""COMPUTED_VALUE"""),"FALSE")</f>
        <v>FALSE</v>
      </c>
      <c r="E892" s="198" t="str">
        <f>IFERROR(__xludf.DUMMYFUNCTION("""COMPUTED_VALUE"""),"FALSE")</f>
        <v>FALSE</v>
      </c>
      <c r="F892" s="198"/>
      <c r="J892" s="184" t="str">
        <f>IFERROR(__xludf.DUMMYFUNCTION("""COMPUTED_VALUE"""),"")</f>
        <v/>
      </c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</row>
    <row r="893">
      <c r="A893" s="198"/>
      <c r="D893" s="198" t="str">
        <f>IFERROR(__xludf.DUMMYFUNCTION("""COMPUTED_VALUE"""),"FALSE")</f>
        <v>FALSE</v>
      </c>
      <c r="E893" s="198" t="str">
        <f>IFERROR(__xludf.DUMMYFUNCTION("""COMPUTED_VALUE"""),"FALSE")</f>
        <v>FALSE</v>
      </c>
      <c r="F893" s="198"/>
      <c r="J893" s="184" t="str">
        <f>IFERROR(__xludf.DUMMYFUNCTION("""COMPUTED_VALUE"""),"")</f>
        <v/>
      </c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</row>
    <row r="894">
      <c r="A894" s="198"/>
      <c r="D894" s="198" t="str">
        <f>IFERROR(__xludf.DUMMYFUNCTION("""COMPUTED_VALUE"""),"FALSE")</f>
        <v>FALSE</v>
      </c>
      <c r="E894" s="198" t="str">
        <f>IFERROR(__xludf.DUMMYFUNCTION("""COMPUTED_VALUE"""),"FALSE")</f>
        <v>FALSE</v>
      </c>
      <c r="F894" s="198"/>
      <c r="J894" s="184" t="str">
        <f>IFERROR(__xludf.DUMMYFUNCTION("""COMPUTED_VALUE"""),"")</f>
        <v/>
      </c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</row>
    <row r="895">
      <c r="A895" s="198"/>
      <c r="D895" s="198" t="str">
        <f>IFERROR(__xludf.DUMMYFUNCTION("""COMPUTED_VALUE"""),"FALSE")</f>
        <v>FALSE</v>
      </c>
      <c r="E895" s="198" t="str">
        <f>IFERROR(__xludf.DUMMYFUNCTION("""COMPUTED_VALUE"""),"FALSE")</f>
        <v>FALSE</v>
      </c>
      <c r="F895" s="198"/>
      <c r="J895" s="184" t="str">
        <f>IFERROR(__xludf.DUMMYFUNCTION("""COMPUTED_VALUE"""),"")</f>
        <v/>
      </c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</row>
    <row r="896">
      <c r="A896" s="198"/>
      <c r="D896" s="198" t="str">
        <f>IFERROR(__xludf.DUMMYFUNCTION("""COMPUTED_VALUE"""),"FALSE")</f>
        <v>FALSE</v>
      </c>
      <c r="E896" s="198" t="str">
        <f>IFERROR(__xludf.DUMMYFUNCTION("""COMPUTED_VALUE"""),"FALSE")</f>
        <v>FALSE</v>
      </c>
      <c r="F896" s="198"/>
      <c r="J896" s="184" t="str">
        <f>IFERROR(__xludf.DUMMYFUNCTION("""COMPUTED_VALUE"""),"")</f>
        <v/>
      </c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</row>
    <row r="897">
      <c r="A897" s="198"/>
      <c r="D897" s="198" t="str">
        <f>IFERROR(__xludf.DUMMYFUNCTION("""COMPUTED_VALUE"""),"FALSE")</f>
        <v>FALSE</v>
      </c>
      <c r="E897" s="198" t="str">
        <f>IFERROR(__xludf.DUMMYFUNCTION("""COMPUTED_VALUE"""),"FALSE")</f>
        <v>FALSE</v>
      </c>
      <c r="F897" s="198"/>
      <c r="J897" s="184" t="str">
        <f>IFERROR(__xludf.DUMMYFUNCTION("""COMPUTED_VALUE"""),"")</f>
        <v/>
      </c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</row>
    <row r="898">
      <c r="A898" s="198"/>
      <c r="D898" s="198" t="str">
        <f>IFERROR(__xludf.DUMMYFUNCTION("""COMPUTED_VALUE"""),"FALSE")</f>
        <v>FALSE</v>
      </c>
      <c r="E898" s="198" t="str">
        <f>IFERROR(__xludf.DUMMYFUNCTION("""COMPUTED_VALUE"""),"FALSE")</f>
        <v>FALSE</v>
      </c>
      <c r="F898" s="198"/>
      <c r="J898" s="184" t="str">
        <f>IFERROR(__xludf.DUMMYFUNCTION("""COMPUTED_VALUE"""),"")</f>
        <v/>
      </c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</row>
    <row r="899">
      <c r="A899" s="198"/>
      <c r="D899" s="198" t="str">
        <f>IFERROR(__xludf.DUMMYFUNCTION("""COMPUTED_VALUE"""),"FALSE")</f>
        <v>FALSE</v>
      </c>
      <c r="E899" s="198" t="str">
        <f>IFERROR(__xludf.DUMMYFUNCTION("""COMPUTED_VALUE"""),"FALSE")</f>
        <v>FALSE</v>
      </c>
      <c r="F899" s="198"/>
      <c r="J899" s="184" t="str">
        <f>IFERROR(__xludf.DUMMYFUNCTION("""COMPUTED_VALUE"""),"")</f>
        <v/>
      </c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</row>
    <row r="900">
      <c r="A900" s="198"/>
      <c r="D900" s="198" t="str">
        <f>IFERROR(__xludf.DUMMYFUNCTION("""COMPUTED_VALUE"""),"FALSE")</f>
        <v>FALSE</v>
      </c>
      <c r="E900" s="198" t="str">
        <f>IFERROR(__xludf.DUMMYFUNCTION("""COMPUTED_VALUE"""),"FALSE")</f>
        <v>FALSE</v>
      </c>
      <c r="F900" s="198"/>
      <c r="J900" s="184" t="str">
        <f>IFERROR(__xludf.DUMMYFUNCTION("""COMPUTED_VALUE"""),"")</f>
        <v/>
      </c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</row>
    <row r="901">
      <c r="A901" s="198"/>
      <c r="D901" s="198" t="str">
        <f>IFERROR(__xludf.DUMMYFUNCTION("""COMPUTED_VALUE"""),"FALSE")</f>
        <v>FALSE</v>
      </c>
      <c r="E901" s="198" t="str">
        <f>IFERROR(__xludf.DUMMYFUNCTION("""COMPUTED_VALUE"""),"FALSE")</f>
        <v>FALSE</v>
      </c>
      <c r="F901" s="198"/>
      <c r="J901" s="184" t="str">
        <f>IFERROR(__xludf.DUMMYFUNCTION("""COMPUTED_VALUE"""),"")</f>
        <v/>
      </c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</row>
    <row r="902">
      <c r="A902" s="198"/>
      <c r="D902" s="198" t="str">
        <f>IFERROR(__xludf.DUMMYFUNCTION("""COMPUTED_VALUE"""),"FALSE")</f>
        <v>FALSE</v>
      </c>
      <c r="E902" s="198" t="str">
        <f>IFERROR(__xludf.DUMMYFUNCTION("""COMPUTED_VALUE"""),"FALSE")</f>
        <v>FALSE</v>
      </c>
      <c r="F902" s="198"/>
      <c r="J902" s="184" t="str">
        <f>IFERROR(__xludf.DUMMYFUNCTION("""COMPUTED_VALUE"""),"")</f>
        <v/>
      </c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</row>
    <row r="903">
      <c r="A903" s="198"/>
      <c r="D903" s="198" t="str">
        <f>IFERROR(__xludf.DUMMYFUNCTION("""COMPUTED_VALUE"""),"FALSE")</f>
        <v>FALSE</v>
      </c>
      <c r="E903" s="198" t="str">
        <f>IFERROR(__xludf.DUMMYFUNCTION("""COMPUTED_VALUE"""),"FALSE")</f>
        <v>FALSE</v>
      </c>
      <c r="F903" s="198"/>
      <c r="J903" s="184" t="str">
        <f>IFERROR(__xludf.DUMMYFUNCTION("""COMPUTED_VALUE"""),"")</f>
        <v/>
      </c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</row>
    <row r="904">
      <c r="A904" s="198"/>
      <c r="D904" s="198" t="str">
        <f>IFERROR(__xludf.DUMMYFUNCTION("""COMPUTED_VALUE"""),"FALSE")</f>
        <v>FALSE</v>
      </c>
      <c r="E904" s="198" t="str">
        <f>IFERROR(__xludf.DUMMYFUNCTION("""COMPUTED_VALUE"""),"FALSE")</f>
        <v>FALSE</v>
      </c>
      <c r="F904" s="198"/>
      <c r="J904" s="184" t="str">
        <f>IFERROR(__xludf.DUMMYFUNCTION("""COMPUTED_VALUE"""),"")</f>
        <v/>
      </c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</row>
    <row r="905">
      <c r="A905" s="198"/>
      <c r="D905" s="198" t="str">
        <f>IFERROR(__xludf.DUMMYFUNCTION("""COMPUTED_VALUE"""),"FALSE")</f>
        <v>FALSE</v>
      </c>
      <c r="E905" s="198" t="str">
        <f>IFERROR(__xludf.DUMMYFUNCTION("""COMPUTED_VALUE"""),"FALSE")</f>
        <v>FALSE</v>
      </c>
      <c r="F905" s="198"/>
      <c r="J905" s="184" t="str">
        <f>IFERROR(__xludf.DUMMYFUNCTION("""COMPUTED_VALUE"""),"")</f>
        <v/>
      </c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</row>
    <row r="906">
      <c r="A906" s="198"/>
      <c r="D906" s="198" t="str">
        <f>IFERROR(__xludf.DUMMYFUNCTION("""COMPUTED_VALUE"""),"FALSE")</f>
        <v>FALSE</v>
      </c>
      <c r="E906" s="198" t="str">
        <f>IFERROR(__xludf.DUMMYFUNCTION("""COMPUTED_VALUE"""),"FALSE")</f>
        <v>FALSE</v>
      </c>
      <c r="F906" s="198"/>
      <c r="J906" s="184" t="str">
        <f>IFERROR(__xludf.DUMMYFUNCTION("""COMPUTED_VALUE"""),"")</f>
        <v/>
      </c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</row>
    <row r="907">
      <c r="A907" s="198"/>
      <c r="D907" s="198" t="str">
        <f>IFERROR(__xludf.DUMMYFUNCTION("""COMPUTED_VALUE"""),"FALSE")</f>
        <v>FALSE</v>
      </c>
      <c r="E907" s="198" t="str">
        <f>IFERROR(__xludf.DUMMYFUNCTION("""COMPUTED_VALUE"""),"FALSE")</f>
        <v>FALSE</v>
      </c>
      <c r="F907" s="198"/>
      <c r="J907" s="184" t="str">
        <f>IFERROR(__xludf.DUMMYFUNCTION("""COMPUTED_VALUE"""),"")</f>
        <v/>
      </c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</row>
    <row r="908">
      <c r="A908" s="198"/>
      <c r="D908" s="198" t="str">
        <f>IFERROR(__xludf.DUMMYFUNCTION("""COMPUTED_VALUE"""),"FALSE")</f>
        <v>FALSE</v>
      </c>
      <c r="E908" s="198" t="str">
        <f>IFERROR(__xludf.DUMMYFUNCTION("""COMPUTED_VALUE"""),"FALSE")</f>
        <v>FALSE</v>
      </c>
      <c r="F908" s="198"/>
      <c r="J908" s="184" t="str">
        <f>IFERROR(__xludf.DUMMYFUNCTION("""COMPUTED_VALUE"""),"")</f>
        <v/>
      </c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</row>
    <row r="909">
      <c r="A909" s="198"/>
      <c r="D909" s="198" t="str">
        <f>IFERROR(__xludf.DUMMYFUNCTION("""COMPUTED_VALUE"""),"FALSE")</f>
        <v>FALSE</v>
      </c>
      <c r="E909" s="198" t="str">
        <f>IFERROR(__xludf.DUMMYFUNCTION("""COMPUTED_VALUE"""),"FALSE")</f>
        <v>FALSE</v>
      </c>
      <c r="F909" s="198"/>
      <c r="J909" s="184" t="str">
        <f>IFERROR(__xludf.DUMMYFUNCTION("""COMPUTED_VALUE"""),"")</f>
        <v/>
      </c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</row>
    <row r="910">
      <c r="A910" s="198"/>
      <c r="D910" s="198" t="str">
        <f>IFERROR(__xludf.DUMMYFUNCTION("""COMPUTED_VALUE"""),"FALSE")</f>
        <v>FALSE</v>
      </c>
      <c r="E910" s="198" t="str">
        <f>IFERROR(__xludf.DUMMYFUNCTION("""COMPUTED_VALUE"""),"FALSE")</f>
        <v>FALSE</v>
      </c>
      <c r="F910" s="198"/>
      <c r="J910" s="184" t="str">
        <f>IFERROR(__xludf.DUMMYFUNCTION("""COMPUTED_VALUE"""),"")</f>
        <v/>
      </c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</row>
    <row r="911">
      <c r="A911" s="198"/>
      <c r="D911" s="198" t="str">
        <f>IFERROR(__xludf.DUMMYFUNCTION("""COMPUTED_VALUE"""),"FALSE")</f>
        <v>FALSE</v>
      </c>
      <c r="E911" s="198" t="str">
        <f>IFERROR(__xludf.DUMMYFUNCTION("""COMPUTED_VALUE"""),"FALSE")</f>
        <v>FALSE</v>
      </c>
      <c r="F911" s="198"/>
      <c r="J911" s="184" t="str">
        <f>IFERROR(__xludf.DUMMYFUNCTION("""COMPUTED_VALUE"""),"")</f>
        <v/>
      </c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</row>
    <row r="912">
      <c r="A912" s="198"/>
      <c r="D912" s="198" t="str">
        <f>IFERROR(__xludf.DUMMYFUNCTION("""COMPUTED_VALUE"""),"FALSE")</f>
        <v>FALSE</v>
      </c>
      <c r="E912" s="198" t="str">
        <f>IFERROR(__xludf.DUMMYFUNCTION("""COMPUTED_VALUE"""),"FALSE")</f>
        <v>FALSE</v>
      </c>
      <c r="F912" s="198"/>
      <c r="J912" s="184" t="str">
        <f>IFERROR(__xludf.DUMMYFUNCTION("""COMPUTED_VALUE"""),"")</f>
        <v/>
      </c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</row>
    <row r="913">
      <c r="A913" s="198"/>
      <c r="D913" s="198" t="str">
        <f>IFERROR(__xludf.DUMMYFUNCTION("""COMPUTED_VALUE"""),"FALSE")</f>
        <v>FALSE</v>
      </c>
      <c r="E913" s="198" t="str">
        <f>IFERROR(__xludf.DUMMYFUNCTION("""COMPUTED_VALUE"""),"FALSE")</f>
        <v>FALSE</v>
      </c>
      <c r="F913" s="198"/>
      <c r="J913" s="184" t="str">
        <f>IFERROR(__xludf.DUMMYFUNCTION("""COMPUTED_VALUE"""),"")</f>
        <v/>
      </c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</row>
    <row r="914">
      <c r="A914" s="198"/>
      <c r="D914" s="198" t="str">
        <f>IFERROR(__xludf.DUMMYFUNCTION("""COMPUTED_VALUE"""),"FALSE")</f>
        <v>FALSE</v>
      </c>
      <c r="E914" s="198" t="str">
        <f>IFERROR(__xludf.DUMMYFUNCTION("""COMPUTED_VALUE"""),"FALSE")</f>
        <v>FALSE</v>
      </c>
      <c r="F914" s="198"/>
      <c r="J914" s="184" t="str">
        <f>IFERROR(__xludf.DUMMYFUNCTION("""COMPUTED_VALUE"""),"")</f>
        <v/>
      </c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</row>
    <row r="915">
      <c r="A915" s="198"/>
      <c r="D915" s="198" t="str">
        <f>IFERROR(__xludf.DUMMYFUNCTION("""COMPUTED_VALUE"""),"FALSE")</f>
        <v>FALSE</v>
      </c>
      <c r="E915" s="198" t="str">
        <f>IFERROR(__xludf.DUMMYFUNCTION("""COMPUTED_VALUE"""),"FALSE")</f>
        <v>FALSE</v>
      </c>
      <c r="F915" s="198"/>
      <c r="J915" s="184" t="str">
        <f>IFERROR(__xludf.DUMMYFUNCTION("""COMPUTED_VALUE"""),"")</f>
        <v/>
      </c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</row>
    <row r="916">
      <c r="A916" s="198"/>
      <c r="D916" s="198" t="str">
        <f>IFERROR(__xludf.DUMMYFUNCTION("""COMPUTED_VALUE"""),"FALSE")</f>
        <v>FALSE</v>
      </c>
      <c r="E916" s="198" t="str">
        <f>IFERROR(__xludf.DUMMYFUNCTION("""COMPUTED_VALUE"""),"FALSE")</f>
        <v>FALSE</v>
      </c>
      <c r="F916" s="198"/>
      <c r="J916" s="184" t="str">
        <f>IFERROR(__xludf.DUMMYFUNCTION("""COMPUTED_VALUE"""),"")</f>
        <v/>
      </c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</row>
    <row r="917">
      <c r="A917" s="198"/>
      <c r="D917" s="198" t="str">
        <f>IFERROR(__xludf.DUMMYFUNCTION("""COMPUTED_VALUE"""),"FALSE")</f>
        <v>FALSE</v>
      </c>
      <c r="E917" s="198" t="str">
        <f>IFERROR(__xludf.DUMMYFUNCTION("""COMPUTED_VALUE"""),"FALSE")</f>
        <v>FALSE</v>
      </c>
      <c r="F917" s="198"/>
      <c r="J917" s="184" t="str">
        <f>IFERROR(__xludf.DUMMYFUNCTION("""COMPUTED_VALUE"""),"")</f>
        <v/>
      </c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</row>
    <row r="918">
      <c r="A918" s="198"/>
      <c r="D918" s="198" t="str">
        <f>IFERROR(__xludf.DUMMYFUNCTION("""COMPUTED_VALUE"""),"FALSE")</f>
        <v>FALSE</v>
      </c>
      <c r="E918" s="198" t="str">
        <f>IFERROR(__xludf.DUMMYFUNCTION("""COMPUTED_VALUE"""),"FALSE")</f>
        <v>FALSE</v>
      </c>
      <c r="F918" s="198"/>
      <c r="J918" s="184" t="str">
        <f>IFERROR(__xludf.DUMMYFUNCTION("""COMPUTED_VALUE"""),"")</f>
        <v/>
      </c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</row>
    <row r="919">
      <c r="A919" s="198"/>
      <c r="D919" s="198" t="str">
        <f>IFERROR(__xludf.DUMMYFUNCTION("""COMPUTED_VALUE"""),"FALSE")</f>
        <v>FALSE</v>
      </c>
      <c r="E919" s="198" t="str">
        <f>IFERROR(__xludf.DUMMYFUNCTION("""COMPUTED_VALUE"""),"FALSE")</f>
        <v>FALSE</v>
      </c>
      <c r="F919" s="198"/>
      <c r="J919" s="184" t="str">
        <f>IFERROR(__xludf.DUMMYFUNCTION("""COMPUTED_VALUE"""),"")</f>
        <v/>
      </c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</row>
    <row r="920">
      <c r="A920" s="198"/>
      <c r="D920" s="198" t="str">
        <f>IFERROR(__xludf.DUMMYFUNCTION("""COMPUTED_VALUE"""),"FALSE")</f>
        <v>FALSE</v>
      </c>
      <c r="E920" s="198" t="str">
        <f>IFERROR(__xludf.DUMMYFUNCTION("""COMPUTED_VALUE"""),"FALSE")</f>
        <v>FALSE</v>
      </c>
      <c r="F920" s="198"/>
      <c r="J920" s="184" t="str">
        <f>IFERROR(__xludf.DUMMYFUNCTION("""COMPUTED_VALUE"""),"")</f>
        <v/>
      </c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</row>
    <row r="921">
      <c r="A921" s="198"/>
      <c r="D921" s="198" t="str">
        <f>IFERROR(__xludf.DUMMYFUNCTION("""COMPUTED_VALUE"""),"FALSE")</f>
        <v>FALSE</v>
      </c>
      <c r="E921" s="198" t="str">
        <f>IFERROR(__xludf.DUMMYFUNCTION("""COMPUTED_VALUE"""),"FALSE")</f>
        <v>FALSE</v>
      </c>
      <c r="F921" s="198"/>
      <c r="J921" s="184" t="str">
        <f>IFERROR(__xludf.DUMMYFUNCTION("""COMPUTED_VALUE"""),"")</f>
        <v/>
      </c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</row>
    <row r="922">
      <c r="A922" s="198"/>
      <c r="D922" s="198" t="str">
        <f>IFERROR(__xludf.DUMMYFUNCTION("""COMPUTED_VALUE"""),"FALSE")</f>
        <v>FALSE</v>
      </c>
      <c r="E922" s="198" t="str">
        <f>IFERROR(__xludf.DUMMYFUNCTION("""COMPUTED_VALUE"""),"FALSE")</f>
        <v>FALSE</v>
      </c>
      <c r="F922" s="198"/>
      <c r="J922" s="184" t="str">
        <f>IFERROR(__xludf.DUMMYFUNCTION("""COMPUTED_VALUE"""),"")</f>
        <v/>
      </c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</row>
    <row r="923">
      <c r="A923" s="198"/>
      <c r="D923" s="198" t="str">
        <f>IFERROR(__xludf.DUMMYFUNCTION("""COMPUTED_VALUE"""),"FALSE")</f>
        <v>FALSE</v>
      </c>
      <c r="E923" s="198" t="str">
        <f>IFERROR(__xludf.DUMMYFUNCTION("""COMPUTED_VALUE"""),"FALSE")</f>
        <v>FALSE</v>
      </c>
      <c r="F923" s="198"/>
      <c r="J923" s="184" t="str">
        <f>IFERROR(__xludf.DUMMYFUNCTION("""COMPUTED_VALUE"""),"")</f>
        <v/>
      </c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</row>
    <row r="924">
      <c r="A924" s="198"/>
      <c r="D924" s="198" t="str">
        <f>IFERROR(__xludf.DUMMYFUNCTION("""COMPUTED_VALUE"""),"FALSE")</f>
        <v>FALSE</v>
      </c>
      <c r="E924" s="198" t="str">
        <f>IFERROR(__xludf.DUMMYFUNCTION("""COMPUTED_VALUE"""),"FALSE")</f>
        <v>FALSE</v>
      </c>
      <c r="F924" s="198"/>
      <c r="J924" s="184" t="str">
        <f>IFERROR(__xludf.DUMMYFUNCTION("""COMPUTED_VALUE"""),"")</f>
        <v/>
      </c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</row>
    <row r="925">
      <c r="A925" s="198"/>
      <c r="D925" s="198" t="str">
        <f>IFERROR(__xludf.DUMMYFUNCTION("""COMPUTED_VALUE"""),"FALSE")</f>
        <v>FALSE</v>
      </c>
      <c r="E925" s="198" t="str">
        <f>IFERROR(__xludf.DUMMYFUNCTION("""COMPUTED_VALUE"""),"FALSE")</f>
        <v>FALSE</v>
      </c>
      <c r="F925" s="198"/>
      <c r="J925" s="184" t="str">
        <f>IFERROR(__xludf.DUMMYFUNCTION("""COMPUTED_VALUE"""),"")</f>
        <v/>
      </c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</row>
    <row r="926">
      <c r="A926" s="198"/>
      <c r="D926" s="198" t="str">
        <f>IFERROR(__xludf.DUMMYFUNCTION("""COMPUTED_VALUE"""),"FALSE")</f>
        <v>FALSE</v>
      </c>
      <c r="E926" s="198" t="str">
        <f>IFERROR(__xludf.DUMMYFUNCTION("""COMPUTED_VALUE"""),"FALSE")</f>
        <v>FALSE</v>
      </c>
      <c r="F926" s="198"/>
      <c r="J926" s="184" t="str">
        <f>IFERROR(__xludf.DUMMYFUNCTION("""COMPUTED_VALUE"""),"")</f>
        <v/>
      </c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</row>
    <row r="927">
      <c r="A927" s="198"/>
      <c r="D927" s="198" t="str">
        <f>IFERROR(__xludf.DUMMYFUNCTION("""COMPUTED_VALUE"""),"FALSE")</f>
        <v>FALSE</v>
      </c>
      <c r="E927" s="198" t="str">
        <f>IFERROR(__xludf.DUMMYFUNCTION("""COMPUTED_VALUE"""),"FALSE")</f>
        <v>FALSE</v>
      </c>
      <c r="F927" s="198"/>
      <c r="J927" s="184" t="str">
        <f>IFERROR(__xludf.DUMMYFUNCTION("""COMPUTED_VALUE"""),"")</f>
        <v/>
      </c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</row>
    <row r="928">
      <c r="A928" s="198"/>
      <c r="D928" s="198" t="str">
        <f>IFERROR(__xludf.DUMMYFUNCTION("""COMPUTED_VALUE"""),"FALSE")</f>
        <v>FALSE</v>
      </c>
      <c r="E928" s="198" t="str">
        <f>IFERROR(__xludf.DUMMYFUNCTION("""COMPUTED_VALUE"""),"FALSE")</f>
        <v>FALSE</v>
      </c>
      <c r="F928" s="198"/>
      <c r="J928" s="184" t="str">
        <f>IFERROR(__xludf.DUMMYFUNCTION("""COMPUTED_VALUE"""),"")</f>
        <v/>
      </c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</row>
    <row r="929">
      <c r="A929" s="198"/>
      <c r="D929" s="198" t="str">
        <f>IFERROR(__xludf.DUMMYFUNCTION("""COMPUTED_VALUE"""),"FALSE")</f>
        <v>FALSE</v>
      </c>
      <c r="E929" s="198" t="str">
        <f>IFERROR(__xludf.DUMMYFUNCTION("""COMPUTED_VALUE"""),"FALSE")</f>
        <v>FALSE</v>
      </c>
      <c r="F929" s="198"/>
      <c r="J929" s="184" t="str">
        <f>IFERROR(__xludf.DUMMYFUNCTION("""COMPUTED_VALUE"""),"")</f>
        <v/>
      </c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</row>
    <row r="930">
      <c r="A930" s="198"/>
      <c r="D930" s="198" t="str">
        <f>IFERROR(__xludf.DUMMYFUNCTION("""COMPUTED_VALUE"""),"FALSE")</f>
        <v>FALSE</v>
      </c>
      <c r="E930" s="198" t="str">
        <f>IFERROR(__xludf.DUMMYFUNCTION("""COMPUTED_VALUE"""),"FALSE")</f>
        <v>FALSE</v>
      </c>
      <c r="F930" s="198"/>
      <c r="J930" s="184" t="str">
        <f>IFERROR(__xludf.DUMMYFUNCTION("""COMPUTED_VALUE"""),"")</f>
        <v/>
      </c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</row>
    <row r="931">
      <c r="A931" s="198"/>
      <c r="D931" s="198" t="str">
        <f>IFERROR(__xludf.DUMMYFUNCTION("""COMPUTED_VALUE"""),"FALSE")</f>
        <v>FALSE</v>
      </c>
      <c r="E931" s="198" t="str">
        <f>IFERROR(__xludf.DUMMYFUNCTION("""COMPUTED_VALUE"""),"FALSE")</f>
        <v>FALSE</v>
      </c>
      <c r="F931" s="198"/>
      <c r="J931" s="184" t="str">
        <f>IFERROR(__xludf.DUMMYFUNCTION("""COMPUTED_VALUE"""),"")</f>
        <v/>
      </c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</row>
    <row r="932">
      <c r="A932" s="198"/>
      <c r="D932" s="198" t="str">
        <f>IFERROR(__xludf.DUMMYFUNCTION("""COMPUTED_VALUE"""),"FALSE")</f>
        <v>FALSE</v>
      </c>
      <c r="E932" s="198" t="str">
        <f>IFERROR(__xludf.DUMMYFUNCTION("""COMPUTED_VALUE"""),"FALSE")</f>
        <v>FALSE</v>
      </c>
      <c r="F932" s="198"/>
      <c r="J932" s="184" t="str">
        <f>IFERROR(__xludf.DUMMYFUNCTION("""COMPUTED_VALUE"""),"")</f>
        <v/>
      </c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</row>
    <row r="933">
      <c r="A933" s="198"/>
      <c r="D933" s="198" t="str">
        <f>IFERROR(__xludf.DUMMYFUNCTION("""COMPUTED_VALUE"""),"FALSE")</f>
        <v>FALSE</v>
      </c>
      <c r="E933" s="198" t="str">
        <f>IFERROR(__xludf.DUMMYFUNCTION("""COMPUTED_VALUE"""),"FALSE")</f>
        <v>FALSE</v>
      </c>
      <c r="F933" s="198"/>
      <c r="J933" s="184" t="str">
        <f>IFERROR(__xludf.DUMMYFUNCTION("""COMPUTED_VALUE"""),"")</f>
        <v/>
      </c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</row>
    <row r="934">
      <c r="A934" s="198"/>
      <c r="D934" s="198" t="str">
        <f>IFERROR(__xludf.DUMMYFUNCTION("""COMPUTED_VALUE"""),"FALSE")</f>
        <v>FALSE</v>
      </c>
      <c r="E934" s="198" t="str">
        <f>IFERROR(__xludf.DUMMYFUNCTION("""COMPUTED_VALUE"""),"FALSE")</f>
        <v>FALSE</v>
      </c>
      <c r="F934" s="198"/>
      <c r="J934" s="184" t="str">
        <f>IFERROR(__xludf.DUMMYFUNCTION("""COMPUTED_VALUE"""),"")</f>
        <v/>
      </c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</row>
    <row r="935">
      <c r="A935" s="198"/>
      <c r="D935" s="198" t="str">
        <f>IFERROR(__xludf.DUMMYFUNCTION("""COMPUTED_VALUE"""),"FALSE")</f>
        <v>FALSE</v>
      </c>
      <c r="E935" s="198" t="str">
        <f>IFERROR(__xludf.DUMMYFUNCTION("""COMPUTED_VALUE"""),"FALSE")</f>
        <v>FALSE</v>
      </c>
      <c r="F935" s="198"/>
      <c r="J935" s="184" t="str">
        <f>IFERROR(__xludf.DUMMYFUNCTION("""COMPUTED_VALUE"""),"")</f>
        <v/>
      </c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</row>
    <row r="936">
      <c r="A936" s="198"/>
      <c r="D936" s="198" t="str">
        <f>IFERROR(__xludf.DUMMYFUNCTION("""COMPUTED_VALUE"""),"FALSE")</f>
        <v>FALSE</v>
      </c>
      <c r="E936" s="198" t="str">
        <f>IFERROR(__xludf.DUMMYFUNCTION("""COMPUTED_VALUE"""),"FALSE")</f>
        <v>FALSE</v>
      </c>
      <c r="F936" s="198"/>
      <c r="J936" s="184" t="str">
        <f>IFERROR(__xludf.DUMMYFUNCTION("""COMPUTED_VALUE"""),"")</f>
        <v/>
      </c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</row>
    <row r="937">
      <c r="A937" s="198"/>
      <c r="D937" s="198" t="str">
        <f>IFERROR(__xludf.DUMMYFUNCTION("""COMPUTED_VALUE"""),"FALSE")</f>
        <v>FALSE</v>
      </c>
      <c r="E937" s="198" t="str">
        <f>IFERROR(__xludf.DUMMYFUNCTION("""COMPUTED_VALUE"""),"FALSE")</f>
        <v>FALSE</v>
      </c>
      <c r="F937" s="198"/>
      <c r="J937" s="184" t="str">
        <f>IFERROR(__xludf.DUMMYFUNCTION("""COMPUTED_VALUE"""),"")</f>
        <v/>
      </c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</row>
    <row r="938">
      <c r="A938" s="198"/>
      <c r="D938" s="198" t="str">
        <f>IFERROR(__xludf.DUMMYFUNCTION("""COMPUTED_VALUE"""),"FALSE")</f>
        <v>FALSE</v>
      </c>
      <c r="E938" s="198" t="str">
        <f>IFERROR(__xludf.DUMMYFUNCTION("""COMPUTED_VALUE"""),"FALSE")</f>
        <v>FALSE</v>
      </c>
      <c r="F938" s="198"/>
      <c r="J938" s="184" t="str">
        <f>IFERROR(__xludf.DUMMYFUNCTION("""COMPUTED_VALUE"""),"")</f>
        <v/>
      </c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</row>
    <row r="939">
      <c r="A939" s="198"/>
      <c r="D939" s="198" t="str">
        <f>IFERROR(__xludf.DUMMYFUNCTION("""COMPUTED_VALUE"""),"FALSE")</f>
        <v>FALSE</v>
      </c>
      <c r="E939" s="198" t="str">
        <f>IFERROR(__xludf.DUMMYFUNCTION("""COMPUTED_VALUE"""),"FALSE")</f>
        <v>FALSE</v>
      </c>
      <c r="F939" s="198"/>
      <c r="J939" s="184" t="str">
        <f>IFERROR(__xludf.DUMMYFUNCTION("""COMPUTED_VALUE"""),"")</f>
        <v/>
      </c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</row>
    <row r="940">
      <c r="A940" s="198"/>
      <c r="D940" s="198" t="str">
        <f>IFERROR(__xludf.DUMMYFUNCTION("""COMPUTED_VALUE"""),"FALSE")</f>
        <v>FALSE</v>
      </c>
      <c r="E940" s="198" t="str">
        <f>IFERROR(__xludf.DUMMYFUNCTION("""COMPUTED_VALUE"""),"FALSE")</f>
        <v>FALSE</v>
      </c>
      <c r="F940" s="198"/>
      <c r="J940" s="184" t="str">
        <f>IFERROR(__xludf.DUMMYFUNCTION("""COMPUTED_VALUE"""),"")</f>
        <v/>
      </c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</row>
    <row r="941">
      <c r="A941" s="198"/>
      <c r="D941" s="198" t="str">
        <f>IFERROR(__xludf.DUMMYFUNCTION("""COMPUTED_VALUE"""),"FALSE")</f>
        <v>FALSE</v>
      </c>
      <c r="E941" s="198" t="str">
        <f>IFERROR(__xludf.DUMMYFUNCTION("""COMPUTED_VALUE"""),"FALSE")</f>
        <v>FALSE</v>
      </c>
      <c r="F941" s="198"/>
      <c r="J941" s="184" t="str">
        <f>IFERROR(__xludf.DUMMYFUNCTION("""COMPUTED_VALUE"""),"")</f>
        <v/>
      </c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</row>
    <row r="942">
      <c r="A942" s="198"/>
      <c r="D942" s="198" t="str">
        <f>IFERROR(__xludf.DUMMYFUNCTION("""COMPUTED_VALUE"""),"FALSE")</f>
        <v>FALSE</v>
      </c>
      <c r="E942" s="198" t="str">
        <f>IFERROR(__xludf.DUMMYFUNCTION("""COMPUTED_VALUE"""),"FALSE")</f>
        <v>FALSE</v>
      </c>
      <c r="F942" s="198"/>
      <c r="J942" s="184" t="str">
        <f>IFERROR(__xludf.DUMMYFUNCTION("""COMPUTED_VALUE"""),"")</f>
        <v/>
      </c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</row>
    <row r="943">
      <c r="A943" s="198"/>
      <c r="D943" s="198" t="str">
        <f>IFERROR(__xludf.DUMMYFUNCTION("""COMPUTED_VALUE"""),"FALSE")</f>
        <v>FALSE</v>
      </c>
      <c r="E943" s="198" t="str">
        <f>IFERROR(__xludf.DUMMYFUNCTION("""COMPUTED_VALUE"""),"FALSE")</f>
        <v>FALSE</v>
      </c>
      <c r="F943" s="198"/>
      <c r="J943" s="184" t="str">
        <f>IFERROR(__xludf.DUMMYFUNCTION("""COMPUTED_VALUE"""),"")</f>
        <v/>
      </c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</row>
    <row r="944">
      <c r="A944" s="198"/>
      <c r="D944" s="198" t="str">
        <f>IFERROR(__xludf.DUMMYFUNCTION("""COMPUTED_VALUE"""),"FALSE")</f>
        <v>FALSE</v>
      </c>
      <c r="E944" s="198" t="str">
        <f>IFERROR(__xludf.DUMMYFUNCTION("""COMPUTED_VALUE"""),"FALSE")</f>
        <v>FALSE</v>
      </c>
      <c r="F944" s="198"/>
      <c r="J944" s="184" t="str">
        <f>IFERROR(__xludf.DUMMYFUNCTION("""COMPUTED_VALUE"""),"")</f>
        <v/>
      </c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</row>
    <row r="945">
      <c r="A945" s="198"/>
      <c r="D945" s="198" t="str">
        <f>IFERROR(__xludf.DUMMYFUNCTION("""COMPUTED_VALUE"""),"FALSE")</f>
        <v>FALSE</v>
      </c>
      <c r="E945" s="198" t="str">
        <f>IFERROR(__xludf.DUMMYFUNCTION("""COMPUTED_VALUE"""),"FALSE")</f>
        <v>FALSE</v>
      </c>
      <c r="F945" s="198"/>
      <c r="J945" s="184" t="str">
        <f>IFERROR(__xludf.DUMMYFUNCTION("""COMPUTED_VALUE"""),"")</f>
        <v/>
      </c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</row>
    <row r="946">
      <c r="A946" s="198"/>
      <c r="D946" s="198" t="str">
        <f>IFERROR(__xludf.DUMMYFUNCTION("""COMPUTED_VALUE"""),"FALSE")</f>
        <v>FALSE</v>
      </c>
      <c r="E946" s="198" t="str">
        <f>IFERROR(__xludf.DUMMYFUNCTION("""COMPUTED_VALUE"""),"FALSE")</f>
        <v>FALSE</v>
      </c>
      <c r="F946" s="198"/>
      <c r="J946" s="184" t="str">
        <f>IFERROR(__xludf.DUMMYFUNCTION("""COMPUTED_VALUE"""),"")</f>
        <v/>
      </c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</row>
    <row r="947">
      <c r="A947" s="198"/>
      <c r="D947" s="198" t="str">
        <f>IFERROR(__xludf.DUMMYFUNCTION("""COMPUTED_VALUE"""),"FALSE")</f>
        <v>FALSE</v>
      </c>
      <c r="E947" s="198" t="str">
        <f>IFERROR(__xludf.DUMMYFUNCTION("""COMPUTED_VALUE"""),"FALSE")</f>
        <v>FALSE</v>
      </c>
      <c r="F947" s="198"/>
      <c r="J947" s="184" t="str">
        <f>IFERROR(__xludf.DUMMYFUNCTION("""COMPUTED_VALUE"""),"")</f>
        <v/>
      </c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</row>
    <row r="948">
      <c r="A948" s="198"/>
      <c r="D948" s="198" t="str">
        <f>IFERROR(__xludf.DUMMYFUNCTION("""COMPUTED_VALUE"""),"FALSE")</f>
        <v>FALSE</v>
      </c>
      <c r="E948" s="198" t="str">
        <f>IFERROR(__xludf.DUMMYFUNCTION("""COMPUTED_VALUE"""),"FALSE")</f>
        <v>FALSE</v>
      </c>
      <c r="F948" s="198"/>
      <c r="J948" s="184" t="str">
        <f>IFERROR(__xludf.DUMMYFUNCTION("""COMPUTED_VALUE"""),"")</f>
        <v/>
      </c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</row>
    <row r="949">
      <c r="A949" s="198"/>
      <c r="D949" s="198" t="str">
        <f>IFERROR(__xludf.DUMMYFUNCTION("""COMPUTED_VALUE"""),"FALSE")</f>
        <v>FALSE</v>
      </c>
      <c r="E949" s="198" t="str">
        <f>IFERROR(__xludf.DUMMYFUNCTION("""COMPUTED_VALUE"""),"FALSE")</f>
        <v>FALSE</v>
      </c>
      <c r="F949" s="198"/>
      <c r="J949" s="184" t="str">
        <f>IFERROR(__xludf.DUMMYFUNCTION("""COMPUTED_VALUE"""),"")</f>
        <v/>
      </c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</row>
    <row r="950">
      <c r="A950" s="198"/>
      <c r="D950" s="198" t="str">
        <f>IFERROR(__xludf.DUMMYFUNCTION("""COMPUTED_VALUE"""),"FALSE")</f>
        <v>FALSE</v>
      </c>
      <c r="E950" s="198" t="str">
        <f>IFERROR(__xludf.DUMMYFUNCTION("""COMPUTED_VALUE"""),"FALSE")</f>
        <v>FALSE</v>
      </c>
      <c r="F950" s="198"/>
      <c r="J950" s="184" t="str">
        <f>IFERROR(__xludf.DUMMYFUNCTION("""COMPUTED_VALUE"""),"")</f>
        <v/>
      </c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</row>
    <row r="951">
      <c r="A951" s="198"/>
      <c r="D951" s="198" t="str">
        <f>IFERROR(__xludf.DUMMYFUNCTION("""COMPUTED_VALUE"""),"FALSE")</f>
        <v>FALSE</v>
      </c>
      <c r="E951" s="198" t="str">
        <f>IFERROR(__xludf.DUMMYFUNCTION("""COMPUTED_VALUE"""),"FALSE")</f>
        <v>FALSE</v>
      </c>
      <c r="F951" s="198"/>
      <c r="J951" s="184" t="str">
        <f>IFERROR(__xludf.DUMMYFUNCTION("""COMPUTED_VALUE"""),"")</f>
        <v/>
      </c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</row>
    <row r="952">
      <c r="A952" s="198"/>
      <c r="D952" s="198" t="str">
        <f>IFERROR(__xludf.DUMMYFUNCTION("""COMPUTED_VALUE"""),"FALSE")</f>
        <v>FALSE</v>
      </c>
      <c r="E952" s="198" t="str">
        <f>IFERROR(__xludf.DUMMYFUNCTION("""COMPUTED_VALUE"""),"FALSE")</f>
        <v>FALSE</v>
      </c>
      <c r="F952" s="198"/>
      <c r="J952" s="184" t="str">
        <f>IFERROR(__xludf.DUMMYFUNCTION("""COMPUTED_VALUE"""),"")</f>
        <v/>
      </c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</row>
    <row r="953">
      <c r="A953" s="198"/>
      <c r="D953" s="198" t="str">
        <f>IFERROR(__xludf.DUMMYFUNCTION("""COMPUTED_VALUE"""),"FALSE")</f>
        <v>FALSE</v>
      </c>
      <c r="E953" s="198" t="str">
        <f>IFERROR(__xludf.DUMMYFUNCTION("""COMPUTED_VALUE"""),"FALSE")</f>
        <v>FALSE</v>
      </c>
      <c r="F953" s="198"/>
      <c r="J953" s="184" t="str">
        <f>IFERROR(__xludf.DUMMYFUNCTION("""COMPUTED_VALUE"""),"")</f>
        <v/>
      </c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</row>
    <row r="954">
      <c r="A954" s="198"/>
      <c r="D954" s="198" t="str">
        <f>IFERROR(__xludf.DUMMYFUNCTION("""COMPUTED_VALUE"""),"FALSE")</f>
        <v>FALSE</v>
      </c>
      <c r="E954" s="198" t="str">
        <f>IFERROR(__xludf.DUMMYFUNCTION("""COMPUTED_VALUE"""),"FALSE")</f>
        <v>FALSE</v>
      </c>
      <c r="F954" s="198"/>
      <c r="J954" s="184" t="str">
        <f>IFERROR(__xludf.DUMMYFUNCTION("""COMPUTED_VALUE"""),"")</f>
        <v/>
      </c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</row>
    <row r="955">
      <c r="A955" s="198"/>
      <c r="D955" s="198" t="str">
        <f>IFERROR(__xludf.DUMMYFUNCTION("""COMPUTED_VALUE"""),"FALSE")</f>
        <v>FALSE</v>
      </c>
      <c r="E955" s="198" t="str">
        <f>IFERROR(__xludf.DUMMYFUNCTION("""COMPUTED_VALUE"""),"FALSE")</f>
        <v>FALSE</v>
      </c>
      <c r="F955" s="198"/>
      <c r="J955" s="184" t="str">
        <f>IFERROR(__xludf.DUMMYFUNCTION("""COMPUTED_VALUE"""),"")</f>
        <v/>
      </c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</row>
    <row r="956">
      <c r="A956" s="198"/>
      <c r="D956" s="198" t="str">
        <f>IFERROR(__xludf.DUMMYFUNCTION("""COMPUTED_VALUE"""),"FALSE")</f>
        <v>FALSE</v>
      </c>
      <c r="E956" s="198" t="str">
        <f>IFERROR(__xludf.DUMMYFUNCTION("""COMPUTED_VALUE"""),"FALSE")</f>
        <v>FALSE</v>
      </c>
      <c r="F956" s="198"/>
      <c r="J956" s="184" t="str">
        <f>IFERROR(__xludf.DUMMYFUNCTION("""COMPUTED_VALUE"""),"")</f>
        <v/>
      </c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</row>
    <row r="957">
      <c r="A957" s="198"/>
      <c r="D957" s="198" t="str">
        <f>IFERROR(__xludf.DUMMYFUNCTION("""COMPUTED_VALUE"""),"FALSE")</f>
        <v>FALSE</v>
      </c>
      <c r="E957" s="198" t="str">
        <f>IFERROR(__xludf.DUMMYFUNCTION("""COMPUTED_VALUE"""),"FALSE")</f>
        <v>FALSE</v>
      </c>
      <c r="F957" s="198"/>
      <c r="J957" s="184" t="str">
        <f>IFERROR(__xludf.DUMMYFUNCTION("""COMPUTED_VALUE"""),"")</f>
        <v/>
      </c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</row>
    <row r="958">
      <c r="A958" s="198"/>
      <c r="D958" s="198" t="str">
        <f>IFERROR(__xludf.DUMMYFUNCTION("""COMPUTED_VALUE"""),"FALSE")</f>
        <v>FALSE</v>
      </c>
      <c r="E958" s="198" t="str">
        <f>IFERROR(__xludf.DUMMYFUNCTION("""COMPUTED_VALUE"""),"FALSE")</f>
        <v>FALSE</v>
      </c>
      <c r="F958" s="198"/>
      <c r="J958" s="184" t="str">
        <f>IFERROR(__xludf.DUMMYFUNCTION("""COMPUTED_VALUE"""),"")</f>
        <v/>
      </c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</row>
    <row r="959">
      <c r="A959" s="198"/>
      <c r="D959" s="198" t="str">
        <f>IFERROR(__xludf.DUMMYFUNCTION("""COMPUTED_VALUE"""),"FALSE")</f>
        <v>FALSE</v>
      </c>
      <c r="E959" s="198" t="str">
        <f>IFERROR(__xludf.DUMMYFUNCTION("""COMPUTED_VALUE"""),"FALSE")</f>
        <v>FALSE</v>
      </c>
      <c r="F959" s="198"/>
      <c r="J959" s="184" t="str">
        <f>IFERROR(__xludf.DUMMYFUNCTION("""COMPUTED_VALUE"""),"")</f>
        <v/>
      </c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</row>
    <row r="960">
      <c r="A960" s="198"/>
      <c r="D960" s="198" t="str">
        <f>IFERROR(__xludf.DUMMYFUNCTION("""COMPUTED_VALUE"""),"FALSE")</f>
        <v>FALSE</v>
      </c>
      <c r="E960" s="198" t="str">
        <f>IFERROR(__xludf.DUMMYFUNCTION("""COMPUTED_VALUE"""),"FALSE")</f>
        <v>FALSE</v>
      </c>
      <c r="F960" s="198"/>
      <c r="J960" s="184" t="str">
        <f>IFERROR(__xludf.DUMMYFUNCTION("""COMPUTED_VALUE"""),"")</f>
        <v/>
      </c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</row>
    <row r="961">
      <c r="A961" s="198"/>
      <c r="D961" s="198" t="str">
        <f>IFERROR(__xludf.DUMMYFUNCTION("""COMPUTED_VALUE"""),"FALSE")</f>
        <v>FALSE</v>
      </c>
      <c r="E961" s="198" t="str">
        <f>IFERROR(__xludf.DUMMYFUNCTION("""COMPUTED_VALUE"""),"FALSE")</f>
        <v>FALSE</v>
      </c>
      <c r="F961" s="198"/>
      <c r="J961" s="184" t="str">
        <f>IFERROR(__xludf.DUMMYFUNCTION("""COMPUTED_VALUE"""),"")</f>
        <v/>
      </c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</row>
    <row r="962">
      <c r="A962" s="198"/>
      <c r="D962" s="198" t="str">
        <f>IFERROR(__xludf.DUMMYFUNCTION("""COMPUTED_VALUE"""),"FALSE")</f>
        <v>FALSE</v>
      </c>
      <c r="E962" s="198" t="str">
        <f>IFERROR(__xludf.DUMMYFUNCTION("""COMPUTED_VALUE"""),"FALSE")</f>
        <v>FALSE</v>
      </c>
      <c r="F962" s="198"/>
      <c r="J962" s="184" t="str">
        <f>IFERROR(__xludf.DUMMYFUNCTION("""COMPUTED_VALUE"""),"")</f>
        <v/>
      </c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</row>
    <row r="963">
      <c r="A963" s="198"/>
      <c r="D963" s="198" t="str">
        <f>IFERROR(__xludf.DUMMYFUNCTION("""COMPUTED_VALUE"""),"FALSE")</f>
        <v>FALSE</v>
      </c>
      <c r="E963" s="198" t="str">
        <f>IFERROR(__xludf.DUMMYFUNCTION("""COMPUTED_VALUE"""),"FALSE")</f>
        <v>FALSE</v>
      </c>
      <c r="F963" s="198"/>
      <c r="J963" s="184" t="str">
        <f>IFERROR(__xludf.DUMMYFUNCTION("""COMPUTED_VALUE"""),"")</f>
        <v/>
      </c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</row>
    <row r="964">
      <c r="A964" s="198"/>
      <c r="D964" s="198" t="str">
        <f>IFERROR(__xludf.DUMMYFUNCTION("""COMPUTED_VALUE"""),"FALSE")</f>
        <v>FALSE</v>
      </c>
      <c r="E964" s="198" t="str">
        <f>IFERROR(__xludf.DUMMYFUNCTION("""COMPUTED_VALUE"""),"FALSE")</f>
        <v>FALSE</v>
      </c>
      <c r="F964" s="198"/>
      <c r="J964" s="184" t="str">
        <f>IFERROR(__xludf.DUMMYFUNCTION("""COMPUTED_VALUE"""),"")</f>
        <v/>
      </c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</row>
    <row r="965">
      <c r="A965" s="198"/>
      <c r="D965" s="198" t="str">
        <f>IFERROR(__xludf.DUMMYFUNCTION("""COMPUTED_VALUE"""),"FALSE")</f>
        <v>FALSE</v>
      </c>
      <c r="E965" s="198" t="str">
        <f>IFERROR(__xludf.DUMMYFUNCTION("""COMPUTED_VALUE"""),"FALSE")</f>
        <v>FALSE</v>
      </c>
      <c r="F965" s="198"/>
      <c r="J965" s="184" t="str">
        <f>IFERROR(__xludf.DUMMYFUNCTION("""COMPUTED_VALUE"""),"")</f>
        <v/>
      </c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</row>
    <row r="966">
      <c r="A966" s="198"/>
      <c r="D966" s="198" t="str">
        <f>IFERROR(__xludf.DUMMYFUNCTION("""COMPUTED_VALUE"""),"FALSE")</f>
        <v>FALSE</v>
      </c>
      <c r="E966" s="198" t="str">
        <f>IFERROR(__xludf.DUMMYFUNCTION("""COMPUTED_VALUE"""),"FALSE")</f>
        <v>FALSE</v>
      </c>
      <c r="F966" s="198"/>
      <c r="J966" s="184" t="str">
        <f>IFERROR(__xludf.DUMMYFUNCTION("""COMPUTED_VALUE"""),"")</f>
        <v/>
      </c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</row>
    <row r="967">
      <c r="A967" s="198"/>
      <c r="D967" s="198" t="str">
        <f>IFERROR(__xludf.DUMMYFUNCTION("""COMPUTED_VALUE"""),"FALSE")</f>
        <v>FALSE</v>
      </c>
      <c r="E967" s="198" t="str">
        <f>IFERROR(__xludf.DUMMYFUNCTION("""COMPUTED_VALUE"""),"FALSE")</f>
        <v>FALSE</v>
      </c>
      <c r="F967" s="198"/>
      <c r="J967" s="184" t="str">
        <f>IFERROR(__xludf.DUMMYFUNCTION("""COMPUTED_VALUE"""),"")</f>
        <v/>
      </c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</row>
    <row r="968">
      <c r="A968" s="198"/>
      <c r="D968" s="198" t="str">
        <f>IFERROR(__xludf.DUMMYFUNCTION("""COMPUTED_VALUE"""),"FALSE")</f>
        <v>FALSE</v>
      </c>
      <c r="E968" s="198" t="str">
        <f>IFERROR(__xludf.DUMMYFUNCTION("""COMPUTED_VALUE"""),"FALSE")</f>
        <v>FALSE</v>
      </c>
      <c r="F968" s="198"/>
      <c r="J968" s="184" t="str">
        <f>IFERROR(__xludf.DUMMYFUNCTION("""COMPUTED_VALUE"""),"")</f>
        <v/>
      </c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</row>
    <row r="969">
      <c r="A969" s="198"/>
      <c r="D969" s="198" t="str">
        <f>IFERROR(__xludf.DUMMYFUNCTION("""COMPUTED_VALUE"""),"FALSE")</f>
        <v>FALSE</v>
      </c>
      <c r="E969" s="198" t="str">
        <f>IFERROR(__xludf.DUMMYFUNCTION("""COMPUTED_VALUE"""),"FALSE")</f>
        <v>FALSE</v>
      </c>
      <c r="F969" s="198"/>
      <c r="J969" s="184" t="str">
        <f>IFERROR(__xludf.DUMMYFUNCTION("""COMPUTED_VALUE"""),"")</f>
        <v/>
      </c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</row>
    <row r="970">
      <c r="A970" s="198"/>
      <c r="D970" s="198" t="str">
        <f>IFERROR(__xludf.DUMMYFUNCTION("""COMPUTED_VALUE"""),"FALSE")</f>
        <v>FALSE</v>
      </c>
      <c r="E970" s="198" t="str">
        <f>IFERROR(__xludf.DUMMYFUNCTION("""COMPUTED_VALUE"""),"FALSE")</f>
        <v>FALSE</v>
      </c>
      <c r="F970" s="198"/>
      <c r="J970" s="184" t="str">
        <f>IFERROR(__xludf.DUMMYFUNCTION("""COMPUTED_VALUE"""),"")</f>
        <v/>
      </c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</row>
    <row r="971">
      <c r="A971" s="198"/>
      <c r="D971" s="198" t="str">
        <f>IFERROR(__xludf.DUMMYFUNCTION("""COMPUTED_VALUE"""),"FALSE")</f>
        <v>FALSE</v>
      </c>
      <c r="E971" s="198" t="str">
        <f>IFERROR(__xludf.DUMMYFUNCTION("""COMPUTED_VALUE"""),"FALSE")</f>
        <v>FALSE</v>
      </c>
      <c r="F971" s="198"/>
      <c r="J971" s="184" t="str">
        <f>IFERROR(__xludf.DUMMYFUNCTION("""COMPUTED_VALUE"""),"")</f>
        <v/>
      </c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</row>
    <row r="972">
      <c r="A972" s="198"/>
      <c r="D972" s="198" t="str">
        <f>IFERROR(__xludf.DUMMYFUNCTION("""COMPUTED_VALUE"""),"FALSE")</f>
        <v>FALSE</v>
      </c>
      <c r="E972" s="198" t="str">
        <f>IFERROR(__xludf.DUMMYFUNCTION("""COMPUTED_VALUE"""),"FALSE")</f>
        <v>FALSE</v>
      </c>
      <c r="F972" s="198"/>
      <c r="J972" s="184" t="str">
        <f>IFERROR(__xludf.DUMMYFUNCTION("""COMPUTED_VALUE"""),"")</f>
        <v/>
      </c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</row>
    <row r="973">
      <c r="A973" s="198"/>
      <c r="D973" s="198" t="str">
        <f>IFERROR(__xludf.DUMMYFUNCTION("""COMPUTED_VALUE"""),"FALSE")</f>
        <v>FALSE</v>
      </c>
      <c r="E973" s="198" t="str">
        <f>IFERROR(__xludf.DUMMYFUNCTION("""COMPUTED_VALUE"""),"FALSE")</f>
        <v>FALSE</v>
      </c>
      <c r="F973" s="198"/>
      <c r="J973" s="184" t="str">
        <f>IFERROR(__xludf.DUMMYFUNCTION("""COMPUTED_VALUE"""),"")</f>
        <v/>
      </c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</row>
    <row r="974">
      <c r="A974" s="198"/>
      <c r="D974" s="198" t="str">
        <f>IFERROR(__xludf.DUMMYFUNCTION("""COMPUTED_VALUE"""),"FALSE")</f>
        <v>FALSE</v>
      </c>
      <c r="E974" s="198" t="str">
        <f>IFERROR(__xludf.DUMMYFUNCTION("""COMPUTED_VALUE"""),"FALSE")</f>
        <v>FALSE</v>
      </c>
      <c r="F974" s="198"/>
      <c r="J974" s="184" t="str">
        <f>IFERROR(__xludf.DUMMYFUNCTION("""COMPUTED_VALUE"""),"")</f>
        <v/>
      </c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</row>
    <row r="975">
      <c r="A975" s="198"/>
      <c r="D975" s="198" t="str">
        <f>IFERROR(__xludf.DUMMYFUNCTION("""COMPUTED_VALUE"""),"FALSE")</f>
        <v>FALSE</v>
      </c>
      <c r="E975" s="198" t="str">
        <f>IFERROR(__xludf.DUMMYFUNCTION("""COMPUTED_VALUE"""),"FALSE")</f>
        <v>FALSE</v>
      </c>
      <c r="F975" s="198"/>
      <c r="J975" s="184" t="str">
        <f>IFERROR(__xludf.DUMMYFUNCTION("""COMPUTED_VALUE"""),"")</f>
        <v/>
      </c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</row>
    <row r="976">
      <c r="A976" s="198"/>
      <c r="D976" s="198" t="str">
        <f>IFERROR(__xludf.DUMMYFUNCTION("""COMPUTED_VALUE"""),"FALSE")</f>
        <v>FALSE</v>
      </c>
      <c r="E976" s="198" t="str">
        <f>IFERROR(__xludf.DUMMYFUNCTION("""COMPUTED_VALUE"""),"FALSE")</f>
        <v>FALSE</v>
      </c>
      <c r="F976" s="198"/>
      <c r="J976" s="184" t="str">
        <f>IFERROR(__xludf.DUMMYFUNCTION("""COMPUTED_VALUE"""),"")</f>
        <v/>
      </c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</row>
    <row r="977">
      <c r="A977" s="198"/>
      <c r="D977" s="198" t="str">
        <f>IFERROR(__xludf.DUMMYFUNCTION("""COMPUTED_VALUE"""),"FALSE")</f>
        <v>FALSE</v>
      </c>
      <c r="E977" s="198" t="str">
        <f>IFERROR(__xludf.DUMMYFUNCTION("""COMPUTED_VALUE"""),"FALSE")</f>
        <v>FALSE</v>
      </c>
      <c r="F977" s="198"/>
      <c r="J977" s="184" t="str">
        <f>IFERROR(__xludf.DUMMYFUNCTION("""COMPUTED_VALUE"""),"")</f>
        <v/>
      </c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</row>
    <row r="978">
      <c r="A978" s="198"/>
      <c r="D978" s="198" t="str">
        <f>IFERROR(__xludf.DUMMYFUNCTION("""COMPUTED_VALUE"""),"FALSE")</f>
        <v>FALSE</v>
      </c>
      <c r="E978" s="198" t="str">
        <f>IFERROR(__xludf.DUMMYFUNCTION("""COMPUTED_VALUE"""),"FALSE")</f>
        <v>FALSE</v>
      </c>
      <c r="F978" s="198"/>
      <c r="J978" s="184" t="str">
        <f>IFERROR(__xludf.DUMMYFUNCTION("""COMPUTED_VALUE"""),"")</f>
        <v/>
      </c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</row>
    <row r="979">
      <c r="A979" s="198"/>
      <c r="D979" s="198" t="str">
        <f>IFERROR(__xludf.DUMMYFUNCTION("""COMPUTED_VALUE"""),"FALSE")</f>
        <v>FALSE</v>
      </c>
      <c r="E979" s="198" t="str">
        <f>IFERROR(__xludf.DUMMYFUNCTION("""COMPUTED_VALUE"""),"FALSE")</f>
        <v>FALSE</v>
      </c>
      <c r="F979" s="198"/>
      <c r="J979" s="184" t="str">
        <f>IFERROR(__xludf.DUMMYFUNCTION("""COMPUTED_VALUE"""),"")</f>
        <v/>
      </c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</row>
    <row r="980">
      <c r="A980" s="198"/>
      <c r="D980" s="198" t="str">
        <f>IFERROR(__xludf.DUMMYFUNCTION("""COMPUTED_VALUE"""),"FALSE")</f>
        <v>FALSE</v>
      </c>
      <c r="E980" s="198" t="str">
        <f>IFERROR(__xludf.DUMMYFUNCTION("""COMPUTED_VALUE"""),"FALSE")</f>
        <v>FALSE</v>
      </c>
      <c r="F980" s="198"/>
      <c r="J980" s="184" t="str">
        <f>IFERROR(__xludf.DUMMYFUNCTION("""COMPUTED_VALUE"""),"")</f>
        <v/>
      </c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</row>
    <row r="981">
      <c r="A981" s="198"/>
      <c r="D981" s="198" t="str">
        <f>IFERROR(__xludf.DUMMYFUNCTION("""COMPUTED_VALUE"""),"FALSE")</f>
        <v>FALSE</v>
      </c>
      <c r="E981" s="198" t="str">
        <f>IFERROR(__xludf.DUMMYFUNCTION("""COMPUTED_VALUE"""),"FALSE")</f>
        <v>FALSE</v>
      </c>
      <c r="F981" s="198"/>
      <c r="J981" s="184" t="str">
        <f>IFERROR(__xludf.DUMMYFUNCTION("""COMPUTED_VALUE"""),"")</f>
        <v/>
      </c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</row>
    <row r="982">
      <c r="A982" s="198"/>
      <c r="D982" s="198" t="str">
        <f>IFERROR(__xludf.DUMMYFUNCTION("""COMPUTED_VALUE"""),"FALSE")</f>
        <v>FALSE</v>
      </c>
      <c r="E982" s="198" t="str">
        <f>IFERROR(__xludf.DUMMYFUNCTION("""COMPUTED_VALUE"""),"FALSE")</f>
        <v>FALSE</v>
      </c>
      <c r="F982" s="198"/>
      <c r="J982" s="184" t="str">
        <f>IFERROR(__xludf.DUMMYFUNCTION("""COMPUTED_VALUE"""),"")</f>
        <v/>
      </c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</row>
    <row r="983">
      <c r="A983" s="198"/>
      <c r="D983" s="198" t="str">
        <f>IFERROR(__xludf.DUMMYFUNCTION("""COMPUTED_VALUE"""),"FALSE")</f>
        <v>FALSE</v>
      </c>
      <c r="E983" s="198" t="str">
        <f>IFERROR(__xludf.DUMMYFUNCTION("""COMPUTED_VALUE"""),"FALSE")</f>
        <v>FALSE</v>
      </c>
      <c r="F983" s="198"/>
      <c r="J983" s="184" t="str">
        <f>IFERROR(__xludf.DUMMYFUNCTION("""COMPUTED_VALUE"""),"")</f>
        <v/>
      </c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</row>
    <row r="984">
      <c r="A984" s="198"/>
      <c r="D984" s="198" t="str">
        <f>IFERROR(__xludf.DUMMYFUNCTION("""COMPUTED_VALUE"""),"FALSE")</f>
        <v>FALSE</v>
      </c>
      <c r="E984" s="198" t="str">
        <f>IFERROR(__xludf.DUMMYFUNCTION("""COMPUTED_VALUE"""),"FALSE")</f>
        <v>FALSE</v>
      </c>
      <c r="F984" s="198"/>
      <c r="J984" s="184" t="str">
        <f>IFERROR(__xludf.DUMMYFUNCTION("""COMPUTED_VALUE"""),"")</f>
        <v/>
      </c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</row>
    <row r="985">
      <c r="A985" s="198"/>
      <c r="D985" s="198" t="str">
        <f>IFERROR(__xludf.DUMMYFUNCTION("""COMPUTED_VALUE"""),"FALSE")</f>
        <v>FALSE</v>
      </c>
      <c r="E985" s="198" t="str">
        <f>IFERROR(__xludf.DUMMYFUNCTION("""COMPUTED_VALUE"""),"FALSE")</f>
        <v>FALSE</v>
      </c>
      <c r="F985" s="198"/>
      <c r="J985" s="184" t="str">
        <f>IFERROR(__xludf.DUMMYFUNCTION("""COMPUTED_VALUE"""),"")</f>
        <v/>
      </c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</row>
    <row r="986">
      <c r="A986" s="198"/>
      <c r="D986" s="198" t="str">
        <f>IFERROR(__xludf.DUMMYFUNCTION("""COMPUTED_VALUE"""),"FALSE")</f>
        <v>FALSE</v>
      </c>
      <c r="E986" s="198" t="str">
        <f>IFERROR(__xludf.DUMMYFUNCTION("""COMPUTED_VALUE"""),"FALSE")</f>
        <v>FALSE</v>
      </c>
      <c r="F986" s="198"/>
      <c r="J986" s="184" t="str">
        <f>IFERROR(__xludf.DUMMYFUNCTION("""COMPUTED_VALUE"""),"")</f>
        <v/>
      </c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</row>
    <row r="987">
      <c r="A987" s="198"/>
      <c r="D987" s="198" t="str">
        <f>IFERROR(__xludf.DUMMYFUNCTION("""COMPUTED_VALUE"""),"FALSE")</f>
        <v>FALSE</v>
      </c>
      <c r="E987" s="198" t="str">
        <f>IFERROR(__xludf.DUMMYFUNCTION("""COMPUTED_VALUE"""),"FALSE")</f>
        <v>FALSE</v>
      </c>
      <c r="F987" s="198"/>
      <c r="J987" s="184" t="str">
        <f>IFERROR(__xludf.DUMMYFUNCTION("""COMPUTED_VALUE"""),"")</f>
        <v/>
      </c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</row>
    <row r="988">
      <c r="A988" s="198"/>
      <c r="D988" s="198" t="str">
        <f>IFERROR(__xludf.DUMMYFUNCTION("""COMPUTED_VALUE"""),"FALSE")</f>
        <v>FALSE</v>
      </c>
      <c r="E988" s="198" t="str">
        <f>IFERROR(__xludf.DUMMYFUNCTION("""COMPUTED_VALUE"""),"FALSE")</f>
        <v>FALSE</v>
      </c>
      <c r="F988" s="198"/>
      <c r="J988" s="184" t="str">
        <f>IFERROR(__xludf.DUMMYFUNCTION("""COMPUTED_VALUE"""),"")</f>
        <v/>
      </c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</row>
    <row r="989">
      <c r="A989" s="198"/>
      <c r="D989" s="198" t="str">
        <f>IFERROR(__xludf.DUMMYFUNCTION("""COMPUTED_VALUE"""),"FALSE")</f>
        <v>FALSE</v>
      </c>
      <c r="E989" s="198" t="str">
        <f>IFERROR(__xludf.DUMMYFUNCTION("""COMPUTED_VALUE"""),"FALSE")</f>
        <v>FALSE</v>
      </c>
      <c r="F989" s="198"/>
      <c r="J989" s="184" t="str">
        <f>IFERROR(__xludf.DUMMYFUNCTION("""COMPUTED_VALUE"""),"")</f>
        <v/>
      </c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</row>
    <row r="990">
      <c r="A990" s="198"/>
      <c r="D990" s="198" t="str">
        <f>IFERROR(__xludf.DUMMYFUNCTION("""COMPUTED_VALUE"""),"FALSE")</f>
        <v>FALSE</v>
      </c>
      <c r="E990" s="198" t="str">
        <f>IFERROR(__xludf.DUMMYFUNCTION("""COMPUTED_VALUE"""),"FALSE")</f>
        <v>FALSE</v>
      </c>
      <c r="F990" s="198"/>
      <c r="J990" s="184" t="str">
        <f>IFERROR(__xludf.DUMMYFUNCTION("""COMPUTED_VALUE"""),"")</f>
        <v/>
      </c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</row>
    <row r="991">
      <c r="A991" s="198"/>
      <c r="D991" s="198" t="str">
        <f>IFERROR(__xludf.DUMMYFUNCTION("""COMPUTED_VALUE"""),"FALSE")</f>
        <v>FALSE</v>
      </c>
      <c r="E991" s="198" t="str">
        <f>IFERROR(__xludf.DUMMYFUNCTION("""COMPUTED_VALUE"""),"FALSE")</f>
        <v>FALSE</v>
      </c>
      <c r="F991" s="198"/>
      <c r="J991" s="184" t="str">
        <f>IFERROR(__xludf.DUMMYFUNCTION("""COMPUTED_VALUE"""),"")</f>
        <v/>
      </c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</row>
    <row r="992">
      <c r="A992" s="198"/>
      <c r="D992" s="198" t="str">
        <f>IFERROR(__xludf.DUMMYFUNCTION("""COMPUTED_VALUE"""),"FALSE")</f>
        <v>FALSE</v>
      </c>
      <c r="E992" s="198" t="str">
        <f>IFERROR(__xludf.DUMMYFUNCTION("""COMPUTED_VALUE"""),"FALSE")</f>
        <v>FALSE</v>
      </c>
      <c r="F992" s="198"/>
      <c r="J992" s="184" t="str">
        <f>IFERROR(__xludf.DUMMYFUNCTION("""COMPUTED_VALUE"""),"")</f>
        <v/>
      </c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</row>
    <row r="993">
      <c r="A993" s="198"/>
      <c r="D993" s="198" t="str">
        <f>IFERROR(__xludf.DUMMYFUNCTION("""COMPUTED_VALUE"""),"FALSE")</f>
        <v>FALSE</v>
      </c>
      <c r="E993" s="198" t="str">
        <f>IFERROR(__xludf.DUMMYFUNCTION("""COMPUTED_VALUE"""),"FALSE")</f>
        <v>FALSE</v>
      </c>
      <c r="F993" s="198"/>
      <c r="J993" s="184" t="str">
        <f>IFERROR(__xludf.DUMMYFUNCTION("""COMPUTED_VALUE"""),"")</f>
        <v/>
      </c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</row>
    <row r="994">
      <c r="A994" s="198"/>
      <c r="D994" s="198" t="str">
        <f>IFERROR(__xludf.DUMMYFUNCTION("""COMPUTED_VALUE"""),"FALSE")</f>
        <v>FALSE</v>
      </c>
      <c r="E994" s="198" t="str">
        <f>IFERROR(__xludf.DUMMYFUNCTION("""COMPUTED_VALUE"""),"FALSE")</f>
        <v>FALSE</v>
      </c>
      <c r="F994" s="198"/>
      <c r="J994" s="184" t="str">
        <f>IFERROR(__xludf.DUMMYFUNCTION("""COMPUTED_VALUE"""),"")</f>
        <v/>
      </c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</row>
    <row r="995">
      <c r="A995" s="198"/>
      <c r="D995" s="198" t="str">
        <f>IFERROR(__xludf.DUMMYFUNCTION("""COMPUTED_VALUE"""),"FALSE")</f>
        <v>FALSE</v>
      </c>
      <c r="E995" s="198" t="str">
        <f>IFERROR(__xludf.DUMMYFUNCTION("""COMPUTED_VALUE"""),"FALSE")</f>
        <v>FALSE</v>
      </c>
      <c r="F995" s="198"/>
      <c r="J995" s="184" t="str">
        <f>IFERROR(__xludf.DUMMYFUNCTION("""COMPUTED_VALUE"""),"")</f>
        <v/>
      </c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</row>
    <row r="996">
      <c r="A996" s="198"/>
      <c r="D996" s="198" t="str">
        <f>IFERROR(__xludf.DUMMYFUNCTION("""COMPUTED_VALUE"""),"FALSE")</f>
        <v>FALSE</v>
      </c>
      <c r="E996" s="198" t="str">
        <f>IFERROR(__xludf.DUMMYFUNCTION("""COMPUTED_VALUE"""),"FALSE")</f>
        <v>FALSE</v>
      </c>
      <c r="F996" s="198"/>
      <c r="J996" s="184" t="str">
        <f>IFERROR(__xludf.DUMMYFUNCTION("""COMPUTED_VALUE"""),"")</f>
        <v/>
      </c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</row>
    <row r="997">
      <c r="A997" s="198"/>
      <c r="D997" s="198" t="str">
        <f>IFERROR(__xludf.DUMMYFUNCTION("""COMPUTED_VALUE"""),"FALSE")</f>
        <v>FALSE</v>
      </c>
      <c r="E997" s="198" t="str">
        <f>IFERROR(__xludf.DUMMYFUNCTION("""COMPUTED_VALUE"""),"FALSE")</f>
        <v>FALSE</v>
      </c>
      <c r="F997" s="198"/>
      <c r="J997" s="184" t="str">
        <f>IFERROR(__xludf.DUMMYFUNCTION("""COMPUTED_VALUE"""),"")</f>
        <v/>
      </c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</row>
    <row r="998">
      <c r="A998" s="198"/>
      <c r="D998" s="198" t="str">
        <f>IFERROR(__xludf.DUMMYFUNCTION("""COMPUTED_VALUE"""),"FALSE")</f>
        <v>FALSE</v>
      </c>
      <c r="E998" s="198" t="str">
        <f>IFERROR(__xludf.DUMMYFUNCTION("""COMPUTED_VALUE"""),"FALSE")</f>
        <v>FALSE</v>
      </c>
      <c r="F998" s="198"/>
      <c r="J998" s="184" t="str">
        <f>IFERROR(__xludf.DUMMYFUNCTION("""COMPUTED_VALUE"""),"")</f>
        <v/>
      </c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</row>
    <row r="999">
      <c r="A999" s="198"/>
      <c r="D999" s="198" t="str">
        <f>IFERROR(__xludf.DUMMYFUNCTION("""COMPUTED_VALUE"""),"FALSE")</f>
        <v>FALSE</v>
      </c>
      <c r="E999" s="198" t="str">
        <f>IFERROR(__xludf.DUMMYFUNCTION("""COMPUTED_VALUE"""),"FALSE")</f>
        <v>FALSE</v>
      </c>
      <c r="F999" s="198"/>
      <c r="J999" s="184" t="str">
        <f>IFERROR(__xludf.DUMMYFUNCTION("""COMPUTED_VALUE"""),"")</f>
        <v/>
      </c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</row>
    <row r="1000">
      <c r="A1000" s="198"/>
      <c r="D1000" s="198" t="str">
        <f>IFERROR(__xludf.DUMMYFUNCTION("""COMPUTED_VALUE"""),"FALSE")</f>
        <v>FALSE</v>
      </c>
      <c r="E1000" s="198" t="str">
        <f>IFERROR(__xludf.DUMMYFUNCTION("""COMPUTED_VALUE"""),"FALSE")</f>
        <v>FALSE</v>
      </c>
      <c r="F1000" s="198"/>
      <c r="J1000" s="184" t="str">
        <f>IFERROR(__xludf.DUMMYFUNCTION("""COMPUTED_VALUE"""),"")</f>
        <v/>
      </c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</row>
    <row r="1001">
      <c r="A1001" s="198"/>
      <c r="D1001" s="198" t="str">
        <f>IFERROR(__xludf.DUMMYFUNCTION("""COMPUTED_VALUE"""),"FALSE")</f>
        <v>FALSE</v>
      </c>
      <c r="E1001" s="198" t="str">
        <f>IFERROR(__xludf.DUMMYFUNCTION("""COMPUTED_VALUE"""),"FALSE")</f>
        <v>FALSE</v>
      </c>
      <c r="F1001" s="198"/>
      <c r="J1001" s="184" t="str">
        <f>IFERROR(__xludf.DUMMYFUNCTION("""COMPUTED_VALUE"""),"")</f>
        <v/>
      </c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84"/>
      <c r="V1001" s="184"/>
      <c r="W1001" s="184"/>
      <c r="X1001" s="184"/>
    </row>
    <row r="1002">
      <c r="A1002" s="198"/>
      <c r="D1002" s="198" t="str">
        <f>IFERROR(__xludf.DUMMYFUNCTION("""COMPUTED_VALUE"""),"FALSE")</f>
        <v>FALSE</v>
      </c>
      <c r="E1002" s="198" t="str">
        <f>IFERROR(__xludf.DUMMYFUNCTION("""COMPUTED_VALUE"""),"FALSE")</f>
        <v>FALSE</v>
      </c>
      <c r="F1002" s="198"/>
      <c r="J1002" s="184" t="str">
        <f>IFERROR(__xludf.DUMMYFUNCTION("""COMPUTED_VALUE"""),"")</f>
        <v/>
      </c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84"/>
      <c r="V1002" s="184"/>
      <c r="W1002" s="184"/>
      <c r="X1002" s="184"/>
    </row>
    <row r="1003">
      <c r="A1003" s="198"/>
      <c r="D1003" s="198" t="str">
        <f>IFERROR(__xludf.DUMMYFUNCTION("""COMPUTED_VALUE"""),"FALSE")</f>
        <v>FALSE</v>
      </c>
      <c r="E1003" s="198" t="str">
        <f>IFERROR(__xludf.DUMMYFUNCTION("""COMPUTED_VALUE"""),"FALSE")</f>
        <v>FALSE</v>
      </c>
      <c r="F1003" s="198"/>
      <c r="J1003" s="184" t="str">
        <f>IFERROR(__xludf.DUMMYFUNCTION("""COMPUTED_VALUE"""),"")</f>
        <v/>
      </c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84"/>
      <c r="V1003" s="184"/>
      <c r="W1003" s="184"/>
      <c r="X1003" s="184"/>
    </row>
    <row r="1004">
      <c r="A1004" s="198"/>
      <c r="D1004" s="198" t="str">
        <f>IFERROR(__xludf.DUMMYFUNCTION("""COMPUTED_VALUE"""),"FALSE")</f>
        <v>FALSE</v>
      </c>
      <c r="E1004" s="198" t="str">
        <f>IFERROR(__xludf.DUMMYFUNCTION("""COMPUTED_VALUE"""),"FALSE")</f>
        <v>FALSE</v>
      </c>
      <c r="F1004" s="198"/>
      <c r="J1004" s="184" t="str">
        <f>IFERROR(__xludf.DUMMYFUNCTION("""COMPUTED_VALUE"""),"")</f>
        <v/>
      </c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84"/>
      <c r="V1004" s="184"/>
      <c r="W1004" s="184"/>
      <c r="X1004" s="184"/>
    </row>
    <row r="1005">
      <c r="A1005" s="198"/>
      <c r="D1005" s="198" t="str">
        <f>IFERROR(__xludf.DUMMYFUNCTION("""COMPUTED_VALUE"""),"FALSE")</f>
        <v>FALSE</v>
      </c>
      <c r="E1005" s="198" t="str">
        <f>IFERROR(__xludf.DUMMYFUNCTION("""COMPUTED_VALUE"""),"FALSE")</f>
        <v>FALSE</v>
      </c>
      <c r="F1005" s="198"/>
      <c r="J1005" s="184" t="str">
        <f>IFERROR(__xludf.DUMMYFUNCTION("""COMPUTED_VALUE"""),"")</f>
        <v/>
      </c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84"/>
      <c r="V1005" s="184"/>
      <c r="W1005" s="184"/>
      <c r="X1005" s="184"/>
    </row>
    <row r="1006">
      <c r="A1006" s="198"/>
      <c r="D1006" s="198" t="str">
        <f>IFERROR(__xludf.DUMMYFUNCTION("""COMPUTED_VALUE"""),"FALSE")</f>
        <v>FALSE</v>
      </c>
      <c r="E1006" s="198" t="str">
        <f>IFERROR(__xludf.DUMMYFUNCTION("""COMPUTED_VALUE"""),"FALSE")</f>
        <v>FALSE</v>
      </c>
      <c r="F1006" s="198"/>
      <c r="J1006" s="184" t="str">
        <f>IFERROR(__xludf.DUMMYFUNCTION("""COMPUTED_VALUE"""),"")</f>
        <v/>
      </c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84"/>
      <c r="V1006" s="184"/>
      <c r="W1006" s="184"/>
      <c r="X1006" s="184"/>
    </row>
    <row r="1007">
      <c r="A1007" s="198"/>
      <c r="D1007" s="198" t="str">
        <f>IFERROR(__xludf.DUMMYFUNCTION("""COMPUTED_VALUE"""),"FALSE")</f>
        <v>FALSE</v>
      </c>
      <c r="E1007" s="198" t="str">
        <f>IFERROR(__xludf.DUMMYFUNCTION("""COMPUTED_VALUE"""),"FALSE")</f>
        <v>FALSE</v>
      </c>
      <c r="F1007" s="198"/>
      <c r="J1007" s="184" t="str">
        <f>IFERROR(__xludf.DUMMYFUNCTION("""COMPUTED_VALUE"""),"")</f>
        <v/>
      </c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84"/>
      <c r="V1007" s="184"/>
      <c r="W1007" s="184"/>
      <c r="X1007" s="184"/>
    </row>
    <row r="1008">
      <c r="A1008" s="198"/>
      <c r="D1008" s="198" t="str">
        <f>IFERROR(__xludf.DUMMYFUNCTION("""COMPUTED_VALUE"""),"FALSE")</f>
        <v>FALSE</v>
      </c>
      <c r="E1008" s="198" t="str">
        <f>IFERROR(__xludf.DUMMYFUNCTION("""COMPUTED_VALUE"""),"FALSE")</f>
        <v>FALSE</v>
      </c>
      <c r="F1008" s="198"/>
      <c r="J1008" s="184" t="str">
        <f>IFERROR(__xludf.DUMMYFUNCTION("""COMPUTED_VALUE"""),"")</f>
        <v/>
      </c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84"/>
      <c r="V1008" s="184"/>
      <c r="W1008" s="184"/>
      <c r="X1008" s="184"/>
    </row>
    <row r="1009">
      <c r="A1009" s="198"/>
      <c r="D1009" s="198" t="str">
        <f>IFERROR(__xludf.DUMMYFUNCTION("""COMPUTED_VALUE"""),"FALSE")</f>
        <v>FALSE</v>
      </c>
      <c r="E1009" s="198" t="str">
        <f>IFERROR(__xludf.DUMMYFUNCTION("""COMPUTED_VALUE"""),"FALSE")</f>
        <v>FALSE</v>
      </c>
      <c r="F1009" s="198"/>
      <c r="J1009" s="184" t="str">
        <f>IFERROR(__xludf.DUMMYFUNCTION("""COMPUTED_VALUE"""),"")</f>
        <v/>
      </c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84"/>
      <c r="V1009" s="184"/>
      <c r="W1009" s="184"/>
      <c r="X1009" s="184"/>
    </row>
    <row r="1010">
      <c r="A1010" s="198"/>
      <c r="D1010" s="198" t="str">
        <f>IFERROR(__xludf.DUMMYFUNCTION("""COMPUTED_VALUE"""),"FALSE")</f>
        <v>FALSE</v>
      </c>
      <c r="E1010" s="198" t="str">
        <f>IFERROR(__xludf.DUMMYFUNCTION("""COMPUTED_VALUE"""),"FALSE")</f>
        <v>FALSE</v>
      </c>
      <c r="F1010" s="198"/>
      <c r="J1010" s="184" t="str">
        <f>IFERROR(__xludf.DUMMYFUNCTION("""COMPUTED_VALUE"""),"")</f>
        <v/>
      </c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84"/>
      <c r="V1010" s="184"/>
      <c r="W1010" s="184"/>
      <c r="X1010" s="184"/>
    </row>
    <row r="1011">
      <c r="A1011" s="198"/>
      <c r="D1011" s="198" t="str">
        <f>IFERROR(__xludf.DUMMYFUNCTION("""COMPUTED_VALUE"""),"FALSE")</f>
        <v>FALSE</v>
      </c>
      <c r="E1011" s="198" t="str">
        <f>IFERROR(__xludf.DUMMYFUNCTION("""COMPUTED_VALUE"""),"FALSE")</f>
        <v>FALSE</v>
      </c>
      <c r="F1011" s="198"/>
      <c r="J1011" s="184" t="str">
        <f>IFERROR(__xludf.DUMMYFUNCTION("""COMPUTED_VALUE"""),"")</f>
        <v/>
      </c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84"/>
      <c r="V1011" s="184"/>
      <c r="W1011" s="184"/>
      <c r="X1011" s="184"/>
    </row>
    <row r="1012">
      <c r="A1012" s="198"/>
      <c r="D1012" s="198" t="str">
        <f>IFERROR(__xludf.DUMMYFUNCTION("""COMPUTED_VALUE"""),"FALSE")</f>
        <v>FALSE</v>
      </c>
      <c r="E1012" s="198" t="str">
        <f>IFERROR(__xludf.DUMMYFUNCTION("""COMPUTED_VALUE"""),"FALSE")</f>
        <v>FALSE</v>
      </c>
      <c r="F1012" s="198"/>
      <c r="J1012" s="184" t="str">
        <f>IFERROR(__xludf.DUMMYFUNCTION("""COMPUTED_VALUE"""),"")</f>
        <v/>
      </c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84"/>
      <c r="V1012" s="184"/>
      <c r="W1012" s="184"/>
      <c r="X1012" s="184"/>
    </row>
    <row r="1013">
      <c r="A1013" s="198"/>
      <c r="D1013" s="198" t="str">
        <f>IFERROR(__xludf.DUMMYFUNCTION("""COMPUTED_VALUE"""),"FALSE")</f>
        <v>FALSE</v>
      </c>
      <c r="E1013" s="198" t="str">
        <f>IFERROR(__xludf.DUMMYFUNCTION("""COMPUTED_VALUE"""),"FALSE")</f>
        <v>FALSE</v>
      </c>
      <c r="F1013" s="198"/>
      <c r="J1013" s="184" t="str">
        <f>IFERROR(__xludf.DUMMYFUNCTION("""COMPUTED_VALUE"""),"")</f>
        <v/>
      </c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84"/>
      <c r="V1013" s="184"/>
      <c r="W1013" s="184"/>
      <c r="X1013" s="184"/>
    </row>
    <row r="1014">
      <c r="A1014" s="198"/>
      <c r="D1014" s="198" t="str">
        <f>IFERROR(__xludf.DUMMYFUNCTION("""COMPUTED_VALUE"""),"FALSE")</f>
        <v>FALSE</v>
      </c>
      <c r="E1014" s="198" t="str">
        <f>IFERROR(__xludf.DUMMYFUNCTION("""COMPUTED_VALUE"""),"FALSE")</f>
        <v>FALSE</v>
      </c>
      <c r="F1014" s="198"/>
      <c r="J1014" s="184" t="str">
        <f>IFERROR(__xludf.DUMMYFUNCTION("""COMPUTED_VALUE"""),"")</f>
        <v/>
      </c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84"/>
      <c r="V1014" s="184"/>
      <c r="W1014" s="184"/>
      <c r="X1014" s="184"/>
    </row>
    <row r="1015">
      <c r="A1015" s="198"/>
      <c r="D1015" s="198" t="str">
        <f>IFERROR(__xludf.DUMMYFUNCTION("""COMPUTED_VALUE"""),"FALSE")</f>
        <v>FALSE</v>
      </c>
      <c r="E1015" s="198" t="str">
        <f>IFERROR(__xludf.DUMMYFUNCTION("""COMPUTED_VALUE"""),"FALSE")</f>
        <v>FALSE</v>
      </c>
      <c r="F1015" s="198"/>
      <c r="J1015" s="184" t="str">
        <f>IFERROR(__xludf.DUMMYFUNCTION("""COMPUTED_VALUE"""),"")</f>
        <v/>
      </c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84"/>
      <c r="V1015" s="184"/>
      <c r="W1015" s="184"/>
      <c r="X1015" s="184"/>
    </row>
    <row r="1016">
      <c r="A1016" s="198"/>
      <c r="D1016" s="198" t="str">
        <f>IFERROR(__xludf.DUMMYFUNCTION("""COMPUTED_VALUE"""),"FALSE")</f>
        <v>FALSE</v>
      </c>
      <c r="E1016" s="198" t="str">
        <f>IFERROR(__xludf.DUMMYFUNCTION("""COMPUTED_VALUE"""),"FALSE")</f>
        <v>FALSE</v>
      </c>
      <c r="F1016" s="198"/>
      <c r="J1016" s="184" t="str">
        <f>IFERROR(__xludf.DUMMYFUNCTION("""COMPUTED_VALUE"""),"")</f>
        <v/>
      </c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84"/>
      <c r="V1016" s="184"/>
      <c r="W1016" s="184"/>
      <c r="X1016" s="184"/>
    </row>
    <row r="1017">
      <c r="A1017" s="198"/>
      <c r="D1017" s="198" t="str">
        <f>IFERROR(__xludf.DUMMYFUNCTION("""COMPUTED_VALUE"""),"FALSE")</f>
        <v>FALSE</v>
      </c>
      <c r="E1017" s="198" t="str">
        <f>IFERROR(__xludf.DUMMYFUNCTION("""COMPUTED_VALUE"""),"FALSE")</f>
        <v>FALSE</v>
      </c>
      <c r="F1017" s="198"/>
      <c r="J1017" s="184" t="str">
        <f>IFERROR(__xludf.DUMMYFUNCTION("""COMPUTED_VALUE"""),"")</f>
        <v/>
      </c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84"/>
      <c r="V1017" s="184"/>
      <c r="W1017" s="184"/>
      <c r="X1017" s="184"/>
    </row>
    <row r="1018">
      <c r="A1018" s="198"/>
      <c r="D1018" s="198" t="str">
        <f>IFERROR(__xludf.DUMMYFUNCTION("""COMPUTED_VALUE"""),"FALSE")</f>
        <v>FALSE</v>
      </c>
      <c r="E1018" s="198" t="str">
        <f>IFERROR(__xludf.DUMMYFUNCTION("""COMPUTED_VALUE"""),"FALSE")</f>
        <v>FALSE</v>
      </c>
      <c r="F1018" s="198"/>
      <c r="J1018" s="184" t="str">
        <f>IFERROR(__xludf.DUMMYFUNCTION("""COMPUTED_VALUE"""),"")</f>
        <v/>
      </c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84"/>
      <c r="V1018" s="184"/>
      <c r="W1018" s="184"/>
      <c r="X1018" s="184"/>
    </row>
    <row r="1019">
      <c r="A1019" s="198"/>
      <c r="D1019" s="198" t="str">
        <f>IFERROR(__xludf.DUMMYFUNCTION("""COMPUTED_VALUE"""),"FALSE")</f>
        <v>FALSE</v>
      </c>
      <c r="E1019" s="198" t="str">
        <f>IFERROR(__xludf.DUMMYFUNCTION("""COMPUTED_VALUE"""),"FALSE")</f>
        <v>FALSE</v>
      </c>
      <c r="F1019" s="198"/>
      <c r="J1019" s="184" t="str">
        <f>IFERROR(__xludf.DUMMYFUNCTION("""COMPUTED_VALUE"""),"")</f>
        <v/>
      </c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84"/>
      <c r="V1019" s="184"/>
      <c r="W1019" s="184"/>
      <c r="X1019" s="184"/>
    </row>
    <row r="1020">
      <c r="A1020" s="198"/>
      <c r="D1020" s="198" t="str">
        <f>IFERROR(__xludf.DUMMYFUNCTION("""COMPUTED_VALUE"""),"FALSE")</f>
        <v>FALSE</v>
      </c>
      <c r="E1020" s="198" t="str">
        <f>IFERROR(__xludf.DUMMYFUNCTION("""COMPUTED_VALUE"""),"FALSE")</f>
        <v>FALSE</v>
      </c>
      <c r="F1020" s="198"/>
      <c r="J1020" s="184" t="str">
        <f>IFERROR(__xludf.DUMMYFUNCTION("""COMPUTED_VALUE"""),"")</f>
        <v/>
      </c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84"/>
      <c r="V1020" s="184"/>
      <c r="W1020" s="184"/>
      <c r="X1020" s="184"/>
    </row>
    <row r="1021">
      <c r="A1021" s="198"/>
      <c r="D1021" s="198" t="str">
        <f>IFERROR(__xludf.DUMMYFUNCTION("""COMPUTED_VALUE"""),"FALSE")</f>
        <v>FALSE</v>
      </c>
      <c r="E1021" s="198" t="str">
        <f>IFERROR(__xludf.DUMMYFUNCTION("""COMPUTED_VALUE"""),"FALSE")</f>
        <v>FALSE</v>
      </c>
      <c r="F1021" s="198"/>
      <c r="J1021" s="184" t="str">
        <f>IFERROR(__xludf.DUMMYFUNCTION("""COMPUTED_VALUE"""),"")</f>
        <v/>
      </c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84"/>
      <c r="V1021" s="184"/>
      <c r="W1021" s="184"/>
      <c r="X1021" s="184"/>
    </row>
    <row r="1022">
      <c r="A1022" s="198"/>
      <c r="D1022" s="198" t="str">
        <f>IFERROR(__xludf.DUMMYFUNCTION("""COMPUTED_VALUE"""),"FALSE")</f>
        <v>FALSE</v>
      </c>
      <c r="E1022" s="198" t="str">
        <f>IFERROR(__xludf.DUMMYFUNCTION("""COMPUTED_VALUE"""),"FALSE")</f>
        <v>FALSE</v>
      </c>
      <c r="F1022" s="198"/>
      <c r="J1022" s="184" t="str">
        <f>IFERROR(__xludf.DUMMYFUNCTION("""COMPUTED_VALUE"""),"")</f>
        <v/>
      </c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84"/>
      <c r="V1022" s="184"/>
      <c r="W1022" s="184"/>
      <c r="X1022" s="184"/>
    </row>
    <row r="1023">
      <c r="A1023" s="198"/>
      <c r="D1023" s="198" t="str">
        <f>IFERROR(__xludf.DUMMYFUNCTION("""COMPUTED_VALUE"""),"FALSE")</f>
        <v>FALSE</v>
      </c>
      <c r="E1023" s="198" t="str">
        <f>IFERROR(__xludf.DUMMYFUNCTION("""COMPUTED_VALUE"""),"FALSE")</f>
        <v>FALSE</v>
      </c>
      <c r="F1023" s="198"/>
      <c r="J1023" s="184" t="str">
        <f>IFERROR(__xludf.DUMMYFUNCTION("""COMPUTED_VALUE"""),"")</f>
        <v/>
      </c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84"/>
      <c r="V1023" s="184"/>
      <c r="W1023" s="184"/>
      <c r="X1023" s="184"/>
    </row>
    <row r="1024">
      <c r="A1024" s="198"/>
      <c r="D1024" s="198" t="str">
        <f>IFERROR(__xludf.DUMMYFUNCTION("""COMPUTED_VALUE"""),"FALSE")</f>
        <v>FALSE</v>
      </c>
      <c r="E1024" s="198" t="str">
        <f>IFERROR(__xludf.DUMMYFUNCTION("""COMPUTED_VALUE"""),"FALSE")</f>
        <v>FALSE</v>
      </c>
      <c r="F1024" s="198"/>
      <c r="J1024" s="184" t="str">
        <f>IFERROR(__xludf.DUMMYFUNCTION("""COMPUTED_VALUE"""),"")</f>
        <v/>
      </c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84"/>
      <c r="V1024" s="184"/>
      <c r="W1024" s="184"/>
      <c r="X1024" s="184"/>
    </row>
    <row r="1025">
      <c r="A1025" s="198"/>
      <c r="D1025" s="198" t="str">
        <f>IFERROR(__xludf.DUMMYFUNCTION("""COMPUTED_VALUE"""),"FALSE")</f>
        <v>FALSE</v>
      </c>
      <c r="E1025" s="198" t="str">
        <f>IFERROR(__xludf.DUMMYFUNCTION("""COMPUTED_VALUE"""),"FALSE")</f>
        <v>FALSE</v>
      </c>
      <c r="F1025" s="198"/>
      <c r="J1025" s="184" t="str">
        <f>IFERROR(__xludf.DUMMYFUNCTION("""COMPUTED_VALUE"""),"")</f>
        <v/>
      </c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84"/>
      <c r="V1025" s="184"/>
      <c r="W1025" s="184"/>
      <c r="X1025" s="184"/>
    </row>
    <row r="1026">
      <c r="A1026" s="198"/>
      <c r="D1026" s="198" t="str">
        <f>IFERROR(__xludf.DUMMYFUNCTION("""COMPUTED_VALUE"""),"FALSE")</f>
        <v>FALSE</v>
      </c>
      <c r="E1026" s="198" t="str">
        <f>IFERROR(__xludf.DUMMYFUNCTION("""COMPUTED_VALUE"""),"FALSE")</f>
        <v>FALSE</v>
      </c>
      <c r="F1026" s="198"/>
      <c r="J1026" s="184" t="str">
        <f>IFERROR(__xludf.DUMMYFUNCTION("""COMPUTED_VALUE"""),"")</f>
        <v/>
      </c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84"/>
      <c r="V1026" s="184"/>
      <c r="W1026" s="184"/>
      <c r="X1026" s="184"/>
    </row>
    <row r="1027">
      <c r="A1027" s="198"/>
      <c r="D1027" s="198" t="str">
        <f>IFERROR(__xludf.DUMMYFUNCTION("""COMPUTED_VALUE"""),"FALSE")</f>
        <v>FALSE</v>
      </c>
      <c r="E1027" s="198" t="str">
        <f>IFERROR(__xludf.DUMMYFUNCTION("""COMPUTED_VALUE"""),"FALSE")</f>
        <v>FALSE</v>
      </c>
      <c r="F1027" s="198"/>
      <c r="J1027" s="184" t="str">
        <f>IFERROR(__xludf.DUMMYFUNCTION("""COMPUTED_VALUE"""),"")</f>
        <v/>
      </c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84"/>
      <c r="V1027" s="184"/>
      <c r="W1027" s="184"/>
      <c r="X1027" s="184"/>
    </row>
    <row r="1028">
      <c r="A1028" s="198"/>
      <c r="D1028" s="198" t="str">
        <f>IFERROR(__xludf.DUMMYFUNCTION("""COMPUTED_VALUE"""),"FALSE")</f>
        <v>FALSE</v>
      </c>
      <c r="E1028" s="198" t="str">
        <f>IFERROR(__xludf.DUMMYFUNCTION("""COMPUTED_VALUE"""),"FALSE")</f>
        <v>FALSE</v>
      </c>
      <c r="F1028" s="198"/>
      <c r="J1028" s="184" t="str">
        <f>IFERROR(__xludf.DUMMYFUNCTION("""COMPUTED_VALUE"""),"")</f>
        <v/>
      </c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84"/>
      <c r="V1028" s="184"/>
      <c r="W1028" s="184"/>
      <c r="X1028" s="184"/>
    </row>
    <row r="1029">
      <c r="A1029" s="198"/>
      <c r="D1029" s="198" t="str">
        <f>IFERROR(__xludf.DUMMYFUNCTION("""COMPUTED_VALUE"""),"FALSE")</f>
        <v>FALSE</v>
      </c>
      <c r="E1029" s="198" t="str">
        <f>IFERROR(__xludf.DUMMYFUNCTION("""COMPUTED_VALUE"""),"FALSE")</f>
        <v>FALSE</v>
      </c>
      <c r="F1029" s="198"/>
      <c r="J1029" s="184" t="str">
        <f>IFERROR(__xludf.DUMMYFUNCTION("""COMPUTED_VALUE"""),"")</f>
        <v/>
      </c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84"/>
      <c r="V1029" s="184"/>
      <c r="W1029" s="184"/>
      <c r="X1029" s="184"/>
    </row>
    <row r="1030">
      <c r="A1030" s="198"/>
      <c r="D1030" s="198" t="str">
        <f>IFERROR(__xludf.DUMMYFUNCTION("""COMPUTED_VALUE"""),"FALSE")</f>
        <v>FALSE</v>
      </c>
      <c r="E1030" s="198" t="str">
        <f>IFERROR(__xludf.DUMMYFUNCTION("""COMPUTED_VALUE"""),"FALSE")</f>
        <v>FALSE</v>
      </c>
      <c r="F1030" s="198"/>
      <c r="J1030" s="184" t="str">
        <f>IFERROR(__xludf.DUMMYFUNCTION("""COMPUTED_VALUE"""),"")</f>
        <v/>
      </c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84"/>
      <c r="V1030" s="184"/>
      <c r="W1030" s="184"/>
      <c r="X1030" s="184"/>
    </row>
    <row r="1031">
      <c r="A1031" s="198"/>
      <c r="D1031" s="198" t="str">
        <f>IFERROR(__xludf.DUMMYFUNCTION("""COMPUTED_VALUE"""),"FALSE")</f>
        <v>FALSE</v>
      </c>
      <c r="E1031" s="198" t="str">
        <f>IFERROR(__xludf.DUMMYFUNCTION("""COMPUTED_VALUE"""),"FALSE")</f>
        <v>FALSE</v>
      </c>
      <c r="F1031" s="198"/>
      <c r="J1031" s="184" t="str">
        <f>IFERROR(__xludf.DUMMYFUNCTION("""COMPUTED_VALUE"""),"")</f>
        <v/>
      </c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84"/>
      <c r="V1031" s="184"/>
      <c r="W1031" s="184"/>
      <c r="X1031" s="184"/>
    </row>
    <row r="1032">
      <c r="A1032" s="198"/>
      <c r="D1032" s="198" t="str">
        <f>IFERROR(__xludf.DUMMYFUNCTION("""COMPUTED_VALUE"""),"FALSE")</f>
        <v>FALSE</v>
      </c>
      <c r="E1032" s="198" t="str">
        <f>IFERROR(__xludf.DUMMYFUNCTION("""COMPUTED_VALUE"""),"FALSE")</f>
        <v>FALSE</v>
      </c>
      <c r="F1032" s="198"/>
      <c r="J1032" s="184" t="str">
        <f>IFERROR(__xludf.DUMMYFUNCTION("""COMPUTED_VALUE"""),"")</f>
        <v/>
      </c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84"/>
      <c r="V1032" s="184"/>
      <c r="W1032" s="184"/>
      <c r="X1032" s="184"/>
    </row>
    <row r="1033">
      <c r="A1033" s="198"/>
      <c r="D1033" s="198" t="str">
        <f>IFERROR(__xludf.DUMMYFUNCTION("""COMPUTED_VALUE"""),"FALSE")</f>
        <v>FALSE</v>
      </c>
      <c r="E1033" s="198" t="str">
        <f>IFERROR(__xludf.DUMMYFUNCTION("""COMPUTED_VALUE"""),"FALSE")</f>
        <v>FALSE</v>
      </c>
      <c r="F1033" s="198"/>
      <c r="J1033" s="184" t="str">
        <f>IFERROR(__xludf.DUMMYFUNCTION("""COMPUTED_VALUE"""),"")</f>
        <v/>
      </c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84"/>
      <c r="V1033" s="184"/>
      <c r="W1033" s="184"/>
      <c r="X1033" s="184"/>
    </row>
    <row r="1034">
      <c r="A1034" s="198"/>
      <c r="D1034" s="198" t="str">
        <f>IFERROR(__xludf.DUMMYFUNCTION("""COMPUTED_VALUE"""),"FALSE")</f>
        <v>FALSE</v>
      </c>
      <c r="E1034" s="198" t="str">
        <f>IFERROR(__xludf.DUMMYFUNCTION("""COMPUTED_VALUE"""),"FALSE")</f>
        <v>FALSE</v>
      </c>
      <c r="F1034" s="198"/>
      <c r="J1034" s="184" t="str">
        <f>IFERROR(__xludf.DUMMYFUNCTION("""COMPUTED_VALUE"""),"")</f>
        <v/>
      </c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84"/>
      <c r="V1034" s="184"/>
      <c r="W1034" s="184"/>
      <c r="X1034" s="184"/>
    </row>
    <row r="1035">
      <c r="A1035" s="198"/>
      <c r="D1035" s="198" t="str">
        <f>IFERROR(__xludf.DUMMYFUNCTION("""COMPUTED_VALUE"""),"FALSE")</f>
        <v>FALSE</v>
      </c>
      <c r="E1035" s="198" t="str">
        <f>IFERROR(__xludf.DUMMYFUNCTION("""COMPUTED_VALUE"""),"FALSE")</f>
        <v>FALSE</v>
      </c>
      <c r="F1035" s="198"/>
      <c r="J1035" s="184" t="str">
        <f>IFERROR(__xludf.DUMMYFUNCTION("""COMPUTED_VALUE"""),"")</f>
        <v/>
      </c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84"/>
      <c r="V1035" s="184"/>
      <c r="W1035" s="184"/>
      <c r="X1035" s="184"/>
    </row>
    <row r="1036">
      <c r="A1036" s="198"/>
      <c r="D1036" s="198" t="str">
        <f>IFERROR(__xludf.DUMMYFUNCTION("""COMPUTED_VALUE"""),"FALSE")</f>
        <v>FALSE</v>
      </c>
      <c r="E1036" s="198" t="str">
        <f>IFERROR(__xludf.DUMMYFUNCTION("""COMPUTED_VALUE"""),"FALSE")</f>
        <v>FALSE</v>
      </c>
      <c r="F1036" s="198"/>
      <c r="J1036" s="184" t="str">
        <f>IFERROR(__xludf.DUMMYFUNCTION("""COMPUTED_VALUE"""),"")</f>
        <v/>
      </c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84"/>
      <c r="V1036" s="184"/>
      <c r="W1036" s="184"/>
      <c r="X1036" s="184"/>
    </row>
    <row r="1037">
      <c r="A1037" s="198"/>
      <c r="D1037" s="198" t="str">
        <f>IFERROR(__xludf.DUMMYFUNCTION("""COMPUTED_VALUE"""),"FALSE")</f>
        <v>FALSE</v>
      </c>
      <c r="E1037" s="198" t="str">
        <f>IFERROR(__xludf.DUMMYFUNCTION("""COMPUTED_VALUE"""),"FALSE")</f>
        <v>FALSE</v>
      </c>
      <c r="F1037" s="198"/>
      <c r="J1037" s="184" t="str">
        <f>IFERROR(__xludf.DUMMYFUNCTION("""COMPUTED_VALUE"""),"")</f>
        <v/>
      </c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84"/>
      <c r="V1037" s="184"/>
      <c r="W1037" s="184"/>
      <c r="X1037" s="184"/>
    </row>
    <row r="1038">
      <c r="A1038" s="198"/>
      <c r="D1038" s="198" t="str">
        <f>IFERROR(__xludf.DUMMYFUNCTION("""COMPUTED_VALUE"""),"FALSE")</f>
        <v>FALSE</v>
      </c>
      <c r="E1038" s="198" t="str">
        <f>IFERROR(__xludf.DUMMYFUNCTION("""COMPUTED_VALUE"""),"FALSE")</f>
        <v>FALSE</v>
      </c>
      <c r="F1038" s="198"/>
      <c r="J1038" s="184" t="str">
        <f>IFERROR(__xludf.DUMMYFUNCTION("""COMPUTED_VALUE"""),"")</f>
        <v/>
      </c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84"/>
      <c r="V1038" s="184"/>
      <c r="W1038" s="184"/>
      <c r="X1038" s="184"/>
    </row>
    <row r="1039">
      <c r="A1039" s="198"/>
      <c r="D1039" s="198" t="str">
        <f>IFERROR(__xludf.DUMMYFUNCTION("""COMPUTED_VALUE"""),"FALSE")</f>
        <v>FALSE</v>
      </c>
      <c r="E1039" s="198" t="str">
        <f>IFERROR(__xludf.DUMMYFUNCTION("""COMPUTED_VALUE"""),"FALSE")</f>
        <v>FALSE</v>
      </c>
      <c r="F1039" s="198"/>
      <c r="J1039" s="184" t="str">
        <f>IFERROR(__xludf.DUMMYFUNCTION("""COMPUTED_VALUE"""),"")</f>
        <v/>
      </c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84"/>
      <c r="V1039" s="184"/>
      <c r="W1039" s="184"/>
      <c r="X1039" s="184"/>
    </row>
    <row r="1040">
      <c r="A1040" s="198"/>
      <c r="D1040" s="198" t="str">
        <f>IFERROR(__xludf.DUMMYFUNCTION("""COMPUTED_VALUE"""),"FALSE")</f>
        <v>FALSE</v>
      </c>
      <c r="E1040" s="198" t="str">
        <f>IFERROR(__xludf.DUMMYFUNCTION("""COMPUTED_VALUE"""),"FALSE")</f>
        <v>FALSE</v>
      </c>
      <c r="F1040" s="198"/>
      <c r="J1040" s="184" t="str">
        <f>IFERROR(__xludf.DUMMYFUNCTION("""COMPUTED_VALUE"""),"")</f>
        <v/>
      </c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84"/>
      <c r="V1040" s="184"/>
      <c r="W1040" s="184"/>
      <c r="X1040" s="184"/>
    </row>
    <row r="1041">
      <c r="A1041" s="198"/>
      <c r="D1041" s="198" t="str">
        <f>IFERROR(__xludf.DUMMYFUNCTION("""COMPUTED_VALUE"""),"FALSE")</f>
        <v>FALSE</v>
      </c>
      <c r="E1041" s="198" t="str">
        <f>IFERROR(__xludf.DUMMYFUNCTION("""COMPUTED_VALUE"""),"FALSE")</f>
        <v>FALSE</v>
      </c>
      <c r="F1041" s="198"/>
      <c r="J1041" s="184" t="str">
        <f>IFERROR(__xludf.DUMMYFUNCTION("""COMPUTED_VALUE"""),"")</f>
        <v/>
      </c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84"/>
      <c r="V1041" s="184"/>
      <c r="W1041" s="184"/>
      <c r="X1041" s="184"/>
    </row>
    <row r="1042">
      <c r="A1042" s="198"/>
      <c r="D1042" s="198" t="str">
        <f>IFERROR(__xludf.DUMMYFUNCTION("""COMPUTED_VALUE"""),"FALSE")</f>
        <v>FALSE</v>
      </c>
      <c r="E1042" s="198" t="str">
        <f>IFERROR(__xludf.DUMMYFUNCTION("""COMPUTED_VALUE"""),"FALSE")</f>
        <v>FALSE</v>
      </c>
      <c r="F1042" s="198"/>
      <c r="J1042" s="184" t="str">
        <f>IFERROR(__xludf.DUMMYFUNCTION("""COMPUTED_VALUE"""),"")</f>
        <v/>
      </c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84"/>
      <c r="V1042" s="184"/>
      <c r="W1042" s="184"/>
      <c r="X1042" s="184"/>
    </row>
    <row r="1043">
      <c r="A1043" s="198"/>
      <c r="D1043" s="198" t="str">
        <f>IFERROR(__xludf.DUMMYFUNCTION("""COMPUTED_VALUE"""),"FALSE")</f>
        <v>FALSE</v>
      </c>
      <c r="E1043" s="198" t="str">
        <f>IFERROR(__xludf.DUMMYFUNCTION("""COMPUTED_VALUE"""),"FALSE")</f>
        <v>FALSE</v>
      </c>
      <c r="F1043" s="198"/>
      <c r="J1043" s="184" t="str">
        <f>IFERROR(__xludf.DUMMYFUNCTION("""COMPUTED_VALUE"""),"")</f>
        <v/>
      </c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84"/>
      <c r="V1043" s="184"/>
      <c r="W1043" s="184"/>
      <c r="X1043" s="184"/>
    </row>
    <row r="1044">
      <c r="A1044" s="198"/>
      <c r="D1044" s="198" t="str">
        <f>IFERROR(__xludf.DUMMYFUNCTION("""COMPUTED_VALUE"""),"FALSE")</f>
        <v>FALSE</v>
      </c>
      <c r="E1044" s="198" t="str">
        <f>IFERROR(__xludf.DUMMYFUNCTION("""COMPUTED_VALUE"""),"FALSE")</f>
        <v>FALSE</v>
      </c>
      <c r="F1044" s="198"/>
      <c r="J1044" s="184" t="str">
        <f>IFERROR(__xludf.DUMMYFUNCTION("""COMPUTED_VALUE"""),"")</f>
        <v/>
      </c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84"/>
      <c r="V1044" s="184"/>
      <c r="W1044" s="184"/>
      <c r="X1044" s="184"/>
    </row>
    <row r="1045">
      <c r="A1045" s="198"/>
      <c r="D1045" s="198" t="str">
        <f>IFERROR(__xludf.DUMMYFUNCTION("""COMPUTED_VALUE"""),"FALSE")</f>
        <v>FALSE</v>
      </c>
      <c r="E1045" s="198" t="str">
        <f>IFERROR(__xludf.DUMMYFUNCTION("""COMPUTED_VALUE"""),"FALSE")</f>
        <v>FALSE</v>
      </c>
      <c r="F1045" s="198"/>
      <c r="J1045" s="184" t="str">
        <f>IFERROR(__xludf.DUMMYFUNCTION("""COMPUTED_VALUE"""),"")</f>
        <v/>
      </c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84"/>
      <c r="V1045" s="184"/>
      <c r="W1045" s="184"/>
      <c r="X1045" s="184"/>
    </row>
    <row r="1046">
      <c r="A1046" s="198"/>
      <c r="D1046" s="198" t="str">
        <f>IFERROR(__xludf.DUMMYFUNCTION("""COMPUTED_VALUE"""),"FALSE")</f>
        <v>FALSE</v>
      </c>
      <c r="E1046" s="198" t="str">
        <f>IFERROR(__xludf.DUMMYFUNCTION("""COMPUTED_VALUE"""),"FALSE")</f>
        <v>FALSE</v>
      </c>
      <c r="F1046" s="198"/>
      <c r="J1046" s="184" t="str">
        <f>IFERROR(__xludf.DUMMYFUNCTION("""COMPUTED_VALUE"""),"")</f>
        <v/>
      </c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84"/>
      <c r="V1046" s="184"/>
      <c r="W1046" s="184"/>
      <c r="X1046" s="184"/>
    </row>
    <row r="1047">
      <c r="A1047" s="198"/>
      <c r="D1047" s="198" t="str">
        <f>IFERROR(__xludf.DUMMYFUNCTION("""COMPUTED_VALUE"""),"FALSE")</f>
        <v>FALSE</v>
      </c>
      <c r="E1047" s="198" t="str">
        <f>IFERROR(__xludf.DUMMYFUNCTION("""COMPUTED_VALUE"""),"FALSE")</f>
        <v>FALSE</v>
      </c>
      <c r="F1047" s="198"/>
      <c r="J1047" s="184" t="str">
        <f>IFERROR(__xludf.DUMMYFUNCTION("""COMPUTED_VALUE"""),"")</f>
        <v/>
      </c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84"/>
      <c r="V1047" s="184"/>
      <c r="W1047" s="184"/>
      <c r="X1047" s="184"/>
    </row>
    <row r="1048">
      <c r="A1048" s="198"/>
      <c r="D1048" s="198" t="str">
        <f>IFERROR(__xludf.DUMMYFUNCTION("""COMPUTED_VALUE"""),"FALSE")</f>
        <v>FALSE</v>
      </c>
      <c r="E1048" s="198" t="str">
        <f>IFERROR(__xludf.DUMMYFUNCTION("""COMPUTED_VALUE"""),"FALSE")</f>
        <v>FALSE</v>
      </c>
      <c r="F1048" s="198"/>
      <c r="J1048" s="184" t="str">
        <f>IFERROR(__xludf.DUMMYFUNCTION("""COMPUTED_VALUE"""),"")</f>
        <v/>
      </c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84"/>
      <c r="V1048" s="184"/>
      <c r="W1048" s="184"/>
      <c r="X1048" s="184"/>
    </row>
    <row r="1049">
      <c r="A1049" s="198"/>
      <c r="D1049" s="198" t="str">
        <f>IFERROR(__xludf.DUMMYFUNCTION("""COMPUTED_VALUE"""),"FALSE")</f>
        <v>FALSE</v>
      </c>
      <c r="E1049" s="198" t="str">
        <f>IFERROR(__xludf.DUMMYFUNCTION("""COMPUTED_VALUE"""),"FALSE")</f>
        <v>FALSE</v>
      </c>
      <c r="F1049" s="198"/>
      <c r="J1049" s="184" t="str">
        <f>IFERROR(__xludf.DUMMYFUNCTION("""COMPUTED_VALUE"""),"")</f>
        <v/>
      </c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84"/>
      <c r="V1049" s="184"/>
      <c r="W1049" s="184"/>
      <c r="X1049" s="184"/>
    </row>
    <row r="1050">
      <c r="A1050" s="198"/>
      <c r="D1050" s="198" t="str">
        <f>IFERROR(__xludf.DUMMYFUNCTION("""COMPUTED_VALUE"""),"FALSE")</f>
        <v>FALSE</v>
      </c>
      <c r="E1050" s="198" t="str">
        <f>IFERROR(__xludf.DUMMYFUNCTION("""COMPUTED_VALUE"""),"FALSE")</f>
        <v>FALSE</v>
      </c>
      <c r="F1050" s="198"/>
      <c r="J1050" s="184" t="str">
        <f>IFERROR(__xludf.DUMMYFUNCTION("""COMPUTED_VALUE"""),"")</f>
        <v/>
      </c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84"/>
      <c r="V1050" s="184"/>
      <c r="W1050" s="184"/>
      <c r="X1050" s="184"/>
    </row>
    <row r="1051">
      <c r="A1051" s="198"/>
      <c r="D1051" s="198" t="str">
        <f>IFERROR(__xludf.DUMMYFUNCTION("""COMPUTED_VALUE"""),"FALSE")</f>
        <v>FALSE</v>
      </c>
      <c r="E1051" s="198" t="str">
        <f>IFERROR(__xludf.DUMMYFUNCTION("""COMPUTED_VALUE"""),"FALSE")</f>
        <v>FALSE</v>
      </c>
      <c r="F1051" s="198"/>
      <c r="J1051" s="184" t="str">
        <f>IFERROR(__xludf.DUMMYFUNCTION("""COMPUTED_VALUE"""),"")</f>
        <v/>
      </c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84"/>
      <c r="V1051" s="184"/>
      <c r="W1051" s="184"/>
      <c r="X1051" s="184"/>
    </row>
    <row r="1052">
      <c r="A1052" s="198"/>
      <c r="D1052" s="198" t="str">
        <f>IFERROR(__xludf.DUMMYFUNCTION("""COMPUTED_VALUE"""),"FALSE")</f>
        <v>FALSE</v>
      </c>
      <c r="E1052" s="198" t="str">
        <f>IFERROR(__xludf.DUMMYFUNCTION("""COMPUTED_VALUE"""),"FALSE")</f>
        <v>FALSE</v>
      </c>
      <c r="F1052" s="198"/>
      <c r="J1052" s="184" t="str">
        <f>IFERROR(__xludf.DUMMYFUNCTION("""COMPUTED_VALUE"""),"")</f>
        <v/>
      </c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84"/>
      <c r="V1052" s="184"/>
      <c r="W1052" s="184"/>
      <c r="X1052" s="184"/>
    </row>
    <row r="1053">
      <c r="A1053" s="198"/>
      <c r="D1053" s="198" t="str">
        <f>IFERROR(__xludf.DUMMYFUNCTION("""COMPUTED_VALUE"""),"FALSE")</f>
        <v>FALSE</v>
      </c>
      <c r="E1053" s="198" t="str">
        <f>IFERROR(__xludf.DUMMYFUNCTION("""COMPUTED_VALUE"""),"FALSE")</f>
        <v>FALSE</v>
      </c>
      <c r="F1053" s="198"/>
      <c r="J1053" s="184" t="str">
        <f>IFERROR(__xludf.DUMMYFUNCTION("""COMPUTED_VALUE"""),"")</f>
        <v/>
      </c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84"/>
      <c r="V1053" s="184"/>
      <c r="W1053" s="184"/>
      <c r="X1053" s="184"/>
    </row>
    <row r="1054">
      <c r="A1054" s="198"/>
      <c r="D1054" s="198" t="str">
        <f>IFERROR(__xludf.DUMMYFUNCTION("""COMPUTED_VALUE"""),"FALSE")</f>
        <v>FALSE</v>
      </c>
      <c r="E1054" s="198" t="str">
        <f>IFERROR(__xludf.DUMMYFUNCTION("""COMPUTED_VALUE"""),"FALSE")</f>
        <v>FALSE</v>
      </c>
      <c r="F1054" s="198"/>
      <c r="J1054" s="184" t="str">
        <f>IFERROR(__xludf.DUMMYFUNCTION("""COMPUTED_VALUE"""),"")</f>
        <v/>
      </c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84"/>
      <c r="V1054" s="184"/>
      <c r="W1054" s="184"/>
      <c r="X1054" s="184"/>
    </row>
    <row r="1055">
      <c r="A1055" s="198"/>
      <c r="D1055" s="198" t="str">
        <f>IFERROR(__xludf.DUMMYFUNCTION("""COMPUTED_VALUE"""),"FALSE")</f>
        <v>FALSE</v>
      </c>
      <c r="E1055" s="198" t="str">
        <f>IFERROR(__xludf.DUMMYFUNCTION("""COMPUTED_VALUE"""),"FALSE")</f>
        <v>FALSE</v>
      </c>
      <c r="F1055" s="198"/>
      <c r="J1055" s="184" t="str">
        <f>IFERROR(__xludf.DUMMYFUNCTION("""COMPUTED_VALUE"""),"")</f>
        <v/>
      </c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84"/>
      <c r="V1055" s="184"/>
      <c r="W1055" s="184"/>
      <c r="X1055" s="184"/>
    </row>
    <row r="1056">
      <c r="A1056" s="198"/>
      <c r="D1056" s="198" t="str">
        <f>IFERROR(__xludf.DUMMYFUNCTION("""COMPUTED_VALUE"""),"FALSE")</f>
        <v>FALSE</v>
      </c>
      <c r="E1056" s="198" t="str">
        <f>IFERROR(__xludf.DUMMYFUNCTION("""COMPUTED_VALUE"""),"FALSE")</f>
        <v>FALSE</v>
      </c>
      <c r="F1056" s="198"/>
      <c r="J1056" s="184" t="str">
        <f>IFERROR(__xludf.DUMMYFUNCTION("""COMPUTED_VALUE"""),"")</f>
        <v/>
      </c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84"/>
      <c r="V1056" s="184"/>
      <c r="W1056" s="184"/>
      <c r="X1056" s="184"/>
    </row>
    <row r="1057">
      <c r="A1057" s="198"/>
      <c r="D1057" s="198" t="str">
        <f>IFERROR(__xludf.DUMMYFUNCTION("""COMPUTED_VALUE"""),"FALSE")</f>
        <v>FALSE</v>
      </c>
      <c r="E1057" s="198" t="str">
        <f>IFERROR(__xludf.DUMMYFUNCTION("""COMPUTED_VALUE"""),"FALSE")</f>
        <v>FALSE</v>
      </c>
      <c r="F1057" s="198"/>
      <c r="J1057" s="184" t="str">
        <f>IFERROR(__xludf.DUMMYFUNCTION("""COMPUTED_VALUE"""),"")</f>
        <v/>
      </c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84"/>
      <c r="V1057" s="184"/>
      <c r="W1057" s="184"/>
      <c r="X1057" s="184"/>
    </row>
    <row r="1058">
      <c r="A1058" s="198"/>
      <c r="D1058" s="198" t="str">
        <f>IFERROR(__xludf.DUMMYFUNCTION("""COMPUTED_VALUE"""),"FALSE")</f>
        <v>FALSE</v>
      </c>
      <c r="E1058" s="198" t="str">
        <f>IFERROR(__xludf.DUMMYFUNCTION("""COMPUTED_VALUE"""),"FALSE")</f>
        <v>FALSE</v>
      </c>
      <c r="F1058" s="198"/>
      <c r="J1058" s="184" t="str">
        <f>IFERROR(__xludf.DUMMYFUNCTION("""COMPUTED_VALUE"""),"")</f>
        <v/>
      </c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84"/>
      <c r="V1058" s="184"/>
      <c r="W1058" s="184"/>
      <c r="X1058" s="184"/>
    </row>
    <row r="1059">
      <c r="A1059" s="198"/>
      <c r="D1059" s="198" t="str">
        <f>IFERROR(__xludf.DUMMYFUNCTION("""COMPUTED_VALUE"""),"FALSE")</f>
        <v>FALSE</v>
      </c>
      <c r="E1059" s="198" t="str">
        <f>IFERROR(__xludf.DUMMYFUNCTION("""COMPUTED_VALUE"""),"FALSE")</f>
        <v>FALSE</v>
      </c>
      <c r="F1059" s="198"/>
      <c r="J1059" s="184" t="str">
        <f>IFERROR(__xludf.DUMMYFUNCTION("""COMPUTED_VALUE"""),"")</f>
        <v/>
      </c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84"/>
      <c r="V1059" s="184"/>
      <c r="W1059" s="184"/>
      <c r="X1059" s="184"/>
    </row>
    <row r="1060">
      <c r="A1060" s="198"/>
      <c r="D1060" s="198" t="str">
        <f>IFERROR(__xludf.DUMMYFUNCTION("""COMPUTED_VALUE"""),"FALSE")</f>
        <v>FALSE</v>
      </c>
      <c r="E1060" s="198" t="str">
        <f>IFERROR(__xludf.DUMMYFUNCTION("""COMPUTED_VALUE"""),"FALSE")</f>
        <v>FALSE</v>
      </c>
      <c r="F1060" s="198"/>
      <c r="J1060" s="184" t="str">
        <f>IFERROR(__xludf.DUMMYFUNCTION("""COMPUTED_VALUE"""),"")</f>
        <v/>
      </c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84"/>
      <c r="V1060" s="184"/>
      <c r="W1060" s="184"/>
      <c r="X1060" s="184"/>
    </row>
    <row r="1061">
      <c r="A1061" s="198"/>
      <c r="D1061" s="198" t="str">
        <f>IFERROR(__xludf.DUMMYFUNCTION("""COMPUTED_VALUE"""),"FALSE")</f>
        <v>FALSE</v>
      </c>
      <c r="E1061" s="198" t="str">
        <f>IFERROR(__xludf.DUMMYFUNCTION("""COMPUTED_VALUE"""),"FALSE")</f>
        <v>FALSE</v>
      </c>
      <c r="F1061" s="198"/>
      <c r="J1061" s="184" t="str">
        <f>IFERROR(__xludf.DUMMYFUNCTION("""COMPUTED_VALUE"""),"")</f>
        <v/>
      </c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84"/>
      <c r="V1061" s="184"/>
      <c r="W1061" s="184"/>
      <c r="X1061" s="184"/>
    </row>
    <row r="1062">
      <c r="A1062" s="198"/>
      <c r="D1062" s="198" t="str">
        <f>IFERROR(__xludf.DUMMYFUNCTION("""COMPUTED_VALUE"""),"FALSE")</f>
        <v>FALSE</v>
      </c>
      <c r="E1062" s="198" t="str">
        <f>IFERROR(__xludf.DUMMYFUNCTION("""COMPUTED_VALUE"""),"FALSE")</f>
        <v>FALSE</v>
      </c>
      <c r="F1062" s="198"/>
      <c r="J1062" s="184" t="str">
        <f>IFERROR(__xludf.DUMMYFUNCTION("""COMPUTED_VALUE"""),"")</f>
        <v/>
      </c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84"/>
      <c r="V1062" s="184"/>
      <c r="W1062" s="184"/>
      <c r="X1062" s="184"/>
    </row>
    <row r="1063">
      <c r="A1063" s="198"/>
      <c r="D1063" s="198" t="str">
        <f>IFERROR(__xludf.DUMMYFUNCTION("""COMPUTED_VALUE"""),"FALSE")</f>
        <v>FALSE</v>
      </c>
      <c r="E1063" s="198" t="str">
        <f>IFERROR(__xludf.DUMMYFUNCTION("""COMPUTED_VALUE"""),"FALSE")</f>
        <v>FALSE</v>
      </c>
      <c r="F1063" s="198"/>
      <c r="J1063" s="184" t="str">
        <f>IFERROR(__xludf.DUMMYFUNCTION("""COMPUTED_VALUE"""),"")</f>
        <v/>
      </c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84"/>
      <c r="V1063" s="184"/>
      <c r="W1063" s="184"/>
      <c r="X1063" s="184"/>
    </row>
    <row r="1064">
      <c r="A1064" s="198"/>
      <c r="D1064" s="198" t="str">
        <f>IFERROR(__xludf.DUMMYFUNCTION("""COMPUTED_VALUE"""),"FALSE")</f>
        <v>FALSE</v>
      </c>
      <c r="E1064" s="198" t="str">
        <f>IFERROR(__xludf.DUMMYFUNCTION("""COMPUTED_VALUE"""),"FALSE")</f>
        <v>FALSE</v>
      </c>
      <c r="F1064" s="198"/>
      <c r="J1064" s="184" t="str">
        <f>IFERROR(__xludf.DUMMYFUNCTION("""COMPUTED_VALUE"""),"")</f>
        <v/>
      </c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84"/>
      <c r="V1064" s="184"/>
      <c r="W1064" s="184"/>
      <c r="X1064" s="184"/>
    </row>
    <row r="1065">
      <c r="A1065" s="198"/>
      <c r="D1065" s="198" t="str">
        <f>IFERROR(__xludf.DUMMYFUNCTION("""COMPUTED_VALUE"""),"FALSE")</f>
        <v>FALSE</v>
      </c>
      <c r="E1065" s="198" t="str">
        <f>IFERROR(__xludf.DUMMYFUNCTION("""COMPUTED_VALUE"""),"FALSE")</f>
        <v>FALSE</v>
      </c>
      <c r="F1065" s="198"/>
      <c r="J1065" s="184" t="str">
        <f>IFERROR(__xludf.DUMMYFUNCTION("""COMPUTED_VALUE"""),"")</f>
        <v/>
      </c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84"/>
      <c r="V1065" s="184"/>
      <c r="W1065" s="184"/>
      <c r="X1065" s="184"/>
    </row>
    <row r="1066">
      <c r="A1066" s="198"/>
      <c r="D1066" s="198" t="str">
        <f>IFERROR(__xludf.DUMMYFUNCTION("""COMPUTED_VALUE"""),"FALSE")</f>
        <v>FALSE</v>
      </c>
      <c r="E1066" s="198" t="str">
        <f>IFERROR(__xludf.DUMMYFUNCTION("""COMPUTED_VALUE"""),"FALSE")</f>
        <v>FALSE</v>
      </c>
      <c r="F1066" s="198"/>
      <c r="J1066" s="184" t="str">
        <f>IFERROR(__xludf.DUMMYFUNCTION("""COMPUTED_VALUE"""),"")</f>
        <v/>
      </c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84"/>
      <c r="V1066" s="184"/>
      <c r="W1066" s="184"/>
      <c r="X1066" s="184"/>
    </row>
    <row r="1067">
      <c r="A1067" s="198"/>
      <c r="D1067" s="198" t="str">
        <f>IFERROR(__xludf.DUMMYFUNCTION("""COMPUTED_VALUE"""),"FALSE")</f>
        <v>FALSE</v>
      </c>
      <c r="E1067" s="198" t="str">
        <f>IFERROR(__xludf.DUMMYFUNCTION("""COMPUTED_VALUE"""),"FALSE")</f>
        <v>FALSE</v>
      </c>
      <c r="F1067" s="198"/>
      <c r="J1067" s="184" t="str">
        <f>IFERROR(__xludf.DUMMYFUNCTION("""COMPUTED_VALUE"""),"")</f>
        <v/>
      </c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84"/>
      <c r="V1067" s="184"/>
      <c r="W1067" s="184"/>
      <c r="X1067" s="184"/>
    </row>
    <row r="1068">
      <c r="A1068" s="198"/>
      <c r="D1068" s="198" t="str">
        <f>IFERROR(__xludf.DUMMYFUNCTION("""COMPUTED_VALUE"""),"FALSE")</f>
        <v>FALSE</v>
      </c>
      <c r="E1068" s="198" t="str">
        <f>IFERROR(__xludf.DUMMYFUNCTION("""COMPUTED_VALUE"""),"FALSE")</f>
        <v>FALSE</v>
      </c>
      <c r="F1068" s="198"/>
      <c r="J1068" s="184" t="str">
        <f>IFERROR(__xludf.DUMMYFUNCTION("""COMPUTED_VALUE"""),"")</f>
        <v/>
      </c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84"/>
      <c r="V1068" s="184"/>
      <c r="W1068" s="184"/>
      <c r="X1068" s="184"/>
    </row>
    <row r="1069">
      <c r="A1069" s="198"/>
      <c r="D1069" s="198" t="str">
        <f>IFERROR(__xludf.DUMMYFUNCTION("""COMPUTED_VALUE"""),"FALSE")</f>
        <v>FALSE</v>
      </c>
      <c r="E1069" s="198" t="str">
        <f>IFERROR(__xludf.DUMMYFUNCTION("""COMPUTED_VALUE"""),"FALSE")</f>
        <v>FALSE</v>
      </c>
      <c r="F1069" s="198"/>
      <c r="J1069" s="184" t="str">
        <f>IFERROR(__xludf.DUMMYFUNCTION("""COMPUTED_VALUE"""),"")</f>
        <v/>
      </c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84"/>
      <c r="V1069" s="184"/>
      <c r="W1069" s="184"/>
      <c r="X1069" s="184"/>
    </row>
    <row r="1070">
      <c r="A1070" s="198"/>
      <c r="D1070" s="198" t="str">
        <f>IFERROR(__xludf.DUMMYFUNCTION("""COMPUTED_VALUE"""),"FALSE")</f>
        <v>FALSE</v>
      </c>
      <c r="E1070" s="198" t="str">
        <f>IFERROR(__xludf.DUMMYFUNCTION("""COMPUTED_VALUE"""),"FALSE")</f>
        <v>FALSE</v>
      </c>
      <c r="F1070" s="198"/>
      <c r="J1070" s="184" t="str">
        <f>IFERROR(__xludf.DUMMYFUNCTION("""COMPUTED_VALUE"""),"")</f>
        <v/>
      </c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84"/>
      <c r="V1070" s="184"/>
      <c r="W1070" s="184"/>
      <c r="X1070" s="184"/>
    </row>
    <row r="1071">
      <c r="A1071" s="198"/>
      <c r="D1071" s="198" t="str">
        <f>IFERROR(__xludf.DUMMYFUNCTION("""COMPUTED_VALUE"""),"FALSE")</f>
        <v>FALSE</v>
      </c>
      <c r="E1071" s="198" t="str">
        <f>IFERROR(__xludf.DUMMYFUNCTION("""COMPUTED_VALUE"""),"FALSE")</f>
        <v>FALSE</v>
      </c>
      <c r="F1071" s="198"/>
      <c r="J1071" s="184" t="str">
        <f>IFERROR(__xludf.DUMMYFUNCTION("""COMPUTED_VALUE"""),"")</f>
        <v/>
      </c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84"/>
      <c r="V1071" s="184"/>
      <c r="W1071" s="184"/>
      <c r="X1071" s="184"/>
    </row>
    <row r="1072">
      <c r="A1072" s="198"/>
      <c r="D1072" s="198" t="str">
        <f>IFERROR(__xludf.DUMMYFUNCTION("""COMPUTED_VALUE"""),"FALSE")</f>
        <v>FALSE</v>
      </c>
      <c r="E1072" s="198" t="str">
        <f>IFERROR(__xludf.DUMMYFUNCTION("""COMPUTED_VALUE"""),"FALSE")</f>
        <v>FALSE</v>
      </c>
      <c r="F1072" s="198"/>
      <c r="J1072" s="184" t="str">
        <f>IFERROR(__xludf.DUMMYFUNCTION("""COMPUTED_VALUE"""),"")</f>
        <v/>
      </c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84"/>
      <c r="V1072" s="184"/>
      <c r="W1072" s="184"/>
      <c r="X1072" s="184"/>
    </row>
    <row r="1073">
      <c r="A1073" s="198"/>
      <c r="D1073" s="198" t="str">
        <f>IFERROR(__xludf.DUMMYFUNCTION("""COMPUTED_VALUE"""),"FALSE")</f>
        <v>FALSE</v>
      </c>
      <c r="E1073" s="198" t="str">
        <f>IFERROR(__xludf.DUMMYFUNCTION("""COMPUTED_VALUE"""),"FALSE")</f>
        <v>FALSE</v>
      </c>
      <c r="F1073" s="198"/>
      <c r="J1073" s="184" t="str">
        <f>IFERROR(__xludf.DUMMYFUNCTION("""COMPUTED_VALUE"""),"")</f>
        <v/>
      </c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84"/>
      <c r="V1073" s="184"/>
      <c r="W1073" s="184"/>
      <c r="X1073" s="184"/>
    </row>
    <row r="1074">
      <c r="A1074" s="198"/>
      <c r="D1074" s="198" t="str">
        <f>IFERROR(__xludf.DUMMYFUNCTION("""COMPUTED_VALUE"""),"FALSE")</f>
        <v>FALSE</v>
      </c>
      <c r="E1074" s="198" t="str">
        <f>IFERROR(__xludf.DUMMYFUNCTION("""COMPUTED_VALUE"""),"FALSE")</f>
        <v>FALSE</v>
      </c>
      <c r="F1074" s="198"/>
      <c r="J1074" s="184" t="str">
        <f>IFERROR(__xludf.DUMMYFUNCTION("""COMPUTED_VALUE"""),"")</f>
        <v/>
      </c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84"/>
      <c r="V1074" s="184"/>
      <c r="W1074" s="184"/>
      <c r="X1074" s="184"/>
    </row>
    <row r="1075">
      <c r="A1075" s="198"/>
      <c r="D1075" s="198" t="str">
        <f>IFERROR(__xludf.DUMMYFUNCTION("""COMPUTED_VALUE"""),"FALSE")</f>
        <v>FALSE</v>
      </c>
      <c r="E1075" s="198" t="str">
        <f>IFERROR(__xludf.DUMMYFUNCTION("""COMPUTED_VALUE"""),"FALSE")</f>
        <v>FALSE</v>
      </c>
      <c r="F1075" s="198"/>
      <c r="J1075" s="184" t="str">
        <f>IFERROR(__xludf.DUMMYFUNCTION("""COMPUTED_VALUE"""),"")</f>
        <v/>
      </c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84"/>
      <c r="V1075" s="184"/>
      <c r="W1075" s="184"/>
      <c r="X1075" s="184"/>
    </row>
    <row r="1076">
      <c r="A1076" s="198"/>
      <c r="D1076" s="198" t="str">
        <f>IFERROR(__xludf.DUMMYFUNCTION("""COMPUTED_VALUE"""),"FALSE")</f>
        <v>FALSE</v>
      </c>
      <c r="E1076" s="198" t="str">
        <f>IFERROR(__xludf.DUMMYFUNCTION("""COMPUTED_VALUE"""),"FALSE")</f>
        <v>FALSE</v>
      </c>
      <c r="F1076" s="198"/>
      <c r="J1076" s="184" t="str">
        <f>IFERROR(__xludf.DUMMYFUNCTION("""COMPUTED_VALUE"""),"")</f>
        <v/>
      </c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84"/>
      <c r="V1076" s="184"/>
      <c r="W1076" s="184"/>
      <c r="X1076" s="184"/>
    </row>
    <row r="1077">
      <c r="A1077" s="198"/>
      <c r="D1077" s="198" t="str">
        <f>IFERROR(__xludf.DUMMYFUNCTION("""COMPUTED_VALUE"""),"FALSE")</f>
        <v>FALSE</v>
      </c>
      <c r="E1077" s="198" t="str">
        <f>IFERROR(__xludf.DUMMYFUNCTION("""COMPUTED_VALUE"""),"FALSE")</f>
        <v>FALSE</v>
      </c>
      <c r="F1077" s="198"/>
      <c r="J1077" s="184" t="str">
        <f>IFERROR(__xludf.DUMMYFUNCTION("""COMPUTED_VALUE"""),"")</f>
        <v/>
      </c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84"/>
      <c r="V1077" s="184"/>
      <c r="W1077" s="184"/>
      <c r="X1077" s="184"/>
    </row>
    <row r="1078">
      <c r="A1078" s="198"/>
      <c r="D1078" s="198" t="str">
        <f>IFERROR(__xludf.DUMMYFUNCTION("""COMPUTED_VALUE"""),"FALSE")</f>
        <v>FALSE</v>
      </c>
      <c r="E1078" s="198" t="str">
        <f>IFERROR(__xludf.DUMMYFUNCTION("""COMPUTED_VALUE"""),"FALSE")</f>
        <v>FALSE</v>
      </c>
      <c r="F1078" s="198"/>
      <c r="J1078" s="184" t="str">
        <f>IFERROR(__xludf.DUMMYFUNCTION("""COMPUTED_VALUE"""),"")</f>
        <v/>
      </c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84"/>
      <c r="V1078" s="184"/>
      <c r="W1078" s="184"/>
      <c r="X1078" s="184"/>
    </row>
    <row r="1079">
      <c r="A1079" s="198"/>
      <c r="D1079" s="198" t="str">
        <f>IFERROR(__xludf.DUMMYFUNCTION("""COMPUTED_VALUE"""),"FALSE")</f>
        <v>FALSE</v>
      </c>
      <c r="E1079" s="198" t="str">
        <f>IFERROR(__xludf.DUMMYFUNCTION("""COMPUTED_VALUE"""),"FALSE")</f>
        <v>FALSE</v>
      </c>
      <c r="F1079" s="198"/>
      <c r="J1079" s="184" t="str">
        <f>IFERROR(__xludf.DUMMYFUNCTION("""COMPUTED_VALUE"""),"")</f>
        <v/>
      </c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84"/>
      <c r="V1079" s="184"/>
      <c r="W1079" s="184"/>
      <c r="X1079" s="184"/>
    </row>
    <row r="1080">
      <c r="A1080" s="198"/>
      <c r="D1080" s="198" t="str">
        <f>IFERROR(__xludf.DUMMYFUNCTION("""COMPUTED_VALUE"""),"FALSE")</f>
        <v>FALSE</v>
      </c>
      <c r="E1080" s="198" t="str">
        <f>IFERROR(__xludf.DUMMYFUNCTION("""COMPUTED_VALUE"""),"FALSE")</f>
        <v>FALSE</v>
      </c>
      <c r="F1080" s="198"/>
      <c r="J1080" s="184" t="str">
        <f>IFERROR(__xludf.DUMMYFUNCTION("""COMPUTED_VALUE"""),"")</f>
        <v/>
      </c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84"/>
      <c r="V1080" s="184"/>
      <c r="W1080" s="184"/>
      <c r="X1080" s="184"/>
    </row>
    <row r="1081">
      <c r="A1081" s="198"/>
      <c r="D1081" s="198" t="str">
        <f>IFERROR(__xludf.DUMMYFUNCTION("""COMPUTED_VALUE"""),"FALSE")</f>
        <v>FALSE</v>
      </c>
      <c r="E1081" s="198" t="str">
        <f>IFERROR(__xludf.DUMMYFUNCTION("""COMPUTED_VALUE"""),"FALSE")</f>
        <v>FALSE</v>
      </c>
      <c r="F1081" s="198"/>
      <c r="J1081" s="184" t="str">
        <f>IFERROR(__xludf.DUMMYFUNCTION("""COMPUTED_VALUE"""),"")</f>
        <v/>
      </c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84"/>
      <c r="V1081" s="184"/>
      <c r="W1081" s="184"/>
      <c r="X1081" s="184"/>
    </row>
    <row r="1082">
      <c r="A1082" s="198"/>
      <c r="D1082" s="198" t="str">
        <f>IFERROR(__xludf.DUMMYFUNCTION("""COMPUTED_VALUE"""),"FALSE")</f>
        <v>FALSE</v>
      </c>
      <c r="E1082" s="198" t="str">
        <f>IFERROR(__xludf.DUMMYFUNCTION("""COMPUTED_VALUE"""),"FALSE")</f>
        <v>FALSE</v>
      </c>
      <c r="F1082" s="198"/>
      <c r="J1082" s="184" t="str">
        <f>IFERROR(__xludf.DUMMYFUNCTION("""COMPUTED_VALUE"""),"")</f>
        <v/>
      </c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84"/>
      <c r="V1082" s="184"/>
      <c r="W1082" s="184"/>
      <c r="X1082" s="184"/>
    </row>
    <row r="1083">
      <c r="A1083" s="198"/>
      <c r="D1083" s="198" t="str">
        <f>IFERROR(__xludf.DUMMYFUNCTION("""COMPUTED_VALUE"""),"FALSE")</f>
        <v>FALSE</v>
      </c>
      <c r="E1083" s="198" t="str">
        <f>IFERROR(__xludf.DUMMYFUNCTION("""COMPUTED_VALUE"""),"FALSE")</f>
        <v>FALSE</v>
      </c>
      <c r="F1083" s="198"/>
      <c r="J1083" s="184" t="str">
        <f>IFERROR(__xludf.DUMMYFUNCTION("""COMPUTED_VALUE"""),"")</f>
        <v/>
      </c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84"/>
      <c r="V1083" s="184"/>
      <c r="W1083" s="184"/>
      <c r="X1083" s="184"/>
    </row>
    <row r="1084">
      <c r="A1084" s="198"/>
      <c r="D1084" s="198" t="str">
        <f>IFERROR(__xludf.DUMMYFUNCTION("""COMPUTED_VALUE"""),"FALSE")</f>
        <v>FALSE</v>
      </c>
      <c r="E1084" s="198" t="str">
        <f>IFERROR(__xludf.DUMMYFUNCTION("""COMPUTED_VALUE"""),"FALSE")</f>
        <v>FALSE</v>
      </c>
      <c r="F1084" s="198"/>
      <c r="J1084" s="184" t="str">
        <f>IFERROR(__xludf.DUMMYFUNCTION("""COMPUTED_VALUE"""),"")</f>
        <v/>
      </c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84"/>
      <c r="V1084" s="184"/>
      <c r="W1084" s="184"/>
      <c r="X1084" s="184"/>
    </row>
    <row r="1085">
      <c r="A1085" s="198"/>
      <c r="D1085" s="198" t="str">
        <f>IFERROR(__xludf.DUMMYFUNCTION("""COMPUTED_VALUE"""),"FALSE")</f>
        <v>FALSE</v>
      </c>
      <c r="E1085" s="198" t="str">
        <f>IFERROR(__xludf.DUMMYFUNCTION("""COMPUTED_VALUE"""),"FALSE")</f>
        <v>FALSE</v>
      </c>
      <c r="F1085" s="198"/>
      <c r="J1085" s="184" t="str">
        <f>IFERROR(__xludf.DUMMYFUNCTION("""COMPUTED_VALUE"""),"")</f>
        <v/>
      </c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84"/>
      <c r="V1085" s="184"/>
      <c r="W1085" s="184"/>
      <c r="X1085" s="184"/>
    </row>
    <row r="1086">
      <c r="A1086" s="198"/>
      <c r="D1086" s="198" t="str">
        <f>IFERROR(__xludf.DUMMYFUNCTION("""COMPUTED_VALUE"""),"FALSE")</f>
        <v>FALSE</v>
      </c>
      <c r="E1086" s="198" t="str">
        <f>IFERROR(__xludf.DUMMYFUNCTION("""COMPUTED_VALUE"""),"FALSE")</f>
        <v>FALSE</v>
      </c>
      <c r="F1086" s="198"/>
      <c r="J1086" s="184" t="str">
        <f>IFERROR(__xludf.DUMMYFUNCTION("""COMPUTED_VALUE"""),"")</f>
        <v/>
      </c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84"/>
      <c r="V1086" s="184"/>
      <c r="W1086" s="184"/>
      <c r="X1086" s="184"/>
    </row>
    <row r="1087">
      <c r="A1087" s="198"/>
      <c r="D1087" s="198" t="str">
        <f>IFERROR(__xludf.DUMMYFUNCTION("""COMPUTED_VALUE"""),"FALSE")</f>
        <v>FALSE</v>
      </c>
      <c r="E1087" s="198" t="str">
        <f>IFERROR(__xludf.DUMMYFUNCTION("""COMPUTED_VALUE"""),"FALSE")</f>
        <v>FALSE</v>
      </c>
      <c r="F1087" s="198"/>
      <c r="J1087" s="184" t="str">
        <f>IFERROR(__xludf.DUMMYFUNCTION("""COMPUTED_VALUE"""),"")</f>
        <v/>
      </c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84"/>
      <c r="V1087" s="184"/>
      <c r="W1087" s="184"/>
      <c r="X1087" s="184"/>
    </row>
    <row r="1088">
      <c r="A1088" s="198"/>
      <c r="D1088" s="198" t="str">
        <f>IFERROR(__xludf.DUMMYFUNCTION("""COMPUTED_VALUE"""),"FALSE")</f>
        <v>FALSE</v>
      </c>
      <c r="E1088" s="198" t="str">
        <f>IFERROR(__xludf.DUMMYFUNCTION("""COMPUTED_VALUE"""),"FALSE")</f>
        <v>FALSE</v>
      </c>
      <c r="F1088" s="198"/>
      <c r="J1088" s="184" t="str">
        <f>IFERROR(__xludf.DUMMYFUNCTION("""COMPUTED_VALUE"""),"")</f>
        <v/>
      </c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84"/>
      <c r="V1088" s="184"/>
      <c r="W1088" s="184"/>
      <c r="X1088" s="184"/>
    </row>
    <row r="1089">
      <c r="A1089" s="198"/>
      <c r="D1089" s="198" t="str">
        <f>IFERROR(__xludf.DUMMYFUNCTION("""COMPUTED_VALUE"""),"FALSE")</f>
        <v>FALSE</v>
      </c>
      <c r="E1089" s="198" t="str">
        <f>IFERROR(__xludf.DUMMYFUNCTION("""COMPUTED_VALUE"""),"FALSE")</f>
        <v>FALSE</v>
      </c>
      <c r="F1089" s="198"/>
      <c r="J1089" s="184" t="str">
        <f>IFERROR(__xludf.DUMMYFUNCTION("""COMPUTED_VALUE"""),"")</f>
        <v/>
      </c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84"/>
      <c r="V1089" s="184"/>
      <c r="W1089" s="184"/>
      <c r="X1089" s="184"/>
    </row>
    <row r="1090">
      <c r="A1090" s="198"/>
      <c r="D1090" s="198" t="str">
        <f>IFERROR(__xludf.DUMMYFUNCTION("""COMPUTED_VALUE"""),"FALSE")</f>
        <v>FALSE</v>
      </c>
      <c r="E1090" s="198" t="str">
        <f>IFERROR(__xludf.DUMMYFUNCTION("""COMPUTED_VALUE"""),"FALSE")</f>
        <v>FALSE</v>
      </c>
      <c r="F1090" s="198"/>
      <c r="J1090" s="184" t="str">
        <f>IFERROR(__xludf.DUMMYFUNCTION("""COMPUTED_VALUE"""),"")</f>
        <v/>
      </c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84"/>
      <c r="V1090" s="184"/>
      <c r="W1090" s="184"/>
      <c r="X1090" s="184"/>
    </row>
    <row r="1091">
      <c r="A1091" s="198"/>
      <c r="D1091" s="198" t="str">
        <f>IFERROR(__xludf.DUMMYFUNCTION("""COMPUTED_VALUE"""),"FALSE")</f>
        <v>FALSE</v>
      </c>
      <c r="E1091" s="198" t="str">
        <f>IFERROR(__xludf.DUMMYFUNCTION("""COMPUTED_VALUE"""),"FALSE")</f>
        <v>FALSE</v>
      </c>
      <c r="F1091" s="198"/>
      <c r="J1091" s="184" t="str">
        <f>IFERROR(__xludf.DUMMYFUNCTION("""COMPUTED_VALUE"""),"")</f>
        <v/>
      </c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84"/>
      <c r="V1091" s="184"/>
      <c r="W1091" s="184"/>
      <c r="X1091" s="184"/>
    </row>
    <row r="1092">
      <c r="A1092" s="198"/>
      <c r="D1092" s="198" t="str">
        <f>IFERROR(__xludf.DUMMYFUNCTION("""COMPUTED_VALUE"""),"FALSE")</f>
        <v>FALSE</v>
      </c>
      <c r="E1092" s="198" t="str">
        <f>IFERROR(__xludf.DUMMYFUNCTION("""COMPUTED_VALUE"""),"FALSE")</f>
        <v>FALSE</v>
      </c>
      <c r="F1092" s="198"/>
      <c r="J1092" s="184" t="str">
        <f>IFERROR(__xludf.DUMMYFUNCTION("""COMPUTED_VALUE"""),"")</f>
        <v/>
      </c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84"/>
      <c r="V1092" s="184"/>
      <c r="W1092" s="184"/>
      <c r="X1092" s="184"/>
    </row>
    <row r="1093">
      <c r="A1093" s="198"/>
      <c r="D1093" s="198" t="str">
        <f>IFERROR(__xludf.DUMMYFUNCTION("""COMPUTED_VALUE"""),"FALSE")</f>
        <v>FALSE</v>
      </c>
      <c r="E1093" s="198" t="str">
        <f>IFERROR(__xludf.DUMMYFUNCTION("""COMPUTED_VALUE"""),"FALSE")</f>
        <v>FALSE</v>
      </c>
      <c r="F1093" s="198"/>
      <c r="J1093" s="184" t="str">
        <f>IFERROR(__xludf.DUMMYFUNCTION("""COMPUTED_VALUE"""),"")</f>
        <v/>
      </c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84"/>
      <c r="V1093" s="184"/>
      <c r="W1093" s="184"/>
      <c r="X1093" s="184"/>
    </row>
    <row r="1094">
      <c r="A1094" s="198"/>
      <c r="D1094" s="198" t="str">
        <f>IFERROR(__xludf.DUMMYFUNCTION("""COMPUTED_VALUE"""),"FALSE")</f>
        <v>FALSE</v>
      </c>
      <c r="E1094" s="198" t="str">
        <f>IFERROR(__xludf.DUMMYFUNCTION("""COMPUTED_VALUE"""),"FALSE")</f>
        <v>FALSE</v>
      </c>
      <c r="F1094" s="198"/>
      <c r="J1094" s="184" t="str">
        <f>IFERROR(__xludf.DUMMYFUNCTION("""COMPUTED_VALUE"""),"")</f>
        <v/>
      </c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84"/>
      <c r="V1094" s="184"/>
      <c r="W1094" s="184"/>
      <c r="X1094" s="184"/>
    </row>
    <row r="1095">
      <c r="A1095" s="198"/>
      <c r="D1095" s="198" t="str">
        <f>IFERROR(__xludf.DUMMYFUNCTION("""COMPUTED_VALUE"""),"FALSE")</f>
        <v>FALSE</v>
      </c>
      <c r="E1095" s="198" t="str">
        <f>IFERROR(__xludf.DUMMYFUNCTION("""COMPUTED_VALUE"""),"FALSE")</f>
        <v>FALSE</v>
      </c>
      <c r="F1095" s="198"/>
      <c r="J1095" s="184" t="str">
        <f>IFERROR(__xludf.DUMMYFUNCTION("""COMPUTED_VALUE"""),"")</f>
        <v/>
      </c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84"/>
      <c r="V1095" s="184"/>
      <c r="W1095" s="184"/>
      <c r="X1095" s="184"/>
    </row>
    <row r="1096">
      <c r="A1096" s="198"/>
      <c r="D1096" s="198" t="str">
        <f>IFERROR(__xludf.DUMMYFUNCTION("""COMPUTED_VALUE"""),"FALSE")</f>
        <v>FALSE</v>
      </c>
      <c r="E1096" s="198" t="str">
        <f>IFERROR(__xludf.DUMMYFUNCTION("""COMPUTED_VALUE"""),"FALSE")</f>
        <v>FALSE</v>
      </c>
      <c r="F1096" s="198"/>
      <c r="J1096" s="184" t="str">
        <f>IFERROR(__xludf.DUMMYFUNCTION("""COMPUTED_VALUE"""),"")</f>
        <v/>
      </c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84"/>
      <c r="V1096" s="184"/>
      <c r="W1096" s="184"/>
      <c r="X1096" s="184"/>
    </row>
    <row r="1097">
      <c r="A1097" s="198"/>
      <c r="D1097" s="198" t="str">
        <f>IFERROR(__xludf.DUMMYFUNCTION("""COMPUTED_VALUE"""),"FALSE")</f>
        <v>FALSE</v>
      </c>
      <c r="E1097" s="198" t="str">
        <f>IFERROR(__xludf.DUMMYFUNCTION("""COMPUTED_VALUE"""),"FALSE")</f>
        <v>FALSE</v>
      </c>
      <c r="F1097" s="198"/>
      <c r="J1097" s="184" t="str">
        <f>IFERROR(__xludf.DUMMYFUNCTION("""COMPUTED_VALUE"""),"")</f>
        <v/>
      </c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84"/>
      <c r="V1097" s="184"/>
      <c r="W1097" s="184"/>
      <c r="X1097" s="184"/>
    </row>
    <row r="1098">
      <c r="A1098" s="198"/>
      <c r="D1098" s="198" t="str">
        <f>IFERROR(__xludf.DUMMYFUNCTION("""COMPUTED_VALUE"""),"FALSE")</f>
        <v>FALSE</v>
      </c>
      <c r="E1098" s="198" t="str">
        <f>IFERROR(__xludf.DUMMYFUNCTION("""COMPUTED_VALUE"""),"FALSE")</f>
        <v>FALSE</v>
      </c>
      <c r="F1098" s="198"/>
      <c r="J1098" s="184" t="str">
        <f>IFERROR(__xludf.DUMMYFUNCTION("""COMPUTED_VALUE"""),"")</f>
        <v/>
      </c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84"/>
      <c r="V1098" s="184"/>
      <c r="W1098" s="184"/>
      <c r="X1098" s="184"/>
    </row>
    <row r="1099">
      <c r="A1099" s="198"/>
      <c r="D1099" s="198" t="str">
        <f>IFERROR(__xludf.DUMMYFUNCTION("""COMPUTED_VALUE"""),"FALSE")</f>
        <v>FALSE</v>
      </c>
      <c r="E1099" s="198" t="str">
        <f>IFERROR(__xludf.DUMMYFUNCTION("""COMPUTED_VALUE"""),"FALSE")</f>
        <v>FALSE</v>
      </c>
      <c r="F1099" s="198"/>
      <c r="J1099" s="184" t="str">
        <f>IFERROR(__xludf.DUMMYFUNCTION("""COMPUTED_VALUE"""),"")</f>
        <v/>
      </c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84"/>
      <c r="V1099" s="184"/>
      <c r="W1099" s="184"/>
      <c r="X1099" s="184"/>
    </row>
    <row r="1100">
      <c r="A1100" s="198"/>
      <c r="D1100" s="198" t="str">
        <f>IFERROR(__xludf.DUMMYFUNCTION("""COMPUTED_VALUE"""),"FALSE")</f>
        <v>FALSE</v>
      </c>
      <c r="E1100" s="198" t="str">
        <f>IFERROR(__xludf.DUMMYFUNCTION("""COMPUTED_VALUE"""),"FALSE")</f>
        <v>FALSE</v>
      </c>
      <c r="F1100" s="198"/>
      <c r="J1100" s="184" t="str">
        <f>IFERROR(__xludf.DUMMYFUNCTION("""COMPUTED_VALUE"""),"")</f>
        <v/>
      </c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84"/>
      <c r="V1100" s="184"/>
      <c r="W1100" s="184"/>
      <c r="X1100" s="184"/>
    </row>
    <row r="1101">
      <c r="A1101" s="198"/>
      <c r="D1101" s="198" t="str">
        <f>IFERROR(__xludf.DUMMYFUNCTION("""COMPUTED_VALUE"""),"FALSE")</f>
        <v>FALSE</v>
      </c>
      <c r="E1101" s="198" t="str">
        <f>IFERROR(__xludf.DUMMYFUNCTION("""COMPUTED_VALUE"""),"FALSE")</f>
        <v>FALSE</v>
      </c>
      <c r="F1101" s="198"/>
      <c r="J1101" s="184" t="str">
        <f>IFERROR(__xludf.DUMMYFUNCTION("""COMPUTED_VALUE"""),"")</f>
        <v/>
      </c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84"/>
      <c r="V1101" s="184"/>
      <c r="W1101" s="184"/>
      <c r="X1101" s="184"/>
    </row>
    <row r="1102">
      <c r="A1102" s="198"/>
      <c r="D1102" s="198" t="str">
        <f>IFERROR(__xludf.DUMMYFUNCTION("""COMPUTED_VALUE"""),"FALSE")</f>
        <v>FALSE</v>
      </c>
      <c r="E1102" s="198" t="str">
        <f>IFERROR(__xludf.DUMMYFUNCTION("""COMPUTED_VALUE"""),"FALSE")</f>
        <v>FALSE</v>
      </c>
      <c r="F1102" s="198"/>
      <c r="J1102" s="184" t="str">
        <f>IFERROR(__xludf.DUMMYFUNCTION("""COMPUTED_VALUE"""),"")</f>
        <v/>
      </c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84"/>
      <c r="V1102" s="184"/>
      <c r="W1102" s="184"/>
      <c r="X1102" s="184"/>
    </row>
    <row r="1103">
      <c r="A1103" s="198"/>
      <c r="D1103" s="198" t="str">
        <f>IFERROR(__xludf.DUMMYFUNCTION("""COMPUTED_VALUE"""),"FALSE")</f>
        <v>FALSE</v>
      </c>
      <c r="E1103" s="198" t="str">
        <f>IFERROR(__xludf.DUMMYFUNCTION("""COMPUTED_VALUE"""),"FALSE")</f>
        <v>FALSE</v>
      </c>
      <c r="F1103" s="198"/>
      <c r="J1103" s="184" t="str">
        <f>IFERROR(__xludf.DUMMYFUNCTION("""COMPUTED_VALUE"""),"")</f>
        <v/>
      </c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84"/>
      <c r="V1103" s="184"/>
      <c r="W1103" s="184"/>
      <c r="X1103" s="184"/>
    </row>
    <row r="1104">
      <c r="A1104" s="198"/>
      <c r="D1104" s="198" t="str">
        <f>IFERROR(__xludf.DUMMYFUNCTION("""COMPUTED_VALUE"""),"FALSE")</f>
        <v>FALSE</v>
      </c>
      <c r="E1104" s="198" t="str">
        <f>IFERROR(__xludf.DUMMYFUNCTION("""COMPUTED_VALUE"""),"FALSE")</f>
        <v>FALSE</v>
      </c>
      <c r="F1104" s="198"/>
      <c r="J1104" s="184" t="str">
        <f>IFERROR(__xludf.DUMMYFUNCTION("""COMPUTED_VALUE"""),"")</f>
        <v/>
      </c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84"/>
      <c r="V1104" s="184"/>
      <c r="W1104" s="184"/>
      <c r="X1104" s="184"/>
    </row>
    <row r="1105">
      <c r="A1105" s="198"/>
      <c r="D1105" s="198" t="str">
        <f>IFERROR(__xludf.DUMMYFUNCTION("""COMPUTED_VALUE"""),"FALSE")</f>
        <v>FALSE</v>
      </c>
      <c r="E1105" s="198" t="str">
        <f>IFERROR(__xludf.DUMMYFUNCTION("""COMPUTED_VALUE"""),"FALSE")</f>
        <v>FALSE</v>
      </c>
      <c r="F1105" s="198"/>
      <c r="J1105" s="184" t="str">
        <f>IFERROR(__xludf.DUMMYFUNCTION("""COMPUTED_VALUE"""),"")</f>
        <v/>
      </c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84"/>
      <c r="V1105" s="184"/>
      <c r="W1105" s="184"/>
      <c r="X1105" s="184"/>
    </row>
    <row r="1106">
      <c r="A1106" s="198"/>
      <c r="D1106" s="198" t="str">
        <f>IFERROR(__xludf.DUMMYFUNCTION("""COMPUTED_VALUE"""),"FALSE")</f>
        <v>FALSE</v>
      </c>
      <c r="E1106" s="198" t="str">
        <f>IFERROR(__xludf.DUMMYFUNCTION("""COMPUTED_VALUE"""),"FALSE")</f>
        <v>FALSE</v>
      </c>
      <c r="F1106" s="198"/>
      <c r="J1106" s="184" t="str">
        <f>IFERROR(__xludf.DUMMYFUNCTION("""COMPUTED_VALUE"""),"")</f>
        <v/>
      </c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84"/>
      <c r="V1106" s="184"/>
      <c r="W1106" s="184"/>
      <c r="X1106" s="184"/>
    </row>
    <row r="1107">
      <c r="A1107" s="198"/>
      <c r="D1107" s="198" t="str">
        <f>IFERROR(__xludf.DUMMYFUNCTION("""COMPUTED_VALUE"""),"FALSE")</f>
        <v>FALSE</v>
      </c>
      <c r="E1107" s="198" t="str">
        <f>IFERROR(__xludf.DUMMYFUNCTION("""COMPUTED_VALUE"""),"FALSE")</f>
        <v>FALSE</v>
      </c>
      <c r="F1107" s="198"/>
      <c r="J1107" s="184" t="str">
        <f>IFERROR(__xludf.DUMMYFUNCTION("""COMPUTED_VALUE"""),"")</f>
        <v/>
      </c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84"/>
      <c r="V1107" s="184"/>
      <c r="W1107" s="184"/>
      <c r="X1107" s="184"/>
    </row>
    <row r="1108">
      <c r="A1108" s="198"/>
      <c r="D1108" s="198" t="str">
        <f>IFERROR(__xludf.DUMMYFUNCTION("""COMPUTED_VALUE"""),"FALSE")</f>
        <v>FALSE</v>
      </c>
      <c r="E1108" s="198" t="str">
        <f>IFERROR(__xludf.DUMMYFUNCTION("""COMPUTED_VALUE"""),"FALSE")</f>
        <v>FALSE</v>
      </c>
      <c r="F1108" s="198"/>
      <c r="J1108" s="184" t="str">
        <f>IFERROR(__xludf.DUMMYFUNCTION("""COMPUTED_VALUE"""),"")</f>
        <v/>
      </c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84"/>
      <c r="V1108" s="184"/>
      <c r="W1108" s="184"/>
      <c r="X1108" s="184"/>
    </row>
    <row r="1109">
      <c r="A1109" s="198"/>
      <c r="D1109" s="198" t="str">
        <f>IFERROR(__xludf.DUMMYFUNCTION("""COMPUTED_VALUE"""),"FALSE")</f>
        <v>FALSE</v>
      </c>
      <c r="E1109" s="198" t="str">
        <f>IFERROR(__xludf.DUMMYFUNCTION("""COMPUTED_VALUE"""),"FALSE")</f>
        <v>FALSE</v>
      </c>
      <c r="F1109" s="198"/>
      <c r="J1109" s="184" t="str">
        <f>IFERROR(__xludf.DUMMYFUNCTION("""COMPUTED_VALUE"""),"")</f>
        <v/>
      </c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84"/>
      <c r="V1109" s="184"/>
      <c r="W1109" s="184"/>
      <c r="X1109" s="184"/>
    </row>
    <row r="1110">
      <c r="A1110" s="198"/>
      <c r="D1110" s="198" t="str">
        <f>IFERROR(__xludf.DUMMYFUNCTION("""COMPUTED_VALUE"""),"FALSE")</f>
        <v>FALSE</v>
      </c>
      <c r="E1110" s="198" t="str">
        <f>IFERROR(__xludf.DUMMYFUNCTION("""COMPUTED_VALUE"""),"FALSE")</f>
        <v>FALSE</v>
      </c>
      <c r="F1110" s="198"/>
      <c r="J1110" s="184" t="str">
        <f>IFERROR(__xludf.DUMMYFUNCTION("""COMPUTED_VALUE"""),"")</f>
        <v/>
      </c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84"/>
      <c r="V1110" s="184"/>
      <c r="W1110" s="184"/>
      <c r="X1110" s="184"/>
    </row>
    <row r="1111">
      <c r="A1111" s="198"/>
      <c r="D1111" s="198" t="str">
        <f>IFERROR(__xludf.DUMMYFUNCTION("""COMPUTED_VALUE"""),"FALSE")</f>
        <v>FALSE</v>
      </c>
      <c r="E1111" s="198" t="str">
        <f>IFERROR(__xludf.DUMMYFUNCTION("""COMPUTED_VALUE"""),"FALSE")</f>
        <v>FALSE</v>
      </c>
      <c r="F1111" s="198"/>
      <c r="J1111" s="184" t="str">
        <f>IFERROR(__xludf.DUMMYFUNCTION("""COMPUTED_VALUE"""),"")</f>
        <v/>
      </c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84"/>
      <c r="V1111" s="184"/>
      <c r="W1111" s="184"/>
      <c r="X1111" s="184"/>
    </row>
    <row r="1112">
      <c r="A1112" s="198"/>
      <c r="D1112" s="198" t="str">
        <f>IFERROR(__xludf.DUMMYFUNCTION("""COMPUTED_VALUE"""),"FALSE")</f>
        <v>FALSE</v>
      </c>
      <c r="E1112" s="198" t="str">
        <f>IFERROR(__xludf.DUMMYFUNCTION("""COMPUTED_VALUE"""),"FALSE")</f>
        <v>FALSE</v>
      </c>
      <c r="F1112" s="198"/>
      <c r="J1112" s="184" t="str">
        <f>IFERROR(__xludf.DUMMYFUNCTION("""COMPUTED_VALUE"""),"")</f>
        <v/>
      </c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84"/>
      <c r="V1112" s="184"/>
      <c r="W1112" s="184"/>
      <c r="X1112" s="184"/>
    </row>
    <row r="1113">
      <c r="A1113" s="198"/>
      <c r="D1113" s="198" t="str">
        <f>IFERROR(__xludf.DUMMYFUNCTION("""COMPUTED_VALUE"""),"FALSE")</f>
        <v>FALSE</v>
      </c>
      <c r="E1113" s="198" t="str">
        <f>IFERROR(__xludf.DUMMYFUNCTION("""COMPUTED_VALUE"""),"FALSE")</f>
        <v>FALSE</v>
      </c>
      <c r="F1113" s="198"/>
      <c r="J1113" s="184" t="str">
        <f>IFERROR(__xludf.DUMMYFUNCTION("""COMPUTED_VALUE"""),"")</f>
        <v/>
      </c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84"/>
      <c r="V1113" s="184"/>
      <c r="W1113" s="184"/>
      <c r="X1113" s="184"/>
    </row>
    <row r="1114">
      <c r="A1114" s="198"/>
      <c r="D1114" s="198" t="str">
        <f>IFERROR(__xludf.DUMMYFUNCTION("""COMPUTED_VALUE"""),"FALSE")</f>
        <v>FALSE</v>
      </c>
      <c r="E1114" s="198" t="str">
        <f>IFERROR(__xludf.DUMMYFUNCTION("""COMPUTED_VALUE"""),"FALSE")</f>
        <v>FALSE</v>
      </c>
      <c r="F1114" s="198"/>
      <c r="J1114" s="184" t="str">
        <f>IFERROR(__xludf.DUMMYFUNCTION("""COMPUTED_VALUE"""),"")</f>
        <v/>
      </c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84"/>
      <c r="V1114" s="184"/>
      <c r="W1114" s="184"/>
      <c r="X1114" s="184"/>
    </row>
    <row r="1115">
      <c r="A1115" s="198"/>
      <c r="D1115" s="198" t="str">
        <f>IFERROR(__xludf.DUMMYFUNCTION("""COMPUTED_VALUE"""),"FALSE")</f>
        <v>FALSE</v>
      </c>
      <c r="E1115" s="198" t="str">
        <f>IFERROR(__xludf.DUMMYFUNCTION("""COMPUTED_VALUE"""),"FALSE")</f>
        <v>FALSE</v>
      </c>
      <c r="F1115" s="198"/>
      <c r="J1115" s="184" t="str">
        <f>IFERROR(__xludf.DUMMYFUNCTION("""COMPUTED_VALUE"""),"")</f>
        <v/>
      </c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84"/>
      <c r="V1115" s="184"/>
      <c r="W1115" s="184"/>
      <c r="X1115" s="184"/>
    </row>
    <row r="1116">
      <c r="A1116" s="198"/>
      <c r="D1116" s="198" t="str">
        <f>IFERROR(__xludf.DUMMYFUNCTION("""COMPUTED_VALUE"""),"FALSE")</f>
        <v>FALSE</v>
      </c>
      <c r="E1116" s="198" t="str">
        <f>IFERROR(__xludf.DUMMYFUNCTION("""COMPUTED_VALUE"""),"FALSE")</f>
        <v>FALSE</v>
      </c>
      <c r="F1116" s="198"/>
      <c r="J1116" s="184" t="str">
        <f>IFERROR(__xludf.DUMMYFUNCTION("""COMPUTED_VALUE"""),"")</f>
        <v/>
      </c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84"/>
      <c r="V1116" s="184"/>
      <c r="W1116" s="184"/>
      <c r="X1116" s="184"/>
    </row>
    <row r="1117">
      <c r="A1117" s="198"/>
      <c r="D1117" s="198" t="str">
        <f>IFERROR(__xludf.DUMMYFUNCTION("""COMPUTED_VALUE"""),"FALSE")</f>
        <v>FALSE</v>
      </c>
      <c r="E1117" s="198" t="str">
        <f>IFERROR(__xludf.DUMMYFUNCTION("""COMPUTED_VALUE"""),"FALSE")</f>
        <v>FALSE</v>
      </c>
      <c r="F1117" s="198"/>
      <c r="J1117" s="184" t="str">
        <f>IFERROR(__xludf.DUMMYFUNCTION("""COMPUTED_VALUE"""),"")</f>
        <v/>
      </c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84"/>
      <c r="V1117" s="184"/>
      <c r="W1117" s="184"/>
      <c r="X1117" s="184"/>
    </row>
    <row r="1118">
      <c r="A1118" s="198"/>
      <c r="D1118" s="198" t="str">
        <f>IFERROR(__xludf.DUMMYFUNCTION("""COMPUTED_VALUE"""),"FALSE")</f>
        <v>FALSE</v>
      </c>
      <c r="E1118" s="198" t="str">
        <f>IFERROR(__xludf.DUMMYFUNCTION("""COMPUTED_VALUE"""),"FALSE")</f>
        <v>FALSE</v>
      </c>
      <c r="F1118" s="198"/>
      <c r="J1118" s="184" t="str">
        <f>IFERROR(__xludf.DUMMYFUNCTION("""COMPUTED_VALUE"""),"")</f>
        <v/>
      </c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84"/>
      <c r="V1118" s="184"/>
      <c r="W1118" s="184"/>
      <c r="X1118" s="184"/>
    </row>
    <row r="1119">
      <c r="A1119" s="198"/>
      <c r="D1119" s="198" t="str">
        <f>IFERROR(__xludf.DUMMYFUNCTION("""COMPUTED_VALUE"""),"FALSE")</f>
        <v>FALSE</v>
      </c>
      <c r="E1119" s="198" t="str">
        <f>IFERROR(__xludf.DUMMYFUNCTION("""COMPUTED_VALUE"""),"FALSE")</f>
        <v>FALSE</v>
      </c>
      <c r="F1119" s="198"/>
      <c r="J1119" s="184" t="str">
        <f>IFERROR(__xludf.DUMMYFUNCTION("""COMPUTED_VALUE"""),"")</f>
        <v/>
      </c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84"/>
      <c r="V1119" s="184"/>
      <c r="W1119" s="184"/>
      <c r="X1119" s="184"/>
    </row>
    <row r="1120">
      <c r="A1120" s="198"/>
      <c r="D1120" s="198" t="str">
        <f>IFERROR(__xludf.DUMMYFUNCTION("""COMPUTED_VALUE"""),"FALSE")</f>
        <v>FALSE</v>
      </c>
      <c r="E1120" s="198" t="str">
        <f>IFERROR(__xludf.DUMMYFUNCTION("""COMPUTED_VALUE"""),"FALSE")</f>
        <v>FALSE</v>
      </c>
      <c r="F1120" s="198"/>
      <c r="J1120" s="184" t="str">
        <f>IFERROR(__xludf.DUMMYFUNCTION("""COMPUTED_VALUE"""),"")</f>
        <v/>
      </c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84"/>
      <c r="V1120" s="184"/>
      <c r="W1120" s="184"/>
      <c r="X1120" s="184"/>
    </row>
    <row r="1121">
      <c r="A1121" s="198"/>
      <c r="D1121" s="198" t="str">
        <f>IFERROR(__xludf.DUMMYFUNCTION("""COMPUTED_VALUE"""),"FALSE")</f>
        <v>FALSE</v>
      </c>
      <c r="E1121" s="198" t="str">
        <f>IFERROR(__xludf.DUMMYFUNCTION("""COMPUTED_VALUE"""),"FALSE")</f>
        <v>FALSE</v>
      </c>
      <c r="F1121" s="198"/>
      <c r="J1121" s="184" t="str">
        <f>IFERROR(__xludf.DUMMYFUNCTION("""COMPUTED_VALUE"""),"")</f>
        <v/>
      </c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84"/>
      <c r="V1121" s="184"/>
      <c r="W1121" s="184"/>
      <c r="X1121" s="184"/>
    </row>
    <row r="1122">
      <c r="A1122" s="198"/>
      <c r="D1122" s="198" t="str">
        <f>IFERROR(__xludf.DUMMYFUNCTION("""COMPUTED_VALUE"""),"FALSE")</f>
        <v>FALSE</v>
      </c>
      <c r="E1122" s="198" t="str">
        <f>IFERROR(__xludf.DUMMYFUNCTION("""COMPUTED_VALUE"""),"FALSE")</f>
        <v>FALSE</v>
      </c>
      <c r="F1122" s="198"/>
      <c r="J1122" s="184" t="str">
        <f>IFERROR(__xludf.DUMMYFUNCTION("""COMPUTED_VALUE"""),"")</f>
        <v/>
      </c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84"/>
      <c r="V1122" s="184"/>
      <c r="W1122" s="184"/>
      <c r="X1122" s="184"/>
    </row>
    <row r="1123">
      <c r="A1123" s="198"/>
      <c r="D1123" s="198" t="str">
        <f>IFERROR(__xludf.DUMMYFUNCTION("""COMPUTED_VALUE"""),"FALSE")</f>
        <v>FALSE</v>
      </c>
      <c r="E1123" s="198" t="str">
        <f>IFERROR(__xludf.DUMMYFUNCTION("""COMPUTED_VALUE"""),"FALSE")</f>
        <v>FALSE</v>
      </c>
      <c r="F1123" s="198"/>
      <c r="J1123" s="184" t="str">
        <f>IFERROR(__xludf.DUMMYFUNCTION("""COMPUTED_VALUE"""),"")</f>
        <v/>
      </c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84"/>
      <c r="V1123" s="184"/>
      <c r="W1123" s="184"/>
      <c r="X1123" s="184"/>
    </row>
    <row r="1124">
      <c r="A1124" s="198"/>
      <c r="D1124" s="198" t="str">
        <f>IFERROR(__xludf.DUMMYFUNCTION("""COMPUTED_VALUE"""),"FALSE")</f>
        <v>FALSE</v>
      </c>
      <c r="E1124" s="198" t="str">
        <f>IFERROR(__xludf.DUMMYFUNCTION("""COMPUTED_VALUE"""),"FALSE")</f>
        <v>FALSE</v>
      </c>
      <c r="F1124" s="198"/>
      <c r="J1124" s="184" t="str">
        <f>IFERROR(__xludf.DUMMYFUNCTION("""COMPUTED_VALUE"""),"")</f>
        <v/>
      </c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84"/>
      <c r="V1124" s="184"/>
      <c r="W1124" s="184"/>
      <c r="X1124" s="184"/>
    </row>
    <row r="1125">
      <c r="A1125" s="198"/>
      <c r="D1125" s="198" t="str">
        <f>IFERROR(__xludf.DUMMYFUNCTION("""COMPUTED_VALUE"""),"FALSE")</f>
        <v>FALSE</v>
      </c>
      <c r="E1125" s="198" t="str">
        <f>IFERROR(__xludf.DUMMYFUNCTION("""COMPUTED_VALUE"""),"FALSE")</f>
        <v>FALSE</v>
      </c>
      <c r="F1125" s="198"/>
      <c r="J1125" s="184" t="str">
        <f>IFERROR(__xludf.DUMMYFUNCTION("""COMPUTED_VALUE"""),"")</f>
        <v/>
      </c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84"/>
      <c r="V1125" s="184"/>
      <c r="W1125" s="184"/>
      <c r="X1125" s="184"/>
    </row>
    <row r="1126">
      <c r="A1126" s="198"/>
      <c r="D1126" s="198" t="str">
        <f>IFERROR(__xludf.DUMMYFUNCTION("""COMPUTED_VALUE"""),"FALSE")</f>
        <v>FALSE</v>
      </c>
      <c r="E1126" s="198" t="str">
        <f>IFERROR(__xludf.DUMMYFUNCTION("""COMPUTED_VALUE"""),"FALSE")</f>
        <v>FALSE</v>
      </c>
      <c r="F1126" s="198"/>
      <c r="J1126" s="184" t="str">
        <f>IFERROR(__xludf.DUMMYFUNCTION("""COMPUTED_VALUE"""),"")</f>
        <v/>
      </c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84"/>
      <c r="V1126" s="184"/>
      <c r="W1126" s="184"/>
      <c r="X1126" s="184"/>
    </row>
    <row r="1127">
      <c r="A1127" s="198"/>
      <c r="D1127" s="198" t="str">
        <f>IFERROR(__xludf.DUMMYFUNCTION("""COMPUTED_VALUE"""),"FALSE")</f>
        <v>FALSE</v>
      </c>
      <c r="E1127" s="198" t="str">
        <f>IFERROR(__xludf.DUMMYFUNCTION("""COMPUTED_VALUE"""),"FALSE")</f>
        <v>FALSE</v>
      </c>
      <c r="F1127" s="198"/>
      <c r="J1127" s="184" t="str">
        <f>IFERROR(__xludf.DUMMYFUNCTION("""COMPUTED_VALUE"""),"")</f>
        <v/>
      </c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84"/>
      <c r="V1127" s="184"/>
      <c r="W1127" s="184"/>
      <c r="X1127" s="184"/>
    </row>
    <row r="1128">
      <c r="A1128" s="198"/>
      <c r="D1128" s="198" t="str">
        <f>IFERROR(__xludf.DUMMYFUNCTION("""COMPUTED_VALUE"""),"FALSE")</f>
        <v>FALSE</v>
      </c>
      <c r="E1128" s="198" t="str">
        <f>IFERROR(__xludf.DUMMYFUNCTION("""COMPUTED_VALUE"""),"FALSE")</f>
        <v>FALSE</v>
      </c>
      <c r="F1128" s="198"/>
      <c r="J1128" s="184" t="str">
        <f>IFERROR(__xludf.DUMMYFUNCTION("""COMPUTED_VALUE"""),"")</f>
        <v/>
      </c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84"/>
      <c r="V1128" s="184"/>
      <c r="W1128" s="184"/>
      <c r="X1128" s="184"/>
    </row>
    <row r="1129">
      <c r="A1129" s="198"/>
      <c r="D1129" s="198" t="str">
        <f>IFERROR(__xludf.DUMMYFUNCTION("""COMPUTED_VALUE"""),"FALSE")</f>
        <v>FALSE</v>
      </c>
      <c r="E1129" s="198" t="str">
        <f>IFERROR(__xludf.DUMMYFUNCTION("""COMPUTED_VALUE"""),"FALSE")</f>
        <v>FALSE</v>
      </c>
      <c r="F1129" s="198"/>
      <c r="J1129" s="184" t="str">
        <f>IFERROR(__xludf.DUMMYFUNCTION("""COMPUTED_VALUE"""),"")</f>
        <v/>
      </c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84"/>
      <c r="V1129" s="184"/>
      <c r="W1129" s="184"/>
      <c r="X1129" s="184"/>
    </row>
    <row r="1130">
      <c r="A1130" s="198"/>
      <c r="D1130" s="198" t="str">
        <f>IFERROR(__xludf.DUMMYFUNCTION("""COMPUTED_VALUE"""),"FALSE")</f>
        <v>FALSE</v>
      </c>
      <c r="E1130" s="198" t="str">
        <f>IFERROR(__xludf.DUMMYFUNCTION("""COMPUTED_VALUE"""),"FALSE")</f>
        <v>FALSE</v>
      </c>
      <c r="F1130" s="198"/>
      <c r="J1130" s="184" t="str">
        <f>IFERROR(__xludf.DUMMYFUNCTION("""COMPUTED_VALUE"""),"")</f>
        <v/>
      </c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84"/>
      <c r="V1130" s="184"/>
      <c r="W1130" s="184"/>
      <c r="X1130" s="184"/>
    </row>
    <row r="1131">
      <c r="A1131" s="198"/>
      <c r="D1131" s="198" t="str">
        <f>IFERROR(__xludf.DUMMYFUNCTION("""COMPUTED_VALUE"""),"FALSE")</f>
        <v>FALSE</v>
      </c>
      <c r="E1131" s="198" t="str">
        <f>IFERROR(__xludf.DUMMYFUNCTION("""COMPUTED_VALUE"""),"FALSE")</f>
        <v>FALSE</v>
      </c>
      <c r="F1131" s="198"/>
      <c r="J1131" s="184" t="str">
        <f>IFERROR(__xludf.DUMMYFUNCTION("""COMPUTED_VALUE"""),"")</f>
        <v/>
      </c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84"/>
      <c r="V1131" s="184"/>
      <c r="W1131" s="184"/>
      <c r="X1131" s="184"/>
    </row>
    <row r="1132">
      <c r="A1132" s="198"/>
      <c r="D1132" s="198" t="str">
        <f>IFERROR(__xludf.DUMMYFUNCTION("""COMPUTED_VALUE"""),"FALSE")</f>
        <v>FALSE</v>
      </c>
      <c r="E1132" s="198" t="str">
        <f>IFERROR(__xludf.DUMMYFUNCTION("""COMPUTED_VALUE"""),"FALSE")</f>
        <v>FALSE</v>
      </c>
      <c r="F1132" s="198"/>
      <c r="J1132" s="184" t="str">
        <f>IFERROR(__xludf.DUMMYFUNCTION("""COMPUTED_VALUE"""),"")</f>
        <v/>
      </c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84"/>
      <c r="V1132" s="184"/>
      <c r="W1132" s="184"/>
      <c r="X1132" s="184"/>
    </row>
    <row r="1133">
      <c r="A1133" s="198"/>
      <c r="D1133" s="198" t="str">
        <f>IFERROR(__xludf.DUMMYFUNCTION("""COMPUTED_VALUE"""),"FALSE")</f>
        <v>FALSE</v>
      </c>
      <c r="E1133" s="198" t="str">
        <f>IFERROR(__xludf.DUMMYFUNCTION("""COMPUTED_VALUE"""),"FALSE")</f>
        <v>FALSE</v>
      </c>
      <c r="F1133" s="198"/>
      <c r="J1133" s="184" t="str">
        <f>IFERROR(__xludf.DUMMYFUNCTION("""COMPUTED_VALUE"""),"")</f>
        <v/>
      </c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84"/>
      <c r="V1133" s="184"/>
      <c r="W1133" s="184"/>
      <c r="X1133" s="184"/>
    </row>
    <row r="1134">
      <c r="A1134" s="198"/>
      <c r="D1134" s="198" t="str">
        <f>IFERROR(__xludf.DUMMYFUNCTION("""COMPUTED_VALUE"""),"FALSE")</f>
        <v>FALSE</v>
      </c>
      <c r="E1134" s="198" t="str">
        <f>IFERROR(__xludf.DUMMYFUNCTION("""COMPUTED_VALUE"""),"FALSE")</f>
        <v>FALSE</v>
      </c>
      <c r="F1134" s="198"/>
      <c r="J1134" s="184" t="str">
        <f>IFERROR(__xludf.DUMMYFUNCTION("""COMPUTED_VALUE"""),"")</f>
        <v/>
      </c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84"/>
      <c r="V1134" s="184"/>
      <c r="W1134" s="184"/>
      <c r="X1134" s="184"/>
    </row>
    <row r="1135">
      <c r="A1135" s="198"/>
      <c r="D1135" s="198" t="str">
        <f>IFERROR(__xludf.DUMMYFUNCTION("""COMPUTED_VALUE"""),"FALSE")</f>
        <v>FALSE</v>
      </c>
      <c r="E1135" s="198" t="str">
        <f>IFERROR(__xludf.DUMMYFUNCTION("""COMPUTED_VALUE"""),"FALSE")</f>
        <v>FALSE</v>
      </c>
      <c r="F1135" s="198"/>
      <c r="J1135" s="184" t="str">
        <f>IFERROR(__xludf.DUMMYFUNCTION("""COMPUTED_VALUE"""),"")</f>
        <v/>
      </c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84"/>
      <c r="V1135" s="184"/>
      <c r="W1135" s="184"/>
      <c r="X1135" s="184"/>
    </row>
    <row r="1136">
      <c r="A1136" s="198"/>
      <c r="D1136" s="198" t="str">
        <f>IFERROR(__xludf.DUMMYFUNCTION("""COMPUTED_VALUE"""),"FALSE")</f>
        <v>FALSE</v>
      </c>
      <c r="E1136" s="198" t="str">
        <f>IFERROR(__xludf.DUMMYFUNCTION("""COMPUTED_VALUE"""),"FALSE")</f>
        <v>FALSE</v>
      </c>
      <c r="F1136" s="198"/>
      <c r="J1136" s="184" t="str">
        <f>IFERROR(__xludf.DUMMYFUNCTION("""COMPUTED_VALUE"""),"")</f>
        <v/>
      </c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84"/>
      <c r="V1136" s="184"/>
      <c r="W1136" s="184"/>
      <c r="X1136" s="184"/>
    </row>
    <row r="1137">
      <c r="A1137" s="198"/>
      <c r="D1137" s="198" t="str">
        <f>IFERROR(__xludf.DUMMYFUNCTION("""COMPUTED_VALUE"""),"FALSE")</f>
        <v>FALSE</v>
      </c>
      <c r="E1137" s="198" t="str">
        <f>IFERROR(__xludf.DUMMYFUNCTION("""COMPUTED_VALUE"""),"FALSE")</f>
        <v>FALSE</v>
      </c>
      <c r="F1137" s="198"/>
      <c r="J1137" s="184" t="str">
        <f>IFERROR(__xludf.DUMMYFUNCTION("""COMPUTED_VALUE"""),"")</f>
        <v/>
      </c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84"/>
      <c r="V1137" s="184"/>
      <c r="W1137" s="184"/>
      <c r="X1137" s="184"/>
    </row>
    <row r="1138">
      <c r="A1138" s="198"/>
      <c r="D1138" s="198" t="str">
        <f>IFERROR(__xludf.DUMMYFUNCTION("""COMPUTED_VALUE"""),"FALSE")</f>
        <v>FALSE</v>
      </c>
      <c r="E1138" s="198" t="str">
        <f>IFERROR(__xludf.DUMMYFUNCTION("""COMPUTED_VALUE"""),"FALSE")</f>
        <v>FALSE</v>
      </c>
      <c r="F1138" s="198"/>
      <c r="J1138" s="184" t="str">
        <f>IFERROR(__xludf.DUMMYFUNCTION("""COMPUTED_VALUE"""),"")</f>
        <v/>
      </c>
      <c r="K1138" s="184"/>
      <c r="L1138" s="184"/>
      <c r="M1138" s="184"/>
      <c r="N1138" s="184"/>
      <c r="O1138" s="184"/>
      <c r="P1138" s="184"/>
      <c r="Q1138" s="184"/>
      <c r="R1138" s="184"/>
      <c r="S1138" s="184"/>
      <c r="T1138" s="184"/>
      <c r="U1138" s="184"/>
      <c r="V1138" s="184"/>
      <c r="W1138" s="184"/>
      <c r="X1138" s="184"/>
    </row>
    <row r="1139">
      <c r="A1139" s="198"/>
      <c r="D1139" s="198" t="str">
        <f>IFERROR(__xludf.DUMMYFUNCTION("""COMPUTED_VALUE"""),"FALSE")</f>
        <v>FALSE</v>
      </c>
      <c r="E1139" s="198" t="str">
        <f>IFERROR(__xludf.DUMMYFUNCTION("""COMPUTED_VALUE"""),"FALSE")</f>
        <v>FALSE</v>
      </c>
      <c r="F1139" s="198"/>
      <c r="J1139" s="184" t="str">
        <f>IFERROR(__xludf.DUMMYFUNCTION("""COMPUTED_VALUE"""),"")</f>
        <v/>
      </c>
      <c r="K1139" s="184"/>
      <c r="L1139" s="184"/>
      <c r="M1139" s="184"/>
      <c r="N1139" s="184"/>
      <c r="O1139" s="184"/>
      <c r="P1139" s="184"/>
      <c r="Q1139" s="184"/>
      <c r="R1139" s="184"/>
      <c r="S1139" s="184"/>
      <c r="T1139" s="184"/>
      <c r="U1139" s="184"/>
      <c r="V1139" s="184"/>
      <c r="W1139" s="184"/>
      <c r="X1139" s="184"/>
    </row>
    <row r="1140">
      <c r="A1140" s="198"/>
      <c r="D1140" s="198" t="str">
        <f>IFERROR(__xludf.DUMMYFUNCTION("""COMPUTED_VALUE"""),"FALSE")</f>
        <v>FALSE</v>
      </c>
      <c r="E1140" s="198" t="str">
        <f>IFERROR(__xludf.DUMMYFUNCTION("""COMPUTED_VALUE"""),"FALSE")</f>
        <v>FALSE</v>
      </c>
      <c r="F1140" s="198"/>
      <c r="J1140" s="184" t="str">
        <f>IFERROR(__xludf.DUMMYFUNCTION("""COMPUTED_VALUE"""),"")</f>
        <v/>
      </c>
      <c r="K1140" s="184"/>
      <c r="L1140" s="184"/>
      <c r="M1140" s="184"/>
      <c r="N1140" s="184"/>
      <c r="O1140" s="184"/>
      <c r="P1140" s="184"/>
      <c r="Q1140" s="184"/>
      <c r="R1140" s="184"/>
      <c r="S1140" s="184"/>
      <c r="T1140" s="184"/>
      <c r="U1140" s="184"/>
      <c r="V1140" s="184"/>
      <c r="W1140" s="184"/>
      <c r="X1140" s="184"/>
    </row>
    <row r="1141">
      <c r="A1141" s="198"/>
      <c r="D1141" s="198" t="str">
        <f>IFERROR(__xludf.DUMMYFUNCTION("""COMPUTED_VALUE"""),"FALSE")</f>
        <v>FALSE</v>
      </c>
      <c r="E1141" s="198" t="str">
        <f>IFERROR(__xludf.DUMMYFUNCTION("""COMPUTED_VALUE"""),"FALSE")</f>
        <v>FALSE</v>
      </c>
      <c r="F1141" s="198"/>
      <c r="J1141" s="184" t="str">
        <f>IFERROR(__xludf.DUMMYFUNCTION("""COMPUTED_VALUE"""),"")</f>
        <v/>
      </c>
      <c r="K1141" s="184"/>
      <c r="L1141" s="184"/>
      <c r="M1141" s="184"/>
      <c r="N1141" s="184"/>
      <c r="O1141" s="184"/>
      <c r="P1141" s="184"/>
      <c r="Q1141" s="184"/>
      <c r="R1141" s="184"/>
      <c r="S1141" s="184"/>
      <c r="T1141" s="184"/>
      <c r="U1141" s="184"/>
      <c r="V1141" s="184"/>
      <c r="W1141" s="184"/>
      <c r="X1141" s="184"/>
    </row>
    <row r="1142">
      <c r="A1142" s="198"/>
      <c r="D1142" s="198" t="str">
        <f>IFERROR(__xludf.DUMMYFUNCTION("""COMPUTED_VALUE"""),"FALSE")</f>
        <v>FALSE</v>
      </c>
      <c r="E1142" s="198" t="str">
        <f>IFERROR(__xludf.DUMMYFUNCTION("""COMPUTED_VALUE"""),"FALSE")</f>
        <v>FALSE</v>
      </c>
      <c r="F1142" s="198"/>
      <c r="J1142" s="184" t="str">
        <f>IFERROR(__xludf.DUMMYFUNCTION("""COMPUTED_VALUE"""),"")</f>
        <v/>
      </c>
      <c r="K1142" s="184"/>
      <c r="L1142" s="184"/>
      <c r="M1142" s="184"/>
      <c r="N1142" s="184"/>
      <c r="O1142" s="184"/>
      <c r="P1142" s="184"/>
      <c r="Q1142" s="184"/>
      <c r="R1142" s="184"/>
      <c r="S1142" s="184"/>
      <c r="T1142" s="184"/>
      <c r="U1142" s="184"/>
      <c r="V1142" s="184"/>
      <c r="W1142" s="184"/>
      <c r="X1142" s="184"/>
    </row>
    <row r="1143">
      <c r="A1143" s="198"/>
      <c r="D1143" s="198" t="str">
        <f>IFERROR(__xludf.DUMMYFUNCTION("""COMPUTED_VALUE"""),"FALSE")</f>
        <v>FALSE</v>
      </c>
      <c r="E1143" s="198" t="str">
        <f>IFERROR(__xludf.DUMMYFUNCTION("""COMPUTED_VALUE"""),"FALSE")</f>
        <v>FALSE</v>
      </c>
      <c r="F1143" s="198"/>
      <c r="J1143" s="184" t="str">
        <f>IFERROR(__xludf.DUMMYFUNCTION("""COMPUTED_VALUE"""),"")</f>
        <v/>
      </c>
      <c r="K1143" s="184"/>
      <c r="L1143" s="184"/>
      <c r="M1143" s="184"/>
      <c r="N1143" s="184"/>
      <c r="O1143" s="184"/>
      <c r="P1143" s="184"/>
      <c r="Q1143" s="184"/>
      <c r="R1143" s="184"/>
      <c r="S1143" s="184"/>
      <c r="T1143" s="184"/>
      <c r="U1143" s="184"/>
      <c r="V1143" s="184"/>
      <c r="W1143" s="184"/>
      <c r="X1143" s="184"/>
    </row>
    <row r="1144">
      <c r="A1144" s="198"/>
      <c r="D1144" s="198" t="str">
        <f>IFERROR(__xludf.DUMMYFUNCTION("""COMPUTED_VALUE"""),"FALSE")</f>
        <v>FALSE</v>
      </c>
      <c r="E1144" s="198" t="str">
        <f>IFERROR(__xludf.DUMMYFUNCTION("""COMPUTED_VALUE"""),"FALSE")</f>
        <v>FALSE</v>
      </c>
      <c r="F1144" s="198"/>
      <c r="J1144" s="184" t="str">
        <f>IFERROR(__xludf.DUMMYFUNCTION("""COMPUTED_VALUE"""),"")</f>
        <v/>
      </c>
      <c r="K1144" s="184"/>
      <c r="L1144" s="184"/>
      <c r="M1144" s="184"/>
      <c r="N1144" s="184"/>
      <c r="O1144" s="184"/>
      <c r="P1144" s="184"/>
      <c r="Q1144" s="184"/>
      <c r="R1144" s="184"/>
      <c r="S1144" s="184"/>
      <c r="T1144" s="184"/>
      <c r="U1144" s="184"/>
      <c r="V1144" s="184"/>
      <c r="W1144" s="184"/>
      <c r="X1144" s="184"/>
    </row>
    <row r="1145">
      <c r="A1145" s="198"/>
      <c r="D1145" s="198" t="str">
        <f>IFERROR(__xludf.DUMMYFUNCTION("""COMPUTED_VALUE"""),"FALSE")</f>
        <v>FALSE</v>
      </c>
      <c r="E1145" s="198" t="str">
        <f>IFERROR(__xludf.DUMMYFUNCTION("""COMPUTED_VALUE"""),"FALSE")</f>
        <v>FALSE</v>
      </c>
      <c r="F1145" s="198"/>
      <c r="J1145" s="184" t="str">
        <f>IFERROR(__xludf.DUMMYFUNCTION("""COMPUTED_VALUE"""),"")</f>
        <v/>
      </c>
      <c r="K1145" s="184"/>
      <c r="L1145" s="184"/>
      <c r="M1145" s="184"/>
      <c r="N1145" s="184"/>
      <c r="O1145" s="184"/>
      <c r="P1145" s="184"/>
      <c r="Q1145" s="184"/>
      <c r="R1145" s="184"/>
      <c r="S1145" s="184"/>
      <c r="T1145" s="184"/>
      <c r="U1145" s="184"/>
      <c r="V1145" s="184"/>
      <c r="W1145" s="184"/>
      <c r="X1145" s="184"/>
    </row>
    <row r="1146">
      <c r="A1146" s="198"/>
      <c r="D1146" s="198" t="str">
        <f>IFERROR(__xludf.DUMMYFUNCTION("""COMPUTED_VALUE"""),"FALSE")</f>
        <v>FALSE</v>
      </c>
      <c r="E1146" s="198" t="str">
        <f>IFERROR(__xludf.DUMMYFUNCTION("""COMPUTED_VALUE"""),"FALSE")</f>
        <v>FALSE</v>
      </c>
      <c r="F1146" s="198"/>
      <c r="J1146" s="184" t="str">
        <f>IFERROR(__xludf.DUMMYFUNCTION("""COMPUTED_VALUE"""),"")</f>
        <v/>
      </c>
      <c r="K1146" s="184"/>
      <c r="L1146" s="184"/>
      <c r="M1146" s="184"/>
      <c r="N1146" s="184"/>
      <c r="O1146" s="184"/>
      <c r="P1146" s="184"/>
      <c r="Q1146" s="184"/>
      <c r="R1146" s="184"/>
      <c r="S1146" s="184"/>
      <c r="T1146" s="184"/>
      <c r="U1146" s="184"/>
      <c r="V1146" s="184"/>
      <c r="W1146" s="184"/>
      <c r="X1146" s="184"/>
    </row>
    <row r="1147">
      <c r="A1147" s="198"/>
      <c r="D1147" s="198" t="str">
        <f>IFERROR(__xludf.DUMMYFUNCTION("""COMPUTED_VALUE"""),"FALSE")</f>
        <v>FALSE</v>
      </c>
      <c r="E1147" s="198" t="str">
        <f>IFERROR(__xludf.DUMMYFUNCTION("""COMPUTED_VALUE"""),"FALSE")</f>
        <v>FALSE</v>
      </c>
      <c r="F1147" s="198"/>
      <c r="J1147" s="184" t="str">
        <f>IFERROR(__xludf.DUMMYFUNCTION("""COMPUTED_VALUE"""),"")</f>
        <v/>
      </c>
      <c r="K1147" s="184"/>
      <c r="L1147" s="184"/>
      <c r="M1147" s="184"/>
      <c r="N1147" s="184"/>
      <c r="O1147" s="184"/>
      <c r="P1147" s="184"/>
      <c r="Q1147" s="184"/>
      <c r="R1147" s="184"/>
      <c r="S1147" s="184"/>
      <c r="T1147" s="184"/>
      <c r="U1147" s="184"/>
      <c r="V1147" s="184"/>
      <c r="W1147" s="184"/>
      <c r="X1147" s="184"/>
    </row>
    <row r="1148">
      <c r="A1148" s="198"/>
      <c r="D1148" s="198" t="str">
        <f>IFERROR(__xludf.DUMMYFUNCTION("""COMPUTED_VALUE"""),"FALSE")</f>
        <v>FALSE</v>
      </c>
      <c r="E1148" s="198" t="str">
        <f>IFERROR(__xludf.DUMMYFUNCTION("""COMPUTED_VALUE"""),"FALSE")</f>
        <v>FALSE</v>
      </c>
      <c r="F1148" s="198"/>
      <c r="J1148" s="184" t="str">
        <f>IFERROR(__xludf.DUMMYFUNCTION("""COMPUTED_VALUE"""),"")</f>
        <v/>
      </c>
      <c r="K1148" s="184"/>
      <c r="L1148" s="184"/>
      <c r="M1148" s="184"/>
      <c r="N1148" s="184"/>
      <c r="O1148" s="184"/>
      <c r="P1148" s="184"/>
      <c r="Q1148" s="184"/>
      <c r="R1148" s="184"/>
      <c r="S1148" s="184"/>
      <c r="T1148" s="184"/>
      <c r="U1148" s="184"/>
      <c r="V1148" s="184"/>
      <c r="W1148" s="184"/>
      <c r="X1148" s="184"/>
    </row>
    <row r="1149">
      <c r="A1149" s="198"/>
      <c r="D1149" s="198" t="str">
        <f>IFERROR(__xludf.DUMMYFUNCTION("""COMPUTED_VALUE"""),"FALSE")</f>
        <v>FALSE</v>
      </c>
      <c r="E1149" s="198" t="str">
        <f>IFERROR(__xludf.DUMMYFUNCTION("""COMPUTED_VALUE"""),"FALSE")</f>
        <v>FALSE</v>
      </c>
      <c r="F1149" s="198"/>
      <c r="J1149" s="184" t="str">
        <f>IFERROR(__xludf.DUMMYFUNCTION("""COMPUTED_VALUE"""),"")</f>
        <v/>
      </c>
      <c r="K1149" s="184"/>
      <c r="L1149" s="184"/>
      <c r="M1149" s="184"/>
      <c r="N1149" s="184"/>
      <c r="O1149" s="184"/>
      <c r="P1149" s="184"/>
      <c r="Q1149" s="184"/>
      <c r="R1149" s="184"/>
      <c r="S1149" s="184"/>
      <c r="T1149" s="184"/>
      <c r="U1149" s="184"/>
      <c r="V1149" s="184"/>
      <c r="W1149" s="184"/>
      <c r="X1149" s="184"/>
    </row>
    <row r="1150">
      <c r="A1150" s="198"/>
      <c r="D1150" s="198" t="str">
        <f>IFERROR(__xludf.DUMMYFUNCTION("""COMPUTED_VALUE"""),"FALSE")</f>
        <v>FALSE</v>
      </c>
      <c r="E1150" s="198" t="str">
        <f>IFERROR(__xludf.DUMMYFUNCTION("""COMPUTED_VALUE"""),"FALSE")</f>
        <v>FALSE</v>
      </c>
      <c r="F1150" s="198"/>
      <c r="J1150" s="184" t="str">
        <f>IFERROR(__xludf.DUMMYFUNCTION("""COMPUTED_VALUE"""),"")</f>
        <v/>
      </c>
      <c r="K1150" s="184"/>
      <c r="L1150" s="184"/>
      <c r="M1150" s="184"/>
      <c r="N1150" s="184"/>
      <c r="O1150" s="184"/>
      <c r="P1150" s="184"/>
      <c r="Q1150" s="184"/>
      <c r="R1150" s="184"/>
      <c r="S1150" s="184"/>
      <c r="T1150" s="184"/>
      <c r="U1150" s="184"/>
      <c r="V1150" s="184"/>
      <c r="W1150" s="184"/>
      <c r="X1150" s="184"/>
    </row>
    <row r="1151">
      <c r="A1151" s="198"/>
      <c r="D1151" s="198" t="str">
        <f>IFERROR(__xludf.DUMMYFUNCTION("""COMPUTED_VALUE"""),"FALSE")</f>
        <v>FALSE</v>
      </c>
      <c r="E1151" s="198" t="str">
        <f>IFERROR(__xludf.DUMMYFUNCTION("""COMPUTED_VALUE"""),"FALSE")</f>
        <v>FALSE</v>
      </c>
      <c r="F1151" s="198"/>
      <c r="J1151" s="184" t="str">
        <f>IFERROR(__xludf.DUMMYFUNCTION("""COMPUTED_VALUE"""),"")</f>
        <v/>
      </c>
      <c r="K1151" s="184"/>
      <c r="L1151" s="184"/>
      <c r="M1151" s="184"/>
      <c r="N1151" s="184"/>
      <c r="O1151" s="184"/>
      <c r="P1151" s="184"/>
      <c r="Q1151" s="184"/>
      <c r="R1151" s="184"/>
      <c r="S1151" s="184"/>
      <c r="T1151" s="184"/>
      <c r="U1151" s="184"/>
      <c r="V1151" s="184"/>
      <c r="W1151" s="184"/>
      <c r="X1151" s="184"/>
    </row>
    <row r="1152">
      <c r="A1152" s="198"/>
      <c r="D1152" s="198" t="str">
        <f>IFERROR(__xludf.DUMMYFUNCTION("""COMPUTED_VALUE"""),"FALSE")</f>
        <v>FALSE</v>
      </c>
      <c r="E1152" s="198" t="str">
        <f>IFERROR(__xludf.DUMMYFUNCTION("""COMPUTED_VALUE"""),"FALSE")</f>
        <v>FALSE</v>
      </c>
      <c r="F1152" s="198"/>
      <c r="J1152" s="184" t="str">
        <f>IFERROR(__xludf.DUMMYFUNCTION("""COMPUTED_VALUE"""),"")</f>
        <v/>
      </c>
      <c r="K1152" s="184"/>
      <c r="L1152" s="184"/>
      <c r="M1152" s="184"/>
      <c r="N1152" s="184"/>
      <c r="O1152" s="184"/>
      <c r="P1152" s="184"/>
      <c r="Q1152" s="184"/>
      <c r="R1152" s="184"/>
      <c r="S1152" s="184"/>
      <c r="T1152" s="184"/>
      <c r="U1152" s="184"/>
      <c r="V1152" s="184"/>
      <c r="W1152" s="184"/>
      <c r="X1152" s="184"/>
    </row>
    <row r="1153">
      <c r="A1153" s="198"/>
      <c r="D1153" s="198" t="str">
        <f>IFERROR(__xludf.DUMMYFUNCTION("""COMPUTED_VALUE"""),"FALSE")</f>
        <v>FALSE</v>
      </c>
      <c r="E1153" s="198" t="str">
        <f>IFERROR(__xludf.DUMMYFUNCTION("""COMPUTED_VALUE"""),"FALSE")</f>
        <v>FALSE</v>
      </c>
      <c r="F1153" s="198"/>
      <c r="J1153" s="184" t="str">
        <f>IFERROR(__xludf.DUMMYFUNCTION("""COMPUTED_VALUE"""),"")</f>
        <v/>
      </c>
      <c r="K1153" s="184"/>
      <c r="L1153" s="184"/>
      <c r="M1153" s="184"/>
      <c r="N1153" s="184"/>
      <c r="O1153" s="184"/>
      <c r="P1153" s="184"/>
      <c r="Q1153" s="184"/>
      <c r="R1153" s="184"/>
      <c r="S1153" s="184"/>
      <c r="T1153" s="184"/>
      <c r="U1153" s="184"/>
      <c r="V1153" s="184"/>
      <c r="W1153" s="184"/>
      <c r="X1153" s="184"/>
    </row>
    <row r="1154">
      <c r="A1154" s="198"/>
      <c r="D1154" s="198" t="str">
        <f>IFERROR(__xludf.DUMMYFUNCTION("""COMPUTED_VALUE"""),"FALSE")</f>
        <v>FALSE</v>
      </c>
      <c r="E1154" s="198" t="str">
        <f>IFERROR(__xludf.DUMMYFUNCTION("""COMPUTED_VALUE"""),"FALSE")</f>
        <v>FALSE</v>
      </c>
      <c r="F1154" s="198"/>
      <c r="J1154" s="184" t="str">
        <f>IFERROR(__xludf.DUMMYFUNCTION("""COMPUTED_VALUE"""),"")</f>
        <v/>
      </c>
      <c r="K1154" s="184"/>
      <c r="L1154" s="184"/>
      <c r="M1154" s="184"/>
      <c r="N1154" s="184"/>
      <c r="O1154" s="184"/>
      <c r="P1154" s="184"/>
      <c r="Q1154" s="184"/>
      <c r="R1154" s="184"/>
      <c r="S1154" s="184"/>
      <c r="T1154" s="184"/>
      <c r="U1154" s="184"/>
      <c r="V1154" s="184"/>
      <c r="W1154" s="184"/>
      <c r="X1154" s="184"/>
    </row>
    <row r="1155">
      <c r="A1155" s="198"/>
      <c r="D1155" s="198" t="str">
        <f>IFERROR(__xludf.DUMMYFUNCTION("""COMPUTED_VALUE"""),"FALSE")</f>
        <v>FALSE</v>
      </c>
      <c r="E1155" s="198" t="str">
        <f>IFERROR(__xludf.DUMMYFUNCTION("""COMPUTED_VALUE"""),"FALSE")</f>
        <v>FALSE</v>
      </c>
      <c r="F1155" s="198"/>
      <c r="J1155" s="184" t="str">
        <f>IFERROR(__xludf.DUMMYFUNCTION("""COMPUTED_VALUE"""),"")</f>
        <v/>
      </c>
      <c r="K1155" s="184"/>
      <c r="L1155" s="184"/>
      <c r="M1155" s="184"/>
      <c r="N1155" s="184"/>
      <c r="O1155" s="184"/>
      <c r="P1155" s="184"/>
      <c r="Q1155" s="184"/>
      <c r="R1155" s="184"/>
      <c r="S1155" s="184"/>
      <c r="T1155" s="184"/>
      <c r="U1155" s="184"/>
      <c r="V1155" s="184"/>
      <c r="W1155" s="184"/>
      <c r="X1155" s="184"/>
    </row>
    <row r="1156">
      <c r="A1156" s="198"/>
      <c r="D1156" s="198" t="str">
        <f>IFERROR(__xludf.DUMMYFUNCTION("""COMPUTED_VALUE"""),"FALSE")</f>
        <v>FALSE</v>
      </c>
      <c r="E1156" s="198" t="str">
        <f>IFERROR(__xludf.DUMMYFUNCTION("""COMPUTED_VALUE"""),"FALSE")</f>
        <v>FALSE</v>
      </c>
      <c r="F1156" s="198"/>
      <c r="J1156" s="184" t="str">
        <f>IFERROR(__xludf.DUMMYFUNCTION("""COMPUTED_VALUE"""),"")</f>
        <v/>
      </c>
      <c r="K1156" s="184"/>
      <c r="L1156" s="184"/>
      <c r="M1156" s="184"/>
      <c r="N1156" s="184"/>
      <c r="O1156" s="184"/>
      <c r="P1156" s="184"/>
      <c r="Q1156" s="184"/>
      <c r="R1156" s="184"/>
      <c r="S1156" s="184"/>
      <c r="T1156" s="184"/>
      <c r="U1156" s="184"/>
      <c r="V1156" s="184"/>
      <c r="W1156" s="184"/>
      <c r="X1156" s="184"/>
    </row>
    <row r="1157">
      <c r="A1157" s="198"/>
      <c r="D1157" s="198" t="str">
        <f>IFERROR(__xludf.DUMMYFUNCTION("""COMPUTED_VALUE"""),"FALSE")</f>
        <v>FALSE</v>
      </c>
      <c r="E1157" s="198" t="str">
        <f>IFERROR(__xludf.DUMMYFUNCTION("""COMPUTED_VALUE"""),"FALSE")</f>
        <v>FALSE</v>
      </c>
      <c r="F1157" s="198"/>
      <c r="J1157" s="184" t="str">
        <f>IFERROR(__xludf.DUMMYFUNCTION("""COMPUTED_VALUE"""),"")</f>
        <v/>
      </c>
      <c r="K1157" s="184"/>
      <c r="L1157" s="184"/>
      <c r="M1157" s="184"/>
      <c r="N1157" s="184"/>
      <c r="O1157" s="184"/>
      <c r="P1157" s="184"/>
      <c r="Q1157" s="184"/>
      <c r="R1157" s="184"/>
      <c r="S1157" s="184"/>
      <c r="T1157" s="184"/>
      <c r="U1157" s="184"/>
      <c r="V1157" s="184"/>
      <c r="W1157" s="184"/>
      <c r="X1157" s="184"/>
    </row>
    <row r="1158">
      <c r="A1158" s="198"/>
      <c r="D1158" s="198" t="str">
        <f>IFERROR(__xludf.DUMMYFUNCTION("""COMPUTED_VALUE"""),"FALSE")</f>
        <v>FALSE</v>
      </c>
      <c r="E1158" s="198" t="str">
        <f>IFERROR(__xludf.DUMMYFUNCTION("""COMPUTED_VALUE"""),"FALSE")</f>
        <v>FALSE</v>
      </c>
      <c r="F1158" s="198"/>
      <c r="J1158" s="184" t="str">
        <f>IFERROR(__xludf.DUMMYFUNCTION("""COMPUTED_VALUE"""),"")</f>
        <v/>
      </c>
      <c r="K1158" s="184"/>
      <c r="L1158" s="184"/>
      <c r="M1158" s="184"/>
      <c r="N1158" s="184"/>
      <c r="O1158" s="184"/>
      <c r="P1158" s="184"/>
      <c r="Q1158" s="184"/>
      <c r="R1158" s="184"/>
      <c r="S1158" s="184"/>
      <c r="T1158" s="184"/>
      <c r="U1158" s="184"/>
      <c r="V1158" s="184"/>
      <c r="W1158" s="184"/>
      <c r="X1158" s="184"/>
    </row>
    <row r="1159">
      <c r="A1159" s="198"/>
      <c r="D1159" s="198" t="str">
        <f>IFERROR(__xludf.DUMMYFUNCTION("""COMPUTED_VALUE"""),"FALSE")</f>
        <v>FALSE</v>
      </c>
      <c r="E1159" s="198" t="str">
        <f>IFERROR(__xludf.DUMMYFUNCTION("""COMPUTED_VALUE"""),"FALSE")</f>
        <v>FALSE</v>
      </c>
      <c r="F1159" s="198"/>
      <c r="J1159" s="184" t="str">
        <f>IFERROR(__xludf.DUMMYFUNCTION("""COMPUTED_VALUE"""),"")</f>
        <v/>
      </c>
      <c r="K1159" s="184"/>
      <c r="L1159" s="184"/>
      <c r="M1159" s="184"/>
      <c r="N1159" s="184"/>
      <c r="O1159" s="184"/>
      <c r="P1159" s="184"/>
      <c r="Q1159" s="184"/>
      <c r="R1159" s="184"/>
      <c r="S1159" s="184"/>
      <c r="T1159" s="184"/>
      <c r="U1159" s="184"/>
      <c r="V1159" s="184"/>
      <c r="W1159" s="184"/>
      <c r="X1159" s="184"/>
    </row>
    <row r="1160">
      <c r="A1160" s="198"/>
      <c r="D1160" s="198" t="str">
        <f>IFERROR(__xludf.DUMMYFUNCTION("""COMPUTED_VALUE"""),"FALSE")</f>
        <v>FALSE</v>
      </c>
      <c r="E1160" s="198" t="str">
        <f>IFERROR(__xludf.DUMMYFUNCTION("""COMPUTED_VALUE"""),"FALSE")</f>
        <v>FALSE</v>
      </c>
      <c r="F1160" s="198"/>
      <c r="J1160" s="184" t="str">
        <f>IFERROR(__xludf.DUMMYFUNCTION("""COMPUTED_VALUE"""),"")</f>
        <v/>
      </c>
      <c r="K1160" s="184"/>
      <c r="L1160" s="184"/>
      <c r="M1160" s="184"/>
      <c r="N1160" s="184"/>
      <c r="O1160" s="184"/>
      <c r="P1160" s="184"/>
      <c r="Q1160" s="184"/>
      <c r="R1160" s="184"/>
      <c r="S1160" s="184"/>
      <c r="T1160" s="184"/>
      <c r="U1160" s="184"/>
      <c r="V1160" s="184"/>
      <c r="W1160" s="184"/>
      <c r="X1160" s="184"/>
    </row>
    <row r="1161">
      <c r="A1161" s="198"/>
      <c r="D1161" s="198" t="str">
        <f>IFERROR(__xludf.DUMMYFUNCTION("""COMPUTED_VALUE"""),"FALSE")</f>
        <v>FALSE</v>
      </c>
      <c r="E1161" s="198" t="str">
        <f>IFERROR(__xludf.DUMMYFUNCTION("""COMPUTED_VALUE"""),"FALSE")</f>
        <v>FALSE</v>
      </c>
      <c r="F1161" s="198"/>
      <c r="J1161" s="184" t="str">
        <f>IFERROR(__xludf.DUMMYFUNCTION("""COMPUTED_VALUE"""),"")</f>
        <v/>
      </c>
      <c r="K1161" s="184"/>
      <c r="L1161" s="184"/>
      <c r="M1161" s="184"/>
      <c r="N1161" s="184"/>
      <c r="O1161" s="184"/>
      <c r="P1161" s="184"/>
      <c r="Q1161" s="184"/>
      <c r="R1161" s="184"/>
      <c r="S1161" s="184"/>
      <c r="T1161" s="184"/>
      <c r="U1161" s="184"/>
      <c r="V1161" s="184"/>
      <c r="W1161" s="184"/>
      <c r="X1161" s="184"/>
    </row>
    <row r="1162">
      <c r="A1162" s="198"/>
      <c r="D1162" s="198" t="str">
        <f>IFERROR(__xludf.DUMMYFUNCTION("""COMPUTED_VALUE"""),"FALSE")</f>
        <v>FALSE</v>
      </c>
      <c r="E1162" s="198" t="str">
        <f>IFERROR(__xludf.DUMMYFUNCTION("""COMPUTED_VALUE"""),"FALSE")</f>
        <v>FALSE</v>
      </c>
      <c r="F1162" s="198"/>
      <c r="J1162" s="184" t="str">
        <f>IFERROR(__xludf.DUMMYFUNCTION("""COMPUTED_VALUE"""),"")</f>
        <v/>
      </c>
      <c r="K1162" s="184"/>
      <c r="L1162" s="184"/>
      <c r="M1162" s="184"/>
      <c r="N1162" s="184"/>
      <c r="O1162" s="184"/>
      <c r="P1162" s="184"/>
      <c r="Q1162" s="184"/>
      <c r="R1162" s="184"/>
      <c r="S1162" s="184"/>
      <c r="T1162" s="184"/>
      <c r="U1162" s="184"/>
      <c r="V1162" s="184"/>
      <c r="W1162" s="184"/>
      <c r="X1162" s="184"/>
    </row>
    <row r="1163">
      <c r="A1163" s="198"/>
      <c r="D1163" s="198" t="str">
        <f>IFERROR(__xludf.DUMMYFUNCTION("""COMPUTED_VALUE"""),"FALSE")</f>
        <v>FALSE</v>
      </c>
      <c r="E1163" s="198" t="str">
        <f>IFERROR(__xludf.DUMMYFUNCTION("""COMPUTED_VALUE"""),"FALSE")</f>
        <v>FALSE</v>
      </c>
      <c r="F1163" s="198"/>
      <c r="J1163" s="184" t="str">
        <f>IFERROR(__xludf.DUMMYFUNCTION("""COMPUTED_VALUE"""),"")</f>
        <v/>
      </c>
      <c r="K1163" s="184"/>
      <c r="L1163" s="184"/>
      <c r="M1163" s="184"/>
      <c r="N1163" s="184"/>
      <c r="O1163" s="184"/>
      <c r="P1163" s="184"/>
      <c r="Q1163" s="184"/>
      <c r="R1163" s="184"/>
      <c r="S1163" s="184"/>
      <c r="T1163" s="184"/>
      <c r="U1163" s="184"/>
      <c r="V1163" s="184"/>
      <c r="W1163" s="184"/>
      <c r="X1163" s="184"/>
    </row>
    <row r="1164">
      <c r="A1164" s="198"/>
      <c r="D1164" s="198" t="str">
        <f>IFERROR(__xludf.DUMMYFUNCTION("""COMPUTED_VALUE"""),"FALSE")</f>
        <v>FALSE</v>
      </c>
      <c r="E1164" s="198" t="str">
        <f>IFERROR(__xludf.DUMMYFUNCTION("""COMPUTED_VALUE"""),"FALSE")</f>
        <v>FALSE</v>
      </c>
      <c r="F1164" s="198"/>
      <c r="J1164" s="184" t="str">
        <f>IFERROR(__xludf.DUMMYFUNCTION("""COMPUTED_VALUE"""),"")</f>
        <v/>
      </c>
      <c r="K1164" s="184"/>
      <c r="L1164" s="184"/>
      <c r="M1164" s="184"/>
      <c r="N1164" s="184"/>
      <c r="O1164" s="184"/>
      <c r="P1164" s="184"/>
      <c r="Q1164" s="184"/>
      <c r="R1164" s="184"/>
      <c r="S1164" s="184"/>
      <c r="T1164" s="184"/>
      <c r="U1164" s="184"/>
      <c r="V1164" s="184"/>
      <c r="W1164" s="184"/>
      <c r="X1164" s="184"/>
    </row>
    <row r="1165">
      <c r="A1165" s="198"/>
      <c r="D1165" s="198" t="str">
        <f>IFERROR(__xludf.DUMMYFUNCTION("""COMPUTED_VALUE"""),"FALSE")</f>
        <v>FALSE</v>
      </c>
      <c r="E1165" s="198" t="str">
        <f>IFERROR(__xludf.DUMMYFUNCTION("""COMPUTED_VALUE"""),"FALSE")</f>
        <v>FALSE</v>
      </c>
      <c r="F1165" s="198"/>
      <c r="J1165" s="184" t="str">
        <f>IFERROR(__xludf.DUMMYFUNCTION("""COMPUTED_VALUE"""),"")</f>
        <v/>
      </c>
      <c r="K1165" s="184"/>
      <c r="L1165" s="184"/>
      <c r="M1165" s="184"/>
      <c r="N1165" s="184"/>
      <c r="O1165" s="184"/>
      <c r="P1165" s="184"/>
      <c r="Q1165" s="184"/>
      <c r="R1165" s="184"/>
      <c r="S1165" s="184"/>
      <c r="T1165" s="184"/>
      <c r="U1165" s="184"/>
      <c r="V1165" s="184"/>
      <c r="W1165" s="184"/>
      <c r="X1165" s="184"/>
    </row>
    <row r="1166">
      <c r="A1166" s="198"/>
      <c r="D1166" s="198" t="str">
        <f>IFERROR(__xludf.DUMMYFUNCTION("""COMPUTED_VALUE"""),"FALSE")</f>
        <v>FALSE</v>
      </c>
      <c r="E1166" s="198" t="str">
        <f>IFERROR(__xludf.DUMMYFUNCTION("""COMPUTED_VALUE"""),"FALSE")</f>
        <v>FALSE</v>
      </c>
      <c r="F1166" s="198"/>
      <c r="J1166" s="184" t="str">
        <f>IFERROR(__xludf.DUMMYFUNCTION("""COMPUTED_VALUE"""),"")</f>
        <v/>
      </c>
      <c r="K1166" s="184"/>
      <c r="L1166" s="184"/>
      <c r="M1166" s="184"/>
      <c r="N1166" s="184"/>
      <c r="O1166" s="184"/>
      <c r="P1166" s="184"/>
      <c r="Q1166" s="184"/>
      <c r="R1166" s="184"/>
      <c r="S1166" s="184"/>
      <c r="T1166" s="184"/>
      <c r="U1166" s="184"/>
      <c r="V1166" s="184"/>
      <c r="W1166" s="184"/>
      <c r="X1166" s="184"/>
    </row>
    <row r="1167">
      <c r="A1167" s="198"/>
      <c r="D1167" s="198" t="str">
        <f>IFERROR(__xludf.DUMMYFUNCTION("""COMPUTED_VALUE"""),"FALSE")</f>
        <v>FALSE</v>
      </c>
      <c r="E1167" s="198" t="str">
        <f>IFERROR(__xludf.DUMMYFUNCTION("""COMPUTED_VALUE"""),"FALSE")</f>
        <v>FALSE</v>
      </c>
      <c r="F1167" s="198"/>
      <c r="J1167" s="184" t="str">
        <f>IFERROR(__xludf.DUMMYFUNCTION("""COMPUTED_VALUE"""),"")</f>
        <v/>
      </c>
      <c r="K1167" s="184"/>
      <c r="L1167" s="184"/>
      <c r="M1167" s="184"/>
      <c r="N1167" s="184"/>
      <c r="O1167" s="184"/>
      <c r="P1167" s="184"/>
      <c r="Q1167" s="184"/>
      <c r="R1167" s="184"/>
      <c r="S1167" s="184"/>
      <c r="T1167" s="184"/>
      <c r="U1167" s="184"/>
      <c r="V1167" s="184"/>
      <c r="W1167" s="184"/>
      <c r="X1167" s="184"/>
    </row>
    <row r="1168">
      <c r="A1168" s="198"/>
      <c r="D1168" s="198" t="str">
        <f>IFERROR(__xludf.DUMMYFUNCTION("""COMPUTED_VALUE"""),"FALSE")</f>
        <v>FALSE</v>
      </c>
      <c r="E1168" s="198" t="str">
        <f>IFERROR(__xludf.DUMMYFUNCTION("""COMPUTED_VALUE"""),"FALSE")</f>
        <v>FALSE</v>
      </c>
      <c r="F1168" s="198"/>
      <c r="J1168" s="184" t="str">
        <f>IFERROR(__xludf.DUMMYFUNCTION("""COMPUTED_VALUE"""),"")</f>
        <v/>
      </c>
      <c r="K1168" s="184"/>
      <c r="L1168" s="184"/>
      <c r="M1168" s="184"/>
      <c r="N1168" s="184"/>
      <c r="O1168" s="184"/>
      <c r="P1168" s="184"/>
      <c r="Q1168" s="184"/>
      <c r="R1168" s="184"/>
      <c r="S1168" s="184"/>
      <c r="T1168" s="184"/>
      <c r="U1168" s="184"/>
      <c r="V1168" s="184"/>
      <c r="W1168" s="184"/>
      <c r="X1168" s="184"/>
    </row>
    <row r="1169">
      <c r="A1169" s="198"/>
      <c r="D1169" s="198" t="str">
        <f>IFERROR(__xludf.DUMMYFUNCTION("""COMPUTED_VALUE"""),"FALSE")</f>
        <v>FALSE</v>
      </c>
      <c r="E1169" s="198" t="str">
        <f>IFERROR(__xludf.DUMMYFUNCTION("""COMPUTED_VALUE"""),"FALSE")</f>
        <v>FALSE</v>
      </c>
      <c r="F1169" s="198"/>
      <c r="J1169" s="184" t="str">
        <f>IFERROR(__xludf.DUMMYFUNCTION("""COMPUTED_VALUE"""),"")</f>
        <v/>
      </c>
      <c r="K1169" s="184"/>
      <c r="L1169" s="184"/>
      <c r="M1169" s="184"/>
      <c r="N1169" s="184"/>
      <c r="O1169" s="184"/>
      <c r="P1169" s="184"/>
      <c r="Q1169" s="184"/>
      <c r="R1169" s="184"/>
      <c r="S1169" s="184"/>
      <c r="T1169" s="184"/>
      <c r="U1169" s="184"/>
      <c r="V1169" s="184"/>
      <c r="W1169" s="184"/>
      <c r="X1169" s="184"/>
    </row>
    <row r="1170">
      <c r="A1170" s="198"/>
      <c r="D1170" s="198" t="str">
        <f>IFERROR(__xludf.DUMMYFUNCTION("""COMPUTED_VALUE"""),"FALSE")</f>
        <v>FALSE</v>
      </c>
      <c r="E1170" s="198" t="str">
        <f>IFERROR(__xludf.DUMMYFUNCTION("""COMPUTED_VALUE"""),"FALSE")</f>
        <v>FALSE</v>
      </c>
      <c r="F1170" s="198"/>
      <c r="J1170" s="184" t="str">
        <f>IFERROR(__xludf.DUMMYFUNCTION("""COMPUTED_VALUE"""),"")</f>
        <v/>
      </c>
      <c r="K1170" s="184"/>
      <c r="L1170" s="184"/>
      <c r="M1170" s="184"/>
      <c r="N1170" s="184"/>
      <c r="O1170" s="184"/>
      <c r="P1170" s="184"/>
      <c r="Q1170" s="184"/>
      <c r="R1170" s="184"/>
      <c r="S1170" s="184"/>
      <c r="T1170" s="184"/>
      <c r="U1170" s="184"/>
      <c r="V1170" s="184"/>
      <c r="W1170" s="184"/>
      <c r="X1170" s="184"/>
    </row>
    <row r="1171">
      <c r="A1171" s="198"/>
      <c r="D1171" s="198" t="str">
        <f>IFERROR(__xludf.DUMMYFUNCTION("""COMPUTED_VALUE"""),"FALSE")</f>
        <v>FALSE</v>
      </c>
      <c r="E1171" s="198" t="str">
        <f>IFERROR(__xludf.DUMMYFUNCTION("""COMPUTED_VALUE"""),"FALSE")</f>
        <v>FALSE</v>
      </c>
      <c r="F1171" s="198"/>
      <c r="J1171" s="184" t="str">
        <f>IFERROR(__xludf.DUMMYFUNCTION("""COMPUTED_VALUE"""),"")</f>
        <v/>
      </c>
      <c r="K1171" s="184"/>
      <c r="L1171" s="184"/>
      <c r="M1171" s="184"/>
      <c r="N1171" s="184"/>
      <c r="O1171" s="184"/>
      <c r="P1171" s="184"/>
      <c r="Q1171" s="184"/>
      <c r="R1171" s="184"/>
      <c r="S1171" s="184"/>
      <c r="T1171" s="184"/>
      <c r="U1171" s="184"/>
      <c r="V1171" s="184"/>
      <c r="W1171" s="184"/>
      <c r="X1171" s="184"/>
    </row>
    <row r="1172">
      <c r="A1172" s="198"/>
      <c r="D1172" s="198" t="str">
        <f>IFERROR(__xludf.DUMMYFUNCTION("""COMPUTED_VALUE"""),"FALSE")</f>
        <v>FALSE</v>
      </c>
      <c r="E1172" s="198" t="str">
        <f>IFERROR(__xludf.DUMMYFUNCTION("""COMPUTED_VALUE"""),"FALSE")</f>
        <v>FALSE</v>
      </c>
      <c r="F1172" s="198"/>
      <c r="J1172" s="184" t="str">
        <f>IFERROR(__xludf.DUMMYFUNCTION("""COMPUTED_VALUE"""),"")</f>
        <v/>
      </c>
      <c r="K1172" s="184"/>
      <c r="L1172" s="184"/>
      <c r="M1172" s="184"/>
      <c r="N1172" s="184"/>
      <c r="O1172" s="184"/>
      <c r="P1172" s="184"/>
      <c r="Q1172" s="184"/>
      <c r="R1172" s="184"/>
      <c r="S1172" s="184"/>
      <c r="T1172" s="184"/>
      <c r="U1172" s="184"/>
      <c r="V1172" s="184"/>
      <c r="W1172" s="184"/>
      <c r="X1172" s="184"/>
    </row>
    <row r="1173">
      <c r="A1173" s="198"/>
      <c r="D1173" s="198" t="str">
        <f>IFERROR(__xludf.DUMMYFUNCTION("""COMPUTED_VALUE"""),"FALSE")</f>
        <v>FALSE</v>
      </c>
      <c r="E1173" s="198" t="str">
        <f>IFERROR(__xludf.DUMMYFUNCTION("""COMPUTED_VALUE"""),"FALSE")</f>
        <v>FALSE</v>
      </c>
      <c r="F1173" s="198"/>
      <c r="J1173" s="184" t="str">
        <f>IFERROR(__xludf.DUMMYFUNCTION("""COMPUTED_VALUE"""),"")</f>
        <v/>
      </c>
      <c r="K1173" s="184"/>
      <c r="L1173" s="184"/>
      <c r="M1173" s="184"/>
      <c r="N1173" s="184"/>
      <c r="O1173" s="184"/>
      <c r="P1173" s="184"/>
      <c r="Q1173" s="184"/>
      <c r="R1173" s="184"/>
      <c r="S1173" s="184"/>
      <c r="T1173" s="184"/>
      <c r="U1173" s="184"/>
      <c r="V1173" s="184"/>
      <c r="W1173" s="184"/>
      <c r="X1173" s="184"/>
    </row>
    <row r="1174">
      <c r="A1174" s="198"/>
      <c r="D1174" s="198" t="str">
        <f>IFERROR(__xludf.DUMMYFUNCTION("""COMPUTED_VALUE"""),"FALSE")</f>
        <v>FALSE</v>
      </c>
      <c r="E1174" s="198" t="str">
        <f>IFERROR(__xludf.DUMMYFUNCTION("""COMPUTED_VALUE"""),"FALSE")</f>
        <v>FALSE</v>
      </c>
      <c r="F1174" s="198"/>
      <c r="J1174" s="184" t="str">
        <f>IFERROR(__xludf.DUMMYFUNCTION("""COMPUTED_VALUE"""),"")</f>
        <v/>
      </c>
      <c r="K1174" s="184"/>
      <c r="L1174" s="184"/>
      <c r="M1174" s="184"/>
      <c r="N1174" s="184"/>
      <c r="O1174" s="184"/>
      <c r="P1174" s="184"/>
      <c r="Q1174" s="184"/>
      <c r="R1174" s="184"/>
      <c r="S1174" s="184"/>
      <c r="T1174" s="184"/>
      <c r="U1174" s="184"/>
      <c r="V1174" s="184"/>
      <c r="W1174" s="184"/>
      <c r="X1174" s="184"/>
    </row>
    <row r="1175">
      <c r="A1175" s="198"/>
      <c r="D1175" s="198" t="str">
        <f>IFERROR(__xludf.DUMMYFUNCTION("""COMPUTED_VALUE"""),"FALSE")</f>
        <v>FALSE</v>
      </c>
      <c r="E1175" s="198" t="str">
        <f>IFERROR(__xludf.DUMMYFUNCTION("""COMPUTED_VALUE"""),"FALSE")</f>
        <v>FALSE</v>
      </c>
      <c r="F1175" s="198"/>
      <c r="J1175" s="184" t="str">
        <f>IFERROR(__xludf.DUMMYFUNCTION("""COMPUTED_VALUE"""),"")</f>
        <v/>
      </c>
      <c r="K1175" s="184"/>
      <c r="L1175" s="184"/>
      <c r="M1175" s="184"/>
      <c r="N1175" s="184"/>
      <c r="O1175" s="184"/>
      <c r="P1175" s="184"/>
      <c r="Q1175" s="184"/>
      <c r="R1175" s="184"/>
      <c r="S1175" s="184"/>
      <c r="T1175" s="184"/>
      <c r="U1175" s="184"/>
      <c r="V1175" s="184"/>
      <c r="W1175" s="184"/>
      <c r="X1175" s="184"/>
    </row>
    <row r="1176">
      <c r="A1176" s="198"/>
      <c r="D1176" s="198" t="str">
        <f>IFERROR(__xludf.DUMMYFUNCTION("""COMPUTED_VALUE"""),"FALSE")</f>
        <v>FALSE</v>
      </c>
      <c r="E1176" s="198" t="str">
        <f>IFERROR(__xludf.DUMMYFUNCTION("""COMPUTED_VALUE"""),"FALSE")</f>
        <v>FALSE</v>
      </c>
      <c r="F1176" s="198"/>
      <c r="J1176" s="184" t="str">
        <f>IFERROR(__xludf.DUMMYFUNCTION("""COMPUTED_VALUE"""),"")</f>
        <v/>
      </c>
      <c r="K1176" s="184"/>
      <c r="L1176" s="184"/>
      <c r="M1176" s="184"/>
      <c r="N1176" s="184"/>
      <c r="O1176" s="184"/>
      <c r="P1176" s="184"/>
      <c r="Q1176" s="184"/>
      <c r="R1176" s="184"/>
      <c r="S1176" s="184"/>
      <c r="T1176" s="184"/>
      <c r="U1176" s="184"/>
      <c r="V1176" s="184"/>
      <c r="W1176" s="184"/>
      <c r="X1176" s="184"/>
    </row>
    <row r="1177">
      <c r="A1177" s="198"/>
      <c r="D1177" s="198" t="str">
        <f>IFERROR(__xludf.DUMMYFUNCTION("""COMPUTED_VALUE"""),"FALSE")</f>
        <v>FALSE</v>
      </c>
      <c r="E1177" s="198" t="str">
        <f>IFERROR(__xludf.DUMMYFUNCTION("""COMPUTED_VALUE"""),"FALSE")</f>
        <v>FALSE</v>
      </c>
      <c r="F1177" s="198"/>
      <c r="J1177" s="184" t="str">
        <f>IFERROR(__xludf.DUMMYFUNCTION("""COMPUTED_VALUE"""),"")</f>
        <v/>
      </c>
      <c r="K1177" s="184"/>
      <c r="L1177" s="184"/>
      <c r="M1177" s="184"/>
      <c r="N1177" s="184"/>
      <c r="O1177" s="184"/>
      <c r="P1177" s="184"/>
      <c r="Q1177" s="184"/>
      <c r="R1177" s="184"/>
      <c r="S1177" s="184"/>
      <c r="T1177" s="184"/>
      <c r="U1177" s="184"/>
      <c r="V1177" s="184"/>
      <c r="W1177" s="184"/>
      <c r="X1177" s="184"/>
    </row>
    <row r="1178">
      <c r="A1178" s="198"/>
      <c r="D1178" s="198" t="str">
        <f>IFERROR(__xludf.DUMMYFUNCTION("""COMPUTED_VALUE"""),"FALSE")</f>
        <v>FALSE</v>
      </c>
      <c r="E1178" s="198" t="str">
        <f>IFERROR(__xludf.DUMMYFUNCTION("""COMPUTED_VALUE"""),"FALSE")</f>
        <v>FALSE</v>
      </c>
      <c r="F1178" s="198"/>
      <c r="J1178" s="184" t="str">
        <f>IFERROR(__xludf.DUMMYFUNCTION("""COMPUTED_VALUE"""),"")</f>
        <v/>
      </c>
      <c r="K1178" s="184"/>
      <c r="L1178" s="184"/>
      <c r="M1178" s="184"/>
      <c r="N1178" s="184"/>
      <c r="O1178" s="184"/>
      <c r="P1178" s="184"/>
      <c r="Q1178" s="184"/>
      <c r="R1178" s="184"/>
      <c r="S1178" s="184"/>
      <c r="T1178" s="184"/>
      <c r="U1178" s="184"/>
      <c r="V1178" s="184"/>
      <c r="W1178" s="184"/>
      <c r="X1178" s="184"/>
    </row>
    <row r="1179">
      <c r="A1179" s="198"/>
      <c r="D1179" s="198" t="str">
        <f>IFERROR(__xludf.DUMMYFUNCTION("""COMPUTED_VALUE"""),"FALSE")</f>
        <v>FALSE</v>
      </c>
      <c r="E1179" s="198" t="str">
        <f>IFERROR(__xludf.DUMMYFUNCTION("""COMPUTED_VALUE"""),"FALSE")</f>
        <v>FALSE</v>
      </c>
      <c r="F1179" s="198"/>
      <c r="J1179" s="184" t="str">
        <f>IFERROR(__xludf.DUMMYFUNCTION("""COMPUTED_VALUE"""),"")</f>
        <v/>
      </c>
      <c r="K1179" s="184"/>
      <c r="L1179" s="184"/>
      <c r="M1179" s="184"/>
      <c r="N1179" s="184"/>
      <c r="O1179" s="184"/>
      <c r="P1179" s="184"/>
      <c r="Q1179" s="184"/>
      <c r="R1179" s="184"/>
      <c r="S1179" s="184"/>
      <c r="T1179" s="184"/>
      <c r="U1179" s="184"/>
      <c r="V1179" s="184"/>
      <c r="W1179" s="184"/>
      <c r="X1179" s="184"/>
    </row>
    <row r="1180">
      <c r="A1180" s="198"/>
      <c r="D1180" s="198" t="str">
        <f>IFERROR(__xludf.DUMMYFUNCTION("""COMPUTED_VALUE"""),"FALSE")</f>
        <v>FALSE</v>
      </c>
      <c r="E1180" s="198" t="str">
        <f>IFERROR(__xludf.DUMMYFUNCTION("""COMPUTED_VALUE"""),"FALSE")</f>
        <v>FALSE</v>
      </c>
      <c r="F1180" s="198"/>
      <c r="J1180" s="184" t="str">
        <f>IFERROR(__xludf.DUMMYFUNCTION("""COMPUTED_VALUE"""),"")</f>
        <v/>
      </c>
      <c r="K1180" s="184"/>
      <c r="L1180" s="184"/>
      <c r="M1180" s="184"/>
      <c r="N1180" s="184"/>
      <c r="O1180" s="184"/>
      <c r="P1180" s="184"/>
      <c r="Q1180" s="184"/>
      <c r="R1180" s="184"/>
      <c r="S1180" s="184"/>
      <c r="T1180" s="184"/>
      <c r="U1180" s="184"/>
      <c r="V1180" s="184"/>
      <c r="W1180" s="184"/>
      <c r="X1180" s="184"/>
    </row>
    <row r="1181">
      <c r="A1181" s="198"/>
      <c r="D1181" s="198" t="str">
        <f>IFERROR(__xludf.DUMMYFUNCTION("""COMPUTED_VALUE"""),"FALSE")</f>
        <v>FALSE</v>
      </c>
      <c r="E1181" s="198" t="str">
        <f>IFERROR(__xludf.DUMMYFUNCTION("""COMPUTED_VALUE"""),"FALSE")</f>
        <v>FALSE</v>
      </c>
      <c r="F1181" s="198"/>
      <c r="J1181" s="184" t="str">
        <f>IFERROR(__xludf.DUMMYFUNCTION("""COMPUTED_VALUE"""),"")</f>
        <v/>
      </c>
      <c r="K1181" s="184"/>
      <c r="L1181" s="184"/>
      <c r="M1181" s="184"/>
      <c r="N1181" s="184"/>
      <c r="O1181" s="184"/>
      <c r="P1181" s="184"/>
      <c r="Q1181" s="184"/>
      <c r="R1181" s="184"/>
      <c r="S1181" s="184"/>
      <c r="T1181" s="184"/>
      <c r="U1181" s="184"/>
      <c r="V1181" s="184"/>
      <c r="W1181" s="184"/>
      <c r="X1181" s="184"/>
    </row>
    <row r="1182">
      <c r="A1182" s="198"/>
      <c r="D1182" s="198" t="str">
        <f>IFERROR(__xludf.DUMMYFUNCTION("""COMPUTED_VALUE"""),"FALSE")</f>
        <v>FALSE</v>
      </c>
      <c r="E1182" s="198" t="str">
        <f>IFERROR(__xludf.DUMMYFUNCTION("""COMPUTED_VALUE"""),"FALSE")</f>
        <v>FALSE</v>
      </c>
      <c r="F1182" s="198"/>
      <c r="J1182" s="184" t="str">
        <f>IFERROR(__xludf.DUMMYFUNCTION("""COMPUTED_VALUE"""),"")</f>
        <v/>
      </c>
      <c r="K1182" s="184"/>
      <c r="L1182" s="184"/>
      <c r="M1182" s="184"/>
      <c r="N1182" s="184"/>
      <c r="O1182" s="184"/>
      <c r="P1182" s="184"/>
      <c r="Q1182" s="184"/>
      <c r="R1182" s="184"/>
      <c r="S1182" s="184"/>
      <c r="T1182" s="184"/>
      <c r="U1182" s="184"/>
      <c r="V1182" s="184"/>
      <c r="W1182" s="184"/>
      <c r="X1182" s="184"/>
    </row>
    <row r="1183">
      <c r="A1183" s="198"/>
      <c r="D1183" s="198" t="str">
        <f>IFERROR(__xludf.DUMMYFUNCTION("""COMPUTED_VALUE"""),"FALSE")</f>
        <v>FALSE</v>
      </c>
      <c r="E1183" s="198" t="str">
        <f>IFERROR(__xludf.DUMMYFUNCTION("""COMPUTED_VALUE"""),"FALSE")</f>
        <v>FALSE</v>
      </c>
      <c r="F1183" s="198"/>
      <c r="J1183" s="184" t="str">
        <f>IFERROR(__xludf.DUMMYFUNCTION("""COMPUTED_VALUE"""),"")</f>
        <v/>
      </c>
      <c r="K1183" s="184"/>
      <c r="L1183" s="184"/>
      <c r="M1183" s="184"/>
      <c r="N1183" s="184"/>
      <c r="O1183" s="184"/>
      <c r="P1183" s="184"/>
      <c r="Q1183" s="184"/>
      <c r="R1183" s="184"/>
      <c r="S1183" s="184"/>
      <c r="T1183" s="184"/>
      <c r="U1183" s="184"/>
      <c r="V1183" s="184"/>
      <c r="W1183" s="184"/>
      <c r="X1183" s="184"/>
    </row>
    <row r="1184">
      <c r="A1184" s="198"/>
      <c r="D1184" s="198" t="str">
        <f>IFERROR(__xludf.DUMMYFUNCTION("""COMPUTED_VALUE"""),"FALSE")</f>
        <v>FALSE</v>
      </c>
      <c r="E1184" s="198" t="str">
        <f>IFERROR(__xludf.DUMMYFUNCTION("""COMPUTED_VALUE"""),"FALSE")</f>
        <v>FALSE</v>
      </c>
      <c r="F1184" s="198"/>
      <c r="J1184" s="184" t="str">
        <f>IFERROR(__xludf.DUMMYFUNCTION("""COMPUTED_VALUE"""),"")</f>
        <v/>
      </c>
      <c r="K1184" s="184"/>
      <c r="L1184" s="184"/>
      <c r="M1184" s="184"/>
      <c r="N1184" s="184"/>
      <c r="O1184" s="184"/>
      <c r="P1184" s="184"/>
      <c r="Q1184" s="184"/>
      <c r="R1184" s="184"/>
      <c r="S1184" s="184"/>
      <c r="T1184" s="184"/>
      <c r="U1184" s="184"/>
      <c r="V1184" s="184"/>
      <c r="W1184" s="184"/>
      <c r="X1184" s="184"/>
    </row>
    <row r="1185">
      <c r="A1185" s="198"/>
      <c r="D1185" s="198" t="str">
        <f>IFERROR(__xludf.DUMMYFUNCTION("""COMPUTED_VALUE"""),"FALSE")</f>
        <v>FALSE</v>
      </c>
      <c r="E1185" s="198" t="str">
        <f>IFERROR(__xludf.DUMMYFUNCTION("""COMPUTED_VALUE"""),"FALSE")</f>
        <v>FALSE</v>
      </c>
      <c r="F1185" s="198"/>
      <c r="J1185" s="184" t="str">
        <f>IFERROR(__xludf.DUMMYFUNCTION("""COMPUTED_VALUE"""),"")</f>
        <v/>
      </c>
      <c r="K1185" s="184"/>
      <c r="L1185" s="184"/>
      <c r="M1185" s="184"/>
      <c r="N1185" s="184"/>
      <c r="O1185" s="184"/>
      <c r="P1185" s="184"/>
      <c r="Q1185" s="184"/>
      <c r="R1185" s="184"/>
      <c r="S1185" s="184"/>
      <c r="T1185" s="184"/>
      <c r="U1185" s="184"/>
      <c r="V1185" s="184"/>
      <c r="W1185" s="184"/>
      <c r="X1185" s="184"/>
    </row>
    <row r="1186">
      <c r="A1186" s="198"/>
      <c r="D1186" s="198" t="str">
        <f>IFERROR(__xludf.DUMMYFUNCTION("""COMPUTED_VALUE"""),"FALSE")</f>
        <v>FALSE</v>
      </c>
      <c r="E1186" s="198" t="str">
        <f>IFERROR(__xludf.DUMMYFUNCTION("""COMPUTED_VALUE"""),"FALSE")</f>
        <v>FALSE</v>
      </c>
      <c r="F1186" s="198"/>
      <c r="J1186" s="184" t="str">
        <f>IFERROR(__xludf.DUMMYFUNCTION("""COMPUTED_VALUE"""),"")</f>
        <v/>
      </c>
      <c r="K1186" s="184"/>
      <c r="L1186" s="184"/>
      <c r="M1186" s="184"/>
      <c r="N1186" s="184"/>
      <c r="O1186" s="184"/>
      <c r="P1186" s="184"/>
      <c r="Q1186" s="184"/>
      <c r="R1186" s="184"/>
      <c r="S1186" s="184"/>
      <c r="T1186" s="184"/>
      <c r="U1186" s="184"/>
      <c r="V1186" s="184"/>
      <c r="W1186" s="184"/>
      <c r="X1186" s="184"/>
    </row>
    <row r="1187">
      <c r="A1187" s="198"/>
      <c r="D1187" s="198" t="str">
        <f>IFERROR(__xludf.DUMMYFUNCTION("""COMPUTED_VALUE"""),"FALSE")</f>
        <v>FALSE</v>
      </c>
      <c r="E1187" s="198" t="str">
        <f>IFERROR(__xludf.DUMMYFUNCTION("""COMPUTED_VALUE"""),"FALSE")</f>
        <v>FALSE</v>
      </c>
      <c r="F1187" s="198"/>
      <c r="J1187" s="184" t="str">
        <f>IFERROR(__xludf.DUMMYFUNCTION("""COMPUTED_VALUE"""),"")</f>
        <v/>
      </c>
      <c r="K1187" s="184"/>
      <c r="L1187" s="184"/>
      <c r="M1187" s="184"/>
      <c r="N1187" s="184"/>
      <c r="O1187" s="184"/>
      <c r="P1187" s="184"/>
      <c r="Q1187" s="184"/>
      <c r="R1187" s="184"/>
      <c r="S1187" s="184"/>
      <c r="T1187" s="184"/>
      <c r="U1187" s="184"/>
      <c r="V1187" s="184"/>
      <c r="W1187" s="184"/>
      <c r="X1187" s="184"/>
    </row>
    <row r="1188">
      <c r="A1188" s="198"/>
      <c r="D1188" s="198" t="str">
        <f>IFERROR(__xludf.DUMMYFUNCTION("""COMPUTED_VALUE"""),"FALSE")</f>
        <v>FALSE</v>
      </c>
      <c r="E1188" s="198" t="str">
        <f>IFERROR(__xludf.DUMMYFUNCTION("""COMPUTED_VALUE"""),"FALSE")</f>
        <v>FALSE</v>
      </c>
      <c r="F1188" s="198"/>
      <c r="J1188" s="184" t="str">
        <f>IFERROR(__xludf.DUMMYFUNCTION("""COMPUTED_VALUE"""),"")</f>
        <v/>
      </c>
      <c r="K1188" s="184"/>
      <c r="L1188" s="184"/>
      <c r="M1188" s="184"/>
      <c r="N1188" s="184"/>
      <c r="O1188" s="184"/>
      <c r="P1188" s="184"/>
      <c r="Q1188" s="184"/>
      <c r="R1188" s="184"/>
      <c r="S1188" s="184"/>
      <c r="T1188" s="184"/>
      <c r="U1188" s="184"/>
      <c r="V1188" s="184"/>
      <c r="W1188" s="184"/>
      <c r="X1188" s="184"/>
    </row>
    <row r="1189">
      <c r="A1189" s="198"/>
      <c r="D1189" s="198" t="str">
        <f>IFERROR(__xludf.DUMMYFUNCTION("""COMPUTED_VALUE"""),"FALSE")</f>
        <v>FALSE</v>
      </c>
      <c r="E1189" s="198" t="str">
        <f>IFERROR(__xludf.DUMMYFUNCTION("""COMPUTED_VALUE"""),"FALSE")</f>
        <v>FALSE</v>
      </c>
      <c r="F1189" s="198"/>
      <c r="J1189" s="184" t="str">
        <f>IFERROR(__xludf.DUMMYFUNCTION("""COMPUTED_VALUE"""),"")</f>
        <v/>
      </c>
      <c r="K1189" s="184"/>
      <c r="L1189" s="184"/>
      <c r="M1189" s="184"/>
      <c r="N1189" s="184"/>
      <c r="O1189" s="184"/>
      <c r="P1189" s="184"/>
      <c r="Q1189" s="184"/>
      <c r="R1189" s="184"/>
      <c r="S1189" s="184"/>
      <c r="T1189" s="184"/>
      <c r="U1189" s="184"/>
      <c r="V1189" s="184"/>
      <c r="W1189" s="184"/>
      <c r="X1189" s="184"/>
    </row>
    <row r="1190">
      <c r="A1190" s="198"/>
      <c r="D1190" s="198" t="str">
        <f>IFERROR(__xludf.DUMMYFUNCTION("""COMPUTED_VALUE"""),"FALSE")</f>
        <v>FALSE</v>
      </c>
      <c r="E1190" s="198" t="str">
        <f>IFERROR(__xludf.DUMMYFUNCTION("""COMPUTED_VALUE"""),"FALSE")</f>
        <v>FALSE</v>
      </c>
      <c r="F1190" s="198"/>
      <c r="J1190" s="184" t="str">
        <f>IFERROR(__xludf.DUMMYFUNCTION("""COMPUTED_VALUE"""),"")</f>
        <v/>
      </c>
      <c r="K1190" s="184"/>
      <c r="L1190" s="184"/>
      <c r="M1190" s="184"/>
      <c r="N1190" s="184"/>
      <c r="O1190" s="184"/>
      <c r="P1190" s="184"/>
      <c r="Q1190" s="184"/>
      <c r="R1190" s="184"/>
      <c r="S1190" s="184"/>
      <c r="T1190" s="184"/>
      <c r="U1190" s="184"/>
      <c r="V1190" s="184"/>
      <c r="W1190" s="184"/>
      <c r="X1190" s="184"/>
    </row>
    <row r="1191">
      <c r="A1191" s="198"/>
      <c r="D1191" s="198" t="str">
        <f>IFERROR(__xludf.DUMMYFUNCTION("""COMPUTED_VALUE"""),"FALSE")</f>
        <v>FALSE</v>
      </c>
      <c r="E1191" s="198" t="str">
        <f>IFERROR(__xludf.DUMMYFUNCTION("""COMPUTED_VALUE"""),"FALSE")</f>
        <v>FALSE</v>
      </c>
      <c r="F1191" s="198"/>
      <c r="J1191" s="184" t="str">
        <f>IFERROR(__xludf.DUMMYFUNCTION("""COMPUTED_VALUE"""),"")</f>
        <v/>
      </c>
      <c r="K1191" s="184"/>
      <c r="L1191" s="184"/>
      <c r="M1191" s="184"/>
      <c r="N1191" s="184"/>
      <c r="O1191" s="184"/>
      <c r="P1191" s="184"/>
      <c r="Q1191" s="184"/>
      <c r="R1191" s="184"/>
      <c r="S1191" s="184"/>
      <c r="T1191" s="184"/>
      <c r="U1191" s="184"/>
      <c r="V1191" s="184"/>
      <c r="W1191" s="184"/>
      <c r="X1191" s="184"/>
    </row>
    <row r="1192">
      <c r="A1192" s="198"/>
      <c r="D1192" s="198" t="str">
        <f>IFERROR(__xludf.DUMMYFUNCTION("""COMPUTED_VALUE"""),"FALSE")</f>
        <v>FALSE</v>
      </c>
      <c r="E1192" s="198" t="str">
        <f>IFERROR(__xludf.DUMMYFUNCTION("""COMPUTED_VALUE"""),"FALSE")</f>
        <v>FALSE</v>
      </c>
      <c r="F1192" s="198"/>
      <c r="J1192" s="184" t="str">
        <f>IFERROR(__xludf.DUMMYFUNCTION("""COMPUTED_VALUE"""),"")</f>
        <v/>
      </c>
      <c r="K1192" s="184"/>
      <c r="L1192" s="184"/>
      <c r="M1192" s="184"/>
      <c r="N1192" s="184"/>
      <c r="O1192" s="184"/>
      <c r="P1192" s="184"/>
      <c r="Q1192" s="184"/>
      <c r="R1192" s="184"/>
      <c r="S1192" s="184"/>
      <c r="T1192" s="184"/>
      <c r="U1192" s="184"/>
      <c r="V1192" s="184"/>
      <c r="W1192" s="184"/>
      <c r="X1192" s="184"/>
    </row>
    <row r="1193">
      <c r="A1193" s="198"/>
      <c r="D1193" s="198" t="str">
        <f>IFERROR(__xludf.DUMMYFUNCTION("""COMPUTED_VALUE"""),"FALSE")</f>
        <v>FALSE</v>
      </c>
      <c r="E1193" s="198" t="str">
        <f>IFERROR(__xludf.DUMMYFUNCTION("""COMPUTED_VALUE"""),"FALSE")</f>
        <v>FALSE</v>
      </c>
      <c r="F1193" s="198"/>
      <c r="J1193" s="184" t="str">
        <f>IFERROR(__xludf.DUMMYFUNCTION("""COMPUTED_VALUE"""),"")</f>
        <v/>
      </c>
      <c r="K1193" s="184"/>
      <c r="L1193" s="184"/>
      <c r="M1193" s="184"/>
      <c r="N1193" s="184"/>
      <c r="O1193" s="184"/>
      <c r="P1193" s="184"/>
      <c r="Q1193" s="184"/>
      <c r="R1193" s="184"/>
      <c r="S1193" s="184"/>
      <c r="T1193" s="184"/>
      <c r="U1193" s="184"/>
      <c r="V1193" s="184"/>
      <c r="W1193" s="184"/>
      <c r="X1193" s="184"/>
    </row>
    <row r="1194">
      <c r="A1194" s="198"/>
      <c r="D1194" s="198" t="str">
        <f>IFERROR(__xludf.DUMMYFUNCTION("""COMPUTED_VALUE"""),"FALSE")</f>
        <v>FALSE</v>
      </c>
      <c r="E1194" s="198" t="str">
        <f>IFERROR(__xludf.DUMMYFUNCTION("""COMPUTED_VALUE"""),"FALSE")</f>
        <v>FALSE</v>
      </c>
      <c r="F1194" s="198"/>
      <c r="J1194" s="184" t="str">
        <f>IFERROR(__xludf.DUMMYFUNCTION("""COMPUTED_VALUE"""),"")</f>
        <v/>
      </c>
      <c r="K1194" s="184"/>
      <c r="L1194" s="184"/>
      <c r="M1194" s="184"/>
      <c r="N1194" s="184"/>
      <c r="O1194" s="184"/>
      <c r="P1194" s="184"/>
      <c r="Q1194" s="184"/>
      <c r="R1194" s="184"/>
      <c r="S1194" s="184"/>
      <c r="T1194" s="184"/>
      <c r="U1194" s="184"/>
      <c r="V1194" s="184"/>
      <c r="W1194" s="184"/>
      <c r="X1194" s="184"/>
    </row>
    <row r="1195">
      <c r="A1195" s="198"/>
      <c r="D1195" s="198" t="str">
        <f>IFERROR(__xludf.DUMMYFUNCTION("""COMPUTED_VALUE"""),"FALSE")</f>
        <v>FALSE</v>
      </c>
      <c r="E1195" s="198" t="str">
        <f>IFERROR(__xludf.DUMMYFUNCTION("""COMPUTED_VALUE"""),"FALSE")</f>
        <v>FALSE</v>
      </c>
      <c r="F1195" s="198"/>
      <c r="J1195" s="184" t="str">
        <f>IFERROR(__xludf.DUMMYFUNCTION("""COMPUTED_VALUE"""),"")</f>
        <v/>
      </c>
      <c r="K1195" s="184"/>
      <c r="L1195" s="184"/>
      <c r="M1195" s="184"/>
      <c r="N1195" s="184"/>
      <c r="O1195" s="184"/>
      <c r="P1195" s="184"/>
      <c r="Q1195" s="184"/>
      <c r="R1195" s="184"/>
      <c r="S1195" s="184"/>
      <c r="T1195" s="184"/>
      <c r="U1195" s="184"/>
      <c r="V1195" s="184"/>
      <c r="W1195" s="184"/>
      <c r="X1195" s="184"/>
    </row>
    <row r="1196">
      <c r="A1196" s="198"/>
      <c r="D1196" s="198" t="str">
        <f>IFERROR(__xludf.DUMMYFUNCTION("""COMPUTED_VALUE"""),"FALSE")</f>
        <v>FALSE</v>
      </c>
      <c r="E1196" s="198" t="str">
        <f>IFERROR(__xludf.DUMMYFUNCTION("""COMPUTED_VALUE"""),"FALSE")</f>
        <v>FALSE</v>
      </c>
      <c r="F1196" s="198"/>
      <c r="J1196" s="184" t="str">
        <f>IFERROR(__xludf.DUMMYFUNCTION("""COMPUTED_VALUE"""),"")</f>
        <v/>
      </c>
      <c r="K1196" s="184"/>
      <c r="L1196" s="184"/>
      <c r="M1196" s="184"/>
      <c r="N1196" s="184"/>
      <c r="O1196" s="184"/>
      <c r="P1196" s="184"/>
      <c r="Q1196" s="184"/>
      <c r="R1196" s="184"/>
      <c r="S1196" s="184"/>
      <c r="T1196" s="184"/>
      <c r="U1196" s="184"/>
      <c r="V1196" s="184"/>
      <c r="W1196" s="184"/>
      <c r="X1196" s="184"/>
    </row>
    <row r="1197">
      <c r="A1197" s="198"/>
      <c r="D1197" s="198" t="str">
        <f>IFERROR(__xludf.DUMMYFUNCTION("""COMPUTED_VALUE"""),"FALSE")</f>
        <v>FALSE</v>
      </c>
      <c r="E1197" s="198" t="str">
        <f>IFERROR(__xludf.DUMMYFUNCTION("""COMPUTED_VALUE"""),"FALSE")</f>
        <v>FALSE</v>
      </c>
      <c r="F1197" s="198"/>
      <c r="J1197" s="184" t="str">
        <f>IFERROR(__xludf.DUMMYFUNCTION("""COMPUTED_VALUE"""),"")</f>
        <v/>
      </c>
      <c r="K1197" s="184"/>
      <c r="L1197" s="184"/>
      <c r="M1197" s="184"/>
      <c r="N1197" s="184"/>
      <c r="O1197" s="184"/>
      <c r="P1197" s="184"/>
      <c r="Q1197" s="184"/>
      <c r="R1197" s="184"/>
      <c r="S1197" s="184"/>
      <c r="T1197" s="184"/>
      <c r="U1197" s="184"/>
      <c r="V1197" s="184"/>
      <c r="W1197" s="184"/>
      <c r="X1197" s="184"/>
    </row>
    <row r="1198">
      <c r="A1198" s="198"/>
      <c r="D1198" s="198" t="str">
        <f>IFERROR(__xludf.DUMMYFUNCTION("""COMPUTED_VALUE"""),"FALSE")</f>
        <v>FALSE</v>
      </c>
      <c r="E1198" s="198" t="str">
        <f>IFERROR(__xludf.DUMMYFUNCTION("""COMPUTED_VALUE"""),"FALSE")</f>
        <v>FALSE</v>
      </c>
      <c r="F1198" s="198"/>
      <c r="J1198" s="184" t="str">
        <f>IFERROR(__xludf.DUMMYFUNCTION("""COMPUTED_VALUE"""),"")</f>
        <v/>
      </c>
      <c r="K1198" s="184"/>
      <c r="L1198" s="184"/>
      <c r="M1198" s="184"/>
      <c r="N1198" s="184"/>
      <c r="O1198" s="184"/>
      <c r="P1198" s="184"/>
      <c r="Q1198" s="184"/>
      <c r="R1198" s="184"/>
      <c r="S1198" s="184"/>
      <c r="T1198" s="184"/>
      <c r="U1198" s="184"/>
      <c r="V1198" s="184"/>
      <c r="W1198" s="184"/>
      <c r="X1198" s="184"/>
    </row>
    <row r="1199">
      <c r="A1199" s="198"/>
      <c r="D1199" s="198" t="str">
        <f>IFERROR(__xludf.DUMMYFUNCTION("""COMPUTED_VALUE"""),"FALSE")</f>
        <v>FALSE</v>
      </c>
      <c r="E1199" s="198" t="str">
        <f>IFERROR(__xludf.DUMMYFUNCTION("""COMPUTED_VALUE"""),"FALSE")</f>
        <v>FALSE</v>
      </c>
      <c r="F1199" s="198"/>
      <c r="J1199" s="184" t="str">
        <f>IFERROR(__xludf.DUMMYFUNCTION("""COMPUTED_VALUE"""),"")</f>
        <v/>
      </c>
      <c r="K1199" s="184"/>
      <c r="L1199" s="184"/>
      <c r="M1199" s="184"/>
      <c r="N1199" s="184"/>
      <c r="O1199" s="184"/>
      <c r="P1199" s="184"/>
      <c r="Q1199" s="184"/>
      <c r="R1199" s="184"/>
      <c r="S1199" s="184"/>
      <c r="T1199" s="184"/>
      <c r="U1199" s="184"/>
      <c r="V1199" s="184"/>
      <c r="W1199" s="184"/>
      <c r="X1199" s="184"/>
    </row>
    <row r="1200">
      <c r="A1200" s="198"/>
      <c r="D1200" s="198" t="str">
        <f>IFERROR(__xludf.DUMMYFUNCTION("""COMPUTED_VALUE"""),"FALSE")</f>
        <v>FALSE</v>
      </c>
      <c r="E1200" s="198" t="str">
        <f>IFERROR(__xludf.DUMMYFUNCTION("""COMPUTED_VALUE"""),"FALSE")</f>
        <v>FALSE</v>
      </c>
      <c r="F1200" s="198"/>
      <c r="J1200" s="184" t="str">
        <f>IFERROR(__xludf.DUMMYFUNCTION("""COMPUTED_VALUE"""),"")</f>
        <v/>
      </c>
      <c r="K1200" s="184"/>
      <c r="L1200" s="184"/>
      <c r="M1200" s="184"/>
      <c r="N1200" s="184"/>
      <c r="O1200" s="184"/>
      <c r="P1200" s="184"/>
      <c r="Q1200" s="184"/>
      <c r="R1200" s="184"/>
      <c r="S1200" s="184"/>
      <c r="T1200" s="184"/>
      <c r="U1200" s="184"/>
      <c r="V1200" s="184"/>
      <c r="W1200" s="184"/>
      <c r="X1200" s="184"/>
    </row>
    <row r="1201">
      <c r="A1201" s="198"/>
      <c r="D1201" s="198" t="str">
        <f>IFERROR(__xludf.DUMMYFUNCTION("""COMPUTED_VALUE"""),"FALSE")</f>
        <v>FALSE</v>
      </c>
      <c r="E1201" s="198" t="str">
        <f>IFERROR(__xludf.DUMMYFUNCTION("""COMPUTED_VALUE"""),"FALSE")</f>
        <v>FALSE</v>
      </c>
      <c r="F1201" s="198"/>
      <c r="J1201" s="184" t="str">
        <f>IFERROR(__xludf.DUMMYFUNCTION("""COMPUTED_VALUE"""),"")</f>
        <v/>
      </c>
      <c r="K1201" s="184"/>
      <c r="L1201" s="184"/>
      <c r="M1201" s="184"/>
      <c r="N1201" s="184"/>
      <c r="O1201" s="184"/>
      <c r="P1201" s="184"/>
      <c r="Q1201" s="184"/>
      <c r="R1201" s="184"/>
      <c r="S1201" s="184"/>
      <c r="T1201" s="184"/>
      <c r="U1201" s="184"/>
      <c r="V1201" s="184"/>
      <c r="W1201" s="184"/>
      <c r="X1201" s="184"/>
    </row>
    <row r="1202">
      <c r="A1202" s="198"/>
      <c r="D1202" s="198" t="str">
        <f>IFERROR(__xludf.DUMMYFUNCTION("""COMPUTED_VALUE"""),"FALSE")</f>
        <v>FALSE</v>
      </c>
      <c r="E1202" s="198" t="str">
        <f>IFERROR(__xludf.DUMMYFUNCTION("""COMPUTED_VALUE"""),"FALSE")</f>
        <v>FALSE</v>
      </c>
      <c r="F1202" s="198"/>
      <c r="J1202" s="184" t="str">
        <f>IFERROR(__xludf.DUMMYFUNCTION("""COMPUTED_VALUE"""),"")</f>
        <v/>
      </c>
      <c r="K1202" s="184"/>
      <c r="L1202" s="184"/>
      <c r="M1202" s="184"/>
      <c r="N1202" s="184"/>
      <c r="O1202" s="184"/>
      <c r="P1202" s="184"/>
      <c r="Q1202" s="184"/>
      <c r="R1202" s="184"/>
      <c r="S1202" s="184"/>
      <c r="T1202" s="184"/>
      <c r="U1202" s="184"/>
      <c r="V1202" s="184"/>
      <c r="W1202" s="184"/>
      <c r="X1202" s="184"/>
    </row>
    <row r="1203">
      <c r="A1203" s="198"/>
      <c r="D1203" s="198" t="str">
        <f>IFERROR(__xludf.DUMMYFUNCTION("""COMPUTED_VALUE"""),"FALSE")</f>
        <v>FALSE</v>
      </c>
      <c r="E1203" s="198" t="str">
        <f>IFERROR(__xludf.DUMMYFUNCTION("""COMPUTED_VALUE"""),"FALSE")</f>
        <v>FALSE</v>
      </c>
      <c r="F1203" s="198"/>
      <c r="J1203" s="184" t="str">
        <f>IFERROR(__xludf.DUMMYFUNCTION("""COMPUTED_VALUE"""),"")</f>
        <v/>
      </c>
      <c r="K1203" s="184"/>
      <c r="L1203" s="184"/>
      <c r="M1203" s="184"/>
      <c r="N1203" s="184"/>
      <c r="O1203" s="184"/>
      <c r="P1203" s="184"/>
      <c r="Q1203" s="184"/>
      <c r="R1203" s="184"/>
      <c r="S1203" s="184"/>
      <c r="T1203" s="184"/>
      <c r="U1203" s="184"/>
      <c r="V1203" s="184"/>
      <c r="W1203" s="184"/>
      <c r="X1203" s="184"/>
    </row>
    <row r="1204">
      <c r="A1204" s="198"/>
      <c r="D1204" s="198" t="str">
        <f>IFERROR(__xludf.DUMMYFUNCTION("""COMPUTED_VALUE"""),"FALSE")</f>
        <v>FALSE</v>
      </c>
      <c r="E1204" s="198" t="str">
        <f>IFERROR(__xludf.DUMMYFUNCTION("""COMPUTED_VALUE"""),"FALSE")</f>
        <v>FALSE</v>
      </c>
      <c r="F1204" s="198"/>
      <c r="J1204" s="184" t="str">
        <f>IFERROR(__xludf.DUMMYFUNCTION("""COMPUTED_VALUE"""),"")</f>
        <v/>
      </c>
      <c r="K1204" s="184"/>
      <c r="L1204" s="184"/>
      <c r="M1204" s="184"/>
      <c r="N1204" s="184"/>
      <c r="O1204" s="184"/>
      <c r="P1204" s="184"/>
      <c r="Q1204" s="184"/>
      <c r="R1204" s="184"/>
      <c r="S1204" s="184"/>
      <c r="T1204" s="184"/>
      <c r="U1204" s="184"/>
      <c r="V1204" s="184"/>
      <c r="W1204" s="184"/>
      <c r="X1204" s="184"/>
    </row>
    <row r="1205">
      <c r="A1205" s="198"/>
      <c r="D1205" s="198" t="str">
        <f>IFERROR(__xludf.DUMMYFUNCTION("""COMPUTED_VALUE"""),"FALSE")</f>
        <v>FALSE</v>
      </c>
      <c r="E1205" s="198" t="str">
        <f>IFERROR(__xludf.DUMMYFUNCTION("""COMPUTED_VALUE"""),"FALSE")</f>
        <v>FALSE</v>
      </c>
      <c r="F1205" s="198"/>
      <c r="J1205" s="184" t="str">
        <f>IFERROR(__xludf.DUMMYFUNCTION("""COMPUTED_VALUE"""),"")</f>
        <v/>
      </c>
      <c r="K1205" s="184"/>
      <c r="L1205" s="184"/>
      <c r="M1205" s="184"/>
      <c r="N1205" s="184"/>
      <c r="O1205" s="184"/>
      <c r="P1205" s="184"/>
      <c r="Q1205" s="184"/>
      <c r="R1205" s="184"/>
      <c r="S1205" s="184"/>
      <c r="T1205" s="184"/>
      <c r="U1205" s="184"/>
      <c r="V1205" s="184"/>
      <c r="W1205" s="184"/>
      <c r="X1205" s="184"/>
    </row>
    <row r="1206">
      <c r="A1206" s="198"/>
      <c r="D1206" s="198" t="str">
        <f>IFERROR(__xludf.DUMMYFUNCTION("""COMPUTED_VALUE"""),"FALSE")</f>
        <v>FALSE</v>
      </c>
      <c r="E1206" s="198" t="str">
        <f>IFERROR(__xludf.DUMMYFUNCTION("""COMPUTED_VALUE"""),"FALSE")</f>
        <v>FALSE</v>
      </c>
      <c r="F1206" s="198"/>
      <c r="J1206" s="184" t="str">
        <f>IFERROR(__xludf.DUMMYFUNCTION("""COMPUTED_VALUE"""),"")</f>
        <v/>
      </c>
      <c r="K1206" s="184"/>
      <c r="L1206" s="184"/>
      <c r="M1206" s="184"/>
      <c r="N1206" s="184"/>
      <c r="O1206" s="184"/>
      <c r="P1206" s="184"/>
      <c r="Q1206" s="184"/>
      <c r="R1206" s="184"/>
      <c r="S1206" s="184"/>
      <c r="T1206" s="184"/>
      <c r="U1206" s="184"/>
      <c r="V1206" s="184"/>
      <c r="W1206" s="184"/>
      <c r="X1206" s="184"/>
    </row>
    <row r="1207">
      <c r="A1207" s="198"/>
      <c r="D1207" s="198" t="str">
        <f>IFERROR(__xludf.DUMMYFUNCTION("""COMPUTED_VALUE"""),"FALSE")</f>
        <v>FALSE</v>
      </c>
      <c r="E1207" s="198" t="str">
        <f>IFERROR(__xludf.DUMMYFUNCTION("""COMPUTED_VALUE"""),"FALSE")</f>
        <v>FALSE</v>
      </c>
      <c r="F1207" s="198"/>
      <c r="J1207" s="184" t="str">
        <f>IFERROR(__xludf.DUMMYFUNCTION("""COMPUTED_VALUE"""),"")</f>
        <v/>
      </c>
      <c r="K1207" s="184"/>
      <c r="L1207" s="184"/>
      <c r="M1207" s="184"/>
      <c r="N1207" s="184"/>
      <c r="O1207" s="184"/>
      <c r="P1207" s="184"/>
      <c r="Q1207" s="184"/>
      <c r="R1207" s="184"/>
      <c r="S1207" s="184"/>
      <c r="T1207" s="184"/>
      <c r="U1207" s="184"/>
      <c r="V1207" s="184"/>
      <c r="W1207" s="184"/>
      <c r="X1207" s="184"/>
    </row>
    <row r="1208">
      <c r="A1208" s="198"/>
      <c r="D1208" s="198" t="str">
        <f>IFERROR(__xludf.DUMMYFUNCTION("""COMPUTED_VALUE"""),"FALSE")</f>
        <v>FALSE</v>
      </c>
      <c r="E1208" s="198" t="str">
        <f>IFERROR(__xludf.DUMMYFUNCTION("""COMPUTED_VALUE"""),"FALSE")</f>
        <v>FALSE</v>
      </c>
      <c r="F1208" s="198"/>
      <c r="J1208" s="184" t="str">
        <f>IFERROR(__xludf.DUMMYFUNCTION("""COMPUTED_VALUE"""),"")</f>
        <v/>
      </c>
      <c r="K1208" s="184"/>
      <c r="L1208" s="184"/>
      <c r="M1208" s="184"/>
      <c r="N1208" s="184"/>
      <c r="O1208" s="184"/>
      <c r="P1208" s="184"/>
      <c r="Q1208" s="184"/>
      <c r="R1208" s="184"/>
      <c r="S1208" s="184"/>
      <c r="T1208" s="184"/>
      <c r="U1208" s="184"/>
      <c r="V1208" s="184"/>
      <c r="W1208" s="184"/>
      <c r="X1208" s="184"/>
    </row>
    <row r="1209">
      <c r="A1209" s="198"/>
      <c r="D1209" s="198" t="str">
        <f>IFERROR(__xludf.DUMMYFUNCTION("""COMPUTED_VALUE"""),"FALSE")</f>
        <v>FALSE</v>
      </c>
      <c r="E1209" s="198" t="str">
        <f>IFERROR(__xludf.DUMMYFUNCTION("""COMPUTED_VALUE"""),"FALSE")</f>
        <v>FALSE</v>
      </c>
      <c r="F1209" s="198"/>
      <c r="J1209" s="184" t="str">
        <f>IFERROR(__xludf.DUMMYFUNCTION("""COMPUTED_VALUE"""),"")</f>
        <v/>
      </c>
      <c r="K1209" s="184"/>
      <c r="L1209" s="184"/>
      <c r="M1209" s="184"/>
      <c r="N1209" s="184"/>
      <c r="O1209" s="184"/>
      <c r="P1209" s="184"/>
      <c r="Q1209" s="184"/>
      <c r="R1209" s="184"/>
      <c r="S1209" s="184"/>
      <c r="T1209" s="184"/>
      <c r="U1209" s="184"/>
      <c r="V1209" s="184"/>
      <c r="W1209" s="184"/>
      <c r="X1209" s="184"/>
    </row>
    <row r="1210">
      <c r="A1210" s="198"/>
      <c r="D1210" s="198" t="str">
        <f>IFERROR(__xludf.DUMMYFUNCTION("""COMPUTED_VALUE"""),"FALSE")</f>
        <v>FALSE</v>
      </c>
      <c r="E1210" s="198" t="str">
        <f>IFERROR(__xludf.DUMMYFUNCTION("""COMPUTED_VALUE"""),"FALSE")</f>
        <v>FALSE</v>
      </c>
      <c r="F1210" s="198"/>
      <c r="J1210" s="184" t="str">
        <f>IFERROR(__xludf.DUMMYFUNCTION("""COMPUTED_VALUE"""),"")</f>
        <v/>
      </c>
      <c r="K1210" s="184"/>
      <c r="L1210" s="184"/>
      <c r="M1210" s="184"/>
      <c r="N1210" s="184"/>
      <c r="O1210" s="184"/>
      <c r="P1210" s="184"/>
      <c r="Q1210" s="184"/>
      <c r="R1210" s="184"/>
      <c r="S1210" s="184"/>
      <c r="T1210" s="184"/>
      <c r="U1210" s="184"/>
      <c r="V1210" s="184"/>
      <c r="W1210" s="184"/>
      <c r="X1210" s="184"/>
    </row>
    <row r="1211">
      <c r="A1211" s="198"/>
      <c r="D1211" s="198" t="str">
        <f>IFERROR(__xludf.DUMMYFUNCTION("""COMPUTED_VALUE"""),"FALSE")</f>
        <v>FALSE</v>
      </c>
      <c r="E1211" s="198" t="str">
        <f>IFERROR(__xludf.DUMMYFUNCTION("""COMPUTED_VALUE"""),"FALSE")</f>
        <v>FALSE</v>
      </c>
      <c r="F1211" s="198"/>
      <c r="J1211" s="184" t="str">
        <f>IFERROR(__xludf.DUMMYFUNCTION("""COMPUTED_VALUE"""),"")</f>
        <v/>
      </c>
      <c r="K1211" s="184"/>
      <c r="L1211" s="184"/>
      <c r="M1211" s="184"/>
      <c r="N1211" s="184"/>
      <c r="O1211" s="184"/>
      <c r="P1211" s="184"/>
      <c r="Q1211" s="184"/>
      <c r="R1211" s="184"/>
      <c r="S1211" s="184"/>
      <c r="T1211" s="184"/>
      <c r="U1211" s="184"/>
      <c r="V1211" s="184"/>
      <c r="W1211" s="184"/>
      <c r="X1211" s="184"/>
    </row>
    <row r="1212">
      <c r="A1212" s="198"/>
      <c r="D1212" s="198" t="str">
        <f>IFERROR(__xludf.DUMMYFUNCTION("""COMPUTED_VALUE"""),"FALSE")</f>
        <v>FALSE</v>
      </c>
      <c r="E1212" s="198" t="str">
        <f>IFERROR(__xludf.DUMMYFUNCTION("""COMPUTED_VALUE"""),"FALSE")</f>
        <v>FALSE</v>
      </c>
      <c r="F1212" s="198"/>
      <c r="J1212" s="184" t="str">
        <f>IFERROR(__xludf.DUMMYFUNCTION("""COMPUTED_VALUE"""),"")</f>
        <v/>
      </c>
      <c r="K1212" s="184"/>
      <c r="L1212" s="184"/>
      <c r="M1212" s="184"/>
      <c r="N1212" s="184"/>
      <c r="O1212" s="184"/>
      <c r="P1212" s="184"/>
      <c r="Q1212" s="184"/>
      <c r="R1212" s="184"/>
      <c r="S1212" s="184"/>
      <c r="T1212" s="184"/>
      <c r="U1212" s="184"/>
      <c r="V1212" s="184"/>
      <c r="W1212" s="184"/>
      <c r="X1212" s="184"/>
    </row>
    <row r="1213">
      <c r="A1213" s="198"/>
      <c r="D1213" s="198" t="str">
        <f>IFERROR(__xludf.DUMMYFUNCTION("""COMPUTED_VALUE"""),"FALSE")</f>
        <v>FALSE</v>
      </c>
      <c r="E1213" s="198" t="str">
        <f>IFERROR(__xludf.DUMMYFUNCTION("""COMPUTED_VALUE"""),"FALSE")</f>
        <v>FALSE</v>
      </c>
      <c r="F1213" s="198"/>
      <c r="J1213" s="184" t="str">
        <f>IFERROR(__xludf.DUMMYFUNCTION("""COMPUTED_VALUE"""),"")</f>
        <v/>
      </c>
      <c r="K1213" s="184"/>
      <c r="L1213" s="184"/>
      <c r="M1213" s="184"/>
      <c r="N1213" s="184"/>
      <c r="O1213" s="184"/>
      <c r="P1213" s="184"/>
      <c r="Q1213" s="184"/>
      <c r="R1213" s="184"/>
      <c r="S1213" s="184"/>
      <c r="T1213" s="184"/>
      <c r="U1213" s="184"/>
      <c r="V1213" s="184"/>
      <c r="W1213" s="184"/>
      <c r="X1213" s="184"/>
    </row>
    <row r="1214">
      <c r="A1214" s="198"/>
      <c r="D1214" s="198" t="str">
        <f>IFERROR(__xludf.DUMMYFUNCTION("""COMPUTED_VALUE"""),"FALSE")</f>
        <v>FALSE</v>
      </c>
      <c r="E1214" s="198" t="str">
        <f>IFERROR(__xludf.DUMMYFUNCTION("""COMPUTED_VALUE"""),"FALSE")</f>
        <v>FALSE</v>
      </c>
      <c r="F1214" s="198"/>
      <c r="J1214" s="184" t="str">
        <f>IFERROR(__xludf.DUMMYFUNCTION("""COMPUTED_VALUE"""),"")</f>
        <v/>
      </c>
      <c r="K1214" s="184"/>
      <c r="L1214" s="184"/>
      <c r="M1214" s="184"/>
      <c r="N1214" s="184"/>
      <c r="O1214" s="184"/>
      <c r="P1214" s="184"/>
      <c r="Q1214" s="184"/>
      <c r="R1214" s="184"/>
      <c r="S1214" s="184"/>
      <c r="T1214" s="184"/>
      <c r="U1214" s="184"/>
      <c r="V1214" s="184"/>
      <c r="W1214" s="184"/>
      <c r="X1214" s="184"/>
    </row>
    <row r="1215">
      <c r="A1215" s="198"/>
      <c r="D1215" s="198" t="str">
        <f>IFERROR(__xludf.DUMMYFUNCTION("""COMPUTED_VALUE"""),"FALSE")</f>
        <v>FALSE</v>
      </c>
      <c r="E1215" s="198" t="str">
        <f>IFERROR(__xludf.DUMMYFUNCTION("""COMPUTED_VALUE"""),"FALSE")</f>
        <v>FALSE</v>
      </c>
      <c r="F1215" s="198"/>
      <c r="J1215" s="184" t="str">
        <f>IFERROR(__xludf.DUMMYFUNCTION("""COMPUTED_VALUE"""),"")</f>
        <v/>
      </c>
      <c r="K1215" s="184"/>
      <c r="L1215" s="184"/>
      <c r="M1215" s="184"/>
      <c r="N1215" s="184"/>
      <c r="O1215" s="184"/>
      <c r="P1215" s="184"/>
      <c r="Q1215" s="184"/>
      <c r="R1215" s="184"/>
      <c r="S1215" s="184"/>
      <c r="T1215" s="184"/>
      <c r="U1215" s="184"/>
      <c r="V1215" s="184"/>
      <c r="W1215" s="184"/>
      <c r="X1215" s="184"/>
    </row>
    <row r="1216">
      <c r="A1216" s="198"/>
      <c r="D1216" s="198" t="str">
        <f>IFERROR(__xludf.DUMMYFUNCTION("""COMPUTED_VALUE"""),"FALSE")</f>
        <v>FALSE</v>
      </c>
      <c r="E1216" s="198" t="str">
        <f>IFERROR(__xludf.DUMMYFUNCTION("""COMPUTED_VALUE"""),"FALSE")</f>
        <v>FALSE</v>
      </c>
      <c r="F1216" s="198"/>
      <c r="J1216" s="184" t="str">
        <f>IFERROR(__xludf.DUMMYFUNCTION("""COMPUTED_VALUE"""),"")</f>
        <v/>
      </c>
      <c r="K1216" s="184"/>
      <c r="L1216" s="184"/>
      <c r="M1216" s="184"/>
      <c r="N1216" s="184"/>
      <c r="O1216" s="184"/>
      <c r="P1216" s="184"/>
      <c r="Q1216" s="184"/>
      <c r="R1216" s="184"/>
      <c r="S1216" s="184"/>
      <c r="T1216" s="184"/>
      <c r="U1216" s="184"/>
      <c r="V1216" s="184"/>
      <c r="W1216" s="184"/>
      <c r="X1216" s="184"/>
    </row>
    <row r="1217">
      <c r="A1217" s="198"/>
      <c r="D1217" s="198" t="str">
        <f>IFERROR(__xludf.DUMMYFUNCTION("""COMPUTED_VALUE"""),"FALSE")</f>
        <v>FALSE</v>
      </c>
      <c r="E1217" s="198" t="str">
        <f>IFERROR(__xludf.DUMMYFUNCTION("""COMPUTED_VALUE"""),"FALSE")</f>
        <v>FALSE</v>
      </c>
      <c r="F1217" s="198"/>
      <c r="J1217" s="184" t="str">
        <f>IFERROR(__xludf.DUMMYFUNCTION("""COMPUTED_VALUE"""),"")</f>
        <v/>
      </c>
      <c r="K1217" s="184"/>
      <c r="L1217" s="184"/>
      <c r="M1217" s="184"/>
      <c r="N1217" s="184"/>
      <c r="O1217" s="184"/>
      <c r="P1217" s="184"/>
      <c r="Q1217" s="184"/>
      <c r="R1217" s="184"/>
      <c r="S1217" s="184"/>
      <c r="T1217" s="184"/>
      <c r="U1217" s="184"/>
      <c r="V1217" s="184"/>
      <c r="W1217" s="184"/>
      <c r="X1217" s="184"/>
    </row>
    <row r="1218">
      <c r="A1218" s="198"/>
      <c r="D1218" s="198" t="str">
        <f>IFERROR(__xludf.DUMMYFUNCTION("""COMPUTED_VALUE"""),"FALSE")</f>
        <v>FALSE</v>
      </c>
      <c r="E1218" s="198" t="str">
        <f>IFERROR(__xludf.DUMMYFUNCTION("""COMPUTED_VALUE"""),"FALSE")</f>
        <v>FALSE</v>
      </c>
      <c r="F1218" s="198"/>
      <c r="J1218" s="184" t="str">
        <f>IFERROR(__xludf.DUMMYFUNCTION("""COMPUTED_VALUE"""),"")</f>
        <v/>
      </c>
      <c r="K1218" s="184"/>
      <c r="L1218" s="184"/>
      <c r="M1218" s="184"/>
      <c r="N1218" s="184"/>
      <c r="O1218" s="184"/>
      <c r="P1218" s="184"/>
      <c r="Q1218" s="184"/>
      <c r="R1218" s="184"/>
      <c r="S1218" s="184"/>
      <c r="T1218" s="184"/>
      <c r="U1218" s="184"/>
      <c r="V1218" s="184"/>
      <c r="W1218" s="184"/>
      <c r="X1218" s="184"/>
    </row>
    <row r="1219">
      <c r="A1219" s="198"/>
      <c r="D1219" s="198" t="str">
        <f>IFERROR(__xludf.DUMMYFUNCTION("""COMPUTED_VALUE"""),"FALSE")</f>
        <v>FALSE</v>
      </c>
      <c r="E1219" s="198" t="str">
        <f>IFERROR(__xludf.DUMMYFUNCTION("""COMPUTED_VALUE"""),"FALSE")</f>
        <v>FALSE</v>
      </c>
      <c r="F1219" s="198"/>
      <c r="J1219" s="184" t="str">
        <f>IFERROR(__xludf.DUMMYFUNCTION("""COMPUTED_VALUE"""),"")</f>
        <v/>
      </c>
      <c r="K1219" s="184"/>
      <c r="L1219" s="184"/>
      <c r="M1219" s="184"/>
      <c r="N1219" s="184"/>
      <c r="O1219" s="184"/>
      <c r="P1219" s="184"/>
      <c r="Q1219" s="184"/>
      <c r="R1219" s="184"/>
      <c r="S1219" s="184"/>
      <c r="T1219" s="184"/>
      <c r="U1219" s="184"/>
      <c r="V1219" s="184"/>
      <c r="W1219" s="184"/>
      <c r="X1219" s="184"/>
    </row>
    <row r="1220">
      <c r="A1220" s="198"/>
      <c r="D1220" s="198" t="str">
        <f>IFERROR(__xludf.DUMMYFUNCTION("""COMPUTED_VALUE"""),"FALSE")</f>
        <v>FALSE</v>
      </c>
      <c r="E1220" s="198" t="str">
        <f>IFERROR(__xludf.DUMMYFUNCTION("""COMPUTED_VALUE"""),"FALSE")</f>
        <v>FALSE</v>
      </c>
      <c r="F1220" s="198"/>
      <c r="J1220" s="184" t="str">
        <f>IFERROR(__xludf.DUMMYFUNCTION("""COMPUTED_VALUE"""),"")</f>
        <v/>
      </c>
      <c r="K1220" s="184"/>
      <c r="L1220" s="184"/>
      <c r="M1220" s="184"/>
      <c r="N1220" s="184"/>
      <c r="O1220" s="184"/>
      <c r="P1220" s="184"/>
      <c r="Q1220" s="184"/>
      <c r="R1220" s="184"/>
      <c r="S1220" s="184"/>
      <c r="T1220" s="184"/>
      <c r="U1220" s="184"/>
      <c r="V1220" s="184"/>
      <c r="W1220" s="184"/>
      <c r="X1220" s="184"/>
    </row>
    <row r="1221">
      <c r="A1221" s="198"/>
      <c r="D1221" s="198" t="str">
        <f>IFERROR(__xludf.DUMMYFUNCTION("""COMPUTED_VALUE"""),"FALSE")</f>
        <v>FALSE</v>
      </c>
      <c r="E1221" s="198" t="str">
        <f>IFERROR(__xludf.DUMMYFUNCTION("""COMPUTED_VALUE"""),"FALSE")</f>
        <v>FALSE</v>
      </c>
      <c r="F1221" s="198"/>
      <c r="J1221" s="184" t="str">
        <f>IFERROR(__xludf.DUMMYFUNCTION("""COMPUTED_VALUE"""),"")</f>
        <v/>
      </c>
      <c r="K1221" s="184"/>
      <c r="L1221" s="184"/>
      <c r="M1221" s="184"/>
      <c r="N1221" s="184"/>
      <c r="O1221" s="184"/>
      <c r="P1221" s="184"/>
      <c r="Q1221" s="184"/>
      <c r="R1221" s="184"/>
      <c r="S1221" s="184"/>
      <c r="T1221" s="184"/>
      <c r="U1221" s="184"/>
      <c r="V1221" s="184"/>
      <c r="W1221" s="184"/>
      <c r="X1221" s="184"/>
    </row>
    <row r="1222">
      <c r="A1222" s="198"/>
      <c r="D1222" s="198" t="str">
        <f>IFERROR(__xludf.DUMMYFUNCTION("""COMPUTED_VALUE"""),"FALSE")</f>
        <v>FALSE</v>
      </c>
      <c r="E1222" s="198" t="str">
        <f>IFERROR(__xludf.DUMMYFUNCTION("""COMPUTED_VALUE"""),"FALSE")</f>
        <v>FALSE</v>
      </c>
      <c r="F1222" s="198"/>
      <c r="J1222" s="184" t="str">
        <f>IFERROR(__xludf.DUMMYFUNCTION("""COMPUTED_VALUE"""),"")</f>
        <v/>
      </c>
      <c r="K1222" s="184"/>
      <c r="L1222" s="184"/>
      <c r="M1222" s="184"/>
      <c r="N1222" s="184"/>
      <c r="O1222" s="184"/>
      <c r="P1222" s="184"/>
      <c r="Q1222" s="184"/>
      <c r="R1222" s="184"/>
      <c r="S1222" s="184"/>
      <c r="T1222" s="184"/>
      <c r="U1222" s="184"/>
      <c r="V1222" s="184"/>
      <c r="W1222" s="184"/>
      <c r="X1222" s="184"/>
    </row>
    <row r="1223">
      <c r="A1223" s="198"/>
      <c r="D1223" s="198" t="str">
        <f>IFERROR(__xludf.DUMMYFUNCTION("""COMPUTED_VALUE"""),"FALSE")</f>
        <v>FALSE</v>
      </c>
      <c r="E1223" s="198" t="str">
        <f>IFERROR(__xludf.DUMMYFUNCTION("""COMPUTED_VALUE"""),"FALSE")</f>
        <v>FALSE</v>
      </c>
      <c r="F1223" s="198"/>
      <c r="J1223" s="184" t="str">
        <f>IFERROR(__xludf.DUMMYFUNCTION("""COMPUTED_VALUE"""),"")</f>
        <v/>
      </c>
      <c r="K1223" s="184"/>
      <c r="L1223" s="184"/>
      <c r="M1223" s="184"/>
      <c r="N1223" s="184"/>
      <c r="O1223" s="184"/>
      <c r="P1223" s="184"/>
      <c r="Q1223" s="184"/>
      <c r="R1223" s="184"/>
      <c r="S1223" s="184"/>
      <c r="T1223" s="184"/>
      <c r="U1223" s="184"/>
      <c r="V1223" s="184"/>
      <c r="W1223" s="184"/>
      <c r="X1223" s="184"/>
    </row>
    <row r="1224">
      <c r="A1224" s="198"/>
      <c r="D1224" s="198" t="str">
        <f>IFERROR(__xludf.DUMMYFUNCTION("""COMPUTED_VALUE"""),"FALSE")</f>
        <v>FALSE</v>
      </c>
      <c r="E1224" s="198" t="str">
        <f>IFERROR(__xludf.DUMMYFUNCTION("""COMPUTED_VALUE"""),"FALSE")</f>
        <v>FALSE</v>
      </c>
      <c r="F1224" s="198"/>
      <c r="J1224" s="184" t="str">
        <f>IFERROR(__xludf.DUMMYFUNCTION("""COMPUTED_VALUE"""),"")</f>
        <v/>
      </c>
      <c r="K1224" s="184"/>
      <c r="L1224" s="184"/>
      <c r="M1224" s="184"/>
      <c r="N1224" s="184"/>
      <c r="O1224" s="184"/>
      <c r="P1224" s="184"/>
      <c r="Q1224" s="184"/>
      <c r="R1224" s="184"/>
      <c r="S1224" s="184"/>
      <c r="T1224" s="184"/>
      <c r="U1224" s="184"/>
      <c r="V1224" s="184"/>
      <c r="W1224" s="184"/>
      <c r="X1224" s="184"/>
    </row>
    <row r="1225">
      <c r="A1225" s="198"/>
      <c r="D1225" s="198" t="str">
        <f>IFERROR(__xludf.DUMMYFUNCTION("""COMPUTED_VALUE"""),"FALSE")</f>
        <v>FALSE</v>
      </c>
      <c r="E1225" s="198" t="str">
        <f>IFERROR(__xludf.DUMMYFUNCTION("""COMPUTED_VALUE"""),"FALSE")</f>
        <v>FALSE</v>
      </c>
      <c r="F1225" s="198"/>
      <c r="J1225" s="184" t="str">
        <f>IFERROR(__xludf.DUMMYFUNCTION("""COMPUTED_VALUE"""),"")</f>
        <v/>
      </c>
      <c r="K1225" s="184"/>
      <c r="L1225" s="184"/>
      <c r="M1225" s="184"/>
      <c r="N1225" s="184"/>
      <c r="O1225" s="184"/>
      <c r="P1225" s="184"/>
      <c r="Q1225" s="184"/>
      <c r="R1225" s="184"/>
      <c r="S1225" s="184"/>
      <c r="T1225" s="184"/>
      <c r="U1225" s="184"/>
      <c r="V1225" s="184"/>
      <c r="W1225" s="184"/>
      <c r="X1225" s="184"/>
    </row>
    <row r="1226">
      <c r="A1226" s="198"/>
      <c r="D1226" s="198" t="str">
        <f>IFERROR(__xludf.DUMMYFUNCTION("""COMPUTED_VALUE"""),"FALSE")</f>
        <v>FALSE</v>
      </c>
      <c r="E1226" s="198" t="str">
        <f>IFERROR(__xludf.DUMMYFUNCTION("""COMPUTED_VALUE"""),"FALSE")</f>
        <v>FALSE</v>
      </c>
      <c r="F1226" s="198"/>
      <c r="J1226" s="184" t="str">
        <f>IFERROR(__xludf.DUMMYFUNCTION("""COMPUTED_VALUE"""),"")</f>
        <v/>
      </c>
      <c r="K1226" s="184"/>
      <c r="L1226" s="184"/>
      <c r="M1226" s="184"/>
      <c r="N1226" s="184"/>
      <c r="O1226" s="184"/>
      <c r="P1226" s="184"/>
      <c r="Q1226" s="184"/>
      <c r="R1226" s="184"/>
      <c r="S1226" s="184"/>
      <c r="T1226" s="184"/>
      <c r="U1226" s="184"/>
      <c r="V1226" s="184"/>
      <c r="W1226" s="184"/>
      <c r="X1226" s="184"/>
    </row>
    <row r="1227">
      <c r="A1227" s="198"/>
      <c r="D1227" s="198" t="str">
        <f>IFERROR(__xludf.DUMMYFUNCTION("""COMPUTED_VALUE"""),"FALSE")</f>
        <v>FALSE</v>
      </c>
      <c r="E1227" s="198" t="str">
        <f>IFERROR(__xludf.DUMMYFUNCTION("""COMPUTED_VALUE"""),"FALSE")</f>
        <v>FALSE</v>
      </c>
      <c r="F1227" s="198"/>
      <c r="J1227" s="184" t="str">
        <f>IFERROR(__xludf.DUMMYFUNCTION("""COMPUTED_VALUE"""),"")</f>
        <v/>
      </c>
      <c r="K1227" s="184"/>
      <c r="L1227" s="184"/>
      <c r="M1227" s="184"/>
      <c r="N1227" s="184"/>
      <c r="O1227" s="184"/>
      <c r="P1227" s="184"/>
      <c r="Q1227" s="184"/>
      <c r="R1227" s="184"/>
      <c r="S1227" s="184"/>
      <c r="T1227" s="184"/>
      <c r="U1227" s="184"/>
      <c r="V1227" s="184"/>
      <c r="W1227" s="184"/>
      <c r="X1227" s="184"/>
    </row>
    <row r="1228">
      <c r="A1228" s="198"/>
      <c r="D1228" s="198" t="str">
        <f>IFERROR(__xludf.DUMMYFUNCTION("""COMPUTED_VALUE"""),"FALSE")</f>
        <v>FALSE</v>
      </c>
      <c r="E1228" s="198" t="str">
        <f>IFERROR(__xludf.DUMMYFUNCTION("""COMPUTED_VALUE"""),"FALSE")</f>
        <v>FALSE</v>
      </c>
      <c r="F1228" s="198"/>
      <c r="J1228" s="184" t="str">
        <f>IFERROR(__xludf.DUMMYFUNCTION("""COMPUTED_VALUE"""),"")</f>
        <v/>
      </c>
      <c r="K1228" s="184"/>
      <c r="L1228" s="184"/>
      <c r="M1228" s="184"/>
      <c r="N1228" s="184"/>
      <c r="O1228" s="184"/>
      <c r="P1228" s="184"/>
      <c r="Q1228" s="184"/>
      <c r="R1228" s="184"/>
      <c r="S1228" s="184"/>
      <c r="T1228" s="184"/>
      <c r="U1228" s="184"/>
      <c r="V1228" s="184"/>
      <c r="W1228" s="184"/>
      <c r="X1228" s="184"/>
    </row>
    <row r="1229">
      <c r="A1229" s="198"/>
      <c r="D1229" s="198" t="str">
        <f>IFERROR(__xludf.DUMMYFUNCTION("""COMPUTED_VALUE"""),"FALSE")</f>
        <v>FALSE</v>
      </c>
      <c r="E1229" s="198" t="str">
        <f>IFERROR(__xludf.DUMMYFUNCTION("""COMPUTED_VALUE"""),"FALSE")</f>
        <v>FALSE</v>
      </c>
      <c r="F1229" s="198"/>
      <c r="J1229" s="184" t="str">
        <f>IFERROR(__xludf.DUMMYFUNCTION("""COMPUTED_VALUE"""),"")</f>
        <v/>
      </c>
      <c r="K1229" s="184"/>
      <c r="L1229" s="184"/>
      <c r="M1229" s="184"/>
      <c r="N1229" s="184"/>
      <c r="O1229" s="184"/>
      <c r="P1229" s="184"/>
      <c r="Q1229" s="184"/>
      <c r="R1229" s="184"/>
      <c r="S1229" s="184"/>
      <c r="T1229" s="184"/>
      <c r="U1229" s="184"/>
      <c r="V1229" s="184"/>
      <c r="W1229" s="184"/>
      <c r="X1229" s="184"/>
    </row>
    <row r="1230">
      <c r="A1230" s="198"/>
      <c r="D1230" s="198" t="str">
        <f>IFERROR(__xludf.DUMMYFUNCTION("""COMPUTED_VALUE"""),"FALSE")</f>
        <v>FALSE</v>
      </c>
      <c r="E1230" s="198" t="str">
        <f>IFERROR(__xludf.DUMMYFUNCTION("""COMPUTED_VALUE"""),"FALSE")</f>
        <v>FALSE</v>
      </c>
      <c r="F1230" s="198"/>
      <c r="J1230" s="184" t="str">
        <f>IFERROR(__xludf.DUMMYFUNCTION("""COMPUTED_VALUE"""),"")</f>
        <v/>
      </c>
      <c r="K1230" s="184"/>
      <c r="L1230" s="184"/>
      <c r="M1230" s="184"/>
      <c r="N1230" s="184"/>
      <c r="O1230" s="184"/>
      <c r="P1230" s="184"/>
      <c r="Q1230" s="184"/>
      <c r="R1230" s="184"/>
      <c r="S1230" s="184"/>
      <c r="T1230" s="184"/>
      <c r="U1230" s="184"/>
      <c r="V1230" s="184"/>
      <c r="W1230" s="184"/>
      <c r="X1230" s="184"/>
    </row>
    <row r="1231">
      <c r="A1231" s="198"/>
      <c r="D1231" s="198" t="str">
        <f>IFERROR(__xludf.DUMMYFUNCTION("""COMPUTED_VALUE"""),"FALSE")</f>
        <v>FALSE</v>
      </c>
      <c r="E1231" s="198" t="str">
        <f>IFERROR(__xludf.DUMMYFUNCTION("""COMPUTED_VALUE"""),"FALSE")</f>
        <v>FALSE</v>
      </c>
      <c r="F1231" s="198"/>
      <c r="J1231" s="184" t="str">
        <f>IFERROR(__xludf.DUMMYFUNCTION("""COMPUTED_VALUE"""),"")</f>
        <v/>
      </c>
      <c r="K1231" s="184"/>
      <c r="L1231" s="184"/>
      <c r="M1231" s="184"/>
      <c r="N1231" s="184"/>
      <c r="O1231" s="184"/>
      <c r="P1231" s="184"/>
      <c r="Q1231" s="184"/>
      <c r="R1231" s="184"/>
      <c r="S1231" s="184"/>
      <c r="T1231" s="184"/>
      <c r="U1231" s="184"/>
      <c r="V1231" s="184"/>
      <c r="W1231" s="184"/>
      <c r="X1231" s="184"/>
    </row>
    <row r="1232">
      <c r="A1232" s="198"/>
      <c r="D1232" s="198" t="str">
        <f>IFERROR(__xludf.DUMMYFUNCTION("""COMPUTED_VALUE"""),"FALSE")</f>
        <v>FALSE</v>
      </c>
      <c r="E1232" s="198" t="str">
        <f>IFERROR(__xludf.DUMMYFUNCTION("""COMPUTED_VALUE"""),"FALSE")</f>
        <v>FALSE</v>
      </c>
      <c r="F1232" s="198"/>
      <c r="J1232" s="184" t="str">
        <f>IFERROR(__xludf.DUMMYFUNCTION("""COMPUTED_VALUE"""),"")</f>
        <v/>
      </c>
      <c r="K1232" s="184"/>
      <c r="L1232" s="184"/>
      <c r="M1232" s="184"/>
      <c r="N1232" s="184"/>
      <c r="O1232" s="184"/>
      <c r="P1232" s="184"/>
      <c r="Q1232" s="184"/>
      <c r="R1232" s="184"/>
      <c r="S1232" s="184"/>
      <c r="T1232" s="184"/>
      <c r="U1232" s="184"/>
      <c r="V1232" s="184"/>
      <c r="W1232" s="184"/>
      <c r="X1232" s="184"/>
    </row>
    <row r="1233">
      <c r="A1233" s="198"/>
      <c r="D1233" s="198" t="str">
        <f>IFERROR(__xludf.DUMMYFUNCTION("""COMPUTED_VALUE"""),"FALSE")</f>
        <v>FALSE</v>
      </c>
      <c r="E1233" s="198" t="str">
        <f>IFERROR(__xludf.DUMMYFUNCTION("""COMPUTED_VALUE"""),"FALSE")</f>
        <v>FALSE</v>
      </c>
      <c r="F1233" s="198"/>
      <c r="J1233" s="184" t="str">
        <f>IFERROR(__xludf.DUMMYFUNCTION("""COMPUTED_VALUE"""),"")</f>
        <v/>
      </c>
      <c r="K1233" s="184"/>
      <c r="L1233" s="184"/>
      <c r="M1233" s="184"/>
      <c r="N1233" s="184"/>
      <c r="O1233" s="184"/>
      <c r="P1233" s="184"/>
      <c r="Q1233" s="184"/>
      <c r="R1233" s="184"/>
      <c r="S1233" s="184"/>
      <c r="T1233" s="184"/>
      <c r="U1233" s="184"/>
      <c r="V1233" s="184"/>
      <c r="W1233" s="184"/>
      <c r="X1233" s="184"/>
    </row>
    <row r="1234">
      <c r="A1234" s="198"/>
      <c r="D1234" s="198" t="str">
        <f>IFERROR(__xludf.DUMMYFUNCTION("""COMPUTED_VALUE"""),"FALSE")</f>
        <v>FALSE</v>
      </c>
      <c r="E1234" s="198" t="str">
        <f>IFERROR(__xludf.DUMMYFUNCTION("""COMPUTED_VALUE"""),"FALSE")</f>
        <v>FALSE</v>
      </c>
      <c r="F1234" s="198"/>
      <c r="J1234" s="184" t="str">
        <f>IFERROR(__xludf.DUMMYFUNCTION("""COMPUTED_VALUE"""),"")</f>
        <v/>
      </c>
      <c r="K1234" s="184"/>
      <c r="L1234" s="184"/>
      <c r="M1234" s="184"/>
      <c r="N1234" s="184"/>
      <c r="O1234" s="184"/>
      <c r="P1234" s="184"/>
      <c r="Q1234" s="184"/>
      <c r="R1234" s="184"/>
      <c r="S1234" s="184"/>
      <c r="T1234" s="184"/>
      <c r="U1234" s="184"/>
      <c r="V1234" s="184"/>
      <c r="W1234" s="184"/>
      <c r="X1234" s="184"/>
    </row>
    <row r="1235">
      <c r="A1235" s="198"/>
      <c r="D1235" s="198" t="str">
        <f>IFERROR(__xludf.DUMMYFUNCTION("""COMPUTED_VALUE"""),"FALSE")</f>
        <v>FALSE</v>
      </c>
      <c r="E1235" s="198" t="str">
        <f>IFERROR(__xludf.DUMMYFUNCTION("""COMPUTED_VALUE"""),"FALSE")</f>
        <v>FALSE</v>
      </c>
      <c r="F1235" s="198"/>
      <c r="J1235" s="184" t="str">
        <f>IFERROR(__xludf.DUMMYFUNCTION("""COMPUTED_VALUE"""),"")</f>
        <v/>
      </c>
      <c r="K1235" s="184"/>
      <c r="L1235" s="184"/>
      <c r="M1235" s="184"/>
      <c r="N1235" s="184"/>
      <c r="O1235" s="184"/>
      <c r="P1235" s="184"/>
      <c r="Q1235" s="184"/>
      <c r="R1235" s="184"/>
      <c r="S1235" s="184"/>
      <c r="T1235" s="184"/>
      <c r="U1235" s="184"/>
      <c r="V1235" s="184"/>
      <c r="W1235" s="184"/>
      <c r="X1235" s="184"/>
    </row>
    <row r="1236">
      <c r="A1236" s="198"/>
      <c r="D1236" s="198" t="str">
        <f>IFERROR(__xludf.DUMMYFUNCTION("""COMPUTED_VALUE"""),"FALSE")</f>
        <v>FALSE</v>
      </c>
      <c r="E1236" s="198" t="str">
        <f>IFERROR(__xludf.DUMMYFUNCTION("""COMPUTED_VALUE"""),"FALSE")</f>
        <v>FALSE</v>
      </c>
      <c r="F1236" s="198"/>
      <c r="J1236" s="184" t="str">
        <f>IFERROR(__xludf.DUMMYFUNCTION("""COMPUTED_VALUE"""),"")</f>
        <v/>
      </c>
      <c r="K1236" s="184"/>
      <c r="L1236" s="184"/>
      <c r="M1236" s="184"/>
      <c r="N1236" s="184"/>
      <c r="O1236" s="184"/>
      <c r="P1236" s="184"/>
      <c r="Q1236" s="184"/>
      <c r="R1236" s="184"/>
      <c r="S1236" s="184"/>
      <c r="T1236" s="184"/>
      <c r="U1236" s="184"/>
      <c r="V1236" s="184"/>
      <c r="W1236" s="184"/>
      <c r="X1236" s="184"/>
    </row>
    <row r="1237">
      <c r="A1237" s="198"/>
      <c r="D1237" s="198" t="str">
        <f>IFERROR(__xludf.DUMMYFUNCTION("""COMPUTED_VALUE"""),"FALSE")</f>
        <v>FALSE</v>
      </c>
      <c r="E1237" s="198" t="str">
        <f>IFERROR(__xludf.DUMMYFUNCTION("""COMPUTED_VALUE"""),"FALSE")</f>
        <v>FALSE</v>
      </c>
      <c r="F1237" s="198"/>
      <c r="J1237" s="184" t="str">
        <f>IFERROR(__xludf.DUMMYFUNCTION("""COMPUTED_VALUE"""),"")</f>
        <v/>
      </c>
      <c r="K1237" s="184"/>
      <c r="L1237" s="184"/>
      <c r="M1237" s="184"/>
      <c r="N1237" s="184"/>
      <c r="O1237" s="184"/>
      <c r="P1237" s="184"/>
      <c r="Q1237" s="184"/>
      <c r="R1237" s="184"/>
      <c r="S1237" s="184"/>
      <c r="T1237" s="184"/>
      <c r="U1237" s="184"/>
      <c r="V1237" s="184"/>
      <c r="W1237" s="184"/>
      <c r="X1237" s="184"/>
    </row>
    <row r="1238">
      <c r="A1238" s="198"/>
      <c r="D1238" s="198" t="str">
        <f>IFERROR(__xludf.DUMMYFUNCTION("""COMPUTED_VALUE"""),"FALSE")</f>
        <v>FALSE</v>
      </c>
      <c r="E1238" s="198" t="str">
        <f>IFERROR(__xludf.DUMMYFUNCTION("""COMPUTED_VALUE"""),"FALSE")</f>
        <v>FALSE</v>
      </c>
      <c r="F1238" s="198"/>
      <c r="J1238" s="184" t="str">
        <f>IFERROR(__xludf.DUMMYFUNCTION("""COMPUTED_VALUE"""),"")</f>
        <v/>
      </c>
      <c r="K1238" s="184"/>
      <c r="L1238" s="184"/>
      <c r="M1238" s="184"/>
      <c r="N1238" s="184"/>
      <c r="O1238" s="184"/>
      <c r="P1238" s="184"/>
      <c r="Q1238" s="184"/>
      <c r="R1238" s="184"/>
      <c r="S1238" s="184"/>
      <c r="T1238" s="184"/>
      <c r="U1238" s="184"/>
      <c r="V1238" s="184"/>
      <c r="W1238" s="184"/>
      <c r="X1238" s="184"/>
    </row>
    <row r="1239">
      <c r="A1239" s="198"/>
      <c r="D1239" s="198" t="str">
        <f>IFERROR(__xludf.DUMMYFUNCTION("""COMPUTED_VALUE"""),"FALSE")</f>
        <v>FALSE</v>
      </c>
      <c r="E1239" s="198" t="str">
        <f>IFERROR(__xludf.DUMMYFUNCTION("""COMPUTED_VALUE"""),"FALSE")</f>
        <v>FALSE</v>
      </c>
      <c r="F1239" s="198"/>
      <c r="J1239" s="184" t="str">
        <f>IFERROR(__xludf.DUMMYFUNCTION("""COMPUTED_VALUE"""),"")</f>
        <v/>
      </c>
      <c r="K1239" s="184"/>
      <c r="L1239" s="184"/>
      <c r="M1239" s="184"/>
      <c r="N1239" s="184"/>
      <c r="O1239" s="184"/>
      <c r="P1239" s="184"/>
      <c r="Q1239" s="184"/>
      <c r="R1239" s="184"/>
      <c r="S1239" s="184"/>
      <c r="T1239" s="184"/>
      <c r="U1239" s="184"/>
      <c r="V1239" s="184"/>
      <c r="W1239" s="184"/>
      <c r="X1239" s="184"/>
    </row>
    <row r="1240">
      <c r="A1240" s="198"/>
      <c r="D1240" s="198" t="str">
        <f>IFERROR(__xludf.DUMMYFUNCTION("""COMPUTED_VALUE"""),"FALSE")</f>
        <v>FALSE</v>
      </c>
      <c r="E1240" s="198" t="str">
        <f>IFERROR(__xludf.DUMMYFUNCTION("""COMPUTED_VALUE"""),"FALSE")</f>
        <v>FALSE</v>
      </c>
      <c r="F1240" s="198"/>
      <c r="J1240" s="184" t="str">
        <f>IFERROR(__xludf.DUMMYFUNCTION("""COMPUTED_VALUE"""),"")</f>
        <v/>
      </c>
      <c r="K1240" s="184"/>
      <c r="L1240" s="184"/>
      <c r="M1240" s="184"/>
      <c r="N1240" s="184"/>
      <c r="O1240" s="184"/>
      <c r="P1240" s="184"/>
      <c r="Q1240" s="184"/>
      <c r="R1240" s="184"/>
      <c r="S1240" s="184"/>
      <c r="T1240" s="184"/>
      <c r="U1240" s="184"/>
      <c r="V1240" s="184"/>
      <c r="W1240" s="184"/>
      <c r="X1240" s="184"/>
    </row>
    <row r="1241">
      <c r="A1241" s="198"/>
      <c r="D1241" s="198" t="str">
        <f>IFERROR(__xludf.DUMMYFUNCTION("""COMPUTED_VALUE"""),"FALSE")</f>
        <v>FALSE</v>
      </c>
      <c r="E1241" s="198" t="str">
        <f>IFERROR(__xludf.DUMMYFUNCTION("""COMPUTED_VALUE"""),"FALSE")</f>
        <v>FALSE</v>
      </c>
      <c r="F1241" s="198"/>
      <c r="J1241" s="184" t="str">
        <f>IFERROR(__xludf.DUMMYFUNCTION("""COMPUTED_VALUE"""),"")</f>
        <v/>
      </c>
      <c r="K1241" s="184"/>
      <c r="L1241" s="184"/>
      <c r="M1241" s="184"/>
      <c r="N1241" s="184"/>
      <c r="O1241" s="184"/>
      <c r="P1241" s="184"/>
      <c r="Q1241" s="184"/>
      <c r="R1241" s="184"/>
      <c r="S1241" s="184"/>
      <c r="T1241" s="184"/>
      <c r="U1241" s="184"/>
      <c r="V1241" s="184"/>
      <c r="W1241" s="184"/>
      <c r="X1241" s="184"/>
    </row>
    <row r="1242">
      <c r="A1242" s="198"/>
      <c r="D1242" s="198" t="str">
        <f>IFERROR(__xludf.DUMMYFUNCTION("""COMPUTED_VALUE"""),"FALSE")</f>
        <v>FALSE</v>
      </c>
      <c r="E1242" s="198" t="str">
        <f>IFERROR(__xludf.DUMMYFUNCTION("""COMPUTED_VALUE"""),"FALSE")</f>
        <v>FALSE</v>
      </c>
      <c r="F1242" s="198"/>
      <c r="J1242" s="184" t="str">
        <f>IFERROR(__xludf.DUMMYFUNCTION("""COMPUTED_VALUE"""),"")</f>
        <v/>
      </c>
      <c r="K1242" s="184"/>
      <c r="L1242" s="184"/>
      <c r="M1242" s="184"/>
      <c r="N1242" s="184"/>
      <c r="O1242" s="184"/>
      <c r="P1242" s="184"/>
      <c r="Q1242" s="184"/>
      <c r="R1242" s="184"/>
      <c r="S1242" s="184"/>
      <c r="T1242" s="184"/>
      <c r="U1242" s="184"/>
      <c r="V1242" s="184"/>
      <c r="W1242" s="184"/>
      <c r="X1242" s="184"/>
    </row>
    <row r="1243">
      <c r="A1243" s="198"/>
      <c r="D1243" s="198" t="str">
        <f>IFERROR(__xludf.DUMMYFUNCTION("""COMPUTED_VALUE"""),"FALSE")</f>
        <v>FALSE</v>
      </c>
      <c r="E1243" s="198" t="str">
        <f>IFERROR(__xludf.DUMMYFUNCTION("""COMPUTED_VALUE"""),"FALSE")</f>
        <v>FALSE</v>
      </c>
      <c r="F1243" s="198"/>
      <c r="J1243" s="184" t="str">
        <f>IFERROR(__xludf.DUMMYFUNCTION("""COMPUTED_VALUE"""),"")</f>
        <v/>
      </c>
      <c r="K1243" s="184"/>
      <c r="L1243" s="184"/>
      <c r="M1243" s="184"/>
      <c r="N1243" s="184"/>
      <c r="O1243" s="184"/>
      <c r="P1243" s="184"/>
      <c r="Q1243" s="184"/>
      <c r="R1243" s="184"/>
      <c r="S1243" s="184"/>
      <c r="T1243" s="184"/>
      <c r="U1243" s="184"/>
      <c r="V1243" s="184"/>
      <c r="W1243" s="184"/>
      <c r="X1243" s="184"/>
    </row>
    <row r="1244">
      <c r="A1244" s="198"/>
      <c r="D1244" s="198" t="str">
        <f>IFERROR(__xludf.DUMMYFUNCTION("""COMPUTED_VALUE"""),"FALSE")</f>
        <v>FALSE</v>
      </c>
      <c r="E1244" s="198" t="str">
        <f>IFERROR(__xludf.DUMMYFUNCTION("""COMPUTED_VALUE"""),"FALSE")</f>
        <v>FALSE</v>
      </c>
      <c r="F1244" s="198"/>
      <c r="J1244" s="184" t="str">
        <f>IFERROR(__xludf.DUMMYFUNCTION("""COMPUTED_VALUE"""),"")</f>
        <v/>
      </c>
      <c r="K1244" s="184"/>
      <c r="L1244" s="184"/>
      <c r="M1244" s="184"/>
      <c r="N1244" s="184"/>
      <c r="O1244" s="184"/>
      <c r="P1244" s="184"/>
      <c r="Q1244" s="184"/>
      <c r="R1244" s="184"/>
      <c r="S1244" s="184"/>
      <c r="T1244" s="184"/>
      <c r="U1244" s="184"/>
      <c r="V1244" s="184"/>
      <c r="W1244" s="184"/>
      <c r="X1244" s="184"/>
    </row>
    <row r="1245">
      <c r="A1245" s="198"/>
      <c r="D1245" s="198" t="str">
        <f>IFERROR(__xludf.DUMMYFUNCTION("""COMPUTED_VALUE"""),"FALSE")</f>
        <v>FALSE</v>
      </c>
      <c r="E1245" s="198" t="str">
        <f>IFERROR(__xludf.DUMMYFUNCTION("""COMPUTED_VALUE"""),"FALSE")</f>
        <v>FALSE</v>
      </c>
      <c r="F1245" s="198"/>
      <c r="J1245" s="184" t="str">
        <f>IFERROR(__xludf.DUMMYFUNCTION("""COMPUTED_VALUE"""),"")</f>
        <v/>
      </c>
      <c r="K1245" s="184"/>
      <c r="L1245" s="184"/>
      <c r="M1245" s="184"/>
      <c r="N1245" s="184"/>
      <c r="O1245" s="184"/>
      <c r="P1245" s="184"/>
      <c r="Q1245" s="184"/>
      <c r="R1245" s="184"/>
      <c r="S1245" s="184"/>
      <c r="T1245" s="184"/>
      <c r="U1245" s="184"/>
      <c r="V1245" s="184"/>
      <c r="W1245" s="184"/>
      <c r="X1245" s="184"/>
    </row>
    <row r="1246">
      <c r="A1246" s="198"/>
      <c r="D1246" s="198" t="str">
        <f>IFERROR(__xludf.DUMMYFUNCTION("""COMPUTED_VALUE"""),"FALSE")</f>
        <v>FALSE</v>
      </c>
      <c r="E1246" s="198" t="str">
        <f>IFERROR(__xludf.DUMMYFUNCTION("""COMPUTED_VALUE"""),"FALSE")</f>
        <v>FALSE</v>
      </c>
      <c r="F1246" s="198"/>
      <c r="J1246" s="184" t="str">
        <f>IFERROR(__xludf.DUMMYFUNCTION("""COMPUTED_VALUE"""),"")</f>
        <v/>
      </c>
      <c r="K1246" s="184"/>
      <c r="L1246" s="184"/>
      <c r="M1246" s="184"/>
      <c r="N1246" s="184"/>
      <c r="O1246" s="184"/>
      <c r="P1246" s="184"/>
      <c r="Q1246" s="184"/>
      <c r="R1246" s="184"/>
      <c r="S1246" s="184"/>
      <c r="T1246" s="184"/>
      <c r="U1246" s="184"/>
      <c r="V1246" s="184"/>
      <c r="W1246" s="184"/>
      <c r="X1246" s="184"/>
    </row>
    <row r="1247">
      <c r="A1247" s="198"/>
      <c r="D1247" s="198" t="str">
        <f>IFERROR(__xludf.DUMMYFUNCTION("""COMPUTED_VALUE"""),"FALSE")</f>
        <v>FALSE</v>
      </c>
      <c r="E1247" s="198" t="str">
        <f>IFERROR(__xludf.DUMMYFUNCTION("""COMPUTED_VALUE"""),"FALSE")</f>
        <v>FALSE</v>
      </c>
      <c r="F1247" s="198"/>
      <c r="J1247" s="184" t="str">
        <f>IFERROR(__xludf.DUMMYFUNCTION("""COMPUTED_VALUE"""),"")</f>
        <v/>
      </c>
      <c r="K1247" s="184"/>
      <c r="L1247" s="184"/>
      <c r="M1247" s="184"/>
      <c r="N1247" s="184"/>
      <c r="O1247" s="184"/>
      <c r="P1247" s="184"/>
      <c r="Q1247" s="184"/>
      <c r="R1247" s="184"/>
      <c r="S1247" s="184"/>
      <c r="T1247" s="184"/>
      <c r="U1247" s="184"/>
      <c r="V1247" s="184"/>
      <c r="W1247" s="184"/>
      <c r="X1247" s="184"/>
    </row>
    <row r="1248">
      <c r="A1248" s="198"/>
      <c r="D1248" s="198" t="str">
        <f>IFERROR(__xludf.DUMMYFUNCTION("""COMPUTED_VALUE"""),"FALSE")</f>
        <v>FALSE</v>
      </c>
      <c r="E1248" s="198" t="str">
        <f>IFERROR(__xludf.DUMMYFUNCTION("""COMPUTED_VALUE"""),"FALSE")</f>
        <v>FALSE</v>
      </c>
      <c r="F1248" s="198"/>
      <c r="J1248" s="184" t="str">
        <f>IFERROR(__xludf.DUMMYFUNCTION("""COMPUTED_VALUE"""),"")</f>
        <v/>
      </c>
      <c r="K1248" s="184"/>
      <c r="L1248" s="184"/>
      <c r="M1248" s="184"/>
      <c r="N1248" s="184"/>
      <c r="O1248" s="184"/>
      <c r="P1248" s="184"/>
      <c r="Q1248" s="184"/>
      <c r="R1248" s="184"/>
      <c r="S1248" s="184"/>
      <c r="T1248" s="184"/>
      <c r="U1248" s="184"/>
      <c r="V1248" s="184"/>
      <c r="W1248" s="184"/>
      <c r="X1248" s="184"/>
    </row>
    <row r="1249">
      <c r="A1249" s="198"/>
      <c r="D1249" s="198" t="str">
        <f>IFERROR(__xludf.DUMMYFUNCTION("""COMPUTED_VALUE"""),"FALSE")</f>
        <v>FALSE</v>
      </c>
      <c r="E1249" s="198" t="str">
        <f>IFERROR(__xludf.DUMMYFUNCTION("""COMPUTED_VALUE"""),"FALSE")</f>
        <v>FALSE</v>
      </c>
      <c r="F1249" s="198"/>
      <c r="J1249" s="184" t="str">
        <f>IFERROR(__xludf.DUMMYFUNCTION("""COMPUTED_VALUE"""),"")</f>
        <v/>
      </c>
      <c r="K1249" s="184"/>
      <c r="L1249" s="184"/>
      <c r="M1249" s="184"/>
      <c r="N1249" s="184"/>
      <c r="O1249" s="184"/>
      <c r="P1249" s="184"/>
      <c r="Q1249" s="184"/>
      <c r="R1249" s="184"/>
      <c r="S1249" s="184"/>
      <c r="T1249" s="184"/>
      <c r="U1249" s="184"/>
      <c r="V1249" s="184"/>
      <c r="W1249" s="184"/>
      <c r="X1249" s="184"/>
    </row>
    <row r="1250">
      <c r="A1250" s="198"/>
      <c r="D1250" s="198" t="str">
        <f>IFERROR(__xludf.DUMMYFUNCTION("""COMPUTED_VALUE"""),"FALSE")</f>
        <v>FALSE</v>
      </c>
      <c r="E1250" s="198" t="str">
        <f>IFERROR(__xludf.DUMMYFUNCTION("""COMPUTED_VALUE"""),"FALSE")</f>
        <v>FALSE</v>
      </c>
      <c r="F1250" s="198"/>
      <c r="J1250" s="184" t="str">
        <f>IFERROR(__xludf.DUMMYFUNCTION("""COMPUTED_VALUE"""),"")</f>
        <v/>
      </c>
      <c r="K1250" s="184"/>
      <c r="L1250" s="184"/>
      <c r="M1250" s="184"/>
      <c r="N1250" s="184"/>
      <c r="O1250" s="184"/>
      <c r="P1250" s="184"/>
      <c r="Q1250" s="184"/>
      <c r="R1250" s="184"/>
      <c r="S1250" s="184"/>
      <c r="T1250" s="184"/>
      <c r="U1250" s="184"/>
      <c r="V1250" s="184"/>
      <c r="W1250" s="184"/>
      <c r="X1250" s="184"/>
    </row>
    <row r="1251">
      <c r="A1251" s="198"/>
      <c r="D1251" s="198" t="str">
        <f>IFERROR(__xludf.DUMMYFUNCTION("""COMPUTED_VALUE"""),"FALSE")</f>
        <v>FALSE</v>
      </c>
      <c r="E1251" s="198" t="str">
        <f>IFERROR(__xludf.DUMMYFUNCTION("""COMPUTED_VALUE"""),"FALSE")</f>
        <v>FALSE</v>
      </c>
      <c r="F1251" s="198"/>
      <c r="J1251" s="184" t="str">
        <f>IFERROR(__xludf.DUMMYFUNCTION("""COMPUTED_VALUE"""),"")</f>
        <v/>
      </c>
      <c r="K1251" s="184"/>
      <c r="L1251" s="184"/>
      <c r="M1251" s="184"/>
      <c r="N1251" s="184"/>
      <c r="O1251" s="184"/>
      <c r="P1251" s="184"/>
      <c r="Q1251" s="184"/>
      <c r="R1251" s="184"/>
      <c r="S1251" s="184"/>
      <c r="T1251" s="184"/>
      <c r="U1251" s="184"/>
      <c r="V1251" s="184"/>
      <c r="W1251" s="184"/>
      <c r="X1251" s="184"/>
    </row>
    <row r="1252">
      <c r="A1252" s="198"/>
      <c r="D1252" s="198" t="str">
        <f>IFERROR(__xludf.DUMMYFUNCTION("""COMPUTED_VALUE"""),"FALSE")</f>
        <v>FALSE</v>
      </c>
      <c r="E1252" s="198" t="str">
        <f>IFERROR(__xludf.DUMMYFUNCTION("""COMPUTED_VALUE"""),"FALSE")</f>
        <v>FALSE</v>
      </c>
      <c r="F1252" s="198"/>
      <c r="J1252" s="184" t="str">
        <f>IFERROR(__xludf.DUMMYFUNCTION("""COMPUTED_VALUE"""),"")</f>
        <v/>
      </c>
      <c r="K1252" s="184"/>
      <c r="L1252" s="184"/>
      <c r="M1252" s="184"/>
      <c r="N1252" s="184"/>
      <c r="O1252" s="184"/>
      <c r="P1252" s="184"/>
      <c r="Q1252" s="184"/>
      <c r="R1252" s="184"/>
      <c r="S1252" s="184"/>
      <c r="T1252" s="184"/>
      <c r="U1252" s="184"/>
      <c r="V1252" s="184"/>
      <c r="W1252" s="184"/>
      <c r="X1252" s="184"/>
    </row>
    <row r="1253">
      <c r="A1253" s="198"/>
      <c r="D1253" s="198" t="str">
        <f>IFERROR(__xludf.DUMMYFUNCTION("""COMPUTED_VALUE"""),"FALSE")</f>
        <v>FALSE</v>
      </c>
      <c r="E1253" s="198" t="str">
        <f>IFERROR(__xludf.DUMMYFUNCTION("""COMPUTED_VALUE"""),"FALSE")</f>
        <v>FALSE</v>
      </c>
      <c r="F1253" s="198"/>
      <c r="J1253" s="184" t="str">
        <f>IFERROR(__xludf.DUMMYFUNCTION("""COMPUTED_VALUE"""),"")</f>
        <v/>
      </c>
      <c r="K1253" s="184"/>
      <c r="L1253" s="184"/>
      <c r="M1253" s="184"/>
      <c r="N1253" s="184"/>
      <c r="O1253" s="184"/>
      <c r="P1253" s="184"/>
      <c r="Q1253" s="184"/>
      <c r="R1253" s="184"/>
      <c r="S1253" s="184"/>
      <c r="T1253" s="184"/>
      <c r="U1253" s="184"/>
      <c r="V1253" s="184"/>
      <c r="W1253" s="184"/>
      <c r="X1253" s="184"/>
    </row>
    <row r="1254">
      <c r="A1254" s="198"/>
      <c r="D1254" s="198" t="str">
        <f>IFERROR(__xludf.DUMMYFUNCTION("""COMPUTED_VALUE"""),"FALSE")</f>
        <v>FALSE</v>
      </c>
      <c r="E1254" s="198" t="str">
        <f>IFERROR(__xludf.DUMMYFUNCTION("""COMPUTED_VALUE"""),"FALSE")</f>
        <v>FALSE</v>
      </c>
      <c r="F1254" s="198"/>
      <c r="J1254" s="184" t="str">
        <f>IFERROR(__xludf.DUMMYFUNCTION("""COMPUTED_VALUE"""),"")</f>
        <v/>
      </c>
      <c r="K1254" s="184"/>
      <c r="L1254" s="184"/>
      <c r="M1254" s="184"/>
      <c r="N1254" s="184"/>
      <c r="O1254" s="184"/>
      <c r="P1254" s="184"/>
      <c r="Q1254" s="184"/>
      <c r="R1254" s="184"/>
      <c r="S1254" s="184"/>
      <c r="T1254" s="184"/>
      <c r="U1254" s="184"/>
      <c r="V1254" s="184"/>
      <c r="W1254" s="184"/>
      <c r="X1254" s="184"/>
    </row>
    <row r="1255">
      <c r="A1255" s="198"/>
      <c r="D1255" s="198" t="str">
        <f>IFERROR(__xludf.DUMMYFUNCTION("""COMPUTED_VALUE"""),"FALSE")</f>
        <v>FALSE</v>
      </c>
      <c r="E1255" s="198" t="str">
        <f>IFERROR(__xludf.DUMMYFUNCTION("""COMPUTED_VALUE"""),"FALSE")</f>
        <v>FALSE</v>
      </c>
      <c r="F1255" s="198"/>
      <c r="J1255" s="184" t="str">
        <f>IFERROR(__xludf.DUMMYFUNCTION("""COMPUTED_VALUE"""),"")</f>
        <v/>
      </c>
      <c r="K1255" s="184"/>
      <c r="L1255" s="184"/>
      <c r="M1255" s="184"/>
      <c r="N1255" s="184"/>
      <c r="O1255" s="184"/>
      <c r="P1255" s="184"/>
      <c r="Q1255" s="184"/>
      <c r="R1255" s="184"/>
      <c r="S1255" s="184"/>
      <c r="T1255" s="184"/>
      <c r="U1255" s="184"/>
      <c r="V1255" s="184"/>
      <c r="W1255" s="184"/>
      <c r="X1255" s="184"/>
    </row>
    <row r="1256">
      <c r="A1256" s="198"/>
      <c r="D1256" s="198" t="str">
        <f>IFERROR(__xludf.DUMMYFUNCTION("""COMPUTED_VALUE"""),"FALSE")</f>
        <v>FALSE</v>
      </c>
      <c r="E1256" s="198" t="str">
        <f>IFERROR(__xludf.DUMMYFUNCTION("""COMPUTED_VALUE"""),"FALSE")</f>
        <v>FALSE</v>
      </c>
      <c r="F1256" s="198"/>
      <c r="J1256" s="184" t="str">
        <f>IFERROR(__xludf.DUMMYFUNCTION("""COMPUTED_VALUE"""),"")</f>
        <v/>
      </c>
      <c r="K1256" s="184"/>
      <c r="L1256" s="184"/>
      <c r="M1256" s="184"/>
      <c r="N1256" s="184"/>
      <c r="O1256" s="184"/>
      <c r="P1256" s="184"/>
      <c r="Q1256" s="184"/>
      <c r="R1256" s="184"/>
      <c r="S1256" s="184"/>
      <c r="T1256" s="184"/>
      <c r="U1256" s="184"/>
      <c r="V1256" s="184"/>
      <c r="W1256" s="184"/>
      <c r="X1256" s="184"/>
    </row>
    <row r="1257">
      <c r="A1257" s="198"/>
      <c r="D1257" s="198" t="str">
        <f>IFERROR(__xludf.DUMMYFUNCTION("""COMPUTED_VALUE"""),"FALSE")</f>
        <v>FALSE</v>
      </c>
      <c r="E1257" s="198" t="str">
        <f>IFERROR(__xludf.DUMMYFUNCTION("""COMPUTED_VALUE"""),"FALSE")</f>
        <v>FALSE</v>
      </c>
      <c r="F1257" s="198"/>
      <c r="J1257" s="184" t="str">
        <f>IFERROR(__xludf.DUMMYFUNCTION("""COMPUTED_VALUE"""),"")</f>
        <v/>
      </c>
      <c r="K1257" s="184"/>
      <c r="L1257" s="184"/>
      <c r="M1257" s="184"/>
      <c r="N1257" s="184"/>
      <c r="O1257" s="184"/>
      <c r="P1257" s="184"/>
      <c r="Q1257" s="184"/>
      <c r="R1257" s="184"/>
      <c r="S1257" s="184"/>
      <c r="T1257" s="184"/>
      <c r="U1257" s="184"/>
      <c r="V1257" s="184"/>
      <c r="W1257" s="184"/>
      <c r="X1257" s="184"/>
    </row>
    <row r="1258">
      <c r="A1258" s="198"/>
      <c r="D1258" s="198" t="str">
        <f>IFERROR(__xludf.DUMMYFUNCTION("""COMPUTED_VALUE"""),"FALSE")</f>
        <v>FALSE</v>
      </c>
      <c r="E1258" s="198" t="str">
        <f>IFERROR(__xludf.DUMMYFUNCTION("""COMPUTED_VALUE"""),"FALSE")</f>
        <v>FALSE</v>
      </c>
      <c r="F1258" s="198"/>
      <c r="J1258" s="184" t="str">
        <f>IFERROR(__xludf.DUMMYFUNCTION("""COMPUTED_VALUE"""),"")</f>
        <v/>
      </c>
      <c r="K1258" s="184"/>
      <c r="L1258" s="184"/>
      <c r="M1258" s="184"/>
      <c r="N1258" s="184"/>
      <c r="O1258" s="184"/>
      <c r="P1258" s="184"/>
      <c r="Q1258" s="184"/>
      <c r="R1258" s="184"/>
      <c r="S1258" s="184"/>
      <c r="T1258" s="184"/>
      <c r="U1258" s="184"/>
      <c r="V1258" s="184"/>
      <c r="W1258" s="184"/>
      <c r="X1258" s="184"/>
    </row>
    <row r="1259">
      <c r="A1259" s="198"/>
      <c r="D1259" s="198" t="str">
        <f>IFERROR(__xludf.DUMMYFUNCTION("""COMPUTED_VALUE"""),"FALSE")</f>
        <v>FALSE</v>
      </c>
      <c r="E1259" s="198" t="str">
        <f>IFERROR(__xludf.DUMMYFUNCTION("""COMPUTED_VALUE"""),"FALSE")</f>
        <v>FALSE</v>
      </c>
      <c r="F1259" s="198"/>
      <c r="J1259" s="184" t="str">
        <f>IFERROR(__xludf.DUMMYFUNCTION("""COMPUTED_VALUE"""),"")</f>
        <v/>
      </c>
      <c r="K1259" s="184"/>
      <c r="L1259" s="184"/>
      <c r="M1259" s="184"/>
      <c r="N1259" s="184"/>
      <c r="O1259" s="184"/>
      <c r="P1259" s="184"/>
      <c r="Q1259" s="184"/>
      <c r="R1259" s="184"/>
      <c r="S1259" s="184"/>
      <c r="T1259" s="184"/>
      <c r="U1259" s="184"/>
      <c r="V1259" s="184"/>
      <c r="W1259" s="184"/>
      <c r="X1259" s="184"/>
    </row>
    <row r="1260">
      <c r="A1260" s="198"/>
      <c r="D1260" s="198" t="str">
        <f>IFERROR(__xludf.DUMMYFUNCTION("""COMPUTED_VALUE"""),"FALSE")</f>
        <v>FALSE</v>
      </c>
      <c r="E1260" s="198" t="str">
        <f>IFERROR(__xludf.DUMMYFUNCTION("""COMPUTED_VALUE"""),"FALSE")</f>
        <v>FALSE</v>
      </c>
      <c r="F1260" s="198"/>
      <c r="J1260" s="184" t="str">
        <f>IFERROR(__xludf.DUMMYFUNCTION("""COMPUTED_VALUE"""),"")</f>
        <v/>
      </c>
      <c r="K1260" s="184"/>
      <c r="L1260" s="184"/>
      <c r="M1260" s="184"/>
      <c r="N1260" s="184"/>
      <c r="O1260" s="184"/>
      <c r="P1260" s="184"/>
      <c r="Q1260" s="184"/>
      <c r="R1260" s="184"/>
      <c r="S1260" s="184"/>
      <c r="T1260" s="184"/>
      <c r="U1260" s="184"/>
      <c r="V1260" s="184"/>
      <c r="W1260" s="184"/>
      <c r="X1260" s="184"/>
    </row>
    <row r="1261">
      <c r="A1261" s="198"/>
      <c r="D1261" s="198" t="str">
        <f>IFERROR(__xludf.DUMMYFUNCTION("""COMPUTED_VALUE"""),"FALSE")</f>
        <v>FALSE</v>
      </c>
      <c r="E1261" s="198" t="str">
        <f>IFERROR(__xludf.DUMMYFUNCTION("""COMPUTED_VALUE"""),"FALSE")</f>
        <v>FALSE</v>
      </c>
      <c r="F1261" s="198"/>
      <c r="J1261" s="184" t="str">
        <f>IFERROR(__xludf.DUMMYFUNCTION("""COMPUTED_VALUE"""),"")</f>
        <v/>
      </c>
      <c r="K1261" s="184"/>
      <c r="L1261" s="184"/>
      <c r="M1261" s="184"/>
      <c r="N1261" s="184"/>
      <c r="O1261" s="184"/>
      <c r="P1261" s="184"/>
      <c r="Q1261" s="184"/>
      <c r="R1261" s="184"/>
      <c r="S1261" s="184"/>
      <c r="T1261" s="184"/>
      <c r="U1261" s="184"/>
      <c r="V1261" s="184"/>
      <c r="W1261" s="184"/>
      <c r="X1261" s="184"/>
    </row>
    <row r="1262">
      <c r="A1262" s="198"/>
      <c r="D1262" s="198" t="str">
        <f>IFERROR(__xludf.DUMMYFUNCTION("""COMPUTED_VALUE"""),"FALSE")</f>
        <v>FALSE</v>
      </c>
      <c r="E1262" s="198" t="str">
        <f>IFERROR(__xludf.DUMMYFUNCTION("""COMPUTED_VALUE"""),"FALSE")</f>
        <v>FALSE</v>
      </c>
      <c r="F1262" s="198"/>
      <c r="J1262" s="184" t="str">
        <f>IFERROR(__xludf.DUMMYFUNCTION("""COMPUTED_VALUE"""),"")</f>
        <v/>
      </c>
      <c r="K1262" s="184"/>
      <c r="L1262" s="184"/>
      <c r="M1262" s="184"/>
      <c r="N1262" s="184"/>
      <c r="O1262" s="184"/>
      <c r="P1262" s="184"/>
      <c r="Q1262" s="184"/>
      <c r="R1262" s="184"/>
      <c r="S1262" s="184"/>
      <c r="T1262" s="184"/>
      <c r="U1262" s="184"/>
      <c r="V1262" s="184"/>
      <c r="W1262" s="184"/>
      <c r="X1262" s="184"/>
    </row>
    <row r="1263">
      <c r="A1263" s="198"/>
      <c r="D1263" s="198" t="str">
        <f>IFERROR(__xludf.DUMMYFUNCTION("""COMPUTED_VALUE"""),"FALSE")</f>
        <v>FALSE</v>
      </c>
      <c r="E1263" s="198" t="str">
        <f>IFERROR(__xludf.DUMMYFUNCTION("""COMPUTED_VALUE"""),"FALSE")</f>
        <v>FALSE</v>
      </c>
      <c r="F1263" s="198"/>
      <c r="J1263" s="184" t="str">
        <f>IFERROR(__xludf.DUMMYFUNCTION("""COMPUTED_VALUE"""),"")</f>
        <v/>
      </c>
      <c r="K1263" s="184"/>
      <c r="L1263" s="184"/>
      <c r="M1263" s="184"/>
      <c r="N1263" s="184"/>
      <c r="O1263" s="184"/>
      <c r="P1263" s="184"/>
      <c r="Q1263" s="184"/>
      <c r="R1263" s="184"/>
      <c r="S1263" s="184"/>
      <c r="T1263" s="184"/>
      <c r="U1263" s="184"/>
      <c r="V1263" s="184"/>
      <c r="W1263" s="184"/>
      <c r="X1263" s="184"/>
    </row>
    <row r="1264">
      <c r="A1264" s="198"/>
      <c r="D1264" s="198" t="str">
        <f>IFERROR(__xludf.DUMMYFUNCTION("""COMPUTED_VALUE"""),"FALSE")</f>
        <v>FALSE</v>
      </c>
      <c r="E1264" s="198" t="str">
        <f>IFERROR(__xludf.DUMMYFUNCTION("""COMPUTED_VALUE"""),"FALSE")</f>
        <v>FALSE</v>
      </c>
      <c r="F1264" s="198"/>
      <c r="J1264" s="184" t="str">
        <f>IFERROR(__xludf.DUMMYFUNCTION("""COMPUTED_VALUE"""),"")</f>
        <v/>
      </c>
      <c r="K1264" s="184"/>
      <c r="L1264" s="184"/>
      <c r="M1264" s="184"/>
      <c r="N1264" s="184"/>
      <c r="O1264" s="184"/>
      <c r="P1264" s="184"/>
      <c r="Q1264" s="184"/>
      <c r="R1264" s="184"/>
      <c r="S1264" s="184"/>
      <c r="T1264" s="184"/>
      <c r="U1264" s="184"/>
      <c r="V1264" s="184"/>
      <c r="W1264" s="184"/>
      <c r="X1264" s="184"/>
    </row>
    <row r="1265">
      <c r="A1265" s="198"/>
      <c r="D1265" s="198" t="str">
        <f>IFERROR(__xludf.DUMMYFUNCTION("""COMPUTED_VALUE"""),"FALSE")</f>
        <v>FALSE</v>
      </c>
      <c r="E1265" s="198" t="str">
        <f>IFERROR(__xludf.DUMMYFUNCTION("""COMPUTED_VALUE"""),"FALSE")</f>
        <v>FALSE</v>
      </c>
      <c r="F1265" s="198"/>
      <c r="J1265" s="184" t="str">
        <f>IFERROR(__xludf.DUMMYFUNCTION("""COMPUTED_VALUE"""),"")</f>
        <v/>
      </c>
      <c r="K1265" s="184"/>
      <c r="L1265" s="184"/>
      <c r="M1265" s="184"/>
      <c r="N1265" s="184"/>
      <c r="O1265" s="184"/>
      <c r="P1265" s="184"/>
      <c r="Q1265" s="184"/>
      <c r="R1265" s="184"/>
      <c r="S1265" s="184"/>
      <c r="T1265" s="184"/>
      <c r="U1265" s="184"/>
      <c r="V1265" s="184"/>
      <c r="W1265" s="184"/>
      <c r="X1265" s="184"/>
    </row>
    <row r="1266">
      <c r="A1266" s="198"/>
      <c r="D1266" s="198" t="str">
        <f>IFERROR(__xludf.DUMMYFUNCTION("""COMPUTED_VALUE"""),"FALSE")</f>
        <v>FALSE</v>
      </c>
      <c r="E1266" s="198" t="str">
        <f>IFERROR(__xludf.DUMMYFUNCTION("""COMPUTED_VALUE"""),"FALSE")</f>
        <v>FALSE</v>
      </c>
      <c r="F1266" s="198"/>
      <c r="J1266" s="184" t="str">
        <f>IFERROR(__xludf.DUMMYFUNCTION("""COMPUTED_VALUE"""),"")</f>
        <v/>
      </c>
      <c r="K1266" s="184"/>
      <c r="L1266" s="184"/>
      <c r="M1266" s="184"/>
      <c r="N1266" s="184"/>
      <c r="O1266" s="184"/>
      <c r="P1266" s="184"/>
      <c r="Q1266" s="184"/>
      <c r="R1266" s="184"/>
      <c r="S1266" s="184"/>
      <c r="T1266" s="184"/>
      <c r="U1266" s="184"/>
      <c r="V1266" s="184"/>
      <c r="W1266" s="184"/>
      <c r="X1266" s="184"/>
    </row>
    <row r="1267">
      <c r="A1267" s="198"/>
      <c r="D1267" s="198" t="str">
        <f>IFERROR(__xludf.DUMMYFUNCTION("""COMPUTED_VALUE"""),"FALSE")</f>
        <v>FALSE</v>
      </c>
      <c r="E1267" s="198" t="str">
        <f>IFERROR(__xludf.DUMMYFUNCTION("""COMPUTED_VALUE"""),"FALSE")</f>
        <v>FALSE</v>
      </c>
      <c r="F1267" s="198"/>
      <c r="J1267" s="184" t="str">
        <f>IFERROR(__xludf.DUMMYFUNCTION("""COMPUTED_VALUE"""),"")</f>
        <v/>
      </c>
      <c r="K1267" s="184"/>
      <c r="L1267" s="184"/>
      <c r="M1267" s="184"/>
      <c r="N1267" s="184"/>
      <c r="O1267" s="184"/>
      <c r="P1267" s="184"/>
      <c r="Q1267" s="184"/>
      <c r="R1267" s="184"/>
      <c r="S1267" s="184"/>
      <c r="T1267" s="184"/>
      <c r="U1267" s="184"/>
      <c r="V1267" s="184"/>
      <c r="W1267" s="184"/>
      <c r="X1267" s="184"/>
    </row>
    <row r="1268">
      <c r="A1268" s="198"/>
      <c r="D1268" s="198" t="str">
        <f>IFERROR(__xludf.DUMMYFUNCTION("""COMPUTED_VALUE"""),"FALSE")</f>
        <v>FALSE</v>
      </c>
      <c r="E1268" s="198" t="str">
        <f>IFERROR(__xludf.DUMMYFUNCTION("""COMPUTED_VALUE"""),"FALSE")</f>
        <v>FALSE</v>
      </c>
      <c r="F1268" s="198"/>
      <c r="J1268" s="184" t="str">
        <f>IFERROR(__xludf.DUMMYFUNCTION("""COMPUTED_VALUE"""),"")</f>
        <v/>
      </c>
      <c r="K1268" s="184"/>
      <c r="L1268" s="184"/>
      <c r="M1268" s="184"/>
      <c r="N1268" s="184"/>
      <c r="O1268" s="184"/>
      <c r="P1268" s="184"/>
      <c r="Q1268" s="184"/>
      <c r="R1268" s="184"/>
      <c r="S1268" s="184"/>
      <c r="T1268" s="184"/>
      <c r="U1268" s="184"/>
      <c r="V1268" s="184"/>
      <c r="W1268" s="184"/>
      <c r="X1268" s="184"/>
    </row>
    <row r="1269">
      <c r="A1269" s="198"/>
      <c r="D1269" s="198" t="str">
        <f>IFERROR(__xludf.DUMMYFUNCTION("""COMPUTED_VALUE"""),"FALSE")</f>
        <v>FALSE</v>
      </c>
      <c r="E1269" s="198" t="str">
        <f>IFERROR(__xludf.DUMMYFUNCTION("""COMPUTED_VALUE"""),"FALSE")</f>
        <v>FALSE</v>
      </c>
      <c r="F1269" s="198"/>
      <c r="J1269" s="184" t="str">
        <f>IFERROR(__xludf.DUMMYFUNCTION("""COMPUTED_VALUE"""),"")</f>
        <v/>
      </c>
      <c r="K1269" s="184"/>
      <c r="L1269" s="184"/>
      <c r="M1269" s="184"/>
      <c r="N1269" s="184"/>
      <c r="O1269" s="184"/>
      <c r="P1269" s="184"/>
      <c r="Q1269" s="184"/>
      <c r="R1269" s="184"/>
      <c r="S1269" s="184"/>
      <c r="T1269" s="184"/>
      <c r="U1269" s="184"/>
      <c r="V1269" s="184"/>
      <c r="W1269" s="184"/>
      <c r="X1269" s="184"/>
    </row>
    <row r="1270">
      <c r="A1270" s="198"/>
      <c r="D1270" s="198" t="str">
        <f>IFERROR(__xludf.DUMMYFUNCTION("""COMPUTED_VALUE"""),"FALSE")</f>
        <v>FALSE</v>
      </c>
      <c r="E1270" s="198" t="str">
        <f>IFERROR(__xludf.DUMMYFUNCTION("""COMPUTED_VALUE"""),"FALSE")</f>
        <v>FALSE</v>
      </c>
      <c r="F1270" s="198"/>
      <c r="J1270" s="184" t="str">
        <f>IFERROR(__xludf.DUMMYFUNCTION("""COMPUTED_VALUE"""),"")</f>
        <v/>
      </c>
      <c r="K1270" s="184"/>
      <c r="L1270" s="184"/>
      <c r="M1270" s="184"/>
      <c r="N1270" s="184"/>
      <c r="O1270" s="184"/>
      <c r="P1270" s="184"/>
      <c r="Q1270" s="184"/>
      <c r="R1270" s="184"/>
      <c r="S1270" s="184"/>
      <c r="T1270" s="184"/>
      <c r="U1270" s="184"/>
      <c r="V1270" s="184"/>
      <c r="W1270" s="184"/>
      <c r="X1270" s="184"/>
    </row>
    <row r="1271">
      <c r="A1271" s="198"/>
      <c r="D1271" s="198" t="str">
        <f>IFERROR(__xludf.DUMMYFUNCTION("""COMPUTED_VALUE"""),"FALSE")</f>
        <v>FALSE</v>
      </c>
      <c r="E1271" s="198" t="str">
        <f>IFERROR(__xludf.DUMMYFUNCTION("""COMPUTED_VALUE"""),"FALSE")</f>
        <v>FALSE</v>
      </c>
      <c r="F1271" s="198"/>
      <c r="J1271" s="184" t="str">
        <f>IFERROR(__xludf.DUMMYFUNCTION("""COMPUTED_VALUE"""),"")</f>
        <v/>
      </c>
      <c r="K1271" s="184"/>
      <c r="L1271" s="184"/>
      <c r="M1271" s="184"/>
      <c r="N1271" s="184"/>
      <c r="O1271" s="184"/>
      <c r="P1271" s="184"/>
      <c r="Q1271" s="184"/>
      <c r="R1271" s="184"/>
      <c r="S1271" s="184"/>
      <c r="T1271" s="184"/>
      <c r="U1271" s="184"/>
      <c r="V1271" s="184"/>
      <c r="W1271" s="184"/>
      <c r="X1271" s="184"/>
    </row>
    <row r="1272">
      <c r="A1272" s="198"/>
      <c r="D1272" s="198" t="str">
        <f>IFERROR(__xludf.DUMMYFUNCTION("""COMPUTED_VALUE"""),"FALSE")</f>
        <v>FALSE</v>
      </c>
      <c r="E1272" s="198" t="str">
        <f>IFERROR(__xludf.DUMMYFUNCTION("""COMPUTED_VALUE"""),"FALSE")</f>
        <v>FALSE</v>
      </c>
      <c r="F1272" s="198"/>
      <c r="J1272" s="184" t="str">
        <f>IFERROR(__xludf.DUMMYFUNCTION("""COMPUTED_VALUE"""),"")</f>
        <v/>
      </c>
      <c r="K1272" s="184"/>
      <c r="L1272" s="184"/>
      <c r="M1272" s="184"/>
      <c r="N1272" s="184"/>
      <c r="O1272" s="184"/>
      <c r="P1272" s="184"/>
      <c r="Q1272" s="184"/>
      <c r="R1272" s="184"/>
      <c r="S1272" s="184"/>
      <c r="T1272" s="184"/>
      <c r="U1272" s="184"/>
      <c r="V1272" s="184"/>
      <c r="W1272" s="184"/>
      <c r="X1272" s="184"/>
    </row>
    <row r="1273">
      <c r="A1273" s="198"/>
      <c r="D1273" s="198" t="str">
        <f>IFERROR(__xludf.DUMMYFUNCTION("""COMPUTED_VALUE"""),"FALSE")</f>
        <v>FALSE</v>
      </c>
      <c r="E1273" s="198" t="str">
        <f>IFERROR(__xludf.DUMMYFUNCTION("""COMPUTED_VALUE"""),"FALSE")</f>
        <v>FALSE</v>
      </c>
      <c r="F1273" s="198"/>
      <c r="J1273" s="184" t="str">
        <f>IFERROR(__xludf.DUMMYFUNCTION("""COMPUTED_VALUE"""),"")</f>
        <v/>
      </c>
      <c r="K1273" s="184"/>
      <c r="L1273" s="184"/>
      <c r="M1273" s="184"/>
      <c r="N1273" s="184"/>
      <c r="O1273" s="184"/>
      <c r="P1273" s="184"/>
      <c r="Q1273" s="184"/>
      <c r="R1273" s="184"/>
      <c r="S1273" s="184"/>
      <c r="T1273" s="184"/>
      <c r="U1273" s="184"/>
      <c r="V1273" s="184"/>
      <c r="W1273" s="184"/>
      <c r="X1273" s="184"/>
    </row>
    <row r="1274">
      <c r="A1274" s="198"/>
      <c r="D1274" s="198" t="str">
        <f>IFERROR(__xludf.DUMMYFUNCTION("""COMPUTED_VALUE"""),"FALSE")</f>
        <v>FALSE</v>
      </c>
      <c r="E1274" s="198" t="str">
        <f>IFERROR(__xludf.DUMMYFUNCTION("""COMPUTED_VALUE"""),"FALSE")</f>
        <v>FALSE</v>
      </c>
      <c r="F1274" s="198"/>
      <c r="J1274" s="184" t="str">
        <f>IFERROR(__xludf.DUMMYFUNCTION("""COMPUTED_VALUE"""),"")</f>
        <v/>
      </c>
      <c r="K1274" s="184"/>
      <c r="L1274" s="184"/>
      <c r="M1274" s="184"/>
      <c r="N1274" s="184"/>
      <c r="O1274" s="184"/>
      <c r="P1274" s="184"/>
      <c r="Q1274" s="184"/>
      <c r="R1274" s="184"/>
      <c r="S1274" s="184"/>
      <c r="T1274" s="184"/>
      <c r="U1274" s="184"/>
      <c r="V1274" s="184"/>
      <c r="W1274" s="184"/>
      <c r="X1274" s="184"/>
    </row>
    <row r="1275">
      <c r="A1275" s="198"/>
      <c r="D1275" s="198" t="str">
        <f>IFERROR(__xludf.DUMMYFUNCTION("""COMPUTED_VALUE"""),"FALSE")</f>
        <v>FALSE</v>
      </c>
      <c r="E1275" s="198" t="str">
        <f>IFERROR(__xludf.DUMMYFUNCTION("""COMPUTED_VALUE"""),"FALSE")</f>
        <v>FALSE</v>
      </c>
      <c r="F1275" s="198"/>
      <c r="J1275" s="184" t="str">
        <f>IFERROR(__xludf.DUMMYFUNCTION("""COMPUTED_VALUE"""),"")</f>
        <v/>
      </c>
      <c r="K1275" s="184"/>
      <c r="L1275" s="184"/>
      <c r="M1275" s="184"/>
      <c r="N1275" s="184"/>
      <c r="O1275" s="184"/>
      <c r="P1275" s="184"/>
      <c r="Q1275" s="184"/>
      <c r="R1275" s="184"/>
      <c r="S1275" s="184"/>
      <c r="T1275" s="184"/>
      <c r="U1275" s="184"/>
      <c r="V1275" s="184"/>
      <c r="W1275" s="184"/>
      <c r="X1275" s="184"/>
    </row>
    <row r="1276">
      <c r="A1276" s="198"/>
      <c r="D1276" s="198" t="str">
        <f>IFERROR(__xludf.DUMMYFUNCTION("""COMPUTED_VALUE"""),"FALSE")</f>
        <v>FALSE</v>
      </c>
      <c r="E1276" s="198" t="str">
        <f>IFERROR(__xludf.DUMMYFUNCTION("""COMPUTED_VALUE"""),"FALSE")</f>
        <v>FALSE</v>
      </c>
      <c r="F1276" s="198"/>
      <c r="J1276" s="184" t="str">
        <f>IFERROR(__xludf.DUMMYFUNCTION("""COMPUTED_VALUE"""),"")</f>
        <v/>
      </c>
      <c r="K1276" s="184"/>
      <c r="L1276" s="184"/>
      <c r="M1276" s="184"/>
      <c r="N1276" s="184"/>
      <c r="O1276" s="184"/>
      <c r="P1276" s="184"/>
      <c r="Q1276" s="184"/>
      <c r="R1276" s="184"/>
      <c r="S1276" s="184"/>
      <c r="T1276" s="184"/>
      <c r="U1276" s="184"/>
      <c r="V1276" s="184"/>
      <c r="W1276" s="184"/>
      <c r="X1276" s="184"/>
    </row>
    <row r="1277">
      <c r="A1277" s="198"/>
      <c r="D1277" s="198" t="str">
        <f>IFERROR(__xludf.DUMMYFUNCTION("""COMPUTED_VALUE"""),"FALSE")</f>
        <v>FALSE</v>
      </c>
      <c r="E1277" s="198" t="str">
        <f>IFERROR(__xludf.DUMMYFUNCTION("""COMPUTED_VALUE"""),"FALSE")</f>
        <v>FALSE</v>
      </c>
      <c r="F1277" s="198"/>
      <c r="J1277" s="184" t="str">
        <f>IFERROR(__xludf.DUMMYFUNCTION("""COMPUTED_VALUE"""),"")</f>
        <v/>
      </c>
      <c r="K1277" s="184"/>
      <c r="L1277" s="184"/>
      <c r="M1277" s="184"/>
      <c r="N1277" s="184"/>
      <c r="O1277" s="184"/>
      <c r="P1277" s="184"/>
      <c r="Q1277" s="184"/>
      <c r="R1277" s="184"/>
      <c r="S1277" s="184"/>
      <c r="T1277" s="184"/>
      <c r="U1277" s="184"/>
      <c r="V1277" s="184"/>
      <c r="W1277" s="184"/>
      <c r="X1277" s="184"/>
    </row>
    <row r="1278">
      <c r="A1278" s="198"/>
      <c r="D1278" s="198" t="str">
        <f>IFERROR(__xludf.DUMMYFUNCTION("""COMPUTED_VALUE"""),"FALSE")</f>
        <v>FALSE</v>
      </c>
      <c r="E1278" s="198" t="str">
        <f>IFERROR(__xludf.DUMMYFUNCTION("""COMPUTED_VALUE"""),"FALSE")</f>
        <v>FALSE</v>
      </c>
      <c r="F1278" s="198"/>
      <c r="J1278" s="184" t="str">
        <f>IFERROR(__xludf.DUMMYFUNCTION("""COMPUTED_VALUE"""),"")</f>
        <v/>
      </c>
      <c r="K1278" s="184"/>
      <c r="L1278" s="184"/>
      <c r="M1278" s="184"/>
      <c r="N1278" s="184"/>
      <c r="O1278" s="184"/>
      <c r="P1278" s="184"/>
      <c r="Q1278" s="184"/>
      <c r="R1278" s="184"/>
      <c r="S1278" s="184"/>
      <c r="T1278" s="184"/>
      <c r="U1278" s="184"/>
      <c r="V1278" s="184"/>
      <c r="W1278" s="184"/>
      <c r="X1278" s="184"/>
    </row>
    <row r="1279">
      <c r="A1279" s="198"/>
      <c r="D1279" s="198" t="str">
        <f>IFERROR(__xludf.DUMMYFUNCTION("""COMPUTED_VALUE"""),"FALSE")</f>
        <v>FALSE</v>
      </c>
      <c r="E1279" s="198" t="str">
        <f>IFERROR(__xludf.DUMMYFUNCTION("""COMPUTED_VALUE"""),"FALSE")</f>
        <v>FALSE</v>
      </c>
      <c r="F1279" s="198"/>
      <c r="J1279" s="184" t="str">
        <f>IFERROR(__xludf.DUMMYFUNCTION("""COMPUTED_VALUE"""),"")</f>
        <v/>
      </c>
      <c r="K1279" s="184"/>
      <c r="L1279" s="184"/>
      <c r="M1279" s="184"/>
      <c r="N1279" s="184"/>
      <c r="O1279" s="184"/>
      <c r="P1279" s="184"/>
      <c r="Q1279" s="184"/>
      <c r="R1279" s="184"/>
      <c r="S1279" s="184"/>
      <c r="T1279" s="184"/>
      <c r="U1279" s="184"/>
      <c r="V1279" s="184"/>
      <c r="W1279" s="184"/>
      <c r="X1279" s="184"/>
    </row>
    <row r="1280">
      <c r="A1280" s="198"/>
      <c r="D1280" s="198" t="str">
        <f>IFERROR(__xludf.DUMMYFUNCTION("""COMPUTED_VALUE"""),"FALSE")</f>
        <v>FALSE</v>
      </c>
      <c r="E1280" s="198" t="str">
        <f>IFERROR(__xludf.DUMMYFUNCTION("""COMPUTED_VALUE"""),"FALSE")</f>
        <v>FALSE</v>
      </c>
      <c r="F1280" s="198"/>
      <c r="J1280" s="184" t="str">
        <f>IFERROR(__xludf.DUMMYFUNCTION("""COMPUTED_VALUE"""),"")</f>
        <v/>
      </c>
      <c r="K1280" s="184"/>
      <c r="L1280" s="184"/>
      <c r="M1280" s="184"/>
      <c r="N1280" s="184"/>
      <c r="O1280" s="184"/>
      <c r="P1280" s="184"/>
      <c r="Q1280" s="184"/>
      <c r="R1280" s="184"/>
      <c r="S1280" s="184"/>
      <c r="T1280" s="184"/>
      <c r="U1280" s="184"/>
      <c r="V1280" s="184"/>
      <c r="W1280" s="184"/>
      <c r="X1280" s="184"/>
    </row>
    <row r="1281">
      <c r="A1281" s="198"/>
      <c r="D1281" s="198" t="str">
        <f>IFERROR(__xludf.DUMMYFUNCTION("""COMPUTED_VALUE"""),"FALSE")</f>
        <v>FALSE</v>
      </c>
      <c r="E1281" s="198" t="str">
        <f>IFERROR(__xludf.DUMMYFUNCTION("""COMPUTED_VALUE"""),"FALSE")</f>
        <v>FALSE</v>
      </c>
      <c r="F1281" s="198"/>
      <c r="J1281" s="184" t="str">
        <f>IFERROR(__xludf.DUMMYFUNCTION("""COMPUTED_VALUE"""),"")</f>
        <v/>
      </c>
      <c r="K1281" s="184"/>
      <c r="L1281" s="184"/>
      <c r="M1281" s="184"/>
      <c r="N1281" s="184"/>
      <c r="O1281" s="184"/>
      <c r="P1281" s="184"/>
      <c r="Q1281" s="184"/>
      <c r="R1281" s="184"/>
      <c r="S1281" s="184"/>
      <c r="T1281" s="184"/>
      <c r="U1281" s="184"/>
      <c r="V1281" s="184"/>
      <c r="W1281" s="184"/>
      <c r="X1281" s="184"/>
    </row>
    <row r="1282">
      <c r="A1282" s="198"/>
      <c r="D1282" s="198" t="str">
        <f>IFERROR(__xludf.DUMMYFUNCTION("""COMPUTED_VALUE"""),"FALSE")</f>
        <v>FALSE</v>
      </c>
      <c r="E1282" s="198" t="str">
        <f>IFERROR(__xludf.DUMMYFUNCTION("""COMPUTED_VALUE"""),"FALSE")</f>
        <v>FALSE</v>
      </c>
      <c r="F1282" s="198"/>
      <c r="J1282" s="184" t="str">
        <f>IFERROR(__xludf.DUMMYFUNCTION("""COMPUTED_VALUE"""),"")</f>
        <v/>
      </c>
      <c r="K1282" s="184"/>
      <c r="L1282" s="184"/>
      <c r="M1282" s="184"/>
      <c r="N1282" s="184"/>
      <c r="O1282" s="184"/>
      <c r="P1282" s="184"/>
      <c r="Q1282" s="184"/>
      <c r="R1282" s="184"/>
      <c r="S1282" s="184"/>
      <c r="T1282" s="184"/>
      <c r="U1282" s="184"/>
      <c r="V1282" s="184"/>
      <c r="W1282" s="184"/>
      <c r="X1282" s="184"/>
    </row>
    <row r="1283">
      <c r="A1283" s="198"/>
      <c r="D1283" s="198" t="str">
        <f>IFERROR(__xludf.DUMMYFUNCTION("""COMPUTED_VALUE"""),"FALSE")</f>
        <v>FALSE</v>
      </c>
      <c r="E1283" s="198" t="str">
        <f>IFERROR(__xludf.DUMMYFUNCTION("""COMPUTED_VALUE"""),"FALSE")</f>
        <v>FALSE</v>
      </c>
      <c r="F1283" s="198"/>
      <c r="J1283" s="184" t="str">
        <f>IFERROR(__xludf.DUMMYFUNCTION("""COMPUTED_VALUE"""),"")</f>
        <v/>
      </c>
      <c r="K1283" s="184"/>
      <c r="L1283" s="184"/>
      <c r="M1283" s="184"/>
      <c r="N1283" s="184"/>
      <c r="O1283" s="184"/>
      <c r="P1283" s="184"/>
      <c r="Q1283" s="184"/>
      <c r="R1283" s="184"/>
      <c r="S1283" s="184"/>
      <c r="T1283" s="184"/>
      <c r="U1283" s="184"/>
      <c r="V1283" s="184"/>
      <c r="W1283" s="184"/>
      <c r="X1283" s="184"/>
    </row>
    <row r="1284">
      <c r="A1284" s="198"/>
      <c r="D1284" s="198" t="str">
        <f>IFERROR(__xludf.DUMMYFUNCTION("""COMPUTED_VALUE"""),"FALSE")</f>
        <v>FALSE</v>
      </c>
      <c r="E1284" s="198" t="str">
        <f>IFERROR(__xludf.DUMMYFUNCTION("""COMPUTED_VALUE"""),"FALSE")</f>
        <v>FALSE</v>
      </c>
      <c r="F1284" s="198"/>
      <c r="J1284" s="184" t="str">
        <f>IFERROR(__xludf.DUMMYFUNCTION("""COMPUTED_VALUE"""),"")</f>
        <v/>
      </c>
      <c r="K1284" s="184"/>
      <c r="L1284" s="184"/>
      <c r="M1284" s="184"/>
      <c r="N1284" s="184"/>
      <c r="O1284" s="184"/>
      <c r="P1284" s="184"/>
      <c r="Q1284" s="184"/>
      <c r="R1284" s="184"/>
      <c r="S1284" s="184"/>
      <c r="T1284" s="184"/>
      <c r="U1284" s="184"/>
      <c r="V1284" s="184"/>
      <c r="W1284" s="184"/>
      <c r="X1284" s="184"/>
    </row>
    <row r="1285">
      <c r="A1285" s="198"/>
      <c r="D1285" s="198" t="str">
        <f>IFERROR(__xludf.DUMMYFUNCTION("""COMPUTED_VALUE"""),"FALSE")</f>
        <v>FALSE</v>
      </c>
      <c r="E1285" s="198" t="str">
        <f>IFERROR(__xludf.DUMMYFUNCTION("""COMPUTED_VALUE"""),"FALSE")</f>
        <v>FALSE</v>
      </c>
      <c r="F1285" s="198"/>
      <c r="J1285" s="184" t="str">
        <f>IFERROR(__xludf.DUMMYFUNCTION("""COMPUTED_VALUE"""),"")</f>
        <v/>
      </c>
      <c r="K1285" s="184"/>
      <c r="L1285" s="184"/>
      <c r="M1285" s="184"/>
      <c r="N1285" s="184"/>
      <c r="O1285" s="184"/>
      <c r="P1285" s="184"/>
      <c r="Q1285" s="184"/>
      <c r="R1285" s="184"/>
      <c r="S1285" s="184"/>
      <c r="T1285" s="184"/>
      <c r="U1285" s="184"/>
      <c r="V1285" s="184"/>
      <c r="W1285" s="184"/>
      <c r="X1285" s="184"/>
    </row>
    <row r="1286">
      <c r="A1286" s="198"/>
      <c r="D1286" s="198" t="str">
        <f>IFERROR(__xludf.DUMMYFUNCTION("""COMPUTED_VALUE"""),"FALSE")</f>
        <v>FALSE</v>
      </c>
      <c r="E1286" s="198" t="str">
        <f>IFERROR(__xludf.DUMMYFUNCTION("""COMPUTED_VALUE"""),"FALSE")</f>
        <v>FALSE</v>
      </c>
      <c r="F1286" s="198"/>
      <c r="J1286" s="184" t="str">
        <f>IFERROR(__xludf.DUMMYFUNCTION("""COMPUTED_VALUE"""),"")</f>
        <v/>
      </c>
      <c r="K1286" s="184"/>
      <c r="L1286" s="184"/>
      <c r="M1286" s="184"/>
      <c r="N1286" s="184"/>
      <c r="O1286" s="184"/>
      <c r="P1286" s="184"/>
      <c r="Q1286" s="184"/>
      <c r="R1286" s="184"/>
      <c r="S1286" s="184"/>
      <c r="T1286" s="184"/>
      <c r="U1286" s="184"/>
      <c r="V1286" s="184"/>
      <c r="W1286" s="184"/>
      <c r="X1286" s="184"/>
    </row>
    <row r="1287">
      <c r="A1287" s="198"/>
      <c r="D1287" s="198" t="str">
        <f>IFERROR(__xludf.DUMMYFUNCTION("""COMPUTED_VALUE"""),"FALSE")</f>
        <v>FALSE</v>
      </c>
      <c r="E1287" s="198" t="str">
        <f>IFERROR(__xludf.DUMMYFUNCTION("""COMPUTED_VALUE"""),"FALSE")</f>
        <v>FALSE</v>
      </c>
      <c r="F1287" s="198"/>
      <c r="J1287" s="184" t="str">
        <f>IFERROR(__xludf.DUMMYFUNCTION("""COMPUTED_VALUE"""),"")</f>
        <v/>
      </c>
      <c r="K1287" s="184"/>
      <c r="L1287" s="184"/>
      <c r="M1287" s="184"/>
      <c r="N1287" s="184"/>
      <c r="O1287" s="184"/>
      <c r="P1287" s="184"/>
      <c r="Q1287" s="184"/>
      <c r="R1287" s="184"/>
      <c r="S1287" s="184"/>
      <c r="T1287" s="184"/>
      <c r="U1287" s="184"/>
      <c r="V1287" s="184"/>
      <c r="W1287" s="184"/>
      <c r="X1287" s="184"/>
    </row>
    <row r="1288">
      <c r="A1288" s="198"/>
      <c r="D1288" s="198" t="str">
        <f>IFERROR(__xludf.DUMMYFUNCTION("""COMPUTED_VALUE"""),"FALSE")</f>
        <v>FALSE</v>
      </c>
      <c r="E1288" s="198" t="str">
        <f>IFERROR(__xludf.DUMMYFUNCTION("""COMPUTED_VALUE"""),"FALSE")</f>
        <v>FALSE</v>
      </c>
      <c r="F1288" s="198"/>
      <c r="J1288" s="184" t="str">
        <f>IFERROR(__xludf.DUMMYFUNCTION("""COMPUTED_VALUE"""),"")</f>
        <v/>
      </c>
      <c r="K1288" s="184"/>
      <c r="L1288" s="184"/>
      <c r="M1288" s="184"/>
      <c r="N1288" s="184"/>
      <c r="O1288" s="184"/>
      <c r="P1288" s="184"/>
      <c r="Q1288" s="184"/>
      <c r="R1288" s="184"/>
      <c r="S1288" s="184"/>
      <c r="T1288" s="184"/>
      <c r="U1288" s="184"/>
      <c r="V1288" s="184"/>
      <c r="W1288" s="184"/>
      <c r="X1288" s="184"/>
    </row>
    <row r="1289">
      <c r="A1289" s="198"/>
      <c r="D1289" s="198" t="str">
        <f>IFERROR(__xludf.DUMMYFUNCTION("""COMPUTED_VALUE"""),"FALSE")</f>
        <v>FALSE</v>
      </c>
      <c r="E1289" s="198" t="str">
        <f>IFERROR(__xludf.DUMMYFUNCTION("""COMPUTED_VALUE"""),"FALSE")</f>
        <v>FALSE</v>
      </c>
      <c r="F1289" s="198"/>
      <c r="J1289" s="184" t="str">
        <f>IFERROR(__xludf.DUMMYFUNCTION("""COMPUTED_VALUE"""),"")</f>
        <v/>
      </c>
      <c r="K1289" s="184"/>
      <c r="L1289" s="184"/>
      <c r="M1289" s="184"/>
      <c r="N1289" s="184"/>
      <c r="O1289" s="184"/>
      <c r="P1289" s="184"/>
      <c r="Q1289" s="184"/>
      <c r="R1289" s="184"/>
      <c r="S1289" s="184"/>
      <c r="T1289" s="184"/>
      <c r="U1289" s="184"/>
      <c r="V1289" s="184"/>
      <c r="W1289" s="184"/>
      <c r="X1289" s="184"/>
    </row>
    <row r="1290">
      <c r="A1290" s="198"/>
      <c r="D1290" s="198" t="str">
        <f>IFERROR(__xludf.DUMMYFUNCTION("""COMPUTED_VALUE"""),"FALSE")</f>
        <v>FALSE</v>
      </c>
      <c r="E1290" s="198" t="str">
        <f>IFERROR(__xludf.DUMMYFUNCTION("""COMPUTED_VALUE"""),"FALSE")</f>
        <v>FALSE</v>
      </c>
      <c r="F1290" s="198"/>
      <c r="J1290" s="184" t="str">
        <f>IFERROR(__xludf.DUMMYFUNCTION("""COMPUTED_VALUE"""),"")</f>
        <v/>
      </c>
      <c r="K1290" s="184"/>
      <c r="L1290" s="184"/>
      <c r="M1290" s="184"/>
      <c r="N1290" s="184"/>
      <c r="O1290" s="184"/>
      <c r="P1290" s="184"/>
      <c r="Q1290" s="184"/>
      <c r="R1290" s="184"/>
      <c r="S1290" s="184"/>
      <c r="T1290" s="184"/>
      <c r="U1290" s="184"/>
      <c r="V1290" s="184"/>
      <c r="W1290" s="184"/>
      <c r="X1290" s="184"/>
    </row>
    <row r="1291">
      <c r="A1291" s="198"/>
      <c r="D1291" s="198" t="str">
        <f>IFERROR(__xludf.DUMMYFUNCTION("""COMPUTED_VALUE"""),"FALSE")</f>
        <v>FALSE</v>
      </c>
      <c r="E1291" s="198" t="str">
        <f>IFERROR(__xludf.DUMMYFUNCTION("""COMPUTED_VALUE"""),"FALSE")</f>
        <v>FALSE</v>
      </c>
      <c r="F1291" s="198"/>
      <c r="J1291" s="184" t="str">
        <f>IFERROR(__xludf.DUMMYFUNCTION("""COMPUTED_VALUE"""),"")</f>
        <v/>
      </c>
      <c r="K1291" s="184"/>
      <c r="L1291" s="184"/>
      <c r="M1291" s="184"/>
      <c r="N1291" s="184"/>
      <c r="O1291" s="184"/>
      <c r="P1291" s="184"/>
      <c r="Q1291" s="184"/>
      <c r="R1291" s="184"/>
      <c r="S1291" s="184"/>
      <c r="T1291" s="184"/>
      <c r="U1291" s="184"/>
      <c r="V1291" s="184"/>
      <c r="W1291" s="184"/>
      <c r="X1291" s="184"/>
    </row>
    <row r="1292">
      <c r="A1292" s="198"/>
      <c r="D1292" s="198" t="str">
        <f>IFERROR(__xludf.DUMMYFUNCTION("""COMPUTED_VALUE"""),"FALSE")</f>
        <v>FALSE</v>
      </c>
      <c r="E1292" s="198" t="str">
        <f>IFERROR(__xludf.DUMMYFUNCTION("""COMPUTED_VALUE"""),"FALSE")</f>
        <v>FALSE</v>
      </c>
      <c r="F1292" s="198"/>
      <c r="J1292" s="184" t="str">
        <f>IFERROR(__xludf.DUMMYFUNCTION("""COMPUTED_VALUE"""),"")</f>
        <v/>
      </c>
      <c r="K1292" s="184"/>
      <c r="L1292" s="184"/>
      <c r="M1292" s="184"/>
      <c r="N1292" s="184"/>
      <c r="O1292" s="184"/>
      <c r="P1292" s="184"/>
      <c r="Q1292" s="184"/>
      <c r="R1292" s="184"/>
      <c r="S1292" s="184"/>
      <c r="T1292" s="184"/>
      <c r="U1292" s="184"/>
      <c r="V1292" s="184"/>
      <c r="W1292" s="184"/>
      <c r="X1292" s="184"/>
    </row>
    <row r="1293">
      <c r="A1293" s="198"/>
      <c r="D1293" s="198" t="str">
        <f>IFERROR(__xludf.DUMMYFUNCTION("""COMPUTED_VALUE"""),"FALSE")</f>
        <v>FALSE</v>
      </c>
      <c r="E1293" s="198" t="str">
        <f>IFERROR(__xludf.DUMMYFUNCTION("""COMPUTED_VALUE"""),"FALSE")</f>
        <v>FALSE</v>
      </c>
      <c r="F1293" s="198"/>
      <c r="J1293" s="184" t="str">
        <f>IFERROR(__xludf.DUMMYFUNCTION("""COMPUTED_VALUE"""),"")</f>
        <v/>
      </c>
      <c r="K1293" s="184"/>
      <c r="L1293" s="184"/>
      <c r="M1293" s="184"/>
      <c r="N1293" s="184"/>
      <c r="O1293" s="184"/>
      <c r="P1293" s="184"/>
      <c r="Q1293" s="184"/>
      <c r="R1293" s="184"/>
      <c r="S1293" s="184"/>
      <c r="T1293" s="184"/>
      <c r="U1293" s="184"/>
      <c r="V1293" s="184"/>
      <c r="W1293" s="184"/>
      <c r="X1293" s="184"/>
    </row>
    <row r="1294">
      <c r="A1294" s="198"/>
      <c r="D1294" s="198" t="str">
        <f>IFERROR(__xludf.DUMMYFUNCTION("""COMPUTED_VALUE"""),"FALSE")</f>
        <v>FALSE</v>
      </c>
      <c r="E1294" s="198" t="str">
        <f>IFERROR(__xludf.DUMMYFUNCTION("""COMPUTED_VALUE"""),"FALSE")</f>
        <v>FALSE</v>
      </c>
      <c r="F1294" s="198"/>
      <c r="J1294" s="184" t="str">
        <f>IFERROR(__xludf.DUMMYFUNCTION("""COMPUTED_VALUE"""),"")</f>
        <v/>
      </c>
      <c r="K1294" s="184"/>
      <c r="L1294" s="184"/>
      <c r="M1294" s="184"/>
      <c r="N1294" s="184"/>
      <c r="O1294" s="184"/>
      <c r="P1294" s="184"/>
      <c r="Q1294" s="184"/>
      <c r="R1294" s="184"/>
      <c r="S1294" s="184"/>
      <c r="T1294" s="184"/>
      <c r="U1294" s="184"/>
      <c r="V1294" s="184"/>
      <c r="W1294" s="184"/>
      <c r="X1294" s="184"/>
    </row>
    <row r="1295">
      <c r="A1295" s="198"/>
      <c r="D1295" s="198" t="str">
        <f>IFERROR(__xludf.DUMMYFUNCTION("""COMPUTED_VALUE"""),"FALSE")</f>
        <v>FALSE</v>
      </c>
      <c r="E1295" s="198" t="str">
        <f>IFERROR(__xludf.DUMMYFUNCTION("""COMPUTED_VALUE"""),"FALSE")</f>
        <v>FALSE</v>
      </c>
      <c r="F1295" s="198"/>
      <c r="J1295" s="184" t="str">
        <f>IFERROR(__xludf.DUMMYFUNCTION("""COMPUTED_VALUE"""),"")</f>
        <v/>
      </c>
      <c r="K1295" s="184"/>
      <c r="L1295" s="184"/>
      <c r="M1295" s="184"/>
      <c r="N1295" s="184"/>
      <c r="O1295" s="184"/>
      <c r="P1295" s="184"/>
      <c r="Q1295" s="184"/>
      <c r="R1295" s="184"/>
      <c r="S1295" s="184"/>
      <c r="T1295" s="184"/>
      <c r="U1295" s="184"/>
      <c r="V1295" s="184"/>
      <c r="W1295" s="184"/>
      <c r="X1295" s="184"/>
    </row>
    <row r="1296">
      <c r="A1296" s="198"/>
      <c r="D1296" s="198" t="str">
        <f>IFERROR(__xludf.DUMMYFUNCTION("""COMPUTED_VALUE"""),"FALSE")</f>
        <v>FALSE</v>
      </c>
      <c r="E1296" s="198" t="str">
        <f>IFERROR(__xludf.DUMMYFUNCTION("""COMPUTED_VALUE"""),"FALSE")</f>
        <v>FALSE</v>
      </c>
      <c r="F1296" s="198"/>
      <c r="J1296" s="184" t="str">
        <f>IFERROR(__xludf.DUMMYFUNCTION("""COMPUTED_VALUE"""),"")</f>
        <v/>
      </c>
      <c r="K1296" s="184"/>
      <c r="L1296" s="184"/>
      <c r="M1296" s="184"/>
      <c r="N1296" s="184"/>
      <c r="O1296" s="184"/>
      <c r="P1296" s="184"/>
      <c r="Q1296" s="184"/>
      <c r="R1296" s="184"/>
      <c r="S1296" s="184"/>
      <c r="T1296" s="184"/>
      <c r="U1296" s="184"/>
      <c r="V1296" s="184"/>
      <c r="W1296" s="184"/>
      <c r="X1296" s="184"/>
    </row>
    <row r="1297">
      <c r="A1297" s="198"/>
      <c r="D1297" s="198" t="str">
        <f>IFERROR(__xludf.DUMMYFUNCTION("""COMPUTED_VALUE"""),"FALSE")</f>
        <v>FALSE</v>
      </c>
      <c r="E1297" s="198" t="str">
        <f>IFERROR(__xludf.DUMMYFUNCTION("""COMPUTED_VALUE"""),"FALSE")</f>
        <v>FALSE</v>
      </c>
      <c r="F1297" s="198"/>
      <c r="J1297" s="184" t="str">
        <f>IFERROR(__xludf.DUMMYFUNCTION("""COMPUTED_VALUE"""),"")</f>
        <v/>
      </c>
      <c r="K1297" s="184"/>
      <c r="L1297" s="184"/>
      <c r="M1297" s="184"/>
      <c r="N1297" s="184"/>
      <c r="O1297" s="184"/>
      <c r="P1297" s="184"/>
      <c r="Q1297" s="184"/>
      <c r="R1297" s="184"/>
      <c r="S1297" s="184"/>
      <c r="T1297" s="184"/>
      <c r="U1297" s="184"/>
      <c r="V1297" s="184"/>
      <c r="W1297" s="184"/>
      <c r="X1297" s="184"/>
    </row>
    <row r="1298">
      <c r="A1298" s="198"/>
      <c r="D1298" s="198" t="str">
        <f>IFERROR(__xludf.DUMMYFUNCTION("""COMPUTED_VALUE"""),"FALSE")</f>
        <v>FALSE</v>
      </c>
      <c r="E1298" s="198" t="str">
        <f>IFERROR(__xludf.DUMMYFUNCTION("""COMPUTED_VALUE"""),"FALSE")</f>
        <v>FALSE</v>
      </c>
      <c r="F1298" s="198"/>
      <c r="J1298" s="184" t="str">
        <f>IFERROR(__xludf.DUMMYFUNCTION("""COMPUTED_VALUE"""),"")</f>
        <v/>
      </c>
      <c r="K1298" s="184"/>
      <c r="L1298" s="184"/>
      <c r="M1298" s="184"/>
      <c r="N1298" s="184"/>
      <c r="O1298" s="184"/>
      <c r="P1298" s="184"/>
      <c r="Q1298" s="184"/>
      <c r="R1298" s="184"/>
      <c r="S1298" s="184"/>
      <c r="T1298" s="184"/>
      <c r="U1298" s="184"/>
      <c r="V1298" s="184"/>
      <c r="W1298" s="184"/>
      <c r="X1298" s="184"/>
    </row>
    <row r="1299">
      <c r="A1299" s="198"/>
      <c r="D1299" s="198" t="str">
        <f>IFERROR(__xludf.DUMMYFUNCTION("""COMPUTED_VALUE"""),"FALSE")</f>
        <v>FALSE</v>
      </c>
      <c r="E1299" s="198" t="str">
        <f>IFERROR(__xludf.DUMMYFUNCTION("""COMPUTED_VALUE"""),"FALSE")</f>
        <v>FALSE</v>
      </c>
      <c r="F1299" s="198"/>
      <c r="J1299" s="184" t="str">
        <f>IFERROR(__xludf.DUMMYFUNCTION("""COMPUTED_VALUE"""),"")</f>
        <v/>
      </c>
      <c r="K1299" s="184"/>
      <c r="L1299" s="184"/>
      <c r="M1299" s="184"/>
      <c r="N1299" s="184"/>
      <c r="O1299" s="184"/>
      <c r="P1299" s="184"/>
      <c r="Q1299" s="184"/>
      <c r="R1299" s="184"/>
      <c r="S1299" s="184"/>
      <c r="T1299" s="184"/>
      <c r="U1299" s="184"/>
      <c r="V1299" s="184"/>
      <c r="W1299" s="184"/>
      <c r="X1299" s="184"/>
    </row>
    <row r="1300">
      <c r="A1300" s="198"/>
      <c r="D1300" s="198" t="str">
        <f>IFERROR(__xludf.DUMMYFUNCTION("""COMPUTED_VALUE"""),"FALSE")</f>
        <v>FALSE</v>
      </c>
      <c r="E1300" s="198" t="str">
        <f>IFERROR(__xludf.DUMMYFUNCTION("""COMPUTED_VALUE"""),"FALSE")</f>
        <v>FALSE</v>
      </c>
      <c r="F1300" s="198"/>
      <c r="J1300" s="184" t="str">
        <f>IFERROR(__xludf.DUMMYFUNCTION("""COMPUTED_VALUE"""),"")</f>
        <v/>
      </c>
      <c r="K1300" s="184"/>
      <c r="L1300" s="184"/>
      <c r="M1300" s="184"/>
      <c r="N1300" s="184"/>
      <c r="O1300" s="184"/>
      <c r="P1300" s="184"/>
      <c r="Q1300" s="184"/>
      <c r="R1300" s="184"/>
      <c r="S1300" s="184"/>
      <c r="T1300" s="184"/>
      <c r="U1300" s="184"/>
      <c r="V1300" s="184"/>
      <c r="W1300" s="184"/>
      <c r="X1300" s="184"/>
    </row>
    <row r="1301">
      <c r="A1301" s="198"/>
      <c r="D1301" s="198" t="str">
        <f>IFERROR(__xludf.DUMMYFUNCTION("""COMPUTED_VALUE"""),"FALSE")</f>
        <v>FALSE</v>
      </c>
      <c r="E1301" s="198" t="str">
        <f>IFERROR(__xludf.DUMMYFUNCTION("""COMPUTED_VALUE"""),"FALSE")</f>
        <v>FALSE</v>
      </c>
      <c r="F1301" s="198"/>
      <c r="J1301" s="184" t="str">
        <f>IFERROR(__xludf.DUMMYFUNCTION("""COMPUTED_VALUE"""),"")</f>
        <v/>
      </c>
      <c r="K1301" s="184"/>
      <c r="L1301" s="184"/>
      <c r="M1301" s="184"/>
      <c r="N1301" s="184"/>
      <c r="O1301" s="184"/>
      <c r="P1301" s="184"/>
      <c r="Q1301" s="184"/>
      <c r="R1301" s="184"/>
      <c r="S1301" s="184"/>
      <c r="T1301" s="184"/>
      <c r="U1301" s="184"/>
      <c r="V1301" s="184"/>
      <c r="W1301" s="184"/>
      <c r="X1301" s="184"/>
    </row>
    <row r="1302">
      <c r="A1302" s="198"/>
      <c r="D1302" s="198" t="str">
        <f>IFERROR(__xludf.DUMMYFUNCTION("""COMPUTED_VALUE"""),"FALSE")</f>
        <v>FALSE</v>
      </c>
      <c r="E1302" s="198" t="str">
        <f>IFERROR(__xludf.DUMMYFUNCTION("""COMPUTED_VALUE"""),"FALSE")</f>
        <v>FALSE</v>
      </c>
      <c r="F1302" s="198"/>
      <c r="J1302" s="184" t="str">
        <f>IFERROR(__xludf.DUMMYFUNCTION("""COMPUTED_VALUE"""),"")</f>
        <v/>
      </c>
      <c r="K1302" s="184"/>
      <c r="L1302" s="184"/>
      <c r="M1302" s="184"/>
      <c r="N1302" s="184"/>
      <c r="O1302" s="184"/>
      <c r="P1302" s="184"/>
      <c r="Q1302" s="184"/>
      <c r="R1302" s="184"/>
      <c r="S1302" s="184"/>
      <c r="T1302" s="184"/>
      <c r="U1302" s="184"/>
      <c r="V1302" s="184"/>
      <c r="W1302" s="184"/>
      <c r="X1302" s="184"/>
    </row>
    <row r="1303">
      <c r="A1303" s="198"/>
      <c r="D1303" s="198" t="str">
        <f>IFERROR(__xludf.DUMMYFUNCTION("""COMPUTED_VALUE"""),"FALSE")</f>
        <v>FALSE</v>
      </c>
      <c r="E1303" s="198" t="str">
        <f>IFERROR(__xludf.DUMMYFUNCTION("""COMPUTED_VALUE"""),"FALSE")</f>
        <v>FALSE</v>
      </c>
      <c r="F1303" s="198"/>
      <c r="J1303" s="184" t="str">
        <f>IFERROR(__xludf.DUMMYFUNCTION("""COMPUTED_VALUE"""),"")</f>
        <v/>
      </c>
      <c r="K1303" s="184"/>
      <c r="L1303" s="184"/>
      <c r="M1303" s="184"/>
      <c r="N1303" s="184"/>
      <c r="O1303" s="184"/>
      <c r="P1303" s="184"/>
      <c r="Q1303" s="184"/>
      <c r="R1303" s="184"/>
      <c r="S1303" s="184"/>
      <c r="T1303" s="184"/>
      <c r="U1303" s="184"/>
      <c r="V1303" s="184"/>
      <c r="W1303" s="184"/>
      <c r="X1303" s="184"/>
    </row>
    <row r="1304">
      <c r="A1304" s="198"/>
      <c r="D1304" s="198" t="str">
        <f>IFERROR(__xludf.DUMMYFUNCTION("""COMPUTED_VALUE"""),"FALSE")</f>
        <v>FALSE</v>
      </c>
      <c r="E1304" s="198" t="str">
        <f>IFERROR(__xludf.DUMMYFUNCTION("""COMPUTED_VALUE"""),"FALSE")</f>
        <v>FALSE</v>
      </c>
      <c r="F1304" s="198"/>
      <c r="J1304" s="184" t="str">
        <f>IFERROR(__xludf.DUMMYFUNCTION("""COMPUTED_VALUE"""),"")</f>
        <v/>
      </c>
      <c r="K1304" s="184"/>
      <c r="L1304" s="184"/>
      <c r="M1304" s="184"/>
      <c r="N1304" s="184"/>
      <c r="O1304" s="184"/>
      <c r="P1304" s="184"/>
      <c r="Q1304" s="184"/>
      <c r="R1304" s="184"/>
      <c r="S1304" s="184"/>
      <c r="T1304" s="184"/>
      <c r="U1304" s="184"/>
      <c r="V1304" s="184"/>
      <c r="W1304" s="184"/>
      <c r="X1304" s="184"/>
    </row>
    <row r="1305">
      <c r="A1305" s="198"/>
      <c r="D1305" s="198" t="str">
        <f>IFERROR(__xludf.DUMMYFUNCTION("""COMPUTED_VALUE"""),"FALSE")</f>
        <v>FALSE</v>
      </c>
      <c r="E1305" s="198" t="str">
        <f>IFERROR(__xludf.DUMMYFUNCTION("""COMPUTED_VALUE"""),"FALSE")</f>
        <v>FALSE</v>
      </c>
      <c r="F1305" s="198"/>
      <c r="J1305" s="184" t="str">
        <f>IFERROR(__xludf.DUMMYFUNCTION("""COMPUTED_VALUE"""),"")</f>
        <v/>
      </c>
      <c r="K1305" s="184"/>
      <c r="L1305" s="184"/>
      <c r="M1305" s="184"/>
      <c r="N1305" s="184"/>
      <c r="O1305" s="184"/>
      <c r="P1305" s="184"/>
      <c r="Q1305" s="184"/>
      <c r="R1305" s="184"/>
      <c r="S1305" s="184"/>
      <c r="T1305" s="184"/>
      <c r="U1305" s="184"/>
      <c r="V1305" s="184"/>
      <c r="W1305" s="184"/>
      <c r="X1305" s="184"/>
    </row>
    <row r="1306">
      <c r="A1306" s="198"/>
      <c r="D1306" s="198" t="str">
        <f>IFERROR(__xludf.DUMMYFUNCTION("""COMPUTED_VALUE"""),"FALSE")</f>
        <v>FALSE</v>
      </c>
      <c r="E1306" s="198" t="str">
        <f>IFERROR(__xludf.DUMMYFUNCTION("""COMPUTED_VALUE"""),"FALSE")</f>
        <v>FALSE</v>
      </c>
      <c r="F1306" s="198"/>
      <c r="J1306" s="184" t="str">
        <f>IFERROR(__xludf.DUMMYFUNCTION("""COMPUTED_VALUE"""),"")</f>
        <v/>
      </c>
      <c r="K1306" s="184"/>
      <c r="L1306" s="184"/>
      <c r="M1306" s="184"/>
      <c r="N1306" s="184"/>
      <c r="O1306" s="184"/>
      <c r="P1306" s="184"/>
      <c r="Q1306" s="184"/>
      <c r="R1306" s="184"/>
      <c r="S1306" s="184"/>
      <c r="T1306" s="184"/>
      <c r="U1306" s="184"/>
      <c r="V1306" s="184"/>
      <c r="W1306" s="184"/>
      <c r="X1306" s="184"/>
    </row>
    <row r="1307">
      <c r="A1307" s="198"/>
      <c r="D1307" s="198" t="str">
        <f>IFERROR(__xludf.DUMMYFUNCTION("""COMPUTED_VALUE"""),"FALSE")</f>
        <v>FALSE</v>
      </c>
      <c r="E1307" s="198" t="str">
        <f>IFERROR(__xludf.DUMMYFUNCTION("""COMPUTED_VALUE"""),"FALSE")</f>
        <v>FALSE</v>
      </c>
      <c r="F1307" s="198"/>
      <c r="J1307" s="184" t="str">
        <f>IFERROR(__xludf.DUMMYFUNCTION("""COMPUTED_VALUE"""),"")</f>
        <v/>
      </c>
      <c r="K1307" s="184"/>
      <c r="L1307" s="184"/>
      <c r="M1307" s="184"/>
      <c r="N1307" s="184"/>
      <c r="O1307" s="184"/>
      <c r="P1307" s="184"/>
      <c r="Q1307" s="184"/>
      <c r="R1307" s="184"/>
      <c r="S1307" s="184"/>
      <c r="T1307" s="184"/>
      <c r="U1307" s="184"/>
      <c r="V1307" s="184"/>
      <c r="W1307" s="184"/>
      <c r="X1307" s="184"/>
    </row>
    <row r="1308">
      <c r="A1308" s="198"/>
      <c r="D1308" s="198" t="str">
        <f>IFERROR(__xludf.DUMMYFUNCTION("""COMPUTED_VALUE"""),"FALSE")</f>
        <v>FALSE</v>
      </c>
      <c r="E1308" s="198" t="str">
        <f>IFERROR(__xludf.DUMMYFUNCTION("""COMPUTED_VALUE"""),"FALSE")</f>
        <v>FALSE</v>
      </c>
      <c r="F1308" s="198"/>
      <c r="J1308" s="184" t="str">
        <f>IFERROR(__xludf.DUMMYFUNCTION("""COMPUTED_VALUE"""),"")</f>
        <v/>
      </c>
      <c r="K1308" s="184"/>
      <c r="L1308" s="184"/>
      <c r="M1308" s="184"/>
      <c r="N1308" s="184"/>
      <c r="O1308" s="184"/>
      <c r="P1308" s="184"/>
      <c r="Q1308" s="184"/>
      <c r="R1308" s="184"/>
      <c r="S1308" s="184"/>
      <c r="T1308" s="184"/>
      <c r="U1308" s="184"/>
      <c r="V1308" s="184"/>
      <c r="W1308" s="184"/>
      <c r="X1308" s="184"/>
    </row>
    <row r="1309">
      <c r="A1309" s="198"/>
      <c r="D1309" s="198" t="str">
        <f>IFERROR(__xludf.DUMMYFUNCTION("""COMPUTED_VALUE"""),"FALSE")</f>
        <v>FALSE</v>
      </c>
      <c r="E1309" s="198" t="str">
        <f>IFERROR(__xludf.DUMMYFUNCTION("""COMPUTED_VALUE"""),"FALSE")</f>
        <v>FALSE</v>
      </c>
      <c r="F1309" s="198"/>
      <c r="J1309" s="184" t="str">
        <f>IFERROR(__xludf.DUMMYFUNCTION("""COMPUTED_VALUE"""),"")</f>
        <v/>
      </c>
      <c r="K1309" s="184"/>
      <c r="L1309" s="184"/>
      <c r="M1309" s="184"/>
      <c r="N1309" s="184"/>
      <c r="O1309" s="184"/>
      <c r="P1309" s="184"/>
      <c r="Q1309" s="184"/>
      <c r="R1309" s="184"/>
      <c r="S1309" s="184"/>
      <c r="T1309" s="184"/>
      <c r="U1309" s="184"/>
      <c r="V1309" s="184"/>
      <c r="W1309" s="184"/>
      <c r="X1309" s="184"/>
    </row>
    <row r="1310">
      <c r="A1310" s="198"/>
      <c r="D1310" s="198" t="str">
        <f>IFERROR(__xludf.DUMMYFUNCTION("""COMPUTED_VALUE"""),"FALSE")</f>
        <v>FALSE</v>
      </c>
      <c r="E1310" s="198" t="str">
        <f>IFERROR(__xludf.DUMMYFUNCTION("""COMPUTED_VALUE"""),"FALSE")</f>
        <v>FALSE</v>
      </c>
      <c r="F1310" s="198"/>
      <c r="J1310" s="184" t="str">
        <f>IFERROR(__xludf.DUMMYFUNCTION("""COMPUTED_VALUE"""),"")</f>
        <v/>
      </c>
      <c r="K1310" s="184"/>
      <c r="L1310" s="184"/>
      <c r="M1310" s="184"/>
      <c r="N1310" s="184"/>
      <c r="O1310" s="184"/>
      <c r="P1310" s="184"/>
      <c r="Q1310" s="184"/>
      <c r="R1310" s="184"/>
      <c r="S1310" s="184"/>
      <c r="T1310" s="184"/>
      <c r="U1310" s="184"/>
      <c r="V1310" s="184"/>
      <c r="W1310" s="184"/>
      <c r="X1310" s="184"/>
    </row>
    <row r="1311">
      <c r="A1311" s="198"/>
      <c r="D1311" s="198" t="str">
        <f>IFERROR(__xludf.DUMMYFUNCTION("""COMPUTED_VALUE"""),"FALSE")</f>
        <v>FALSE</v>
      </c>
      <c r="E1311" s="198" t="str">
        <f>IFERROR(__xludf.DUMMYFUNCTION("""COMPUTED_VALUE"""),"FALSE")</f>
        <v>FALSE</v>
      </c>
      <c r="F1311" s="198"/>
      <c r="J1311" s="184" t="str">
        <f>IFERROR(__xludf.DUMMYFUNCTION("""COMPUTED_VALUE"""),"")</f>
        <v/>
      </c>
      <c r="K1311" s="184"/>
      <c r="L1311" s="184"/>
      <c r="M1311" s="184"/>
      <c r="N1311" s="184"/>
      <c r="O1311" s="184"/>
      <c r="P1311" s="184"/>
      <c r="Q1311" s="184"/>
      <c r="R1311" s="184"/>
      <c r="S1311" s="184"/>
      <c r="T1311" s="184"/>
      <c r="U1311" s="184"/>
      <c r="V1311" s="184"/>
      <c r="W1311" s="184"/>
      <c r="X1311" s="184"/>
    </row>
    <row r="1312">
      <c r="A1312" s="198"/>
      <c r="D1312" s="198" t="str">
        <f>IFERROR(__xludf.DUMMYFUNCTION("""COMPUTED_VALUE"""),"FALSE")</f>
        <v>FALSE</v>
      </c>
      <c r="E1312" s="198" t="str">
        <f>IFERROR(__xludf.DUMMYFUNCTION("""COMPUTED_VALUE"""),"FALSE")</f>
        <v>FALSE</v>
      </c>
      <c r="F1312" s="198"/>
      <c r="J1312" s="184" t="str">
        <f>IFERROR(__xludf.DUMMYFUNCTION("""COMPUTED_VALUE"""),"")</f>
        <v/>
      </c>
      <c r="K1312" s="184"/>
      <c r="L1312" s="184"/>
      <c r="M1312" s="184"/>
      <c r="N1312" s="184"/>
      <c r="O1312" s="184"/>
      <c r="P1312" s="184"/>
      <c r="Q1312" s="184"/>
      <c r="R1312" s="184"/>
      <c r="S1312" s="184"/>
      <c r="T1312" s="184"/>
      <c r="U1312" s="184"/>
      <c r="V1312" s="184"/>
      <c r="W1312" s="184"/>
      <c r="X1312" s="184"/>
    </row>
    <row r="1313">
      <c r="A1313" s="198"/>
      <c r="D1313" s="198" t="str">
        <f>IFERROR(__xludf.DUMMYFUNCTION("""COMPUTED_VALUE"""),"FALSE")</f>
        <v>FALSE</v>
      </c>
      <c r="E1313" s="198" t="str">
        <f>IFERROR(__xludf.DUMMYFUNCTION("""COMPUTED_VALUE"""),"FALSE")</f>
        <v>FALSE</v>
      </c>
      <c r="F1313" s="198"/>
      <c r="J1313" s="184" t="str">
        <f>IFERROR(__xludf.DUMMYFUNCTION("""COMPUTED_VALUE"""),"")</f>
        <v/>
      </c>
      <c r="K1313" s="184"/>
      <c r="L1313" s="184"/>
      <c r="M1313" s="184"/>
      <c r="N1313" s="184"/>
      <c r="O1313" s="184"/>
      <c r="P1313" s="184"/>
      <c r="Q1313" s="184"/>
      <c r="R1313" s="184"/>
      <c r="S1313" s="184"/>
      <c r="T1313" s="184"/>
      <c r="U1313" s="184"/>
      <c r="V1313" s="184"/>
      <c r="W1313" s="184"/>
      <c r="X1313" s="184"/>
    </row>
    <row r="1314">
      <c r="A1314" s="198"/>
      <c r="D1314" s="198" t="str">
        <f>IFERROR(__xludf.DUMMYFUNCTION("""COMPUTED_VALUE"""),"FALSE")</f>
        <v>FALSE</v>
      </c>
      <c r="E1314" s="198" t="str">
        <f>IFERROR(__xludf.DUMMYFUNCTION("""COMPUTED_VALUE"""),"FALSE")</f>
        <v>FALSE</v>
      </c>
      <c r="F1314" s="198"/>
      <c r="J1314" s="184" t="str">
        <f>IFERROR(__xludf.DUMMYFUNCTION("""COMPUTED_VALUE"""),"")</f>
        <v/>
      </c>
      <c r="K1314" s="184"/>
      <c r="L1314" s="184"/>
      <c r="M1314" s="184"/>
      <c r="N1314" s="184"/>
      <c r="O1314" s="184"/>
      <c r="P1314" s="184"/>
      <c r="Q1314" s="184"/>
      <c r="R1314" s="184"/>
      <c r="S1314" s="184"/>
      <c r="T1314" s="184"/>
      <c r="U1314" s="184"/>
      <c r="V1314" s="184"/>
      <c r="W1314" s="184"/>
      <c r="X1314" s="184"/>
    </row>
    <row r="1315">
      <c r="A1315" s="198"/>
      <c r="D1315" s="198" t="str">
        <f>IFERROR(__xludf.DUMMYFUNCTION("""COMPUTED_VALUE"""),"FALSE")</f>
        <v>FALSE</v>
      </c>
      <c r="E1315" s="198" t="str">
        <f>IFERROR(__xludf.DUMMYFUNCTION("""COMPUTED_VALUE"""),"FALSE")</f>
        <v>FALSE</v>
      </c>
      <c r="F1315" s="198"/>
      <c r="J1315" s="184" t="str">
        <f>IFERROR(__xludf.DUMMYFUNCTION("""COMPUTED_VALUE"""),"")</f>
        <v/>
      </c>
      <c r="K1315" s="184"/>
      <c r="L1315" s="184"/>
      <c r="M1315" s="184"/>
      <c r="N1315" s="184"/>
      <c r="O1315" s="184"/>
      <c r="P1315" s="184"/>
      <c r="Q1315" s="184"/>
      <c r="R1315" s="184"/>
      <c r="S1315" s="184"/>
      <c r="T1315" s="184"/>
      <c r="U1315" s="184"/>
      <c r="V1315" s="184"/>
      <c r="W1315" s="184"/>
      <c r="X1315" s="184"/>
    </row>
    <row r="1316">
      <c r="A1316" s="198"/>
      <c r="D1316" s="198" t="str">
        <f>IFERROR(__xludf.DUMMYFUNCTION("""COMPUTED_VALUE"""),"FALSE")</f>
        <v>FALSE</v>
      </c>
      <c r="E1316" s="198" t="str">
        <f>IFERROR(__xludf.DUMMYFUNCTION("""COMPUTED_VALUE"""),"FALSE")</f>
        <v>FALSE</v>
      </c>
      <c r="F1316" s="198"/>
      <c r="J1316" s="184" t="str">
        <f>IFERROR(__xludf.DUMMYFUNCTION("""COMPUTED_VALUE"""),"")</f>
        <v/>
      </c>
      <c r="K1316" s="184"/>
      <c r="L1316" s="184"/>
      <c r="M1316" s="184"/>
      <c r="N1316" s="184"/>
      <c r="O1316" s="184"/>
      <c r="P1316" s="184"/>
      <c r="Q1316" s="184"/>
      <c r="R1316" s="184"/>
      <c r="S1316" s="184"/>
      <c r="T1316" s="184"/>
      <c r="U1316" s="184"/>
      <c r="V1316" s="184"/>
      <c r="W1316" s="184"/>
      <c r="X1316" s="184"/>
    </row>
    <row r="1317">
      <c r="A1317" s="198"/>
      <c r="D1317" s="198" t="str">
        <f>IFERROR(__xludf.DUMMYFUNCTION("""COMPUTED_VALUE"""),"FALSE")</f>
        <v>FALSE</v>
      </c>
      <c r="E1317" s="198" t="str">
        <f>IFERROR(__xludf.DUMMYFUNCTION("""COMPUTED_VALUE"""),"FALSE")</f>
        <v>FALSE</v>
      </c>
      <c r="F1317" s="198"/>
      <c r="J1317" s="184" t="str">
        <f>IFERROR(__xludf.DUMMYFUNCTION("""COMPUTED_VALUE"""),"")</f>
        <v/>
      </c>
      <c r="K1317" s="184"/>
      <c r="L1317" s="184"/>
      <c r="M1317" s="184"/>
      <c r="N1317" s="184"/>
      <c r="O1317" s="184"/>
      <c r="P1317" s="184"/>
      <c r="Q1317" s="184"/>
      <c r="R1317" s="184"/>
      <c r="S1317" s="184"/>
      <c r="T1317" s="184"/>
      <c r="U1317" s="184"/>
      <c r="V1317" s="184"/>
      <c r="W1317" s="184"/>
      <c r="X1317" s="184"/>
    </row>
    <row r="1318">
      <c r="A1318" s="198"/>
      <c r="D1318" s="198" t="str">
        <f>IFERROR(__xludf.DUMMYFUNCTION("""COMPUTED_VALUE"""),"FALSE")</f>
        <v>FALSE</v>
      </c>
      <c r="E1318" s="198" t="str">
        <f>IFERROR(__xludf.DUMMYFUNCTION("""COMPUTED_VALUE"""),"FALSE")</f>
        <v>FALSE</v>
      </c>
      <c r="F1318" s="198"/>
      <c r="J1318" s="184" t="str">
        <f>IFERROR(__xludf.DUMMYFUNCTION("""COMPUTED_VALUE"""),"")</f>
        <v/>
      </c>
      <c r="K1318" s="184"/>
      <c r="L1318" s="184"/>
      <c r="M1318" s="184"/>
      <c r="N1318" s="184"/>
      <c r="O1318" s="184"/>
      <c r="P1318" s="184"/>
      <c r="Q1318" s="184"/>
      <c r="R1318" s="184"/>
      <c r="S1318" s="184"/>
      <c r="T1318" s="184"/>
      <c r="U1318" s="184"/>
      <c r="V1318" s="184"/>
      <c r="W1318" s="184"/>
      <c r="X1318" s="184"/>
    </row>
    <row r="1319">
      <c r="A1319" s="198"/>
      <c r="D1319" s="198" t="str">
        <f>IFERROR(__xludf.DUMMYFUNCTION("""COMPUTED_VALUE"""),"FALSE")</f>
        <v>FALSE</v>
      </c>
      <c r="E1319" s="198" t="str">
        <f>IFERROR(__xludf.DUMMYFUNCTION("""COMPUTED_VALUE"""),"FALSE")</f>
        <v>FALSE</v>
      </c>
      <c r="F1319" s="198"/>
      <c r="J1319" s="184" t="str">
        <f>IFERROR(__xludf.DUMMYFUNCTION("""COMPUTED_VALUE"""),"")</f>
        <v/>
      </c>
      <c r="K1319" s="184"/>
      <c r="L1319" s="184"/>
      <c r="M1319" s="184"/>
      <c r="N1319" s="184"/>
      <c r="O1319" s="184"/>
      <c r="P1319" s="184"/>
      <c r="Q1319" s="184"/>
      <c r="R1319" s="184"/>
      <c r="S1319" s="184"/>
      <c r="T1319" s="184"/>
      <c r="U1319" s="184"/>
      <c r="V1319" s="184"/>
      <c r="W1319" s="184"/>
      <c r="X1319" s="184"/>
    </row>
    <row r="1320">
      <c r="A1320" s="198"/>
      <c r="D1320" s="198" t="str">
        <f>IFERROR(__xludf.DUMMYFUNCTION("""COMPUTED_VALUE"""),"FALSE")</f>
        <v>FALSE</v>
      </c>
      <c r="E1320" s="198" t="str">
        <f>IFERROR(__xludf.DUMMYFUNCTION("""COMPUTED_VALUE"""),"FALSE")</f>
        <v>FALSE</v>
      </c>
      <c r="F1320" s="198"/>
      <c r="J1320" s="184" t="str">
        <f>IFERROR(__xludf.DUMMYFUNCTION("""COMPUTED_VALUE"""),"")</f>
        <v/>
      </c>
      <c r="K1320" s="184"/>
      <c r="L1320" s="184"/>
      <c r="M1320" s="184"/>
      <c r="N1320" s="184"/>
      <c r="O1320" s="184"/>
      <c r="P1320" s="184"/>
      <c r="Q1320" s="184"/>
      <c r="R1320" s="184"/>
      <c r="S1320" s="184"/>
      <c r="T1320" s="184"/>
      <c r="U1320" s="184"/>
      <c r="V1320" s="184"/>
      <c r="W1320" s="184"/>
      <c r="X1320" s="184"/>
    </row>
    <row r="1321">
      <c r="A1321" s="198"/>
      <c r="D1321" s="198" t="str">
        <f>IFERROR(__xludf.DUMMYFUNCTION("""COMPUTED_VALUE"""),"FALSE")</f>
        <v>FALSE</v>
      </c>
      <c r="E1321" s="198" t="str">
        <f>IFERROR(__xludf.DUMMYFUNCTION("""COMPUTED_VALUE"""),"FALSE")</f>
        <v>FALSE</v>
      </c>
      <c r="F1321" s="198"/>
      <c r="J1321" s="184" t="str">
        <f>IFERROR(__xludf.DUMMYFUNCTION("""COMPUTED_VALUE"""),"")</f>
        <v/>
      </c>
      <c r="K1321" s="184"/>
      <c r="L1321" s="184"/>
      <c r="M1321" s="184"/>
      <c r="N1321" s="184"/>
      <c r="O1321" s="184"/>
      <c r="P1321" s="184"/>
      <c r="Q1321" s="184"/>
      <c r="R1321" s="184"/>
      <c r="S1321" s="184"/>
      <c r="T1321" s="184"/>
      <c r="U1321" s="184"/>
      <c r="V1321" s="184"/>
      <c r="W1321" s="184"/>
      <c r="X1321" s="184"/>
    </row>
    <row r="1322">
      <c r="A1322" s="198"/>
      <c r="D1322" s="198" t="str">
        <f>IFERROR(__xludf.DUMMYFUNCTION("""COMPUTED_VALUE"""),"FALSE")</f>
        <v>FALSE</v>
      </c>
      <c r="E1322" s="198" t="str">
        <f>IFERROR(__xludf.DUMMYFUNCTION("""COMPUTED_VALUE"""),"FALSE")</f>
        <v>FALSE</v>
      </c>
      <c r="F1322" s="198"/>
      <c r="J1322" s="184" t="str">
        <f>IFERROR(__xludf.DUMMYFUNCTION("""COMPUTED_VALUE"""),"")</f>
        <v/>
      </c>
      <c r="K1322" s="184"/>
      <c r="L1322" s="184"/>
      <c r="M1322" s="184"/>
      <c r="N1322" s="184"/>
      <c r="O1322" s="184"/>
      <c r="P1322" s="184"/>
      <c r="Q1322" s="184"/>
      <c r="R1322" s="184"/>
      <c r="S1322" s="184"/>
      <c r="T1322" s="184"/>
      <c r="U1322" s="184"/>
      <c r="V1322" s="184"/>
      <c r="W1322" s="184"/>
      <c r="X1322" s="184"/>
    </row>
    <row r="1323">
      <c r="A1323" s="198"/>
      <c r="D1323" s="198" t="str">
        <f>IFERROR(__xludf.DUMMYFUNCTION("""COMPUTED_VALUE"""),"FALSE")</f>
        <v>FALSE</v>
      </c>
      <c r="E1323" s="198" t="str">
        <f>IFERROR(__xludf.DUMMYFUNCTION("""COMPUTED_VALUE"""),"FALSE")</f>
        <v>FALSE</v>
      </c>
      <c r="F1323" s="198"/>
      <c r="J1323" s="184" t="str">
        <f>IFERROR(__xludf.DUMMYFUNCTION("""COMPUTED_VALUE"""),"")</f>
        <v/>
      </c>
      <c r="K1323" s="184"/>
      <c r="L1323" s="184"/>
      <c r="M1323" s="184"/>
      <c r="N1323" s="184"/>
      <c r="O1323" s="184"/>
      <c r="P1323" s="184"/>
      <c r="Q1323" s="184"/>
      <c r="R1323" s="184"/>
      <c r="S1323" s="184"/>
      <c r="T1323" s="184"/>
      <c r="U1323" s="184"/>
      <c r="V1323" s="184"/>
      <c r="W1323" s="184"/>
      <c r="X1323" s="184"/>
    </row>
    <row r="1324">
      <c r="A1324" s="198"/>
      <c r="D1324" s="198" t="str">
        <f>IFERROR(__xludf.DUMMYFUNCTION("""COMPUTED_VALUE"""),"FALSE")</f>
        <v>FALSE</v>
      </c>
      <c r="E1324" s="198" t="str">
        <f>IFERROR(__xludf.DUMMYFUNCTION("""COMPUTED_VALUE"""),"FALSE")</f>
        <v>FALSE</v>
      </c>
      <c r="F1324" s="198"/>
      <c r="J1324" s="184" t="str">
        <f>IFERROR(__xludf.DUMMYFUNCTION("""COMPUTED_VALUE"""),"")</f>
        <v/>
      </c>
      <c r="K1324" s="184"/>
      <c r="L1324" s="184"/>
      <c r="M1324" s="184"/>
      <c r="N1324" s="184"/>
      <c r="O1324" s="184"/>
      <c r="P1324" s="184"/>
      <c r="Q1324" s="184"/>
      <c r="R1324" s="184"/>
      <c r="S1324" s="184"/>
      <c r="T1324" s="184"/>
      <c r="U1324" s="184"/>
      <c r="V1324" s="184"/>
      <c r="W1324" s="184"/>
      <c r="X1324" s="184"/>
    </row>
    <row r="1325">
      <c r="A1325" s="198"/>
      <c r="D1325" s="198" t="str">
        <f>IFERROR(__xludf.DUMMYFUNCTION("""COMPUTED_VALUE"""),"FALSE")</f>
        <v>FALSE</v>
      </c>
      <c r="E1325" s="198" t="str">
        <f>IFERROR(__xludf.DUMMYFUNCTION("""COMPUTED_VALUE"""),"FALSE")</f>
        <v>FALSE</v>
      </c>
      <c r="F1325" s="198"/>
      <c r="J1325" s="184" t="str">
        <f>IFERROR(__xludf.DUMMYFUNCTION("""COMPUTED_VALUE"""),"")</f>
        <v/>
      </c>
      <c r="K1325" s="184"/>
      <c r="L1325" s="184"/>
      <c r="M1325" s="184"/>
      <c r="N1325" s="184"/>
      <c r="O1325" s="184"/>
      <c r="P1325" s="184"/>
      <c r="Q1325" s="184"/>
      <c r="R1325" s="184"/>
      <c r="S1325" s="184"/>
      <c r="T1325" s="184"/>
      <c r="U1325" s="184"/>
      <c r="V1325" s="184"/>
      <c r="W1325" s="184"/>
      <c r="X1325" s="184"/>
    </row>
    <row r="1326">
      <c r="A1326" s="198"/>
      <c r="D1326" s="198" t="str">
        <f>IFERROR(__xludf.DUMMYFUNCTION("""COMPUTED_VALUE"""),"FALSE")</f>
        <v>FALSE</v>
      </c>
      <c r="E1326" s="198" t="str">
        <f>IFERROR(__xludf.DUMMYFUNCTION("""COMPUTED_VALUE"""),"FALSE")</f>
        <v>FALSE</v>
      </c>
      <c r="F1326" s="198"/>
      <c r="J1326" s="184" t="str">
        <f>IFERROR(__xludf.DUMMYFUNCTION("""COMPUTED_VALUE"""),"")</f>
        <v/>
      </c>
      <c r="K1326" s="184"/>
      <c r="L1326" s="184"/>
      <c r="M1326" s="184"/>
      <c r="N1326" s="184"/>
      <c r="O1326" s="184"/>
      <c r="P1326" s="184"/>
      <c r="Q1326" s="184"/>
      <c r="R1326" s="184"/>
      <c r="S1326" s="184"/>
      <c r="T1326" s="184"/>
      <c r="U1326" s="184"/>
      <c r="V1326" s="184"/>
      <c r="W1326" s="184"/>
      <c r="X1326" s="184"/>
    </row>
    <row r="1327">
      <c r="A1327" s="198"/>
      <c r="D1327" s="198" t="str">
        <f>IFERROR(__xludf.DUMMYFUNCTION("""COMPUTED_VALUE"""),"FALSE")</f>
        <v>FALSE</v>
      </c>
      <c r="E1327" s="198" t="str">
        <f>IFERROR(__xludf.DUMMYFUNCTION("""COMPUTED_VALUE"""),"FALSE")</f>
        <v>FALSE</v>
      </c>
      <c r="F1327" s="198"/>
      <c r="J1327" s="184" t="str">
        <f>IFERROR(__xludf.DUMMYFUNCTION("""COMPUTED_VALUE"""),"")</f>
        <v/>
      </c>
      <c r="K1327" s="184"/>
      <c r="L1327" s="184"/>
      <c r="M1327" s="184"/>
      <c r="N1327" s="184"/>
      <c r="O1327" s="184"/>
      <c r="P1327" s="184"/>
      <c r="Q1327" s="184"/>
      <c r="R1327" s="184"/>
      <c r="S1327" s="184"/>
      <c r="T1327" s="184"/>
      <c r="U1327" s="184"/>
      <c r="V1327" s="184"/>
      <c r="W1327" s="184"/>
      <c r="X1327" s="184"/>
    </row>
    <row r="1328">
      <c r="A1328" s="198"/>
      <c r="D1328" s="198" t="str">
        <f>IFERROR(__xludf.DUMMYFUNCTION("""COMPUTED_VALUE"""),"FALSE")</f>
        <v>FALSE</v>
      </c>
      <c r="E1328" s="198" t="str">
        <f>IFERROR(__xludf.DUMMYFUNCTION("""COMPUTED_VALUE"""),"FALSE")</f>
        <v>FALSE</v>
      </c>
      <c r="F1328" s="198"/>
      <c r="J1328" s="184" t="str">
        <f>IFERROR(__xludf.DUMMYFUNCTION("""COMPUTED_VALUE"""),"")</f>
        <v/>
      </c>
      <c r="K1328" s="184"/>
      <c r="L1328" s="184"/>
      <c r="M1328" s="184"/>
      <c r="N1328" s="184"/>
      <c r="O1328" s="184"/>
      <c r="P1328" s="184"/>
      <c r="Q1328" s="184"/>
      <c r="R1328" s="184"/>
      <c r="S1328" s="184"/>
      <c r="T1328" s="184"/>
      <c r="U1328" s="184"/>
      <c r="V1328" s="184"/>
      <c r="W1328" s="184"/>
      <c r="X1328" s="184"/>
    </row>
    <row r="1329">
      <c r="A1329" s="198"/>
      <c r="D1329" s="198" t="str">
        <f>IFERROR(__xludf.DUMMYFUNCTION("""COMPUTED_VALUE"""),"FALSE")</f>
        <v>FALSE</v>
      </c>
      <c r="E1329" s="198" t="str">
        <f>IFERROR(__xludf.DUMMYFUNCTION("""COMPUTED_VALUE"""),"FALSE")</f>
        <v>FALSE</v>
      </c>
      <c r="F1329" s="198"/>
      <c r="J1329" s="184" t="str">
        <f>IFERROR(__xludf.DUMMYFUNCTION("""COMPUTED_VALUE"""),"")</f>
        <v/>
      </c>
      <c r="K1329" s="184"/>
      <c r="L1329" s="184"/>
      <c r="M1329" s="184"/>
      <c r="N1329" s="184"/>
      <c r="O1329" s="184"/>
      <c r="P1329" s="184"/>
      <c r="Q1329" s="184"/>
      <c r="R1329" s="184"/>
      <c r="S1329" s="184"/>
      <c r="T1329" s="184"/>
      <c r="U1329" s="184"/>
      <c r="V1329" s="184"/>
      <c r="W1329" s="184"/>
      <c r="X1329" s="184"/>
    </row>
    <row r="1330">
      <c r="A1330" s="198"/>
      <c r="D1330" s="198" t="str">
        <f>IFERROR(__xludf.DUMMYFUNCTION("""COMPUTED_VALUE"""),"FALSE")</f>
        <v>FALSE</v>
      </c>
      <c r="E1330" s="198" t="str">
        <f>IFERROR(__xludf.DUMMYFUNCTION("""COMPUTED_VALUE"""),"FALSE")</f>
        <v>FALSE</v>
      </c>
      <c r="F1330" s="198"/>
      <c r="J1330" s="184" t="str">
        <f>IFERROR(__xludf.DUMMYFUNCTION("""COMPUTED_VALUE"""),"")</f>
        <v/>
      </c>
      <c r="K1330" s="184"/>
      <c r="L1330" s="184"/>
      <c r="M1330" s="184"/>
      <c r="N1330" s="184"/>
      <c r="O1330" s="184"/>
      <c r="P1330" s="184"/>
      <c r="Q1330" s="184"/>
      <c r="R1330" s="184"/>
      <c r="S1330" s="184"/>
      <c r="T1330" s="184"/>
      <c r="U1330" s="184"/>
      <c r="V1330" s="184"/>
      <c r="W1330" s="184"/>
      <c r="X1330" s="184"/>
    </row>
    <row r="1331">
      <c r="A1331" s="198"/>
      <c r="D1331" s="198" t="str">
        <f>IFERROR(__xludf.DUMMYFUNCTION("""COMPUTED_VALUE"""),"FALSE")</f>
        <v>FALSE</v>
      </c>
      <c r="E1331" s="198" t="str">
        <f>IFERROR(__xludf.DUMMYFUNCTION("""COMPUTED_VALUE"""),"FALSE")</f>
        <v>FALSE</v>
      </c>
      <c r="F1331" s="198"/>
      <c r="J1331" s="184" t="str">
        <f>IFERROR(__xludf.DUMMYFUNCTION("""COMPUTED_VALUE"""),"")</f>
        <v/>
      </c>
      <c r="K1331" s="184"/>
      <c r="L1331" s="184"/>
      <c r="M1331" s="184"/>
      <c r="N1331" s="184"/>
      <c r="O1331" s="184"/>
      <c r="P1331" s="184"/>
      <c r="Q1331" s="184"/>
      <c r="R1331" s="184"/>
      <c r="S1331" s="184"/>
      <c r="T1331" s="184"/>
      <c r="U1331" s="184"/>
      <c r="V1331" s="184"/>
      <c r="W1331" s="184"/>
      <c r="X1331" s="184"/>
    </row>
    <row r="1332">
      <c r="A1332" s="198"/>
      <c r="D1332" s="198" t="str">
        <f>IFERROR(__xludf.DUMMYFUNCTION("""COMPUTED_VALUE"""),"FALSE")</f>
        <v>FALSE</v>
      </c>
      <c r="E1332" s="198" t="str">
        <f>IFERROR(__xludf.DUMMYFUNCTION("""COMPUTED_VALUE"""),"FALSE")</f>
        <v>FALSE</v>
      </c>
      <c r="F1332" s="198"/>
      <c r="J1332" s="184" t="str">
        <f>IFERROR(__xludf.DUMMYFUNCTION("""COMPUTED_VALUE"""),"")</f>
        <v/>
      </c>
      <c r="K1332" s="184"/>
      <c r="L1332" s="184"/>
      <c r="M1332" s="184"/>
      <c r="N1332" s="184"/>
      <c r="O1332" s="184"/>
      <c r="P1332" s="184"/>
      <c r="Q1332" s="184"/>
      <c r="R1332" s="184"/>
      <c r="S1332" s="184"/>
      <c r="T1332" s="184"/>
      <c r="U1332" s="184"/>
      <c r="V1332" s="184"/>
      <c r="W1332" s="184"/>
      <c r="X1332" s="184"/>
    </row>
    <row r="1333">
      <c r="A1333" s="198"/>
      <c r="D1333" s="198" t="str">
        <f>IFERROR(__xludf.DUMMYFUNCTION("""COMPUTED_VALUE"""),"FALSE")</f>
        <v>FALSE</v>
      </c>
      <c r="E1333" s="198" t="str">
        <f>IFERROR(__xludf.DUMMYFUNCTION("""COMPUTED_VALUE"""),"FALSE")</f>
        <v>FALSE</v>
      </c>
      <c r="F1333" s="198"/>
      <c r="J1333" s="184" t="str">
        <f>IFERROR(__xludf.DUMMYFUNCTION("""COMPUTED_VALUE"""),"")</f>
        <v/>
      </c>
      <c r="K1333" s="184"/>
      <c r="L1333" s="184"/>
      <c r="M1333" s="184"/>
      <c r="N1333" s="184"/>
      <c r="O1333" s="184"/>
      <c r="P1333" s="184"/>
      <c r="Q1333" s="184"/>
      <c r="R1333" s="184"/>
      <c r="S1333" s="184"/>
      <c r="T1333" s="184"/>
      <c r="U1333" s="184"/>
      <c r="V1333" s="184"/>
      <c r="W1333" s="184"/>
      <c r="X1333" s="184"/>
    </row>
    <row r="1334">
      <c r="A1334" s="198"/>
      <c r="D1334" s="198" t="str">
        <f>IFERROR(__xludf.DUMMYFUNCTION("""COMPUTED_VALUE"""),"FALSE")</f>
        <v>FALSE</v>
      </c>
      <c r="E1334" s="198" t="str">
        <f>IFERROR(__xludf.DUMMYFUNCTION("""COMPUTED_VALUE"""),"FALSE")</f>
        <v>FALSE</v>
      </c>
      <c r="F1334" s="198"/>
      <c r="J1334" s="184" t="str">
        <f>IFERROR(__xludf.DUMMYFUNCTION("""COMPUTED_VALUE"""),"")</f>
        <v/>
      </c>
      <c r="K1334" s="184"/>
      <c r="L1334" s="184"/>
      <c r="M1334" s="184"/>
      <c r="N1334" s="184"/>
      <c r="O1334" s="184"/>
      <c r="P1334" s="184"/>
      <c r="Q1334" s="184"/>
      <c r="R1334" s="184"/>
      <c r="S1334" s="184"/>
      <c r="T1334" s="184"/>
      <c r="U1334" s="184"/>
      <c r="V1334" s="184"/>
      <c r="W1334" s="184"/>
      <c r="X1334" s="184"/>
    </row>
    <row r="1335">
      <c r="A1335" s="198"/>
      <c r="D1335" s="198" t="str">
        <f>IFERROR(__xludf.DUMMYFUNCTION("""COMPUTED_VALUE"""),"FALSE")</f>
        <v>FALSE</v>
      </c>
      <c r="E1335" s="198" t="str">
        <f>IFERROR(__xludf.DUMMYFUNCTION("""COMPUTED_VALUE"""),"FALSE")</f>
        <v>FALSE</v>
      </c>
      <c r="F1335" s="198"/>
      <c r="J1335" s="184" t="str">
        <f>IFERROR(__xludf.DUMMYFUNCTION("""COMPUTED_VALUE"""),"")</f>
        <v/>
      </c>
      <c r="K1335" s="184"/>
      <c r="L1335" s="184"/>
      <c r="M1335" s="184"/>
      <c r="N1335" s="184"/>
      <c r="O1335" s="184"/>
      <c r="P1335" s="184"/>
      <c r="Q1335" s="184"/>
      <c r="R1335" s="184"/>
      <c r="S1335" s="184"/>
      <c r="T1335" s="184"/>
      <c r="U1335" s="184"/>
      <c r="V1335" s="184"/>
      <c r="W1335" s="184"/>
      <c r="X1335" s="184"/>
    </row>
    <row r="1336">
      <c r="A1336" s="198"/>
      <c r="D1336" s="198" t="str">
        <f>IFERROR(__xludf.DUMMYFUNCTION("""COMPUTED_VALUE"""),"FALSE")</f>
        <v>FALSE</v>
      </c>
      <c r="E1336" s="198" t="str">
        <f>IFERROR(__xludf.DUMMYFUNCTION("""COMPUTED_VALUE"""),"FALSE")</f>
        <v>FALSE</v>
      </c>
      <c r="F1336" s="198"/>
      <c r="J1336" s="184" t="str">
        <f>IFERROR(__xludf.DUMMYFUNCTION("""COMPUTED_VALUE"""),"")</f>
        <v/>
      </c>
      <c r="K1336" s="184"/>
      <c r="L1336" s="184"/>
      <c r="M1336" s="184"/>
      <c r="N1336" s="184"/>
      <c r="O1336" s="184"/>
      <c r="P1336" s="184"/>
      <c r="Q1336" s="184"/>
      <c r="R1336" s="184"/>
      <c r="S1336" s="184"/>
      <c r="T1336" s="184"/>
      <c r="U1336" s="184"/>
      <c r="V1336" s="184"/>
      <c r="W1336" s="184"/>
      <c r="X1336" s="184"/>
    </row>
    <row r="1337">
      <c r="A1337" s="198"/>
      <c r="D1337" s="198" t="str">
        <f>IFERROR(__xludf.DUMMYFUNCTION("""COMPUTED_VALUE"""),"FALSE")</f>
        <v>FALSE</v>
      </c>
      <c r="E1337" s="198" t="str">
        <f>IFERROR(__xludf.DUMMYFUNCTION("""COMPUTED_VALUE"""),"FALSE")</f>
        <v>FALSE</v>
      </c>
      <c r="F1337" s="198"/>
      <c r="J1337" s="184" t="str">
        <f>IFERROR(__xludf.DUMMYFUNCTION("""COMPUTED_VALUE"""),"")</f>
        <v/>
      </c>
      <c r="K1337" s="184"/>
      <c r="L1337" s="184"/>
      <c r="M1337" s="184"/>
      <c r="N1337" s="184"/>
      <c r="O1337" s="184"/>
      <c r="P1337" s="184"/>
      <c r="Q1337" s="184"/>
      <c r="R1337" s="184"/>
      <c r="S1337" s="184"/>
      <c r="T1337" s="184"/>
      <c r="U1337" s="184"/>
      <c r="V1337" s="184"/>
      <c r="W1337" s="184"/>
      <c r="X1337" s="184"/>
    </row>
    <row r="1338">
      <c r="A1338" s="198"/>
      <c r="D1338" s="198" t="str">
        <f>IFERROR(__xludf.DUMMYFUNCTION("""COMPUTED_VALUE"""),"FALSE")</f>
        <v>FALSE</v>
      </c>
      <c r="E1338" s="198" t="str">
        <f>IFERROR(__xludf.DUMMYFUNCTION("""COMPUTED_VALUE"""),"FALSE")</f>
        <v>FALSE</v>
      </c>
      <c r="F1338" s="198"/>
      <c r="J1338" s="184" t="str">
        <f>IFERROR(__xludf.DUMMYFUNCTION("""COMPUTED_VALUE"""),"")</f>
        <v/>
      </c>
      <c r="K1338" s="184"/>
      <c r="L1338" s="184"/>
      <c r="M1338" s="184"/>
      <c r="N1338" s="184"/>
      <c r="O1338" s="184"/>
      <c r="P1338" s="184"/>
      <c r="Q1338" s="184"/>
      <c r="R1338" s="184"/>
      <c r="S1338" s="184"/>
      <c r="T1338" s="184"/>
      <c r="U1338" s="184"/>
      <c r="V1338" s="184"/>
      <c r="W1338" s="184"/>
      <c r="X1338" s="184"/>
    </row>
    <row r="1339">
      <c r="A1339" s="198"/>
      <c r="D1339" s="198" t="str">
        <f>IFERROR(__xludf.DUMMYFUNCTION("""COMPUTED_VALUE"""),"FALSE")</f>
        <v>FALSE</v>
      </c>
      <c r="E1339" s="198" t="str">
        <f>IFERROR(__xludf.DUMMYFUNCTION("""COMPUTED_VALUE"""),"FALSE")</f>
        <v>FALSE</v>
      </c>
      <c r="F1339" s="198"/>
      <c r="J1339" s="184" t="str">
        <f>IFERROR(__xludf.DUMMYFUNCTION("""COMPUTED_VALUE"""),"")</f>
        <v/>
      </c>
      <c r="K1339" s="184"/>
      <c r="L1339" s="184"/>
      <c r="M1339" s="184"/>
      <c r="N1339" s="184"/>
      <c r="O1339" s="184"/>
      <c r="P1339" s="184"/>
      <c r="Q1339" s="184"/>
      <c r="R1339" s="184"/>
      <c r="S1339" s="184"/>
      <c r="T1339" s="184"/>
      <c r="U1339" s="184"/>
      <c r="V1339" s="184"/>
      <c r="W1339" s="184"/>
      <c r="X1339" s="184"/>
    </row>
    <row r="1340">
      <c r="A1340" s="198"/>
      <c r="D1340" s="198" t="str">
        <f>IFERROR(__xludf.DUMMYFUNCTION("""COMPUTED_VALUE"""),"FALSE")</f>
        <v>FALSE</v>
      </c>
      <c r="E1340" s="198" t="str">
        <f>IFERROR(__xludf.DUMMYFUNCTION("""COMPUTED_VALUE"""),"FALSE")</f>
        <v>FALSE</v>
      </c>
      <c r="F1340" s="198"/>
      <c r="J1340" s="184" t="str">
        <f>IFERROR(__xludf.DUMMYFUNCTION("""COMPUTED_VALUE"""),"")</f>
        <v/>
      </c>
      <c r="K1340" s="184"/>
      <c r="L1340" s="184"/>
      <c r="M1340" s="184"/>
      <c r="N1340" s="184"/>
      <c r="O1340" s="184"/>
      <c r="P1340" s="184"/>
      <c r="Q1340" s="184"/>
      <c r="R1340" s="184"/>
      <c r="S1340" s="184"/>
      <c r="T1340" s="184"/>
      <c r="U1340" s="184"/>
      <c r="V1340" s="184"/>
      <c r="W1340" s="184"/>
      <c r="X1340" s="184"/>
    </row>
    <row r="1341">
      <c r="A1341" s="198"/>
      <c r="D1341" s="198" t="str">
        <f>IFERROR(__xludf.DUMMYFUNCTION("""COMPUTED_VALUE"""),"FALSE")</f>
        <v>FALSE</v>
      </c>
      <c r="E1341" s="198" t="str">
        <f>IFERROR(__xludf.DUMMYFUNCTION("""COMPUTED_VALUE"""),"FALSE")</f>
        <v>FALSE</v>
      </c>
      <c r="F1341" s="198"/>
      <c r="J1341" s="184" t="str">
        <f>IFERROR(__xludf.DUMMYFUNCTION("""COMPUTED_VALUE"""),"")</f>
        <v/>
      </c>
      <c r="K1341" s="184"/>
      <c r="L1341" s="184"/>
      <c r="M1341" s="184"/>
      <c r="N1341" s="184"/>
      <c r="O1341" s="184"/>
      <c r="P1341" s="184"/>
      <c r="Q1341" s="184"/>
      <c r="R1341" s="184"/>
      <c r="S1341" s="184"/>
      <c r="T1341" s="184"/>
      <c r="U1341" s="184"/>
      <c r="V1341" s="184"/>
      <c r="W1341" s="184"/>
      <c r="X1341" s="184"/>
    </row>
    <row r="1342">
      <c r="A1342" s="198"/>
      <c r="D1342" s="198" t="str">
        <f>IFERROR(__xludf.DUMMYFUNCTION("""COMPUTED_VALUE"""),"FALSE")</f>
        <v>FALSE</v>
      </c>
      <c r="E1342" s="198" t="str">
        <f>IFERROR(__xludf.DUMMYFUNCTION("""COMPUTED_VALUE"""),"FALSE")</f>
        <v>FALSE</v>
      </c>
      <c r="F1342" s="198"/>
      <c r="J1342" s="184" t="str">
        <f>IFERROR(__xludf.DUMMYFUNCTION("""COMPUTED_VALUE"""),"")</f>
        <v/>
      </c>
      <c r="K1342" s="184"/>
      <c r="L1342" s="184"/>
      <c r="M1342" s="184"/>
      <c r="N1342" s="184"/>
      <c r="O1342" s="184"/>
      <c r="P1342" s="184"/>
      <c r="Q1342" s="184"/>
      <c r="R1342" s="184"/>
      <c r="S1342" s="184"/>
      <c r="T1342" s="184"/>
      <c r="U1342" s="184"/>
      <c r="V1342" s="184"/>
      <c r="W1342" s="184"/>
      <c r="X1342" s="184"/>
    </row>
    <row r="1343">
      <c r="A1343" s="198"/>
      <c r="D1343" s="198" t="str">
        <f>IFERROR(__xludf.DUMMYFUNCTION("""COMPUTED_VALUE"""),"FALSE")</f>
        <v>FALSE</v>
      </c>
      <c r="E1343" s="198" t="str">
        <f>IFERROR(__xludf.DUMMYFUNCTION("""COMPUTED_VALUE"""),"FALSE")</f>
        <v>FALSE</v>
      </c>
      <c r="F1343" s="198"/>
      <c r="J1343" s="184" t="str">
        <f>IFERROR(__xludf.DUMMYFUNCTION("""COMPUTED_VALUE"""),"")</f>
        <v/>
      </c>
      <c r="K1343" s="184"/>
      <c r="L1343" s="184"/>
      <c r="M1343" s="184"/>
      <c r="N1343" s="184"/>
      <c r="O1343" s="184"/>
      <c r="P1343" s="184"/>
      <c r="Q1343" s="184"/>
      <c r="R1343" s="184"/>
      <c r="S1343" s="184"/>
      <c r="T1343" s="184"/>
      <c r="U1343" s="184"/>
      <c r="V1343" s="184"/>
      <c r="W1343" s="184"/>
      <c r="X1343" s="184"/>
    </row>
    <row r="1344">
      <c r="A1344" s="198"/>
      <c r="D1344" s="198" t="str">
        <f>IFERROR(__xludf.DUMMYFUNCTION("""COMPUTED_VALUE"""),"FALSE")</f>
        <v>FALSE</v>
      </c>
      <c r="E1344" s="198" t="str">
        <f>IFERROR(__xludf.DUMMYFUNCTION("""COMPUTED_VALUE"""),"FALSE")</f>
        <v>FALSE</v>
      </c>
      <c r="F1344" s="198"/>
      <c r="J1344" s="184" t="str">
        <f>IFERROR(__xludf.DUMMYFUNCTION("""COMPUTED_VALUE"""),"")</f>
        <v/>
      </c>
      <c r="K1344" s="184"/>
      <c r="L1344" s="184"/>
      <c r="M1344" s="184"/>
      <c r="N1344" s="184"/>
      <c r="O1344" s="184"/>
      <c r="P1344" s="184"/>
      <c r="Q1344" s="184"/>
      <c r="R1344" s="184"/>
      <c r="S1344" s="184"/>
      <c r="T1344" s="184"/>
      <c r="U1344" s="184"/>
      <c r="V1344" s="184"/>
      <c r="W1344" s="184"/>
      <c r="X1344" s="184"/>
    </row>
    <row r="1345">
      <c r="A1345" s="198"/>
      <c r="D1345" s="198" t="str">
        <f>IFERROR(__xludf.DUMMYFUNCTION("""COMPUTED_VALUE"""),"FALSE")</f>
        <v>FALSE</v>
      </c>
      <c r="E1345" s="198" t="str">
        <f>IFERROR(__xludf.DUMMYFUNCTION("""COMPUTED_VALUE"""),"FALSE")</f>
        <v>FALSE</v>
      </c>
      <c r="F1345" s="198"/>
      <c r="J1345" s="184" t="str">
        <f>IFERROR(__xludf.DUMMYFUNCTION("""COMPUTED_VALUE"""),"")</f>
        <v/>
      </c>
      <c r="K1345" s="184"/>
      <c r="L1345" s="184"/>
      <c r="M1345" s="184"/>
      <c r="N1345" s="184"/>
      <c r="O1345" s="184"/>
      <c r="P1345" s="184"/>
      <c r="Q1345" s="184"/>
      <c r="R1345" s="184"/>
      <c r="S1345" s="184"/>
      <c r="T1345" s="184"/>
      <c r="U1345" s="184"/>
      <c r="V1345" s="184"/>
      <c r="W1345" s="184"/>
      <c r="X1345" s="184"/>
    </row>
    <row r="1346">
      <c r="A1346" s="198"/>
      <c r="D1346" s="198" t="str">
        <f>IFERROR(__xludf.DUMMYFUNCTION("""COMPUTED_VALUE"""),"FALSE")</f>
        <v>FALSE</v>
      </c>
      <c r="E1346" s="198" t="str">
        <f>IFERROR(__xludf.DUMMYFUNCTION("""COMPUTED_VALUE"""),"FALSE")</f>
        <v>FALSE</v>
      </c>
      <c r="F1346" s="198"/>
      <c r="J1346" s="184" t="str">
        <f>IFERROR(__xludf.DUMMYFUNCTION("""COMPUTED_VALUE"""),"")</f>
        <v/>
      </c>
      <c r="K1346" s="184"/>
      <c r="L1346" s="184"/>
      <c r="M1346" s="184"/>
      <c r="N1346" s="184"/>
      <c r="O1346" s="184"/>
      <c r="P1346" s="184"/>
      <c r="Q1346" s="184"/>
      <c r="R1346" s="184"/>
      <c r="S1346" s="184"/>
      <c r="T1346" s="184"/>
      <c r="U1346" s="184"/>
      <c r="V1346" s="184"/>
      <c r="W1346" s="184"/>
      <c r="X1346" s="184"/>
    </row>
    <row r="1347">
      <c r="A1347" s="198"/>
      <c r="D1347" s="198" t="str">
        <f>IFERROR(__xludf.DUMMYFUNCTION("""COMPUTED_VALUE"""),"FALSE")</f>
        <v>FALSE</v>
      </c>
      <c r="E1347" s="198" t="str">
        <f>IFERROR(__xludf.DUMMYFUNCTION("""COMPUTED_VALUE"""),"FALSE")</f>
        <v>FALSE</v>
      </c>
      <c r="F1347" s="198"/>
      <c r="J1347" s="184" t="str">
        <f>IFERROR(__xludf.DUMMYFUNCTION("""COMPUTED_VALUE"""),"")</f>
        <v/>
      </c>
      <c r="K1347" s="184"/>
      <c r="L1347" s="184"/>
      <c r="M1347" s="184"/>
      <c r="N1347" s="184"/>
      <c r="O1347" s="184"/>
      <c r="P1347" s="184"/>
      <c r="Q1347" s="184"/>
      <c r="R1347" s="184"/>
      <c r="S1347" s="184"/>
      <c r="T1347" s="184"/>
      <c r="U1347" s="184"/>
      <c r="V1347" s="184"/>
      <c r="W1347" s="184"/>
      <c r="X1347" s="184"/>
    </row>
    <row r="1348">
      <c r="A1348" s="198"/>
      <c r="D1348" s="198" t="str">
        <f>IFERROR(__xludf.DUMMYFUNCTION("""COMPUTED_VALUE"""),"FALSE")</f>
        <v>FALSE</v>
      </c>
      <c r="E1348" s="198" t="str">
        <f>IFERROR(__xludf.DUMMYFUNCTION("""COMPUTED_VALUE"""),"FALSE")</f>
        <v>FALSE</v>
      </c>
      <c r="F1348" s="198"/>
      <c r="J1348" s="184" t="str">
        <f>IFERROR(__xludf.DUMMYFUNCTION("""COMPUTED_VALUE"""),"")</f>
        <v/>
      </c>
      <c r="K1348" s="184"/>
      <c r="L1348" s="184"/>
      <c r="M1348" s="184"/>
      <c r="N1348" s="184"/>
      <c r="O1348" s="184"/>
      <c r="P1348" s="184"/>
      <c r="Q1348" s="184"/>
      <c r="R1348" s="184"/>
      <c r="S1348" s="184"/>
      <c r="T1348" s="184"/>
      <c r="U1348" s="184"/>
      <c r="V1348" s="184"/>
      <c r="W1348" s="184"/>
      <c r="X1348" s="184"/>
    </row>
    <row r="1349">
      <c r="A1349" s="198"/>
      <c r="D1349" s="198" t="str">
        <f>IFERROR(__xludf.DUMMYFUNCTION("""COMPUTED_VALUE"""),"FALSE")</f>
        <v>FALSE</v>
      </c>
      <c r="E1349" s="198" t="str">
        <f>IFERROR(__xludf.DUMMYFUNCTION("""COMPUTED_VALUE"""),"FALSE")</f>
        <v>FALSE</v>
      </c>
      <c r="F1349" s="198"/>
      <c r="J1349" s="184" t="str">
        <f>IFERROR(__xludf.DUMMYFUNCTION("""COMPUTED_VALUE"""),"")</f>
        <v/>
      </c>
      <c r="K1349" s="184"/>
      <c r="L1349" s="184"/>
      <c r="M1349" s="184"/>
      <c r="N1349" s="184"/>
      <c r="O1349" s="184"/>
      <c r="P1349" s="184"/>
      <c r="Q1349" s="184"/>
      <c r="R1349" s="184"/>
      <c r="S1349" s="184"/>
      <c r="T1349" s="184"/>
      <c r="U1349" s="184"/>
      <c r="V1349" s="184"/>
      <c r="W1349" s="184"/>
      <c r="X1349" s="184"/>
    </row>
    <row r="1350">
      <c r="A1350" s="198"/>
      <c r="D1350" s="198" t="str">
        <f>IFERROR(__xludf.DUMMYFUNCTION("""COMPUTED_VALUE"""),"FALSE")</f>
        <v>FALSE</v>
      </c>
      <c r="E1350" s="198" t="str">
        <f>IFERROR(__xludf.DUMMYFUNCTION("""COMPUTED_VALUE"""),"FALSE")</f>
        <v>FALSE</v>
      </c>
      <c r="F1350" s="198"/>
      <c r="J1350" s="184" t="str">
        <f>IFERROR(__xludf.DUMMYFUNCTION("""COMPUTED_VALUE"""),"")</f>
        <v/>
      </c>
      <c r="K1350" s="184"/>
      <c r="L1350" s="184"/>
      <c r="M1350" s="184"/>
      <c r="N1350" s="184"/>
      <c r="O1350" s="184"/>
      <c r="P1350" s="184"/>
      <c r="Q1350" s="184"/>
      <c r="R1350" s="184"/>
      <c r="S1350" s="184"/>
      <c r="T1350" s="184"/>
      <c r="U1350" s="184"/>
      <c r="V1350" s="184"/>
      <c r="W1350" s="184"/>
      <c r="X1350" s="184"/>
    </row>
    <row r="1351">
      <c r="A1351" s="198"/>
      <c r="D1351" s="198" t="str">
        <f>IFERROR(__xludf.DUMMYFUNCTION("""COMPUTED_VALUE"""),"FALSE")</f>
        <v>FALSE</v>
      </c>
      <c r="E1351" s="198" t="str">
        <f>IFERROR(__xludf.DUMMYFUNCTION("""COMPUTED_VALUE"""),"FALSE")</f>
        <v>FALSE</v>
      </c>
      <c r="F1351" s="198"/>
      <c r="J1351" s="184" t="str">
        <f>IFERROR(__xludf.DUMMYFUNCTION("""COMPUTED_VALUE"""),"")</f>
        <v/>
      </c>
      <c r="K1351" s="184"/>
      <c r="L1351" s="184"/>
      <c r="M1351" s="184"/>
      <c r="N1351" s="184"/>
      <c r="O1351" s="184"/>
      <c r="P1351" s="184"/>
      <c r="Q1351" s="184"/>
      <c r="R1351" s="184"/>
      <c r="S1351" s="184"/>
      <c r="T1351" s="184"/>
      <c r="U1351" s="184"/>
      <c r="V1351" s="184"/>
      <c r="W1351" s="184"/>
      <c r="X1351" s="184"/>
    </row>
    <row r="1352">
      <c r="A1352" s="198"/>
      <c r="D1352" s="198" t="str">
        <f>IFERROR(__xludf.DUMMYFUNCTION("""COMPUTED_VALUE"""),"FALSE")</f>
        <v>FALSE</v>
      </c>
      <c r="E1352" s="198" t="str">
        <f>IFERROR(__xludf.DUMMYFUNCTION("""COMPUTED_VALUE"""),"FALSE")</f>
        <v>FALSE</v>
      </c>
      <c r="F1352" s="198"/>
      <c r="J1352" s="184" t="str">
        <f>IFERROR(__xludf.DUMMYFUNCTION("""COMPUTED_VALUE"""),"")</f>
        <v/>
      </c>
      <c r="K1352" s="184"/>
      <c r="L1352" s="184"/>
      <c r="M1352" s="184"/>
      <c r="N1352" s="184"/>
      <c r="O1352" s="184"/>
      <c r="P1352" s="184"/>
      <c r="Q1352" s="184"/>
      <c r="R1352" s="184"/>
      <c r="S1352" s="184"/>
      <c r="T1352" s="184"/>
      <c r="U1352" s="184"/>
      <c r="V1352" s="184"/>
      <c r="W1352" s="184"/>
      <c r="X1352" s="184"/>
    </row>
    <row r="1353">
      <c r="A1353" s="198"/>
      <c r="D1353" s="198" t="str">
        <f>IFERROR(__xludf.DUMMYFUNCTION("""COMPUTED_VALUE"""),"FALSE")</f>
        <v>FALSE</v>
      </c>
      <c r="E1353" s="198" t="str">
        <f>IFERROR(__xludf.DUMMYFUNCTION("""COMPUTED_VALUE"""),"FALSE")</f>
        <v>FALSE</v>
      </c>
      <c r="F1353" s="198"/>
      <c r="J1353" s="184" t="str">
        <f>IFERROR(__xludf.DUMMYFUNCTION("""COMPUTED_VALUE"""),"")</f>
        <v/>
      </c>
      <c r="K1353" s="184"/>
      <c r="L1353" s="184"/>
      <c r="M1353" s="184"/>
      <c r="N1353" s="184"/>
      <c r="O1353" s="184"/>
      <c r="P1353" s="184"/>
      <c r="Q1353" s="184"/>
      <c r="R1353" s="184"/>
      <c r="S1353" s="184"/>
      <c r="T1353" s="184"/>
      <c r="U1353" s="184"/>
      <c r="V1353" s="184"/>
      <c r="W1353" s="184"/>
      <c r="X1353" s="184"/>
    </row>
    <row r="1354">
      <c r="A1354" s="198"/>
      <c r="D1354" s="198" t="str">
        <f>IFERROR(__xludf.DUMMYFUNCTION("""COMPUTED_VALUE"""),"FALSE")</f>
        <v>FALSE</v>
      </c>
      <c r="E1354" s="198" t="str">
        <f>IFERROR(__xludf.DUMMYFUNCTION("""COMPUTED_VALUE"""),"FALSE")</f>
        <v>FALSE</v>
      </c>
      <c r="F1354" s="198"/>
      <c r="J1354" s="184" t="str">
        <f>IFERROR(__xludf.DUMMYFUNCTION("""COMPUTED_VALUE"""),"")</f>
        <v/>
      </c>
      <c r="K1354" s="184"/>
      <c r="L1354" s="184"/>
      <c r="M1354" s="184"/>
      <c r="N1354" s="184"/>
      <c r="O1354" s="184"/>
      <c r="P1354" s="184"/>
      <c r="Q1354" s="184"/>
      <c r="R1354" s="184"/>
      <c r="S1354" s="184"/>
      <c r="T1354" s="184"/>
      <c r="U1354" s="184"/>
      <c r="V1354" s="184"/>
      <c r="W1354" s="184"/>
      <c r="X1354" s="184"/>
    </row>
    <row r="1355">
      <c r="A1355" s="198"/>
      <c r="D1355" s="198" t="str">
        <f>IFERROR(__xludf.DUMMYFUNCTION("""COMPUTED_VALUE"""),"FALSE")</f>
        <v>FALSE</v>
      </c>
      <c r="E1355" s="198" t="str">
        <f>IFERROR(__xludf.DUMMYFUNCTION("""COMPUTED_VALUE"""),"FALSE")</f>
        <v>FALSE</v>
      </c>
      <c r="F1355" s="198"/>
      <c r="J1355" s="184" t="str">
        <f>IFERROR(__xludf.DUMMYFUNCTION("""COMPUTED_VALUE"""),"")</f>
        <v/>
      </c>
      <c r="K1355" s="184"/>
      <c r="L1355" s="184"/>
      <c r="M1355" s="184"/>
      <c r="N1355" s="184"/>
      <c r="O1355" s="184"/>
      <c r="P1355" s="184"/>
      <c r="Q1355" s="184"/>
      <c r="R1355" s="184"/>
      <c r="S1355" s="184"/>
      <c r="T1355" s="184"/>
      <c r="U1355" s="184"/>
      <c r="V1355" s="184"/>
      <c r="W1355" s="184"/>
      <c r="X1355" s="184"/>
    </row>
    <row r="1356">
      <c r="A1356" s="198"/>
      <c r="D1356" s="198" t="str">
        <f>IFERROR(__xludf.DUMMYFUNCTION("""COMPUTED_VALUE"""),"FALSE")</f>
        <v>FALSE</v>
      </c>
      <c r="E1356" s="198" t="str">
        <f>IFERROR(__xludf.DUMMYFUNCTION("""COMPUTED_VALUE"""),"FALSE")</f>
        <v>FALSE</v>
      </c>
      <c r="F1356" s="198"/>
      <c r="J1356" s="184" t="str">
        <f>IFERROR(__xludf.DUMMYFUNCTION("""COMPUTED_VALUE"""),"")</f>
        <v/>
      </c>
      <c r="K1356" s="184"/>
      <c r="L1356" s="184"/>
      <c r="M1356" s="184"/>
      <c r="N1356" s="184"/>
      <c r="O1356" s="184"/>
      <c r="P1356" s="184"/>
      <c r="Q1356" s="184"/>
      <c r="R1356" s="184"/>
      <c r="S1356" s="184"/>
      <c r="T1356" s="184"/>
      <c r="U1356" s="184"/>
      <c r="V1356" s="184"/>
      <c r="W1356" s="184"/>
      <c r="X1356" s="184"/>
    </row>
    <row r="1357">
      <c r="A1357" s="198"/>
      <c r="D1357" s="198" t="str">
        <f>IFERROR(__xludf.DUMMYFUNCTION("""COMPUTED_VALUE"""),"FALSE")</f>
        <v>FALSE</v>
      </c>
      <c r="E1357" s="198" t="str">
        <f>IFERROR(__xludf.DUMMYFUNCTION("""COMPUTED_VALUE"""),"FALSE")</f>
        <v>FALSE</v>
      </c>
      <c r="F1357" s="198"/>
      <c r="J1357" s="184" t="str">
        <f>IFERROR(__xludf.DUMMYFUNCTION("""COMPUTED_VALUE"""),"")</f>
        <v/>
      </c>
      <c r="K1357" s="184"/>
      <c r="L1357" s="184"/>
      <c r="M1357" s="184"/>
      <c r="N1357" s="184"/>
      <c r="O1357" s="184"/>
      <c r="P1357" s="184"/>
      <c r="Q1357" s="184"/>
      <c r="R1357" s="184"/>
      <c r="S1357" s="184"/>
      <c r="T1357" s="184"/>
      <c r="U1357" s="184"/>
      <c r="V1357" s="184"/>
      <c r="W1357" s="184"/>
      <c r="X1357" s="184"/>
    </row>
    <row r="1358">
      <c r="A1358" s="198"/>
      <c r="D1358" s="198" t="str">
        <f>IFERROR(__xludf.DUMMYFUNCTION("""COMPUTED_VALUE"""),"FALSE")</f>
        <v>FALSE</v>
      </c>
      <c r="E1358" s="198" t="str">
        <f>IFERROR(__xludf.DUMMYFUNCTION("""COMPUTED_VALUE"""),"FALSE")</f>
        <v>FALSE</v>
      </c>
      <c r="F1358" s="198"/>
      <c r="J1358" s="184" t="str">
        <f>IFERROR(__xludf.DUMMYFUNCTION("""COMPUTED_VALUE"""),"")</f>
        <v/>
      </c>
      <c r="K1358" s="184"/>
      <c r="L1358" s="184"/>
      <c r="M1358" s="184"/>
      <c r="N1358" s="184"/>
      <c r="O1358" s="184"/>
      <c r="P1358" s="184"/>
      <c r="Q1358" s="184"/>
      <c r="R1358" s="184"/>
      <c r="S1358" s="184"/>
      <c r="T1358" s="184"/>
      <c r="U1358" s="184"/>
      <c r="V1358" s="184"/>
      <c r="W1358" s="184"/>
      <c r="X1358" s="184"/>
    </row>
    <row r="1359">
      <c r="A1359" s="198"/>
      <c r="D1359" s="198" t="str">
        <f>IFERROR(__xludf.DUMMYFUNCTION("""COMPUTED_VALUE"""),"FALSE")</f>
        <v>FALSE</v>
      </c>
      <c r="E1359" s="198" t="str">
        <f>IFERROR(__xludf.DUMMYFUNCTION("""COMPUTED_VALUE"""),"FALSE")</f>
        <v>FALSE</v>
      </c>
      <c r="F1359" s="198"/>
      <c r="J1359" s="184" t="str">
        <f>IFERROR(__xludf.DUMMYFUNCTION("""COMPUTED_VALUE"""),"")</f>
        <v/>
      </c>
      <c r="K1359" s="184"/>
      <c r="L1359" s="184"/>
      <c r="M1359" s="184"/>
      <c r="N1359" s="184"/>
      <c r="O1359" s="184"/>
      <c r="P1359" s="184"/>
      <c r="Q1359" s="184"/>
      <c r="R1359" s="184"/>
      <c r="S1359" s="184"/>
      <c r="T1359" s="184"/>
      <c r="U1359" s="184"/>
      <c r="V1359" s="184"/>
      <c r="W1359" s="184"/>
      <c r="X1359" s="184"/>
    </row>
    <row r="1360">
      <c r="A1360" s="198"/>
      <c r="D1360" s="198" t="str">
        <f>IFERROR(__xludf.DUMMYFUNCTION("""COMPUTED_VALUE"""),"FALSE")</f>
        <v>FALSE</v>
      </c>
      <c r="E1360" s="198" t="str">
        <f>IFERROR(__xludf.DUMMYFUNCTION("""COMPUTED_VALUE"""),"FALSE")</f>
        <v>FALSE</v>
      </c>
      <c r="F1360" s="198"/>
      <c r="J1360" s="184" t="str">
        <f>IFERROR(__xludf.DUMMYFUNCTION("""COMPUTED_VALUE"""),"")</f>
        <v/>
      </c>
      <c r="K1360" s="184"/>
      <c r="L1360" s="184"/>
      <c r="M1360" s="184"/>
      <c r="N1360" s="184"/>
      <c r="O1360" s="184"/>
      <c r="P1360" s="184"/>
      <c r="Q1360" s="184"/>
      <c r="R1360" s="184"/>
      <c r="S1360" s="184"/>
      <c r="T1360" s="184"/>
      <c r="U1360" s="184"/>
      <c r="V1360" s="184"/>
      <c r="W1360" s="184"/>
      <c r="X1360" s="184"/>
    </row>
    <row r="1361">
      <c r="A1361" s="198"/>
      <c r="D1361" s="198" t="str">
        <f>IFERROR(__xludf.DUMMYFUNCTION("""COMPUTED_VALUE"""),"FALSE")</f>
        <v>FALSE</v>
      </c>
      <c r="E1361" s="198" t="str">
        <f>IFERROR(__xludf.DUMMYFUNCTION("""COMPUTED_VALUE"""),"FALSE")</f>
        <v>FALSE</v>
      </c>
      <c r="F1361" s="198"/>
      <c r="J1361" s="184" t="str">
        <f>IFERROR(__xludf.DUMMYFUNCTION("""COMPUTED_VALUE"""),"")</f>
        <v/>
      </c>
      <c r="K1361" s="184"/>
      <c r="L1361" s="184"/>
      <c r="M1361" s="184"/>
      <c r="N1361" s="184"/>
      <c r="O1361" s="184"/>
      <c r="P1361" s="184"/>
      <c r="Q1361" s="184"/>
      <c r="R1361" s="184"/>
      <c r="S1361" s="184"/>
      <c r="T1361" s="184"/>
      <c r="U1361" s="184"/>
      <c r="V1361" s="184"/>
      <c r="W1361" s="184"/>
      <c r="X1361" s="184"/>
    </row>
    <row r="1362">
      <c r="A1362" s="198"/>
      <c r="D1362" s="198" t="str">
        <f>IFERROR(__xludf.DUMMYFUNCTION("""COMPUTED_VALUE"""),"FALSE")</f>
        <v>FALSE</v>
      </c>
      <c r="E1362" s="198" t="str">
        <f>IFERROR(__xludf.DUMMYFUNCTION("""COMPUTED_VALUE"""),"FALSE")</f>
        <v>FALSE</v>
      </c>
      <c r="F1362" s="198"/>
      <c r="J1362" s="184" t="str">
        <f>IFERROR(__xludf.DUMMYFUNCTION("""COMPUTED_VALUE"""),"")</f>
        <v/>
      </c>
      <c r="K1362" s="184"/>
      <c r="L1362" s="184"/>
      <c r="M1362" s="184"/>
      <c r="N1362" s="184"/>
      <c r="O1362" s="184"/>
      <c r="P1362" s="184"/>
      <c r="Q1362" s="184"/>
      <c r="R1362" s="184"/>
      <c r="S1362" s="184"/>
      <c r="T1362" s="184"/>
      <c r="U1362" s="184"/>
      <c r="V1362" s="184"/>
      <c r="W1362" s="184"/>
      <c r="X1362" s="184"/>
    </row>
    <row r="1363">
      <c r="A1363" s="198"/>
      <c r="D1363" s="198" t="str">
        <f>IFERROR(__xludf.DUMMYFUNCTION("""COMPUTED_VALUE"""),"FALSE")</f>
        <v>FALSE</v>
      </c>
      <c r="E1363" s="198" t="str">
        <f>IFERROR(__xludf.DUMMYFUNCTION("""COMPUTED_VALUE"""),"FALSE")</f>
        <v>FALSE</v>
      </c>
      <c r="F1363" s="198"/>
      <c r="J1363" s="184" t="str">
        <f>IFERROR(__xludf.DUMMYFUNCTION("""COMPUTED_VALUE"""),"")</f>
        <v/>
      </c>
      <c r="K1363" s="184"/>
      <c r="L1363" s="184"/>
      <c r="M1363" s="184"/>
      <c r="N1363" s="184"/>
      <c r="O1363" s="184"/>
      <c r="P1363" s="184"/>
      <c r="Q1363" s="184"/>
      <c r="R1363" s="184"/>
      <c r="S1363" s="184"/>
      <c r="T1363" s="184"/>
      <c r="U1363" s="184"/>
      <c r="V1363" s="184"/>
      <c r="W1363" s="184"/>
      <c r="X1363" s="184"/>
    </row>
    <row r="1364">
      <c r="A1364" s="198"/>
      <c r="D1364" s="198" t="str">
        <f>IFERROR(__xludf.DUMMYFUNCTION("""COMPUTED_VALUE"""),"FALSE")</f>
        <v>FALSE</v>
      </c>
      <c r="E1364" s="198" t="str">
        <f>IFERROR(__xludf.DUMMYFUNCTION("""COMPUTED_VALUE"""),"FALSE")</f>
        <v>FALSE</v>
      </c>
      <c r="F1364" s="198"/>
      <c r="J1364" s="184" t="str">
        <f>IFERROR(__xludf.DUMMYFUNCTION("""COMPUTED_VALUE"""),"")</f>
        <v/>
      </c>
      <c r="K1364" s="184"/>
      <c r="L1364" s="184"/>
      <c r="M1364" s="184"/>
      <c r="N1364" s="184"/>
      <c r="O1364" s="184"/>
      <c r="P1364" s="184"/>
      <c r="Q1364" s="184"/>
      <c r="R1364" s="184"/>
      <c r="S1364" s="184"/>
      <c r="T1364" s="184"/>
      <c r="U1364" s="184"/>
      <c r="V1364" s="184"/>
      <c r="W1364" s="184"/>
      <c r="X1364" s="184"/>
    </row>
    <row r="1365">
      <c r="A1365" s="198"/>
      <c r="D1365" s="198" t="str">
        <f>IFERROR(__xludf.DUMMYFUNCTION("""COMPUTED_VALUE"""),"FALSE")</f>
        <v>FALSE</v>
      </c>
      <c r="E1365" s="198" t="str">
        <f>IFERROR(__xludf.DUMMYFUNCTION("""COMPUTED_VALUE"""),"FALSE")</f>
        <v>FALSE</v>
      </c>
      <c r="F1365" s="198"/>
      <c r="J1365" s="184" t="str">
        <f>IFERROR(__xludf.DUMMYFUNCTION("""COMPUTED_VALUE"""),"")</f>
        <v/>
      </c>
      <c r="K1365" s="184"/>
      <c r="L1365" s="184"/>
      <c r="M1365" s="184"/>
      <c r="N1365" s="184"/>
      <c r="O1365" s="184"/>
      <c r="P1365" s="184"/>
      <c r="Q1365" s="184"/>
      <c r="R1365" s="184"/>
      <c r="S1365" s="184"/>
      <c r="T1365" s="184"/>
      <c r="U1365" s="184"/>
      <c r="V1365" s="184"/>
      <c r="W1365" s="184"/>
      <c r="X1365" s="184"/>
    </row>
    <row r="1366">
      <c r="A1366" s="198"/>
      <c r="D1366" s="198" t="str">
        <f>IFERROR(__xludf.DUMMYFUNCTION("""COMPUTED_VALUE"""),"FALSE")</f>
        <v>FALSE</v>
      </c>
      <c r="E1366" s="198" t="str">
        <f>IFERROR(__xludf.DUMMYFUNCTION("""COMPUTED_VALUE"""),"FALSE")</f>
        <v>FALSE</v>
      </c>
      <c r="F1366" s="198"/>
      <c r="J1366" s="184" t="str">
        <f>IFERROR(__xludf.DUMMYFUNCTION("""COMPUTED_VALUE"""),"")</f>
        <v/>
      </c>
      <c r="K1366" s="184"/>
      <c r="L1366" s="184"/>
      <c r="M1366" s="184"/>
      <c r="N1366" s="184"/>
      <c r="O1366" s="184"/>
      <c r="P1366" s="184"/>
      <c r="Q1366" s="184"/>
      <c r="R1366" s="184"/>
      <c r="S1366" s="184"/>
      <c r="T1366" s="184"/>
      <c r="U1366" s="184"/>
      <c r="V1366" s="184"/>
      <c r="W1366" s="184"/>
      <c r="X1366" s="184"/>
    </row>
    <row r="1367">
      <c r="A1367" s="198"/>
      <c r="D1367" s="198" t="str">
        <f>IFERROR(__xludf.DUMMYFUNCTION("""COMPUTED_VALUE"""),"FALSE")</f>
        <v>FALSE</v>
      </c>
      <c r="E1367" s="198" t="str">
        <f>IFERROR(__xludf.DUMMYFUNCTION("""COMPUTED_VALUE"""),"FALSE")</f>
        <v>FALSE</v>
      </c>
      <c r="F1367" s="198"/>
      <c r="J1367" s="184" t="str">
        <f>IFERROR(__xludf.DUMMYFUNCTION("""COMPUTED_VALUE"""),"")</f>
        <v/>
      </c>
      <c r="K1367" s="184"/>
      <c r="L1367" s="184"/>
      <c r="M1367" s="184"/>
      <c r="N1367" s="184"/>
      <c r="O1367" s="184"/>
      <c r="P1367" s="184"/>
      <c r="Q1367" s="184"/>
      <c r="R1367" s="184"/>
      <c r="S1367" s="184"/>
      <c r="T1367" s="184"/>
      <c r="U1367" s="184"/>
      <c r="V1367" s="184"/>
      <c r="W1367" s="184"/>
      <c r="X1367" s="184"/>
    </row>
    <row r="1368">
      <c r="A1368" s="198"/>
      <c r="D1368" s="198" t="str">
        <f>IFERROR(__xludf.DUMMYFUNCTION("""COMPUTED_VALUE"""),"FALSE")</f>
        <v>FALSE</v>
      </c>
      <c r="E1368" s="198" t="str">
        <f>IFERROR(__xludf.DUMMYFUNCTION("""COMPUTED_VALUE"""),"FALSE")</f>
        <v>FALSE</v>
      </c>
      <c r="F1368" s="198"/>
      <c r="J1368" s="184" t="str">
        <f>IFERROR(__xludf.DUMMYFUNCTION("""COMPUTED_VALUE"""),"")</f>
        <v/>
      </c>
      <c r="K1368" s="184"/>
      <c r="L1368" s="184"/>
      <c r="M1368" s="184"/>
      <c r="N1368" s="184"/>
      <c r="O1368" s="184"/>
      <c r="P1368" s="184"/>
      <c r="Q1368" s="184"/>
      <c r="R1368" s="184"/>
      <c r="S1368" s="184"/>
      <c r="T1368" s="184"/>
      <c r="U1368" s="184"/>
      <c r="V1368" s="184"/>
      <c r="W1368" s="184"/>
      <c r="X1368" s="184"/>
    </row>
    <row r="1369">
      <c r="A1369" s="198"/>
      <c r="D1369" s="198" t="str">
        <f>IFERROR(__xludf.DUMMYFUNCTION("""COMPUTED_VALUE"""),"FALSE")</f>
        <v>FALSE</v>
      </c>
      <c r="E1369" s="198" t="str">
        <f>IFERROR(__xludf.DUMMYFUNCTION("""COMPUTED_VALUE"""),"FALSE")</f>
        <v>FALSE</v>
      </c>
      <c r="F1369" s="198"/>
      <c r="J1369" s="184" t="str">
        <f>IFERROR(__xludf.DUMMYFUNCTION("""COMPUTED_VALUE"""),"")</f>
        <v/>
      </c>
      <c r="K1369" s="184"/>
      <c r="L1369" s="184"/>
      <c r="M1369" s="184"/>
      <c r="N1369" s="184"/>
      <c r="O1369" s="184"/>
      <c r="P1369" s="184"/>
      <c r="Q1369" s="184"/>
      <c r="R1369" s="184"/>
      <c r="S1369" s="184"/>
      <c r="T1369" s="184"/>
      <c r="U1369" s="184"/>
      <c r="V1369" s="184"/>
      <c r="W1369" s="184"/>
      <c r="X1369" s="184"/>
    </row>
    <row r="1370">
      <c r="A1370" s="198"/>
      <c r="D1370" s="198" t="str">
        <f>IFERROR(__xludf.DUMMYFUNCTION("""COMPUTED_VALUE"""),"FALSE")</f>
        <v>FALSE</v>
      </c>
      <c r="E1370" s="198" t="str">
        <f>IFERROR(__xludf.DUMMYFUNCTION("""COMPUTED_VALUE"""),"FALSE")</f>
        <v>FALSE</v>
      </c>
      <c r="F1370" s="198"/>
      <c r="J1370" s="184" t="str">
        <f>IFERROR(__xludf.DUMMYFUNCTION("""COMPUTED_VALUE"""),"")</f>
        <v/>
      </c>
      <c r="K1370" s="184"/>
      <c r="L1370" s="184"/>
      <c r="M1370" s="184"/>
      <c r="N1370" s="184"/>
      <c r="O1370" s="184"/>
      <c r="P1370" s="184"/>
      <c r="Q1370" s="184"/>
      <c r="R1370" s="184"/>
      <c r="S1370" s="184"/>
      <c r="T1370" s="184"/>
      <c r="U1370" s="184"/>
      <c r="V1370" s="184"/>
      <c r="W1370" s="184"/>
      <c r="X1370" s="184"/>
    </row>
    <row r="1371">
      <c r="A1371" s="198"/>
      <c r="D1371" s="198" t="str">
        <f>IFERROR(__xludf.DUMMYFUNCTION("""COMPUTED_VALUE"""),"FALSE")</f>
        <v>FALSE</v>
      </c>
      <c r="E1371" s="198" t="str">
        <f>IFERROR(__xludf.DUMMYFUNCTION("""COMPUTED_VALUE"""),"FALSE")</f>
        <v>FALSE</v>
      </c>
      <c r="F1371" s="198"/>
      <c r="J1371" s="184" t="str">
        <f>IFERROR(__xludf.DUMMYFUNCTION("""COMPUTED_VALUE"""),"")</f>
        <v/>
      </c>
      <c r="K1371" s="184"/>
      <c r="L1371" s="184"/>
      <c r="M1371" s="184"/>
      <c r="N1371" s="184"/>
      <c r="O1371" s="184"/>
      <c r="P1371" s="184"/>
      <c r="Q1371" s="184"/>
      <c r="R1371" s="184"/>
      <c r="S1371" s="184"/>
      <c r="T1371" s="184"/>
      <c r="U1371" s="184"/>
      <c r="V1371" s="184"/>
      <c r="W1371" s="184"/>
      <c r="X1371" s="184"/>
    </row>
    <row r="1372">
      <c r="A1372" s="198"/>
      <c r="D1372" s="198" t="str">
        <f>IFERROR(__xludf.DUMMYFUNCTION("""COMPUTED_VALUE"""),"FALSE")</f>
        <v>FALSE</v>
      </c>
      <c r="E1372" s="198" t="str">
        <f>IFERROR(__xludf.DUMMYFUNCTION("""COMPUTED_VALUE"""),"FALSE")</f>
        <v>FALSE</v>
      </c>
      <c r="F1372" s="198"/>
      <c r="J1372" s="184" t="str">
        <f>IFERROR(__xludf.DUMMYFUNCTION("""COMPUTED_VALUE"""),"")</f>
        <v/>
      </c>
      <c r="K1372" s="184"/>
      <c r="L1372" s="184"/>
      <c r="M1372" s="184"/>
      <c r="N1372" s="184"/>
      <c r="O1372" s="184"/>
      <c r="P1372" s="184"/>
      <c r="Q1372" s="184"/>
      <c r="R1372" s="184"/>
      <c r="S1372" s="184"/>
      <c r="T1372" s="184"/>
      <c r="U1372" s="184"/>
      <c r="V1372" s="184"/>
      <c r="W1372" s="184"/>
      <c r="X1372" s="184"/>
    </row>
    <row r="1373">
      <c r="A1373" s="198"/>
      <c r="D1373" s="198" t="str">
        <f>IFERROR(__xludf.DUMMYFUNCTION("""COMPUTED_VALUE"""),"FALSE")</f>
        <v>FALSE</v>
      </c>
      <c r="E1373" s="198" t="str">
        <f>IFERROR(__xludf.DUMMYFUNCTION("""COMPUTED_VALUE"""),"FALSE")</f>
        <v>FALSE</v>
      </c>
      <c r="F1373" s="198"/>
      <c r="J1373" s="184" t="str">
        <f>IFERROR(__xludf.DUMMYFUNCTION("""COMPUTED_VALUE"""),"")</f>
        <v/>
      </c>
      <c r="K1373" s="184"/>
      <c r="L1373" s="184"/>
      <c r="M1373" s="184"/>
      <c r="N1373" s="184"/>
      <c r="O1373" s="184"/>
      <c r="P1373" s="184"/>
      <c r="Q1373" s="184"/>
      <c r="R1373" s="184"/>
      <c r="S1373" s="184"/>
      <c r="T1373" s="184"/>
      <c r="U1373" s="184"/>
      <c r="V1373" s="184"/>
      <c r="W1373" s="184"/>
      <c r="X1373" s="184"/>
    </row>
    <row r="1374">
      <c r="A1374" s="198"/>
      <c r="D1374" s="198" t="str">
        <f>IFERROR(__xludf.DUMMYFUNCTION("""COMPUTED_VALUE"""),"FALSE")</f>
        <v>FALSE</v>
      </c>
      <c r="E1374" s="198" t="str">
        <f>IFERROR(__xludf.DUMMYFUNCTION("""COMPUTED_VALUE"""),"FALSE")</f>
        <v>FALSE</v>
      </c>
      <c r="F1374" s="198"/>
      <c r="J1374" s="184" t="str">
        <f>IFERROR(__xludf.DUMMYFUNCTION("""COMPUTED_VALUE"""),"")</f>
        <v/>
      </c>
      <c r="K1374" s="184"/>
      <c r="L1374" s="184"/>
      <c r="M1374" s="184"/>
      <c r="N1374" s="184"/>
      <c r="O1374" s="184"/>
      <c r="P1374" s="184"/>
      <c r="Q1374" s="184"/>
      <c r="R1374" s="184"/>
      <c r="S1374" s="184"/>
      <c r="T1374" s="184"/>
      <c r="U1374" s="184"/>
      <c r="V1374" s="184"/>
      <c r="W1374" s="184"/>
      <c r="X1374" s="184"/>
    </row>
    <row r="1375">
      <c r="A1375" s="198"/>
      <c r="D1375" s="198" t="str">
        <f>IFERROR(__xludf.DUMMYFUNCTION("""COMPUTED_VALUE"""),"FALSE")</f>
        <v>FALSE</v>
      </c>
      <c r="E1375" s="198" t="str">
        <f>IFERROR(__xludf.DUMMYFUNCTION("""COMPUTED_VALUE"""),"FALSE")</f>
        <v>FALSE</v>
      </c>
      <c r="F1375" s="198"/>
      <c r="J1375" s="184" t="str">
        <f>IFERROR(__xludf.DUMMYFUNCTION("""COMPUTED_VALUE"""),"")</f>
        <v/>
      </c>
      <c r="K1375" s="184"/>
      <c r="L1375" s="184"/>
      <c r="M1375" s="184"/>
      <c r="N1375" s="184"/>
      <c r="O1375" s="184"/>
      <c r="P1375" s="184"/>
      <c r="Q1375" s="184"/>
      <c r="R1375" s="184"/>
      <c r="S1375" s="184"/>
      <c r="T1375" s="184"/>
      <c r="U1375" s="184"/>
      <c r="V1375" s="184"/>
      <c r="W1375" s="184"/>
      <c r="X1375" s="184"/>
    </row>
    <row r="1376">
      <c r="A1376" s="198"/>
      <c r="D1376" s="198" t="str">
        <f>IFERROR(__xludf.DUMMYFUNCTION("""COMPUTED_VALUE"""),"FALSE")</f>
        <v>FALSE</v>
      </c>
      <c r="E1376" s="198" t="str">
        <f>IFERROR(__xludf.DUMMYFUNCTION("""COMPUTED_VALUE"""),"FALSE")</f>
        <v>FALSE</v>
      </c>
      <c r="F1376" s="198"/>
      <c r="J1376" s="184" t="str">
        <f>IFERROR(__xludf.DUMMYFUNCTION("""COMPUTED_VALUE"""),"")</f>
        <v/>
      </c>
      <c r="K1376" s="184"/>
      <c r="L1376" s="184"/>
      <c r="M1376" s="184"/>
      <c r="N1376" s="184"/>
      <c r="O1376" s="184"/>
      <c r="P1376" s="184"/>
      <c r="Q1376" s="184"/>
      <c r="R1376" s="184"/>
      <c r="S1376" s="184"/>
      <c r="T1376" s="184"/>
      <c r="U1376" s="184"/>
      <c r="V1376" s="184"/>
      <c r="W1376" s="184"/>
      <c r="X1376" s="184"/>
    </row>
    <row r="1377">
      <c r="A1377" s="198"/>
      <c r="D1377" s="198" t="str">
        <f>IFERROR(__xludf.DUMMYFUNCTION("""COMPUTED_VALUE"""),"FALSE")</f>
        <v>FALSE</v>
      </c>
      <c r="E1377" s="198" t="str">
        <f>IFERROR(__xludf.DUMMYFUNCTION("""COMPUTED_VALUE"""),"FALSE")</f>
        <v>FALSE</v>
      </c>
      <c r="F1377" s="198"/>
      <c r="J1377" s="184" t="str">
        <f>IFERROR(__xludf.DUMMYFUNCTION("""COMPUTED_VALUE"""),"")</f>
        <v/>
      </c>
      <c r="K1377" s="184"/>
      <c r="L1377" s="184"/>
      <c r="M1377" s="184"/>
      <c r="N1377" s="184"/>
      <c r="O1377" s="184"/>
      <c r="P1377" s="184"/>
      <c r="Q1377" s="184"/>
      <c r="R1377" s="184"/>
      <c r="S1377" s="184"/>
      <c r="T1377" s="184"/>
      <c r="U1377" s="184"/>
      <c r="V1377" s="184"/>
      <c r="W1377" s="184"/>
      <c r="X1377" s="184"/>
    </row>
    <row r="1378">
      <c r="A1378" s="198"/>
      <c r="D1378" s="198" t="str">
        <f>IFERROR(__xludf.DUMMYFUNCTION("""COMPUTED_VALUE"""),"FALSE")</f>
        <v>FALSE</v>
      </c>
      <c r="E1378" s="198" t="str">
        <f>IFERROR(__xludf.DUMMYFUNCTION("""COMPUTED_VALUE"""),"FALSE")</f>
        <v>FALSE</v>
      </c>
      <c r="F1378" s="198"/>
      <c r="J1378" s="184" t="str">
        <f>IFERROR(__xludf.DUMMYFUNCTION("""COMPUTED_VALUE"""),"")</f>
        <v/>
      </c>
      <c r="K1378" s="184"/>
      <c r="L1378" s="184"/>
      <c r="M1378" s="184"/>
      <c r="N1378" s="184"/>
      <c r="O1378" s="184"/>
      <c r="P1378" s="184"/>
      <c r="Q1378" s="184"/>
      <c r="R1378" s="184"/>
      <c r="S1378" s="184"/>
      <c r="T1378" s="184"/>
      <c r="U1378" s="184"/>
      <c r="V1378" s="184"/>
      <c r="W1378" s="184"/>
      <c r="X1378" s="184"/>
    </row>
    <row r="1379">
      <c r="A1379" s="198"/>
      <c r="D1379" s="198" t="str">
        <f>IFERROR(__xludf.DUMMYFUNCTION("""COMPUTED_VALUE"""),"FALSE")</f>
        <v>FALSE</v>
      </c>
      <c r="E1379" s="198" t="str">
        <f>IFERROR(__xludf.DUMMYFUNCTION("""COMPUTED_VALUE"""),"FALSE")</f>
        <v>FALSE</v>
      </c>
      <c r="F1379" s="198"/>
      <c r="J1379" s="184" t="str">
        <f>IFERROR(__xludf.DUMMYFUNCTION("""COMPUTED_VALUE"""),"")</f>
        <v/>
      </c>
      <c r="K1379" s="184"/>
      <c r="L1379" s="184"/>
      <c r="M1379" s="184"/>
      <c r="N1379" s="184"/>
      <c r="O1379" s="184"/>
      <c r="P1379" s="184"/>
      <c r="Q1379" s="184"/>
      <c r="R1379" s="184"/>
      <c r="S1379" s="184"/>
      <c r="T1379" s="184"/>
      <c r="U1379" s="184"/>
      <c r="V1379" s="184"/>
      <c r="W1379" s="184"/>
      <c r="X1379" s="184"/>
    </row>
    <row r="1380">
      <c r="A1380" s="198"/>
      <c r="D1380" s="198" t="str">
        <f>IFERROR(__xludf.DUMMYFUNCTION("""COMPUTED_VALUE"""),"FALSE")</f>
        <v>FALSE</v>
      </c>
      <c r="E1380" s="198" t="str">
        <f>IFERROR(__xludf.DUMMYFUNCTION("""COMPUTED_VALUE"""),"FALSE")</f>
        <v>FALSE</v>
      </c>
      <c r="F1380" s="198"/>
      <c r="J1380" s="184" t="str">
        <f>IFERROR(__xludf.DUMMYFUNCTION("""COMPUTED_VALUE"""),"")</f>
        <v/>
      </c>
      <c r="K1380" s="184"/>
      <c r="L1380" s="184"/>
      <c r="M1380" s="184"/>
      <c r="N1380" s="184"/>
      <c r="O1380" s="184"/>
      <c r="P1380" s="184"/>
      <c r="Q1380" s="184"/>
      <c r="R1380" s="184"/>
      <c r="S1380" s="184"/>
      <c r="T1380" s="184"/>
      <c r="U1380" s="184"/>
      <c r="V1380" s="184"/>
      <c r="W1380" s="184"/>
      <c r="X1380" s="184"/>
    </row>
    <row r="1381">
      <c r="A1381" s="198"/>
      <c r="D1381" s="198" t="str">
        <f>IFERROR(__xludf.DUMMYFUNCTION("""COMPUTED_VALUE"""),"FALSE")</f>
        <v>FALSE</v>
      </c>
      <c r="E1381" s="198" t="str">
        <f>IFERROR(__xludf.DUMMYFUNCTION("""COMPUTED_VALUE"""),"FALSE")</f>
        <v>FALSE</v>
      </c>
      <c r="F1381" s="198"/>
      <c r="J1381" s="184" t="str">
        <f>IFERROR(__xludf.DUMMYFUNCTION("""COMPUTED_VALUE"""),"")</f>
        <v/>
      </c>
      <c r="K1381" s="184"/>
      <c r="L1381" s="184"/>
      <c r="M1381" s="184"/>
      <c r="N1381" s="184"/>
      <c r="O1381" s="184"/>
      <c r="P1381" s="184"/>
      <c r="Q1381" s="184"/>
      <c r="R1381" s="184"/>
      <c r="S1381" s="184"/>
      <c r="T1381" s="184"/>
      <c r="U1381" s="184"/>
      <c r="V1381" s="184"/>
      <c r="W1381" s="184"/>
      <c r="X1381" s="184"/>
    </row>
    <row r="1382">
      <c r="A1382" s="198"/>
      <c r="D1382" s="198" t="str">
        <f>IFERROR(__xludf.DUMMYFUNCTION("""COMPUTED_VALUE"""),"FALSE")</f>
        <v>FALSE</v>
      </c>
      <c r="E1382" s="198" t="str">
        <f>IFERROR(__xludf.DUMMYFUNCTION("""COMPUTED_VALUE"""),"FALSE")</f>
        <v>FALSE</v>
      </c>
      <c r="F1382" s="198"/>
      <c r="J1382" s="184" t="str">
        <f>IFERROR(__xludf.DUMMYFUNCTION("""COMPUTED_VALUE"""),"")</f>
        <v/>
      </c>
      <c r="K1382" s="184"/>
      <c r="L1382" s="184"/>
      <c r="M1382" s="184"/>
      <c r="N1382" s="184"/>
      <c r="O1382" s="184"/>
      <c r="P1382" s="184"/>
      <c r="Q1382" s="184"/>
      <c r="R1382" s="184"/>
      <c r="S1382" s="184"/>
      <c r="T1382" s="184"/>
      <c r="U1382" s="184"/>
      <c r="V1382" s="184"/>
      <c r="W1382" s="184"/>
      <c r="X1382" s="184"/>
    </row>
    <row r="1383">
      <c r="A1383" s="198"/>
      <c r="D1383" s="198" t="str">
        <f>IFERROR(__xludf.DUMMYFUNCTION("""COMPUTED_VALUE"""),"FALSE")</f>
        <v>FALSE</v>
      </c>
      <c r="E1383" s="198" t="str">
        <f>IFERROR(__xludf.DUMMYFUNCTION("""COMPUTED_VALUE"""),"FALSE")</f>
        <v>FALSE</v>
      </c>
      <c r="F1383" s="198"/>
      <c r="J1383" s="184" t="str">
        <f>IFERROR(__xludf.DUMMYFUNCTION("""COMPUTED_VALUE"""),"")</f>
        <v/>
      </c>
      <c r="K1383" s="184"/>
      <c r="L1383" s="184"/>
      <c r="M1383" s="184"/>
      <c r="N1383" s="184"/>
      <c r="O1383" s="184"/>
      <c r="P1383" s="184"/>
      <c r="Q1383" s="184"/>
      <c r="R1383" s="184"/>
      <c r="S1383" s="184"/>
      <c r="T1383" s="184"/>
      <c r="U1383" s="184"/>
      <c r="V1383" s="184"/>
      <c r="W1383" s="184"/>
      <c r="X1383" s="184"/>
    </row>
    <row r="1384">
      <c r="A1384" s="198"/>
      <c r="D1384" s="198" t="str">
        <f>IFERROR(__xludf.DUMMYFUNCTION("""COMPUTED_VALUE"""),"FALSE")</f>
        <v>FALSE</v>
      </c>
      <c r="E1384" s="198" t="str">
        <f>IFERROR(__xludf.DUMMYFUNCTION("""COMPUTED_VALUE"""),"FALSE")</f>
        <v>FALSE</v>
      </c>
      <c r="F1384" s="198"/>
      <c r="J1384" s="184" t="str">
        <f>IFERROR(__xludf.DUMMYFUNCTION("""COMPUTED_VALUE"""),"")</f>
        <v/>
      </c>
      <c r="K1384" s="184"/>
      <c r="L1384" s="184"/>
      <c r="M1384" s="184"/>
      <c r="N1384" s="184"/>
      <c r="O1384" s="184"/>
      <c r="P1384" s="184"/>
      <c r="Q1384" s="184"/>
      <c r="R1384" s="184"/>
      <c r="S1384" s="184"/>
      <c r="T1384" s="184"/>
      <c r="U1384" s="184"/>
      <c r="V1384" s="184"/>
      <c r="W1384" s="184"/>
      <c r="X1384" s="184"/>
    </row>
    <row r="1385">
      <c r="A1385" s="198"/>
      <c r="D1385" s="198" t="str">
        <f>IFERROR(__xludf.DUMMYFUNCTION("""COMPUTED_VALUE"""),"FALSE")</f>
        <v>FALSE</v>
      </c>
      <c r="E1385" s="198" t="str">
        <f>IFERROR(__xludf.DUMMYFUNCTION("""COMPUTED_VALUE"""),"FALSE")</f>
        <v>FALSE</v>
      </c>
      <c r="F1385" s="198"/>
      <c r="J1385" s="184" t="str">
        <f>IFERROR(__xludf.DUMMYFUNCTION("""COMPUTED_VALUE"""),"")</f>
        <v/>
      </c>
      <c r="K1385" s="184"/>
      <c r="L1385" s="184"/>
      <c r="M1385" s="184"/>
      <c r="N1385" s="184"/>
      <c r="O1385" s="184"/>
      <c r="P1385" s="184"/>
      <c r="Q1385" s="184"/>
      <c r="R1385" s="184"/>
      <c r="S1385" s="184"/>
      <c r="T1385" s="184"/>
      <c r="U1385" s="184"/>
      <c r="V1385" s="184"/>
      <c r="W1385" s="184"/>
      <c r="X1385" s="184"/>
    </row>
    <row r="1386">
      <c r="A1386" s="198"/>
      <c r="D1386" s="198" t="str">
        <f>IFERROR(__xludf.DUMMYFUNCTION("""COMPUTED_VALUE"""),"FALSE")</f>
        <v>FALSE</v>
      </c>
      <c r="E1386" s="198" t="str">
        <f>IFERROR(__xludf.DUMMYFUNCTION("""COMPUTED_VALUE"""),"FALSE")</f>
        <v>FALSE</v>
      </c>
      <c r="F1386" s="198"/>
      <c r="J1386" s="184" t="str">
        <f>IFERROR(__xludf.DUMMYFUNCTION("""COMPUTED_VALUE"""),"")</f>
        <v/>
      </c>
      <c r="K1386" s="184"/>
      <c r="L1386" s="184"/>
      <c r="M1386" s="184"/>
      <c r="N1386" s="184"/>
      <c r="O1386" s="184"/>
      <c r="P1386" s="184"/>
      <c r="Q1386" s="184"/>
      <c r="R1386" s="184"/>
      <c r="S1386" s="184"/>
      <c r="T1386" s="184"/>
      <c r="U1386" s="184"/>
      <c r="V1386" s="184"/>
      <c r="W1386" s="184"/>
      <c r="X1386" s="184"/>
    </row>
    <row r="1387">
      <c r="A1387" s="198"/>
      <c r="D1387" s="198" t="str">
        <f>IFERROR(__xludf.DUMMYFUNCTION("""COMPUTED_VALUE"""),"FALSE")</f>
        <v>FALSE</v>
      </c>
      <c r="E1387" s="198" t="str">
        <f>IFERROR(__xludf.DUMMYFUNCTION("""COMPUTED_VALUE"""),"FALSE")</f>
        <v>FALSE</v>
      </c>
      <c r="F1387" s="198"/>
      <c r="J1387" s="184" t="str">
        <f>IFERROR(__xludf.DUMMYFUNCTION("""COMPUTED_VALUE"""),"")</f>
        <v/>
      </c>
      <c r="K1387" s="184"/>
      <c r="L1387" s="184"/>
      <c r="M1387" s="184"/>
      <c r="N1387" s="184"/>
      <c r="O1387" s="184"/>
      <c r="P1387" s="184"/>
      <c r="Q1387" s="184"/>
      <c r="R1387" s="184"/>
      <c r="S1387" s="184"/>
      <c r="T1387" s="184"/>
      <c r="U1387" s="184"/>
      <c r="V1387" s="184"/>
      <c r="W1387" s="184"/>
      <c r="X1387" s="184"/>
    </row>
    <row r="1388">
      <c r="A1388" s="198"/>
      <c r="D1388" s="198" t="str">
        <f>IFERROR(__xludf.DUMMYFUNCTION("""COMPUTED_VALUE"""),"FALSE")</f>
        <v>FALSE</v>
      </c>
      <c r="E1388" s="198" t="str">
        <f>IFERROR(__xludf.DUMMYFUNCTION("""COMPUTED_VALUE"""),"FALSE")</f>
        <v>FALSE</v>
      </c>
      <c r="F1388" s="198"/>
      <c r="J1388" s="184" t="str">
        <f>IFERROR(__xludf.DUMMYFUNCTION("""COMPUTED_VALUE"""),"")</f>
        <v/>
      </c>
      <c r="K1388" s="184"/>
      <c r="L1388" s="184"/>
      <c r="M1388" s="184"/>
      <c r="N1388" s="184"/>
      <c r="O1388" s="184"/>
      <c r="P1388" s="184"/>
      <c r="Q1388" s="184"/>
      <c r="R1388" s="184"/>
      <c r="S1388" s="184"/>
      <c r="T1388" s="184"/>
      <c r="U1388" s="184"/>
      <c r="V1388" s="184"/>
      <c r="W1388" s="184"/>
      <c r="X1388" s="184"/>
    </row>
    <row r="1389">
      <c r="A1389" s="198"/>
      <c r="D1389" s="198" t="str">
        <f>IFERROR(__xludf.DUMMYFUNCTION("""COMPUTED_VALUE"""),"FALSE")</f>
        <v>FALSE</v>
      </c>
      <c r="E1389" s="198" t="str">
        <f>IFERROR(__xludf.DUMMYFUNCTION("""COMPUTED_VALUE"""),"FALSE")</f>
        <v>FALSE</v>
      </c>
      <c r="F1389" s="198"/>
      <c r="J1389" s="184" t="str">
        <f>IFERROR(__xludf.DUMMYFUNCTION("""COMPUTED_VALUE"""),"")</f>
        <v/>
      </c>
      <c r="K1389" s="184"/>
      <c r="L1389" s="184"/>
      <c r="M1389" s="184"/>
      <c r="N1389" s="184"/>
      <c r="O1389" s="184"/>
      <c r="P1389" s="184"/>
      <c r="Q1389" s="184"/>
      <c r="R1389" s="184"/>
      <c r="S1389" s="184"/>
      <c r="T1389" s="184"/>
      <c r="U1389" s="184"/>
      <c r="V1389" s="184"/>
      <c r="W1389" s="184"/>
      <c r="X1389" s="184"/>
    </row>
    <row r="1390">
      <c r="A1390" s="198"/>
      <c r="D1390" s="198" t="str">
        <f>IFERROR(__xludf.DUMMYFUNCTION("""COMPUTED_VALUE"""),"FALSE")</f>
        <v>FALSE</v>
      </c>
      <c r="E1390" s="198" t="str">
        <f>IFERROR(__xludf.DUMMYFUNCTION("""COMPUTED_VALUE"""),"FALSE")</f>
        <v>FALSE</v>
      </c>
      <c r="F1390" s="198"/>
      <c r="J1390" s="184" t="str">
        <f>IFERROR(__xludf.DUMMYFUNCTION("""COMPUTED_VALUE"""),"")</f>
        <v/>
      </c>
      <c r="K1390" s="184"/>
      <c r="L1390" s="184"/>
      <c r="M1390" s="184"/>
      <c r="N1390" s="184"/>
      <c r="O1390" s="184"/>
      <c r="P1390" s="184"/>
      <c r="Q1390" s="184"/>
      <c r="R1390" s="184"/>
      <c r="S1390" s="184"/>
      <c r="T1390" s="184"/>
      <c r="U1390" s="184"/>
      <c r="V1390" s="184"/>
      <c r="W1390" s="184"/>
      <c r="X1390" s="184"/>
    </row>
    <row r="1391">
      <c r="A1391" s="198"/>
      <c r="D1391" s="198" t="str">
        <f>IFERROR(__xludf.DUMMYFUNCTION("""COMPUTED_VALUE"""),"FALSE")</f>
        <v>FALSE</v>
      </c>
      <c r="E1391" s="198" t="str">
        <f>IFERROR(__xludf.DUMMYFUNCTION("""COMPUTED_VALUE"""),"FALSE")</f>
        <v>FALSE</v>
      </c>
      <c r="F1391" s="198"/>
      <c r="J1391" s="184" t="str">
        <f>IFERROR(__xludf.DUMMYFUNCTION("""COMPUTED_VALUE"""),"")</f>
        <v/>
      </c>
      <c r="K1391" s="184"/>
      <c r="L1391" s="184"/>
      <c r="M1391" s="184"/>
      <c r="N1391" s="184"/>
      <c r="O1391" s="184"/>
      <c r="P1391" s="184"/>
      <c r="Q1391" s="184"/>
      <c r="R1391" s="184"/>
      <c r="S1391" s="184"/>
      <c r="T1391" s="184"/>
      <c r="U1391" s="184"/>
      <c r="V1391" s="184"/>
      <c r="W1391" s="184"/>
      <c r="X1391" s="184"/>
    </row>
    <row r="1392">
      <c r="A1392" s="198"/>
      <c r="D1392" s="198" t="str">
        <f>IFERROR(__xludf.DUMMYFUNCTION("""COMPUTED_VALUE"""),"FALSE")</f>
        <v>FALSE</v>
      </c>
      <c r="E1392" s="198" t="str">
        <f>IFERROR(__xludf.DUMMYFUNCTION("""COMPUTED_VALUE"""),"FALSE")</f>
        <v>FALSE</v>
      </c>
      <c r="F1392" s="198"/>
      <c r="J1392" s="184" t="str">
        <f>IFERROR(__xludf.DUMMYFUNCTION("""COMPUTED_VALUE"""),"")</f>
        <v/>
      </c>
      <c r="K1392" s="184"/>
      <c r="L1392" s="184"/>
      <c r="M1392" s="184"/>
      <c r="N1392" s="184"/>
      <c r="O1392" s="184"/>
      <c r="P1392" s="184"/>
      <c r="Q1392" s="184"/>
      <c r="R1392" s="184"/>
      <c r="S1392" s="184"/>
      <c r="T1392" s="184"/>
      <c r="U1392" s="184"/>
      <c r="V1392" s="184"/>
      <c r="W1392" s="184"/>
      <c r="X1392" s="184"/>
    </row>
    <row r="1393">
      <c r="A1393" s="198"/>
      <c r="D1393" s="198" t="str">
        <f>IFERROR(__xludf.DUMMYFUNCTION("""COMPUTED_VALUE"""),"FALSE")</f>
        <v>FALSE</v>
      </c>
      <c r="E1393" s="198" t="str">
        <f>IFERROR(__xludf.DUMMYFUNCTION("""COMPUTED_VALUE"""),"FALSE")</f>
        <v>FALSE</v>
      </c>
      <c r="F1393" s="198"/>
      <c r="J1393" s="184" t="str">
        <f>IFERROR(__xludf.DUMMYFUNCTION("""COMPUTED_VALUE"""),"")</f>
        <v/>
      </c>
      <c r="K1393" s="184"/>
      <c r="L1393" s="184"/>
      <c r="M1393" s="184"/>
      <c r="N1393" s="184"/>
      <c r="O1393" s="184"/>
      <c r="P1393" s="184"/>
      <c r="Q1393" s="184"/>
      <c r="R1393" s="184"/>
      <c r="S1393" s="184"/>
      <c r="T1393" s="184"/>
      <c r="U1393" s="184"/>
      <c r="V1393" s="184"/>
      <c r="W1393" s="184"/>
      <c r="X1393" s="184"/>
    </row>
    <row r="1394">
      <c r="A1394" s="198"/>
      <c r="D1394" s="198" t="str">
        <f>IFERROR(__xludf.DUMMYFUNCTION("""COMPUTED_VALUE"""),"FALSE")</f>
        <v>FALSE</v>
      </c>
      <c r="E1394" s="198" t="str">
        <f>IFERROR(__xludf.DUMMYFUNCTION("""COMPUTED_VALUE"""),"FALSE")</f>
        <v>FALSE</v>
      </c>
      <c r="F1394" s="198"/>
      <c r="J1394" s="184" t="str">
        <f>IFERROR(__xludf.DUMMYFUNCTION("""COMPUTED_VALUE"""),"")</f>
        <v/>
      </c>
      <c r="K1394" s="184"/>
      <c r="L1394" s="184"/>
      <c r="M1394" s="184"/>
      <c r="N1394" s="184"/>
      <c r="O1394" s="184"/>
      <c r="P1394" s="184"/>
      <c r="Q1394" s="184"/>
      <c r="R1394" s="184"/>
      <c r="S1394" s="184"/>
      <c r="T1394" s="184"/>
      <c r="U1394" s="184"/>
      <c r="V1394" s="184"/>
      <c r="W1394" s="184"/>
      <c r="X1394" s="184"/>
    </row>
    <row r="1395">
      <c r="A1395" s="198"/>
      <c r="D1395" s="198" t="str">
        <f>IFERROR(__xludf.DUMMYFUNCTION("""COMPUTED_VALUE"""),"FALSE")</f>
        <v>FALSE</v>
      </c>
      <c r="E1395" s="198" t="str">
        <f>IFERROR(__xludf.DUMMYFUNCTION("""COMPUTED_VALUE"""),"FALSE")</f>
        <v>FALSE</v>
      </c>
      <c r="F1395" s="198"/>
      <c r="J1395" s="184" t="str">
        <f>IFERROR(__xludf.DUMMYFUNCTION("""COMPUTED_VALUE"""),"")</f>
        <v/>
      </c>
      <c r="K1395" s="184"/>
      <c r="L1395" s="184"/>
      <c r="M1395" s="184"/>
      <c r="N1395" s="184"/>
      <c r="O1395" s="184"/>
      <c r="P1395" s="184"/>
      <c r="Q1395" s="184"/>
      <c r="R1395" s="184"/>
      <c r="S1395" s="184"/>
      <c r="T1395" s="184"/>
      <c r="U1395" s="184"/>
      <c r="V1395" s="184"/>
      <c r="W1395" s="184"/>
      <c r="X1395" s="184"/>
    </row>
    <row r="1396">
      <c r="A1396" s="198"/>
      <c r="D1396" s="198" t="str">
        <f>IFERROR(__xludf.DUMMYFUNCTION("""COMPUTED_VALUE"""),"FALSE")</f>
        <v>FALSE</v>
      </c>
      <c r="E1396" s="198" t="str">
        <f>IFERROR(__xludf.DUMMYFUNCTION("""COMPUTED_VALUE"""),"FALSE")</f>
        <v>FALSE</v>
      </c>
      <c r="F1396" s="198"/>
      <c r="J1396" s="184" t="str">
        <f>IFERROR(__xludf.DUMMYFUNCTION("""COMPUTED_VALUE"""),"")</f>
        <v/>
      </c>
      <c r="K1396" s="184"/>
      <c r="L1396" s="184"/>
      <c r="M1396" s="184"/>
      <c r="N1396" s="184"/>
      <c r="O1396" s="184"/>
      <c r="P1396" s="184"/>
      <c r="Q1396" s="184"/>
      <c r="R1396" s="184"/>
      <c r="S1396" s="184"/>
      <c r="T1396" s="184"/>
      <c r="U1396" s="184"/>
      <c r="V1396" s="184"/>
      <c r="W1396" s="184"/>
      <c r="X1396" s="184"/>
    </row>
    <row r="1397">
      <c r="A1397" s="198"/>
      <c r="D1397" s="198" t="str">
        <f>IFERROR(__xludf.DUMMYFUNCTION("""COMPUTED_VALUE"""),"FALSE")</f>
        <v>FALSE</v>
      </c>
      <c r="E1397" s="198" t="str">
        <f>IFERROR(__xludf.DUMMYFUNCTION("""COMPUTED_VALUE"""),"FALSE")</f>
        <v>FALSE</v>
      </c>
      <c r="F1397" s="198"/>
      <c r="J1397" s="184" t="str">
        <f>IFERROR(__xludf.DUMMYFUNCTION("""COMPUTED_VALUE"""),"")</f>
        <v/>
      </c>
      <c r="K1397" s="184"/>
      <c r="L1397" s="184"/>
      <c r="M1397" s="184"/>
      <c r="N1397" s="184"/>
      <c r="O1397" s="184"/>
      <c r="P1397" s="184"/>
      <c r="Q1397" s="184"/>
      <c r="R1397" s="184"/>
      <c r="S1397" s="184"/>
      <c r="T1397" s="184"/>
      <c r="U1397" s="184"/>
      <c r="V1397" s="184"/>
      <c r="W1397" s="184"/>
      <c r="X1397" s="184"/>
    </row>
    <row r="1398">
      <c r="A1398" s="198"/>
      <c r="D1398" s="198" t="str">
        <f>IFERROR(__xludf.DUMMYFUNCTION("""COMPUTED_VALUE"""),"FALSE")</f>
        <v>FALSE</v>
      </c>
      <c r="E1398" s="198" t="str">
        <f>IFERROR(__xludf.DUMMYFUNCTION("""COMPUTED_VALUE"""),"FALSE")</f>
        <v>FALSE</v>
      </c>
      <c r="F1398" s="198"/>
      <c r="J1398" s="184" t="str">
        <f>IFERROR(__xludf.DUMMYFUNCTION("""COMPUTED_VALUE"""),"")</f>
        <v/>
      </c>
      <c r="K1398" s="184"/>
      <c r="L1398" s="184"/>
      <c r="M1398" s="184"/>
      <c r="N1398" s="184"/>
      <c r="O1398" s="184"/>
      <c r="P1398" s="184"/>
      <c r="Q1398" s="184"/>
      <c r="R1398" s="184"/>
      <c r="S1398" s="184"/>
      <c r="T1398" s="184"/>
      <c r="U1398" s="184"/>
      <c r="V1398" s="184"/>
      <c r="W1398" s="184"/>
      <c r="X1398" s="184"/>
    </row>
    <row r="1399">
      <c r="A1399" s="198"/>
      <c r="D1399" s="198" t="str">
        <f>IFERROR(__xludf.DUMMYFUNCTION("""COMPUTED_VALUE"""),"FALSE")</f>
        <v>FALSE</v>
      </c>
      <c r="E1399" s="198" t="str">
        <f>IFERROR(__xludf.DUMMYFUNCTION("""COMPUTED_VALUE"""),"FALSE")</f>
        <v>FALSE</v>
      </c>
      <c r="F1399" s="198"/>
      <c r="J1399" s="184" t="str">
        <f>IFERROR(__xludf.DUMMYFUNCTION("""COMPUTED_VALUE"""),"")</f>
        <v/>
      </c>
      <c r="K1399" s="184"/>
      <c r="L1399" s="184"/>
      <c r="M1399" s="184"/>
      <c r="N1399" s="184"/>
      <c r="O1399" s="184"/>
      <c r="P1399" s="184"/>
      <c r="Q1399" s="184"/>
      <c r="R1399" s="184"/>
      <c r="S1399" s="184"/>
      <c r="T1399" s="184"/>
      <c r="U1399" s="184"/>
      <c r="V1399" s="184"/>
      <c r="W1399" s="184"/>
      <c r="X1399" s="184"/>
    </row>
    <row r="1400">
      <c r="A1400" s="198"/>
      <c r="D1400" s="198" t="str">
        <f>IFERROR(__xludf.DUMMYFUNCTION("""COMPUTED_VALUE"""),"FALSE")</f>
        <v>FALSE</v>
      </c>
      <c r="E1400" s="198" t="str">
        <f>IFERROR(__xludf.DUMMYFUNCTION("""COMPUTED_VALUE"""),"FALSE")</f>
        <v>FALSE</v>
      </c>
      <c r="F1400" s="198"/>
      <c r="J1400" s="184" t="str">
        <f>IFERROR(__xludf.DUMMYFUNCTION("""COMPUTED_VALUE"""),"")</f>
        <v/>
      </c>
      <c r="K1400" s="184"/>
      <c r="L1400" s="184"/>
      <c r="M1400" s="184"/>
      <c r="N1400" s="184"/>
      <c r="O1400" s="184"/>
      <c r="P1400" s="184"/>
      <c r="Q1400" s="184"/>
      <c r="R1400" s="184"/>
      <c r="S1400" s="184"/>
      <c r="T1400" s="184"/>
      <c r="U1400" s="184"/>
      <c r="V1400" s="184"/>
      <c r="W1400" s="184"/>
      <c r="X1400" s="184"/>
    </row>
    <row r="1401">
      <c r="A1401" s="198"/>
      <c r="D1401" s="198" t="str">
        <f>IFERROR(__xludf.DUMMYFUNCTION("""COMPUTED_VALUE"""),"FALSE")</f>
        <v>FALSE</v>
      </c>
      <c r="E1401" s="198" t="str">
        <f>IFERROR(__xludf.DUMMYFUNCTION("""COMPUTED_VALUE"""),"FALSE")</f>
        <v>FALSE</v>
      </c>
      <c r="F1401" s="198"/>
      <c r="J1401" s="184" t="str">
        <f>IFERROR(__xludf.DUMMYFUNCTION("""COMPUTED_VALUE"""),"")</f>
        <v/>
      </c>
      <c r="K1401" s="184"/>
      <c r="L1401" s="184"/>
      <c r="M1401" s="184"/>
      <c r="N1401" s="184"/>
      <c r="O1401" s="184"/>
      <c r="P1401" s="184"/>
      <c r="Q1401" s="184"/>
      <c r="R1401" s="184"/>
      <c r="S1401" s="184"/>
      <c r="T1401" s="184"/>
      <c r="U1401" s="184"/>
      <c r="V1401" s="184"/>
      <c r="W1401" s="184"/>
      <c r="X1401" s="184"/>
    </row>
    <row r="1402">
      <c r="A1402" s="198"/>
      <c r="D1402" s="198" t="str">
        <f>IFERROR(__xludf.DUMMYFUNCTION("""COMPUTED_VALUE"""),"FALSE")</f>
        <v>FALSE</v>
      </c>
      <c r="E1402" s="198" t="str">
        <f>IFERROR(__xludf.DUMMYFUNCTION("""COMPUTED_VALUE"""),"FALSE")</f>
        <v>FALSE</v>
      </c>
      <c r="F1402" s="198"/>
      <c r="J1402" s="184" t="str">
        <f>IFERROR(__xludf.DUMMYFUNCTION("""COMPUTED_VALUE"""),"")</f>
        <v/>
      </c>
      <c r="K1402" s="184"/>
      <c r="L1402" s="184"/>
      <c r="M1402" s="184"/>
      <c r="N1402" s="184"/>
      <c r="O1402" s="184"/>
      <c r="P1402" s="184"/>
      <c r="Q1402" s="184"/>
      <c r="R1402" s="184"/>
      <c r="S1402" s="184"/>
      <c r="T1402" s="184"/>
      <c r="U1402" s="184"/>
      <c r="V1402" s="184"/>
      <c r="W1402" s="184"/>
      <c r="X1402" s="184"/>
    </row>
    <row r="1403">
      <c r="A1403" s="198"/>
      <c r="D1403" s="198" t="str">
        <f>IFERROR(__xludf.DUMMYFUNCTION("""COMPUTED_VALUE"""),"FALSE")</f>
        <v>FALSE</v>
      </c>
      <c r="E1403" s="198" t="str">
        <f>IFERROR(__xludf.DUMMYFUNCTION("""COMPUTED_VALUE"""),"FALSE")</f>
        <v>FALSE</v>
      </c>
      <c r="F1403" s="198"/>
      <c r="J1403" s="184" t="str">
        <f>IFERROR(__xludf.DUMMYFUNCTION("""COMPUTED_VALUE"""),"")</f>
        <v/>
      </c>
      <c r="K1403" s="184"/>
      <c r="L1403" s="184"/>
      <c r="M1403" s="184"/>
      <c r="N1403" s="184"/>
      <c r="O1403" s="184"/>
      <c r="P1403" s="184"/>
      <c r="Q1403" s="184"/>
      <c r="R1403" s="184"/>
      <c r="S1403" s="184"/>
      <c r="T1403" s="184"/>
      <c r="U1403" s="184"/>
      <c r="V1403" s="184"/>
      <c r="W1403" s="184"/>
      <c r="X1403" s="184"/>
    </row>
    <row r="1404">
      <c r="A1404" s="198"/>
      <c r="D1404" s="198" t="str">
        <f>IFERROR(__xludf.DUMMYFUNCTION("""COMPUTED_VALUE"""),"FALSE")</f>
        <v>FALSE</v>
      </c>
      <c r="E1404" s="198" t="str">
        <f>IFERROR(__xludf.DUMMYFUNCTION("""COMPUTED_VALUE"""),"FALSE")</f>
        <v>FALSE</v>
      </c>
      <c r="F1404" s="198"/>
      <c r="J1404" s="184" t="str">
        <f>IFERROR(__xludf.DUMMYFUNCTION("""COMPUTED_VALUE"""),"")</f>
        <v/>
      </c>
      <c r="K1404" s="184"/>
      <c r="L1404" s="184"/>
      <c r="M1404" s="184"/>
      <c r="N1404" s="184"/>
      <c r="O1404" s="184"/>
      <c r="P1404" s="184"/>
      <c r="Q1404" s="184"/>
      <c r="R1404" s="184"/>
      <c r="S1404" s="184"/>
      <c r="T1404" s="184"/>
      <c r="U1404" s="184"/>
      <c r="V1404" s="184"/>
      <c r="W1404" s="184"/>
      <c r="X1404" s="184"/>
    </row>
    <row r="1405">
      <c r="A1405" s="198"/>
      <c r="D1405" s="198" t="str">
        <f>IFERROR(__xludf.DUMMYFUNCTION("""COMPUTED_VALUE"""),"FALSE")</f>
        <v>FALSE</v>
      </c>
      <c r="E1405" s="198" t="str">
        <f>IFERROR(__xludf.DUMMYFUNCTION("""COMPUTED_VALUE"""),"FALSE")</f>
        <v>FALSE</v>
      </c>
      <c r="F1405" s="198"/>
      <c r="J1405" s="184" t="str">
        <f>IFERROR(__xludf.DUMMYFUNCTION("""COMPUTED_VALUE"""),"")</f>
        <v/>
      </c>
      <c r="K1405" s="184"/>
      <c r="L1405" s="184"/>
      <c r="M1405" s="184"/>
      <c r="N1405" s="184"/>
      <c r="O1405" s="184"/>
      <c r="P1405" s="184"/>
      <c r="Q1405" s="184"/>
      <c r="R1405" s="184"/>
      <c r="S1405" s="184"/>
      <c r="T1405" s="184"/>
      <c r="U1405" s="184"/>
      <c r="V1405" s="184"/>
      <c r="W1405" s="184"/>
      <c r="X1405" s="184"/>
    </row>
    <row r="1406">
      <c r="A1406" s="198"/>
      <c r="D1406" s="198" t="str">
        <f>IFERROR(__xludf.DUMMYFUNCTION("""COMPUTED_VALUE"""),"FALSE")</f>
        <v>FALSE</v>
      </c>
      <c r="E1406" s="198" t="str">
        <f>IFERROR(__xludf.DUMMYFUNCTION("""COMPUTED_VALUE"""),"FALSE")</f>
        <v>FALSE</v>
      </c>
      <c r="F1406" s="198"/>
      <c r="J1406" s="184" t="str">
        <f>IFERROR(__xludf.DUMMYFUNCTION("""COMPUTED_VALUE"""),"")</f>
        <v/>
      </c>
      <c r="K1406" s="184"/>
      <c r="L1406" s="184"/>
      <c r="M1406" s="184"/>
      <c r="N1406" s="184"/>
      <c r="O1406" s="184"/>
      <c r="P1406" s="184"/>
      <c r="Q1406" s="184"/>
      <c r="R1406" s="184"/>
      <c r="S1406" s="184"/>
      <c r="T1406" s="184"/>
      <c r="U1406" s="184"/>
      <c r="V1406" s="184"/>
      <c r="W1406" s="184"/>
      <c r="X1406" s="184"/>
    </row>
    <row r="1407">
      <c r="A1407" s="198"/>
      <c r="D1407" s="198" t="str">
        <f>IFERROR(__xludf.DUMMYFUNCTION("""COMPUTED_VALUE"""),"FALSE")</f>
        <v>FALSE</v>
      </c>
      <c r="E1407" s="198" t="str">
        <f>IFERROR(__xludf.DUMMYFUNCTION("""COMPUTED_VALUE"""),"FALSE")</f>
        <v>FALSE</v>
      </c>
      <c r="F1407" s="198"/>
      <c r="J1407" s="184" t="str">
        <f>IFERROR(__xludf.DUMMYFUNCTION("""COMPUTED_VALUE"""),"")</f>
        <v/>
      </c>
      <c r="K1407" s="184"/>
      <c r="L1407" s="184"/>
      <c r="M1407" s="184"/>
      <c r="N1407" s="184"/>
      <c r="O1407" s="184"/>
      <c r="P1407" s="184"/>
      <c r="Q1407" s="184"/>
      <c r="R1407" s="184"/>
      <c r="S1407" s="184"/>
      <c r="T1407" s="184"/>
      <c r="U1407" s="184"/>
      <c r="V1407" s="184"/>
      <c r="W1407" s="184"/>
      <c r="X1407" s="184"/>
    </row>
    <row r="1408">
      <c r="A1408" s="198"/>
      <c r="D1408" s="198" t="str">
        <f>IFERROR(__xludf.DUMMYFUNCTION("""COMPUTED_VALUE"""),"FALSE")</f>
        <v>FALSE</v>
      </c>
      <c r="E1408" s="198" t="str">
        <f>IFERROR(__xludf.DUMMYFUNCTION("""COMPUTED_VALUE"""),"FALSE")</f>
        <v>FALSE</v>
      </c>
      <c r="F1408" s="198"/>
      <c r="J1408" s="184" t="str">
        <f>IFERROR(__xludf.DUMMYFUNCTION("""COMPUTED_VALUE"""),"")</f>
        <v/>
      </c>
      <c r="K1408" s="184"/>
      <c r="L1408" s="184"/>
      <c r="M1408" s="184"/>
      <c r="N1408" s="184"/>
      <c r="O1408" s="184"/>
      <c r="P1408" s="184"/>
      <c r="Q1408" s="184"/>
      <c r="R1408" s="184"/>
      <c r="S1408" s="184"/>
      <c r="T1408" s="184"/>
      <c r="U1408" s="184"/>
      <c r="V1408" s="184"/>
      <c r="W1408" s="184"/>
      <c r="X1408" s="184"/>
    </row>
    <row r="1409">
      <c r="A1409" s="198"/>
      <c r="D1409" s="198" t="str">
        <f>IFERROR(__xludf.DUMMYFUNCTION("""COMPUTED_VALUE"""),"FALSE")</f>
        <v>FALSE</v>
      </c>
      <c r="E1409" s="198" t="str">
        <f>IFERROR(__xludf.DUMMYFUNCTION("""COMPUTED_VALUE"""),"FALSE")</f>
        <v>FALSE</v>
      </c>
      <c r="F1409" s="198"/>
      <c r="J1409" s="184" t="str">
        <f>IFERROR(__xludf.DUMMYFUNCTION("""COMPUTED_VALUE"""),"")</f>
        <v/>
      </c>
      <c r="K1409" s="184"/>
      <c r="L1409" s="184"/>
      <c r="M1409" s="184"/>
      <c r="N1409" s="184"/>
      <c r="O1409" s="184"/>
      <c r="P1409" s="184"/>
      <c r="Q1409" s="184"/>
      <c r="R1409" s="184"/>
      <c r="S1409" s="184"/>
      <c r="T1409" s="184"/>
      <c r="U1409" s="184"/>
      <c r="V1409" s="184"/>
      <c r="W1409" s="184"/>
      <c r="X1409" s="184"/>
    </row>
    <row r="1410">
      <c r="A1410" s="198"/>
      <c r="D1410" s="198" t="str">
        <f>IFERROR(__xludf.DUMMYFUNCTION("""COMPUTED_VALUE"""),"FALSE")</f>
        <v>FALSE</v>
      </c>
      <c r="E1410" s="198" t="str">
        <f>IFERROR(__xludf.DUMMYFUNCTION("""COMPUTED_VALUE"""),"FALSE")</f>
        <v>FALSE</v>
      </c>
      <c r="F1410" s="198"/>
      <c r="J1410" s="184" t="str">
        <f>IFERROR(__xludf.DUMMYFUNCTION("""COMPUTED_VALUE"""),"")</f>
        <v/>
      </c>
      <c r="K1410" s="184"/>
      <c r="L1410" s="184"/>
      <c r="M1410" s="184"/>
      <c r="N1410" s="184"/>
      <c r="O1410" s="184"/>
      <c r="P1410" s="184"/>
      <c r="Q1410" s="184"/>
      <c r="R1410" s="184"/>
      <c r="S1410" s="184"/>
      <c r="T1410" s="184"/>
      <c r="U1410" s="184"/>
      <c r="V1410" s="184"/>
      <c r="W1410" s="184"/>
      <c r="X1410" s="184"/>
    </row>
    <row r="1411">
      <c r="A1411" s="198"/>
      <c r="D1411" s="198" t="str">
        <f>IFERROR(__xludf.DUMMYFUNCTION("""COMPUTED_VALUE"""),"FALSE")</f>
        <v>FALSE</v>
      </c>
      <c r="E1411" s="198" t="str">
        <f>IFERROR(__xludf.DUMMYFUNCTION("""COMPUTED_VALUE"""),"FALSE")</f>
        <v>FALSE</v>
      </c>
      <c r="F1411" s="198"/>
      <c r="J1411" s="184" t="str">
        <f>IFERROR(__xludf.DUMMYFUNCTION("""COMPUTED_VALUE"""),"")</f>
        <v/>
      </c>
      <c r="K1411" s="184"/>
      <c r="L1411" s="184"/>
      <c r="M1411" s="184"/>
      <c r="N1411" s="184"/>
      <c r="O1411" s="184"/>
      <c r="P1411" s="184"/>
      <c r="Q1411" s="184"/>
      <c r="R1411" s="184"/>
      <c r="S1411" s="184"/>
      <c r="T1411" s="184"/>
      <c r="U1411" s="184"/>
      <c r="V1411" s="184"/>
      <c r="W1411" s="184"/>
      <c r="X1411" s="184"/>
    </row>
    <row r="1412">
      <c r="A1412" s="198"/>
      <c r="D1412" s="198" t="str">
        <f>IFERROR(__xludf.DUMMYFUNCTION("""COMPUTED_VALUE"""),"FALSE")</f>
        <v>FALSE</v>
      </c>
      <c r="E1412" s="198" t="str">
        <f>IFERROR(__xludf.DUMMYFUNCTION("""COMPUTED_VALUE"""),"FALSE")</f>
        <v>FALSE</v>
      </c>
      <c r="F1412" s="198"/>
      <c r="J1412" s="184" t="str">
        <f>IFERROR(__xludf.DUMMYFUNCTION("""COMPUTED_VALUE"""),"")</f>
        <v/>
      </c>
      <c r="K1412" s="184"/>
      <c r="L1412" s="184"/>
      <c r="M1412" s="184"/>
      <c r="N1412" s="184"/>
      <c r="O1412" s="184"/>
      <c r="P1412" s="184"/>
      <c r="Q1412" s="184"/>
      <c r="R1412" s="184"/>
      <c r="S1412" s="184"/>
      <c r="T1412" s="184"/>
      <c r="U1412" s="184"/>
      <c r="V1412" s="184"/>
      <c r="W1412" s="184"/>
      <c r="X1412" s="184"/>
    </row>
    <row r="1413">
      <c r="A1413" s="198"/>
      <c r="D1413" s="198" t="str">
        <f>IFERROR(__xludf.DUMMYFUNCTION("""COMPUTED_VALUE"""),"FALSE")</f>
        <v>FALSE</v>
      </c>
      <c r="E1413" s="198" t="str">
        <f>IFERROR(__xludf.DUMMYFUNCTION("""COMPUTED_VALUE"""),"FALSE")</f>
        <v>FALSE</v>
      </c>
      <c r="F1413" s="198"/>
      <c r="J1413" s="184" t="str">
        <f>IFERROR(__xludf.DUMMYFUNCTION("""COMPUTED_VALUE"""),"")</f>
        <v/>
      </c>
      <c r="K1413" s="184"/>
      <c r="L1413" s="184"/>
      <c r="M1413" s="184"/>
      <c r="N1413" s="184"/>
      <c r="O1413" s="184"/>
      <c r="P1413" s="184"/>
      <c r="Q1413" s="184"/>
      <c r="R1413" s="184"/>
      <c r="S1413" s="184"/>
      <c r="T1413" s="184"/>
      <c r="U1413" s="184"/>
      <c r="V1413" s="184"/>
      <c r="W1413" s="184"/>
      <c r="X1413" s="184"/>
    </row>
    <row r="1414">
      <c r="A1414" s="198"/>
      <c r="D1414" s="198" t="str">
        <f>IFERROR(__xludf.DUMMYFUNCTION("""COMPUTED_VALUE"""),"FALSE")</f>
        <v>FALSE</v>
      </c>
      <c r="E1414" s="198" t="str">
        <f>IFERROR(__xludf.DUMMYFUNCTION("""COMPUTED_VALUE"""),"FALSE")</f>
        <v>FALSE</v>
      </c>
      <c r="F1414" s="198"/>
      <c r="J1414" s="184" t="str">
        <f>IFERROR(__xludf.DUMMYFUNCTION("""COMPUTED_VALUE"""),"")</f>
        <v/>
      </c>
      <c r="K1414" s="184"/>
      <c r="L1414" s="184"/>
      <c r="M1414" s="184"/>
      <c r="N1414" s="184"/>
      <c r="O1414" s="184"/>
      <c r="P1414" s="184"/>
      <c r="Q1414" s="184"/>
      <c r="R1414" s="184"/>
      <c r="S1414" s="184"/>
      <c r="T1414" s="184"/>
      <c r="U1414" s="184"/>
      <c r="V1414" s="184"/>
      <c r="W1414" s="184"/>
      <c r="X1414" s="184"/>
    </row>
    <row r="1415">
      <c r="A1415" s="198"/>
      <c r="D1415" s="198" t="str">
        <f>IFERROR(__xludf.DUMMYFUNCTION("""COMPUTED_VALUE"""),"FALSE")</f>
        <v>FALSE</v>
      </c>
      <c r="E1415" s="198" t="str">
        <f>IFERROR(__xludf.DUMMYFUNCTION("""COMPUTED_VALUE"""),"FALSE")</f>
        <v>FALSE</v>
      </c>
      <c r="F1415" s="198"/>
      <c r="J1415" s="184" t="str">
        <f>IFERROR(__xludf.DUMMYFUNCTION("""COMPUTED_VALUE"""),"")</f>
        <v/>
      </c>
      <c r="K1415" s="184"/>
      <c r="L1415" s="184"/>
      <c r="M1415" s="184"/>
      <c r="N1415" s="184"/>
      <c r="O1415" s="184"/>
      <c r="P1415" s="184"/>
      <c r="Q1415" s="184"/>
      <c r="R1415" s="184"/>
      <c r="S1415" s="184"/>
      <c r="T1415" s="184"/>
      <c r="U1415" s="184"/>
      <c r="V1415" s="184"/>
      <c r="W1415" s="184"/>
      <c r="X1415" s="184"/>
    </row>
    <row r="1416">
      <c r="A1416" s="198"/>
      <c r="D1416" s="198" t="str">
        <f>IFERROR(__xludf.DUMMYFUNCTION("""COMPUTED_VALUE"""),"FALSE")</f>
        <v>FALSE</v>
      </c>
      <c r="E1416" s="198" t="str">
        <f>IFERROR(__xludf.DUMMYFUNCTION("""COMPUTED_VALUE"""),"FALSE")</f>
        <v>FALSE</v>
      </c>
      <c r="F1416" s="198"/>
      <c r="J1416" s="184" t="str">
        <f>IFERROR(__xludf.DUMMYFUNCTION("""COMPUTED_VALUE"""),"")</f>
        <v/>
      </c>
      <c r="K1416" s="184"/>
      <c r="L1416" s="184"/>
      <c r="M1416" s="184"/>
      <c r="N1416" s="184"/>
      <c r="O1416" s="184"/>
      <c r="P1416" s="184"/>
      <c r="Q1416" s="184"/>
      <c r="R1416" s="184"/>
      <c r="S1416" s="184"/>
      <c r="T1416" s="184"/>
      <c r="U1416" s="184"/>
      <c r="V1416" s="184"/>
      <c r="W1416" s="184"/>
      <c r="X1416" s="184"/>
    </row>
    <row r="1417">
      <c r="A1417" s="198"/>
      <c r="D1417" s="198" t="str">
        <f>IFERROR(__xludf.DUMMYFUNCTION("""COMPUTED_VALUE"""),"FALSE")</f>
        <v>FALSE</v>
      </c>
      <c r="E1417" s="198" t="str">
        <f>IFERROR(__xludf.DUMMYFUNCTION("""COMPUTED_VALUE"""),"FALSE")</f>
        <v>FALSE</v>
      </c>
      <c r="F1417" s="198"/>
      <c r="J1417" s="184" t="str">
        <f>IFERROR(__xludf.DUMMYFUNCTION("""COMPUTED_VALUE"""),"")</f>
        <v/>
      </c>
      <c r="K1417" s="184"/>
      <c r="L1417" s="184"/>
      <c r="M1417" s="184"/>
      <c r="N1417" s="184"/>
      <c r="O1417" s="184"/>
      <c r="P1417" s="184"/>
      <c r="Q1417" s="184"/>
      <c r="R1417" s="184"/>
      <c r="S1417" s="184"/>
      <c r="T1417" s="184"/>
      <c r="U1417" s="184"/>
      <c r="V1417" s="184"/>
      <c r="W1417" s="184"/>
      <c r="X1417" s="184"/>
    </row>
    <row r="1418">
      <c r="A1418" s="198"/>
      <c r="D1418" s="198" t="str">
        <f>IFERROR(__xludf.DUMMYFUNCTION("""COMPUTED_VALUE"""),"FALSE")</f>
        <v>FALSE</v>
      </c>
      <c r="E1418" s="198" t="str">
        <f>IFERROR(__xludf.DUMMYFUNCTION("""COMPUTED_VALUE"""),"FALSE")</f>
        <v>FALSE</v>
      </c>
      <c r="F1418" s="198"/>
      <c r="J1418" s="184" t="str">
        <f>IFERROR(__xludf.DUMMYFUNCTION("""COMPUTED_VALUE"""),"")</f>
        <v/>
      </c>
      <c r="K1418" s="184"/>
      <c r="L1418" s="184"/>
      <c r="M1418" s="184"/>
      <c r="N1418" s="184"/>
      <c r="O1418" s="184"/>
      <c r="P1418" s="184"/>
      <c r="Q1418" s="184"/>
      <c r="R1418" s="184"/>
      <c r="S1418" s="184"/>
      <c r="T1418" s="184"/>
      <c r="U1418" s="184"/>
      <c r="V1418" s="184"/>
      <c r="W1418" s="184"/>
      <c r="X1418" s="184"/>
    </row>
    <row r="1419">
      <c r="A1419" s="198"/>
      <c r="D1419" s="198" t="str">
        <f>IFERROR(__xludf.DUMMYFUNCTION("""COMPUTED_VALUE"""),"FALSE")</f>
        <v>FALSE</v>
      </c>
      <c r="E1419" s="198" t="str">
        <f>IFERROR(__xludf.DUMMYFUNCTION("""COMPUTED_VALUE"""),"FALSE")</f>
        <v>FALSE</v>
      </c>
      <c r="F1419" s="198"/>
      <c r="J1419" s="184" t="str">
        <f>IFERROR(__xludf.DUMMYFUNCTION("""COMPUTED_VALUE"""),"")</f>
        <v/>
      </c>
      <c r="K1419" s="184"/>
      <c r="L1419" s="184"/>
      <c r="M1419" s="184"/>
      <c r="N1419" s="184"/>
      <c r="O1419" s="184"/>
      <c r="P1419" s="184"/>
      <c r="Q1419" s="184"/>
      <c r="R1419" s="184"/>
      <c r="S1419" s="184"/>
      <c r="T1419" s="184"/>
      <c r="U1419" s="184"/>
      <c r="V1419" s="184"/>
      <c r="W1419" s="184"/>
      <c r="X1419" s="184"/>
    </row>
    <row r="1420">
      <c r="A1420" s="198"/>
      <c r="D1420" s="198" t="str">
        <f>IFERROR(__xludf.DUMMYFUNCTION("""COMPUTED_VALUE"""),"FALSE")</f>
        <v>FALSE</v>
      </c>
      <c r="E1420" s="198" t="str">
        <f>IFERROR(__xludf.DUMMYFUNCTION("""COMPUTED_VALUE"""),"FALSE")</f>
        <v>FALSE</v>
      </c>
      <c r="F1420" s="198"/>
      <c r="J1420" s="184" t="str">
        <f>IFERROR(__xludf.DUMMYFUNCTION("""COMPUTED_VALUE"""),"")</f>
        <v/>
      </c>
      <c r="K1420" s="184"/>
      <c r="L1420" s="184"/>
      <c r="M1420" s="184"/>
      <c r="N1420" s="184"/>
      <c r="O1420" s="184"/>
      <c r="P1420" s="184"/>
      <c r="Q1420" s="184"/>
      <c r="R1420" s="184"/>
      <c r="S1420" s="184"/>
      <c r="T1420" s="184"/>
      <c r="U1420" s="184"/>
      <c r="V1420" s="184"/>
      <c r="W1420" s="184"/>
      <c r="X1420" s="184"/>
    </row>
    <row r="1421">
      <c r="A1421" s="198"/>
      <c r="D1421" s="198" t="str">
        <f>IFERROR(__xludf.DUMMYFUNCTION("""COMPUTED_VALUE"""),"FALSE")</f>
        <v>FALSE</v>
      </c>
      <c r="E1421" s="198" t="str">
        <f>IFERROR(__xludf.DUMMYFUNCTION("""COMPUTED_VALUE"""),"FALSE")</f>
        <v>FALSE</v>
      </c>
      <c r="F1421" s="198"/>
      <c r="J1421" s="184" t="str">
        <f>IFERROR(__xludf.DUMMYFUNCTION("""COMPUTED_VALUE"""),"")</f>
        <v/>
      </c>
      <c r="K1421" s="184"/>
      <c r="L1421" s="184"/>
      <c r="M1421" s="184"/>
      <c r="N1421" s="184"/>
      <c r="O1421" s="184"/>
      <c r="P1421" s="184"/>
      <c r="Q1421" s="184"/>
      <c r="R1421" s="184"/>
      <c r="S1421" s="184"/>
      <c r="T1421" s="184"/>
      <c r="U1421" s="184"/>
      <c r="V1421" s="184"/>
      <c r="W1421" s="184"/>
      <c r="X1421" s="184"/>
    </row>
    <row r="1422">
      <c r="A1422" s="198"/>
      <c r="D1422" s="198" t="str">
        <f>IFERROR(__xludf.DUMMYFUNCTION("""COMPUTED_VALUE"""),"FALSE")</f>
        <v>FALSE</v>
      </c>
      <c r="E1422" s="198" t="str">
        <f>IFERROR(__xludf.DUMMYFUNCTION("""COMPUTED_VALUE"""),"FALSE")</f>
        <v>FALSE</v>
      </c>
      <c r="F1422" s="198"/>
      <c r="J1422" s="184" t="str">
        <f>IFERROR(__xludf.DUMMYFUNCTION("""COMPUTED_VALUE"""),"")</f>
        <v/>
      </c>
      <c r="K1422" s="184"/>
      <c r="L1422" s="184"/>
      <c r="M1422" s="184"/>
      <c r="N1422" s="184"/>
      <c r="O1422" s="184"/>
      <c r="P1422" s="184"/>
      <c r="Q1422" s="184"/>
      <c r="R1422" s="184"/>
      <c r="S1422" s="184"/>
      <c r="T1422" s="184"/>
      <c r="U1422" s="184"/>
      <c r="V1422" s="184"/>
      <c r="W1422" s="184"/>
      <c r="X1422" s="184"/>
    </row>
    <row r="1423">
      <c r="A1423" s="198"/>
      <c r="D1423" s="198" t="str">
        <f>IFERROR(__xludf.DUMMYFUNCTION("""COMPUTED_VALUE"""),"FALSE")</f>
        <v>FALSE</v>
      </c>
      <c r="E1423" s="198" t="str">
        <f>IFERROR(__xludf.DUMMYFUNCTION("""COMPUTED_VALUE"""),"FALSE")</f>
        <v>FALSE</v>
      </c>
      <c r="F1423" s="198"/>
      <c r="J1423" s="184" t="str">
        <f>IFERROR(__xludf.DUMMYFUNCTION("""COMPUTED_VALUE"""),"")</f>
        <v/>
      </c>
      <c r="K1423" s="184"/>
      <c r="L1423" s="184"/>
      <c r="M1423" s="184"/>
      <c r="N1423" s="184"/>
      <c r="O1423" s="184"/>
      <c r="P1423" s="184"/>
      <c r="Q1423" s="184"/>
      <c r="R1423" s="184"/>
      <c r="S1423" s="184"/>
      <c r="T1423" s="184"/>
      <c r="U1423" s="184"/>
      <c r="V1423" s="184"/>
      <c r="W1423" s="184"/>
      <c r="X1423" s="184"/>
    </row>
    <row r="1424">
      <c r="A1424" s="198"/>
      <c r="D1424" s="198" t="str">
        <f>IFERROR(__xludf.DUMMYFUNCTION("""COMPUTED_VALUE"""),"FALSE")</f>
        <v>FALSE</v>
      </c>
      <c r="E1424" s="198" t="str">
        <f>IFERROR(__xludf.DUMMYFUNCTION("""COMPUTED_VALUE"""),"FALSE")</f>
        <v>FALSE</v>
      </c>
      <c r="F1424" s="198"/>
      <c r="J1424" s="184" t="str">
        <f>IFERROR(__xludf.DUMMYFUNCTION("""COMPUTED_VALUE"""),"")</f>
        <v/>
      </c>
      <c r="K1424" s="184"/>
      <c r="L1424" s="184"/>
      <c r="M1424" s="184"/>
      <c r="N1424" s="184"/>
      <c r="O1424" s="184"/>
      <c r="P1424" s="184"/>
      <c r="Q1424" s="184"/>
      <c r="R1424" s="184"/>
      <c r="S1424" s="184"/>
      <c r="T1424" s="184"/>
      <c r="U1424" s="184"/>
      <c r="V1424" s="184"/>
      <c r="W1424" s="184"/>
      <c r="X1424" s="184"/>
    </row>
    <row r="1425">
      <c r="A1425" s="198"/>
      <c r="D1425" s="198" t="str">
        <f>IFERROR(__xludf.DUMMYFUNCTION("""COMPUTED_VALUE"""),"FALSE")</f>
        <v>FALSE</v>
      </c>
      <c r="E1425" s="198" t="str">
        <f>IFERROR(__xludf.DUMMYFUNCTION("""COMPUTED_VALUE"""),"FALSE")</f>
        <v>FALSE</v>
      </c>
      <c r="F1425" s="198"/>
      <c r="J1425" s="184" t="str">
        <f>IFERROR(__xludf.DUMMYFUNCTION("""COMPUTED_VALUE"""),"")</f>
        <v/>
      </c>
      <c r="K1425" s="184"/>
      <c r="L1425" s="184"/>
      <c r="M1425" s="184"/>
      <c r="N1425" s="184"/>
      <c r="O1425" s="184"/>
      <c r="P1425" s="184"/>
      <c r="Q1425" s="184"/>
      <c r="R1425" s="184"/>
      <c r="S1425" s="184"/>
      <c r="T1425" s="184"/>
      <c r="U1425" s="184"/>
      <c r="V1425" s="184"/>
      <c r="W1425" s="184"/>
      <c r="X1425" s="184"/>
    </row>
    <row r="1426">
      <c r="A1426" s="198"/>
      <c r="D1426" s="198" t="str">
        <f>IFERROR(__xludf.DUMMYFUNCTION("""COMPUTED_VALUE"""),"FALSE")</f>
        <v>FALSE</v>
      </c>
      <c r="E1426" s="198" t="str">
        <f>IFERROR(__xludf.DUMMYFUNCTION("""COMPUTED_VALUE"""),"FALSE")</f>
        <v>FALSE</v>
      </c>
      <c r="F1426" s="198"/>
      <c r="J1426" s="184" t="str">
        <f>IFERROR(__xludf.DUMMYFUNCTION("""COMPUTED_VALUE"""),"")</f>
        <v/>
      </c>
      <c r="K1426" s="184"/>
      <c r="L1426" s="184"/>
      <c r="M1426" s="184"/>
      <c r="N1426" s="184"/>
      <c r="O1426" s="184"/>
      <c r="P1426" s="184"/>
      <c r="Q1426" s="184"/>
      <c r="R1426" s="184"/>
      <c r="S1426" s="184"/>
      <c r="T1426" s="184"/>
      <c r="U1426" s="184"/>
      <c r="V1426" s="184"/>
      <c r="W1426" s="184"/>
      <c r="X1426" s="184"/>
    </row>
    <row r="1427">
      <c r="A1427" s="198"/>
      <c r="D1427" s="198" t="str">
        <f>IFERROR(__xludf.DUMMYFUNCTION("""COMPUTED_VALUE"""),"FALSE")</f>
        <v>FALSE</v>
      </c>
      <c r="E1427" s="198" t="str">
        <f>IFERROR(__xludf.DUMMYFUNCTION("""COMPUTED_VALUE"""),"FALSE")</f>
        <v>FALSE</v>
      </c>
      <c r="F1427" s="198"/>
      <c r="J1427" s="184" t="str">
        <f>IFERROR(__xludf.DUMMYFUNCTION("""COMPUTED_VALUE"""),"")</f>
        <v/>
      </c>
      <c r="K1427" s="184"/>
      <c r="L1427" s="184"/>
      <c r="M1427" s="184"/>
      <c r="N1427" s="184"/>
      <c r="O1427" s="184"/>
      <c r="P1427" s="184"/>
      <c r="Q1427" s="184"/>
      <c r="R1427" s="184"/>
      <c r="S1427" s="184"/>
      <c r="T1427" s="184"/>
      <c r="U1427" s="184"/>
      <c r="V1427" s="184"/>
      <c r="W1427" s="184"/>
      <c r="X1427" s="184"/>
    </row>
    <row r="1428">
      <c r="A1428" s="198"/>
      <c r="D1428" s="198" t="str">
        <f>IFERROR(__xludf.DUMMYFUNCTION("""COMPUTED_VALUE"""),"FALSE")</f>
        <v>FALSE</v>
      </c>
      <c r="E1428" s="198" t="str">
        <f>IFERROR(__xludf.DUMMYFUNCTION("""COMPUTED_VALUE"""),"FALSE")</f>
        <v>FALSE</v>
      </c>
      <c r="F1428" s="198"/>
      <c r="J1428" s="184" t="str">
        <f>IFERROR(__xludf.DUMMYFUNCTION("""COMPUTED_VALUE"""),"")</f>
        <v/>
      </c>
      <c r="K1428" s="184"/>
      <c r="L1428" s="184"/>
      <c r="M1428" s="184"/>
      <c r="N1428" s="184"/>
      <c r="O1428" s="184"/>
      <c r="P1428" s="184"/>
      <c r="Q1428" s="184"/>
      <c r="R1428" s="184"/>
      <c r="S1428" s="184"/>
      <c r="T1428" s="184"/>
      <c r="U1428" s="184"/>
      <c r="V1428" s="184"/>
      <c r="W1428" s="184"/>
      <c r="X1428" s="184"/>
    </row>
    <row r="1429">
      <c r="A1429" s="198"/>
      <c r="D1429" s="198" t="str">
        <f>IFERROR(__xludf.DUMMYFUNCTION("""COMPUTED_VALUE"""),"FALSE")</f>
        <v>FALSE</v>
      </c>
      <c r="E1429" s="198" t="str">
        <f>IFERROR(__xludf.DUMMYFUNCTION("""COMPUTED_VALUE"""),"FALSE")</f>
        <v>FALSE</v>
      </c>
      <c r="F1429" s="198"/>
      <c r="J1429" s="184" t="str">
        <f>IFERROR(__xludf.DUMMYFUNCTION("""COMPUTED_VALUE"""),"")</f>
        <v/>
      </c>
      <c r="K1429" s="184"/>
      <c r="L1429" s="184"/>
      <c r="M1429" s="184"/>
      <c r="N1429" s="184"/>
      <c r="O1429" s="184"/>
      <c r="P1429" s="184"/>
      <c r="Q1429" s="184"/>
      <c r="R1429" s="184"/>
      <c r="S1429" s="184"/>
      <c r="T1429" s="184"/>
      <c r="U1429" s="184"/>
      <c r="V1429" s="184"/>
      <c r="W1429" s="184"/>
      <c r="X1429" s="184"/>
    </row>
    <row r="1430">
      <c r="A1430" s="198"/>
      <c r="D1430" s="198" t="str">
        <f>IFERROR(__xludf.DUMMYFUNCTION("""COMPUTED_VALUE"""),"FALSE")</f>
        <v>FALSE</v>
      </c>
      <c r="E1430" s="198" t="str">
        <f>IFERROR(__xludf.DUMMYFUNCTION("""COMPUTED_VALUE"""),"FALSE")</f>
        <v>FALSE</v>
      </c>
      <c r="F1430" s="198"/>
      <c r="J1430" s="184" t="str">
        <f>IFERROR(__xludf.DUMMYFUNCTION("""COMPUTED_VALUE"""),"")</f>
        <v/>
      </c>
      <c r="K1430" s="184"/>
      <c r="L1430" s="184"/>
      <c r="M1430" s="184"/>
      <c r="N1430" s="184"/>
      <c r="O1430" s="184"/>
      <c r="P1430" s="184"/>
      <c r="Q1430" s="184"/>
      <c r="R1430" s="184"/>
      <c r="S1430" s="184"/>
      <c r="T1430" s="184"/>
      <c r="U1430" s="184"/>
      <c r="V1430" s="184"/>
      <c r="W1430" s="184"/>
      <c r="X1430" s="184"/>
    </row>
    <row r="1431">
      <c r="A1431" s="198"/>
      <c r="D1431" s="198" t="str">
        <f>IFERROR(__xludf.DUMMYFUNCTION("""COMPUTED_VALUE"""),"FALSE")</f>
        <v>FALSE</v>
      </c>
      <c r="E1431" s="198" t="str">
        <f>IFERROR(__xludf.DUMMYFUNCTION("""COMPUTED_VALUE"""),"FALSE")</f>
        <v>FALSE</v>
      </c>
      <c r="F1431" s="198"/>
      <c r="J1431" s="184" t="str">
        <f>IFERROR(__xludf.DUMMYFUNCTION("""COMPUTED_VALUE"""),"")</f>
        <v/>
      </c>
      <c r="K1431" s="184"/>
      <c r="L1431" s="184"/>
      <c r="M1431" s="184"/>
      <c r="N1431" s="184"/>
      <c r="O1431" s="184"/>
      <c r="P1431" s="184"/>
      <c r="Q1431" s="184"/>
      <c r="R1431" s="184"/>
      <c r="S1431" s="184"/>
      <c r="T1431" s="184"/>
      <c r="U1431" s="184"/>
      <c r="V1431" s="184"/>
      <c r="W1431" s="184"/>
      <c r="X1431" s="184"/>
    </row>
    <row r="1432">
      <c r="A1432" s="198"/>
      <c r="D1432" s="198" t="str">
        <f>IFERROR(__xludf.DUMMYFUNCTION("""COMPUTED_VALUE"""),"FALSE")</f>
        <v>FALSE</v>
      </c>
      <c r="E1432" s="198" t="str">
        <f>IFERROR(__xludf.DUMMYFUNCTION("""COMPUTED_VALUE"""),"FALSE")</f>
        <v>FALSE</v>
      </c>
      <c r="F1432" s="198"/>
      <c r="J1432" s="184" t="str">
        <f>IFERROR(__xludf.DUMMYFUNCTION("""COMPUTED_VALUE"""),"")</f>
        <v/>
      </c>
      <c r="K1432" s="184"/>
      <c r="L1432" s="184"/>
      <c r="M1432" s="184"/>
      <c r="N1432" s="184"/>
      <c r="O1432" s="184"/>
      <c r="P1432" s="184"/>
      <c r="Q1432" s="184"/>
      <c r="R1432" s="184"/>
      <c r="S1432" s="184"/>
      <c r="T1432" s="184"/>
      <c r="U1432" s="184"/>
      <c r="V1432" s="184"/>
      <c r="W1432" s="184"/>
      <c r="X1432" s="184"/>
    </row>
    <row r="1433">
      <c r="A1433" s="198"/>
      <c r="D1433" s="198" t="str">
        <f>IFERROR(__xludf.DUMMYFUNCTION("""COMPUTED_VALUE"""),"FALSE")</f>
        <v>FALSE</v>
      </c>
      <c r="E1433" s="198" t="str">
        <f>IFERROR(__xludf.DUMMYFUNCTION("""COMPUTED_VALUE"""),"FALSE")</f>
        <v>FALSE</v>
      </c>
      <c r="F1433" s="198"/>
      <c r="J1433" s="184" t="str">
        <f>IFERROR(__xludf.DUMMYFUNCTION("""COMPUTED_VALUE"""),"")</f>
        <v/>
      </c>
      <c r="K1433" s="184"/>
      <c r="L1433" s="184"/>
      <c r="M1433" s="184"/>
      <c r="N1433" s="184"/>
      <c r="O1433" s="184"/>
      <c r="P1433" s="184"/>
      <c r="Q1433" s="184"/>
      <c r="R1433" s="184"/>
      <c r="S1433" s="184"/>
      <c r="T1433" s="184"/>
      <c r="U1433" s="184"/>
      <c r="V1433" s="184"/>
      <c r="W1433" s="184"/>
      <c r="X1433" s="184"/>
    </row>
    <row r="1434">
      <c r="A1434" s="198"/>
      <c r="D1434" s="198" t="str">
        <f>IFERROR(__xludf.DUMMYFUNCTION("""COMPUTED_VALUE"""),"FALSE")</f>
        <v>FALSE</v>
      </c>
      <c r="E1434" s="198" t="str">
        <f>IFERROR(__xludf.DUMMYFUNCTION("""COMPUTED_VALUE"""),"FALSE")</f>
        <v>FALSE</v>
      </c>
      <c r="F1434" s="198"/>
      <c r="J1434" s="184" t="str">
        <f>IFERROR(__xludf.DUMMYFUNCTION("""COMPUTED_VALUE"""),"")</f>
        <v/>
      </c>
      <c r="K1434" s="184"/>
      <c r="L1434" s="184"/>
      <c r="M1434" s="184"/>
      <c r="N1434" s="184"/>
      <c r="O1434" s="184"/>
      <c r="P1434" s="184"/>
      <c r="Q1434" s="184"/>
      <c r="R1434" s="184"/>
      <c r="S1434" s="184"/>
      <c r="T1434" s="184"/>
      <c r="U1434" s="184"/>
      <c r="V1434" s="184"/>
      <c r="W1434" s="184"/>
      <c r="X1434" s="184"/>
    </row>
    <row r="1435">
      <c r="A1435" s="198"/>
      <c r="D1435" s="198" t="str">
        <f>IFERROR(__xludf.DUMMYFUNCTION("""COMPUTED_VALUE"""),"FALSE")</f>
        <v>FALSE</v>
      </c>
      <c r="E1435" s="198" t="str">
        <f>IFERROR(__xludf.DUMMYFUNCTION("""COMPUTED_VALUE"""),"FALSE")</f>
        <v>FALSE</v>
      </c>
      <c r="F1435" s="198"/>
      <c r="J1435" s="184" t="str">
        <f>IFERROR(__xludf.DUMMYFUNCTION("""COMPUTED_VALUE"""),"")</f>
        <v/>
      </c>
      <c r="K1435" s="184"/>
      <c r="L1435" s="184"/>
      <c r="M1435" s="184"/>
      <c r="N1435" s="184"/>
      <c r="O1435" s="184"/>
      <c r="P1435" s="184"/>
      <c r="Q1435" s="184"/>
      <c r="R1435" s="184"/>
      <c r="S1435" s="184"/>
      <c r="T1435" s="184"/>
      <c r="U1435" s="184"/>
      <c r="V1435" s="184"/>
      <c r="W1435" s="184"/>
      <c r="X1435" s="184"/>
    </row>
    <row r="1436">
      <c r="A1436" s="198"/>
      <c r="D1436" s="198" t="str">
        <f>IFERROR(__xludf.DUMMYFUNCTION("""COMPUTED_VALUE"""),"FALSE")</f>
        <v>FALSE</v>
      </c>
      <c r="E1436" s="198" t="str">
        <f>IFERROR(__xludf.DUMMYFUNCTION("""COMPUTED_VALUE"""),"FALSE")</f>
        <v>FALSE</v>
      </c>
      <c r="F1436" s="198"/>
      <c r="J1436" s="184" t="str">
        <f>IFERROR(__xludf.DUMMYFUNCTION("""COMPUTED_VALUE"""),"")</f>
        <v/>
      </c>
      <c r="K1436" s="184"/>
      <c r="L1436" s="184"/>
      <c r="M1436" s="184"/>
      <c r="N1436" s="184"/>
      <c r="O1436" s="184"/>
      <c r="P1436" s="184"/>
      <c r="Q1436" s="184"/>
      <c r="R1436" s="184"/>
      <c r="S1436" s="184"/>
      <c r="T1436" s="184"/>
      <c r="U1436" s="184"/>
      <c r="V1436" s="184"/>
      <c r="W1436" s="184"/>
      <c r="X1436" s="184"/>
    </row>
    <row r="1437">
      <c r="A1437" s="198"/>
      <c r="D1437" s="198" t="str">
        <f>IFERROR(__xludf.DUMMYFUNCTION("""COMPUTED_VALUE"""),"FALSE")</f>
        <v>FALSE</v>
      </c>
      <c r="E1437" s="198" t="str">
        <f>IFERROR(__xludf.DUMMYFUNCTION("""COMPUTED_VALUE"""),"FALSE")</f>
        <v>FALSE</v>
      </c>
      <c r="F1437" s="198"/>
      <c r="J1437" s="184" t="str">
        <f>IFERROR(__xludf.DUMMYFUNCTION("""COMPUTED_VALUE"""),"")</f>
        <v/>
      </c>
      <c r="K1437" s="184"/>
      <c r="L1437" s="184"/>
      <c r="M1437" s="184"/>
      <c r="N1437" s="184"/>
      <c r="O1437" s="184"/>
      <c r="P1437" s="184"/>
      <c r="Q1437" s="184"/>
      <c r="R1437" s="184"/>
      <c r="S1437" s="184"/>
      <c r="T1437" s="184"/>
      <c r="U1437" s="184"/>
      <c r="V1437" s="184"/>
      <c r="W1437" s="184"/>
      <c r="X1437" s="184"/>
    </row>
    <row r="1438">
      <c r="A1438" s="198"/>
      <c r="D1438" s="198" t="str">
        <f>IFERROR(__xludf.DUMMYFUNCTION("""COMPUTED_VALUE"""),"FALSE")</f>
        <v>FALSE</v>
      </c>
      <c r="E1438" s="198" t="str">
        <f>IFERROR(__xludf.DUMMYFUNCTION("""COMPUTED_VALUE"""),"FALSE")</f>
        <v>FALSE</v>
      </c>
      <c r="F1438" s="198"/>
      <c r="J1438" s="184" t="str">
        <f>IFERROR(__xludf.DUMMYFUNCTION("""COMPUTED_VALUE"""),"")</f>
        <v/>
      </c>
      <c r="K1438" s="184"/>
      <c r="L1438" s="184"/>
      <c r="M1438" s="184"/>
      <c r="N1438" s="184"/>
      <c r="O1438" s="184"/>
      <c r="P1438" s="184"/>
      <c r="Q1438" s="184"/>
      <c r="R1438" s="184"/>
      <c r="S1438" s="184"/>
      <c r="T1438" s="184"/>
      <c r="U1438" s="184"/>
      <c r="V1438" s="184"/>
      <c r="W1438" s="184"/>
      <c r="X1438" s="184"/>
    </row>
    <row r="1439">
      <c r="A1439" s="198"/>
      <c r="D1439" s="198" t="str">
        <f>IFERROR(__xludf.DUMMYFUNCTION("""COMPUTED_VALUE"""),"FALSE")</f>
        <v>FALSE</v>
      </c>
      <c r="E1439" s="198" t="str">
        <f>IFERROR(__xludf.DUMMYFUNCTION("""COMPUTED_VALUE"""),"FALSE")</f>
        <v>FALSE</v>
      </c>
      <c r="F1439" s="198"/>
      <c r="J1439" s="184" t="str">
        <f>IFERROR(__xludf.DUMMYFUNCTION("""COMPUTED_VALUE"""),"")</f>
        <v/>
      </c>
      <c r="K1439" s="184"/>
      <c r="L1439" s="184"/>
      <c r="M1439" s="184"/>
      <c r="N1439" s="184"/>
      <c r="O1439" s="184"/>
      <c r="P1439" s="184"/>
      <c r="Q1439" s="184"/>
      <c r="R1439" s="184"/>
      <c r="S1439" s="184"/>
      <c r="T1439" s="184"/>
      <c r="U1439" s="184"/>
      <c r="V1439" s="184"/>
      <c r="W1439" s="184"/>
      <c r="X1439" s="184"/>
    </row>
    <row r="1440">
      <c r="A1440" s="198"/>
      <c r="D1440" s="198" t="str">
        <f>IFERROR(__xludf.DUMMYFUNCTION("""COMPUTED_VALUE"""),"FALSE")</f>
        <v>FALSE</v>
      </c>
      <c r="E1440" s="198" t="str">
        <f>IFERROR(__xludf.DUMMYFUNCTION("""COMPUTED_VALUE"""),"FALSE")</f>
        <v>FALSE</v>
      </c>
      <c r="F1440" s="198"/>
      <c r="J1440" s="184" t="str">
        <f>IFERROR(__xludf.DUMMYFUNCTION("""COMPUTED_VALUE"""),"")</f>
        <v/>
      </c>
      <c r="K1440" s="184"/>
      <c r="L1440" s="184"/>
      <c r="M1440" s="184"/>
      <c r="N1440" s="184"/>
      <c r="O1440" s="184"/>
      <c r="P1440" s="184"/>
      <c r="Q1440" s="184"/>
      <c r="R1440" s="184"/>
      <c r="S1440" s="184"/>
      <c r="T1440" s="184"/>
      <c r="U1440" s="184"/>
      <c r="V1440" s="184"/>
      <c r="W1440" s="184"/>
      <c r="X1440" s="184"/>
    </row>
    <row r="1441">
      <c r="A1441" s="198"/>
      <c r="D1441" s="198" t="str">
        <f>IFERROR(__xludf.DUMMYFUNCTION("""COMPUTED_VALUE"""),"FALSE")</f>
        <v>FALSE</v>
      </c>
      <c r="E1441" s="198" t="str">
        <f>IFERROR(__xludf.DUMMYFUNCTION("""COMPUTED_VALUE"""),"FALSE")</f>
        <v>FALSE</v>
      </c>
      <c r="F1441" s="198"/>
      <c r="J1441" s="184" t="str">
        <f>IFERROR(__xludf.DUMMYFUNCTION("""COMPUTED_VALUE"""),"")</f>
        <v/>
      </c>
      <c r="K1441" s="184"/>
      <c r="L1441" s="184"/>
      <c r="M1441" s="184"/>
      <c r="N1441" s="184"/>
      <c r="O1441" s="184"/>
      <c r="P1441" s="184"/>
      <c r="Q1441" s="184"/>
      <c r="R1441" s="184"/>
      <c r="S1441" s="184"/>
      <c r="T1441" s="184"/>
      <c r="U1441" s="184"/>
      <c r="V1441" s="184"/>
      <c r="W1441" s="184"/>
      <c r="X1441" s="184"/>
    </row>
    <row r="1442">
      <c r="A1442" s="198"/>
      <c r="D1442" s="198" t="str">
        <f>IFERROR(__xludf.DUMMYFUNCTION("""COMPUTED_VALUE"""),"FALSE")</f>
        <v>FALSE</v>
      </c>
      <c r="E1442" s="198" t="str">
        <f>IFERROR(__xludf.DUMMYFUNCTION("""COMPUTED_VALUE"""),"FALSE")</f>
        <v>FALSE</v>
      </c>
      <c r="F1442" s="198"/>
      <c r="J1442" s="184" t="str">
        <f>IFERROR(__xludf.DUMMYFUNCTION("""COMPUTED_VALUE"""),"")</f>
        <v/>
      </c>
      <c r="K1442" s="184"/>
      <c r="L1442" s="184"/>
      <c r="M1442" s="184"/>
      <c r="N1442" s="184"/>
      <c r="O1442" s="184"/>
      <c r="P1442" s="184"/>
      <c r="Q1442" s="184"/>
      <c r="R1442" s="184"/>
      <c r="S1442" s="184"/>
      <c r="T1442" s="184"/>
      <c r="U1442" s="184"/>
      <c r="V1442" s="184"/>
      <c r="W1442" s="184"/>
      <c r="X1442" s="184"/>
    </row>
    <row r="1443">
      <c r="A1443" s="198"/>
      <c r="D1443" s="198" t="str">
        <f>IFERROR(__xludf.DUMMYFUNCTION("""COMPUTED_VALUE"""),"FALSE")</f>
        <v>FALSE</v>
      </c>
      <c r="E1443" s="198" t="str">
        <f>IFERROR(__xludf.DUMMYFUNCTION("""COMPUTED_VALUE"""),"FALSE")</f>
        <v>FALSE</v>
      </c>
      <c r="F1443" s="198"/>
      <c r="J1443" s="184" t="str">
        <f>IFERROR(__xludf.DUMMYFUNCTION("""COMPUTED_VALUE"""),"")</f>
        <v/>
      </c>
      <c r="K1443" s="184"/>
      <c r="L1443" s="184"/>
      <c r="M1443" s="184"/>
      <c r="N1443" s="184"/>
      <c r="O1443" s="184"/>
      <c r="P1443" s="184"/>
      <c r="Q1443" s="184"/>
      <c r="R1443" s="184"/>
      <c r="S1443" s="184"/>
      <c r="T1443" s="184"/>
      <c r="U1443" s="184"/>
      <c r="V1443" s="184"/>
      <c r="W1443" s="184"/>
      <c r="X1443" s="184"/>
    </row>
    <row r="1444">
      <c r="A1444" s="198"/>
      <c r="D1444" s="198" t="str">
        <f>IFERROR(__xludf.DUMMYFUNCTION("""COMPUTED_VALUE"""),"FALSE")</f>
        <v>FALSE</v>
      </c>
      <c r="E1444" s="198" t="str">
        <f>IFERROR(__xludf.DUMMYFUNCTION("""COMPUTED_VALUE"""),"FALSE")</f>
        <v>FALSE</v>
      </c>
      <c r="F1444" s="198"/>
      <c r="J1444" s="184" t="str">
        <f>IFERROR(__xludf.DUMMYFUNCTION("""COMPUTED_VALUE"""),"")</f>
        <v/>
      </c>
      <c r="K1444" s="184"/>
      <c r="L1444" s="184"/>
      <c r="M1444" s="184"/>
      <c r="N1444" s="184"/>
      <c r="O1444" s="184"/>
      <c r="P1444" s="184"/>
      <c r="Q1444" s="184"/>
      <c r="R1444" s="184"/>
      <c r="S1444" s="184"/>
      <c r="T1444" s="184"/>
      <c r="U1444" s="184"/>
      <c r="V1444" s="184"/>
      <c r="W1444" s="184"/>
      <c r="X1444" s="184"/>
    </row>
    <row r="1445">
      <c r="A1445" s="198"/>
      <c r="D1445" s="198" t="str">
        <f>IFERROR(__xludf.DUMMYFUNCTION("""COMPUTED_VALUE"""),"FALSE")</f>
        <v>FALSE</v>
      </c>
      <c r="E1445" s="198" t="str">
        <f>IFERROR(__xludf.DUMMYFUNCTION("""COMPUTED_VALUE"""),"FALSE")</f>
        <v>FALSE</v>
      </c>
      <c r="F1445" s="198"/>
      <c r="J1445" s="184" t="str">
        <f>IFERROR(__xludf.DUMMYFUNCTION("""COMPUTED_VALUE"""),"")</f>
        <v/>
      </c>
      <c r="K1445" s="184"/>
      <c r="L1445" s="184"/>
      <c r="M1445" s="184"/>
      <c r="N1445" s="184"/>
      <c r="O1445" s="184"/>
      <c r="P1445" s="184"/>
      <c r="Q1445" s="184"/>
      <c r="R1445" s="184"/>
      <c r="S1445" s="184"/>
      <c r="T1445" s="184"/>
      <c r="U1445" s="184"/>
      <c r="V1445" s="184"/>
      <c r="W1445" s="184"/>
      <c r="X1445" s="184"/>
    </row>
    <row r="1446">
      <c r="A1446" s="198"/>
      <c r="D1446" s="198" t="str">
        <f>IFERROR(__xludf.DUMMYFUNCTION("""COMPUTED_VALUE"""),"FALSE")</f>
        <v>FALSE</v>
      </c>
      <c r="E1446" s="198" t="str">
        <f>IFERROR(__xludf.DUMMYFUNCTION("""COMPUTED_VALUE"""),"FALSE")</f>
        <v>FALSE</v>
      </c>
      <c r="F1446" s="198"/>
      <c r="J1446" s="184" t="str">
        <f>IFERROR(__xludf.DUMMYFUNCTION("""COMPUTED_VALUE"""),"")</f>
        <v/>
      </c>
      <c r="K1446" s="184"/>
      <c r="L1446" s="184"/>
      <c r="M1446" s="184"/>
      <c r="N1446" s="184"/>
      <c r="O1446" s="184"/>
      <c r="P1446" s="184"/>
      <c r="Q1446" s="184"/>
      <c r="R1446" s="184"/>
      <c r="S1446" s="184"/>
      <c r="T1446" s="184"/>
      <c r="U1446" s="184"/>
      <c r="V1446" s="184"/>
      <c r="W1446" s="184"/>
      <c r="X1446" s="184"/>
    </row>
    <row r="1447">
      <c r="A1447" s="198"/>
      <c r="D1447" s="198" t="str">
        <f>IFERROR(__xludf.DUMMYFUNCTION("""COMPUTED_VALUE"""),"FALSE")</f>
        <v>FALSE</v>
      </c>
      <c r="E1447" s="198" t="str">
        <f>IFERROR(__xludf.DUMMYFUNCTION("""COMPUTED_VALUE"""),"FALSE")</f>
        <v>FALSE</v>
      </c>
      <c r="F1447" s="198"/>
      <c r="J1447" s="184" t="str">
        <f>IFERROR(__xludf.DUMMYFUNCTION("""COMPUTED_VALUE"""),"")</f>
        <v/>
      </c>
      <c r="K1447" s="184"/>
      <c r="L1447" s="184"/>
      <c r="M1447" s="184"/>
      <c r="N1447" s="184"/>
      <c r="O1447" s="184"/>
      <c r="P1447" s="184"/>
      <c r="Q1447" s="184"/>
      <c r="R1447" s="184"/>
      <c r="S1447" s="184"/>
      <c r="T1447" s="184"/>
      <c r="U1447" s="184"/>
      <c r="V1447" s="184"/>
      <c r="W1447" s="184"/>
      <c r="X1447" s="184"/>
    </row>
    <row r="1448">
      <c r="A1448" s="198"/>
      <c r="D1448" s="198" t="str">
        <f>IFERROR(__xludf.DUMMYFUNCTION("""COMPUTED_VALUE"""),"FALSE")</f>
        <v>FALSE</v>
      </c>
      <c r="E1448" s="198" t="str">
        <f>IFERROR(__xludf.DUMMYFUNCTION("""COMPUTED_VALUE"""),"FALSE")</f>
        <v>FALSE</v>
      </c>
      <c r="F1448" s="198"/>
      <c r="J1448" s="184" t="str">
        <f>IFERROR(__xludf.DUMMYFUNCTION("""COMPUTED_VALUE"""),"")</f>
        <v/>
      </c>
      <c r="K1448" s="184"/>
      <c r="L1448" s="184"/>
      <c r="M1448" s="184"/>
      <c r="N1448" s="184"/>
      <c r="O1448" s="184"/>
      <c r="P1448" s="184"/>
      <c r="Q1448" s="184"/>
      <c r="R1448" s="184"/>
      <c r="S1448" s="184"/>
      <c r="T1448" s="184"/>
      <c r="U1448" s="184"/>
      <c r="V1448" s="184"/>
      <c r="W1448" s="184"/>
      <c r="X1448" s="184"/>
    </row>
    <row r="1449">
      <c r="A1449" s="198"/>
      <c r="D1449" s="198" t="str">
        <f>IFERROR(__xludf.DUMMYFUNCTION("""COMPUTED_VALUE"""),"FALSE")</f>
        <v>FALSE</v>
      </c>
      <c r="E1449" s="198" t="str">
        <f>IFERROR(__xludf.DUMMYFUNCTION("""COMPUTED_VALUE"""),"FALSE")</f>
        <v>FALSE</v>
      </c>
      <c r="F1449" s="198"/>
      <c r="J1449" s="184" t="str">
        <f>IFERROR(__xludf.DUMMYFUNCTION("""COMPUTED_VALUE"""),"")</f>
        <v/>
      </c>
      <c r="K1449" s="184"/>
      <c r="L1449" s="184"/>
      <c r="M1449" s="184"/>
      <c r="N1449" s="184"/>
      <c r="O1449" s="184"/>
      <c r="P1449" s="184"/>
      <c r="Q1449" s="184"/>
      <c r="R1449" s="184"/>
      <c r="S1449" s="184"/>
      <c r="T1449" s="184"/>
      <c r="U1449" s="184"/>
      <c r="V1449" s="184"/>
      <c r="W1449" s="184"/>
      <c r="X1449" s="184"/>
    </row>
    <row r="1450">
      <c r="A1450" s="198"/>
      <c r="D1450" s="198" t="str">
        <f>IFERROR(__xludf.DUMMYFUNCTION("""COMPUTED_VALUE"""),"FALSE")</f>
        <v>FALSE</v>
      </c>
      <c r="E1450" s="198" t="str">
        <f>IFERROR(__xludf.DUMMYFUNCTION("""COMPUTED_VALUE"""),"FALSE")</f>
        <v>FALSE</v>
      </c>
      <c r="F1450" s="198"/>
      <c r="J1450" s="184" t="str">
        <f>IFERROR(__xludf.DUMMYFUNCTION("""COMPUTED_VALUE"""),"")</f>
        <v/>
      </c>
      <c r="K1450" s="184"/>
      <c r="L1450" s="184"/>
      <c r="M1450" s="184"/>
      <c r="N1450" s="184"/>
      <c r="O1450" s="184"/>
      <c r="P1450" s="184"/>
      <c r="Q1450" s="184"/>
      <c r="R1450" s="184"/>
      <c r="S1450" s="184"/>
      <c r="T1450" s="184"/>
      <c r="U1450" s="184"/>
      <c r="V1450" s="184"/>
      <c r="W1450" s="184"/>
      <c r="X1450" s="184"/>
    </row>
    <row r="1451">
      <c r="A1451" s="198"/>
      <c r="D1451" s="198" t="str">
        <f>IFERROR(__xludf.DUMMYFUNCTION("""COMPUTED_VALUE"""),"FALSE")</f>
        <v>FALSE</v>
      </c>
      <c r="E1451" s="198" t="str">
        <f>IFERROR(__xludf.DUMMYFUNCTION("""COMPUTED_VALUE"""),"FALSE")</f>
        <v>FALSE</v>
      </c>
      <c r="F1451" s="198"/>
      <c r="J1451" s="184" t="str">
        <f>IFERROR(__xludf.DUMMYFUNCTION("""COMPUTED_VALUE"""),"")</f>
        <v/>
      </c>
      <c r="K1451" s="184"/>
      <c r="L1451" s="184"/>
      <c r="M1451" s="184"/>
      <c r="N1451" s="184"/>
      <c r="O1451" s="184"/>
      <c r="P1451" s="184"/>
      <c r="Q1451" s="184"/>
      <c r="R1451" s="184"/>
      <c r="S1451" s="184"/>
      <c r="T1451" s="184"/>
      <c r="U1451" s="184"/>
      <c r="V1451" s="184"/>
      <c r="W1451" s="184"/>
      <c r="X1451" s="184"/>
    </row>
    <row r="1452">
      <c r="A1452" s="198"/>
      <c r="D1452" s="198" t="str">
        <f>IFERROR(__xludf.DUMMYFUNCTION("""COMPUTED_VALUE"""),"FALSE")</f>
        <v>FALSE</v>
      </c>
      <c r="E1452" s="198" t="str">
        <f>IFERROR(__xludf.DUMMYFUNCTION("""COMPUTED_VALUE"""),"FALSE")</f>
        <v>FALSE</v>
      </c>
      <c r="F1452" s="198"/>
      <c r="J1452" s="184" t="str">
        <f>IFERROR(__xludf.DUMMYFUNCTION("""COMPUTED_VALUE"""),"")</f>
        <v/>
      </c>
      <c r="K1452" s="184"/>
      <c r="L1452" s="184"/>
      <c r="M1452" s="184"/>
      <c r="N1452" s="184"/>
      <c r="O1452" s="184"/>
      <c r="P1452" s="184"/>
      <c r="Q1452" s="184"/>
      <c r="R1452" s="184"/>
      <c r="S1452" s="184"/>
      <c r="T1452" s="184"/>
      <c r="U1452" s="184"/>
      <c r="V1452" s="184"/>
      <c r="W1452" s="184"/>
      <c r="X1452" s="184"/>
    </row>
    <row r="1453">
      <c r="A1453" s="198"/>
      <c r="D1453" s="198" t="str">
        <f>IFERROR(__xludf.DUMMYFUNCTION("""COMPUTED_VALUE"""),"FALSE")</f>
        <v>FALSE</v>
      </c>
      <c r="E1453" s="198" t="str">
        <f>IFERROR(__xludf.DUMMYFUNCTION("""COMPUTED_VALUE"""),"FALSE")</f>
        <v>FALSE</v>
      </c>
      <c r="F1453" s="198"/>
      <c r="J1453" s="184" t="str">
        <f>IFERROR(__xludf.DUMMYFUNCTION("""COMPUTED_VALUE"""),"")</f>
        <v/>
      </c>
      <c r="K1453" s="184"/>
      <c r="L1453" s="184"/>
      <c r="M1453" s="184"/>
      <c r="N1453" s="184"/>
      <c r="O1453" s="184"/>
      <c r="P1453" s="184"/>
      <c r="Q1453" s="184"/>
      <c r="R1453" s="184"/>
      <c r="S1453" s="184"/>
      <c r="T1453" s="184"/>
      <c r="U1453" s="184"/>
      <c r="V1453" s="184"/>
      <c r="W1453" s="184"/>
      <c r="X1453" s="184"/>
    </row>
    <row r="1454">
      <c r="A1454" s="198"/>
      <c r="D1454" s="198" t="str">
        <f>IFERROR(__xludf.DUMMYFUNCTION("""COMPUTED_VALUE"""),"FALSE")</f>
        <v>FALSE</v>
      </c>
      <c r="E1454" s="198" t="str">
        <f>IFERROR(__xludf.DUMMYFUNCTION("""COMPUTED_VALUE"""),"FALSE")</f>
        <v>FALSE</v>
      </c>
      <c r="F1454" s="198"/>
      <c r="J1454" s="184" t="str">
        <f>IFERROR(__xludf.DUMMYFUNCTION("""COMPUTED_VALUE"""),"")</f>
        <v/>
      </c>
      <c r="K1454" s="184"/>
      <c r="L1454" s="184"/>
      <c r="M1454" s="184"/>
      <c r="N1454" s="184"/>
      <c r="O1454" s="184"/>
      <c r="P1454" s="184"/>
      <c r="Q1454" s="184"/>
      <c r="R1454" s="184"/>
      <c r="S1454" s="184"/>
      <c r="T1454" s="184"/>
      <c r="U1454" s="184"/>
      <c r="V1454" s="184"/>
      <c r="W1454" s="184"/>
      <c r="X1454" s="184"/>
    </row>
    <row r="1455">
      <c r="A1455" s="198"/>
      <c r="D1455" s="198" t="str">
        <f>IFERROR(__xludf.DUMMYFUNCTION("""COMPUTED_VALUE"""),"FALSE")</f>
        <v>FALSE</v>
      </c>
      <c r="E1455" s="198" t="str">
        <f>IFERROR(__xludf.DUMMYFUNCTION("""COMPUTED_VALUE"""),"FALSE")</f>
        <v>FALSE</v>
      </c>
      <c r="F1455" s="198"/>
      <c r="J1455" s="184" t="str">
        <f>IFERROR(__xludf.DUMMYFUNCTION("""COMPUTED_VALUE"""),"")</f>
        <v/>
      </c>
      <c r="K1455" s="184"/>
      <c r="L1455" s="184"/>
      <c r="M1455" s="184"/>
      <c r="N1455" s="184"/>
      <c r="O1455" s="184"/>
      <c r="P1455" s="184"/>
      <c r="Q1455" s="184"/>
      <c r="R1455" s="184"/>
      <c r="S1455" s="184"/>
      <c r="T1455" s="184"/>
      <c r="U1455" s="184"/>
      <c r="V1455" s="184"/>
      <c r="W1455" s="184"/>
      <c r="X1455" s="184"/>
    </row>
    <row r="1456">
      <c r="A1456" s="198"/>
      <c r="D1456" s="198" t="str">
        <f>IFERROR(__xludf.DUMMYFUNCTION("""COMPUTED_VALUE"""),"FALSE")</f>
        <v>FALSE</v>
      </c>
      <c r="E1456" s="198" t="str">
        <f>IFERROR(__xludf.DUMMYFUNCTION("""COMPUTED_VALUE"""),"FALSE")</f>
        <v>FALSE</v>
      </c>
      <c r="F1456" s="198"/>
      <c r="J1456" s="184" t="str">
        <f>IFERROR(__xludf.DUMMYFUNCTION("""COMPUTED_VALUE"""),"")</f>
        <v/>
      </c>
      <c r="K1456" s="184"/>
      <c r="L1456" s="184"/>
      <c r="M1456" s="184"/>
      <c r="N1456" s="184"/>
      <c r="O1456" s="184"/>
      <c r="P1456" s="184"/>
      <c r="Q1456" s="184"/>
      <c r="R1456" s="184"/>
      <c r="S1456" s="184"/>
      <c r="T1456" s="184"/>
      <c r="U1456" s="184"/>
      <c r="V1456" s="184"/>
      <c r="W1456" s="184"/>
      <c r="X1456" s="184"/>
    </row>
    <row r="1457">
      <c r="A1457" s="198"/>
      <c r="D1457" s="198" t="str">
        <f>IFERROR(__xludf.DUMMYFUNCTION("""COMPUTED_VALUE"""),"FALSE")</f>
        <v>FALSE</v>
      </c>
      <c r="E1457" s="198" t="str">
        <f>IFERROR(__xludf.DUMMYFUNCTION("""COMPUTED_VALUE"""),"FALSE")</f>
        <v>FALSE</v>
      </c>
      <c r="F1457" s="198"/>
      <c r="J1457" s="184" t="str">
        <f>IFERROR(__xludf.DUMMYFUNCTION("""COMPUTED_VALUE"""),"")</f>
        <v/>
      </c>
      <c r="K1457" s="184"/>
      <c r="L1457" s="184"/>
      <c r="M1457" s="184"/>
      <c r="N1457" s="184"/>
      <c r="O1457" s="184"/>
      <c r="P1457" s="184"/>
      <c r="Q1457" s="184"/>
      <c r="R1457" s="184"/>
      <c r="S1457" s="184"/>
      <c r="T1457" s="184"/>
      <c r="U1457" s="184"/>
      <c r="V1457" s="184"/>
      <c r="W1457" s="184"/>
      <c r="X1457" s="184"/>
    </row>
    <row r="1458">
      <c r="A1458" s="198"/>
      <c r="D1458" s="198" t="str">
        <f>IFERROR(__xludf.DUMMYFUNCTION("""COMPUTED_VALUE"""),"FALSE")</f>
        <v>FALSE</v>
      </c>
      <c r="E1458" s="198" t="str">
        <f>IFERROR(__xludf.DUMMYFUNCTION("""COMPUTED_VALUE"""),"FALSE")</f>
        <v>FALSE</v>
      </c>
      <c r="F1458" s="198"/>
      <c r="J1458" s="184" t="str">
        <f>IFERROR(__xludf.DUMMYFUNCTION("""COMPUTED_VALUE"""),"")</f>
        <v/>
      </c>
      <c r="K1458" s="184"/>
      <c r="L1458" s="184"/>
      <c r="M1458" s="184"/>
      <c r="N1458" s="184"/>
      <c r="O1458" s="184"/>
      <c r="P1458" s="184"/>
      <c r="Q1458" s="184"/>
      <c r="R1458" s="184"/>
      <c r="S1458" s="184"/>
      <c r="T1458" s="184"/>
      <c r="U1458" s="184"/>
      <c r="V1458" s="184"/>
      <c r="W1458" s="184"/>
      <c r="X1458" s="184"/>
    </row>
    <row r="1459">
      <c r="A1459" s="198"/>
      <c r="D1459" s="198" t="str">
        <f>IFERROR(__xludf.DUMMYFUNCTION("""COMPUTED_VALUE"""),"FALSE")</f>
        <v>FALSE</v>
      </c>
      <c r="E1459" s="198" t="str">
        <f>IFERROR(__xludf.DUMMYFUNCTION("""COMPUTED_VALUE"""),"FALSE")</f>
        <v>FALSE</v>
      </c>
      <c r="F1459" s="198"/>
      <c r="J1459" s="184" t="str">
        <f>IFERROR(__xludf.DUMMYFUNCTION("""COMPUTED_VALUE"""),"")</f>
        <v/>
      </c>
      <c r="K1459" s="184"/>
      <c r="L1459" s="184"/>
      <c r="M1459" s="184"/>
      <c r="N1459" s="184"/>
      <c r="O1459" s="184"/>
      <c r="P1459" s="184"/>
      <c r="Q1459" s="184"/>
      <c r="R1459" s="184"/>
      <c r="S1459" s="184"/>
      <c r="T1459" s="184"/>
      <c r="U1459" s="184"/>
      <c r="V1459" s="184"/>
      <c r="W1459" s="184"/>
      <c r="X1459" s="184"/>
    </row>
    <row r="1460">
      <c r="A1460" s="198"/>
      <c r="D1460" s="198" t="str">
        <f>IFERROR(__xludf.DUMMYFUNCTION("""COMPUTED_VALUE"""),"FALSE")</f>
        <v>FALSE</v>
      </c>
      <c r="E1460" s="198" t="str">
        <f>IFERROR(__xludf.DUMMYFUNCTION("""COMPUTED_VALUE"""),"FALSE")</f>
        <v>FALSE</v>
      </c>
      <c r="F1460" s="198"/>
      <c r="J1460" s="184" t="str">
        <f>IFERROR(__xludf.DUMMYFUNCTION("""COMPUTED_VALUE"""),"")</f>
        <v/>
      </c>
      <c r="K1460" s="184"/>
      <c r="L1460" s="184"/>
      <c r="M1460" s="184"/>
      <c r="N1460" s="184"/>
      <c r="O1460" s="184"/>
      <c r="P1460" s="184"/>
      <c r="Q1460" s="184"/>
      <c r="R1460" s="184"/>
      <c r="S1460" s="184"/>
      <c r="T1460" s="184"/>
      <c r="U1460" s="184"/>
      <c r="V1460" s="184"/>
      <c r="W1460" s="184"/>
      <c r="X1460" s="184"/>
    </row>
    <row r="1461">
      <c r="A1461" s="198"/>
      <c r="D1461" s="198" t="str">
        <f>IFERROR(__xludf.DUMMYFUNCTION("""COMPUTED_VALUE"""),"FALSE")</f>
        <v>FALSE</v>
      </c>
      <c r="E1461" s="198" t="str">
        <f>IFERROR(__xludf.DUMMYFUNCTION("""COMPUTED_VALUE"""),"FALSE")</f>
        <v>FALSE</v>
      </c>
      <c r="F1461" s="198"/>
      <c r="J1461" s="184" t="str">
        <f>IFERROR(__xludf.DUMMYFUNCTION("""COMPUTED_VALUE"""),"")</f>
        <v/>
      </c>
      <c r="K1461" s="184"/>
      <c r="L1461" s="184"/>
      <c r="M1461" s="184"/>
      <c r="N1461" s="184"/>
      <c r="O1461" s="184"/>
      <c r="P1461" s="184"/>
      <c r="Q1461" s="184"/>
      <c r="R1461" s="184"/>
      <c r="S1461" s="184"/>
      <c r="T1461" s="184"/>
      <c r="U1461" s="184"/>
      <c r="V1461" s="184"/>
      <c r="W1461" s="184"/>
      <c r="X1461" s="184"/>
    </row>
    <row r="1462">
      <c r="A1462" s="198"/>
      <c r="D1462" s="198" t="str">
        <f>IFERROR(__xludf.DUMMYFUNCTION("""COMPUTED_VALUE"""),"FALSE")</f>
        <v>FALSE</v>
      </c>
      <c r="E1462" s="198" t="str">
        <f>IFERROR(__xludf.DUMMYFUNCTION("""COMPUTED_VALUE"""),"FALSE")</f>
        <v>FALSE</v>
      </c>
      <c r="F1462" s="198"/>
      <c r="J1462" s="184" t="str">
        <f>IFERROR(__xludf.DUMMYFUNCTION("""COMPUTED_VALUE"""),"")</f>
        <v/>
      </c>
      <c r="K1462" s="184"/>
      <c r="L1462" s="184"/>
      <c r="M1462" s="184"/>
      <c r="N1462" s="184"/>
      <c r="O1462" s="184"/>
      <c r="P1462" s="184"/>
      <c r="Q1462" s="184"/>
      <c r="R1462" s="184"/>
      <c r="S1462" s="184"/>
      <c r="T1462" s="184"/>
      <c r="U1462" s="184"/>
      <c r="V1462" s="184"/>
      <c r="W1462" s="184"/>
      <c r="X1462" s="184"/>
    </row>
    <row r="1463">
      <c r="A1463" s="198"/>
      <c r="D1463" s="198" t="str">
        <f>IFERROR(__xludf.DUMMYFUNCTION("""COMPUTED_VALUE"""),"FALSE")</f>
        <v>FALSE</v>
      </c>
      <c r="E1463" s="198" t="str">
        <f>IFERROR(__xludf.DUMMYFUNCTION("""COMPUTED_VALUE"""),"FALSE")</f>
        <v>FALSE</v>
      </c>
      <c r="F1463" s="198"/>
      <c r="J1463" s="184" t="str">
        <f>IFERROR(__xludf.DUMMYFUNCTION("""COMPUTED_VALUE"""),"")</f>
        <v/>
      </c>
      <c r="K1463" s="184"/>
      <c r="L1463" s="184"/>
      <c r="M1463" s="184"/>
      <c r="N1463" s="184"/>
      <c r="O1463" s="184"/>
      <c r="P1463" s="184"/>
      <c r="Q1463" s="184"/>
      <c r="R1463" s="184"/>
      <c r="S1463" s="184"/>
      <c r="T1463" s="184"/>
      <c r="U1463" s="184"/>
      <c r="V1463" s="184"/>
      <c r="W1463" s="184"/>
      <c r="X1463" s="184"/>
    </row>
    <row r="1464">
      <c r="A1464" s="198"/>
      <c r="D1464" s="198" t="str">
        <f>IFERROR(__xludf.DUMMYFUNCTION("""COMPUTED_VALUE"""),"FALSE")</f>
        <v>FALSE</v>
      </c>
      <c r="E1464" s="198" t="str">
        <f>IFERROR(__xludf.DUMMYFUNCTION("""COMPUTED_VALUE"""),"FALSE")</f>
        <v>FALSE</v>
      </c>
      <c r="F1464" s="198"/>
      <c r="J1464" s="184" t="str">
        <f>IFERROR(__xludf.DUMMYFUNCTION("""COMPUTED_VALUE"""),"")</f>
        <v/>
      </c>
      <c r="K1464" s="184"/>
      <c r="L1464" s="184"/>
      <c r="M1464" s="184"/>
      <c r="N1464" s="184"/>
      <c r="O1464" s="184"/>
      <c r="P1464" s="184"/>
      <c r="Q1464" s="184"/>
      <c r="R1464" s="184"/>
      <c r="S1464" s="184"/>
      <c r="T1464" s="184"/>
      <c r="U1464" s="184"/>
      <c r="V1464" s="184"/>
      <c r="W1464" s="184"/>
      <c r="X1464" s="184"/>
    </row>
    <row r="1465">
      <c r="A1465" s="198"/>
      <c r="D1465" s="198" t="str">
        <f>IFERROR(__xludf.DUMMYFUNCTION("""COMPUTED_VALUE"""),"FALSE")</f>
        <v>FALSE</v>
      </c>
      <c r="E1465" s="198" t="str">
        <f>IFERROR(__xludf.DUMMYFUNCTION("""COMPUTED_VALUE"""),"FALSE")</f>
        <v>FALSE</v>
      </c>
      <c r="F1465" s="198"/>
      <c r="J1465" s="184" t="str">
        <f>IFERROR(__xludf.DUMMYFUNCTION("""COMPUTED_VALUE"""),"")</f>
        <v/>
      </c>
      <c r="K1465" s="184"/>
      <c r="L1465" s="184"/>
      <c r="M1465" s="184"/>
      <c r="N1465" s="184"/>
      <c r="O1465" s="184"/>
      <c r="P1465" s="184"/>
      <c r="Q1465" s="184"/>
      <c r="R1465" s="184"/>
      <c r="S1465" s="184"/>
      <c r="T1465" s="184"/>
      <c r="U1465" s="184"/>
      <c r="V1465" s="184"/>
      <c r="W1465" s="184"/>
      <c r="X1465" s="184"/>
    </row>
    <row r="1466">
      <c r="A1466" s="198"/>
      <c r="D1466" s="198" t="str">
        <f>IFERROR(__xludf.DUMMYFUNCTION("""COMPUTED_VALUE"""),"FALSE")</f>
        <v>FALSE</v>
      </c>
      <c r="E1466" s="198" t="str">
        <f>IFERROR(__xludf.DUMMYFUNCTION("""COMPUTED_VALUE"""),"FALSE")</f>
        <v>FALSE</v>
      </c>
      <c r="F1466" s="198"/>
      <c r="J1466" s="184" t="str">
        <f>IFERROR(__xludf.DUMMYFUNCTION("""COMPUTED_VALUE"""),"")</f>
        <v/>
      </c>
      <c r="K1466" s="184"/>
      <c r="L1466" s="184"/>
      <c r="M1466" s="184"/>
      <c r="N1466" s="184"/>
      <c r="O1466" s="184"/>
      <c r="P1466" s="184"/>
      <c r="Q1466" s="184"/>
      <c r="R1466" s="184"/>
      <c r="S1466" s="184"/>
      <c r="T1466" s="184"/>
      <c r="U1466" s="184"/>
      <c r="V1466" s="184"/>
      <c r="W1466" s="184"/>
      <c r="X1466" s="184"/>
    </row>
    <row r="1467">
      <c r="A1467" s="198"/>
      <c r="D1467" s="198" t="str">
        <f>IFERROR(__xludf.DUMMYFUNCTION("""COMPUTED_VALUE"""),"FALSE")</f>
        <v>FALSE</v>
      </c>
      <c r="E1467" s="198" t="str">
        <f>IFERROR(__xludf.DUMMYFUNCTION("""COMPUTED_VALUE"""),"FALSE")</f>
        <v>FALSE</v>
      </c>
      <c r="F1467" s="198"/>
      <c r="J1467" s="184" t="str">
        <f>IFERROR(__xludf.DUMMYFUNCTION("""COMPUTED_VALUE"""),"")</f>
        <v/>
      </c>
      <c r="K1467" s="184"/>
      <c r="L1467" s="184"/>
      <c r="M1467" s="184"/>
      <c r="N1467" s="184"/>
      <c r="O1467" s="184"/>
      <c r="P1467" s="184"/>
      <c r="Q1467" s="184"/>
      <c r="R1467" s="184"/>
      <c r="S1467" s="184"/>
      <c r="T1467" s="184"/>
      <c r="U1467" s="184"/>
      <c r="V1467" s="184"/>
      <c r="W1467" s="184"/>
      <c r="X1467" s="184"/>
    </row>
    <row r="1468">
      <c r="A1468" s="198"/>
      <c r="D1468" s="198" t="str">
        <f>IFERROR(__xludf.DUMMYFUNCTION("""COMPUTED_VALUE"""),"FALSE")</f>
        <v>FALSE</v>
      </c>
      <c r="E1468" s="198" t="str">
        <f>IFERROR(__xludf.DUMMYFUNCTION("""COMPUTED_VALUE"""),"FALSE")</f>
        <v>FALSE</v>
      </c>
      <c r="F1468" s="198"/>
      <c r="J1468" s="184" t="str">
        <f>IFERROR(__xludf.DUMMYFUNCTION("""COMPUTED_VALUE"""),"")</f>
        <v/>
      </c>
      <c r="K1468" s="184"/>
      <c r="L1468" s="184"/>
      <c r="M1468" s="184"/>
      <c r="N1468" s="184"/>
      <c r="O1468" s="184"/>
      <c r="P1468" s="184"/>
      <c r="Q1468" s="184"/>
      <c r="R1468" s="184"/>
      <c r="S1468" s="184"/>
      <c r="T1468" s="184"/>
      <c r="U1468" s="184"/>
      <c r="V1468" s="184"/>
      <c r="W1468" s="184"/>
      <c r="X1468" s="184"/>
    </row>
    <row r="1469">
      <c r="A1469" s="198"/>
      <c r="D1469" s="198" t="str">
        <f>IFERROR(__xludf.DUMMYFUNCTION("""COMPUTED_VALUE"""),"FALSE")</f>
        <v>FALSE</v>
      </c>
      <c r="E1469" s="198" t="str">
        <f>IFERROR(__xludf.DUMMYFUNCTION("""COMPUTED_VALUE"""),"FALSE")</f>
        <v>FALSE</v>
      </c>
      <c r="F1469" s="198"/>
      <c r="J1469" s="184" t="str">
        <f>IFERROR(__xludf.DUMMYFUNCTION("""COMPUTED_VALUE"""),"")</f>
        <v/>
      </c>
      <c r="K1469" s="184"/>
      <c r="L1469" s="184"/>
      <c r="M1469" s="184"/>
      <c r="N1469" s="184"/>
      <c r="O1469" s="184"/>
      <c r="P1469" s="184"/>
      <c r="Q1469" s="184"/>
      <c r="R1469" s="184"/>
      <c r="S1469" s="184"/>
      <c r="T1469" s="184"/>
      <c r="U1469" s="184"/>
      <c r="V1469" s="184"/>
      <c r="W1469" s="184"/>
      <c r="X1469" s="184"/>
    </row>
    <row r="1470">
      <c r="A1470" s="198"/>
      <c r="D1470" s="198" t="str">
        <f>IFERROR(__xludf.DUMMYFUNCTION("""COMPUTED_VALUE"""),"FALSE")</f>
        <v>FALSE</v>
      </c>
      <c r="E1470" s="198" t="str">
        <f>IFERROR(__xludf.DUMMYFUNCTION("""COMPUTED_VALUE"""),"FALSE")</f>
        <v>FALSE</v>
      </c>
      <c r="F1470" s="198"/>
      <c r="J1470" s="184" t="str">
        <f>IFERROR(__xludf.DUMMYFUNCTION("""COMPUTED_VALUE"""),"")</f>
        <v/>
      </c>
      <c r="K1470" s="184"/>
      <c r="L1470" s="184"/>
      <c r="M1470" s="184"/>
      <c r="N1470" s="184"/>
      <c r="O1470" s="184"/>
      <c r="P1470" s="184"/>
      <c r="Q1470" s="184"/>
      <c r="R1470" s="184"/>
      <c r="S1470" s="184"/>
      <c r="T1470" s="184"/>
      <c r="U1470" s="184"/>
      <c r="V1470" s="184"/>
      <c r="W1470" s="184"/>
      <c r="X1470" s="184"/>
    </row>
    <row r="1471">
      <c r="A1471" s="198"/>
      <c r="D1471" s="198" t="str">
        <f>IFERROR(__xludf.DUMMYFUNCTION("""COMPUTED_VALUE"""),"FALSE")</f>
        <v>FALSE</v>
      </c>
      <c r="E1471" s="198" t="str">
        <f>IFERROR(__xludf.DUMMYFUNCTION("""COMPUTED_VALUE"""),"FALSE")</f>
        <v>FALSE</v>
      </c>
      <c r="F1471" s="198"/>
      <c r="J1471" s="184" t="str">
        <f>IFERROR(__xludf.DUMMYFUNCTION("""COMPUTED_VALUE"""),"")</f>
        <v/>
      </c>
      <c r="K1471" s="184"/>
      <c r="L1471" s="184"/>
      <c r="M1471" s="184"/>
      <c r="N1471" s="184"/>
      <c r="O1471" s="184"/>
      <c r="P1471" s="184"/>
      <c r="Q1471" s="184"/>
      <c r="R1471" s="184"/>
      <c r="S1471" s="184"/>
      <c r="T1471" s="184"/>
      <c r="U1471" s="184"/>
      <c r="V1471" s="184"/>
      <c r="W1471" s="184"/>
      <c r="X1471" s="184"/>
    </row>
    <row r="1472">
      <c r="A1472" s="198"/>
      <c r="D1472" s="198" t="str">
        <f>IFERROR(__xludf.DUMMYFUNCTION("""COMPUTED_VALUE"""),"FALSE")</f>
        <v>FALSE</v>
      </c>
      <c r="E1472" s="198" t="str">
        <f>IFERROR(__xludf.DUMMYFUNCTION("""COMPUTED_VALUE"""),"FALSE")</f>
        <v>FALSE</v>
      </c>
      <c r="F1472" s="198"/>
      <c r="J1472" s="184" t="str">
        <f>IFERROR(__xludf.DUMMYFUNCTION("""COMPUTED_VALUE"""),"")</f>
        <v/>
      </c>
      <c r="K1472" s="184"/>
      <c r="L1472" s="184"/>
      <c r="M1472" s="184"/>
      <c r="N1472" s="184"/>
      <c r="O1472" s="184"/>
      <c r="P1472" s="184"/>
      <c r="Q1472" s="184"/>
      <c r="R1472" s="184"/>
      <c r="S1472" s="184"/>
      <c r="T1472" s="184"/>
      <c r="U1472" s="184"/>
      <c r="V1472" s="184"/>
      <c r="W1472" s="184"/>
      <c r="X1472" s="184"/>
    </row>
    <row r="1473">
      <c r="A1473" s="198"/>
      <c r="D1473" s="198" t="str">
        <f>IFERROR(__xludf.DUMMYFUNCTION("""COMPUTED_VALUE"""),"FALSE")</f>
        <v>FALSE</v>
      </c>
      <c r="E1473" s="198" t="str">
        <f>IFERROR(__xludf.DUMMYFUNCTION("""COMPUTED_VALUE"""),"FALSE")</f>
        <v>FALSE</v>
      </c>
      <c r="F1473" s="198"/>
      <c r="J1473" s="184" t="str">
        <f>IFERROR(__xludf.DUMMYFUNCTION("""COMPUTED_VALUE"""),"")</f>
        <v/>
      </c>
      <c r="K1473" s="184"/>
      <c r="L1473" s="184"/>
      <c r="M1473" s="184"/>
      <c r="N1473" s="184"/>
      <c r="O1473" s="184"/>
      <c r="P1473" s="184"/>
      <c r="Q1473" s="184"/>
      <c r="R1473" s="184"/>
      <c r="S1473" s="184"/>
      <c r="T1473" s="184"/>
      <c r="U1473" s="184"/>
      <c r="V1473" s="184"/>
      <c r="W1473" s="184"/>
      <c r="X1473" s="184"/>
    </row>
    <row r="1474">
      <c r="A1474" s="198"/>
      <c r="D1474" s="198" t="str">
        <f>IFERROR(__xludf.DUMMYFUNCTION("""COMPUTED_VALUE"""),"FALSE")</f>
        <v>FALSE</v>
      </c>
      <c r="E1474" s="198" t="str">
        <f>IFERROR(__xludf.DUMMYFUNCTION("""COMPUTED_VALUE"""),"FALSE")</f>
        <v>FALSE</v>
      </c>
      <c r="F1474" s="198"/>
      <c r="J1474" s="184" t="str">
        <f>IFERROR(__xludf.DUMMYFUNCTION("""COMPUTED_VALUE"""),"")</f>
        <v/>
      </c>
      <c r="K1474" s="184"/>
      <c r="L1474" s="184"/>
      <c r="M1474" s="184"/>
      <c r="N1474" s="184"/>
      <c r="O1474" s="184"/>
      <c r="P1474" s="184"/>
      <c r="Q1474" s="184"/>
      <c r="R1474" s="184"/>
      <c r="S1474" s="184"/>
      <c r="T1474" s="184"/>
      <c r="U1474" s="184"/>
      <c r="V1474" s="184"/>
      <c r="W1474" s="184"/>
      <c r="X1474" s="184"/>
    </row>
    <row r="1475">
      <c r="A1475" s="198"/>
      <c r="D1475" s="198" t="str">
        <f>IFERROR(__xludf.DUMMYFUNCTION("""COMPUTED_VALUE"""),"FALSE")</f>
        <v>FALSE</v>
      </c>
      <c r="E1475" s="198" t="str">
        <f>IFERROR(__xludf.DUMMYFUNCTION("""COMPUTED_VALUE"""),"FALSE")</f>
        <v>FALSE</v>
      </c>
      <c r="F1475" s="198"/>
      <c r="J1475" s="184" t="str">
        <f>IFERROR(__xludf.DUMMYFUNCTION("""COMPUTED_VALUE"""),"")</f>
        <v/>
      </c>
      <c r="K1475" s="184"/>
      <c r="L1475" s="184"/>
      <c r="M1475" s="184"/>
      <c r="N1475" s="184"/>
      <c r="O1475" s="184"/>
      <c r="P1475" s="184"/>
      <c r="Q1475" s="184"/>
      <c r="R1475" s="184"/>
      <c r="S1475" s="184"/>
      <c r="T1475" s="184"/>
      <c r="U1475" s="184"/>
      <c r="V1475" s="184"/>
      <c r="W1475" s="184"/>
      <c r="X1475" s="184"/>
    </row>
    <row r="1476">
      <c r="A1476" s="198"/>
      <c r="D1476" s="198" t="str">
        <f>IFERROR(__xludf.DUMMYFUNCTION("""COMPUTED_VALUE"""),"FALSE")</f>
        <v>FALSE</v>
      </c>
      <c r="E1476" s="198" t="str">
        <f>IFERROR(__xludf.DUMMYFUNCTION("""COMPUTED_VALUE"""),"FALSE")</f>
        <v>FALSE</v>
      </c>
      <c r="F1476" s="198"/>
      <c r="J1476" s="184" t="str">
        <f>IFERROR(__xludf.DUMMYFUNCTION("""COMPUTED_VALUE"""),"")</f>
        <v/>
      </c>
      <c r="K1476" s="184"/>
      <c r="L1476" s="184"/>
      <c r="M1476" s="184"/>
      <c r="N1476" s="184"/>
      <c r="O1476" s="184"/>
      <c r="P1476" s="184"/>
      <c r="Q1476" s="184"/>
      <c r="R1476" s="184"/>
      <c r="S1476" s="184"/>
      <c r="T1476" s="184"/>
      <c r="U1476" s="184"/>
      <c r="V1476" s="184"/>
      <c r="W1476" s="184"/>
      <c r="X1476" s="184"/>
    </row>
    <row r="1477">
      <c r="A1477" s="198"/>
      <c r="D1477" s="198" t="str">
        <f>IFERROR(__xludf.DUMMYFUNCTION("""COMPUTED_VALUE"""),"FALSE")</f>
        <v>FALSE</v>
      </c>
      <c r="E1477" s="198" t="str">
        <f>IFERROR(__xludf.DUMMYFUNCTION("""COMPUTED_VALUE"""),"FALSE")</f>
        <v>FALSE</v>
      </c>
      <c r="F1477" s="198"/>
      <c r="J1477" s="184" t="str">
        <f>IFERROR(__xludf.DUMMYFUNCTION("""COMPUTED_VALUE"""),"")</f>
        <v/>
      </c>
      <c r="K1477" s="184"/>
      <c r="L1477" s="184"/>
      <c r="M1477" s="184"/>
      <c r="N1477" s="184"/>
      <c r="O1477" s="184"/>
      <c r="P1477" s="184"/>
      <c r="Q1477" s="184"/>
      <c r="R1477" s="184"/>
      <c r="S1477" s="184"/>
      <c r="T1477" s="184"/>
      <c r="U1477" s="184"/>
      <c r="V1477" s="184"/>
      <c r="W1477" s="184"/>
      <c r="X1477" s="184"/>
    </row>
    <row r="1478">
      <c r="A1478" s="198"/>
      <c r="D1478" s="198" t="str">
        <f>IFERROR(__xludf.DUMMYFUNCTION("""COMPUTED_VALUE"""),"FALSE")</f>
        <v>FALSE</v>
      </c>
      <c r="E1478" s="198" t="str">
        <f>IFERROR(__xludf.DUMMYFUNCTION("""COMPUTED_VALUE"""),"FALSE")</f>
        <v>FALSE</v>
      </c>
      <c r="F1478" s="198"/>
      <c r="J1478" s="184" t="str">
        <f>IFERROR(__xludf.DUMMYFUNCTION("""COMPUTED_VALUE"""),"")</f>
        <v/>
      </c>
      <c r="K1478" s="184"/>
      <c r="L1478" s="184"/>
      <c r="M1478" s="184"/>
      <c r="N1478" s="184"/>
      <c r="O1478" s="184"/>
      <c r="P1478" s="184"/>
      <c r="Q1478" s="184"/>
      <c r="R1478" s="184"/>
      <c r="S1478" s="184"/>
      <c r="T1478" s="184"/>
      <c r="U1478" s="184"/>
      <c r="V1478" s="184"/>
      <c r="W1478" s="184"/>
      <c r="X1478" s="184"/>
    </row>
    <row r="1479">
      <c r="A1479" s="198"/>
      <c r="D1479" s="198" t="str">
        <f>IFERROR(__xludf.DUMMYFUNCTION("""COMPUTED_VALUE"""),"FALSE")</f>
        <v>FALSE</v>
      </c>
      <c r="E1479" s="198" t="str">
        <f>IFERROR(__xludf.DUMMYFUNCTION("""COMPUTED_VALUE"""),"FALSE")</f>
        <v>FALSE</v>
      </c>
      <c r="F1479" s="198"/>
      <c r="J1479" s="184" t="str">
        <f>IFERROR(__xludf.DUMMYFUNCTION("""COMPUTED_VALUE"""),"")</f>
        <v/>
      </c>
      <c r="K1479" s="184"/>
      <c r="L1479" s="184"/>
      <c r="M1479" s="184"/>
      <c r="N1479" s="184"/>
      <c r="O1479" s="184"/>
      <c r="P1479" s="184"/>
      <c r="Q1479" s="184"/>
      <c r="R1479" s="184"/>
      <c r="S1479" s="184"/>
      <c r="T1479" s="184"/>
      <c r="U1479" s="184"/>
      <c r="V1479" s="184"/>
      <c r="W1479" s="184"/>
      <c r="X1479" s="184"/>
    </row>
    <row r="1480">
      <c r="A1480" s="198"/>
      <c r="D1480" s="198" t="str">
        <f>IFERROR(__xludf.DUMMYFUNCTION("""COMPUTED_VALUE"""),"FALSE")</f>
        <v>FALSE</v>
      </c>
      <c r="E1480" s="198" t="str">
        <f>IFERROR(__xludf.DUMMYFUNCTION("""COMPUTED_VALUE"""),"FALSE")</f>
        <v>FALSE</v>
      </c>
      <c r="F1480" s="198"/>
      <c r="J1480" s="184" t="str">
        <f>IFERROR(__xludf.DUMMYFUNCTION("""COMPUTED_VALUE"""),"")</f>
        <v/>
      </c>
      <c r="K1480" s="184"/>
      <c r="L1480" s="184"/>
      <c r="M1480" s="184"/>
      <c r="N1480" s="184"/>
      <c r="O1480" s="184"/>
      <c r="P1480" s="184"/>
      <c r="Q1480" s="184"/>
      <c r="R1480" s="184"/>
      <c r="S1480" s="184"/>
      <c r="T1480" s="184"/>
      <c r="U1480" s="184"/>
      <c r="V1480" s="184"/>
      <c r="W1480" s="184"/>
      <c r="X1480" s="184"/>
    </row>
    <row r="1481">
      <c r="A1481" s="198"/>
      <c r="D1481" s="198" t="str">
        <f>IFERROR(__xludf.DUMMYFUNCTION("""COMPUTED_VALUE"""),"FALSE")</f>
        <v>FALSE</v>
      </c>
      <c r="E1481" s="198" t="str">
        <f>IFERROR(__xludf.DUMMYFUNCTION("""COMPUTED_VALUE"""),"FALSE")</f>
        <v>FALSE</v>
      </c>
      <c r="F1481" s="198"/>
      <c r="J1481" s="184" t="str">
        <f>IFERROR(__xludf.DUMMYFUNCTION("""COMPUTED_VALUE"""),"")</f>
        <v/>
      </c>
      <c r="K1481" s="184"/>
      <c r="L1481" s="184"/>
      <c r="M1481" s="184"/>
      <c r="N1481" s="184"/>
      <c r="O1481" s="184"/>
      <c r="P1481" s="184"/>
      <c r="Q1481" s="184"/>
      <c r="R1481" s="184"/>
      <c r="S1481" s="184"/>
      <c r="T1481" s="184"/>
      <c r="U1481" s="184"/>
      <c r="V1481" s="184"/>
      <c r="W1481" s="184"/>
      <c r="X1481" s="184"/>
    </row>
    <row r="1482">
      <c r="A1482" s="198"/>
      <c r="D1482" s="198" t="str">
        <f>IFERROR(__xludf.DUMMYFUNCTION("""COMPUTED_VALUE"""),"FALSE")</f>
        <v>FALSE</v>
      </c>
      <c r="E1482" s="198" t="str">
        <f>IFERROR(__xludf.DUMMYFUNCTION("""COMPUTED_VALUE"""),"FALSE")</f>
        <v>FALSE</v>
      </c>
      <c r="F1482" s="198"/>
      <c r="J1482" s="184" t="str">
        <f>IFERROR(__xludf.DUMMYFUNCTION("""COMPUTED_VALUE"""),"")</f>
        <v/>
      </c>
      <c r="K1482" s="184"/>
      <c r="L1482" s="184"/>
      <c r="M1482" s="184"/>
      <c r="N1482" s="184"/>
      <c r="O1482" s="184"/>
      <c r="P1482" s="184"/>
      <c r="Q1482" s="184"/>
      <c r="R1482" s="184"/>
      <c r="S1482" s="184"/>
      <c r="T1482" s="184"/>
      <c r="U1482" s="184"/>
      <c r="V1482" s="184"/>
      <c r="W1482" s="184"/>
      <c r="X1482" s="184"/>
    </row>
    <row r="1483">
      <c r="A1483" s="198"/>
      <c r="D1483" s="198" t="str">
        <f>IFERROR(__xludf.DUMMYFUNCTION("""COMPUTED_VALUE"""),"FALSE")</f>
        <v>FALSE</v>
      </c>
      <c r="E1483" s="198" t="str">
        <f>IFERROR(__xludf.DUMMYFUNCTION("""COMPUTED_VALUE"""),"FALSE")</f>
        <v>FALSE</v>
      </c>
      <c r="F1483" s="198"/>
      <c r="J1483" s="184" t="str">
        <f>IFERROR(__xludf.DUMMYFUNCTION("""COMPUTED_VALUE"""),"")</f>
        <v/>
      </c>
      <c r="K1483" s="184"/>
      <c r="L1483" s="184"/>
      <c r="M1483" s="184"/>
      <c r="N1483" s="184"/>
      <c r="O1483" s="184"/>
      <c r="P1483" s="184"/>
      <c r="Q1483" s="184"/>
      <c r="R1483" s="184"/>
      <c r="S1483" s="184"/>
      <c r="T1483" s="184"/>
      <c r="U1483" s="184"/>
      <c r="V1483" s="184"/>
      <c r="W1483" s="184"/>
      <c r="X1483" s="184"/>
    </row>
    <row r="1484">
      <c r="A1484" s="198"/>
      <c r="D1484" s="198" t="str">
        <f>IFERROR(__xludf.DUMMYFUNCTION("""COMPUTED_VALUE"""),"FALSE")</f>
        <v>FALSE</v>
      </c>
      <c r="E1484" s="198" t="str">
        <f>IFERROR(__xludf.DUMMYFUNCTION("""COMPUTED_VALUE"""),"FALSE")</f>
        <v>FALSE</v>
      </c>
      <c r="F1484" s="198"/>
      <c r="J1484" s="184" t="str">
        <f>IFERROR(__xludf.DUMMYFUNCTION("""COMPUTED_VALUE"""),"")</f>
        <v/>
      </c>
      <c r="K1484" s="184"/>
      <c r="L1484" s="184"/>
      <c r="M1484" s="184"/>
      <c r="N1484" s="184"/>
      <c r="O1484" s="184"/>
      <c r="P1484" s="184"/>
      <c r="Q1484" s="184"/>
      <c r="R1484" s="184"/>
      <c r="S1484" s="184"/>
      <c r="T1484" s="184"/>
      <c r="U1484" s="184"/>
      <c r="V1484" s="184"/>
      <c r="W1484" s="184"/>
      <c r="X1484" s="184"/>
    </row>
    <row r="1485">
      <c r="A1485" s="198"/>
      <c r="D1485" s="198" t="str">
        <f>IFERROR(__xludf.DUMMYFUNCTION("""COMPUTED_VALUE"""),"FALSE")</f>
        <v>FALSE</v>
      </c>
      <c r="E1485" s="198" t="str">
        <f>IFERROR(__xludf.DUMMYFUNCTION("""COMPUTED_VALUE"""),"FALSE")</f>
        <v>FALSE</v>
      </c>
      <c r="F1485" s="198"/>
      <c r="J1485" s="184" t="str">
        <f>IFERROR(__xludf.DUMMYFUNCTION("""COMPUTED_VALUE"""),"")</f>
        <v/>
      </c>
      <c r="K1485" s="184"/>
      <c r="L1485" s="184"/>
      <c r="M1485" s="184"/>
      <c r="N1485" s="184"/>
      <c r="O1485" s="184"/>
      <c r="P1485" s="184"/>
      <c r="Q1485" s="184"/>
      <c r="R1485" s="184"/>
      <c r="S1485" s="184"/>
      <c r="T1485" s="184"/>
      <c r="U1485" s="184"/>
      <c r="V1485" s="184"/>
      <c r="W1485" s="184"/>
      <c r="X1485" s="184"/>
    </row>
    <row r="1486">
      <c r="A1486" s="198"/>
      <c r="D1486" s="198" t="str">
        <f>IFERROR(__xludf.DUMMYFUNCTION("""COMPUTED_VALUE"""),"FALSE")</f>
        <v>FALSE</v>
      </c>
      <c r="E1486" s="198" t="str">
        <f>IFERROR(__xludf.DUMMYFUNCTION("""COMPUTED_VALUE"""),"FALSE")</f>
        <v>FALSE</v>
      </c>
      <c r="F1486" s="198"/>
      <c r="J1486" s="184" t="str">
        <f>IFERROR(__xludf.DUMMYFUNCTION("""COMPUTED_VALUE"""),"")</f>
        <v/>
      </c>
      <c r="K1486" s="184"/>
      <c r="L1486" s="184"/>
      <c r="M1486" s="184"/>
      <c r="N1486" s="184"/>
      <c r="O1486" s="184"/>
      <c r="P1486" s="184"/>
      <c r="Q1486" s="184"/>
      <c r="R1486" s="184"/>
      <c r="S1486" s="184"/>
      <c r="T1486" s="184"/>
      <c r="U1486" s="184"/>
      <c r="V1486" s="184"/>
      <c r="W1486" s="184"/>
      <c r="X1486" s="184"/>
    </row>
    <row r="1487">
      <c r="A1487" s="198"/>
      <c r="D1487" s="198" t="str">
        <f>IFERROR(__xludf.DUMMYFUNCTION("""COMPUTED_VALUE"""),"FALSE")</f>
        <v>FALSE</v>
      </c>
      <c r="E1487" s="198" t="str">
        <f>IFERROR(__xludf.DUMMYFUNCTION("""COMPUTED_VALUE"""),"FALSE")</f>
        <v>FALSE</v>
      </c>
      <c r="F1487" s="198"/>
      <c r="J1487" s="184" t="str">
        <f>IFERROR(__xludf.DUMMYFUNCTION("""COMPUTED_VALUE"""),"")</f>
        <v/>
      </c>
      <c r="K1487" s="184"/>
      <c r="L1487" s="184"/>
      <c r="M1487" s="184"/>
      <c r="N1487" s="184"/>
      <c r="O1487" s="184"/>
      <c r="P1487" s="184"/>
      <c r="Q1487" s="184"/>
      <c r="R1487" s="184"/>
      <c r="S1487" s="184"/>
      <c r="T1487" s="184"/>
      <c r="U1487" s="184"/>
      <c r="V1487" s="184"/>
      <c r="W1487" s="184"/>
      <c r="X1487" s="184"/>
    </row>
    <row r="1488">
      <c r="A1488" s="198"/>
      <c r="D1488" s="198" t="str">
        <f>IFERROR(__xludf.DUMMYFUNCTION("""COMPUTED_VALUE"""),"FALSE")</f>
        <v>FALSE</v>
      </c>
      <c r="E1488" s="198" t="str">
        <f>IFERROR(__xludf.DUMMYFUNCTION("""COMPUTED_VALUE"""),"FALSE")</f>
        <v>FALSE</v>
      </c>
      <c r="F1488" s="198"/>
      <c r="J1488" s="184" t="str">
        <f>IFERROR(__xludf.DUMMYFUNCTION("""COMPUTED_VALUE"""),"")</f>
        <v/>
      </c>
      <c r="K1488" s="184"/>
      <c r="L1488" s="184"/>
      <c r="M1488" s="184"/>
      <c r="N1488" s="184"/>
      <c r="O1488" s="184"/>
      <c r="P1488" s="184"/>
      <c r="Q1488" s="184"/>
      <c r="R1488" s="184"/>
      <c r="S1488" s="184"/>
      <c r="T1488" s="184"/>
      <c r="U1488" s="184"/>
      <c r="V1488" s="184"/>
      <c r="W1488" s="184"/>
      <c r="X1488" s="184"/>
    </row>
    <row r="1489">
      <c r="A1489" s="198"/>
      <c r="D1489" s="198" t="str">
        <f>IFERROR(__xludf.DUMMYFUNCTION("""COMPUTED_VALUE"""),"FALSE")</f>
        <v>FALSE</v>
      </c>
      <c r="E1489" s="198" t="str">
        <f>IFERROR(__xludf.DUMMYFUNCTION("""COMPUTED_VALUE"""),"FALSE")</f>
        <v>FALSE</v>
      </c>
      <c r="F1489" s="198"/>
      <c r="J1489" s="184" t="str">
        <f>IFERROR(__xludf.DUMMYFUNCTION("""COMPUTED_VALUE"""),"")</f>
        <v/>
      </c>
      <c r="K1489" s="184"/>
      <c r="L1489" s="184"/>
      <c r="M1489" s="184"/>
      <c r="N1489" s="184"/>
      <c r="O1489" s="184"/>
      <c r="P1489" s="184"/>
      <c r="Q1489" s="184"/>
      <c r="R1489" s="184"/>
      <c r="S1489" s="184"/>
      <c r="T1489" s="184"/>
      <c r="U1489" s="184"/>
      <c r="V1489" s="184"/>
      <c r="W1489" s="184"/>
      <c r="X1489" s="184"/>
    </row>
    <row r="1490">
      <c r="A1490" s="198"/>
      <c r="D1490" s="198" t="str">
        <f>IFERROR(__xludf.DUMMYFUNCTION("""COMPUTED_VALUE"""),"FALSE")</f>
        <v>FALSE</v>
      </c>
      <c r="E1490" s="198" t="str">
        <f>IFERROR(__xludf.DUMMYFUNCTION("""COMPUTED_VALUE"""),"FALSE")</f>
        <v>FALSE</v>
      </c>
      <c r="F1490" s="198"/>
      <c r="J1490" s="184" t="str">
        <f>IFERROR(__xludf.DUMMYFUNCTION("""COMPUTED_VALUE"""),"")</f>
        <v/>
      </c>
      <c r="K1490" s="184"/>
      <c r="L1490" s="184"/>
      <c r="M1490" s="184"/>
      <c r="N1490" s="184"/>
      <c r="O1490" s="184"/>
      <c r="P1490" s="184"/>
      <c r="Q1490" s="184"/>
      <c r="R1490" s="184"/>
      <c r="S1490" s="184"/>
      <c r="T1490" s="184"/>
      <c r="U1490" s="184"/>
      <c r="V1490" s="184"/>
      <c r="W1490" s="184"/>
      <c r="X1490" s="184"/>
    </row>
    <row r="1491">
      <c r="A1491" s="198"/>
      <c r="D1491" s="198" t="str">
        <f>IFERROR(__xludf.DUMMYFUNCTION("""COMPUTED_VALUE"""),"FALSE")</f>
        <v>FALSE</v>
      </c>
      <c r="E1491" s="198" t="str">
        <f>IFERROR(__xludf.DUMMYFUNCTION("""COMPUTED_VALUE"""),"FALSE")</f>
        <v>FALSE</v>
      </c>
      <c r="F1491" s="198"/>
      <c r="J1491" s="184" t="str">
        <f>IFERROR(__xludf.DUMMYFUNCTION("""COMPUTED_VALUE"""),"")</f>
        <v/>
      </c>
      <c r="K1491" s="184"/>
      <c r="L1491" s="184"/>
      <c r="M1491" s="184"/>
      <c r="N1491" s="184"/>
      <c r="O1491" s="184"/>
      <c r="P1491" s="184"/>
      <c r="Q1491" s="184"/>
      <c r="R1491" s="184"/>
      <c r="S1491" s="184"/>
      <c r="T1491" s="184"/>
      <c r="U1491" s="184"/>
      <c r="V1491" s="184"/>
      <c r="W1491" s="184"/>
      <c r="X1491" s="184"/>
    </row>
    <row r="1492">
      <c r="A1492" s="198"/>
      <c r="D1492" s="198" t="str">
        <f>IFERROR(__xludf.DUMMYFUNCTION("""COMPUTED_VALUE"""),"FALSE")</f>
        <v>FALSE</v>
      </c>
      <c r="E1492" s="198" t="str">
        <f>IFERROR(__xludf.DUMMYFUNCTION("""COMPUTED_VALUE"""),"FALSE")</f>
        <v>FALSE</v>
      </c>
      <c r="F1492" s="198"/>
      <c r="J1492" s="184" t="str">
        <f>IFERROR(__xludf.DUMMYFUNCTION("""COMPUTED_VALUE"""),"")</f>
        <v/>
      </c>
      <c r="K1492" s="184"/>
      <c r="L1492" s="184"/>
      <c r="M1492" s="184"/>
      <c r="N1492" s="184"/>
      <c r="O1492" s="184"/>
      <c r="P1492" s="184"/>
      <c r="Q1492" s="184"/>
      <c r="R1492" s="184"/>
      <c r="S1492" s="184"/>
      <c r="T1492" s="184"/>
      <c r="U1492" s="184"/>
      <c r="V1492" s="184"/>
      <c r="W1492" s="184"/>
      <c r="X1492" s="184"/>
    </row>
    <row r="1493">
      <c r="A1493" s="198"/>
      <c r="D1493" s="198" t="str">
        <f>IFERROR(__xludf.DUMMYFUNCTION("""COMPUTED_VALUE"""),"FALSE")</f>
        <v>FALSE</v>
      </c>
      <c r="E1493" s="198" t="str">
        <f>IFERROR(__xludf.DUMMYFUNCTION("""COMPUTED_VALUE"""),"FALSE")</f>
        <v>FALSE</v>
      </c>
      <c r="F1493" s="198"/>
      <c r="J1493" s="184" t="str">
        <f>IFERROR(__xludf.DUMMYFUNCTION("""COMPUTED_VALUE"""),"")</f>
        <v/>
      </c>
      <c r="K1493" s="184"/>
      <c r="L1493" s="184"/>
      <c r="M1493" s="184"/>
      <c r="N1493" s="184"/>
      <c r="O1493" s="184"/>
      <c r="P1493" s="184"/>
      <c r="Q1493" s="184"/>
      <c r="R1493" s="184"/>
      <c r="S1493" s="184"/>
      <c r="T1493" s="184"/>
      <c r="U1493" s="184"/>
      <c r="V1493" s="184"/>
      <c r="W1493" s="184"/>
      <c r="X1493" s="184"/>
    </row>
    <row r="1494">
      <c r="A1494" s="198"/>
      <c r="D1494" s="198" t="str">
        <f>IFERROR(__xludf.DUMMYFUNCTION("""COMPUTED_VALUE"""),"FALSE")</f>
        <v>FALSE</v>
      </c>
      <c r="E1494" s="198" t="str">
        <f>IFERROR(__xludf.DUMMYFUNCTION("""COMPUTED_VALUE"""),"FALSE")</f>
        <v>FALSE</v>
      </c>
      <c r="F1494" s="198"/>
      <c r="J1494" s="184" t="str">
        <f>IFERROR(__xludf.DUMMYFUNCTION("""COMPUTED_VALUE"""),"")</f>
        <v/>
      </c>
      <c r="K1494" s="184"/>
      <c r="L1494" s="184"/>
      <c r="M1494" s="184"/>
      <c r="N1494" s="184"/>
      <c r="O1494" s="184"/>
      <c r="P1494" s="184"/>
      <c r="Q1494" s="184"/>
      <c r="R1494" s="184"/>
      <c r="S1494" s="184"/>
      <c r="T1494" s="184"/>
      <c r="U1494" s="184"/>
      <c r="V1494" s="184"/>
      <c r="W1494" s="184"/>
      <c r="X1494" s="184"/>
    </row>
    <row r="1495">
      <c r="A1495" s="198"/>
      <c r="D1495" s="198" t="str">
        <f>IFERROR(__xludf.DUMMYFUNCTION("""COMPUTED_VALUE"""),"FALSE")</f>
        <v>FALSE</v>
      </c>
      <c r="E1495" s="198" t="str">
        <f>IFERROR(__xludf.DUMMYFUNCTION("""COMPUTED_VALUE"""),"FALSE")</f>
        <v>FALSE</v>
      </c>
      <c r="F1495" s="198"/>
      <c r="J1495" s="184" t="str">
        <f>IFERROR(__xludf.DUMMYFUNCTION("""COMPUTED_VALUE"""),"")</f>
        <v/>
      </c>
      <c r="K1495" s="184"/>
      <c r="L1495" s="184"/>
      <c r="M1495" s="184"/>
      <c r="N1495" s="184"/>
      <c r="O1495" s="184"/>
      <c r="P1495" s="184"/>
      <c r="Q1495" s="184"/>
      <c r="R1495" s="184"/>
      <c r="S1495" s="184"/>
      <c r="T1495" s="184"/>
      <c r="U1495" s="184"/>
      <c r="V1495" s="184"/>
      <c r="W1495" s="184"/>
      <c r="X1495" s="184"/>
    </row>
    <row r="1496">
      <c r="A1496" s="198"/>
      <c r="D1496" s="198" t="str">
        <f>IFERROR(__xludf.DUMMYFUNCTION("""COMPUTED_VALUE"""),"FALSE")</f>
        <v>FALSE</v>
      </c>
      <c r="E1496" s="198" t="str">
        <f>IFERROR(__xludf.DUMMYFUNCTION("""COMPUTED_VALUE"""),"FALSE")</f>
        <v>FALSE</v>
      </c>
      <c r="F1496" s="198"/>
      <c r="J1496" s="184" t="str">
        <f>IFERROR(__xludf.DUMMYFUNCTION("""COMPUTED_VALUE"""),"")</f>
        <v/>
      </c>
      <c r="K1496" s="184"/>
      <c r="L1496" s="184"/>
      <c r="M1496" s="184"/>
      <c r="N1496" s="184"/>
      <c r="O1496" s="184"/>
      <c r="P1496" s="184"/>
      <c r="Q1496" s="184"/>
      <c r="R1496" s="184"/>
      <c r="S1496" s="184"/>
      <c r="T1496" s="184"/>
      <c r="U1496" s="184"/>
      <c r="V1496" s="184"/>
      <c r="W1496" s="184"/>
      <c r="X1496" s="184"/>
    </row>
    <row r="1497">
      <c r="A1497" s="198"/>
      <c r="D1497" s="198" t="str">
        <f>IFERROR(__xludf.DUMMYFUNCTION("""COMPUTED_VALUE"""),"FALSE")</f>
        <v>FALSE</v>
      </c>
      <c r="E1497" s="198" t="str">
        <f>IFERROR(__xludf.DUMMYFUNCTION("""COMPUTED_VALUE"""),"FALSE")</f>
        <v>FALSE</v>
      </c>
      <c r="F1497" s="198"/>
      <c r="J1497" s="184" t="str">
        <f>IFERROR(__xludf.DUMMYFUNCTION("""COMPUTED_VALUE"""),"")</f>
        <v/>
      </c>
      <c r="K1497" s="184"/>
      <c r="L1497" s="184"/>
      <c r="M1497" s="184"/>
      <c r="N1497" s="184"/>
      <c r="O1497" s="184"/>
      <c r="P1497" s="184"/>
      <c r="Q1497" s="184"/>
      <c r="R1497" s="184"/>
      <c r="S1497" s="184"/>
      <c r="T1497" s="184"/>
      <c r="U1497" s="184"/>
      <c r="V1497" s="184"/>
      <c r="W1497" s="184"/>
      <c r="X1497" s="184"/>
    </row>
    <row r="1498">
      <c r="A1498" s="198"/>
      <c r="D1498" s="198" t="str">
        <f>IFERROR(__xludf.DUMMYFUNCTION("""COMPUTED_VALUE"""),"FALSE")</f>
        <v>FALSE</v>
      </c>
      <c r="E1498" s="198" t="str">
        <f>IFERROR(__xludf.DUMMYFUNCTION("""COMPUTED_VALUE"""),"FALSE")</f>
        <v>FALSE</v>
      </c>
      <c r="F1498" s="198"/>
      <c r="J1498" s="184" t="str">
        <f>IFERROR(__xludf.DUMMYFUNCTION("""COMPUTED_VALUE"""),"")</f>
        <v/>
      </c>
      <c r="K1498" s="184"/>
      <c r="L1498" s="184"/>
      <c r="M1498" s="184"/>
      <c r="N1498" s="184"/>
      <c r="O1498" s="184"/>
      <c r="P1498" s="184"/>
      <c r="Q1498" s="184"/>
      <c r="R1498" s="184"/>
      <c r="S1498" s="184"/>
      <c r="T1498" s="184"/>
      <c r="U1498" s="184"/>
      <c r="V1498" s="184"/>
      <c r="W1498" s="184"/>
      <c r="X1498" s="184"/>
    </row>
    <row r="1499">
      <c r="A1499" s="198"/>
      <c r="D1499" s="198" t="str">
        <f>IFERROR(__xludf.DUMMYFUNCTION("""COMPUTED_VALUE"""),"FALSE")</f>
        <v>FALSE</v>
      </c>
      <c r="E1499" s="198" t="str">
        <f>IFERROR(__xludf.DUMMYFUNCTION("""COMPUTED_VALUE"""),"FALSE")</f>
        <v>FALSE</v>
      </c>
      <c r="F1499" s="198"/>
      <c r="J1499" s="184" t="str">
        <f>IFERROR(__xludf.DUMMYFUNCTION("""COMPUTED_VALUE"""),"")</f>
        <v/>
      </c>
      <c r="K1499" s="184"/>
      <c r="L1499" s="184"/>
      <c r="M1499" s="184"/>
      <c r="N1499" s="184"/>
      <c r="O1499" s="184"/>
      <c r="P1499" s="184"/>
      <c r="Q1499" s="184"/>
      <c r="R1499" s="184"/>
      <c r="S1499" s="184"/>
      <c r="T1499" s="184"/>
      <c r="U1499" s="184"/>
      <c r="V1499" s="184"/>
      <c r="W1499" s="184"/>
      <c r="X1499" s="184"/>
    </row>
    <row r="1500">
      <c r="A1500" s="198"/>
      <c r="D1500" s="198" t="str">
        <f>IFERROR(__xludf.DUMMYFUNCTION("""COMPUTED_VALUE"""),"FALSE")</f>
        <v>FALSE</v>
      </c>
      <c r="E1500" s="198" t="str">
        <f>IFERROR(__xludf.DUMMYFUNCTION("""COMPUTED_VALUE"""),"FALSE")</f>
        <v>FALSE</v>
      </c>
      <c r="F1500" s="198"/>
      <c r="J1500" s="184" t="str">
        <f>IFERROR(__xludf.DUMMYFUNCTION("""COMPUTED_VALUE"""),"")</f>
        <v/>
      </c>
      <c r="K1500" s="184"/>
      <c r="L1500" s="184"/>
      <c r="M1500" s="184"/>
      <c r="N1500" s="184"/>
      <c r="O1500" s="184"/>
      <c r="P1500" s="184"/>
      <c r="Q1500" s="184"/>
      <c r="R1500" s="184"/>
      <c r="S1500" s="184"/>
      <c r="T1500" s="184"/>
      <c r="U1500" s="184"/>
      <c r="V1500" s="184"/>
      <c r="W1500" s="184"/>
      <c r="X1500" s="184"/>
    </row>
    <row r="1501">
      <c r="A1501" s="198"/>
      <c r="D1501" s="198" t="str">
        <f>IFERROR(__xludf.DUMMYFUNCTION("""COMPUTED_VALUE"""),"FALSE")</f>
        <v>FALSE</v>
      </c>
      <c r="E1501" s="198" t="str">
        <f>IFERROR(__xludf.DUMMYFUNCTION("""COMPUTED_VALUE"""),"FALSE")</f>
        <v>FALSE</v>
      </c>
      <c r="F1501" s="198"/>
      <c r="J1501" s="184" t="str">
        <f>IFERROR(__xludf.DUMMYFUNCTION("""COMPUTED_VALUE"""),"")</f>
        <v/>
      </c>
      <c r="K1501" s="184"/>
      <c r="L1501" s="184"/>
      <c r="M1501" s="184"/>
      <c r="N1501" s="184"/>
      <c r="O1501" s="184"/>
      <c r="P1501" s="184"/>
      <c r="Q1501" s="184"/>
      <c r="R1501" s="184"/>
      <c r="S1501" s="184"/>
      <c r="T1501" s="184"/>
      <c r="U1501" s="184"/>
      <c r="V1501" s="184"/>
      <c r="W1501" s="184"/>
      <c r="X1501" s="184"/>
    </row>
    <row r="1502">
      <c r="A1502" s="198"/>
      <c r="D1502" s="198" t="str">
        <f>IFERROR(__xludf.DUMMYFUNCTION("""COMPUTED_VALUE"""),"FALSE")</f>
        <v>FALSE</v>
      </c>
      <c r="E1502" s="198" t="str">
        <f>IFERROR(__xludf.DUMMYFUNCTION("""COMPUTED_VALUE"""),"FALSE")</f>
        <v>FALSE</v>
      </c>
      <c r="F1502" s="198"/>
      <c r="J1502" s="184" t="str">
        <f>IFERROR(__xludf.DUMMYFUNCTION("""COMPUTED_VALUE"""),"")</f>
        <v/>
      </c>
      <c r="K1502" s="184"/>
      <c r="L1502" s="184"/>
      <c r="M1502" s="184"/>
      <c r="N1502" s="184"/>
      <c r="O1502" s="184"/>
      <c r="P1502" s="184"/>
      <c r="Q1502" s="184"/>
      <c r="R1502" s="184"/>
      <c r="S1502" s="184"/>
      <c r="T1502" s="184"/>
      <c r="U1502" s="184"/>
      <c r="V1502" s="184"/>
      <c r="W1502" s="184"/>
      <c r="X1502" s="184"/>
    </row>
    <row r="1503">
      <c r="A1503" s="198"/>
      <c r="D1503" s="198" t="str">
        <f>IFERROR(__xludf.DUMMYFUNCTION("""COMPUTED_VALUE"""),"FALSE")</f>
        <v>FALSE</v>
      </c>
      <c r="E1503" s="198" t="str">
        <f>IFERROR(__xludf.DUMMYFUNCTION("""COMPUTED_VALUE"""),"FALSE")</f>
        <v>FALSE</v>
      </c>
      <c r="F1503" s="198"/>
      <c r="J1503" s="184" t="str">
        <f>IFERROR(__xludf.DUMMYFUNCTION("""COMPUTED_VALUE"""),"")</f>
        <v/>
      </c>
      <c r="K1503" s="184"/>
      <c r="L1503" s="184"/>
      <c r="M1503" s="184"/>
      <c r="N1503" s="184"/>
      <c r="O1503" s="184"/>
      <c r="P1503" s="184"/>
      <c r="Q1503" s="184"/>
      <c r="R1503" s="184"/>
      <c r="S1503" s="184"/>
      <c r="T1503" s="184"/>
      <c r="U1503" s="184"/>
      <c r="V1503" s="184"/>
      <c r="W1503" s="184"/>
      <c r="X1503" s="184"/>
    </row>
    <row r="1504">
      <c r="A1504" s="198"/>
      <c r="D1504" s="198" t="str">
        <f>IFERROR(__xludf.DUMMYFUNCTION("""COMPUTED_VALUE"""),"FALSE")</f>
        <v>FALSE</v>
      </c>
      <c r="E1504" s="198" t="str">
        <f>IFERROR(__xludf.DUMMYFUNCTION("""COMPUTED_VALUE"""),"FALSE")</f>
        <v>FALSE</v>
      </c>
      <c r="F1504" s="198"/>
      <c r="J1504" s="184" t="str">
        <f>IFERROR(__xludf.DUMMYFUNCTION("""COMPUTED_VALUE"""),"")</f>
        <v/>
      </c>
      <c r="K1504" s="184"/>
      <c r="L1504" s="184"/>
      <c r="M1504" s="184"/>
      <c r="N1504" s="184"/>
      <c r="O1504" s="184"/>
      <c r="P1504" s="184"/>
      <c r="Q1504" s="184"/>
      <c r="R1504" s="184"/>
      <c r="S1504" s="184"/>
      <c r="T1504" s="184"/>
      <c r="U1504" s="184"/>
      <c r="V1504" s="184"/>
      <c r="W1504" s="184"/>
      <c r="X1504" s="184"/>
    </row>
    <row r="1505">
      <c r="A1505" s="198"/>
      <c r="D1505" s="198" t="str">
        <f>IFERROR(__xludf.DUMMYFUNCTION("""COMPUTED_VALUE"""),"FALSE")</f>
        <v>FALSE</v>
      </c>
      <c r="E1505" s="198" t="str">
        <f>IFERROR(__xludf.DUMMYFUNCTION("""COMPUTED_VALUE"""),"FALSE")</f>
        <v>FALSE</v>
      </c>
      <c r="F1505" s="198"/>
      <c r="J1505" s="184" t="str">
        <f>IFERROR(__xludf.DUMMYFUNCTION("""COMPUTED_VALUE"""),"")</f>
        <v/>
      </c>
      <c r="K1505" s="184"/>
      <c r="L1505" s="184"/>
      <c r="M1505" s="184"/>
      <c r="N1505" s="184"/>
      <c r="O1505" s="184"/>
      <c r="P1505" s="184"/>
      <c r="Q1505" s="184"/>
      <c r="R1505" s="184"/>
      <c r="S1505" s="184"/>
      <c r="T1505" s="184"/>
      <c r="U1505" s="184"/>
      <c r="V1505" s="184"/>
      <c r="W1505" s="184"/>
      <c r="X1505" s="184"/>
    </row>
    <row r="1506">
      <c r="A1506" s="198"/>
      <c r="D1506" s="198" t="str">
        <f>IFERROR(__xludf.DUMMYFUNCTION("""COMPUTED_VALUE"""),"FALSE")</f>
        <v>FALSE</v>
      </c>
      <c r="E1506" s="198" t="str">
        <f>IFERROR(__xludf.DUMMYFUNCTION("""COMPUTED_VALUE"""),"FALSE")</f>
        <v>FALSE</v>
      </c>
      <c r="F1506" s="198"/>
      <c r="J1506" s="184" t="str">
        <f>IFERROR(__xludf.DUMMYFUNCTION("""COMPUTED_VALUE"""),"")</f>
        <v/>
      </c>
      <c r="K1506" s="184"/>
      <c r="L1506" s="184"/>
      <c r="M1506" s="184"/>
      <c r="N1506" s="184"/>
      <c r="O1506" s="184"/>
      <c r="P1506" s="184"/>
      <c r="Q1506" s="184"/>
      <c r="R1506" s="184"/>
      <c r="S1506" s="184"/>
      <c r="T1506" s="184"/>
      <c r="U1506" s="184"/>
      <c r="V1506" s="184"/>
      <c r="W1506" s="184"/>
      <c r="X1506" s="184"/>
    </row>
    <row r="1507">
      <c r="A1507" s="198"/>
      <c r="D1507" s="198" t="str">
        <f>IFERROR(__xludf.DUMMYFUNCTION("""COMPUTED_VALUE"""),"FALSE")</f>
        <v>FALSE</v>
      </c>
      <c r="E1507" s="198" t="str">
        <f>IFERROR(__xludf.DUMMYFUNCTION("""COMPUTED_VALUE"""),"FALSE")</f>
        <v>FALSE</v>
      </c>
      <c r="F1507" s="198"/>
      <c r="J1507" s="184" t="str">
        <f>IFERROR(__xludf.DUMMYFUNCTION("""COMPUTED_VALUE"""),"")</f>
        <v/>
      </c>
      <c r="K1507" s="184"/>
      <c r="L1507" s="184"/>
      <c r="M1507" s="184"/>
      <c r="N1507" s="184"/>
      <c r="O1507" s="184"/>
      <c r="P1507" s="184"/>
      <c r="Q1507" s="184"/>
      <c r="R1507" s="184"/>
      <c r="S1507" s="184"/>
      <c r="T1507" s="184"/>
      <c r="U1507" s="184"/>
      <c r="V1507" s="184"/>
      <c r="W1507" s="184"/>
      <c r="X1507" s="184"/>
    </row>
    <row r="1508">
      <c r="A1508" s="198"/>
      <c r="D1508" s="198" t="str">
        <f>IFERROR(__xludf.DUMMYFUNCTION("""COMPUTED_VALUE"""),"FALSE")</f>
        <v>FALSE</v>
      </c>
      <c r="E1508" s="198" t="str">
        <f>IFERROR(__xludf.DUMMYFUNCTION("""COMPUTED_VALUE"""),"FALSE")</f>
        <v>FALSE</v>
      </c>
      <c r="F1508" s="198"/>
      <c r="J1508" s="184" t="str">
        <f>IFERROR(__xludf.DUMMYFUNCTION("""COMPUTED_VALUE"""),"")</f>
        <v/>
      </c>
      <c r="K1508" s="184"/>
      <c r="L1508" s="184"/>
      <c r="M1508" s="184"/>
      <c r="N1508" s="184"/>
      <c r="O1508" s="184"/>
      <c r="P1508" s="184"/>
      <c r="Q1508" s="184"/>
      <c r="R1508" s="184"/>
      <c r="S1508" s="184"/>
      <c r="T1508" s="184"/>
      <c r="U1508" s="184"/>
      <c r="V1508" s="184"/>
      <c r="W1508" s="184"/>
      <c r="X1508" s="184"/>
    </row>
    <row r="1509">
      <c r="A1509" s="198"/>
      <c r="D1509" s="198" t="str">
        <f>IFERROR(__xludf.DUMMYFUNCTION("""COMPUTED_VALUE"""),"FALSE")</f>
        <v>FALSE</v>
      </c>
      <c r="E1509" s="198" t="str">
        <f>IFERROR(__xludf.DUMMYFUNCTION("""COMPUTED_VALUE"""),"FALSE")</f>
        <v>FALSE</v>
      </c>
      <c r="F1509" s="198"/>
      <c r="J1509" s="184" t="str">
        <f>IFERROR(__xludf.DUMMYFUNCTION("""COMPUTED_VALUE"""),"")</f>
        <v/>
      </c>
      <c r="K1509" s="184"/>
      <c r="L1509" s="184"/>
      <c r="M1509" s="184"/>
      <c r="N1509" s="184"/>
      <c r="O1509" s="184"/>
      <c r="P1509" s="184"/>
      <c r="Q1509" s="184"/>
      <c r="R1509" s="184"/>
      <c r="S1509" s="184"/>
      <c r="T1509" s="184"/>
      <c r="U1509" s="184"/>
      <c r="V1509" s="184"/>
      <c r="W1509" s="184"/>
      <c r="X1509" s="184"/>
    </row>
    <row r="1510">
      <c r="A1510" s="198"/>
      <c r="D1510" s="198" t="str">
        <f>IFERROR(__xludf.DUMMYFUNCTION("""COMPUTED_VALUE"""),"FALSE")</f>
        <v>FALSE</v>
      </c>
      <c r="E1510" s="198" t="str">
        <f>IFERROR(__xludf.DUMMYFUNCTION("""COMPUTED_VALUE"""),"FALSE")</f>
        <v>FALSE</v>
      </c>
      <c r="F1510" s="198"/>
      <c r="J1510" s="184" t="str">
        <f>IFERROR(__xludf.DUMMYFUNCTION("""COMPUTED_VALUE"""),"")</f>
        <v/>
      </c>
      <c r="K1510" s="184"/>
      <c r="L1510" s="184"/>
      <c r="M1510" s="184"/>
      <c r="N1510" s="184"/>
      <c r="O1510" s="184"/>
      <c r="P1510" s="184"/>
      <c r="Q1510" s="184"/>
      <c r="R1510" s="184"/>
      <c r="S1510" s="184"/>
      <c r="T1510" s="184"/>
      <c r="U1510" s="184"/>
      <c r="V1510" s="184"/>
      <c r="W1510" s="184"/>
      <c r="X1510" s="184"/>
    </row>
    <row r="1511">
      <c r="A1511" s="198"/>
      <c r="D1511" s="198" t="str">
        <f>IFERROR(__xludf.DUMMYFUNCTION("""COMPUTED_VALUE"""),"FALSE")</f>
        <v>FALSE</v>
      </c>
      <c r="E1511" s="198" t="str">
        <f>IFERROR(__xludf.DUMMYFUNCTION("""COMPUTED_VALUE"""),"FALSE")</f>
        <v>FALSE</v>
      </c>
      <c r="F1511" s="198"/>
      <c r="J1511" s="184" t="str">
        <f>IFERROR(__xludf.DUMMYFUNCTION("""COMPUTED_VALUE"""),"")</f>
        <v/>
      </c>
      <c r="K1511" s="184"/>
      <c r="L1511" s="184"/>
      <c r="M1511" s="184"/>
      <c r="N1511" s="184"/>
      <c r="O1511" s="184"/>
      <c r="P1511" s="184"/>
      <c r="Q1511" s="184"/>
      <c r="R1511" s="184"/>
      <c r="S1511" s="184"/>
      <c r="T1511" s="184"/>
      <c r="U1511" s="184"/>
      <c r="V1511" s="184"/>
      <c r="W1511" s="184"/>
      <c r="X1511" s="184"/>
    </row>
    <row r="1512">
      <c r="A1512" s="198"/>
      <c r="D1512" s="198" t="str">
        <f>IFERROR(__xludf.DUMMYFUNCTION("""COMPUTED_VALUE"""),"FALSE")</f>
        <v>FALSE</v>
      </c>
      <c r="E1512" s="198" t="str">
        <f>IFERROR(__xludf.DUMMYFUNCTION("""COMPUTED_VALUE"""),"FALSE")</f>
        <v>FALSE</v>
      </c>
      <c r="F1512" s="198"/>
      <c r="J1512" s="184" t="str">
        <f>IFERROR(__xludf.DUMMYFUNCTION("""COMPUTED_VALUE"""),"")</f>
        <v/>
      </c>
      <c r="K1512" s="184"/>
      <c r="L1512" s="184"/>
      <c r="M1512" s="184"/>
      <c r="N1512" s="184"/>
      <c r="O1512" s="184"/>
      <c r="P1512" s="184"/>
      <c r="Q1512" s="184"/>
      <c r="R1512" s="184"/>
      <c r="S1512" s="184"/>
      <c r="T1512" s="184"/>
      <c r="U1512" s="184"/>
      <c r="V1512" s="184"/>
      <c r="W1512" s="184"/>
      <c r="X1512" s="184"/>
    </row>
    <row r="1513">
      <c r="A1513" s="198"/>
      <c r="D1513" s="198" t="str">
        <f>IFERROR(__xludf.DUMMYFUNCTION("""COMPUTED_VALUE"""),"FALSE")</f>
        <v>FALSE</v>
      </c>
      <c r="E1513" s="198" t="str">
        <f>IFERROR(__xludf.DUMMYFUNCTION("""COMPUTED_VALUE"""),"FALSE")</f>
        <v>FALSE</v>
      </c>
      <c r="F1513" s="198"/>
      <c r="J1513" s="184" t="str">
        <f>IFERROR(__xludf.DUMMYFUNCTION("""COMPUTED_VALUE"""),"")</f>
        <v/>
      </c>
      <c r="K1513" s="184"/>
      <c r="L1513" s="184"/>
      <c r="M1513" s="184"/>
      <c r="N1513" s="184"/>
      <c r="O1513" s="184"/>
      <c r="P1513" s="184"/>
      <c r="Q1513" s="184"/>
      <c r="R1513" s="184"/>
      <c r="S1513" s="184"/>
      <c r="T1513" s="184"/>
      <c r="U1513" s="184"/>
      <c r="V1513" s="184"/>
      <c r="W1513" s="184"/>
      <c r="X1513" s="184"/>
    </row>
    <row r="1514">
      <c r="A1514" s="198"/>
      <c r="D1514" s="198" t="str">
        <f>IFERROR(__xludf.DUMMYFUNCTION("""COMPUTED_VALUE"""),"FALSE")</f>
        <v>FALSE</v>
      </c>
      <c r="E1514" s="198" t="str">
        <f>IFERROR(__xludf.DUMMYFUNCTION("""COMPUTED_VALUE"""),"FALSE")</f>
        <v>FALSE</v>
      </c>
      <c r="F1514" s="198"/>
      <c r="J1514" s="184" t="str">
        <f>IFERROR(__xludf.DUMMYFUNCTION("""COMPUTED_VALUE"""),"")</f>
        <v/>
      </c>
      <c r="K1514" s="184"/>
      <c r="L1514" s="184"/>
      <c r="M1514" s="184"/>
      <c r="N1514" s="184"/>
      <c r="O1514" s="184"/>
      <c r="P1514" s="184"/>
      <c r="Q1514" s="184"/>
      <c r="R1514" s="184"/>
      <c r="S1514" s="184"/>
      <c r="T1514" s="184"/>
      <c r="U1514" s="184"/>
      <c r="V1514" s="184"/>
      <c r="W1514" s="184"/>
      <c r="X1514" s="184"/>
    </row>
    <row r="1515">
      <c r="A1515" s="198"/>
      <c r="D1515" s="198" t="str">
        <f>IFERROR(__xludf.DUMMYFUNCTION("""COMPUTED_VALUE"""),"FALSE")</f>
        <v>FALSE</v>
      </c>
      <c r="E1515" s="198" t="str">
        <f>IFERROR(__xludf.DUMMYFUNCTION("""COMPUTED_VALUE"""),"FALSE")</f>
        <v>FALSE</v>
      </c>
      <c r="F1515" s="198"/>
      <c r="J1515" s="184" t="str">
        <f>IFERROR(__xludf.DUMMYFUNCTION("""COMPUTED_VALUE"""),"")</f>
        <v/>
      </c>
      <c r="K1515" s="184"/>
      <c r="L1515" s="184"/>
      <c r="M1515" s="184"/>
      <c r="N1515" s="184"/>
      <c r="O1515" s="184"/>
      <c r="P1515" s="184"/>
      <c r="Q1515" s="184"/>
      <c r="R1515" s="184"/>
      <c r="S1515" s="184"/>
      <c r="T1515" s="184"/>
      <c r="U1515" s="184"/>
      <c r="V1515" s="184"/>
      <c r="W1515" s="184"/>
      <c r="X1515" s="184"/>
    </row>
    <row r="1516">
      <c r="A1516" s="198"/>
      <c r="D1516" s="198" t="str">
        <f>IFERROR(__xludf.DUMMYFUNCTION("""COMPUTED_VALUE"""),"FALSE")</f>
        <v>FALSE</v>
      </c>
      <c r="E1516" s="198" t="str">
        <f>IFERROR(__xludf.DUMMYFUNCTION("""COMPUTED_VALUE"""),"FALSE")</f>
        <v>FALSE</v>
      </c>
      <c r="F1516" s="198"/>
      <c r="J1516" s="184" t="str">
        <f>IFERROR(__xludf.DUMMYFUNCTION("""COMPUTED_VALUE"""),"")</f>
        <v/>
      </c>
      <c r="K1516" s="184"/>
      <c r="L1516" s="184"/>
      <c r="M1516" s="184"/>
      <c r="N1516" s="184"/>
      <c r="O1516" s="184"/>
      <c r="P1516" s="184"/>
      <c r="Q1516" s="184"/>
      <c r="R1516" s="184"/>
      <c r="S1516" s="184"/>
      <c r="T1516" s="184"/>
      <c r="U1516" s="184"/>
      <c r="V1516" s="184"/>
      <c r="W1516" s="184"/>
      <c r="X1516" s="184"/>
    </row>
    <row r="1517">
      <c r="A1517" s="198"/>
      <c r="D1517" s="198" t="str">
        <f>IFERROR(__xludf.DUMMYFUNCTION("""COMPUTED_VALUE"""),"FALSE")</f>
        <v>FALSE</v>
      </c>
      <c r="E1517" s="198" t="str">
        <f>IFERROR(__xludf.DUMMYFUNCTION("""COMPUTED_VALUE"""),"FALSE")</f>
        <v>FALSE</v>
      </c>
      <c r="F1517" s="198"/>
      <c r="J1517" s="184" t="str">
        <f>IFERROR(__xludf.DUMMYFUNCTION("""COMPUTED_VALUE"""),"")</f>
        <v/>
      </c>
      <c r="K1517" s="184"/>
      <c r="L1517" s="184"/>
      <c r="M1517" s="184"/>
      <c r="N1517" s="184"/>
      <c r="O1517" s="184"/>
      <c r="P1517" s="184"/>
      <c r="Q1517" s="184"/>
      <c r="R1517" s="184"/>
      <c r="S1517" s="184"/>
      <c r="T1517" s="184"/>
      <c r="U1517" s="184"/>
      <c r="V1517" s="184"/>
      <c r="W1517" s="184"/>
      <c r="X1517" s="184"/>
    </row>
    <row r="1518">
      <c r="A1518" s="198"/>
      <c r="D1518" s="198" t="str">
        <f>IFERROR(__xludf.DUMMYFUNCTION("""COMPUTED_VALUE"""),"FALSE")</f>
        <v>FALSE</v>
      </c>
      <c r="E1518" s="198" t="str">
        <f>IFERROR(__xludf.DUMMYFUNCTION("""COMPUTED_VALUE"""),"FALSE")</f>
        <v>FALSE</v>
      </c>
      <c r="F1518" s="198"/>
      <c r="J1518" s="184" t="str">
        <f>IFERROR(__xludf.DUMMYFUNCTION("""COMPUTED_VALUE"""),"")</f>
        <v/>
      </c>
      <c r="K1518" s="184"/>
      <c r="L1518" s="184"/>
      <c r="M1518" s="184"/>
      <c r="N1518" s="184"/>
      <c r="O1518" s="184"/>
      <c r="P1518" s="184"/>
      <c r="Q1518" s="184"/>
      <c r="R1518" s="184"/>
      <c r="S1518" s="184"/>
      <c r="T1518" s="184"/>
      <c r="U1518" s="184"/>
      <c r="V1518" s="184"/>
      <c r="W1518" s="184"/>
      <c r="X1518" s="184"/>
    </row>
    <row r="1519">
      <c r="A1519" s="198"/>
      <c r="D1519" s="198" t="str">
        <f>IFERROR(__xludf.DUMMYFUNCTION("""COMPUTED_VALUE"""),"FALSE")</f>
        <v>FALSE</v>
      </c>
      <c r="E1519" s="198" t="str">
        <f>IFERROR(__xludf.DUMMYFUNCTION("""COMPUTED_VALUE"""),"FALSE")</f>
        <v>FALSE</v>
      </c>
      <c r="F1519" s="198"/>
      <c r="J1519" s="184" t="str">
        <f>IFERROR(__xludf.DUMMYFUNCTION("""COMPUTED_VALUE"""),"")</f>
        <v/>
      </c>
      <c r="K1519" s="184"/>
      <c r="L1519" s="184"/>
      <c r="M1519" s="184"/>
      <c r="N1519" s="184"/>
      <c r="O1519" s="184"/>
      <c r="P1519" s="184"/>
      <c r="Q1519" s="184"/>
      <c r="R1519" s="184"/>
      <c r="S1519" s="184"/>
      <c r="T1519" s="184"/>
      <c r="U1519" s="184"/>
      <c r="V1519" s="184"/>
      <c r="W1519" s="184"/>
      <c r="X1519" s="184"/>
    </row>
    <row r="1520">
      <c r="A1520" s="198"/>
      <c r="D1520" s="198" t="str">
        <f>IFERROR(__xludf.DUMMYFUNCTION("""COMPUTED_VALUE"""),"FALSE")</f>
        <v>FALSE</v>
      </c>
      <c r="E1520" s="198" t="str">
        <f>IFERROR(__xludf.DUMMYFUNCTION("""COMPUTED_VALUE"""),"FALSE")</f>
        <v>FALSE</v>
      </c>
      <c r="F1520" s="198"/>
      <c r="J1520" s="184" t="str">
        <f>IFERROR(__xludf.DUMMYFUNCTION("""COMPUTED_VALUE"""),"")</f>
        <v/>
      </c>
      <c r="K1520" s="184"/>
      <c r="L1520" s="184"/>
      <c r="M1520" s="184"/>
      <c r="N1520" s="184"/>
      <c r="O1520" s="184"/>
      <c r="P1520" s="184"/>
      <c r="Q1520" s="184"/>
      <c r="R1520" s="184"/>
      <c r="S1520" s="184"/>
      <c r="T1520" s="184"/>
      <c r="U1520" s="184"/>
      <c r="V1520" s="184"/>
      <c r="W1520" s="184"/>
      <c r="X1520" s="184"/>
    </row>
    <row r="1521">
      <c r="A1521" s="198"/>
      <c r="D1521" s="198" t="str">
        <f>IFERROR(__xludf.DUMMYFUNCTION("""COMPUTED_VALUE"""),"FALSE")</f>
        <v>FALSE</v>
      </c>
      <c r="E1521" s="198" t="str">
        <f>IFERROR(__xludf.DUMMYFUNCTION("""COMPUTED_VALUE"""),"FALSE")</f>
        <v>FALSE</v>
      </c>
      <c r="F1521" s="198"/>
      <c r="J1521" s="184" t="str">
        <f>IFERROR(__xludf.DUMMYFUNCTION("""COMPUTED_VALUE"""),"")</f>
        <v/>
      </c>
      <c r="K1521" s="184"/>
      <c r="L1521" s="184"/>
      <c r="M1521" s="184"/>
      <c r="N1521" s="184"/>
      <c r="O1521" s="184"/>
      <c r="P1521" s="184"/>
      <c r="Q1521" s="184"/>
      <c r="R1521" s="184"/>
      <c r="S1521" s="184"/>
      <c r="T1521" s="184"/>
      <c r="U1521" s="184"/>
      <c r="V1521" s="184"/>
      <c r="W1521" s="184"/>
      <c r="X1521" s="184"/>
    </row>
    <row r="1522">
      <c r="A1522" s="198"/>
      <c r="D1522" s="198" t="str">
        <f>IFERROR(__xludf.DUMMYFUNCTION("""COMPUTED_VALUE"""),"FALSE")</f>
        <v>FALSE</v>
      </c>
      <c r="E1522" s="198" t="str">
        <f>IFERROR(__xludf.DUMMYFUNCTION("""COMPUTED_VALUE"""),"FALSE")</f>
        <v>FALSE</v>
      </c>
      <c r="F1522" s="198"/>
      <c r="J1522" s="184" t="str">
        <f>IFERROR(__xludf.DUMMYFUNCTION("""COMPUTED_VALUE"""),"")</f>
        <v/>
      </c>
      <c r="K1522" s="184"/>
      <c r="L1522" s="184"/>
      <c r="M1522" s="184"/>
      <c r="N1522" s="184"/>
      <c r="O1522" s="184"/>
      <c r="P1522" s="184"/>
      <c r="Q1522" s="184"/>
      <c r="R1522" s="184"/>
      <c r="S1522" s="184"/>
      <c r="T1522" s="184"/>
      <c r="U1522" s="184"/>
      <c r="V1522" s="184"/>
      <c r="W1522" s="184"/>
      <c r="X1522" s="184"/>
    </row>
    <row r="1523">
      <c r="A1523" s="198"/>
      <c r="D1523" s="198" t="str">
        <f>IFERROR(__xludf.DUMMYFUNCTION("""COMPUTED_VALUE"""),"FALSE")</f>
        <v>FALSE</v>
      </c>
      <c r="E1523" s="198" t="str">
        <f>IFERROR(__xludf.DUMMYFUNCTION("""COMPUTED_VALUE"""),"FALSE")</f>
        <v>FALSE</v>
      </c>
      <c r="F1523" s="198"/>
      <c r="J1523" s="184" t="str">
        <f>IFERROR(__xludf.DUMMYFUNCTION("""COMPUTED_VALUE"""),"")</f>
        <v/>
      </c>
      <c r="K1523" s="184"/>
      <c r="L1523" s="184"/>
      <c r="M1523" s="184"/>
      <c r="N1523" s="184"/>
      <c r="O1523" s="184"/>
      <c r="P1523" s="184"/>
      <c r="Q1523" s="184"/>
      <c r="R1523" s="184"/>
      <c r="S1523" s="184"/>
      <c r="T1523" s="184"/>
      <c r="U1523" s="184"/>
      <c r="V1523" s="184"/>
      <c r="W1523" s="184"/>
      <c r="X1523" s="184"/>
    </row>
    <row r="1524">
      <c r="A1524" s="198"/>
      <c r="D1524" s="198" t="str">
        <f>IFERROR(__xludf.DUMMYFUNCTION("""COMPUTED_VALUE"""),"FALSE")</f>
        <v>FALSE</v>
      </c>
      <c r="E1524" s="198" t="str">
        <f>IFERROR(__xludf.DUMMYFUNCTION("""COMPUTED_VALUE"""),"FALSE")</f>
        <v>FALSE</v>
      </c>
      <c r="F1524" s="198"/>
      <c r="J1524" s="184" t="str">
        <f>IFERROR(__xludf.DUMMYFUNCTION("""COMPUTED_VALUE"""),"")</f>
        <v/>
      </c>
      <c r="K1524" s="184"/>
      <c r="L1524" s="184"/>
      <c r="M1524" s="184"/>
      <c r="N1524" s="184"/>
      <c r="O1524" s="184"/>
      <c r="P1524" s="184"/>
      <c r="Q1524" s="184"/>
      <c r="R1524" s="184"/>
      <c r="S1524" s="184"/>
      <c r="T1524" s="184"/>
      <c r="U1524" s="184"/>
      <c r="V1524" s="184"/>
      <c r="W1524" s="184"/>
      <c r="X1524" s="184"/>
    </row>
    <row r="1525">
      <c r="A1525" s="198"/>
      <c r="D1525" s="198" t="str">
        <f>IFERROR(__xludf.DUMMYFUNCTION("""COMPUTED_VALUE"""),"FALSE")</f>
        <v>FALSE</v>
      </c>
      <c r="E1525" s="198" t="str">
        <f>IFERROR(__xludf.DUMMYFUNCTION("""COMPUTED_VALUE"""),"FALSE")</f>
        <v>FALSE</v>
      </c>
      <c r="F1525" s="198"/>
      <c r="J1525" s="184" t="str">
        <f>IFERROR(__xludf.DUMMYFUNCTION("""COMPUTED_VALUE"""),"")</f>
        <v/>
      </c>
      <c r="K1525" s="184"/>
      <c r="L1525" s="184"/>
      <c r="M1525" s="184"/>
      <c r="N1525" s="184"/>
      <c r="O1525" s="184"/>
      <c r="P1525" s="184"/>
      <c r="Q1525" s="184"/>
      <c r="R1525" s="184"/>
      <c r="S1525" s="184"/>
      <c r="T1525" s="184"/>
      <c r="U1525" s="184"/>
      <c r="V1525" s="184"/>
      <c r="W1525" s="184"/>
      <c r="X1525" s="184"/>
    </row>
    <row r="1526">
      <c r="A1526" s="198"/>
      <c r="D1526" s="198" t="str">
        <f>IFERROR(__xludf.DUMMYFUNCTION("""COMPUTED_VALUE"""),"FALSE")</f>
        <v>FALSE</v>
      </c>
      <c r="E1526" s="198" t="str">
        <f>IFERROR(__xludf.DUMMYFUNCTION("""COMPUTED_VALUE"""),"FALSE")</f>
        <v>FALSE</v>
      </c>
      <c r="F1526" s="198"/>
      <c r="J1526" s="184" t="str">
        <f>IFERROR(__xludf.DUMMYFUNCTION("""COMPUTED_VALUE"""),"")</f>
        <v/>
      </c>
      <c r="K1526" s="184"/>
      <c r="L1526" s="184"/>
      <c r="M1526" s="184"/>
      <c r="N1526" s="184"/>
      <c r="O1526" s="184"/>
      <c r="P1526" s="184"/>
      <c r="Q1526" s="184"/>
      <c r="R1526" s="184"/>
      <c r="S1526" s="184"/>
      <c r="T1526" s="184"/>
      <c r="U1526" s="184"/>
      <c r="V1526" s="184"/>
      <c r="W1526" s="184"/>
      <c r="X1526" s="184"/>
    </row>
    <row r="1527">
      <c r="A1527" s="198"/>
      <c r="D1527" s="198" t="str">
        <f>IFERROR(__xludf.DUMMYFUNCTION("""COMPUTED_VALUE"""),"FALSE")</f>
        <v>FALSE</v>
      </c>
      <c r="E1527" s="198" t="str">
        <f>IFERROR(__xludf.DUMMYFUNCTION("""COMPUTED_VALUE"""),"FALSE")</f>
        <v>FALSE</v>
      </c>
      <c r="F1527" s="198"/>
      <c r="J1527" s="184" t="str">
        <f>IFERROR(__xludf.DUMMYFUNCTION("""COMPUTED_VALUE"""),"")</f>
        <v/>
      </c>
      <c r="K1527" s="184"/>
      <c r="L1527" s="184"/>
      <c r="M1527" s="184"/>
      <c r="N1527" s="184"/>
      <c r="O1527" s="184"/>
      <c r="P1527" s="184"/>
      <c r="Q1527" s="184"/>
      <c r="R1527" s="184"/>
      <c r="S1527" s="184"/>
      <c r="T1527" s="184"/>
      <c r="U1527" s="184"/>
      <c r="V1527" s="184"/>
      <c r="W1527" s="184"/>
      <c r="X1527" s="184"/>
    </row>
    <row r="1528">
      <c r="A1528" s="198"/>
      <c r="D1528" s="198" t="str">
        <f>IFERROR(__xludf.DUMMYFUNCTION("""COMPUTED_VALUE"""),"FALSE")</f>
        <v>FALSE</v>
      </c>
      <c r="E1528" s="198" t="str">
        <f>IFERROR(__xludf.DUMMYFUNCTION("""COMPUTED_VALUE"""),"FALSE")</f>
        <v>FALSE</v>
      </c>
      <c r="F1528" s="198"/>
      <c r="J1528" s="184" t="str">
        <f>IFERROR(__xludf.DUMMYFUNCTION("""COMPUTED_VALUE"""),"")</f>
        <v/>
      </c>
      <c r="K1528" s="184"/>
      <c r="L1528" s="184"/>
      <c r="M1528" s="184"/>
      <c r="N1528" s="184"/>
      <c r="O1528" s="184"/>
      <c r="P1528" s="184"/>
      <c r="Q1528" s="184"/>
      <c r="R1528" s="184"/>
      <c r="S1528" s="184"/>
      <c r="T1528" s="184"/>
      <c r="U1528" s="184"/>
      <c r="V1528" s="184"/>
      <c r="W1528" s="184"/>
      <c r="X1528" s="184"/>
    </row>
    <row r="1529">
      <c r="A1529" s="198"/>
      <c r="D1529" s="198" t="str">
        <f>IFERROR(__xludf.DUMMYFUNCTION("""COMPUTED_VALUE"""),"FALSE")</f>
        <v>FALSE</v>
      </c>
      <c r="E1529" s="198" t="str">
        <f>IFERROR(__xludf.DUMMYFUNCTION("""COMPUTED_VALUE"""),"FALSE")</f>
        <v>FALSE</v>
      </c>
      <c r="F1529" s="198"/>
      <c r="J1529" s="184" t="str">
        <f>IFERROR(__xludf.DUMMYFUNCTION("""COMPUTED_VALUE"""),"")</f>
        <v/>
      </c>
      <c r="K1529" s="184"/>
      <c r="L1529" s="184"/>
      <c r="M1529" s="184"/>
      <c r="N1529" s="184"/>
      <c r="O1529" s="184"/>
      <c r="P1529" s="184"/>
      <c r="Q1529" s="184"/>
      <c r="R1529" s="184"/>
      <c r="S1529" s="184"/>
      <c r="T1529" s="184"/>
      <c r="U1529" s="184"/>
      <c r="V1529" s="184"/>
      <c r="W1529" s="184"/>
      <c r="X1529" s="184"/>
    </row>
    <row r="1530">
      <c r="A1530" s="198"/>
      <c r="D1530" s="198" t="str">
        <f>IFERROR(__xludf.DUMMYFUNCTION("""COMPUTED_VALUE"""),"FALSE")</f>
        <v>FALSE</v>
      </c>
      <c r="E1530" s="198" t="str">
        <f>IFERROR(__xludf.DUMMYFUNCTION("""COMPUTED_VALUE"""),"FALSE")</f>
        <v>FALSE</v>
      </c>
      <c r="F1530" s="198"/>
      <c r="J1530" s="184" t="str">
        <f>IFERROR(__xludf.DUMMYFUNCTION("""COMPUTED_VALUE"""),"")</f>
        <v/>
      </c>
      <c r="K1530" s="184"/>
      <c r="L1530" s="184"/>
      <c r="M1530" s="184"/>
      <c r="N1530" s="184"/>
      <c r="O1530" s="184"/>
      <c r="P1530" s="184"/>
      <c r="Q1530" s="184"/>
      <c r="R1530" s="184"/>
      <c r="S1530" s="184"/>
      <c r="T1530" s="184"/>
      <c r="U1530" s="184"/>
      <c r="V1530" s="184"/>
      <c r="W1530" s="184"/>
      <c r="X1530" s="184"/>
    </row>
    <row r="1531">
      <c r="A1531" s="198"/>
      <c r="D1531" s="198" t="str">
        <f>IFERROR(__xludf.DUMMYFUNCTION("""COMPUTED_VALUE"""),"FALSE")</f>
        <v>FALSE</v>
      </c>
      <c r="E1531" s="198" t="str">
        <f>IFERROR(__xludf.DUMMYFUNCTION("""COMPUTED_VALUE"""),"FALSE")</f>
        <v>FALSE</v>
      </c>
      <c r="F1531" s="198"/>
      <c r="J1531" s="184" t="str">
        <f>IFERROR(__xludf.DUMMYFUNCTION("""COMPUTED_VALUE"""),"")</f>
        <v/>
      </c>
      <c r="K1531" s="184"/>
      <c r="L1531" s="184"/>
      <c r="M1531" s="184"/>
      <c r="N1531" s="184"/>
      <c r="O1531" s="184"/>
      <c r="P1531" s="184"/>
      <c r="Q1531" s="184"/>
      <c r="R1531" s="184"/>
      <c r="S1531" s="184"/>
      <c r="T1531" s="184"/>
      <c r="U1531" s="184"/>
      <c r="V1531" s="184"/>
      <c r="W1531" s="184"/>
      <c r="X1531" s="184"/>
    </row>
    <row r="1532">
      <c r="A1532" s="198"/>
      <c r="D1532" s="198" t="str">
        <f>IFERROR(__xludf.DUMMYFUNCTION("""COMPUTED_VALUE"""),"FALSE")</f>
        <v>FALSE</v>
      </c>
      <c r="E1532" s="198" t="str">
        <f>IFERROR(__xludf.DUMMYFUNCTION("""COMPUTED_VALUE"""),"FALSE")</f>
        <v>FALSE</v>
      </c>
      <c r="F1532" s="198"/>
      <c r="J1532" s="184" t="str">
        <f>IFERROR(__xludf.DUMMYFUNCTION("""COMPUTED_VALUE"""),"")</f>
        <v/>
      </c>
      <c r="K1532" s="184"/>
      <c r="L1532" s="184"/>
      <c r="M1532" s="184"/>
      <c r="N1532" s="184"/>
      <c r="O1532" s="184"/>
      <c r="P1532" s="184"/>
      <c r="Q1532" s="184"/>
      <c r="R1532" s="184"/>
      <c r="S1532" s="184"/>
      <c r="T1532" s="184"/>
      <c r="U1532" s="184"/>
      <c r="V1532" s="184"/>
      <c r="W1532" s="184"/>
      <c r="X1532" s="184"/>
    </row>
    <row r="1533">
      <c r="A1533" s="198"/>
      <c r="D1533" s="198" t="str">
        <f>IFERROR(__xludf.DUMMYFUNCTION("""COMPUTED_VALUE"""),"FALSE")</f>
        <v>FALSE</v>
      </c>
      <c r="E1533" s="198" t="str">
        <f>IFERROR(__xludf.DUMMYFUNCTION("""COMPUTED_VALUE"""),"FALSE")</f>
        <v>FALSE</v>
      </c>
      <c r="F1533" s="198"/>
      <c r="J1533" s="184" t="str">
        <f>IFERROR(__xludf.DUMMYFUNCTION("""COMPUTED_VALUE"""),"")</f>
        <v/>
      </c>
      <c r="K1533" s="184"/>
      <c r="L1533" s="184"/>
      <c r="M1533" s="184"/>
      <c r="N1533" s="184"/>
      <c r="O1533" s="184"/>
      <c r="P1533" s="184"/>
      <c r="Q1533" s="184"/>
      <c r="R1533" s="184"/>
      <c r="S1533" s="184"/>
      <c r="T1533" s="184"/>
      <c r="U1533" s="184"/>
      <c r="V1533" s="184"/>
      <c r="W1533" s="184"/>
      <c r="X1533" s="184"/>
    </row>
    <row r="1534">
      <c r="A1534" s="198"/>
      <c r="D1534" s="198" t="str">
        <f>IFERROR(__xludf.DUMMYFUNCTION("""COMPUTED_VALUE"""),"FALSE")</f>
        <v>FALSE</v>
      </c>
      <c r="E1534" s="198" t="str">
        <f>IFERROR(__xludf.DUMMYFUNCTION("""COMPUTED_VALUE"""),"FALSE")</f>
        <v>FALSE</v>
      </c>
      <c r="F1534" s="198"/>
      <c r="J1534" s="184" t="str">
        <f>IFERROR(__xludf.DUMMYFUNCTION("""COMPUTED_VALUE"""),"")</f>
        <v/>
      </c>
      <c r="K1534" s="184"/>
      <c r="L1534" s="184"/>
      <c r="M1534" s="184"/>
      <c r="N1534" s="184"/>
      <c r="O1534" s="184"/>
      <c r="P1534" s="184"/>
      <c r="Q1534" s="184"/>
      <c r="R1534" s="184"/>
      <c r="S1534" s="184"/>
      <c r="T1534" s="184"/>
      <c r="U1534" s="184"/>
      <c r="V1534" s="184"/>
      <c r="W1534" s="184"/>
      <c r="X1534" s="184"/>
    </row>
    <row r="1535">
      <c r="A1535" s="198"/>
      <c r="D1535" s="198" t="str">
        <f>IFERROR(__xludf.DUMMYFUNCTION("""COMPUTED_VALUE"""),"FALSE")</f>
        <v>FALSE</v>
      </c>
      <c r="E1535" s="198" t="str">
        <f>IFERROR(__xludf.DUMMYFUNCTION("""COMPUTED_VALUE"""),"FALSE")</f>
        <v>FALSE</v>
      </c>
      <c r="F1535" s="198"/>
      <c r="J1535" s="184" t="str">
        <f>IFERROR(__xludf.DUMMYFUNCTION("""COMPUTED_VALUE"""),"")</f>
        <v/>
      </c>
      <c r="K1535" s="184"/>
      <c r="L1535" s="184"/>
      <c r="M1535" s="184"/>
      <c r="N1535" s="184"/>
      <c r="O1535" s="184"/>
      <c r="P1535" s="184"/>
      <c r="Q1535" s="184"/>
      <c r="R1535" s="184"/>
      <c r="S1535" s="184"/>
      <c r="T1535" s="184"/>
      <c r="U1535" s="184"/>
      <c r="V1535" s="184"/>
      <c r="W1535" s="184"/>
      <c r="X1535" s="184"/>
    </row>
    <row r="1536">
      <c r="A1536" s="198"/>
      <c r="D1536" s="198" t="str">
        <f>IFERROR(__xludf.DUMMYFUNCTION("""COMPUTED_VALUE"""),"FALSE")</f>
        <v>FALSE</v>
      </c>
      <c r="E1536" s="198" t="str">
        <f>IFERROR(__xludf.DUMMYFUNCTION("""COMPUTED_VALUE"""),"FALSE")</f>
        <v>FALSE</v>
      </c>
      <c r="F1536" s="198"/>
      <c r="J1536" s="184" t="str">
        <f>IFERROR(__xludf.DUMMYFUNCTION("""COMPUTED_VALUE"""),"")</f>
        <v/>
      </c>
      <c r="K1536" s="184"/>
      <c r="L1536" s="184"/>
      <c r="M1536" s="184"/>
      <c r="N1536" s="184"/>
      <c r="O1536" s="184"/>
      <c r="P1536" s="184"/>
      <c r="Q1536" s="184"/>
      <c r="R1536" s="184"/>
      <c r="S1536" s="184"/>
      <c r="T1536" s="184"/>
      <c r="U1536" s="184"/>
      <c r="V1536" s="184"/>
      <c r="W1536" s="184"/>
      <c r="X1536" s="184"/>
    </row>
    <row r="1537">
      <c r="A1537" s="198"/>
      <c r="D1537" s="198" t="str">
        <f>IFERROR(__xludf.DUMMYFUNCTION("""COMPUTED_VALUE"""),"FALSE")</f>
        <v>FALSE</v>
      </c>
      <c r="E1537" s="198" t="str">
        <f>IFERROR(__xludf.DUMMYFUNCTION("""COMPUTED_VALUE"""),"FALSE")</f>
        <v>FALSE</v>
      </c>
      <c r="F1537" s="198"/>
      <c r="J1537" s="184" t="str">
        <f>IFERROR(__xludf.DUMMYFUNCTION("""COMPUTED_VALUE"""),"")</f>
        <v/>
      </c>
      <c r="K1537" s="184"/>
      <c r="L1537" s="184"/>
      <c r="M1537" s="184"/>
      <c r="N1537" s="184"/>
      <c r="O1537" s="184"/>
      <c r="P1537" s="184"/>
      <c r="Q1537" s="184"/>
      <c r="R1537" s="184"/>
      <c r="S1537" s="184"/>
      <c r="T1537" s="184"/>
      <c r="U1537" s="184"/>
      <c r="V1537" s="184"/>
      <c r="W1537" s="184"/>
      <c r="X1537" s="184"/>
    </row>
    <row r="1538">
      <c r="A1538" s="198"/>
      <c r="D1538" s="198" t="str">
        <f>IFERROR(__xludf.DUMMYFUNCTION("""COMPUTED_VALUE"""),"FALSE")</f>
        <v>FALSE</v>
      </c>
      <c r="E1538" s="198" t="str">
        <f>IFERROR(__xludf.DUMMYFUNCTION("""COMPUTED_VALUE"""),"FALSE")</f>
        <v>FALSE</v>
      </c>
      <c r="F1538" s="198"/>
      <c r="J1538" s="184" t="str">
        <f>IFERROR(__xludf.DUMMYFUNCTION("""COMPUTED_VALUE"""),"")</f>
        <v/>
      </c>
      <c r="K1538" s="184"/>
      <c r="L1538" s="184"/>
      <c r="M1538" s="184"/>
      <c r="N1538" s="184"/>
      <c r="O1538" s="184"/>
      <c r="P1538" s="184"/>
      <c r="Q1538" s="184"/>
      <c r="R1538" s="184"/>
      <c r="S1538" s="184"/>
      <c r="T1538" s="184"/>
      <c r="U1538" s="184"/>
      <c r="V1538" s="184"/>
      <c r="W1538" s="184"/>
      <c r="X1538" s="184"/>
    </row>
    <row r="1539">
      <c r="A1539" s="198"/>
      <c r="D1539" s="198" t="str">
        <f>IFERROR(__xludf.DUMMYFUNCTION("""COMPUTED_VALUE"""),"FALSE")</f>
        <v>FALSE</v>
      </c>
      <c r="E1539" s="198" t="str">
        <f>IFERROR(__xludf.DUMMYFUNCTION("""COMPUTED_VALUE"""),"FALSE")</f>
        <v>FALSE</v>
      </c>
      <c r="F1539" s="198"/>
      <c r="J1539" s="184" t="str">
        <f>IFERROR(__xludf.DUMMYFUNCTION("""COMPUTED_VALUE"""),"")</f>
        <v/>
      </c>
      <c r="K1539" s="184"/>
      <c r="L1539" s="184"/>
      <c r="M1539" s="184"/>
      <c r="N1539" s="184"/>
      <c r="O1539" s="184"/>
      <c r="P1539" s="184"/>
      <c r="Q1539" s="184"/>
      <c r="R1539" s="184"/>
      <c r="S1539" s="184"/>
      <c r="T1539" s="184"/>
      <c r="U1539" s="184"/>
      <c r="V1539" s="184"/>
      <c r="W1539" s="184"/>
      <c r="X1539" s="184"/>
    </row>
    <row r="1540">
      <c r="A1540" s="198"/>
      <c r="D1540" s="198" t="str">
        <f>IFERROR(__xludf.DUMMYFUNCTION("""COMPUTED_VALUE"""),"FALSE")</f>
        <v>FALSE</v>
      </c>
      <c r="E1540" s="198" t="str">
        <f>IFERROR(__xludf.DUMMYFUNCTION("""COMPUTED_VALUE"""),"FALSE")</f>
        <v>FALSE</v>
      </c>
      <c r="F1540" s="198"/>
      <c r="J1540" s="184" t="str">
        <f>IFERROR(__xludf.DUMMYFUNCTION("""COMPUTED_VALUE"""),"")</f>
        <v/>
      </c>
      <c r="K1540" s="184"/>
      <c r="L1540" s="184"/>
      <c r="M1540" s="184"/>
      <c r="N1540" s="184"/>
      <c r="O1540" s="184"/>
      <c r="P1540" s="184"/>
      <c r="Q1540" s="184"/>
      <c r="R1540" s="184"/>
      <c r="S1540" s="184"/>
      <c r="T1540" s="184"/>
      <c r="U1540" s="184"/>
      <c r="V1540" s="184"/>
      <c r="W1540" s="184"/>
      <c r="X1540" s="184"/>
    </row>
    <row r="1541">
      <c r="A1541" s="198"/>
      <c r="D1541" s="198" t="str">
        <f>IFERROR(__xludf.DUMMYFUNCTION("""COMPUTED_VALUE"""),"FALSE")</f>
        <v>FALSE</v>
      </c>
      <c r="E1541" s="198" t="str">
        <f>IFERROR(__xludf.DUMMYFUNCTION("""COMPUTED_VALUE"""),"FALSE")</f>
        <v>FALSE</v>
      </c>
      <c r="F1541" s="198"/>
      <c r="J1541" s="184" t="str">
        <f>IFERROR(__xludf.DUMMYFUNCTION("""COMPUTED_VALUE"""),"")</f>
        <v/>
      </c>
      <c r="K1541" s="184"/>
      <c r="L1541" s="184"/>
      <c r="M1541" s="184"/>
      <c r="N1541" s="184"/>
      <c r="O1541" s="184"/>
      <c r="P1541" s="184"/>
      <c r="Q1541" s="184"/>
      <c r="R1541" s="184"/>
      <c r="S1541" s="184"/>
      <c r="T1541" s="184"/>
      <c r="U1541" s="184"/>
      <c r="V1541" s="184"/>
      <c r="W1541" s="184"/>
      <c r="X1541" s="184"/>
    </row>
    <row r="1542">
      <c r="A1542" s="198"/>
      <c r="D1542" s="198" t="str">
        <f>IFERROR(__xludf.DUMMYFUNCTION("""COMPUTED_VALUE"""),"FALSE")</f>
        <v>FALSE</v>
      </c>
      <c r="E1542" s="198" t="str">
        <f>IFERROR(__xludf.DUMMYFUNCTION("""COMPUTED_VALUE"""),"FALSE")</f>
        <v>FALSE</v>
      </c>
      <c r="F1542" s="198"/>
      <c r="J1542" s="184" t="str">
        <f>IFERROR(__xludf.DUMMYFUNCTION("""COMPUTED_VALUE"""),"")</f>
        <v/>
      </c>
      <c r="K1542" s="184"/>
      <c r="L1542" s="184"/>
      <c r="M1542" s="184"/>
      <c r="N1542" s="184"/>
      <c r="O1542" s="184"/>
      <c r="P1542" s="184"/>
      <c r="Q1542" s="184"/>
      <c r="R1542" s="184"/>
      <c r="S1542" s="184"/>
      <c r="T1542" s="184"/>
      <c r="U1542" s="184"/>
      <c r="V1542" s="184"/>
      <c r="W1542" s="184"/>
      <c r="X1542" s="184"/>
    </row>
    <row r="1543">
      <c r="A1543" s="198"/>
      <c r="D1543" s="198" t="str">
        <f>IFERROR(__xludf.DUMMYFUNCTION("""COMPUTED_VALUE"""),"FALSE")</f>
        <v>FALSE</v>
      </c>
      <c r="E1543" s="198" t="str">
        <f>IFERROR(__xludf.DUMMYFUNCTION("""COMPUTED_VALUE"""),"FALSE")</f>
        <v>FALSE</v>
      </c>
      <c r="F1543" s="198"/>
      <c r="J1543" s="184" t="str">
        <f>IFERROR(__xludf.DUMMYFUNCTION("""COMPUTED_VALUE"""),"")</f>
        <v/>
      </c>
      <c r="K1543" s="184"/>
      <c r="L1543" s="184"/>
      <c r="M1543" s="184"/>
      <c r="N1543" s="184"/>
      <c r="O1543" s="184"/>
      <c r="P1543" s="184"/>
      <c r="Q1543" s="184"/>
      <c r="R1543" s="184"/>
      <c r="S1543" s="184"/>
      <c r="T1543" s="184"/>
      <c r="U1543" s="184"/>
      <c r="V1543" s="184"/>
      <c r="W1543" s="184"/>
      <c r="X1543" s="184"/>
    </row>
    <row r="1544">
      <c r="A1544" s="198"/>
      <c r="D1544" s="198" t="str">
        <f>IFERROR(__xludf.DUMMYFUNCTION("""COMPUTED_VALUE"""),"FALSE")</f>
        <v>FALSE</v>
      </c>
      <c r="E1544" s="198" t="str">
        <f>IFERROR(__xludf.DUMMYFUNCTION("""COMPUTED_VALUE"""),"FALSE")</f>
        <v>FALSE</v>
      </c>
      <c r="F1544" s="198"/>
      <c r="J1544" s="184" t="str">
        <f>IFERROR(__xludf.DUMMYFUNCTION("""COMPUTED_VALUE"""),"")</f>
        <v/>
      </c>
      <c r="K1544" s="184"/>
      <c r="L1544" s="184"/>
      <c r="M1544" s="184"/>
      <c r="N1544" s="184"/>
      <c r="O1544" s="184"/>
      <c r="P1544" s="184"/>
      <c r="Q1544" s="184"/>
      <c r="R1544" s="184"/>
      <c r="S1544" s="184"/>
      <c r="T1544" s="184"/>
      <c r="U1544" s="184"/>
      <c r="V1544" s="184"/>
      <c r="W1544" s="184"/>
      <c r="X1544" s="184"/>
    </row>
    <row r="1545">
      <c r="A1545" s="198"/>
      <c r="D1545" s="198" t="str">
        <f>IFERROR(__xludf.DUMMYFUNCTION("""COMPUTED_VALUE"""),"FALSE")</f>
        <v>FALSE</v>
      </c>
      <c r="E1545" s="198" t="str">
        <f>IFERROR(__xludf.DUMMYFUNCTION("""COMPUTED_VALUE"""),"FALSE")</f>
        <v>FALSE</v>
      </c>
      <c r="F1545" s="198"/>
      <c r="J1545" s="184" t="str">
        <f>IFERROR(__xludf.DUMMYFUNCTION("""COMPUTED_VALUE"""),"")</f>
        <v/>
      </c>
      <c r="K1545" s="184"/>
      <c r="L1545" s="184"/>
      <c r="M1545" s="184"/>
      <c r="N1545" s="184"/>
      <c r="O1545" s="184"/>
      <c r="P1545" s="184"/>
      <c r="Q1545" s="184"/>
      <c r="R1545" s="184"/>
      <c r="S1545" s="184"/>
      <c r="T1545" s="184"/>
      <c r="U1545" s="184"/>
      <c r="V1545" s="184"/>
      <c r="W1545" s="184"/>
      <c r="X1545" s="184"/>
    </row>
    <row r="1546">
      <c r="A1546" s="198"/>
      <c r="D1546" s="198" t="str">
        <f>IFERROR(__xludf.DUMMYFUNCTION("""COMPUTED_VALUE"""),"FALSE")</f>
        <v>FALSE</v>
      </c>
      <c r="E1546" s="198" t="str">
        <f>IFERROR(__xludf.DUMMYFUNCTION("""COMPUTED_VALUE"""),"FALSE")</f>
        <v>FALSE</v>
      </c>
      <c r="F1546" s="198"/>
      <c r="J1546" s="184" t="str">
        <f>IFERROR(__xludf.DUMMYFUNCTION("""COMPUTED_VALUE"""),"")</f>
        <v/>
      </c>
      <c r="K1546" s="184"/>
      <c r="L1546" s="184"/>
      <c r="M1546" s="184"/>
      <c r="N1546" s="184"/>
      <c r="O1546" s="184"/>
      <c r="P1546" s="184"/>
      <c r="Q1546" s="184"/>
      <c r="R1546" s="184"/>
      <c r="S1546" s="184"/>
      <c r="T1546" s="184"/>
      <c r="U1546" s="184"/>
      <c r="V1546" s="184"/>
      <c r="W1546" s="184"/>
      <c r="X1546" s="184"/>
    </row>
    <row r="1547">
      <c r="A1547" s="198"/>
      <c r="D1547" s="198" t="str">
        <f>IFERROR(__xludf.DUMMYFUNCTION("""COMPUTED_VALUE"""),"FALSE")</f>
        <v>FALSE</v>
      </c>
      <c r="E1547" s="198" t="str">
        <f>IFERROR(__xludf.DUMMYFUNCTION("""COMPUTED_VALUE"""),"FALSE")</f>
        <v>FALSE</v>
      </c>
      <c r="F1547" s="198"/>
      <c r="J1547" s="184" t="str">
        <f>IFERROR(__xludf.DUMMYFUNCTION("""COMPUTED_VALUE"""),"")</f>
        <v/>
      </c>
      <c r="K1547" s="184"/>
      <c r="L1547" s="184"/>
      <c r="M1547" s="184"/>
      <c r="N1547" s="184"/>
      <c r="O1547" s="184"/>
      <c r="P1547" s="184"/>
      <c r="Q1547" s="184"/>
      <c r="R1547" s="184"/>
      <c r="S1547" s="184"/>
      <c r="T1547" s="184"/>
      <c r="U1547" s="184"/>
      <c r="V1547" s="184"/>
      <c r="W1547" s="184"/>
      <c r="X1547" s="184"/>
    </row>
    <row r="1548">
      <c r="A1548" s="198"/>
      <c r="D1548" s="198" t="str">
        <f>IFERROR(__xludf.DUMMYFUNCTION("""COMPUTED_VALUE"""),"FALSE")</f>
        <v>FALSE</v>
      </c>
      <c r="E1548" s="198" t="str">
        <f>IFERROR(__xludf.DUMMYFUNCTION("""COMPUTED_VALUE"""),"FALSE")</f>
        <v>FALSE</v>
      </c>
      <c r="F1548" s="198"/>
      <c r="J1548" s="184" t="str">
        <f>IFERROR(__xludf.DUMMYFUNCTION("""COMPUTED_VALUE"""),"")</f>
        <v/>
      </c>
      <c r="K1548" s="184"/>
      <c r="L1548" s="184"/>
      <c r="M1548" s="184"/>
      <c r="N1548" s="184"/>
      <c r="O1548" s="184"/>
      <c r="P1548" s="184"/>
      <c r="Q1548" s="184"/>
      <c r="R1548" s="184"/>
      <c r="S1548" s="184"/>
      <c r="T1548" s="184"/>
      <c r="U1548" s="184"/>
      <c r="V1548" s="184"/>
      <c r="W1548" s="184"/>
      <c r="X1548" s="184"/>
    </row>
    <row r="1549">
      <c r="A1549" s="198"/>
      <c r="D1549" s="198" t="str">
        <f>IFERROR(__xludf.DUMMYFUNCTION("""COMPUTED_VALUE"""),"FALSE")</f>
        <v>FALSE</v>
      </c>
      <c r="E1549" s="198" t="str">
        <f>IFERROR(__xludf.DUMMYFUNCTION("""COMPUTED_VALUE"""),"FALSE")</f>
        <v>FALSE</v>
      </c>
      <c r="F1549" s="198"/>
      <c r="J1549" s="184" t="str">
        <f>IFERROR(__xludf.DUMMYFUNCTION("""COMPUTED_VALUE"""),"")</f>
        <v/>
      </c>
      <c r="K1549" s="184"/>
      <c r="L1549" s="184"/>
      <c r="M1549" s="184"/>
      <c r="N1549" s="184"/>
      <c r="O1549" s="184"/>
      <c r="P1549" s="184"/>
      <c r="Q1549" s="184"/>
      <c r="R1549" s="184"/>
      <c r="S1549" s="184"/>
      <c r="T1549" s="184"/>
      <c r="U1549" s="184"/>
      <c r="V1549" s="184"/>
      <c r="W1549" s="184"/>
      <c r="X1549" s="184"/>
    </row>
    <row r="1550">
      <c r="A1550" s="198"/>
      <c r="D1550" s="198" t="str">
        <f>IFERROR(__xludf.DUMMYFUNCTION("""COMPUTED_VALUE"""),"FALSE")</f>
        <v>FALSE</v>
      </c>
      <c r="E1550" s="198" t="str">
        <f>IFERROR(__xludf.DUMMYFUNCTION("""COMPUTED_VALUE"""),"FALSE")</f>
        <v>FALSE</v>
      </c>
      <c r="F1550" s="198"/>
      <c r="J1550" s="184" t="str">
        <f>IFERROR(__xludf.DUMMYFUNCTION("""COMPUTED_VALUE"""),"")</f>
        <v/>
      </c>
      <c r="K1550" s="184"/>
      <c r="L1550" s="184"/>
      <c r="M1550" s="184"/>
      <c r="N1550" s="184"/>
      <c r="O1550" s="184"/>
      <c r="P1550" s="184"/>
      <c r="Q1550" s="184"/>
      <c r="R1550" s="184"/>
      <c r="S1550" s="184"/>
      <c r="T1550" s="184"/>
      <c r="U1550" s="184"/>
      <c r="V1550" s="184"/>
      <c r="W1550" s="184"/>
      <c r="X1550" s="184"/>
    </row>
    <row r="1551">
      <c r="A1551" s="198"/>
      <c r="D1551" s="198" t="str">
        <f>IFERROR(__xludf.DUMMYFUNCTION("""COMPUTED_VALUE"""),"FALSE")</f>
        <v>FALSE</v>
      </c>
      <c r="E1551" s="198" t="str">
        <f>IFERROR(__xludf.DUMMYFUNCTION("""COMPUTED_VALUE"""),"FALSE")</f>
        <v>FALSE</v>
      </c>
      <c r="F1551" s="198"/>
      <c r="J1551" s="184" t="str">
        <f>IFERROR(__xludf.DUMMYFUNCTION("""COMPUTED_VALUE"""),"")</f>
        <v/>
      </c>
      <c r="K1551" s="184"/>
      <c r="L1551" s="184"/>
      <c r="M1551" s="184"/>
      <c r="N1551" s="184"/>
      <c r="O1551" s="184"/>
      <c r="P1551" s="184"/>
      <c r="Q1551" s="184"/>
      <c r="R1551" s="184"/>
      <c r="S1551" s="184"/>
      <c r="T1551" s="184"/>
      <c r="U1551" s="184"/>
      <c r="V1551" s="184"/>
      <c r="W1551" s="184"/>
      <c r="X1551" s="184"/>
    </row>
    <row r="1552">
      <c r="A1552" s="198"/>
      <c r="D1552" s="198" t="str">
        <f>IFERROR(__xludf.DUMMYFUNCTION("""COMPUTED_VALUE"""),"FALSE")</f>
        <v>FALSE</v>
      </c>
      <c r="E1552" s="198" t="str">
        <f>IFERROR(__xludf.DUMMYFUNCTION("""COMPUTED_VALUE"""),"FALSE")</f>
        <v>FALSE</v>
      </c>
      <c r="F1552" s="198"/>
      <c r="J1552" s="184" t="str">
        <f>IFERROR(__xludf.DUMMYFUNCTION("""COMPUTED_VALUE"""),"")</f>
        <v/>
      </c>
      <c r="K1552" s="184"/>
      <c r="L1552" s="184"/>
      <c r="M1552" s="184"/>
      <c r="N1552" s="184"/>
      <c r="O1552" s="184"/>
      <c r="P1552" s="184"/>
      <c r="Q1552" s="184"/>
      <c r="R1552" s="184"/>
      <c r="S1552" s="184"/>
      <c r="T1552" s="184"/>
      <c r="U1552" s="184"/>
      <c r="V1552" s="184"/>
      <c r="W1552" s="184"/>
      <c r="X1552" s="184"/>
    </row>
    <row r="1553">
      <c r="A1553" s="198"/>
      <c r="D1553" s="198" t="str">
        <f>IFERROR(__xludf.DUMMYFUNCTION("""COMPUTED_VALUE"""),"FALSE")</f>
        <v>FALSE</v>
      </c>
      <c r="E1553" s="198" t="str">
        <f>IFERROR(__xludf.DUMMYFUNCTION("""COMPUTED_VALUE"""),"FALSE")</f>
        <v>FALSE</v>
      </c>
      <c r="F1553" s="198"/>
      <c r="J1553" s="184" t="str">
        <f>IFERROR(__xludf.DUMMYFUNCTION("""COMPUTED_VALUE"""),"")</f>
        <v/>
      </c>
      <c r="K1553" s="184"/>
      <c r="L1553" s="184"/>
      <c r="M1553" s="184"/>
      <c r="N1553" s="184"/>
      <c r="O1553" s="184"/>
      <c r="P1553" s="184"/>
      <c r="Q1553" s="184"/>
      <c r="R1553" s="184"/>
      <c r="S1553" s="184"/>
      <c r="T1553" s="184"/>
      <c r="U1553" s="184"/>
      <c r="V1553" s="184"/>
      <c r="W1553" s="184"/>
      <c r="X1553" s="184"/>
    </row>
    <row r="1554">
      <c r="A1554" s="198"/>
      <c r="D1554" s="198" t="str">
        <f>IFERROR(__xludf.DUMMYFUNCTION("""COMPUTED_VALUE"""),"FALSE")</f>
        <v>FALSE</v>
      </c>
      <c r="E1554" s="198" t="str">
        <f>IFERROR(__xludf.DUMMYFUNCTION("""COMPUTED_VALUE"""),"FALSE")</f>
        <v>FALSE</v>
      </c>
      <c r="F1554" s="198"/>
      <c r="J1554" s="184" t="str">
        <f>IFERROR(__xludf.DUMMYFUNCTION("""COMPUTED_VALUE"""),"")</f>
        <v/>
      </c>
      <c r="K1554" s="184"/>
      <c r="L1554" s="184"/>
      <c r="M1554" s="184"/>
      <c r="N1554" s="184"/>
      <c r="O1554" s="184"/>
      <c r="P1554" s="184"/>
      <c r="Q1554" s="184"/>
      <c r="R1554" s="184"/>
      <c r="S1554" s="184"/>
      <c r="T1554" s="184"/>
      <c r="U1554" s="184"/>
      <c r="V1554" s="184"/>
      <c r="W1554" s="184"/>
      <c r="X1554" s="184"/>
    </row>
    <row r="1555">
      <c r="A1555" s="198"/>
      <c r="D1555" s="198" t="str">
        <f>IFERROR(__xludf.DUMMYFUNCTION("""COMPUTED_VALUE"""),"FALSE")</f>
        <v>FALSE</v>
      </c>
      <c r="E1555" s="198" t="str">
        <f>IFERROR(__xludf.DUMMYFUNCTION("""COMPUTED_VALUE"""),"FALSE")</f>
        <v>FALSE</v>
      </c>
      <c r="F1555" s="198"/>
      <c r="J1555" s="184" t="str">
        <f>IFERROR(__xludf.DUMMYFUNCTION("""COMPUTED_VALUE"""),"")</f>
        <v/>
      </c>
      <c r="K1555" s="184"/>
      <c r="L1555" s="184"/>
      <c r="M1555" s="184"/>
      <c r="N1555" s="184"/>
      <c r="O1555" s="184"/>
      <c r="P1555" s="184"/>
      <c r="Q1555" s="184"/>
      <c r="R1555" s="184"/>
      <c r="S1555" s="184"/>
      <c r="T1555" s="184"/>
      <c r="U1555" s="184"/>
      <c r="V1555" s="184"/>
      <c r="W1555" s="184"/>
      <c r="X1555" s="184"/>
    </row>
    <row r="1556">
      <c r="A1556" s="198"/>
      <c r="D1556" s="198" t="str">
        <f>IFERROR(__xludf.DUMMYFUNCTION("""COMPUTED_VALUE"""),"FALSE")</f>
        <v>FALSE</v>
      </c>
      <c r="E1556" s="198" t="str">
        <f>IFERROR(__xludf.DUMMYFUNCTION("""COMPUTED_VALUE"""),"FALSE")</f>
        <v>FALSE</v>
      </c>
      <c r="F1556" s="198"/>
      <c r="J1556" s="184" t="str">
        <f>IFERROR(__xludf.DUMMYFUNCTION("""COMPUTED_VALUE"""),"")</f>
        <v/>
      </c>
      <c r="K1556" s="184"/>
      <c r="L1556" s="184"/>
      <c r="M1556" s="184"/>
      <c r="N1556" s="184"/>
      <c r="O1556" s="184"/>
      <c r="P1556" s="184"/>
      <c r="Q1556" s="184"/>
      <c r="R1556" s="184"/>
      <c r="S1556" s="184"/>
      <c r="T1556" s="184"/>
      <c r="U1556" s="184"/>
      <c r="V1556" s="184"/>
      <c r="W1556" s="184"/>
      <c r="X1556" s="184"/>
    </row>
    <row r="1557">
      <c r="A1557" s="198"/>
      <c r="D1557" s="198" t="str">
        <f>IFERROR(__xludf.DUMMYFUNCTION("""COMPUTED_VALUE"""),"FALSE")</f>
        <v>FALSE</v>
      </c>
      <c r="E1557" s="198" t="str">
        <f>IFERROR(__xludf.DUMMYFUNCTION("""COMPUTED_VALUE"""),"FALSE")</f>
        <v>FALSE</v>
      </c>
      <c r="F1557" s="198"/>
      <c r="J1557" s="184" t="str">
        <f>IFERROR(__xludf.DUMMYFUNCTION("""COMPUTED_VALUE"""),"")</f>
        <v/>
      </c>
      <c r="K1557" s="184"/>
      <c r="L1557" s="184"/>
      <c r="M1557" s="184"/>
      <c r="N1557" s="184"/>
      <c r="O1557" s="184"/>
      <c r="P1557" s="184"/>
      <c r="Q1557" s="184"/>
      <c r="R1557" s="184"/>
      <c r="S1557" s="184"/>
      <c r="T1557" s="184"/>
      <c r="U1557" s="184"/>
      <c r="V1557" s="184"/>
      <c r="W1557" s="184"/>
      <c r="X1557" s="184"/>
    </row>
    <row r="1558">
      <c r="A1558" s="198"/>
      <c r="D1558" s="198" t="str">
        <f>IFERROR(__xludf.DUMMYFUNCTION("""COMPUTED_VALUE"""),"FALSE")</f>
        <v>FALSE</v>
      </c>
      <c r="E1558" s="198" t="str">
        <f>IFERROR(__xludf.DUMMYFUNCTION("""COMPUTED_VALUE"""),"FALSE")</f>
        <v>FALSE</v>
      </c>
      <c r="F1558" s="198"/>
      <c r="J1558" s="184" t="str">
        <f>IFERROR(__xludf.DUMMYFUNCTION("""COMPUTED_VALUE"""),"")</f>
        <v/>
      </c>
      <c r="K1558" s="184"/>
      <c r="L1558" s="184"/>
      <c r="M1558" s="184"/>
      <c r="N1558" s="184"/>
      <c r="O1558" s="184"/>
      <c r="P1558" s="184"/>
      <c r="Q1558" s="184"/>
      <c r="R1558" s="184"/>
      <c r="S1558" s="184"/>
      <c r="T1558" s="184"/>
      <c r="U1558" s="184"/>
      <c r="V1558" s="184"/>
      <c r="W1558" s="184"/>
      <c r="X1558" s="184"/>
    </row>
    <row r="1559">
      <c r="A1559" s="198"/>
      <c r="D1559" s="198" t="str">
        <f>IFERROR(__xludf.DUMMYFUNCTION("""COMPUTED_VALUE"""),"FALSE")</f>
        <v>FALSE</v>
      </c>
      <c r="E1559" s="198" t="str">
        <f>IFERROR(__xludf.DUMMYFUNCTION("""COMPUTED_VALUE"""),"FALSE")</f>
        <v>FALSE</v>
      </c>
      <c r="F1559" s="198"/>
      <c r="J1559" s="184" t="str">
        <f>IFERROR(__xludf.DUMMYFUNCTION("""COMPUTED_VALUE"""),"")</f>
        <v/>
      </c>
      <c r="K1559" s="184"/>
      <c r="L1559" s="184"/>
      <c r="M1559" s="184"/>
      <c r="N1559" s="184"/>
      <c r="O1559" s="184"/>
      <c r="P1559" s="184"/>
      <c r="Q1559" s="184"/>
      <c r="R1559" s="184"/>
      <c r="S1559" s="184"/>
      <c r="T1559" s="184"/>
      <c r="U1559" s="184"/>
      <c r="V1559" s="184"/>
      <c r="W1559" s="184"/>
      <c r="X1559" s="184"/>
    </row>
    <row r="1560">
      <c r="A1560" s="198"/>
      <c r="D1560" s="198" t="str">
        <f>IFERROR(__xludf.DUMMYFUNCTION("""COMPUTED_VALUE"""),"FALSE")</f>
        <v>FALSE</v>
      </c>
      <c r="E1560" s="198" t="str">
        <f>IFERROR(__xludf.DUMMYFUNCTION("""COMPUTED_VALUE"""),"FALSE")</f>
        <v>FALSE</v>
      </c>
      <c r="F1560" s="198"/>
      <c r="J1560" s="184" t="str">
        <f>IFERROR(__xludf.DUMMYFUNCTION("""COMPUTED_VALUE"""),"")</f>
        <v/>
      </c>
      <c r="K1560" s="184"/>
      <c r="L1560" s="184"/>
      <c r="M1560" s="184"/>
      <c r="N1560" s="184"/>
      <c r="O1560" s="184"/>
      <c r="P1560" s="184"/>
      <c r="Q1560" s="184"/>
      <c r="R1560" s="184"/>
      <c r="S1560" s="184"/>
      <c r="T1560" s="184"/>
      <c r="U1560" s="184"/>
      <c r="V1560" s="184"/>
      <c r="W1560" s="184"/>
      <c r="X1560" s="184"/>
    </row>
    <row r="1561">
      <c r="A1561" s="198"/>
      <c r="D1561" s="198" t="str">
        <f>IFERROR(__xludf.DUMMYFUNCTION("""COMPUTED_VALUE"""),"FALSE")</f>
        <v>FALSE</v>
      </c>
      <c r="E1561" s="198" t="str">
        <f>IFERROR(__xludf.DUMMYFUNCTION("""COMPUTED_VALUE"""),"FALSE")</f>
        <v>FALSE</v>
      </c>
      <c r="F1561" s="198"/>
      <c r="J1561" s="184" t="str">
        <f>IFERROR(__xludf.DUMMYFUNCTION("""COMPUTED_VALUE"""),"")</f>
        <v/>
      </c>
      <c r="K1561" s="184"/>
      <c r="L1561" s="184"/>
      <c r="M1561" s="184"/>
      <c r="N1561" s="184"/>
      <c r="O1561" s="184"/>
      <c r="P1561" s="184"/>
      <c r="Q1561" s="184"/>
      <c r="R1561" s="184"/>
      <c r="S1561" s="184"/>
      <c r="T1561" s="184"/>
      <c r="U1561" s="184"/>
      <c r="V1561" s="184"/>
      <c r="W1561" s="184"/>
      <c r="X1561" s="184"/>
    </row>
    <row r="1562">
      <c r="A1562" s="198"/>
      <c r="D1562" s="198" t="str">
        <f>IFERROR(__xludf.DUMMYFUNCTION("""COMPUTED_VALUE"""),"FALSE")</f>
        <v>FALSE</v>
      </c>
      <c r="E1562" s="198" t="str">
        <f>IFERROR(__xludf.DUMMYFUNCTION("""COMPUTED_VALUE"""),"FALSE")</f>
        <v>FALSE</v>
      </c>
      <c r="F1562" s="198"/>
      <c r="J1562" s="184" t="str">
        <f>IFERROR(__xludf.DUMMYFUNCTION("""COMPUTED_VALUE"""),"")</f>
        <v/>
      </c>
      <c r="K1562" s="184"/>
      <c r="L1562" s="184"/>
      <c r="M1562" s="184"/>
      <c r="N1562" s="184"/>
      <c r="O1562" s="184"/>
      <c r="P1562" s="184"/>
      <c r="Q1562" s="184"/>
      <c r="R1562" s="184"/>
      <c r="S1562" s="184"/>
      <c r="T1562" s="184"/>
      <c r="U1562" s="184"/>
      <c r="V1562" s="184"/>
      <c r="W1562" s="184"/>
      <c r="X1562" s="184"/>
    </row>
    <row r="1563">
      <c r="A1563" s="198"/>
      <c r="D1563" s="198" t="str">
        <f>IFERROR(__xludf.DUMMYFUNCTION("""COMPUTED_VALUE"""),"FALSE")</f>
        <v>FALSE</v>
      </c>
      <c r="E1563" s="198" t="str">
        <f>IFERROR(__xludf.DUMMYFUNCTION("""COMPUTED_VALUE"""),"FALSE")</f>
        <v>FALSE</v>
      </c>
      <c r="F1563" s="198"/>
      <c r="J1563" s="184" t="str">
        <f>IFERROR(__xludf.DUMMYFUNCTION("""COMPUTED_VALUE"""),"")</f>
        <v/>
      </c>
      <c r="K1563" s="184"/>
      <c r="L1563" s="184"/>
      <c r="M1563" s="184"/>
      <c r="N1563" s="184"/>
      <c r="O1563" s="184"/>
      <c r="P1563" s="184"/>
      <c r="Q1563" s="184"/>
      <c r="R1563" s="184"/>
      <c r="S1563" s="184"/>
      <c r="T1563" s="184"/>
      <c r="U1563" s="184"/>
      <c r="V1563" s="184"/>
      <c r="W1563" s="184"/>
      <c r="X1563" s="184"/>
    </row>
    <row r="1564">
      <c r="A1564" s="198"/>
      <c r="D1564" s="198" t="str">
        <f>IFERROR(__xludf.DUMMYFUNCTION("""COMPUTED_VALUE"""),"FALSE")</f>
        <v>FALSE</v>
      </c>
      <c r="E1564" s="198" t="str">
        <f>IFERROR(__xludf.DUMMYFUNCTION("""COMPUTED_VALUE"""),"FALSE")</f>
        <v>FALSE</v>
      </c>
      <c r="F1564" s="198"/>
      <c r="J1564" s="184" t="str">
        <f>IFERROR(__xludf.DUMMYFUNCTION("""COMPUTED_VALUE"""),"")</f>
        <v/>
      </c>
      <c r="K1564" s="184"/>
      <c r="L1564" s="184"/>
      <c r="M1564" s="184"/>
      <c r="N1564" s="184"/>
      <c r="O1564" s="184"/>
      <c r="P1564" s="184"/>
      <c r="Q1564" s="184"/>
      <c r="R1564" s="184"/>
      <c r="S1564" s="184"/>
      <c r="T1564" s="184"/>
      <c r="U1564" s="184"/>
      <c r="V1564" s="184"/>
      <c r="W1564" s="184"/>
      <c r="X1564" s="184"/>
    </row>
    <row r="1565">
      <c r="A1565" s="198"/>
      <c r="D1565" s="198" t="str">
        <f>IFERROR(__xludf.DUMMYFUNCTION("""COMPUTED_VALUE"""),"FALSE")</f>
        <v>FALSE</v>
      </c>
      <c r="E1565" s="198" t="str">
        <f>IFERROR(__xludf.DUMMYFUNCTION("""COMPUTED_VALUE"""),"FALSE")</f>
        <v>FALSE</v>
      </c>
      <c r="F1565" s="198"/>
      <c r="J1565" s="184" t="str">
        <f>IFERROR(__xludf.DUMMYFUNCTION("""COMPUTED_VALUE"""),"")</f>
        <v/>
      </c>
      <c r="K1565" s="184"/>
      <c r="L1565" s="184"/>
      <c r="M1565" s="184"/>
      <c r="N1565" s="184"/>
      <c r="O1565" s="184"/>
      <c r="P1565" s="184"/>
      <c r="Q1565" s="184"/>
      <c r="R1565" s="184"/>
      <c r="S1565" s="184"/>
      <c r="T1565" s="184"/>
      <c r="U1565" s="184"/>
      <c r="V1565" s="184"/>
      <c r="W1565" s="184"/>
      <c r="X1565" s="184"/>
    </row>
    <row r="1566">
      <c r="A1566" s="198"/>
      <c r="D1566" s="198" t="str">
        <f>IFERROR(__xludf.DUMMYFUNCTION("""COMPUTED_VALUE"""),"FALSE")</f>
        <v>FALSE</v>
      </c>
      <c r="E1566" s="198" t="str">
        <f>IFERROR(__xludf.DUMMYFUNCTION("""COMPUTED_VALUE"""),"FALSE")</f>
        <v>FALSE</v>
      </c>
      <c r="F1566" s="198"/>
      <c r="J1566" s="184" t="str">
        <f>IFERROR(__xludf.DUMMYFUNCTION("""COMPUTED_VALUE"""),"")</f>
        <v/>
      </c>
      <c r="K1566" s="184"/>
      <c r="L1566" s="184"/>
      <c r="M1566" s="184"/>
      <c r="N1566" s="184"/>
      <c r="O1566" s="184"/>
      <c r="P1566" s="184"/>
      <c r="Q1566" s="184"/>
      <c r="R1566" s="184"/>
      <c r="S1566" s="184"/>
      <c r="T1566" s="184"/>
      <c r="U1566" s="184"/>
      <c r="V1566" s="184"/>
      <c r="W1566" s="184"/>
      <c r="X1566" s="184"/>
    </row>
    <row r="1567">
      <c r="A1567" s="198"/>
      <c r="D1567" s="198" t="str">
        <f>IFERROR(__xludf.DUMMYFUNCTION("""COMPUTED_VALUE"""),"FALSE")</f>
        <v>FALSE</v>
      </c>
      <c r="E1567" s="198" t="str">
        <f>IFERROR(__xludf.DUMMYFUNCTION("""COMPUTED_VALUE"""),"FALSE")</f>
        <v>FALSE</v>
      </c>
      <c r="F1567" s="198"/>
      <c r="J1567" s="184" t="str">
        <f>IFERROR(__xludf.DUMMYFUNCTION("""COMPUTED_VALUE"""),"")</f>
        <v/>
      </c>
      <c r="K1567" s="184"/>
      <c r="L1567" s="184"/>
      <c r="M1567" s="184"/>
      <c r="N1567" s="184"/>
      <c r="O1567" s="184"/>
      <c r="P1567" s="184"/>
      <c r="Q1567" s="184"/>
      <c r="R1567" s="184"/>
      <c r="S1567" s="184"/>
      <c r="T1567" s="184"/>
      <c r="U1567" s="184"/>
      <c r="V1567" s="184"/>
      <c r="W1567" s="184"/>
      <c r="X1567" s="184"/>
    </row>
    <row r="1568">
      <c r="A1568" s="198"/>
      <c r="D1568" s="198" t="str">
        <f>IFERROR(__xludf.DUMMYFUNCTION("""COMPUTED_VALUE"""),"FALSE")</f>
        <v>FALSE</v>
      </c>
      <c r="E1568" s="198" t="str">
        <f>IFERROR(__xludf.DUMMYFUNCTION("""COMPUTED_VALUE"""),"FALSE")</f>
        <v>FALSE</v>
      </c>
      <c r="F1568" s="198"/>
      <c r="J1568" s="184" t="str">
        <f>IFERROR(__xludf.DUMMYFUNCTION("""COMPUTED_VALUE"""),"")</f>
        <v/>
      </c>
      <c r="K1568" s="184"/>
      <c r="L1568" s="184"/>
      <c r="M1568" s="184"/>
      <c r="N1568" s="184"/>
      <c r="O1568" s="184"/>
      <c r="P1568" s="184"/>
      <c r="Q1568" s="184"/>
      <c r="R1568" s="184"/>
      <c r="S1568" s="184"/>
      <c r="T1568" s="184"/>
      <c r="U1568" s="184"/>
      <c r="V1568" s="184"/>
      <c r="W1568" s="184"/>
      <c r="X1568" s="184"/>
    </row>
    <row r="1569">
      <c r="A1569" s="198"/>
      <c r="D1569" s="198" t="str">
        <f>IFERROR(__xludf.DUMMYFUNCTION("""COMPUTED_VALUE"""),"FALSE")</f>
        <v>FALSE</v>
      </c>
      <c r="E1569" s="198" t="str">
        <f>IFERROR(__xludf.DUMMYFUNCTION("""COMPUTED_VALUE"""),"FALSE")</f>
        <v>FALSE</v>
      </c>
      <c r="F1569" s="198"/>
      <c r="J1569" s="184" t="str">
        <f>IFERROR(__xludf.DUMMYFUNCTION("""COMPUTED_VALUE"""),"")</f>
        <v/>
      </c>
      <c r="K1569" s="184"/>
      <c r="L1569" s="184"/>
      <c r="M1569" s="184"/>
      <c r="N1569" s="184"/>
      <c r="O1569" s="184"/>
      <c r="P1569" s="184"/>
      <c r="Q1569" s="184"/>
      <c r="R1569" s="184"/>
      <c r="S1569" s="184"/>
      <c r="T1569" s="184"/>
      <c r="U1569" s="184"/>
      <c r="V1569" s="184"/>
      <c r="W1569" s="184"/>
      <c r="X1569" s="184"/>
    </row>
    <row r="1570">
      <c r="A1570" s="198"/>
      <c r="D1570" s="198" t="str">
        <f>IFERROR(__xludf.DUMMYFUNCTION("""COMPUTED_VALUE"""),"FALSE")</f>
        <v>FALSE</v>
      </c>
      <c r="E1570" s="198" t="str">
        <f>IFERROR(__xludf.DUMMYFUNCTION("""COMPUTED_VALUE"""),"FALSE")</f>
        <v>FALSE</v>
      </c>
      <c r="F1570" s="198"/>
      <c r="J1570" s="184" t="str">
        <f>IFERROR(__xludf.DUMMYFUNCTION("""COMPUTED_VALUE"""),"")</f>
        <v/>
      </c>
      <c r="K1570" s="184"/>
      <c r="L1570" s="184"/>
      <c r="M1570" s="184"/>
      <c r="N1570" s="184"/>
      <c r="O1570" s="184"/>
      <c r="P1570" s="184"/>
      <c r="Q1570" s="184"/>
      <c r="R1570" s="184"/>
      <c r="S1570" s="184"/>
      <c r="T1570" s="184"/>
      <c r="U1570" s="184"/>
      <c r="V1570" s="184"/>
      <c r="W1570" s="184"/>
      <c r="X1570" s="184"/>
    </row>
    <row r="1571">
      <c r="A1571" s="198"/>
      <c r="D1571" s="198" t="str">
        <f>IFERROR(__xludf.DUMMYFUNCTION("""COMPUTED_VALUE"""),"FALSE")</f>
        <v>FALSE</v>
      </c>
      <c r="E1571" s="198" t="str">
        <f>IFERROR(__xludf.DUMMYFUNCTION("""COMPUTED_VALUE"""),"FALSE")</f>
        <v>FALSE</v>
      </c>
      <c r="F1571" s="198"/>
      <c r="J1571" s="184" t="str">
        <f>IFERROR(__xludf.DUMMYFUNCTION("""COMPUTED_VALUE"""),"")</f>
        <v/>
      </c>
      <c r="K1571" s="184"/>
      <c r="L1571" s="184"/>
      <c r="M1571" s="184"/>
      <c r="N1571" s="184"/>
      <c r="O1571" s="184"/>
      <c r="P1571" s="184"/>
      <c r="Q1571" s="184"/>
      <c r="R1571" s="184"/>
      <c r="S1571" s="184"/>
      <c r="T1571" s="184"/>
      <c r="U1571" s="184"/>
      <c r="V1571" s="184"/>
      <c r="W1571" s="184"/>
      <c r="X1571" s="184"/>
    </row>
    <row r="1572">
      <c r="A1572" s="198"/>
      <c r="D1572" s="198" t="str">
        <f>IFERROR(__xludf.DUMMYFUNCTION("""COMPUTED_VALUE"""),"FALSE")</f>
        <v>FALSE</v>
      </c>
      <c r="E1572" s="198" t="str">
        <f>IFERROR(__xludf.DUMMYFUNCTION("""COMPUTED_VALUE"""),"FALSE")</f>
        <v>FALSE</v>
      </c>
      <c r="F1572" s="198"/>
      <c r="J1572" s="184" t="str">
        <f>IFERROR(__xludf.DUMMYFUNCTION("""COMPUTED_VALUE"""),"")</f>
        <v/>
      </c>
      <c r="K1572" s="184"/>
      <c r="L1572" s="184"/>
      <c r="M1572" s="184"/>
      <c r="N1572" s="184"/>
      <c r="O1572" s="184"/>
      <c r="P1572" s="184"/>
      <c r="Q1572" s="184"/>
      <c r="R1572" s="184"/>
      <c r="S1572" s="184"/>
      <c r="T1572" s="184"/>
      <c r="U1572" s="184"/>
      <c r="V1572" s="184"/>
      <c r="W1572" s="184"/>
      <c r="X1572" s="184"/>
    </row>
    <row r="1573">
      <c r="A1573" s="198"/>
      <c r="D1573" s="198" t="str">
        <f>IFERROR(__xludf.DUMMYFUNCTION("""COMPUTED_VALUE"""),"FALSE")</f>
        <v>FALSE</v>
      </c>
      <c r="E1573" s="198" t="str">
        <f>IFERROR(__xludf.DUMMYFUNCTION("""COMPUTED_VALUE"""),"FALSE")</f>
        <v>FALSE</v>
      </c>
      <c r="F1573" s="198"/>
      <c r="J1573" s="184" t="str">
        <f>IFERROR(__xludf.DUMMYFUNCTION("""COMPUTED_VALUE"""),"")</f>
        <v/>
      </c>
      <c r="K1573" s="184"/>
      <c r="L1573" s="184"/>
      <c r="M1573" s="184"/>
      <c r="N1573" s="184"/>
      <c r="O1573" s="184"/>
      <c r="P1573" s="184"/>
      <c r="Q1573" s="184"/>
      <c r="R1573" s="184"/>
      <c r="S1573" s="184"/>
      <c r="T1573" s="184"/>
      <c r="U1573" s="184"/>
      <c r="V1573" s="184"/>
      <c r="W1573" s="184"/>
      <c r="X1573" s="184"/>
    </row>
    <row r="1574">
      <c r="A1574" s="198"/>
      <c r="D1574" s="198" t="str">
        <f>IFERROR(__xludf.DUMMYFUNCTION("""COMPUTED_VALUE"""),"FALSE")</f>
        <v>FALSE</v>
      </c>
      <c r="E1574" s="198" t="str">
        <f>IFERROR(__xludf.DUMMYFUNCTION("""COMPUTED_VALUE"""),"FALSE")</f>
        <v>FALSE</v>
      </c>
      <c r="F1574" s="198"/>
      <c r="J1574" s="184" t="str">
        <f>IFERROR(__xludf.DUMMYFUNCTION("""COMPUTED_VALUE"""),"")</f>
        <v/>
      </c>
      <c r="K1574" s="184"/>
      <c r="L1574" s="184"/>
      <c r="M1574" s="184"/>
      <c r="N1574" s="184"/>
      <c r="O1574" s="184"/>
      <c r="P1574" s="184"/>
      <c r="Q1574" s="184"/>
      <c r="R1574" s="184"/>
      <c r="S1574" s="184"/>
      <c r="T1574" s="184"/>
      <c r="U1574" s="184"/>
      <c r="V1574" s="184"/>
      <c r="W1574" s="184"/>
      <c r="X1574" s="184"/>
    </row>
    <row r="1575">
      <c r="A1575" s="198"/>
      <c r="D1575" s="198" t="str">
        <f>IFERROR(__xludf.DUMMYFUNCTION("""COMPUTED_VALUE"""),"FALSE")</f>
        <v>FALSE</v>
      </c>
      <c r="E1575" s="198" t="str">
        <f>IFERROR(__xludf.DUMMYFUNCTION("""COMPUTED_VALUE"""),"FALSE")</f>
        <v>FALSE</v>
      </c>
      <c r="F1575" s="198"/>
      <c r="J1575" s="184" t="str">
        <f>IFERROR(__xludf.DUMMYFUNCTION("""COMPUTED_VALUE"""),"")</f>
        <v/>
      </c>
      <c r="K1575" s="184"/>
      <c r="L1575" s="184"/>
      <c r="M1575" s="184"/>
      <c r="N1575" s="184"/>
      <c r="O1575" s="184"/>
      <c r="P1575" s="184"/>
      <c r="Q1575" s="184"/>
      <c r="R1575" s="184"/>
      <c r="S1575" s="184"/>
      <c r="T1575" s="184"/>
      <c r="U1575" s="184"/>
      <c r="V1575" s="184"/>
      <c r="W1575" s="184"/>
      <c r="X1575" s="184"/>
    </row>
    <row r="1576">
      <c r="A1576" s="198"/>
      <c r="D1576" s="198" t="str">
        <f>IFERROR(__xludf.DUMMYFUNCTION("""COMPUTED_VALUE"""),"FALSE")</f>
        <v>FALSE</v>
      </c>
      <c r="E1576" s="198" t="str">
        <f>IFERROR(__xludf.DUMMYFUNCTION("""COMPUTED_VALUE"""),"FALSE")</f>
        <v>FALSE</v>
      </c>
      <c r="F1576" s="198"/>
      <c r="J1576" s="184" t="str">
        <f>IFERROR(__xludf.DUMMYFUNCTION("""COMPUTED_VALUE"""),"")</f>
        <v/>
      </c>
      <c r="K1576" s="184"/>
      <c r="L1576" s="184"/>
      <c r="M1576" s="184"/>
      <c r="N1576" s="184"/>
      <c r="O1576" s="184"/>
      <c r="P1576" s="184"/>
      <c r="Q1576" s="184"/>
      <c r="R1576" s="184"/>
      <c r="S1576" s="184"/>
      <c r="T1576" s="184"/>
      <c r="U1576" s="184"/>
      <c r="V1576" s="184"/>
      <c r="W1576" s="184"/>
      <c r="X1576" s="184"/>
    </row>
    <row r="1577">
      <c r="A1577" s="198"/>
      <c r="D1577" s="198" t="str">
        <f>IFERROR(__xludf.DUMMYFUNCTION("""COMPUTED_VALUE"""),"FALSE")</f>
        <v>FALSE</v>
      </c>
      <c r="E1577" s="198" t="str">
        <f>IFERROR(__xludf.DUMMYFUNCTION("""COMPUTED_VALUE"""),"FALSE")</f>
        <v>FALSE</v>
      </c>
      <c r="F1577" s="198"/>
      <c r="J1577" s="184" t="str">
        <f>IFERROR(__xludf.DUMMYFUNCTION("""COMPUTED_VALUE"""),"")</f>
        <v/>
      </c>
      <c r="K1577" s="184"/>
      <c r="L1577" s="184"/>
      <c r="M1577" s="184"/>
      <c r="N1577" s="184"/>
      <c r="O1577" s="184"/>
      <c r="P1577" s="184"/>
      <c r="Q1577" s="184"/>
      <c r="R1577" s="184"/>
      <c r="S1577" s="184"/>
      <c r="T1577" s="184"/>
      <c r="U1577" s="184"/>
      <c r="V1577" s="184"/>
      <c r="W1577" s="184"/>
      <c r="X1577" s="184"/>
    </row>
    <row r="1578">
      <c r="A1578" s="198"/>
      <c r="D1578" s="198" t="str">
        <f>IFERROR(__xludf.DUMMYFUNCTION("""COMPUTED_VALUE"""),"FALSE")</f>
        <v>FALSE</v>
      </c>
      <c r="E1578" s="198" t="str">
        <f>IFERROR(__xludf.DUMMYFUNCTION("""COMPUTED_VALUE"""),"FALSE")</f>
        <v>FALSE</v>
      </c>
      <c r="F1578" s="198"/>
      <c r="J1578" s="184" t="str">
        <f>IFERROR(__xludf.DUMMYFUNCTION("""COMPUTED_VALUE"""),"")</f>
        <v/>
      </c>
      <c r="K1578" s="184"/>
      <c r="L1578" s="184"/>
      <c r="M1578" s="184"/>
      <c r="N1578" s="184"/>
      <c r="O1578" s="184"/>
      <c r="P1578" s="184"/>
      <c r="Q1578" s="184"/>
      <c r="R1578" s="184"/>
      <c r="S1578" s="184"/>
      <c r="T1578" s="184"/>
      <c r="U1578" s="184"/>
      <c r="V1578" s="184"/>
      <c r="W1578" s="184"/>
      <c r="X1578" s="184"/>
    </row>
    <row r="1579">
      <c r="A1579" s="198"/>
      <c r="D1579" s="198" t="str">
        <f>IFERROR(__xludf.DUMMYFUNCTION("""COMPUTED_VALUE"""),"FALSE")</f>
        <v>FALSE</v>
      </c>
      <c r="E1579" s="198" t="str">
        <f>IFERROR(__xludf.DUMMYFUNCTION("""COMPUTED_VALUE"""),"FALSE")</f>
        <v>FALSE</v>
      </c>
      <c r="F1579" s="198"/>
      <c r="J1579" s="184" t="str">
        <f>IFERROR(__xludf.DUMMYFUNCTION("""COMPUTED_VALUE"""),"")</f>
        <v/>
      </c>
      <c r="K1579" s="184"/>
      <c r="L1579" s="184"/>
      <c r="M1579" s="184"/>
      <c r="N1579" s="184"/>
      <c r="O1579" s="184"/>
      <c r="P1579" s="184"/>
      <c r="Q1579" s="184"/>
      <c r="R1579" s="184"/>
      <c r="S1579" s="184"/>
      <c r="T1579" s="184"/>
      <c r="U1579" s="184"/>
      <c r="V1579" s="184"/>
      <c r="W1579" s="184"/>
      <c r="X1579" s="184"/>
    </row>
    <row r="1580">
      <c r="A1580" s="198"/>
      <c r="D1580" s="198" t="str">
        <f>IFERROR(__xludf.DUMMYFUNCTION("""COMPUTED_VALUE"""),"FALSE")</f>
        <v>FALSE</v>
      </c>
      <c r="E1580" s="198" t="str">
        <f>IFERROR(__xludf.DUMMYFUNCTION("""COMPUTED_VALUE"""),"FALSE")</f>
        <v>FALSE</v>
      </c>
      <c r="F1580" s="198"/>
      <c r="J1580" s="184" t="str">
        <f>IFERROR(__xludf.DUMMYFUNCTION("""COMPUTED_VALUE"""),"")</f>
        <v/>
      </c>
      <c r="K1580" s="184"/>
      <c r="L1580" s="184"/>
      <c r="M1580" s="184"/>
      <c r="N1580" s="184"/>
      <c r="O1580" s="184"/>
      <c r="P1580" s="184"/>
      <c r="Q1580" s="184"/>
      <c r="R1580" s="184"/>
      <c r="S1580" s="184"/>
      <c r="T1580" s="184"/>
      <c r="U1580" s="184"/>
      <c r="V1580" s="184"/>
      <c r="W1580" s="184"/>
      <c r="X1580" s="184"/>
    </row>
    <row r="1581">
      <c r="A1581" s="198"/>
      <c r="D1581" s="198" t="str">
        <f>IFERROR(__xludf.DUMMYFUNCTION("""COMPUTED_VALUE"""),"FALSE")</f>
        <v>FALSE</v>
      </c>
      <c r="E1581" s="198" t="str">
        <f>IFERROR(__xludf.DUMMYFUNCTION("""COMPUTED_VALUE"""),"FALSE")</f>
        <v>FALSE</v>
      </c>
      <c r="F1581" s="198"/>
      <c r="J1581" s="184" t="str">
        <f>IFERROR(__xludf.DUMMYFUNCTION("""COMPUTED_VALUE"""),"")</f>
        <v/>
      </c>
      <c r="K1581" s="184"/>
      <c r="L1581" s="184"/>
      <c r="M1581" s="184"/>
      <c r="N1581" s="184"/>
      <c r="O1581" s="184"/>
      <c r="P1581" s="184"/>
      <c r="Q1581" s="184"/>
      <c r="R1581" s="184"/>
      <c r="S1581" s="184"/>
      <c r="T1581" s="184"/>
      <c r="U1581" s="184"/>
      <c r="V1581" s="184"/>
      <c r="W1581" s="184"/>
      <c r="X1581" s="184"/>
    </row>
    <row r="1582">
      <c r="A1582" s="198"/>
      <c r="D1582" s="198" t="str">
        <f>IFERROR(__xludf.DUMMYFUNCTION("""COMPUTED_VALUE"""),"FALSE")</f>
        <v>FALSE</v>
      </c>
      <c r="E1582" s="198" t="str">
        <f>IFERROR(__xludf.DUMMYFUNCTION("""COMPUTED_VALUE"""),"FALSE")</f>
        <v>FALSE</v>
      </c>
      <c r="F1582" s="198"/>
      <c r="J1582" s="184" t="str">
        <f>IFERROR(__xludf.DUMMYFUNCTION("""COMPUTED_VALUE"""),"")</f>
        <v/>
      </c>
      <c r="K1582" s="184"/>
      <c r="L1582" s="184"/>
      <c r="M1582" s="184"/>
      <c r="N1582" s="184"/>
      <c r="O1582" s="184"/>
      <c r="P1582" s="184"/>
      <c r="Q1582" s="184"/>
      <c r="R1582" s="184"/>
      <c r="S1582" s="184"/>
      <c r="T1582" s="184"/>
      <c r="U1582" s="184"/>
      <c r="V1582" s="184"/>
      <c r="W1582" s="184"/>
      <c r="X1582" s="184"/>
    </row>
    <row r="1583">
      <c r="A1583" s="198"/>
      <c r="D1583" s="198" t="str">
        <f>IFERROR(__xludf.DUMMYFUNCTION("""COMPUTED_VALUE"""),"FALSE")</f>
        <v>FALSE</v>
      </c>
      <c r="E1583" s="198" t="str">
        <f>IFERROR(__xludf.DUMMYFUNCTION("""COMPUTED_VALUE"""),"FALSE")</f>
        <v>FALSE</v>
      </c>
      <c r="F1583" s="198"/>
      <c r="J1583" s="184" t="str">
        <f>IFERROR(__xludf.DUMMYFUNCTION("""COMPUTED_VALUE"""),"")</f>
        <v/>
      </c>
      <c r="K1583" s="184"/>
      <c r="L1583" s="184"/>
      <c r="M1583" s="184"/>
      <c r="N1583" s="184"/>
      <c r="O1583" s="184"/>
      <c r="P1583" s="184"/>
      <c r="Q1583" s="184"/>
      <c r="R1583" s="184"/>
      <c r="S1583" s="184"/>
      <c r="T1583" s="184"/>
      <c r="U1583" s="184"/>
      <c r="V1583" s="184"/>
      <c r="W1583" s="184"/>
      <c r="X1583" s="184"/>
    </row>
    <row r="1584">
      <c r="A1584" s="198"/>
      <c r="D1584" s="198" t="str">
        <f>IFERROR(__xludf.DUMMYFUNCTION("""COMPUTED_VALUE"""),"FALSE")</f>
        <v>FALSE</v>
      </c>
      <c r="E1584" s="198" t="str">
        <f>IFERROR(__xludf.DUMMYFUNCTION("""COMPUTED_VALUE"""),"FALSE")</f>
        <v>FALSE</v>
      </c>
      <c r="F1584" s="198"/>
      <c r="J1584" s="184" t="str">
        <f>IFERROR(__xludf.DUMMYFUNCTION("""COMPUTED_VALUE"""),"")</f>
        <v/>
      </c>
      <c r="K1584" s="184"/>
      <c r="L1584" s="184"/>
      <c r="M1584" s="184"/>
      <c r="N1584" s="184"/>
      <c r="O1584" s="184"/>
      <c r="P1584" s="184"/>
      <c r="Q1584" s="184"/>
      <c r="R1584" s="184"/>
      <c r="S1584" s="184"/>
      <c r="T1584" s="184"/>
      <c r="U1584" s="184"/>
      <c r="V1584" s="184"/>
      <c r="W1584" s="184"/>
      <c r="X1584" s="184"/>
    </row>
    <row r="1585">
      <c r="A1585" s="198"/>
      <c r="D1585" s="198" t="str">
        <f>IFERROR(__xludf.DUMMYFUNCTION("""COMPUTED_VALUE"""),"FALSE")</f>
        <v>FALSE</v>
      </c>
      <c r="E1585" s="198" t="str">
        <f>IFERROR(__xludf.DUMMYFUNCTION("""COMPUTED_VALUE"""),"FALSE")</f>
        <v>FALSE</v>
      </c>
      <c r="F1585" s="198"/>
      <c r="J1585" s="184" t="str">
        <f>IFERROR(__xludf.DUMMYFUNCTION("""COMPUTED_VALUE"""),"")</f>
        <v/>
      </c>
      <c r="K1585" s="184"/>
      <c r="L1585" s="184"/>
      <c r="M1585" s="184"/>
      <c r="N1585" s="184"/>
      <c r="O1585" s="184"/>
      <c r="P1585" s="184"/>
      <c r="Q1585" s="184"/>
      <c r="R1585" s="184"/>
      <c r="S1585" s="184"/>
      <c r="T1585" s="184"/>
      <c r="U1585" s="184"/>
      <c r="V1585" s="184"/>
      <c r="W1585" s="184"/>
      <c r="X1585" s="184"/>
    </row>
    <row r="1586">
      <c r="A1586" s="198"/>
      <c r="D1586" s="198" t="str">
        <f>IFERROR(__xludf.DUMMYFUNCTION("""COMPUTED_VALUE"""),"FALSE")</f>
        <v>FALSE</v>
      </c>
      <c r="E1586" s="198" t="str">
        <f>IFERROR(__xludf.DUMMYFUNCTION("""COMPUTED_VALUE"""),"FALSE")</f>
        <v>FALSE</v>
      </c>
      <c r="F1586" s="198"/>
      <c r="J1586" s="184" t="str">
        <f>IFERROR(__xludf.DUMMYFUNCTION("""COMPUTED_VALUE"""),"")</f>
        <v/>
      </c>
      <c r="K1586" s="184"/>
      <c r="L1586" s="184"/>
      <c r="M1586" s="184"/>
      <c r="N1586" s="184"/>
      <c r="O1586" s="184"/>
      <c r="P1586" s="184"/>
      <c r="Q1586" s="184"/>
      <c r="R1586" s="184"/>
      <c r="S1586" s="184"/>
      <c r="T1586" s="184"/>
      <c r="U1586" s="184"/>
      <c r="V1586" s="184"/>
      <c r="W1586" s="184"/>
      <c r="X1586" s="184"/>
    </row>
    <row r="1587">
      <c r="A1587" s="198"/>
      <c r="D1587" s="198" t="str">
        <f>IFERROR(__xludf.DUMMYFUNCTION("""COMPUTED_VALUE"""),"FALSE")</f>
        <v>FALSE</v>
      </c>
      <c r="E1587" s="198" t="str">
        <f>IFERROR(__xludf.DUMMYFUNCTION("""COMPUTED_VALUE"""),"FALSE")</f>
        <v>FALSE</v>
      </c>
      <c r="F1587" s="198"/>
      <c r="J1587" s="184" t="str">
        <f>IFERROR(__xludf.DUMMYFUNCTION("""COMPUTED_VALUE"""),"")</f>
        <v/>
      </c>
      <c r="K1587" s="184"/>
      <c r="L1587" s="184"/>
      <c r="M1587" s="184"/>
      <c r="N1587" s="184"/>
      <c r="O1587" s="184"/>
      <c r="P1587" s="184"/>
      <c r="Q1587" s="184"/>
      <c r="R1587" s="184"/>
      <c r="S1587" s="184"/>
      <c r="T1587" s="184"/>
      <c r="U1587" s="184"/>
      <c r="V1587" s="184"/>
      <c r="W1587" s="184"/>
      <c r="X1587" s="184"/>
    </row>
    <row r="1588">
      <c r="A1588" s="198"/>
      <c r="D1588" s="198" t="str">
        <f>IFERROR(__xludf.DUMMYFUNCTION("""COMPUTED_VALUE"""),"FALSE")</f>
        <v>FALSE</v>
      </c>
      <c r="E1588" s="198" t="str">
        <f>IFERROR(__xludf.DUMMYFUNCTION("""COMPUTED_VALUE"""),"FALSE")</f>
        <v>FALSE</v>
      </c>
      <c r="F1588" s="198"/>
      <c r="J1588" s="184" t="str">
        <f>IFERROR(__xludf.DUMMYFUNCTION("""COMPUTED_VALUE"""),"")</f>
        <v/>
      </c>
      <c r="K1588" s="184"/>
      <c r="L1588" s="184"/>
      <c r="M1588" s="184"/>
      <c r="N1588" s="184"/>
      <c r="O1588" s="184"/>
      <c r="P1588" s="184"/>
      <c r="Q1588" s="184"/>
      <c r="R1588" s="184"/>
      <c r="S1588" s="184"/>
      <c r="T1588" s="184"/>
      <c r="U1588" s="184"/>
      <c r="V1588" s="184"/>
      <c r="W1588" s="184"/>
      <c r="X1588" s="184"/>
    </row>
    <row r="1589">
      <c r="A1589" s="198"/>
      <c r="D1589" s="198" t="str">
        <f>IFERROR(__xludf.DUMMYFUNCTION("""COMPUTED_VALUE"""),"FALSE")</f>
        <v>FALSE</v>
      </c>
      <c r="E1589" s="198" t="str">
        <f>IFERROR(__xludf.DUMMYFUNCTION("""COMPUTED_VALUE"""),"FALSE")</f>
        <v>FALSE</v>
      </c>
      <c r="F1589" s="198"/>
      <c r="J1589" s="184" t="str">
        <f>IFERROR(__xludf.DUMMYFUNCTION("""COMPUTED_VALUE"""),"")</f>
        <v/>
      </c>
      <c r="K1589" s="184"/>
      <c r="L1589" s="184"/>
      <c r="M1589" s="184"/>
      <c r="N1589" s="184"/>
      <c r="O1589" s="184"/>
      <c r="P1589" s="184"/>
      <c r="Q1589" s="184"/>
      <c r="R1589" s="184"/>
      <c r="S1589" s="184"/>
      <c r="T1589" s="184"/>
      <c r="U1589" s="184"/>
      <c r="V1589" s="184"/>
      <c r="W1589" s="184"/>
      <c r="X1589" s="184"/>
    </row>
    <row r="1590">
      <c r="A1590" s="198"/>
      <c r="D1590" s="198" t="str">
        <f>IFERROR(__xludf.DUMMYFUNCTION("""COMPUTED_VALUE"""),"FALSE")</f>
        <v>FALSE</v>
      </c>
      <c r="E1590" s="198" t="str">
        <f>IFERROR(__xludf.DUMMYFUNCTION("""COMPUTED_VALUE"""),"FALSE")</f>
        <v>FALSE</v>
      </c>
      <c r="F1590" s="198"/>
      <c r="J1590" s="184" t="str">
        <f>IFERROR(__xludf.DUMMYFUNCTION("""COMPUTED_VALUE"""),"")</f>
        <v/>
      </c>
      <c r="K1590" s="184"/>
      <c r="L1590" s="184"/>
      <c r="M1590" s="184"/>
      <c r="N1590" s="184"/>
      <c r="O1590" s="184"/>
      <c r="P1590" s="184"/>
      <c r="Q1590" s="184"/>
      <c r="R1590" s="184"/>
      <c r="S1590" s="184"/>
      <c r="T1590" s="184"/>
      <c r="U1590" s="184"/>
      <c r="V1590" s="184"/>
      <c r="W1590" s="184"/>
      <c r="X1590" s="184"/>
    </row>
    <row r="1591">
      <c r="A1591" s="198"/>
      <c r="D1591" s="198" t="str">
        <f>IFERROR(__xludf.DUMMYFUNCTION("""COMPUTED_VALUE"""),"FALSE")</f>
        <v>FALSE</v>
      </c>
      <c r="E1591" s="198" t="str">
        <f>IFERROR(__xludf.DUMMYFUNCTION("""COMPUTED_VALUE"""),"FALSE")</f>
        <v>FALSE</v>
      </c>
      <c r="F1591" s="198"/>
      <c r="J1591" s="184" t="str">
        <f>IFERROR(__xludf.DUMMYFUNCTION("""COMPUTED_VALUE"""),"")</f>
        <v/>
      </c>
      <c r="K1591" s="184"/>
      <c r="L1591" s="184"/>
      <c r="M1591" s="184"/>
      <c r="N1591" s="184"/>
      <c r="O1591" s="184"/>
      <c r="P1591" s="184"/>
      <c r="Q1591" s="184"/>
      <c r="R1591" s="184"/>
      <c r="S1591" s="184"/>
      <c r="T1591" s="184"/>
      <c r="U1591" s="184"/>
      <c r="V1591" s="184"/>
      <c r="W1591" s="184"/>
      <c r="X1591" s="184"/>
    </row>
    <row r="1592">
      <c r="A1592" s="198"/>
      <c r="D1592" s="198" t="str">
        <f>IFERROR(__xludf.DUMMYFUNCTION("""COMPUTED_VALUE"""),"FALSE")</f>
        <v>FALSE</v>
      </c>
      <c r="E1592" s="198" t="str">
        <f>IFERROR(__xludf.DUMMYFUNCTION("""COMPUTED_VALUE"""),"FALSE")</f>
        <v>FALSE</v>
      </c>
      <c r="F1592" s="198"/>
      <c r="J1592" s="184" t="str">
        <f>IFERROR(__xludf.DUMMYFUNCTION("""COMPUTED_VALUE"""),"")</f>
        <v/>
      </c>
      <c r="K1592" s="184"/>
      <c r="L1592" s="184"/>
      <c r="M1592" s="184"/>
      <c r="N1592" s="184"/>
      <c r="O1592" s="184"/>
      <c r="P1592" s="184"/>
      <c r="Q1592" s="184"/>
      <c r="R1592" s="184"/>
      <c r="S1592" s="184"/>
      <c r="T1592" s="184"/>
      <c r="U1592" s="184"/>
      <c r="V1592" s="184"/>
      <c r="W1592" s="184"/>
      <c r="X1592" s="184"/>
    </row>
    <row r="1593">
      <c r="A1593" s="198"/>
      <c r="D1593" s="198" t="str">
        <f>IFERROR(__xludf.DUMMYFUNCTION("""COMPUTED_VALUE"""),"FALSE")</f>
        <v>FALSE</v>
      </c>
      <c r="E1593" s="198" t="str">
        <f>IFERROR(__xludf.DUMMYFUNCTION("""COMPUTED_VALUE"""),"FALSE")</f>
        <v>FALSE</v>
      </c>
      <c r="F1593" s="198"/>
      <c r="J1593" s="184" t="str">
        <f>IFERROR(__xludf.DUMMYFUNCTION("""COMPUTED_VALUE"""),"")</f>
        <v/>
      </c>
      <c r="K1593" s="184"/>
      <c r="L1593" s="184"/>
      <c r="M1593" s="184"/>
      <c r="N1593" s="184"/>
      <c r="O1593" s="184"/>
      <c r="P1593" s="184"/>
      <c r="Q1593" s="184"/>
      <c r="R1593" s="184"/>
      <c r="S1593" s="184"/>
      <c r="T1593" s="184"/>
      <c r="U1593" s="184"/>
      <c r="V1593" s="184"/>
      <c r="W1593" s="184"/>
      <c r="X1593" s="184"/>
    </row>
    <row r="1594">
      <c r="A1594" s="198"/>
      <c r="D1594" s="198" t="str">
        <f>IFERROR(__xludf.DUMMYFUNCTION("""COMPUTED_VALUE"""),"FALSE")</f>
        <v>FALSE</v>
      </c>
      <c r="E1594" s="198" t="str">
        <f>IFERROR(__xludf.DUMMYFUNCTION("""COMPUTED_VALUE"""),"FALSE")</f>
        <v>FALSE</v>
      </c>
      <c r="F1594" s="198"/>
      <c r="J1594" s="184" t="str">
        <f>IFERROR(__xludf.DUMMYFUNCTION("""COMPUTED_VALUE"""),"")</f>
        <v/>
      </c>
      <c r="K1594" s="184"/>
      <c r="L1594" s="184"/>
      <c r="M1594" s="184"/>
      <c r="N1594" s="184"/>
      <c r="O1594" s="184"/>
      <c r="P1594" s="184"/>
      <c r="Q1594" s="184"/>
      <c r="R1594" s="184"/>
      <c r="S1594" s="184"/>
      <c r="T1594" s="184"/>
      <c r="U1594" s="184"/>
      <c r="V1594" s="184"/>
      <c r="W1594" s="184"/>
      <c r="X1594" s="184"/>
    </row>
    <row r="1595">
      <c r="A1595" s="198"/>
      <c r="D1595" s="198" t="str">
        <f>IFERROR(__xludf.DUMMYFUNCTION("""COMPUTED_VALUE"""),"FALSE")</f>
        <v>FALSE</v>
      </c>
      <c r="E1595" s="198" t="str">
        <f>IFERROR(__xludf.DUMMYFUNCTION("""COMPUTED_VALUE"""),"FALSE")</f>
        <v>FALSE</v>
      </c>
      <c r="F1595" s="198"/>
      <c r="J1595" s="184" t="str">
        <f>IFERROR(__xludf.DUMMYFUNCTION("""COMPUTED_VALUE"""),"")</f>
        <v/>
      </c>
      <c r="K1595" s="184"/>
      <c r="L1595" s="184"/>
      <c r="M1595" s="184"/>
      <c r="N1595" s="184"/>
      <c r="O1595" s="184"/>
      <c r="P1595" s="184"/>
      <c r="Q1595" s="184"/>
      <c r="R1595" s="184"/>
      <c r="S1595" s="184"/>
      <c r="T1595" s="184"/>
      <c r="U1595" s="184"/>
      <c r="V1595" s="184"/>
      <c r="W1595" s="184"/>
      <c r="X1595" s="184"/>
    </row>
    <row r="1596">
      <c r="A1596" s="198"/>
      <c r="D1596" s="198" t="str">
        <f>IFERROR(__xludf.DUMMYFUNCTION("""COMPUTED_VALUE"""),"FALSE")</f>
        <v>FALSE</v>
      </c>
      <c r="E1596" s="198" t="str">
        <f>IFERROR(__xludf.DUMMYFUNCTION("""COMPUTED_VALUE"""),"FALSE")</f>
        <v>FALSE</v>
      </c>
      <c r="F1596" s="198"/>
      <c r="J1596" s="184" t="str">
        <f>IFERROR(__xludf.DUMMYFUNCTION("""COMPUTED_VALUE"""),"")</f>
        <v/>
      </c>
      <c r="K1596" s="184"/>
      <c r="L1596" s="184"/>
      <c r="M1596" s="184"/>
      <c r="N1596" s="184"/>
      <c r="O1596" s="184"/>
      <c r="P1596" s="184"/>
      <c r="Q1596" s="184"/>
      <c r="R1596" s="184"/>
      <c r="S1596" s="184"/>
      <c r="T1596" s="184"/>
      <c r="U1596" s="184"/>
      <c r="V1596" s="184"/>
      <c r="W1596" s="184"/>
      <c r="X1596" s="184"/>
    </row>
    <row r="1597">
      <c r="A1597" s="198"/>
      <c r="D1597" s="198" t="str">
        <f>IFERROR(__xludf.DUMMYFUNCTION("""COMPUTED_VALUE"""),"FALSE")</f>
        <v>FALSE</v>
      </c>
      <c r="E1597" s="198" t="str">
        <f>IFERROR(__xludf.DUMMYFUNCTION("""COMPUTED_VALUE"""),"FALSE")</f>
        <v>FALSE</v>
      </c>
      <c r="F1597" s="198"/>
      <c r="J1597" s="184" t="str">
        <f>IFERROR(__xludf.DUMMYFUNCTION("""COMPUTED_VALUE"""),"")</f>
        <v/>
      </c>
      <c r="K1597" s="184"/>
      <c r="L1597" s="184"/>
      <c r="M1597" s="184"/>
      <c r="N1597" s="184"/>
      <c r="O1597" s="184"/>
      <c r="P1597" s="184"/>
      <c r="Q1597" s="184"/>
      <c r="R1597" s="184"/>
      <c r="S1597" s="184"/>
      <c r="T1597" s="184"/>
      <c r="U1597" s="184"/>
      <c r="V1597" s="184"/>
      <c r="W1597" s="184"/>
      <c r="X1597" s="184"/>
    </row>
    <row r="1598">
      <c r="A1598" s="198"/>
      <c r="D1598" s="198" t="str">
        <f>IFERROR(__xludf.DUMMYFUNCTION("""COMPUTED_VALUE"""),"FALSE")</f>
        <v>FALSE</v>
      </c>
      <c r="E1598" s="198" t="str">
        <f>IFERROR(__xludf.DUMMYFUNCTION("""COMPUTED_VALUE"""),"FALSE")</f>
        <v>FALSE</v>
      </c>
      <c r="F1598" s="198"/>
      <c r="J1598" s="184" t="str">
        <f>IFERROR(__xludf.DUMMYFUNCTION("""COMPUTED_VALUE"""),"")</f>
        <v/>
      </c>
      <c r="K1598" s="184"/>
      <c r="L1598" s="184"/>
      <c r="M1598" s="184"/>
      <c r="N1598" s="184"/>
      <c r="O1598" s="184"/>
      <c r="P1598" s="184"/>
      <c r="Q1598" s="184"/>
      <c r="R1598" s="184"/>
      <c r="S1598" s="184"/>
      <c r="T1598" s="184"/>
      <c r="U1598" s="184"/>
      <c r="V1598" s="184"/>
      <c r="W1598" s="184"/>
      <c r="X1598" s="184"/>
    </row>
    <row r="1599">
      <c r="A1599" s="198"/>
      <c r="D1599" s="198" t="str">
        <f>IFERROR(__xludf.DUMMYFUNCTION("""COMPUTED_VALUE"""),"FALSE")</f>
        <v>FALSE</v>
      </c>
      <c r="E1599" s="198" t="str">
        <f>IFERROR(__xludf.DUMMYFUNCTION("""COMPUTED_VALUE"""),"FALSE")</f>
        <v>FALSE</v>
      </c>
      <c r="F1599" s="198"/>
      <c r="J1599" s="184" t="str">
        <f>IFERROR(__xludf.DUMMYFUNCTION("""COMPUTED_VALUE"""),"")</f>
        <v/>
      </c>
      <c r="K1599" s="184"/>
      <c r="L1599" s="184"/>
      <c r="M1599" s="184"/>
      <c r="N1599" s="184"/>
      <c r="O1599" s="184"/>
      <c r="P1599" s="184"/>
      <c r="Q1599" s="184"/>
      <c r="R1599" s="184"/>
      <c r="S1599" s="184"/>
      <c r="T1599" s="184"/>
      <c r="U1599" s="184"/>
      <c r="V1599" s="184"/>
      <c r="W1599" s="184"/>
      <c r="X1599" s="184"/>
    </row>
    <row r="1600">
      <c r="A1600" s="198"/>
      <c r="D1600" s="198" t="str">
        <f>IFERROR(__xludf.DUMMYFUNCTION("""COMPUTED_VALUE"""),"FALSE")</f>
        <v>FALSE</v>
      </c>
      <c r="E1600" s="198" t="str">
        <f>IFERROR(__xludf.DUMMYFUNCTION("""COMPUTED_VALUE"""),"FALSE")</f>
        <v>FALSE</v>
      </c>
      <c r="F1600" s="198"/>
      <c r="J1600" s="184" t="str">
        <f>IFERROR(__xludf.DUMMYFUNCTION("""COMPUTED_VALUE"""),"")</f>
        <v/>
      </c>
      <c r="K1600" s="184"/>
      <c r="L1600" s="184"/>
      <c r="M1600" s="184"/>
      <c r="N1600" s="184"/>
      <c r="O1600" s="184"/>
      <c r="P1600" s="184"/>
      <c r="Q1600" s="184"/>
      <c r="R1600" s="184"/>
      <c r="S1600" s="184"/>
      <c r="T1600" s="184"/>
      <c r="U1600" s="184"/>
      <c r="V1600" s="184"/>
      <c r="W1600" s="184"/>
      <c r="X1600" s="184"/>
    </row>
    <row r="1601">
      <c r="A1601" s="198"/>
      <c r="D1601" s="198" t="str">
        <f>IFERROR(__xludf.DUMMYFUNCTION("""COMPUTED_VALUE"""),"FALSE")</f>
        <v>FALSE</v>
      </c>
      <c r="E1601" s="198" t="str">
        <f>IFERROR(__xludf.DUMMYFUNCTION("""COMPUTED_VALUE"""),"FALSE")</f>
        <v>FALSE</v>
      </c>
      <c r="F1601" s="198"/>
      <c r="J1601" s="184" t="str">
        <f>IFERROR(__xludf.DUMMYFUNCTION("""COMPUTED_VALUE"""),"")</f>
        <v/>
      </c>
      <c r="K1601" s="184"/>
      <c r="L1601" s="184"/>
      <c r="M1601" s="184"/>
      <c r="N1601" s="184"/>
      <c r="O1601" s="184"/>
      <c r="P1601" s="184"/>
      <c r="Q1601" s="184"/>
      <c r="R1601" s="184"/>
      <c r="S1601" s="184"/>
      <c r="T1601" s="184"/>
      <c r="U1601" s="184"/>
      <c r="V1601" s="184"/>
      <c r="W1601" s="184"/>
      <c r="X1601" s="184"/>
    </row>
    <row r="1602">
      <c r="A1602" s="198"/>
      <c r="D1602" s="198" t="str">
        <f>IFERROR(__xludf.DUMMYFUNCTION("""COMPUTED_VALUE"""),"FALSE")</f>
        <v>FALSE</v>
      </c>
      <c r="E1602" s="198" t="str">
        <f>IFERROR(__xludf.DUMMYFUNCTION("""COMPUTED_VALUE"""),"FALSE")</f>
        <v>FALSE</v>
      </c>
      <c r="F1602" s="198"/>
      <c r="J1602" s="184" t="str">
        <f>IFERROR(__xludf.DUMMYFUNCTION("""COMPUTED_VALUE"""),"")</f>
        <v/>
      </c>
      <c r="K1602" s="184"/>
      <c r="L1602" s="184"/>
      <c r="M1602" s="184"/>
      <c r="N1602" s="184"/>
      <c r="O1602" s="184"/>
      <c r="P1602" s="184"/>
      <c r="Q1602" s="184"/>
      <c r="R1602" s="184"/>
      <c r="S1602" s="184"/>
      <c r="T1602" s="184"/>
      <c r="U1602" s="184"/>
      <c r="V1602" s="184"/>
      <c r="W1602" s="184"/>
      <c r="X1602" s="184"/>
    </row>
    <row r="1603">
      <c r="A1603" s="198"/>
      <c r="D1603" s="198" t="str">
        <f>IFERROR(__xludf.DUMMYFUNCTION("""COMPUTED_VALUE"""),"FALSE")</f>
        <v>FALSE</v>
      </c>
      <c r="E1603" s="198" t="str">
        <f>IFERROR(__xludf.DUMMYFUNCTION("""COMPUTED_VALUE"""),"FALSE")</f>
        <v>FALSE</v>
      </c>
      <c r="F1603" s="198"/>
      <c r="J1603" s="184" t="str">
        <f>IFERROR(__xludf.DUMMYFUNCTION("""COMPUTED_VALUE"""),"")</f>
        <v/>
      </c>
      <c r="K1603" s="184"/>
      <c r="L1603" s="184"/>
      <c r="M1603" s="184"/>
      <c r="N1603" s="184"/>
      <c r="O1603" s="184"/>
      <c r="P1603" s="184"/>
      <c r="Q1603" s="184"/>
      <c r="R1603" s="184"/>
      <c r="S1603" s="184"/>
      <c r="T1603" s="184"/>
      <c r="U1603" s="184"/>
      <c r="V1603" s="184"/>
      <c r="W1603" s="184"/>
      <c r="X1603" s="184"/>
    </row>
    <row r="1604">
      <c r="A1604" s="198"/>
      <c r="D1604" s="198" t="str">
        <f>IFERROR(__xludf.DUMMYFUNCTION("""COMPUTED_VALUE"""),"FALSE")</f>
        <v>FALSE</v>
      </c>
      <c r="E1604" s="198" t="str">
        <f>IFERROR(__xludf.DUMMYFUNCTION("""COMPUTED_VALUE"""),"FALSE")</f>
        <v>FALSE</v>
      </c>
      <c r="F1604" s="198"/>
      <c r="J1604" s="184" t="str">
        <f>IFERROR(__xludf.DUMMYFUNCTION("""COMPUTED_VALUE"""),"")</f>
        <v/>
      </c>
      <c r="K1604" s="184"/>
      <c r="L1604" s="184"/>
      <c r="M1604" s="184"/>
      <c r="N1604" s="184"/>
      <c r="O1604" s="184"/>
      <c r="P1604" s="184"/>
      <c r="Q1604" s="184"/>
      <c r="R1604" s="184"/>
      <c r="S1604" s="184"/>
      <c r="T1604" s="184"/>
      <c r="U1604" s="184"/>
      <c r="V1604" s="184"/>
      <c r="W1604" s="184"/>
      <c r="X1604" s="184"/>
    </row>
    <row r="1605">
      <c r="A1605" s="198"/>
      <c r="D1605" s="198" t="str">
        <f>IFERROR(__xludf.DUMMYFUNCTION("""COMPUTED_VALUE"""),"FALSE")</f>
        <v>FALSE</v>
      </c>
      <c r="E1605" s="198" t="str">
        <f>IFERROR(__xludf.DUMMYFUNCTION("""COMPUTED_VALUE"""),"FALSE")</f>
        <v>FALSE</v>
      </c>
      <c r="F1605" s="198"/>
      <c r="J1605" s="184" t="str">
        <f>IFERROR(__xludf.DUMMYFUNCTION("""COMPUTED_VALUE"""),"")</f>
        <v/>
      </c>
      <c r="K1605" s="184"/>
      <c r="L1605" s="184"/>
      <c r="M1605" s="184"/>
      <c r="N1605" s="184"/>
      <c r="O1605" s="184"/>
      <c r="P1605" s="184"/>
      <c r="Q1605" s="184"/>
      <c r="R1605" s="184"/>
      <c r="S1605" s="184"/>
      <c r="T1605" s="184"/>
      <c r="U1605" s="184"/>
      <c r="V1605" s="184"/>
      <c r="W1605" s="184"/>
      <c r="X1605" s="184"/>
    </row>
    <row r="1606">
      <c r="A1606" s="198"/>
      <c r="D1606" s="198" t="str">
        <f>IFERROR(__xludf.DUMMYFUNCTION("""COMPUTED_VALUE"""),"FALSE")</f>
        <v>FALSE</v>
      </c>
      <c r="E1606" s="198" t="str">
        <f>IFERROR(__xludf.DUMMYFUNCTION("""COMPUTED_VALUE"""),"FALSE")</f>
        <v>FALSE</v>
      </c>
      <c r="F1606" s="198"/>
      <c r="J1606" s="184" t="str">
        <f>IFERROR(__xludf.DUMMYFUNCTION("""COMPUTED_VALUE"""),"")</f>
        <v/>
      </c>
      <c r="K1606" s="184"/>
      <c r="L1606" s="184"/>
      <c r="M1606" s="184"/>
      <c r="N1606" s="184"/>
      <c r="O1606" s="184"/>
      <c r="P1606" s="184"/>
      <c r="Q1606" s="184"/>
      <c r="R1606" s="184"/>
      <c r="S1606" s="184"/>
      <c r="T1606" s="184"/>
      <c r="U1606" s="184"/>
      <c r="V1606" s="184"/>
      <c r="W1606" s="184"/>
      <c r="X1606" s="184"/>
    </row>
    <row r="1607">
      <c r="A1607" s="198"/>
      <c r="D1607" s="198" t="str">
        <f>IFERROR(__xludf.DUMMYFUNCTION("""COMPUTED_VALUE"""),"FALSE")</f>
        <v>FALSE</v>
      </c>
      <c r="E1607" s="198" t="str">
        <f>IFERROR(__xludf.DUMMYFUNCTION("""COMPUTED_VALUE"""),"FALSE")</f>
        <v>FALSE</v>
      </c>
      <c r="F1607" s="198"/>
      <c r="J1607" s="184" t="str">
        <f>IFERROR(__xludf.DUMMYFUNCTION("""COMPUTED_VALUE"""),"")</f>
        <v/>
      </c>
      <c r="K1607" s="184"/>
      <c r="L1607" s="184"/>
      <c r="M1607" s="184"/>
      <c r="N1607" s="184"/>
      <c r="O1607" s="184"/>
      <c r="P1607" s="184"/>
      <c r="Q1607" s="184"/>
      <c r="R1607" s="184"/>
      <c r="S1607" s="184"/>
      <c r="T1607" s="184"/>
      <c r="U1607" s="184"/>
      <c r="V1607" s="184"/>
      <c r="W1607" s="184"/>
      <c r="X1607" s="184"/>
    </row>
    <row r="1608">
      <c r="A1608" s="198"/>
      <c r="D1608" s="198" t="str">
        <f>IFERROR(__xludf.DUMMYFUNCTION("""COMPUTED_VALUE"""),"FALSE")</f>
        <v>FALSE</v>
      </c>
      <c r="E1608" s="198" t="str">
        <f>IFERROR(__xludf.DUMMYFUNCTION("""COMPUTED_VALUE"""),"FALSE")</f>
        <v>FALSE</v>
      </c>
      <c r="F1608" s="198"/>
      <c r="J1608" s="184" t="str">
        <f>IFERROR(__xludf.DUMMYFUNCTION("""COMPUTED_VALUE"""),"")</f>
        <v/>
      </c>
      <c r="K1608" s="184"/>
      <c r="L1608" s="184"/>
      <c r="M1608" s="184"/>
      <c r="N1608" s="184"/>
      <c r="O1608" s="184"/>
      <c r="P1608" s="184"/>
      <c r="Q1608" s="184"/>
      <c r="R1608" s="184"/>
      <c r="S1608" s="184"/>
      <c r="T1608" s="184"/>
      <c r="U1608" s="184"/>
      <c r="V1608" s="184"/>
      <c r="W1608" s="184"/>
      <c r="X1608" s="184"/>
    </row>
    <row r="1609">
      <c r="A1609" s="198"/>
      <c r="D1609" s="198" t="str">
        <f>IFERROR(__xludf.DUMMYFUNCTION("""COMPUTED_VALUE"""),"FALSE")</f>
        <v>FALSE</v>
      </c>
      <c r="E1609" s="198" t="str">
        <f>IFERROR(__xludf.DUMMYFUNCTION("""COMPUTED_VALUE"""),"FALSE")</f>
        <v>FALSE</v>
      </c>
      <c r="F1609" s="198"/>
      <c r="J1609" s="184" t="str">
        <f>IFERROR(__xludf.DUMMYFUNCTION("""COMPUTED_VALUE"""),"")</f>
        <v/>
      </c>
      <c r="K1609" s="184"/>
      <c r="L1609" s="184"/>
      <c r="M1609" s="184"/>
      <c r="N1609" s="184"/>
      <c r="O1609" s="184"/>
      <c r="P1609" s="184"/>
      <c r="Q1609" s="184"/>
      <c r="R1609" s="184"/>
      <c r="S1609" s="184"/>
      <c r="T1609" s="184"/>
      <c r="U1609" s="184"/>
      <c r="V1609" s="184"/>
      <c r="W1609" s="184"/>
      <c r="X1609" s="184"/>
    </row>
    <row r="1610">
      <c r="A1610" s="198"/>
      <c r="D1610" s="198" t="str">
        <f>IFERROR(__xludf.DUMMYFUNCTION("""COMPUTED_VALUE"""),"FALSE")</f>
        <v>FALSE</v>
      </c>
      <c r="E1610" s="198" t="str">
        <f>IFERROR(__xludf.DUMMYFUNCTION("""COMPUTED_VALUE"""),"FALSE")</f>
        <v>FALSE</v>
      </c>
      <c r="F1610" s="198"/>
      <c r="J1610" s="184" t="str">
        <f>IFERROR(__xludf.DUMMYFUNCTION("""COMPUTED_VALUE"""),"")</f>
        <v/>
      </c>
      <c r="K1610" s="184"/>
      <c r="L1610" s="184"/>
      <c r="M1610" s="184"/>
      <c r="N1610" s="184"/>
      <c r="O1610" s="184"/>
      <c r="P1610" s="184"/>
      <c r="Q1610" s="184"/>
      <c r="R1610" s="184"/>
      <c r="S1610" s="184"/>
      <c r="T1610" s="184"/>
      <c r="U1610" s="184"/>
      <c r="V1610" s="184"/>
      <c r="W1610" s="184"/>
      <c r="X1610" s="184"/>
    </row>
    <row r="1611">
      <c r="A1611" s="198"/>
      <c r="D1611" s="198" t="str">
        <f>IFERROR(__xludf.DUMMYFUNCTION("""COMPUTED_VALUE"""),"FALSE")</f>
        <v>FALSE</v>
      </c>
      <c r="E1611" s="198" t="str">
        <f>IFERROR(__xludf.DUMMYFUNCTION("""COMPUTED_VALUE"""),"FALSE")</f>
        <v>FALSE</v>
      </c>
      <c r="F1611" s="198"/>
      <c r="J1611" s="184" t="str">
        <f>IFERROR(__xludf.DUMMYFUNCTION("""COMPUTED_VALUE"""),"")</f>
        <v/>
      </c>
      <c r="K1611" s="184"/>
      <c r="L1611" s="184"/>
      <c r="M1611" s="184"/>
      <c r="N1611" s="184"/>
      <c r="O1611" s="184"/>
      <c r="P1611" s="184"/>
      <c r="Q1611" s="184"/>
      <c r="R1611" s="184"/>
      <c r="S1611" s="184"/>
      <c r="T1611" s="184"/>
      <c r="U1611" s="184"/>
      <c r="V1611" s="184"/>
      <c r="W1611" s="184"/>
      <c r="X1611" s="184"/>
    </row>
    <row r="1612">
      <c r="A1612" s="198"/>
      <c r="D1612" s="198" t="str">
        <f>IFERROR(__xludf.DUMMYFUNCTION("""COMPUTED_VALUE"""),"FALSE")</f>
        <v>FALSE</v>
      </c>
      <c r="E1612" s="198" t="str">
        <f>IFERROR(__xludf.DUMMYFUNCTION("""COMPUTED_VALUE"""),"FALSE")</f>
        <v>FALSE</v>
      </c>
      <c r="F1612" s="198"/>
      <c r="J1612" s="184" t="str">
        <f>IFERROR(__xludf.DUMMYFUNCTION("""COMPUTED_VALUE"""),"")</f>
        <v/>
      </c>
      <c r="K1612" s="184"/>
      <c r="L1612" s="184"/>
      <c r="M1612" s="184"/>
      <c r="N1612" s="184"/>
      <c r="O1612" s="184"/>
      <c r="P1612" s="184"/>
      <c r="Q1612" s="184"/>
      <c r="R1612" s="184"/>
      <c r="S1612" s="184"/>
      <c r="T1612" s="184"/>
      <c r="U1612" s="184"/>
      <c r="V1612" s="184"/>
      <c r="W1612" s="184"/>
      <c r="X1612" s="184"/>
    </row>
    <row r="1613">
      <c r="A1613" s="198"/>
      <c r="D1613" s="198" t="str">
        <f>IFERROR(__xludf.DUMMYFUNCTION("""COMPUTED_VALUE"""),"FALSE")</f>
        <v>FALSE</v>
      </c>
      <c r="E1613" s="198" t="str">
        <f>IFERROR(__xludf.DUMMYFUNCTION("""COMPUTED_VALUE"""),"FALSE")</f>
        <v>FALSE</v>
      </c>
      <c r="F1613" s="198"/>
      <c r="J1613" s="184" t="str">
        <f>IFERROR(__xludf.DUMMYFUNCTION("""COMPUTED_VALUE"""),"")</f>
        <v/>
      </c>
      <c r="K1613" s="184"/>
      <c r="L1613" s="184"/>
      <c r="M1613" s="184"/>
      <c r="N1613" s="184"/>
      <c r="O1613" s="184"/>
      <c r="P1613" s="184"/>
      <c r="Q1613" s="184"/>
      <c r="R1613" s="184"/>
      <c r="S1613" s="184"/>
      <c r="T1613" s="184"/>
      <c r="U1613" s="184"/>
      <c r="V1613" s="184"/>
      <c r="W1613" s="184"/>
      <c r="X1613" s="184"/>
    </row>
    <row r="1614">
      <c r="A1614" s="198"/>
      <c r="D1614" s="198" t="str">
        <f>IFERROR(__xludf.DUMMYFUNCTION("""COMPUTED_VALUE"""),"FALSE")</f>
        <v>FALSE</v>
      </c>
      <c r="E1614" s="198" t="str">
        <f>IFERROR(__xludf.DUMMYFUNCTION("""COMPUTED_VALUE"""),"FALSE")</f>
        <v>FALSE</v>
      </c>
      <c r="F1614" s="198"/>
      <c r="J1614" s="184" t="str">
        <f>IFERROR(__xludf.DUMMYFUNCTION("""COMPUTED_VALUE"""),"")</f>
        <v/>
      </c>
      <c r="K1614" s="184"/>
      <c r="L1614" s="184"/>
      <c r="M1614" s="184"/>
      <c r="N1614" s="184"/>
      <c r="O1614" s="184"/>
      <c r="P1614" s="184"/>
      <c r="Q1614" s="184"/>
      <c r="R1614" s="184"/>
      <c r="S1614" s="184"/>
      <c r="T1614" s="184"/>
      <c r="U1614" s="184"/>
      <c r="V1614" s="184"/>
      <c r="W1614" s="184"/>
      <c r="X1614" s="184"/>
    </row>
    <row r="1615">
      <c r="A1615" s="198"/>
      <c r="D1615" s="198" t="str">
        <f>IFERROR(__xludf.DUMMYFUNCTION("""COMPUTED_VALUE"""),"FALSE")</f>
        <v>FALSE</v>
      </c>
      <c r="E1615" s="198" t="str">
        <f>IFERROR(__xludf.DUMMYFUNCTION("""COMPUTED_VALUE"""),"FALSE")</f>
        <v>FALSE</v>
      </c>
      <c r="F1615" s="198"/>
      <c r="J1615" s="184" t="str">
        <f>IFERROR(__xludf.DUMMYFUNCTION("""COMPUTED_VALUE"""),"")</f>
        <v/>
      </c>
      <c r="K1615" s="184"/>
      <c r="L1615" s="184"/>
      <c r="M1615" s="184"/>
      <c r="N1615" s="184"/>
      <c r="O1615" s="184"/>
      <c r="P1615" s="184"/>
      <c r="Q1615" s="184"/>
      <c r="R1615" s="184"/>
      <c r="S1615" s="184"/>
      <c r="T1615" s="184"/>
      <c r="U1615" s="184"/>
      <c r="V1615" s="184"/>
      <c r="W1615" s="184"/>
      <c r="X1615" s="184"/>
    </row>
    <row r="1616">
      <c r="A1616" s="198"/>
      <c r="D1616" s="198" t="str">
        <f>IFERROR(__xludf.DUMMYFUNCTION("""COMPUTED_VALUE"""),"FALSE")</f>
        <v>FALSE</v>
      </c>
      <c r="E1616" s="198" t="str">
        <f>IFERROR(__xludf.DUMMYFUNCTION("""COMPUTED_VALUE"""),"FALSE")</f>
        <v>FALSE</v>
      </c>
      <c r="F1616" s="198"/>
      <c r="J1616" s="184" t="str">
        <f>IFERROR(__xludf.DUMMYFUNCTION("""COMPUTED_VALUE"""),"")</f>
        <v/>
      </c>
      <c r="K1616" s="184"/>
      <c r="L1616" s="184"/>
      <c r="M1616" s="184"/>
      <c r="N1616" s="184"/>
      <c r="O1616" s="184"/>
      <c r="P1616" s="184"/>
      <c r="Q1616" s="184"/>
      <c r="R1616" s="184"/>
      <c r="S1616" s="184"/>
      <c r="T1616" s="184"/>
      <c r="U1616" s="184"/>
      <c r="V1616" s="184"/>
      <c r="W1616" s="184"/>
      <c r="X1616" s="184"/>
    </row>
    <row r="1617">
      <c r="A1617" s="198"/>
      <c r="D1617" s="198" t="str">
        <f>IFERROR(__xludf.DUMMYFUNCTION("""COMPUTED_VALUE"""),"FALSE")</f>
        <v>FALSE</v>
      </c>
      <c r="E1617" s="198" t="str">
        <f>IFERROR(__xludf.DUMMYFUNCTION("""COMPUTED_VALUE"""),"FALSE")</f>
        <v>FALSE</v>
      </c>
      <c r="F1617" s="198"/>
      <c r="J1617" s="184" t="str">
        <f>IFERROR(__xludf.DUMMYFUNCTION("""COMPUTED_VALUE"""),"")</f>
        <v/>
      </c>
      <c r="K1617" s="184"/>
      <c r="L1617" s="184"/>
      <c r="M1617" s="184"/>
      <c r="N1617" s="184"/>
      <c r="O1617" s="184"/>
      <c r="P1617" s="184"/>
      <c r="Q1617" s="184"/>
      <c r="R1617" s="184"/>
      <c r="S1617" s="184"/>
      <c r="T1617" s="184"/>
      <c r="U1617" s="184"/>
      <c r="V1617" s="184"/>
      <c r="W1617" s="184"/>
      <c r="X1617" s="184"/>
    </row>
    <row r="1618">
      <c r="A1618" s="198"/>
      <c r="D1618" s="198" t="str">
        <f>IFERROR(__xludf.DUMMYFUNCTION("""COMPUTED_VALUE"""),"FALSE")</f>
        <v>FALSE</v>
      </c>
      <c r="E1618" s="198" t="str">
        <f>IFERROR(__xludf.DUMMYFUNCTION("""COMPUTED_VALUE"""),"FALSE")</f>
        <v>FALSE</v>
      </c>
      <c r="F1618" s="198"/>
      <c r="J1618" s="184" t="str">
        <f>IFERROR(__xludf.DUMMYFUNCTION("""COMPUTED_VALUE"""),"")</f>
        <v/>
      </c>
      <c r="K1618" s="184"/>
      <c r="L1618" s="184"/>
      <c r="M1618" s="184"/>
      <c r="N1618" s="184"/>
      <c r="O1618" s="184"/>
      <c r="P1618" s="184"/>
      <c r="Q1618" s="184"/>
      <c r="R1618" s="184"/>
      <c r="S1618" s="184"/>
      <c r="T1618" s="184"/>
      <c r="U1618" s="184"/>
      <c r="V1618" s="184"/>
      <c r="W1618" s="184"/>
      <c r="X1618" s="184"/>
    </row>
    <row r="1619">
      <c r="A1619" s="198"/>
      <c r="D1619" s="198" t="str">
        <f>IFERROR(__xludf.DUMMYFUNCTION("""COMPUTED_VALUE"""),"FALSE")</f>
        <v>FALSE</v>
      </c>
      <c r="E1619" s="198" t="str">
        <f>IFERROR(__xludf.DUMMYFUNCTION("""COMPUTED_VALUE"""),"FALSE")</f>
        <v>FALSE</v>
      </c>
      <c r="F1619" s="198"/>
      <c r="J1619" s="184" t="str">
        <f>IFERROR(__xludf.DUMMYFUNCTION("""COMPUTED_VALUE"""),"")</f>
        <v/>
      </c>
      <c r="K1619" s="184"/>
      <c r="L1619" s="184"/>
      <c r="M1619" s="184"/>
      <c r="N1619" s="184"/>
      <c r="O1619" s="184"/>
      <c r="P1619" s="184"/>
      <c r="Q1619" s="184"/>
      <c r="R1619" s="184"/>
      <c r="S1619" s="184"/>
      <c r="T1619" s="184"/>
      <c r="U1619" s="184"/>
      <c r="V1619" s="184"/>
      <c r="W1619" s="184"/>
      <c r="X1619" s="184"/>
    </row>
    <row r="1620">
      <c r="A1620" s="198"/>
      <c r="D1620" s="198" t="str">
        <f>IFERROR(__xludf.DUMMYFUNCTION("""COMPUTED_VALUE"""),"FALSE")</f>
        <v>FALSE</v>
      </c>
      <c r="E1620" s="198" t="str">
        <f>IFERROR(__xludf.DUMMYFUNCTION("""COMPUTED_VALUE"""),"FALSE")</f>
        <v>FALSE</v>
      </c>
      <c r="F1620" s="198"/>
      <c r="J1620" s="184" t="str">
        <f>IFERROR(__xludf.DUMMYFUNCTION("""COMPUTED_VALUE"""),"")</f>
        <v/>
      </c>
      <c r="K1620" s="184"/>
      <c r="L1620" s="184"/>
      <c r="M1620" s="184"/>
      <c r="N1620" s="184"/>
      <c r="O1620" s="184"/>
      <c r="P1620" s="184"/>
      <c r="Q1620" s="184"/>
      <c r="R1620" s="184"/>
      <c r="S1620" s="184"/>
      <c r="T1620" s="184"/>
      <c r="U1620" s="184"/>
      <c r="V1620" s="184"/>
      <c r="W1620" s="184"/>
      <c r="X1620" s="184"/>
    </row>
    <row r="1621">
      <c r="A1621" s="198"/>
      <c r="D1621" s="198" t="str">
        <f>IFERROR(__xludf.DUMMYFUNCTION("""COMPUTED_VALUE"""),"FALSE")</f>
        <v>FALSE</v>
      </c>
      <c r="E1621" s="198" t="str">
        <f>IFERROR(__xludf.DUMMYFUNCTION("""COMPUTED_VALUE"""),"FALSE")</f>
        <v>FALSE</v>
      </c>
      <c r="F1621" s="198"/>
      <c r="J1621" s="184" t="str">
        <f>IFERROR(__xludf.DUMMYFUNCTION("""COMPUTED_VALUE"""),"")</f>
        <v/>
      </c>
      <c r="K1621" s="184"/>
      <c r="L1621" s="184"/>
      <c r="M1621" s="184"/>
      <c r="N1621" s="184"/>
      <c r="O1621" s="184"/>
      <c r="P1621" s="184"/>
      <c r="Q1621" s="184"/>
      <c r="R1621" s="184"/>
      <c r="S1621" s="184"/>
      <c r="T1621" s="184"/>
      <c r="U1621" s="184"/>
      <c r="V1621" s="184"/>
      <c r="W1621" s="184"/>
      <c r="X1621" s="184"/>
    </row>
    <row r="1622">
      <c r="A1622" s="198"/>
      <c r="D1622" s="198" t="str">
        <f>IFERROR(__xludf.DUMMYFUNCTION("""COMPUTED_VALUE"""),"FALSE")</f>
        <v>FALSE</v>
      </c>
      <c r="E1622" s="198" t="str">
        <f>IFERROR(__xludf.DUMMYFUNCTION("""COMPUTED_VALUE"""),"FALSE")</f>
        <v>FALSE</v>
      </c>
      <c r="F1622" s="198"/>
      <c r="J1622" s="184" t="str">
        <f>IFERROR(__xludf.DUMMYFUNCTION("""COMPUTED_VALUE"""),"")</f>
        <v/>
      </c>
      <c r="K1622" s="184"/>
      <c r="L1622" s="184"/>
      <c r="M1622" s="184"/>
      <c r="N1622" s="184"/>
      <c r="O1622" s="184"/>
      <c r="P1622" s="184"/>
      <c r="Q1622" s="184"/>
      <c r="R1622" s="184"/>
      <c r="S1622" s="184"/>
      <c r="T1622" s="184"/>
      <c r="U1622" s="184"/>
      <c r="V1622" s="184"/>
      <c r="W1622" s="184"/>
      <c r="X1622" s="184"/>
    </row>
    <row r="1623">
      <c r="A1623" s="198"/>
      <c r="D1623" s="198" t="str">
        <f>IFERROR(__xludf.DUMMYFUNCTION("""COMPUTED_VALUE"""),"FALSE")</f>
        <v>FALSE</v>
      </c>
      <c r="E1623" s="198" t="str">
        <f>IFERROR(__xludf.DUMMYFUNCTION("""COMPUTED_VALUE"""),"FALSE")</f>
        <v>FALSE</v>
      </c>
      <c r="F1623" s="198"/>
      <c r="J1623" s="184" t="str">
        <f>IFERROR(__xludf.DUMMYFUNCTION("""COMPUTED_VALUE"""),"")</f>
        <v/>
      </c>
      <c r="K1623" s="184"/>
      <c r="L1623" s="184"/>
      <c r="M1623" s="184"/>
      <c r="N1623" s="184"/>
      <c r="O1623" s="184"/>
      <c r="P1623" s="184"/>
      <c r="Q1623" s="184"/>
      <c r="R1623" s="184"/>
      <c r="S1623" s="184"/>
      <c r="T1623" s="184"/>
      <c r="U1623" s="184"/>
      <c r="V1623" s="184"/>
      <c r="W1623" s="184"/>
      <c r="X1623" s="184"/>
    </row>
    <row r="1624">
      <c r="A1624" s="198"/>
      <c r="D1624" s="198" t="str">
        <f>IFERROR(__xludf.DUMMYFUNCTION("""COMPUTED_VALUE"""),"FALSE")</f>
        <v>FALSE</v>
      </c>
      <c r="E1624" s="198" t="str">
        <f>IFERROR(__xludf.DUMMYFUNCTION("""COMPUTED_VALUE"""),"FALSE")</f>
        <v>FALSE</v>
      </c>
      <c r="F1624" s="198"/>
      <c r="J1624" s="184" t="str">
        <f>IFERROR(__xludf.DUMMYFUNCTION("""COMPUTED_VALUE"""),"")</f>
        <v/>
      </c>
      <c r="K1624" s="184"/>
      <c r="L1624" s="184"/>
      <c r="M1624" s="184"/>
      <c r="N1624" s="184"/>
      <c r="O1624" s="184"/>
      <c r="P1624" s="184"/>
      <c r="Q1624" s="184"/>
      <c r="R1624" s="184"/>
      <c r="S1624" s="184"/>
      <c r="T1624" s="184"/>
      <c r="U1624" s="184"/>
      <c r="V1624" s="184"/>
      <c r="W1624" s="184"/>
      <c r="X1624" s="184"/>
    </row>
    <row r="1625">
      <c r="A1625" s="198"/>
      <c r="D1625" s="198" t="str">
        <f>IFERROR(__xludf.DUMMYFUNCTION("""COMPUTED_VALUE"""),"FALSE")</f>
        <v>FALSE</v>
      </c>
      <c r="E1625" s="198" t="str">
        <f>IFERROR(__xludf.DUMMYFUNCTION("""COMPUTED_VALUE"""),"FALSE")</f>
        <v>FALSE</v>
      </c>
      <c r="F1625" s="198"/>
      <c r="J1625" s="184" t="str">
        <f>IFERROR(__xludf.DUMMYFUNCTION("""COMPUTED_VALUE"""),"")</f>
        <v/>
      </c>
      <c r="K1625" s="184"/>
      <c r="L1625" s="184"/>
      <c r="M1625" s="184"/>
      <c r="N1625" s="184"/>
      <c r="O1625" s="184"/>
      <c r="P1625" s="184"/>
      <c r="Q1625" s="184"/>
      <c r="R1625" s="184"/>
      <c r="S1625" s="184"/>
      <c r="T1625" s="184"/>
      <c r="U1625" s="184"/>
      <c r="V1625" s="184"/>
      <c r="W1625" s="184"/>
      <c r="X1625" s="184"/>
    </row>
    <row r="1626">
      <c r="A1626" s="198"/>
      <c r="D1626" s="198" t="str">
        <f>IFERROR(__xludf.DUMMYFUNCTION("""COMPUTED_VALUE"""),"FALSE")</f>
        <v>FALSE</v>
      </c>
      <c r="E1626" s="198" t="str">
        <f>IFERROR(__xludf.DUMMYFUNCTION("""COMPUTED_VALUE"""),"FALSE")</f>
        <v>FALSE</v>
      </c>
      <c r="F1626" s="198"/>
      <c r="J1626" s="184" t="str">
        <f>IFERROR(__xludf.DUMMYFUNCTION("""COMPUTED_VALUE"""),"")</f>
        <v/>
      </c>
      <c r="K1626" s="184"/>
      <c r="L1626" s="184"/>
      <c r="M1626" s="184"/>
      <c r="N1626" s="184"/>
      <c r="O1626" s="184"/>
      <c r="P1626" s="184"/>
      <c r="Q1626" s="184"/>
      <c r="R1626" s="184"/>
      <c r="S1626" s="184"/>
      <c r="T1626" s="184"/>
      <c r="U1626" s="184"/>
      <c r="V1626" s="184"/>
      <c r="W1626" s="184"/>
      <c r="X1626" s="184"/>
    </row>
    <row r="1627">
      <c r="A1627" s="198"/>
      <c r="D1627" s="198" t="str">
        <f>IFERROR(__xludf.DUMMYFUNCTION("""COMPUTED_VALUE"""),"FALSE")</f>
        <v>FALSE</v>
      </c>
      <c r="E1627" s="198" t="str">
        <f>IFERROR(__xludf.DUMMYFUNCTION("""COMPUTED_VALUE"""),"FALSE")</f>
        <v>FALSE</v>
      </c>
      <c r="F1627" s="198"/>
      <c r="J1627" s="184" t="str">
        <f>IFERROR(__xludf.DUMMYFUNCTION("""COMPUTED_VALUE"""),"")</f>
        <v/>
      </c>
      <c r="K1627" s="184"/>
      <c r="L1627" s="184"/>
      <c r="M1627" s="184"/>
      <c r="N1627" s="184"/>
      <c r="O1627" s="184"/>
      <c r="P1627" s="184"/>
      <c r="Q1627" s="184"/>
      <c r="R1627" s="184"/>
      <c r="S1627" s="184"/>
      <c r="T1627" s="184"/>
      <c r="U1627" s="184"/>
      <c r="V1627" s="184"/>
      <c r="W1627" s="184"/>
      <c r="X1627" s="184"/>
    </row>
    <row r="1628">
      <c r="A1628" s="198"/>
      <c r="D1628" s="198" t="str">
        <f>IFERROR(__xludf.DUMMYFUNCTION("""COMPUTED_VALUE"""),"FALSE")</f>
        <v>FALSE</v>
      </c>
      <c r="E1628" s="198" t="str">
        <f>IFERROR(__xludf.DUMMYFUNCTION("""COMPUTED_VALUE"""),"FALSE")</f>
        <v>FALSE</v>
      </c>
      <c r="F1628" s="198"/>
      <c r="J1628" s="184" t="str">
        <f>IFERROR(__xludf.DUMMYFUNCTION("""COMPUTED_VALUE"""),"")</f>
        <v/>
      </c>
      <c r="K1628" s="184"/>
      <c r="L1628" s="184"/>
      <c r="M1628" s="184"/>
      <c r="N1628" s="184"/>
      <c r="O1628" s="184"/>
      <c r="P1628" s="184"/>
      <c r="Q1628" s="184"/>
      <c r="R1628" s="184"/>
      <c r="S1628" s="184"/>
      <c r="T1628" s="184"/>
      <c r="U1628" s="184"/>
      <c r="V1628" s="184"/>
      <c r="W1628" s="184"/>
      <c r="X1628" s="184"/>
    </row>
    <row r="1629">
      <c r="A1629" s="198"/>
      <c r="D1629" s="198" t="str">
        <f>IFERROR(__xludf.DUMMYFUNCTION("""COMPUTED_VALUE"""),"FALSE")</f>
        <v>FALSE</v>
      </c>
      <c r="E1629" s="198" t="str">
        <f>IFERROR(__xludf.DUMMYFUNCTION("""COMPUTED_VALUE"""),"FALSE")</f>
        <v>FALSE</v>
      </c>
      <c r="F1629" s="198"/>
      <c r="J1629" s="184" t="str">
        <f>IFERROR(__xludf.DUMMYFUNCTION("""COMPUTED_VALUE"""),"")</f>
        <v/>
      </c>
      <c r="K1629" s="184"/>
      <c r="L1629" s="184"/>
      <c r="M1629" s="184"/>
      <c r="N1629" s="184"/>
      <c r="O1629" s="184"/>
      <c r="P1629" s="184"/>
      <c r="Q1629" s="184"/>
      <c r="R1629" s="184"/>
      <c r="S1629" s="184"/>
      <c r="T1629" s="184"/>
      <c r="U1629" s="184"/>
      <c r="V1629" s="184"/>
      <c r="W1629" s="184"/>
      <c r="X1629" s="184"/>
    </row>
    <row r="1630">
      <c r="A1630" s="198"/>
      <c r="D1630" s="198" t="str">
        <f>IFERROR(__xludf.DUMMYFUNCTION("""COMPUTED_VALUE"""),"FALSE")</f>
        <v>FALSE</v>
      </c>
      <c r="E1630" s="198" t="str">
        <f>IFERROR(__xludf.DUMMYFUNCTION("""COMPUTED_VALUE"""),"FALSE")</f>
        <v>FALSE</v>
      </c>
      <c r="F1630" s="198"/>
      <c r="J1630" s="184" t="str">
        <f>IFERROR(__xludf.DUMMYFUNCTION("""COMPUTED_VALUE"""),"")</f>
        <v/>
      </c>
      <c r="K1630" s="184"/>
      <c r="L1630" s="184"/>
      <c r="M1630" s="184"/>
      <c r="N1630" s="184"/>
      <c r="O1630" s="184"/>
      <c r="P1630" s="184"/>
      <c r="Q1630" s="184"/>
      <c r="R1630" s="184"/>
      <c r="S1630" s="184"/>
      <c r="T1630" s="184"/>
      <c r="U1630" s="184"/>
      <c r="V1630" s="184"/>
      <c r="W1630" s="184"/>
      <c r="X1630" s="184"/>
    </row>
    <row r="1631">
      <c r="A1631" s="198"/>
      <c r="D1631" s="198" t="str">
        <f>IFERROR(__xludf.DUMMYFUNCTION("""COMPUTED_VALUE"""),"FALSE")</f>
        <v>FALSE</v>
      </c>
      <c r="E1631" s="198" t="str">
        <f>IFERROR(__xludf.DUMMYFUNCTION("""COMPUTED_VALUE"""),"FALSE")</f>
        <v>FALSE</v>
      </c>
      <c r="F1631" s="198"/>
      <c r="J1631" s="184" t="str">
        <f>IFERROR(__xludf.DUMMYFUNCTION("""COMPUTED_VALUE"""),"")</f>
        <v/>
      </c>
      <c r="K1631" s="184"/>
      <c r="L1631" s="184"/>
      <c r="M1631" s="184"/>
      <c r="N1631" s="184"/>
      <c r="O1631" s="184"/>
      <c r="P1631" s="184"/>
      <c r="Q1631" s="184"/>
      <c r="R1631" s="184"/>
      <c r="S1631" s="184"/>
      <c r="T1631" s="184"/>
      <c r="U1631" s="184"/>
      <c r="V1631" s="184"/>
      <c r="W1631" s="184"/>
      <c r="X1631" s="184"/>
    </row>
    <row r="1632">
      <c r="A1632" s="198"/>
      <c r="D1632" s="198" t="str">
        <f>IFERROR(__xludf.DUMMYFUNCTION("""COMPUTED_VALUE"""),"FALSE")</f>
        <v>FALSE</v>
      </c>
      <c r="E1632" s="198" t="str">
        <f>IFERROR(__xludf.DUMMYFUNCTION("""COMPUTED_VALUE"""),"FALSE")</f>
        <v>FALSE</v>
      </c>
      <c r="F1632" s="198"/>
      <c r="J1632" s="184" t="str">
        <f>IFERROR(__xludf.DUMMYFUNCTION("""COMPUTED_VALUE"""),"")</f>
        <v/>
      </c>
      <c r="K1632" s="184"/>
      <c r="L1632" s="184"/>
      <c r="M1632" s="184"/>
      <c r="N1632" s="184"/>
      <c r="O1632" s="184"/>
      <c r="P1632" s="184"/>
      <c r="Q1632" s="184"/>
      <c r="R1632" s="184"/>
      <c r="S1632" s="184"/>
      <c r="T1632" s="184"/>
      <c r="U1632" s="184"/>
      <c r="V1632" s="184"/>
      <c r="W1632" s="184"/>
      <c r="X1632" s="184"/>
    </row>
    <row r="1633">
      <c r="A1633" s="198"/>
      <c r="D1633" s="198" t="str">
        <f>IFERROR(__xludf.DUMMYFUNCTION("""COMPUTED_VALUE"""),"FALSE")</f>
        <v>FALSE</v>
      </c>
      <c r="E1633" s="198" t="str">
        <f>IFERROR(__xludf.DUMMYFUNCTION("""COMPUTED_VALUE"""),"FALSE")</f>
        <v>FALSE</v>
      </c>
      <c r="F1633" s="198"/>
      <c r="J1633" s="184" t="str">
        <f>IFERROR(__xludf.DUMMYFUNCTION("""COMPUTED_VALUE"""),"")</f>
        <v/>
      </c>
      <c r="K1633" s="184"/>
      <c r="L1633" s="184"/>
      <c r="M1633" s="184"/>
      <c r="N1633" s="184"/>
      <c r="O1633" s="184"/>
      <c r="P1633" s="184"/>
      <c r="Q1633" s="184"/>
      <c r="R1633" s="184"/>
      <c r="S1633" s="184"/>
      <c r="T1633" s="184"/>
      <c r="U1633" s="184"/>
      <c r="V1633" s="184"/>
      <c r="W1633" s="184"/>
      <c r="X1633" s="184"/>
    </row>
    <row r="1634">
      <c r="A1634" s="198"/>
      <c r="D1634" s="198" t="str">
        <f>IFERROR(__xludf.DUMMYFUNCTION("""COMPUTED_VALUE"""),"FALSE")</f>
        <v>FALSE</v>
      </c>
      <c r="E1634" s="198" t="str">
        <f>IFERROR(__xludf.DUMMYFUNCTION("""COMPUTED_VALUE"""),"FALSE")</f>
        <v>FALSE</v>
      </c>
      <c r="F1634" s="198"/>
      <c r="J1634" s="184" t="str">
        <f>IFERROR(__xludf.DUMMYFUNCTION("""COMPUTED_VALUE"""),"")</f>
        <v/>
      </c>
      <c r="K1634" s="184"/>
      <c r="L1634" s="184"/>
      <c r="M1634" s="184"/>
      <c r="N1634" s="184"/>
      <c r="O1634" s="184"/>
      <c r="P1634" s="184"/>
      <c r="Q1634" s="184"/>
      <c r="R1634" s="184"/>
      <c r="S1634" s="184"/>
      <c r="T1634" s="184"/>
      <c r="U1634" s="184"/>
      <c r="V1634" s="184"/>
      <c r="W1634" s="184"/>
      <c r="X1634" s="184"/>
    </row>
    <row r="1635">
      <c r="A1635" s="198"/>
      <c r="D1635" s="198" t="str">
        <f>IFERROR(__xludf.DUMMYFUNCTION("""COMPUTED_VALUE"""),"FALSE")</f>
        <v>FALSE</v>
      </c>
      <c r="E1635" s="198" t="str">
        <f>IFERROR(__xludf.DUMMYFUNCTION("""COMPUTED_VALUE"""),"FALSE")</f>
        <v>FALSE</v>
      </c>
      <c r="F1635" s="198"/>
      <c r="J1635" s="184" t="str">
        <f>IFERROR(__xludf.DUMMYFUNCTION("""COMPUTED_VALUE"""),"")</f>
        <v/>
      </c>
      <c r="K1635" s="184"/>
      <c r="L1635" s="184"/>
      <c r="M1635" s="184"/>
      <c r="N1635" s="184"/>
      <c r="O1635" s="184"/>
      <c r="P1635" s="184"/>
      <c r="Q1635" s="184"/>
      <c r="R1635" s="184"/>
      <c r="S1635" s="184"/>
      <c r="T1635" s="184"/>
      <c r="U1635" s="184"/>
      <c r="V1635" s="184"/>
      <c r="W1635" s="184"/>
      <c r="X1635" s="184"/>
    </row>
    <row r="1636">
      <c r="A1636" s="198"/>
      <c r="D1636" s="198" t="str">
        <f>IFERROR(__xludf.DUMMYFUNCTION("""COMPUTED_VALUE"""),"FALSE")</f>
        <v>FALSE</v>
      </c>
      <c r="E1636" s="198" t="str">
        <f>IFERROR(__xludf.DUMMYFUNCTION("""COMPUTED_VALUE"""),"FALSE")</f>
        <v>FALSE</v>
      </c>
      <c r="F1636" s="198"/>
      <c r="J1636" s="184" t="str">
        <f>IFERROR(__xludf.DUMMYFUNCTION("""COMPUTED_VALUE"""),"")</f>
        <v/>
      </c>
      <c r="K1636" s="184"/>
      <c r="L1636" s="184"/>
      <c r="M1636" s="184"/>
      <c r="N1636" s="184"/>
      <c r="O1636" s="184"/>
      <c r="P1636" s="184"/>
      <c r="Q1636" s="184"/>
      <c r="R1636" s="184"/>
      <c r="S1636" s="184"/>
      <c r="T1636" s="184"/>
      <c r="U1636" s="184"/>
      <c r="V1636" s="184"/>
      <c r="W1636" s="184"/>
      <c r="X1636" s="184"/>
    </row>
    <row r="1637">
      <c r="A1637" s="198"/>
      <c r="D1637" s="198" t="str">
        <f>IFERROR(__xludf.DUMMYFUNCTION("""COMPUTED_VALUE"""),"FALSE")</f>
        <v>FALSE</v>
      </c>
      <c r="E1637" s="198" t="str">
        <f>IFERROR(__xludf.DUMMYFUNCTION("""COMPUTED_VALUE"""),"FALSE")</f>
        <v>FALSE</v>
      </c>
      <c r="F1637" s="198"/>
      <c r="J1637" s="184" t="str">
        <f>IFERROR(__xludf.DUMMYFUNCTION("""COMPUTED_VALUE"""),"")</f>
        <v/>
      </c>
      <c r="K1637" s="184"/>
      <c r="L1637" s="184"/>
      <c r="M1637" s="184"/>
      <c r="N1637" s="184"/>
      <c r="O1637" s="184"/>
      <c r="P1637" s="184"/>
      <c r="Q1637" s="184"/>
      <c r="R1637" s="184"/>
      <c r="S1637" s="184"/>
      <c r="T1637" s="184"/>
      <c r="U1637" s="184"/>
      <c r="V1637" s="184"/>
      <c r="W1637" s="184"/>
      <c r="X1637" s="184"/>
    </row>
    <row r="1638">
      <c r="A1638" s="198"/>
      <c r="D1638" s="198" t="str">
        <f>IFERROR(__xludf.DUMMYFUNCTION("""COMPUTED_VALUE"""),"FALSE")</f>
        <v>FALSE</v>
      </c>
      <c r="E1638" s="198" t="str">
        <f>IFERROR(__xludf.DUMMYFUNCTION("""COMPUTED_VALUE"""),"FALSE")</f>
        <v>FALSE</v>
      </c>
      <c r="F1638" s="198"/>
      <c r="J1638" s="184" t="str">
        <f>IFERROR(__xludf.DUMMYFUNCTION("""COMPUTED_VALUE"""),"")</f>
        <v/>
      </c>
      <c r="K1638" s="184"/>
      <c r="L1638" s="184"/>
      <c r="M1638" s="184"/>
      <c r="N1638" s="184"/>
      <c r="O1638" s="184"/>
      <c r="P1638" s="184"/>
      <c r="Q1638" s="184"/>
      <c r="R1638" s="184"/>
      <c r="S1638" s="184"/>
      <c r="T1638" s="184"/>
      <c r="U1638" s="184"/>
      <c r="V1638" s="184"/>
      <c r="W1638" s="184"/>
      <c r="X1638" s="184"/>
    </row>
    <row r="1639">
      <c r="A1639" s="198"/>
      <c r="D1639" s="198" t="str">
        <f>IFERROR(__xludf.DUMMYFUNCTION("""COMPUTED_VALUE"""),"FALSE")</f>
        <v>FALSE</v>
      </c>
      <c r="E1639" s="198" t="str">
        <f>IFERROR(__xludf.DUMMYFUNCTION("""COMPUTED_VALUE"""),"FALSE")</f>
        <v>FALSE</v>
      </c>
      <c r="F1639" s="198"/>
      <c r="J1639" s="184" t="str">
        <f>IFERROR(__xludf.DUMMYFUNCTION("""COMPUTED_VALUE"""),"")</f>
        <v/>
      </c>
      <c r="K1639" s="184"/>
      <c r="L1639" s="184"/>
      <c r="M1639" s="184"/>
      <c r="N1639" s="184"/>
      <c r="O1639" s="184"/>
      <c r="P1639" s="184"/>
      <c r="Q1639" s="184"/>
      <c r="R1639" s="184"/>
      <c r="S1639" s="184"/>
      <c r="T1639" s="184"/>
      <c r="U1639" s="184"/>
      <c r="V1639" s="184"/>
      <c r="W1639" s="184"/>
      <c r="X1639" s="184"/>
    </row>
    <row r="1640">
      <c r="A1640" s="198"/>
      <c r="D1640" s="198" t="str">
        <f>IFERROR(__xludf.DUMMYFUNCTION("""COMPUTED_VALUE"""),"FALSE")</f>
        <v>FALSE</v>
      </c>
      <c r="E1640" s="198" t="str">
        <f>IFERROR(__xludf.DUMMYFUNCTION("""COMPUTED_VALUE"""),"FALSE")</f>
        <v>FALSE</v>
      </c>
      <c r="F1640" s="198"/>
      <c r="J1640" s="184" t="str">
        <f>IFERROR(__xludf.DUMMYFUNCTION("""COMPUTED_VALUE"""),"")</f>
        <v/>
      </c>
      <c r="K1640" s="184"/>
      <c r="L1640" s="184"/>
      <c r="M1640" s="184"/>
      <c r="N1640" s="184"/>
      <c r="O1640" s="184"/>
      <c r="P1640" s="184"/>
      <c r="Q1640" s="184"/>
      <c r="R1640" s="184"/>
      <c r="S1640" s="184"/>
      <c r="T1640" s="184"/>
      <c r="U1640" s="184"/>
      <c r="V1640" s="184"/>
      <c r="W1640" s="184"/>
      <c r="X1640" s="184"/>
    </row>
    <row r="1641">
      <c r="A1641" s="198"/>
      <c r="D1641" s="198" t="str">
        <f>IFERROR(__xludf.DUMMYFUNCTION("""COMPUTED_VALUE"""),"FALSE")</f>
        <v>FALSE</v>
      </c>
      <c r="E1641" s="198" t="str">
        <f>IFERROR(__xludf.DUMMYFUNCTION("""COMPUTED_VALUE"""),"FALSE")</f>
        <v>FALSE</v>
      </c>
      <c r="F1641" s="198"/>
      <c r="J1641" s="184" t="str">
        <f>IFERROR(__xludf.DUMMYFUNCTION("""COMPUTED_VALUE"""),"")</f>
        <v/>
      </c>
      <c r="K1641" s="184"/>
      <c r="L1641" s="184"/>
      <c r="M1641" s="184"/>
      <c r="N1641" s="184"/>
      <c r="O1641" s="184"/>
      <c r="P1641" s="184"/>
      <c r="Q1641" s="184"/>
      <c r="R1641" s="184"/>
      <c r="S1641" s="184"/>
      <c r="T1641" s="184"/>
      <c r="U1641" s="184"/>
      <c r="V1641" s="184"/>
      <c r="W1641" s="184"/>
      <c r="X1641" s="184"/>
    </row>
    <row r="1642">
      <c r="A1642" s="198"/>
      <c r="D1642" s="198" t="str">
        <f>IFERROR(__xludf.DUMMYFUNCTION("""COMPUTED_VALUE"""),"FALSE")</f>
        <v>FALSE</v>
      </c>
      <c r="E1642" s="198" t="str">
        <f>IFERROR(__xludf.DUMMYFUNCTION("""COMPUTED_VALUE"""),"FALSE")</f>
        <v>FALSE</v>
      </c>
      <c r="F1642" s="198"/>
      <c r="J1642" s="184" t="str">
        <f>IFERROR(__xludf.DUMMYFUNCTION("""COMPUTED_VALUE"""),"")</f>
        <v/>
      </c>
      <c r="K1642" s="184"/>
      <c r="L1642" s="184"/>
      <c r="M1642" s="184"/>
      <c r="N1642" s="184"/>
      <c r="O1642" s="184"/>
      <c r="P1642" s="184"/>
      <c r="Q1642" s="184"/>
      <c r="R1642" s="184"/>
      <c r="S1642" s="184"/>
      <c r="T1642" s="184"/>
      <c r="U1642" s="184"/>
      <c r="V1642" s="184"/>
      <c r="W1642" s="184"/>
      <c r="X1642" s="184"/>
    </row>
    <row r="1643">
      <c r="A1643" s="198"/>
      <c r="D1643" s="198" t="str">
        <f>IFERROR(__xludf.DUMMYFUNCTION("""COMPUTED_VALUE"""),"FALSE")</f>
        <v>FALSE</v>
      </c>
      <c r="E1643" s="198" t="str">
        <f>IFERROR(__xludf.DUMMYFUNCTION("""COMPUTED_VALUE"""),"FALSE")</f>
        <v>FALSE</v>
      </c>
      <c r="F1643" s="198"/>
      <c r="J1643" s="184" t="str">
        <f>IFERROR(__xludf.DUMMYFUNCTION("""COMPUTED_VALUE"""),"")</f>
        <v/>
      </c>
      <c r="K1643" s="184"/>
      <c r="L1643" s="184"/>
      <c r="M1643" s="184"/>
      <c r="N1643" s="184"/>
      <c r="O1643" s="184"/>
      <c r="P1643" s="184"/>
      <c r="Q1643" s="184"/>
      <c r="R1643" s="184"/>
      <c r="S1643" s="184"/>
      <c r="T1643" s="184"/>
      <c r="U1643" s="184"/>
      <c r="V1643" s="184"/>
      <c r="W1643" s="184"/>
      <c r="X1643" s="184"/>
    </row>
    <row r="1644">
      <c r="A1644" s="198"/>
      <c r="D1644" s="198" t="str">
        <f>IFERROR(__xludf.DUMMYFUNCTION("""COMPUTED_VALUE"""),"FALSE")</f>
        <v>FALSE</v>
      </c>
      <c r="E1644" s="198" t="str">
        <f>IFERROR(__xludf.DUMMYFUNCTION("""COMPUTED_VALUE"""),"FALSE")</f>
        <v>FALSE</v>
      </c>
      <c r="F1644" s="198"/>
      <c r="J1644" s="184" t="str">
        <f>IFERROR(__xludf.DUMMYFUNCTION("""COMPUTED_VALUE"""),"")</f>
        <v/>
      </c>
      <c r="K1644" s="184"/>
      <c r="L1644" s="184"/>
      <c r="M1644" s="184"/>
      <c r="N1644" s="184"/>
      <c r="O1644" s="184"/>
      <c r="P1644" s="184"/>
      <c r="Q1644" s="184"/>
      <c r="R1644" s="184"/>
      <c r="S1644" s="184"/>
      <c r="T1644" s="184"/>
      <c r="U1644" s="184"/>
      <c r="V1644" s="184"/>
      <c r="W1644" s="184"/>
      <c r="X1644" s="184"/>
    </row>
    <row r="1645">
      <c r="A1645" s="198"/>
      <c r="D1645" s="198" t="str">
        <f>IFERROR(__xludf.DUMMYFUNCTION("""COMPUTED_VALUE"""),"FALSE")</f>
        <v>FALSE</v>
      </c>
      <c r="E1645" s="198" t="str">
        <f>IFERROR(__xludf.DUMMYFUNCTION("""COMPUTED_VALUE"""),"FALSE")</f>
        <v>FALSE</v>
      </c>
      <c r="F1645" s="198"/>
      <c r="J1645" s="184" t="str">
        <f>IFERROR(__xludf.DUMMYFUNCTION("""COMPUTED_VALUE"""),"")</f>
        <v/>
      </c>
      <c r="K1645" s="184"/>
      <c r="L1645" s="184"/>
      <c r="M1645" s="184"/>
      <c r="N1645" s="184"/>
      <c r="O1645" s="184"/>
      <c r="P1645" s="184"/>
      <c r="Q1645" s="184"/>
      <c r="R1645" s="184"/>
      <c r="S1645" s="184"/>
      <c r="T1645" s="184"/>
      <c r="U1645" s="184"/>
      <c r="V1645" s="184"/>
      <c r="W1645" s="184"/>
      <c r="X1645" s="184"/>
    </row>
    <row r="1646">
      <c r="A1646" s="198"/>
      <c r="D1646" s="198" t="str">
        <f>IFERROR(__xludf.DUMMYFUNCTION("""COMPUTED_VALUE"""),"FALSE")</f>
        <v>FALSE</v>
      </c>
      <c r="E1646" s="198" t="str">
        <f>IFERROR(__xludf.DUMMYFUNCTION("""COMPUTED_VALUE"""),"FALSE")</f>
        <v>FALSE</v>
      </c>
      <c r="F1646" s="198"/>
      <c r="J1646" s="184" t="str">
        <f>IFERROR(__xludf.DUMMYFUNCTION("""COMPUTED_VALUE"""),"")</f>
        <v/>
      </c>
      <c r="K1646" s="184"/>
      <c r="L1646" s="184"/>
      <c r="M1646" s="184"/>
      <c r="N1646" s="184"/>
      <c r="O1646" s="184"/>
      <c r="P1646" s="184"/>
      <c r="Q1646" s="184"/>
      <c r="R1646" s="184"/>
      <c r="S1646" s="184"/>
      <c r="T1646" s="184"/>
      <c r="U1646" s="184"/>
      <c r="V1646" s="184"/>
      <c r="W1646" s="184"/>
      <c r="X1646" s="184"/>
    </row>
    <row r="1647">
      <c r="A1647" s="198"/>
      <c r="D1647" s="198" t="str">
        <f>IFERROR(__xludf.DUMMYFUNCTION("""COMPUTED_VALUE"""),"FALSE")</f>
        <v>FALSE</v>
      </c>
      <c r="E1647" s="198" t="str">
        <f>IFERROR(__xludf.DUMMYFUNCTION("""COMPUTED_VALUE"""),"FALSE")</f>
        <v>FALSE</v>
      </c>
      <c r="F1647" s="198"/>
      <c r="J1647" s="184" t="str">
        <f>IFERROR(__xludf.DUMMYFUNCTION("""COMPUTED_VALUE"""),"")</f>
        <v/>
      </c>
      <c r="K1647" s="184"/>
      <c r="L1647" s="184"/>
      <c r="M1647" s="184"/>
      <c r="N1647" s="184"/>
      <c r="O1647" s="184"/>
      <c r="P1647" s="184"/>
      <c r="Q1647" s="184"/>
      <c r="R1647" s="184"/>
      <c r="S1647" s="184"/>
      <c r="T1647" s="184"/>
      <c r="U1647" s="184"/>
      <c r="V1647" s="184"/>
      <c r="W1647" s="184"/>
      <c r="X1647" s="184"/>
    </row>
    <row r="1648">
      <c r="A1648" s="198"/>
      <c r="D1648" s="198" t="str">
        <f>IFERROR(__xludf.DUMMYFUNCTION("""COMPUTED_VALUE"""),"FALSE")</f>
        <v>FALSE</v>
      </c>
      <c r="E1648" s="198" t="str">
        <f>IFERROR(__xludf.DUMMYFUNCTION("""COMPUTED_VALUE"""),"FALSE")</f>
        <v>FALSE</v>
      </c>
      <c r="F1648" s="198"/>
      <c r="J1648" s="184" t="str">
        <f>IFERROR(__xludf.DUMMYFUNCTION("""COMPUTED_VALUE"""),"")</f>
        <v/>
      </c>
      <c r="K1648" s="184"/>
      <c r="L1648" s="184"/>
      <c r="M1648" s="184"/>
      <c r="N1648" s="184"/>
      <c r="O1648" s="184"/>
      <c r="P1648" s="184"/>
      <c r="Q1648" s="184"/>
      <c r="R1648" s="184"/>
      <c r="S1648" s="184"/>
      <c r="T1648" s="184"/>
      <c r="U1648" s="184"/>
      <c r="V1648" s="184"/>
      <c r="W1648" s="184"/>
      <c r="X1648" s="184"/>
    </row>
    <row r="1649">
      <c r="A1649" s="198"/>
      <c r="D1649" s="198" t="str">
        <f>IFERROR(__xludf.DUMMYFUNCTION("""COMPUTED_VALUE"""),"FALSE")</f>
        <v>FALSE</v>
      </c>
      <c r="E1649" s="198" t="str">
        <f>IFERROR(__xludf.DUMMYFUNCTION("""COMPUTED_VALUE"""),"FALSE")</f>
        <v>FALSE</v>
      </c>
      <c r="F1649" s="198"/>
      <c r="J1649" s="184" t="str">
        <f>IFERROR(__xludf.DUMMYFUNCTION("""COMPUTED_VALUE"""),"")</f>
        <v/>
      </c>
      <c r="K1649" s="184"/>
      <c r="L1649" s="184"/>
      <c r="M1649" s="184"/>
      <c r="N1649" s="184"/>
      <c r="O1649" s="184"/>
      <c r="P1649" s="184"/>
      <c r="Q1649" s="184"/>
      <c r="R1649" s="184"/>
      <c r="S1649" s="184"/>
      <c r="T1649" s="184"/>
      <c r="U1649" s="184"/>
      <c r="V1649" s="184"/>
      <c r="W1649" s="184"/>
      <c r="X1649" s="184"/>
    </row>
    <row r="1650">
      <c r="A1650" s="198"/>
      <c r="D1650" s="198" t="str">
        <f>IFERROR(__xludf.DUMMYFUNCTION("""COMPUTED_VALUE"""),"FALSE")</f>
        <v>FALSE</v>
      </c>
      <c r="E1650" s="198" t="str">
        <f>IFERROR(__xludf.DUMMYFUNCTION("""COMPUTED_VALUE"""),"FALSE")</f>
        <v>FALSE</v>
      </c>
      <c r="F1650" s="198"/>
      <c r="J1650" s="184" t="str">
        <f>IFERROR(__xludf.DUMMYFUNCTION("""COMPUTED_VALUE"""),"")</f>
        <v/>
      </c>
      <c r="K1650" s="184"/>
      <c r="L1650" s="184"/>
      <c r="M1650" s="184"/>
      <c r="N1650" s="184"/>
      <c r="O1650" s="184"/>
      <c r="P1650" s="184"/>
      <c r="Q1650" s="184"/>
      <c r="R1650" s="184"/>
      <c r="S1650" s="184"/>
      <c r="T1650" s="184"/>
      <c r="U1650" s="184"/>
      <c r="V1650" s="184"/>
      <c r="W1650" s="184"/>
      <c r="X1650" s="184"/>
    </row>
    <row r="1651">
      <c r="A1651" s="198"/>
      <c r="D1651" s="198" t="str">
        <f>IFERROR(__xludf.DUMMYFUNCTION("""COMPUTED_VALUE"""),"FALSE")</f>
        <v>FALSE</v>
      </c>
      <c r="E1651" s="198" t="str">
        <f>IFERROR(__xludf.DUMMYFUNCTION("""COMPUTED_VALUE"""),"FALSE")</f>
        <v>FALSE</v>
      </c>
      <c r="F1651" s="198"/>
      <c r="J1651" s="184" t="str">
        <f>IFERROR(__xludf.DUMMYFUNCTION("""COMPUTED_VALUE"""),"")</f>
        <v/>
      </c>
      <c r="K1651" s="184"/>
      <c r="L1651" s="184"/>
      <c r="M1651" s="184"/>
      <c r="N1651" s="184"/>
      <c r="O1651" s="184"/>
      <c r="P1651" s="184"/>
      <c r="Q1651" s="184"/>
      <c r="R1651" s="184"/>
      <c r="S1651" s="184"/>
      <c r="T1651" s="184"/>
      <c r="U1651" s="184"/>
      <c r="V1651" s="184"/>
      <c r="W1651" s="184"/>
      <c r="X1651" s="184"/>
    </row>
    <row r="1652">
      <c r="A1652" s="198"/>
      <c r="D1652" s="198" t="str">
        <f>IFERROR(__xludf.DUMMYFUNCTION("""COMPUTED_VALUE"""),"FALSE")</f>
        <v>FALSE</v>
      </c>
      <c r="E1652" s="198" t="str">
        <f>IFERROR(__xludf.DUMMYFUNCTION("""COMPUTED_VALUE"""),"FALSE")</f>
        <v>FALSE</v>
      </c>
      <c r="F1652" s="198"/>
      <c r="J1652" s="184" t="str">
        <f>IFERROR(__xludf.DUMMYFUNCTION("""COMPUTED_VALUE"""),"")</f>
        <v/>
      </c>
      <c r="K1652" s="184"/>
      <c r="L1652" s="184"/>
      <c r="M1652" s="184"/>
      <c r="N1652" s="184"/>
      <c r="O1652" s="184"/>
      <c r="P1652" s="184"/>
      <c r="Q1652" s="184"/>
      <c r="R1652" s="184"/>
      <c r="S1652" s="184"/>
      <c r="T1652" s="184"/>
      <c r="U1652" s="184"/>
      <c r="V1652" s="184"/>
      <c r="W1652" s="184"/>
      <c r="X1652" s="184"/>
    </row>
    <row r="1653">
      <c r="A1653" s="198"/>
      <c r="D1653" s="198" t="str">
        <f>IFERROR(__xludf.DUMMYFUNCTION("""COMPUTED_VALUE"""),"FALSE")</f>
        <v>FALSE</v>
      </c>
      <c r="E1653" s="198" t="str">
        <f>IFERROR(__xludf.DUMMYFUNCTION("""COMPUTED_VALUE"""),"FALSE")</f>
        <v>FALSE</v>
      </c>
      <c r="F1653" s="198"/>
      <c r="J1653" s="184" t="str">
        <f>IFERROR(__xludf.DUMMYFUNCTION("""COMPUTED_VALUE"""),"")</f>
        <v/>
      </c>
      <c r="K1653" s="184"/>
      <c r="L1653" s="184"/>
      <c r="M1653" s="184"/>
      <c r="N1653" s="184"/>
      <c r="O1653" s="184"/>
      <c r="P1653" s="184"/>
      <c r="Q1653" s="184"/>
      <c r="R1653" s="184"/>
      <c r="S1653" s="184"/>
      <c r="T1653" s="184"/>
      <c r="U1653" s="184"/>
      <c r="V1653" s="184"/>
      <c r="W1653" s="184"/>
      <c r="X1653" s="184"/>
    </row>
    <row r="1654">
      <c r="A1654" s="198"/>
      <c r="D1654" s="198" t="str">
        <f>IFERROR(__xludf.DUMMYFUNCTION("""COMPUTED_VALUE"""),"FALSE")</f>
        <v>FALSE</v>
      </c>
      <c r="E1654" s="198" t="str">
        <f>IFERROR(__xludf.DUMMYFUNCTION("""COMPUTED_VALUE"""),"FALSE")</f>
        <v>FALSE</v>
      </c>
      <c r="F1654" s="198"/>
      <c r="J1654" s="184" t="str">
        <f>IFERROR(__xludf.DUMMYFUNCTION("""COMPUTED_VALUE"""),"")</f>
        <v/>
      </c>
      <c r="K1654" s="184"/>
      <c r="L1654" s="184"/>
      <c r="M1654" s="184"/>
      <c r="N1654" s="184"/>
      <c r="O1654" s="184"/>
      <c r="P1654" s="184"/>
      <c r="Q1654" s="184"/>
      <c r="R1654" s="184"/>
      <c r="S1654" s="184"/>
      <c r="T1654" s="184"/>
      <c r="U1654" s="184"/>
      <c r="V1654" s="184"/>
      <c r="W1654" s="184"/>
      <c r="X1654" s="184"/>
    </row>
    <row r="1655">
      <c r="A1655" s="198"/>
      <c r="D1655" s="198" t="str">
        <f>IFERROR(__xludf.DUMMYFUNCTION("""COMPUTED_VALUE"""),"FALSE")</f>
        <v>FALSE</v>
      </c>
      <c r="E1655" s="198" t="str">
        <f>IFERROR(__xludf.DUMMYFUNCTION("""COMPUTED_VALUE"""),"FALSE")</f>
        <v>FALSE</v>
      </c>
      <c r="F1655" s="198"/>
      <c r="J1655" s="184" t="str">
        <f>IFERROR(__xludf.DUMMYFUNCTION("""COMPUTED_VALUE"""),"")</f>
        <v/>
      </c>
      <c r="K1655" s="184"/>
      <c r="L1655" s="184"/>
      <c r="M1655" s="184"/>
      <c r="N1655" s="184"/>
      <c r="O1655" s="184"/>
      <c r="P1655" s="184"/>
      <c r="Q1655" s="184"/>
      <c r="R1655" s="184"/>
      <c r="S1655" s="184"/>
      <c r="T1655" s="184"/>
      <c r="U1655" s="184"/>
      <c r="V1655" s="184"/>
      <c r="W1655" s="184"/>
      <c r="X1655" s="184"/>
    </row>
    <row r="1656">
      <c r="A1656" s="198"/>
      <c r="D1656" s="198" t="str">
        <f>IFERROR(__xludf.DUMMYFUNCTION("""COMPUTED_VALUE"""),"FALSE")</f>
        <v>FALSE</v>
      </c>
      <c r="E1656" s="198" t="str">
        <f>IFERROR(__xludf.DUMMYFUNCTION("""COMPUTED_VALUE"""),"FALSE")</f>
        <v>FALSE</v>
      </c>
      <c r="F1656" s="198"/>
      <c r="J1656" s="184" t="str">
        <f>IFERROR(__xludf.DUMMYFUNCTION("""COMPUTED_VALUE"""),"")</f>
        <v/>
      </c>
      <c r="K1656" s="184"/>
      <c r="L1656" s="184"/>
      <c r="M1656" s="184"/>
      <c r="N1656" s="184"/>
      <c r="O1656" s="184"/>
      <c r="P1656" s="184"/>
      <c r="Q1656" s="184"/>
      <c r="R1656" s="184"/>
      <c r="S1656" s="184"/>
      <c r="T1656" s="184"/>
      <c r="U1656" s="184"/>
      <c r="V1656" s="184"/>
      <c r="W1656" s="184"/>
      <c r="X1656" s="184"/>
    </row>
    <row r="1657">
      <c r="A1657" s="198"/>
      <c r="D1657" s="198" t="str">
        <f>IFERROR(__xludf.DUMMYFUNCTION("""COMPUTED_VALUE"""),"FALSE")</f>
        <v>FALSE</v>
      </c>
      <c r="E1657" s="198" t="str">
        <f>IFERROR(__xludf.DUMMYFUNCTION("""COMPUTED_VALUE"""),"FALSE")</f>
        <v>FALSE</v>
      </c>
      <c r="F1657" s="198"/>
      <c r="J1657" s="184" t="str">
        <f>IFERROR(__xludf.DUMMYFUNCTION("""COMPUTED_VALUE"""),"")</f>
        <v/>
      </c>
      <c r="K1657" s="184"/>
      <c r="L1657" s="184"/>
      <c r="M1657" s="184"/>
      <c r="N1657" s="184"/>
      <c r="O1657" s="184"/>
      <c r="P1657" s="184"/>
      <c r="Q1657" s="184"/>
      <c r="R1657" s="184"/>
      <c r="S1657" s="184"/>
      <c r="T1657" s="184"/>
      <c r="U1657" s="184"/>
      <c r="V1657" s="184"/>
      <c r="W1657" s="184"/>
      <c r="X1657" s="184"/>
    </row>
    <row r="1658">
      <c r="A1658" s="198"/>
      <c r="D1658" s="198" t="str">
        <f>IFERROR(__xludf.DUMMYFUNCTION("""COMPUTED_VALUE"""),"FALSE")</f>
        <v>FALSE</v>
      </c>
      <c r="E1658" s="198" t="str">
        <f>IFERROR(__xludf.DUMMYFUNCTION("""COMPUTED_VALUE"""),"FALSE")</f>
        <v>FALSE</v>
      </c>
      <c r="F1658" s="198"/>
      <c r="J1658" s="184" t="str">
        <f>IFERROR(__xludf.DUMMYFUNCTION("""COMPUTED_VALUE"""),"")</f>
        <v/>
      </c>
      <c r="K1658" s="184"/>
      <c r="L1658" s="184"/>
      <c r="M1658" s="184"/>
      <c r="N1658" s="184"/>
      <c r="O1658" s="184"/>
      <c r="P1658" s="184"/>
      <c r="Q1658" s="184"/>
      <c r="R1658" s="184"/>
      <c r="S1658" s="184"/>
      <c r="T1658" s="184"/>
      <c r="U1658" s="184"/>
      <c r="V1658" s="184"/>
      <c r="W1658" s="184"/>
      <c r="X1658" s="184"/>
    </row>
    <row r="1659">
      <c r="A1659" s="198"/>
      <c r="D1659" s="198" t="str">
        <f>IFERROR(__xludf.DUMMYFUNCTION("""COMPUTED_VALUE"""),"FALSE")</f>
        <v>FALSE</v>
      </c>
      <c r="E1659" s="198" t="str">
        <f>IFERROR(__xludf.DUMMYFUNCTION("""COMPUTED_VALUE"""),"FALSE")</f>
        <v>FALSE</v>
      </c>
      <c r="F1659" s="198"/>
      <c r="J1659" s="184" t="str">
        <f>IFERROR(__xludf.DUMMYFUNCTION("""COMPUTED_VALUE"""),"")</f>
        <v/>
      </c>
      <c r="K1659" s="184"/>
      <c r="L1659" s="184"/>
      <c r="M1659" s="184"/>
      <c r="N1659" s="184"/>
      <c r="O1659" s="184"/>
      <c r="P1659" s="184"/>
      <c r="Q1659" s="184"/>
      <c r="R1659" s="184"/>
      <c r="S1659" s="184"/>
      <c r="T1659" s="184"/>
      <c r="U1659" s="184"/>
      <c r="V1659" s="184"/>
      <c r="W1659" s="184"/>
      <c r="X1659" s="184"/>
    </row>
    <row r="1660">
      <c r="A1660" s="198"/>
      <c r="D1660" s="198" t="str">
        <f>IFERROR(__xludf.DUMMYFUNCTION("""COMPUTED_VALUE"""),"FALSE")</f>
        <v>FALSE</v>
      </c>
      <c r="E1660" s="198" t="str">
        <f>IFERROR(__xludf.DUMMYFUNCTION("""COMPUTED_VALUE"""),"FALSE")</f>
        <v>FALSE</v>
      </c>
      <c r="F1660" s="198"/>
      <c r="J1660" s="184" t="str">
        <f>IFERROR(__xludf.DUMMYFUNCTION("""COMPUTED_VALUE"""),"")</f>
        <v/>
      </c>
      <c r="K1660" s="184"/>
      <c r="L1660" s="184"/>
      <c r="M1660" s="184"/>
      <c r="N1660" s="184"/>
      <c r="O1660" s="184"/>
      <c r="P1660" s="184"/>
      <c r="Q1660" s="184"/>
      <c r="R1660" s="184"/>
      <c r="S1660" s="184"/>
      <c r="T1660" s="184"/>
      <c r="U1660" s="184"/>
      <c r="V1660" s="184"/>
      <c r="W1660" s="184"/>
      <c r="X1660" s="184"/>
    </row>
    <row r="1661">
      <c r="A1661" s="198"/>
      <c r="D1661" s="198" t="str">
        <f>IFERROR(__xludf.DUMMYFUNCTION("""COMPUTED_VALUE"""),"FALSE")</f>
        <v>FALSE</v>
      </c>
      <c r="E1661" s="198" t="str">
        <f>IFERROR(__xludf.DUMMYFUNCTION("""COMPUTED_VALUE"""),"FALSE")</f>
        <v>FALSE</v>
      </c>
      <c r="F1661" s="198"/>
      <c r="J1661" s="184" t="str">
        <f>IFERROR(__xludf.DUMMYFUNCTION("""COMPUTED_VALUE"""),"")</f>
        <v/>
      </c>
      <c r="K1661" s="184"/>
      <c r="L1661" s="184"/>
      <c r="M1661" s="184"/>
      <c r="N1661" s="184"/>
      <c r="O1661" s="184"/>
      <c r="P1661" s="184"/>
      <c r="Q1661" s="184"/>
      <c r="R1661" s="184"/>
      <c r="S1661" s="184"/>
      <c r="T1661" s="184"/>
      <c r="U1661" s="184"/>
      <c r="V1661" s="184"/>
      <c r="W1661" s="184"/>
      <c r="X1661" s="184"/>
    </row>
    <row r="1662">
      <c r="A1662" s="198"/>
      <c r="D1662" s="198" t="str">
        <f>IFERROR(__xludf.DUMMYFUNCTION("""COMPUTED_VALUE"""),"FALSE")</f>
        <v>FALSE</v>
      </c>
      <c r="E1662" s="198" t="str">
        <f>IFERROR(__xludf.DUMMYFUNCTION("""COMPUTED_VALUE"""),"FALSE")</f>
        <v>FALSE</v>
      </c>
      <c r="F1662" s="198"/>
      <c r="J1662" s="184" t="str">
        <f>IFERROR(__xludf.DUMMYFUNCTION("""COMPUTED_VALUE"""),"")</f>
        <v/>
      </c>
      <c r="K1662" s="184"/>
      <c r="L1662" s="184"/>
      <c r="M1662" s="184"/>
      <c r="N1662" s="184"/>
      <c r="O1662" s="184"/>
      <c r="P1662" s="184"/>
      <c r="Q1662" s="184"/>
      <c r="R1662" s="184"/>
      <c r="S1662" s="184"/>
      <c r="T1662" s="184"/>
      <c r="U1662" s="184"/>
      <c r="V1662" s="184"/>
      <c r="W1662" s="184"/>
      <c r="X1662" s="184"/>
    </row>
    <row r="1663">
      <c r="A1663" s="198"/>
      <c r="D1663" s="198" t="str">
        <f>IFERROR(__xludf.DUMMYFUNCTION("""COMPUTED_VALUE"""),"FALSE")</f>
        <v>FALSE</v>
      </c>
      <c r="E1663" s="198" t="str">
        <f>IFERROR(__xludf.DUMMYFUNCTION("""COMPUTED_VALUE"""),"FALSE")</f>
        <v>FALSE</v>
      </c>
      <c r="F1663" s="198"/>
      <c r="J1663" s="184" t="str">
        <f>IFERROR(__xludf.DUMMYFUNCTION("""COMPUTED_VALUE"""),"")</f>
        <v/>
      </c>
      <c r="K1663" s="184"/>
      <c r="L1663" s="184"/>
      <c r="M1663" s="184"/>
      <c r="N1663" s="184"/>
      <c r="O1663" s="184"/>
      <c r="P1663" s="184"/>
      <c r="Q1663" s="184"/>
      <c r="R1663" s="184"/>
      <c r="S1663" s="184"/>
      <c r="T1663" s="184"/>
      <c r="U1663" s="184"/>
      <c r="V1663" s="184"/>
      <c r="W1663" s="184"/>
      <c r="X1663" s="184"/>
    </row>
    <row r="1664">
      <c r="A1664" s="198"/>
      <c r="D1664" s="198" t="str">
        <f>IFERROR(__xludf.DUMMYFUNCTION("""COMPUTED_VALUE"""),"FALSE")</f>
        <v>FALSE</v>
      </c>
      <c r="E1664" s="198" t="str">
        <f>IFERROR(__xludf.DUMMYFUNCTION("""COMPUTED_VALUE"""),"FALSE")</f>
        <v>FALSE</v>
      </c>
      <c r="F1664" s="198"/>
      <c r="J1664" s="184" t="str">
        <f>IFERROR(__xludf.DUMMYFUNCTION("""COMPUTED_VALUE"""),"")</f>
        <v/>
      </c>
      <c r="K1664" s="184"/>
      <c r="L1664" s="184"/>
      <c r="M1664" s="184"/>
      <c r="N1664" s="184"/>
      <c r="O1664" s="184"/>
      <c r="P1664" s="184"/>
      <c r="Q1664" s="184"/>
      <c r="R1664" s="184"/>
      <c r="S1664" s="184"/>
      <c r="T1664" s="184"/>
      <c r="U1664" s="184"/>
      <c r="V1664" s="184"/>
      <c r="W1664" s="184"/>
      <c r="X1664" s="184"/>
    </row>
    <row r="1665">
      <c r="A1665" s="198"/>
      <c r="D1665" s="198" t="str">
        <f>IFERROR(__xludf.DUMMYFUNCTION("""COMPUTED_VALUE"""),"FALSE")</f>
        <v>FALSE</v>
      </c>
      <c r="E1665" s="198" t="str">
        <f>IFERROR(__xludf.DUMMYFUNCTION("""COMPUTED_VALUE"""),"FALSE")</f>
        <v>FALSE</v>
      </c>
      <c r="F1665" s="198"/>
      <c r="J1665" s="184" t="str">
        <f>IFERROR(__xludf.DUMMYFUNCTION("""COMPUTED_VALUE"""),"")</f>
        <v/>
      </c>
      <c r="K1665" s="184"/>
      <c r="L1665" s="184"/>
      <c r="M1665" s="184"/>
      <c r="N1665" s="184"/>
      <c r="O1665" s="184"/>
      <c r="P1665" s="184"/>
      <c r="Q1665" s="184"/>
      <c r="R1665" s="184"/>
      <c r="S1665" s="184"/>
      <c r="T1665" s="184"/>
      <c r="U1665" s="184"/>
      <c r="V1665" s="184"/>
      <c r="W1665" s="184"/>
      <c r="X1665" s="184"/>
    </row>
    <row r="1666">
      <c r="A1666" s="198"/>
      <c r="D1666" s="198" t="str">
        <f>IFERROR(__xludf.DUMMYFUNCTION("""COMPUTED_VALUE"""),"FALSE")</f>
        <v>FALSE</v>
      </c>
      <c r="E1666" s="198" t="str">
        <f>IFERROR(__xludf.DUMMYFUNCTION("""COMPUTED_VALUE"""),"FALSE")</f>
        <v>FALSE</v>
      </c>
      <c r="F1666" s="198"/>
      <c r="J1666" s="184" t="str">
        <f>IFERROR(__xludf.DUMMYFUNCTION("""COMPUTED_VALUE"""),"")</f>
        <v/>
      </c>
      <c r="K1666" s="184"/>
      <c r="L1666" s="184"/>
      <c r="M1666" s="184"/>
      <c r="N1666" s="184"/>
      <c r="O1666" s="184"/>
      <c r="P1666" s="184"/>
      <c r="Q1666" s="184"/>
      <c r="R1666" s="184"/>
      <c r="S1666" s="184"/>
      <c r="T1666" s="184"/>
      <c r="U1666" s="184"/>
      <c r="V1666" s="184"/>
      <c r="W1666" s="184"/>
      <c r="X1666" s="184"/>
    </row>
    <row r="1667">
      <c r="A1667" s="198"/>
      <c r="D1667" s="198" t="str">
        <f>IFERROR(__xludf.DUMMYFUNCTION("""COMPUTED_VALUE"""),"FALSE")</f>
        <v>FALSE</v>
      </c>
      <c r="E1667" s="198" t="str">
        <f>IFERROR(__xludf.DUMMYFUNCTION("""COMPUTED_VALUE"""),"FALSE")</f>
        <v>FALSE</v>
      </c>
      <c r="F1667" s="198"/>
      <c r="J1667" s="184" t="str">
        <f>IFERROR(__xludf.DUMMYFUNCTION("""COMPUTED_VALUE"""),"")</f>
        <v/>
      </c>
      <c r="K1667" s="184"/>
      <c r="L1667" s="184"/>
      <c r="M1667" s="184"/>
      <c r="N1667" s="184"/>
      <c r="O1667" s="184"/>
      <c r="P1667" s="184"/>
      <c r="Q1667" s="184"/>
      <c r="R1667" s="184"/>
      <c r="S1667" s="184"/>
      <c r="T1667" s="184"/>
      <c r="U1667" s="184"/>
      <c r="V1667" s="184"/>
      <c r="W1667" s="184"/>
      <c r="X1667" s="184"/>
    </row>
    <row r="1668">
      <c r="A1668" s="198"/>
      <c r="D1668" s="198" t="str">
        <f>IFERROR(__xludf.DUMMYFUNCTION("""COMPUTED_VALUE"""),"FALSE")</f>
        <v>FALSE</v>
      </c>
      <c r="E1668" s="198" t="str">
        <f>IFERROR(__xludf.DUMMYFUNCTION("""COMPUTED_VALUE"""),"FALSE")</f>
        <v>FALSE</v>
      </c>
      <c r="F1668" s="198"/>
      <c r="J1668" s="184" t="str">
        <f>IFERROR(__xludf.DUMMYFUNCTION("""COMPUTED_VALUE"""),"")</f>
        <v/>
      </c>
      <c r="K1668" s="184"/>
      <c r="L1668" s="184"/>
      <c r="M1668" s="184"/>
      <c r="N1668" s="184"/>
      <c r="O1668" s="184"/>
      <c r="P1668" s="184"/>
      <c r="Q1668" s="184"/>
      <c r="R1668" s="184"/>
      <c r="S1668" s="184"/>
      <c r="T1668" s="184"/>
      <c r="U1668" s="184"/>
      <c r="V1668" s="184"/>
      <c r="W1668" s="184"/>
      <c r="X1668" s="184"/>
    </row>
    <row r="1669">
      <c r="A1669" s="198"/>
      <c r="D1669" s="198" t="str">
        <f>IFERROR(__xludf.DUMMYFUNCTION("""COMPUTED_VALUE"""),"FALSE")</f>
        <v>FALSE</v>
      </c>
      <c r="E1669" s="198" t="str">
        <f>IFERROR(__xludf.DUMMYFUNCTION("""COMPUTED_VALUE"""),"FALSE")</f>
        <v>FALSE</v>
      </c>
      <c r="F1669" s="198"/>
      <c r="J1669" s="184" t="str">
        <f>IFERROR(__xludf.DUMMYFUNCTION("""COMPUTED_VALUE"""),"")</f>
        <v/>
      </c>
      <c r="K1669" s="184"/>
      <c r="L1669" s="184"/>
      <c r="M1669" s="184"/>
      <c r="N1669" s="184"/>
      <c r="O1669" s="184"/>
      <c r="P1669" s="184"/>
      <c r="Q1669" s="184"/>
      <c r="R1669" s="184"/>
      <c r="S1669" s="184"/>
      <c r="T1669" s="184"/>
      <c r="U1669" s="184"/>
      <c r="V1669" s="184"/>
      <c r="W1669" s="184"/>
      <c r="X1669" s="184"/>
    </row>
    <row r="1670">
      <c r="A1670" s="198"/>
      <c r="D1670" s="198" t="str">
        <f>IFERROR(__xludf.DUMMYFUNCTION("""COMPUTED_VALUE"""),"FALSE")</f>
        <v>FALSE</v>
      </c>
      <c r="E1670" s="198" t="str">
        <f>IFERROR(__xludf.DUMMYFUNCTION("""COMPUTED_VALUE"""),"FALSE")</f>
        <v>FALSE</v>
      </c>
      <c r="F1670" s="198"/>
      <c r="J1670" s="184" t="str">
        <f>IFERROR(__xludf.DUMMYFUNCTION("""COMPUTED_VALUE"""),"")</f>
        <v/>
      </c>
      <c r="K1670" s="184"/>
      <c r="L1670" s="184"/>
      <c r="M1670" s="184"/>
      <c r="N1670" s="184"/>
      <c r="O1670" s="184"/>
      <c r="P1670" s="184"/>
      <c r="Q1670" s="184"/>
      <c r="R1670" s="184"/>
      <c r="S1670" s="184"/>
      <c r="T1670" s="184"/>
      <c r="U1670" s="184"/>
      <c r="V1670" s="184"/>
      <c r="W1670" s="184"/>
      <c r="X1670" s="184"/>
    </row>
    <row r="1671">
      <c r="A1671" s="198"/>
      <c r="D1671" s="198" t="str">
        <f>IFERROR(__xludf.DUMMYFUNCTION("""COMPUTED_VALUE"""),"FALSE")</f>
        <v>FALSE</v>
      </c>
      <c r="E1671" s="198" t="str">
        <f>IFERROR(__xludf.DUMMYFUNCTION("""COMPUTED_VALUE"""),"FALSE")</f>
        <v>FALSE</v>
      </c>
      <c r="F1671" s="198"/>
      <c r="J1671" s="184" t="str">
        <f>IFERROR(__xludf.DUMMYFUNCTION("""COMPUTED_VALUE"""),"")</f>
        <v/>
      </c>
      <c r="K1671" s="184"/>
      <c r="L1671" s="184"/>
      <c r="M1671" s="184"/>
      <c r="N1671" s="184"/>
      <c r="O1671" s="184"/>
      <c r="P1671" s="184"/>
      <c r="Q1671" s="184"/>
      <c r="R1671" s="184"/>
      <c r="S1671" s="184"/>
      <c r="T1671" s="184"/>
      <c r="U1671" s="184"/>
      <c r="V1671" s="184"/>
      <c r="W1671" s="184"/>
      <c r="X1671" s="184"/>
    </row>
    <row r="1672">
      <c r="A1672" s="198"/>
      <c r="D1672" s="198" t="str">
        <f>IFERROR(__xludf.DUMMYFUNCTION("""COMPUTED_VALUE"""),"FALSE")</f>
        <v>FALSE</v>
      </c>
      <c r="E1672" s="198" t="str">
        <f>IFERROR(__xludf.DUMMYFUNCTION("""COMPUTED_VALUE"""),"FALSE")</f>
        <v>FALSE</v>
      </c>
      <c r="F1672" s="198"/>
      <c r="J1672" s="184" t="str">
        <f>IFERROR(__xludf.DUMMYFUNCTION("""COMPUTED_VALUE"""),"")</f>
        <v/>
      </c>
      <c r="K1672" s="184"/>
      <c r="L1672" s="184"/>
      <c r="M1672" s="184"/>
      <c r="N1672" s="184"/>
      <c r="O1672" s="184"/>
      <c r="P1672" s="184"/>
      <c r="Q1672" s="184"/>
      <c r="R1672" s="184"/>
      <c r="S1672" s="184"/>
      <c r="T1672" s="184"/>
      <c r="U1672" s="184"/>
      <c r="V1672" s="184"/>
      <c r="W1672" s="184"/>
      <c r="X1672" s="184"/>
    </row>
    <row r="1673">
      <c r="A1673" s="198"/>
      <c r="D1673" s="198" t="str">
        <f>IFERROR(__xludf.DUMMYFUNCTION("""COMPUTED_VALUE"""),"FALSE")</f>
        <v>FALSE</v>
      </c>
      <c r="E1673" s="198" t="str">
        <f>IFERROR(__xludf.DUMMYFUNCTION("""COMPUTED_VALUE"""),"FALSE")</f>
        <v>FALSE</v>
      </c>
      <c r="F1673" s="198"/>
      <c r="J1673" s="184" t="str">
        <f>IFERROR(__xludf.DUMMYFUNCTION("""COMPUTED_VALUE"""),"")</f>
        <v/>
      </c>
      <c r="K1673" s="184"/>
      <c r="L1673" s="184"/>
      <c r="M1673" s="184"/>
      <c r="N1673" s="184"/>
      <c r="O1673" s="184"/>
      <c r="P1673" s="184"/>
      <c r="Q1673" s="184"/>
      <c r="R1673" s="184"/>
      <c r="S1673" s="184"/>
      <c r="T1673" s="184"/>
      <c r="U1673" s="184"/>
      <c r="V1673" s="184"/>
      <c r="W1673" s="184"/>
      <c r="X1673" s="184"/>
    </row>
    <row r="1674">
      <c r="A1674" s="198"/>
      <c r="D1674" s="198" t="str">
        <f>IFERROR(__xludf.DUMMYFUNCTION("""COMPUTED_VALUE"""),"FALSE")</f>
        <v>FALSE</v>
      </c>
      <c r="E1674" s="198" t="str">
        <f>IFERROR(__xludf.DUMMYFUNCTION("""COMPUTED_VALUE"""),"FALSE")</f>
        <v>FALSE</v>
      </c>
      <c r="F1674" s="198"/>
      <c r="J1674" s="184" t="str">
        <f>IFERROR(__xludf.DUMMYFUNCTION("""COMPUTED_VALUE"""),"")</f>
        <v/>
      </c>
      <c r="K1674" s="184"/>
      <c r="L1674" s="184"/>
      <c r="M1674" s="184"/>
      <c r="N1674" s="184"/>
      <c r="O1674" s="184"/>
      <c r="P1674" s="184"/>
      <c r="Q1674" s="184"/>
      <c r="R1674" s="184"/>
      <c r="S1674" s="184"/>
      <c r="T1674" s="184"/>
      <c r="U1674" s="184"/>
      <c r="V1674" s="184"/>
      <c r="W1674" s="184"/>
      <c r="X1674" s="184"/>
    </row>
    <row r="1675">
      <c r="A1675" s="198"/>
      <c r="D1675" s="198" t="str">
        <f>IFERROR(__xludf.DUMMYFUNCTION("""COMPUTED_VALUE"""),"FALSE")</f>
        <v>FALSE</v>
      </c>
      <c r="E1675" s="198" t="str">
        <f>IFERROR(__xludf.DUMMYFUNCTION("""COMPUTED_VALUE"""),"FALSE")</f>
        <v>FALSE</v>
      </c>
      <c r="F1675" s="198"/>
      <c r="J1675" s="184" t="str">
        <f>IFERROR(__xludf.DUMMYFUNCTION("""COMPUTED_VALUE"""),"")</f>
        <v/>
      </c>
      <c r="K1675" s="184"/>
      <c r="L1675" s="184"/>
      <c r="M1675" s="184"/>
      <c r="N1675" s="184"/>
      <c r="O1675" s="184"/>
      <c r="P1675" s="184"/>
      <c r="Q1675" s="184"/>
      <c r="R1675" s="184"/>
      <c r="S1675" s="184"/>
      <c r="T1675" s="184"/>
      <c r="U1675" s="184"/>
      <c r="V1675" s="184"/>
      <c r="W1675" s="184"/>
      <c r="X1675" s="184"/>
    </row>
    <row r="1676">
      <c r="A1676" s="198"/>
      <c r="D1676" s="198" t="str">
        <f>IFERROR(__xludf.DUMMYFUNCTION("""COMPUTED_VALUE"""),"FALSE")</f>
        <v>FALSE</v>
      </c>
      <c r="E1676" s="198" t="str">
        <f>IFERROR(__xludf.DUMMYFUNCTION("""COMPUTED_VALUE"""),"FALSE")</f>
        <v>FALSE</v>
      </c>
      <c r="F1676" s="198"/>
      <c r="J1676" s="184" t="str">
        <f>IFERROR(__xludf.DUMMYFUNCTION("""COMPUTED_VALUE"""),"")</f>
        <v/>
      </c>
      <c r="K1676" s="184"/>
      <c r="L1676" s="184"/>
      <c r="M1676" s="184"/>
      <c r="N1676" s="184"/>
      <c r="O1676" s="184"/>
      <c r="P1676" s="184"/>
      <c r="Q1676" s="184"/>
      <c r="R1676" s="184"/>
      <c r="S1676" s="184"/>
      <c r="T1676" s="184"/>
      <c r="U1676" s="184"/>
      <c r="V1676" s="184"/>
      <c r="W1676" s="184"/>
      <c r="X1676" s="184"/>
    </row>
    <row r="1677">
      <c r="A1677" s="198"/>
      <c r="D1677" s="198" t="str">
        <f>IFERROR(__xludf.DUMMYFUNCTION("""COMPUTED_VALUE"""),"FALSE")</f>
        <v>FALSE</v>
      </c>
      <c r="E1677" s="198" t="str">
        <f>IFERROR(__xludf.DUMMYFUNCTION("""COMPUTED_VALUE"""),"FALSE")</f>
        <v>FALSE</v>
      </c>
      <c r="F1677" s="198"/>
      <c r="J1677" s="184" t="str">
        <f>IFERROR(__xludf.DUMMYFUNCTION("""COMPUTED_VALUE"""),"")</f>
        <v/>
      </c>
      <c r="K1677" s="184"/>
      <c r="L1677" s="184"/>
      <c r="M1677" s="184"/>
      <c r="N1677" s="184"/>
      <c r="O1677" s="184"/>
      <c r="P1677" s="184"/>
      <c r="Q1677" s="184"/>
      <c r="R1677" s="184"/>
      <c r="S1677" s="184"/>
      <c r="T1677" s="184"/>
      <c r="U1677" s="184"/>
      <c r="V1677" s="184"/>
      <c r="W1677" s="184"/>
      <c r="X1677" s="184"/>
    </row>
    <row r="1678">
      <c r="A1678" s="198"/>
      <c r="D1678" s="198" t="str">
        <f>IFERROR(__xludf.DUMMYFUNCTION("""COMPUTED_VALUE"""),"FALSE")</f>
        <v>FALSE</v>
      </c>
      <c r="E1678" s="198" t="str">
        <f>IFERROR(__xludf.DUMMYFUNCTION("""COMPUTED_VALUE"""),"FALSE")</f>
        <v>FALSE</v>
      </c>
      <c r="F1678" s="198"/>
      <c r="J1678" s="184" t="str">
        <f>IFERROR(__xludf.DUMMYFUNCTION("""COMPUTED_VALUE"""),"")</f>
        <v/>
      </c>
      <c r="K1678" s="184"/>
      <c r="L1678" s="184"/>
      <c r="M1678" s="184"/>
      <c r="N1678" s="184"/>
      <c r="O1678" s="184"/>
      <c r="P1678" s="184"/>
      <c r="Q1678" s="184"/>
      <c r="R1678" s="184"/>
      <c r="S1678" s="184"/>
      <c r="T1678" s="184"/>
      <c r="U1678" s="184"/>
      <c r="V1678" s="184"/>
      <c r="W1678" s="184"/>
      <c r="X1678" s="184"/>
    </row>
    <row r="1679">
      <c r="A1679" s="198"/>
      <c r="D1679" s="198" t="str">
        <f>IFERROR(__xludf.DUMMYFUNCTION("""COMPUTED_VALUE"""),"FALSE")</f>
        <v>FALSE</v>
      </c>
      <c r="E1679" s="198" t="str">
        <f>IFERROR(__xludf.DUMMYFUNCTION("""COMPUTED_VALUE"""),"FALSE")</f>
        <v>FALSE</v>
      </c>
      <c r="F1679" s="198"/>
      <c r="J1679" s="184" t="str">
        <f>IFERROR(__xludf.DUMMYFUNCTION("""COMPUTED_VALUE"""),"")</f>
        <v/>
      </c>
      <c r="K1679" s="184"/>
      <c r="L1679" s="184"/>
      <c r="M1679" s="184"/>
      <c r="N1679" s="184"/>
      <c r="O1679" s="184"/>
      <c r="P1679" s="184"/>
      <c r="Q1679" s="184"/>
      <c r="R1679" s="184"/>
      <c r="S1679" s="184"/>
      <c r="T1679" s="184"/>
      <c r="U1679" s="184"/>
      <c r="V1679" s="184"/>
      <c r="W1679" s="184"/>
      <c r="X1679" s="184"/>
    </row>
    <row r="1680">
      <c r="A1680" s="198"/>
      <c r="D1680" s="198" t="str">
        <f>IFERROR(__xludf.DUMMYFUNCTION("""COMPUTED_VALUE"""),"FALSE")</f>
        <v>FALSE</v>
      </c>
      <c r="E1680" s="198" t="str">
        <f>IFERROR(__xludf.DUMMYFUNCTION("""COMPUTED_VALUE"""),"FALSE")</f>
        <v>FALSE</v>
      </c>
      <c r="F1680" s="198"/>
      <c r="J1680" s="184" t="str">
        <f>IFERROR(__xludf.DUMMYFUNCTION("""COMPUTED_VALUE"""),"")</f>
        <v/>
      </c>
      <c r="K1680" s="184"/>
      <c r="L1680" s="184"/>
      <c r="M1680" s="184"/>
      <c r="N1680" s="184"/>
      <c r="O1680" s="184"/>
      <c r="P1680" s="184"/>
      <c r="Q1680" s="184"/>
      <c r="R1680" s="184"/>
      <c r="S1680" s="184"/>
      <c r="T1680" s="184"/>
      <c r="U1680" s="184"/>
      <c r="V1680" s="184"/>
      <c r="W1680" s="184"/>
      <c r="X1680" s="184"/>
    </row>
    <row r="1681">
      <c r="A1681" s="198"/>
      <c r="D1681" s="198" t="str">
        <f>IFERROR(__xludf.DUMMYFUNCTION("""COMPUTED_VALUE"""),"FALSE")</f>
        <v>FALSE</v>
      </c>
      <c r="E1681" s="198" t="str">
        <f>IFERROR(__xludf.DUMMYFUNCTION("""COMPUTED_VALUE"""),"FALSE")</f>
        <v>FALSE</v>
      </c>
      <c r="F1681" s="198"/>
      <c r="J1681" s="184" t="str">
        <f>IFERROR(__xludf.DUMMYFUNCTION("""COMPUTED_VALUE"""),"")</f>
        <v/>
      </c>
      <c r="K1681" s="184"/>
      <c r="L1681" s="184"/>
      <c r="M1681" s="184"/>
      <c r="N1681" s="184"/>
      <c r="O1681" s="184"/>
      <c r="P1681" s="184"/>
      <c r="Q1681" s="184"/>
      <c r="R1681" s="184"/>
      <c r="S1681" s="184"/>
      <c r="T1681" s="184"/>
      <c r="U1681" s="184"/>
      <c r="V1681" s="184"/>
      <c r="W1681" s="184"/>
      <c r="X1681" s="184"/>
    </row>
    <row r="1682">
      <c r="A1682" s="198"/>
      <c r="D1682" s="198" t="str">
        <f>IFERROR(__xludf.DUMMYFUNCTION("""COMPUTED_VALUE"""),"FALSE")</f>
        <v>FALSE</v>
      </c>
      <c r="E1682" s="198" t="str">
        <f>IFERROR(__xludf.DUMMYFUNCTION("""COMPUTED_VALUE"""),"FALSE")</f>
        <v>FALSE</v>
      </c>
      <c r="F1682" s="198"/>
      <c r="J1682" s="184" t="str">
        <f>IFERROR(__xludf.DUMMYFUNCTION("""COMPUTED_VALUE"""),"")</f>
        <v/>
      </c>
      <c r="K1682" s="184"/>
      <c r="L1682" s="184"/>
      <c r="M1682" s="184"/>
      <c r="N1682" s="184"/>
      <c r="O1682" s="184"/>
      <c r="P1682" s="184"/>
      <c r="Q1682" s="184"/>
      <c r="R1682" s="184"/>
      <c r="S1682" s="184"/>
      <c r="T1682" s="184"/>
      <c r="U1682" s="184"/>
      <c r="V1682" s="184"/>
      <c r="W1682" s="184"/>
      <c r="X1682" s="184"/>
    </row>
    <row r="1683">
      <c r="A1683" s="198"/>
      <c r="D1683" s="198" t="str">
        <f>IFERROR(__xludf.DUMMYFUNCTION("""COMPUTED_VALUE"""),"FALSE")</f>
        <v>FALSE</v>
      </c>
      <c r="E1683" s="198" t="str">
        <f>IFERROR(__xludf.DUMMYFUNCTION("""COMPUTED_VALUE"""),"FALSE")</f>
        <v>FALSE</v>
      </c>
      <c r="F1683" s="198"/>
      <c r="J1683" s="184" t="str">
        <f>IFERROR(__xludf.DUMMYFUNCTION("""COMPUTED_VALUE"""),"")</f>
        <v/>
      </c>
      <c r="K1683" s="184"/>
      <c r="L1683" s="184"/>
      <c r="M1683" s="184"/>
      <c r="N1683" s="184"/>
      <c r="O1683" s="184"/>
      <c r="P1683" s="184"/>
      <c r="Q1683" s="184"/>
      <c r="R1683" s="184"/>
      <c r="S1683" s="184"/>
      <c r="T1683" s="184"/>
      <c r="U1683" s="184"/>
      <c r="V1683" s="184"/>
      <c r="W1683" s="184"/>
      <c r="X1683" s="184"/>
    </row>
    <row r="1684">
      <c r="A1684" s="198"/>
      <c r="D1684" s="198" t="str">
        <f>IFERROR(__xludf.DUMMYFUNCTION("""COMPUTED_VALUE"""),"FALSE")</f>
        <v>FALSE</v>
      </c>
      <c r="E1684" s="198" t="str">
        <f>IFERROR(__xludf.DUMMYFUNCTION("""COMPUTED_VALUE"""),"FALSE")</f>
        <v>FALSE</v>
      </c>
      <c r="F1684" s="198"/>
      <c r="J1684" s="184" t="str">
        <f>IFERROR(__xludf.DUMMYFUNCTION("""COMPUTED_VALUE"""),"")</f>
        <v/>
      </c>
      <c r="K1684" s="184"/>
      <c r="L1684" s="184"/>
      <c r="M1684" s="184"/>
      <c r="N1684" s="184"/>
      <c r="O1684" s="184"/>
      <c r="P1684" s="184"/>
      <c r="Q1684" s="184"/>
      <c r="R1684" s="184"/>
      <c r="S1684" s="184"/>
      <c r="T1684" s="184"/>
      <c r="U1684" s="184"/>
      <c r="V1684" s="184"/>
      <c r="W1684" s="184"/>
      <c r="X1684" s="184"/>
    </row>
    <row r="1685">
      <c r="A1685" s="198"/>
      <c r="D1685" s="198" t="str">
        <f>IFERROR(__xludf.DUMMYFUNCTION("""COMPUTED_VALUE"""),"FALSE")</f>
        <v>FALSE</v>
      </c>
      <c r="E1685" s="198" t="str">
        <f>IFERROR(__xludf.DUMMYFUNCTION("""COMPUTED_VALUE"""),"FALSE")</f>
        <v>FALSE</v>
      </c>
      <c r="F1685" s="198"/>
      <c r="J1685" s="184" t="str">
        <f>IFERROR(__xludf.DUMMYFUNCTION("""COMPUTED_VALUE"""),"")</f>
        <v/>
      </c>
      <c r="K1685" s="184"/>
      <c r="L1685" s="184"/>
      <c r="M1685" s="184"/>
      <c r="N1685" s="184"/>
      <c r="O1685" s="184"/>
      <c r="P1685" s="184"/>
      <c r="Q1685" s="184"/>
      <c r="R1685" s="184"/>
      <c r="S1685" s="184"/>
      <c r="T1685" s="184"/>
      <c r="U1685" s="184"/>
      <c r="V1685" s="184"/>
      <c r="W1685" s="184"/>
      <c r="X1685" s="184"/>
    </row>
    <row r="1686">
      <c r="A1686" s="198"/>
      <c r="D1686" s="198" t="str">
        <f>IFERROR(__xludf.DUMMYFUNCTION("""COMPUTED_VALUE"""),"FALSE")</f>
        <v>FALSE</v>
      </c>
      <c r="E1686" s="198" t="str">
        <f>IFERROR(__xludf.DUMMYFUNCTION("""COMPUTED_VALUE"""),"FALSE")</f>
        <v>FALSE</v>
      </c>
      <c r="F1686" s="198"/>
      <c r="J1686" s="184" t="str">
        <f>IFERROR(__xludf.DUMMYFUNCTION("""COMPUTED_VALUE"""),"")</f>
        <v/>
      </c>
      <c r="K1686" s="184"/>
      <c r="L1686" s="184"/>
      <c r="M1686" s="184"/>
      <c r="N1686" s="184"/>
      <c r="O1686" s="184"/>
      <c r="P1686" s="184"/>
      <c r="Q1686" s="184"/>
      <c r="R1686" s="184"/>
      <c r="S1686" s="184"/>
      <c r="T1686" s="184"/>
      <c r="U1686" s="184"/>
      <c r="V1686" s="184"/>
      <c r="W1686" s="184"/>
      <c r="X1686" s="184"/>
    </row>
    <row r="1687">
      <c r="A1687" s="198"/>
      <c r="D1687" s="198" t="str">
        <f>IFERROR(__xludf.DUMMYFUNCTION("""COMPUTED_VALUE"""),"FALSE")</f>
        <v>FALSE</v>
      </c>
      <c r="E1687" s="198" t="str">
        <f>IFERROR(__xludf.DUMMYFUNCTION("""COMPUTED_VALUE"""),"FALSE")</f>
        <v>FALSE</v>
      </c>
      <c r="F1687" s="198"/>
      <c r="J1687" s="184" t="str">
        <f>IFERROR(__xludf.DUMMYFUNCTION("""COMPUTED_VALUE"""),"")</f>
        <v/>
      </c>
      <c r="K1687" s="184"/>
      <c r="L1687" s="184"/>
      <c r="M1687" s="184"/>
      <c r="N1687" s="184"/>
      <c r="O1687" s="184"/>
      <c r="P1687" s="184"/>
      <c r="Q1687" s="184"/>
      <c r="R1687" s="184"/>
      <c r="S1687" s="184"/>
      <c r="T1687" s="184"/>
      <c r="U1687" s="184"/>
      <c r="V1687" s="184"/>
      <c r="W1687" s="184"/>
      <c r="X1687" s="184"/>
    </row>
    <row r="1688">
      <c r="A1688" s="198"/>
      <c r="D1688" s="198" t="str">
        <f>IFERROR(__xludf.DUMMYFUNCTION("""COMPUTED_VALUE"""),"FALSE")</f>
        <v>FALSE</v>
      </c>
      <c r="E1688" s="198" t="str">
        <f>IFERROR(__xludf.DUMMYFUNCTION("""COMPUTED_VALUE"""),"FALSE")</f>
        <v>FALSE</v>
      </c>
      <c r="F1688" s="198"/>
      <c r="J1688" s="184" t="str">
        <f>IFERROR(__xludf.DUMMYFUNCTION("""COMPUTED_VALUE"""),"")</f>
        <v/>
      </c>
      <c r="K1688" s="184"/>
      <c r="L1688" s="184"/>
      <c r="M1688" s="184"/>
      <c r="N1688" s="184"/>
      <c r="O1688" s="184"/>
      <c r="P1688" s="184"/>
      <c r="Q1688" s="184"/>
      <c r="R1688" s="184"/>
      <c r="S1688" s="184"/>
      <c r="T1688" s="184"/>
      <c r="U1688" s="184"/>
      <c r="V1688" s="184"/>
      <c r="W1688" s="184"/>
      <c r="X1688" s="184"/>
    </row>
    <row r="1689">
      <c r="A1689" s="198"/>
      <c r="D1689" s="198" t="str">
        <f>IFERROR(__xludf.DUMMYFUNCTION("""COMPUTED_VALUE"""),"FALSE")</f>
        <v>FALSE</v>
      </c>
      <c r="E1689" s="198" t="str">
        <f>IFERROR(__xludf.DUMMYFUNCTION("""COMPUTED_VALUE"""),"FALSE")</f>
        <v>FALSE</v>
      </c>
      <c r="F1689" s="198"/>
      <c r="J1689" s="184" t="str">
        <f>IFERROR(__xludf.DUMMYFUNCTION("""COMPUTED_VALUE"""),"")</f>
        <v/>
      </c>
      <c r="K1689" s="184"/>
      <c r="L1689" s="184"/>
      <c r="M1689" s="184"/>
      <c r="N1689" s="184"/>
      <c r="O1689" s="184"/>
      <c r="P1689" s="184"/>
      <c r="Q1689" s="184"/>
      <c r="R1689" s="184"/>
      <c r="S1689" s="184"/>
      <c r="T1689" s="184"/>
      <c r="U1689" s="184"/>
      <c r="V1689" s="184"/>
      <c r="W1689" s="184"/>
      <c r="X1689" s="184"/>
    </row>
    <row r="1690">
      <c r="A1690" s="198"/>
      <c r="D1690" s="198" t="str">
        <f>IFERROR(__xludf.DUMMYFUNCTION("""COMPUTED_VALUE"""),"FALSE")</f>
        <v>FALSE</v>
      </c>
      <c r="E1690" s="198" t="str">
        <f>IFERROR(__xludf.DUMMYFUNCTION("""COMPUTED_VALUE"""),"FALSE")</f>
        <v>FALSE</v>
      </c>
      <c r="F1690" s="198"/>
      <c r="J1690" s="184" t="str">
        <f>IFERROR(__xludf.DUMMYFUNCTION("""COMPUTED_VALUE"""),"")</f>
        <v/>
      </c>
      <c r="K1690" s="184"/>
      <c r="L1690" s="184"/>
      <c r="M1690" s="184"/>
      <c r="N1690" s="184"/>
      <c r="O1690" s="184"/>
      <c r="P1690" s="184"/>
      <c r="Q1690" s="184"/>
      <c r="R1690" s="184"/>
      <c r="S1690" s="184"/>
      <c r="T1690" s="184"/>
      <c r="U1690" s="184"/>
      <c r="V1690" s="184"/>
      <c r="W1690" s="184"/>
      <c r="X1690" s="184"/>
    </row>
    <row r="1691">
      <c r="A1691" s="198"/>
      <c r="D1691" s="198" t="str">
        <f>IFERROR(__xludf.DUMMYFUNCTION("""COMPUTED_VALUE"""),"FALSE")</f>
        <v>FALSE</v>
      </c>
      <c r="E1691" s="198" t="str">
        <f>IFERROR(__xludf.DUMMYFUNCTION("""COMPUTED_VALUE"""),"FALSE")</f>
        <v>FALSE</v>
      </c>
      <c r="F1691" s="198"/>
      <c r="J1691" s="184" t="str">
        <f>IFERROR(__xludf.DUMMYFUNCTION("""COMPUTED_VALUE"""),"")</f>
        <v/>
      </c>
      <c r="K1691" s="184"/>
      <c r="L1691" s="184"/>
      <c r="M1691" s="184"/>
      <c r="N1691" s="184"/>
      <c r="O1691" s="184"/>
      <c r="P1691" s="184"/>
      <c r="Q1691" s="184"/>
      <c r="R1691" s="184"/>
      <c r="S1691" s="184"/>
      <c r="T1691" s="184"/>
      <c r="U1691" s="184"/>
      <c r="V1691" s="184"/>
      <c r="W1691" s="184"/>
      <c r="X1691" s="184"/>
    </row>
    <row r="1692">
      <c r="A1692" s="198"/>
      <c r="D1692" s="198" t="str">
        <f>IFERROR(__xludf.DUMMYFUNCTION("""COMPUTED_VALUE"""),"FALSE")</f>
        <v>FALSE</v>
      </c>
      <c r="E1692" s="198" t="str">
        <f>IFERROR(__xludf.DUMMYFUNCTION("""COMPUTED_VALUE"""),"FALSE")</f>
        <v>FALSE</v>
      </c>
      <c r="F1692" s="198"/>
      <c r="J1692" s="184" t="str">
        <f>IFERROR(__xludf.DUMMYFUNCTION("""COMPUTED_VALUE"""),"")</f>
        <v/>
      </c>
      <c r="K1692" s="184"/>
      <c r="L1692" s="184"/>
      <c r="M1692" s="184"/>
      <c r="N1692" s="184"/>
      <c r="O1692" s="184"/>
      <c r="P1692" s="184"/>
      <c r="Q1692" s="184"/>
      <c r="R1692" s="184"/>
      <c r="S1692" s="184"/>
      <c r="T1692" s="184"/>
      <c r="U1692" s="184"/>
      <c r="V1692" s="184"/>
      <c r="W1692" s="184"/>
      <c r="X1692" s="184"/>
    </row>
    <row r="1693">
      <c r="A1693" s="198"/>
      <c r="D1693" s="198" t="str">
        <f>IFERROR(__xludf.DUMMYFUNCTION("""COMPUTED_VALUE"""),"FALSE")</f>
        <v>FALSE</v>
      </c>
      <c r="E1693" s="198" t="str">
        <f>IFERROR(__xludf.DUMMYFUNCTION("""COMPUTED_VALUE"""),"FALSE")</f>
        <v>FALSE</v>
      </c>
      <c r="F1693" s="198"/>
      <c r="J1693" s="184" t="str">
        <f>IFERROR(__xludf.DUMMYFUNCTION("""COMPUTED_VALUE"""),"")</f>
        <v/>
      </c>
      <c r="K1693" s="184"/>
      <c r="L1693" s="184"/>
      <c r="M1693" s="184"/>
      <c r="N1693" s="184"/>
      <c r="O1693" s="184"/>
      <c r="P1693" s="184"/>
      <c r="Q1693" s="184"/>
      <c r="R1693" s="184"/>
      <c r="S1693" s="184"/>
      <c r="T1693" s="184"/>
      <c r="U1693" s="184"/>
      <c r="V1693" s="184"/>
      <c r="W1693" s="184"/>
      <c r="X1693" s="184"/>
    </row>
    <row r="1694">
      <c r="A1694" s="198"/>
      <c r="D1694" s="198" t="str">
        <f>IFERROR(__xludf.DUMMYFUNCTION("""COMPUTED_VALUE"""),"FALSE")</f>
        <v>FALSE</v>
      </c>
      <c r="E1694" s="198" t="str">
        <f>IFERROR(__xludf.DUMMYFUNCTION("""COMPUTED_VALUE"""),"FALSE")</f>
        <v>FALSE</v>
      </c>
      <c r="F1694" s="198"/>
      <c r="J1694" s="184" t="str">
        <f>IFERROR(__xludf.DUMMYFUNCTION("""COMPUTED_VALUE"""),"")</f>
        <v/>
      </c>
      <c r="K1694" s="184"/>
      <c r="L1694" s="184"/>
      <c r="M1694" s="184"/>
      <c r="N1694" s="184"/>
      <c r="O1694" s="184"/>
      <c r="P1694" s="184"/>
      <c r="Q1694" s="184"/>
      <c r="R1694" s="184"/>
      <c r="S1694" s="184"/>
      <c r="T1694" s="184"/>
      <c r="U1694" s="184"/>
      <c r="V1694" s="184"/>
      <c r="W1694" s="184"/>
      <c r="X1694" s="184"/>
    </row>
    <row r="1695">
      <c r="A1695" s="198"/>
      <c r="D1695" s="198" t="str">
        <f>IFERROR(__xludf.DUMMYFUNCTION("""COMPUTED_VALUE"""),"FALSE")</f>
        <v>FALSE</v>
      </c>
      <c r="E1695" s="198" t="str">
        <f>IFERROR(__xludf.DUMMYFUNCTION("""COMPUTED_VALUE"""),"FALSE")</f>
        <v>FALSE</v>
      </c>
      <c r="F1695" s="198"/>
      <c r="J1695" s="184" t="str">
        <f>IFERROR(__xludf.DUMMYFUNCTION("""COMPUTED_VALUE"""),"")</f>
        <v/>
      </c>
      <c r="K1695" s="184"/>
      <c r="L1695" s="184"/>
      <c r="M1695" s="184"/>
      <c r="N1695" s="184"/>
      <c r="O1695" s="184"/>
      <c r="P1695" s="184"/>
      <c r="Q1695" s="184"/>
      <c r="R1695" s="184"/>
      <c r="S1695" s="184"/>
      <c r="T1695" s="184"/>
      <c r="U1695" s="184"/>
      <c r="V1695" s="184"/>
      <c r="W1695" s="184"/>
      <c r="X1695" s="184"/>
    </row>
    <row r="1696">
      <c r="A1696" s="198"/>
      <c r="D1696" s="198" t="str">
        <f>IFERROR(__xludf.DUMMYFUNCTION("""COMPUTED_VALUE"""),"FALSE")</f>
        <v>FALSE</v>
      </c>
      <c r="E1696" s="198" t="str">
        <f>IFERROR(__xludf.DUMMYFUNCTION("""COMPUTED_VALUE"""),"FALSE")</f>
        <v>FALSE</v>
      </c>
      <c r="F1696" s="198"/>
      <c r="J1696" s="184" t="str">
        <f>IFERROR(__xludf.DUMMYFUNCTION("""COMPUTED_VALUE"""),"")</f>
        <v/>
      </c>
      <c r="K1696" s="184"/>
      <c r="L1696" s="184"/>
      <c r="M1696" s="184"/>
      <c r="N1696" s="184"/>
      <c r="O1696" s="184"/>
      <c r="P1696" s="184"/>
      <c r="Q1696" s="184"/>
      <c r="R1696" s="184"/>
      <c r="S1696" s="184"/>
      <c r="T1696" s="184"/>
      <c r="U1696" s="184"/>
      <c r="V1696" s="184"/>
      <c r="W1696" s="184"/>
      <c r="X1696" s="184"/>
    </row>
    <row r="1697">
      <c r="A1697" s="198"/>
      <c r="D1697" s="198" t="str">
        <f>IFERROR(__xludf.DUMMYFUNCTION("""COMPUTED_VALUE"""),"FALSE")</f>
        <v>FALSE</v>
      </c>
      <c r="E1697" s="198" t="str">
        <f>IFERROR(__xludf.DUMMYFUNCTION("""COMPUTED_VALUE"""),"FALSE")</f>
        <v>FALSE</v>
      </c>
      <c r="F1697" s="198"/>
      <c r="J1697" s="184" t="str">
        <f>IFERROR(__xludf.DUMMYFUNCTION("""COMPUTED_VALUE"""),"")</f>
        <v/>
      </c>
      <c r="K1697" s="184"/>
      <c r="L1697" s="184"/>
      <c r="M1697" s="184"/>
      <c r="N1697" s="184"/>
      <c r="O1697" s="184"/>
      <c r="P1697" s="184"/>
      <c r="Q1697" s="184"/>
      <c r="R1697" s="184"/>
      <c r="S1697" s="184"/>
      <c r="T1697" s="184"/>
      <c r="U1697" s="184"/>
      <c r="V1697" s="184"/>
      <c r="W1697" s="184"/>
      <c r="X1697" s="184"/>
    </row>
    <row r="1698">
      <c r="A1698" s="198"/>
      <c r="D1698" s="198" t="str">
        <f>IFERROR(__xludf.DUMMYFUNCTION("""COMPUTED_VALUE"""),"FALSE")</f>
        <v>FALSE</v>
      </c>
      <c r="E1698" s="198" t="str">
        <f>IFERROR(__xludf.DUMMYFUNCTION("""COMPUTED_VALUE"""),"FALSE")</f>
        <v>FALSE</v>
      </c>
      <c r="F1698" s="198"/>
      <c r="J1698" s="184" t="str">
        <f>IFERROR(__xludf.DUMMYFUNCTION("""COMPUTED_VALUE"""),"")</f>
        <v/>
      </c>
      <c r="K1698" s="184"/>
      <c r="L1698" s="184"/>
      <c r="M1698" s="184"/>
      <c r="N1698" s="184"/>
      <c r="O1698" s="184"/>
      <c r="P1698" s="184"/>
      <c r="Q1698" s="184"/>
      <c r="R1698" s="184"/>
      <c r="S1698" s="184"/>
      <c r="T1698" s="184"/>
      <c r="U1698" s="184"/>
      <c r="V1698" s="184"/>
      <c r="W1698" s="184"/>
      <c r="X1698" s="184"/>
    </row>
    <row r="1699">
      <c r="A1699" s="198"/>
      <c r="D1699" s="198" t="str">
        <f>IFERROR(__xludf.DUMMYFUNCTION("""COMPUTED_VALUE"""),"FALSE")</f>
        <v>FALSE</v>
      </c>
      <c r="E1699" s="198" t="str">
        <f>IFERROR(__xludf.DUMMYFUNCTION("""COMPUTED_VALUE"""),"FALSE")</f>
        <v>FALSE</v>
      </c>
      <c r="F1699" s="198"/>
      <c r="J1699" s="184" t="str">
        <f>IFERROR(__xludf.DUMMYFUNCTION("""COMPUTED_VALUE"""),"")</f>
        <v/>
      </c>
      <c r="K1699" s="184"/>
      <c r="L1699" s="184"/>
      <c r="M1699" s="184"/>
      <c r="N1699" s="184"/>
      <c r="O1699" s="184"/>
      <c r="P1699" s="184"/>
      <c r="Q1699" s="184"/>
      <c r="R1699" s="184"/>
      <c r="S1699" s="184"/>
      <c r="T1699" s="184"/>
      <c r="U1699" s="184"/>
      <c r="V1699" s="184"/>
      <c r="W1699" s="184"/>
      <c r="X1699" s="184"/>
    </row>
    <row r="1700">
      <c r="A1700" s="198"/>
      <c r="D1700" s="198" t="str">
        <f>IFERROR(__xludf.DUMMYFUNCTION("""COMPUTED_VALUE"""),"FALSE")</f>
        <v>FALSE</v>
      </c>
      <c r="E1700" s="198" t="str">
        <f>IFERROR(__xludf.DUMMYFUNCTION("""COMPUTED_VALUE"""),"FALSE")</f>
        <v>FALSE</v>
      </c>
      <c r="F1700" s="198"/>
      <c r="J1700" s="184" t="str">
        <f>IFERROR(__xludf.DUMMYFUNCTION("""COMPUTED_VALUE"""),"")</f>
        <v/>
      </c>
      <c r="K1700" s="184"/>
      <c r="L1700" s="184"/>
      <c r="M1700" s="184"/>
      <c r="N1700" s="184"/>
      <c r="O1700" s="184"/>
      <c r="P1700" s="184"/>
      <c r="Q1700" s="184"/>
      <c r="R1700" s="184"/>
      <c r="S1700" s="184"/>
      <c r="T1700" s="184"/>
      <c r="U1700" s="184"/>
      <c r="V1700" s="184"/>
      <c r="W1700" s="184"/>
      <c r="X1700" s="184"/>
    </row>
    <row r="1701">
      <c r="A1701" s="198"/>
      <c r="D1701" s="198" t="str">
        <f>IFERROR(__xludf.DUMMYFUNCTION("""COMPUTED_VALUE"""),"FALSE")</f>
        <v>FALSE</v>
      </c>
      <c r="E1701" s="198" t="str">
        <f>IFERROR(__xludf.DUMMYFUNCTION("""COMPUTED_VALUE"""),"FALSE")</f>
        <v>FALSE</v>
      </c>
      <c r="F1701" s="198"/>
      <c r="J1701" s="184" t="str">
        <f>IFERROR(__xludf.DUMMYFUNCTION("""COMPUTED_VALUE"""),"")</f>
        <v/>
      </c>
      <c r="K1701" s="184"/>
      <c r="L1701" s="184"/>
      <c r="M1701" s="184"/>
      <c r="N1701" s="184"/>
      <c r="O1701" s="184"/>
      <c r="P1701" s="184"/>
      <c r="Q1701" s="184"/>
      <c r="R1701" s="184"/>
      <c r="S1701" s="184"/>
      <c r="T1701" s="184"/>
      <c r="U1701" s="184"/>
      <c r="V1701" s="184"/>
      <c r="W1701" s="184"/>
      <c r="X1701" s="184"/>
    </row>
    <row r="1702">
      <c r="A1702" s="198"/>
      <c r="D1702" s="198" t="str">
        <f>IFERROR(__xludf.DUMMYFUNCTION("""COMPUTED_VALUE"""),"FALSE")</f>
        <v>FALSE</v>
      </c>
      <c r="E1702" s="198" t="str">
        <f>IFERROR(__xludf.DUMMYFUNCTION("""COMPUTED_VALUE"""),"FALSE")</f>
        <v>FALSE</v>
      </c>
      <c r="F1702" s="198"/>
      <c r="J1702" s="184" t="str">
        <f>IFERROR(__xludf.DUMMYFUNCTION("""COMPUTED_VALUE"""),"")</f>
        <v/>
      </c>
      <c r="K1702" s="184"/>
      <c r="L1702" s="184"/>
      <c r="M1702" s="184"/>
      <c r="N1702" s="184"/>
      <c r="O1702" s="184"/>
      <c r="P1702" s="184"/>
      <c r="Q1702" s="184"/>
      <c r="R1702" s="184"/>
      <c r="S1702" s="184"/>
      <c r="T1702" s="184"/>
      <c r="U1702" s="184"/>
      <c r="V1702" s="184"/>
      <c r="W1702" s="184"/>
      <c r="X1702" s="184"/>
    </row>
    <row r="1703">
      <c r="A1703" s="198"/>
      <c r="D1703" s="198" t="str">
        <f>IFERROR(__xludf.DUMMYFUNCTION("""COMPUTED_VALUE"""),"FALSE")</f>
        <v>FALSE</v>
      </c>
      <c r="E1703" s="198" t="str">
        <f>IFERROR(__xludf.DUMMYFUNCTION("""COMPUTED_VALUE"""),"FALSE")</f>
        <v>FALSE</v>
      </c>
      <c r="F1703" s="198"/>
      <c r="J1703" s="184" t="str">
        <f>IFERROR(__xludf.DUMMYFUNCTION("""COMPUTED_VALUE"""),"")</f>
        <v/>
      </c>
      <c r="K1703" s="184"/>
      <c r="L1703" s="184"/>
      <c r="M1703" s="184"/>
      <c r="N1703" s="184"/>
      <c r="O1703" s="184"/>
      <c r="P1703" s="184"/>
      <c r="Q1703" s="184"/>
      <c r="R1703" s="184"/>
      <c r="S1703" s="184"/>
      <c r="T1703" s="184"/>
      <c r="U1703" s="184"/>
      <c r="V1703" s="184"/>
      <c r="W1703" s="184"/>
      <c r="X1703" s="184"/>
    </row>
    <row r="1704">
      <c r="A1704" s="198"/>
      <c r="D1704" s="198" t="str">
        <f>IFERROR(__xludf.DUMMYFUNCTION("""COMPUTED_VALUE"""),"FALSE")</f>
        <v>FALSE</v>
      </c>
      <c r="E1704" s="198" t="str">
        <f>IFERROR(__xludf.DUMMYFUNCTION("""COMPUTED_VALUE"""),"FALSE")</f>
        <v>FALSE</v>
      </c>
      <c r="F1704" s="198"/>
      <c r="J1704" s="184" t="str">
        <f>IFERROR(__xludf.DUMMYFUNCTION("""COMPUTED_VALUE"""),"")</f>
        <v/>
      </c>
      <c r="K1704" s="184"/>
      <c r="L1704" s="184"/>
      <c r="M1704" s="184"/>
      <c r="N1704" s="184"/>
      <c r="O1704" s="184"/>
      <c r="P1704" s="184"/>
      <c r="Q1704" s="184"/>
      <c r="R1704" s="184"/>
      <c r="S1704" s="184"/>
      <c r="T1704" s="184"/>
      <c r="U1704" s="184"/>
      <c r="V1704" s="184"/>
      <c r="W1704" s="184"/>
      <c r="X1704" s="184"/>
    </row>
    <row r="1705">
      <c r="A1705" s="198"/>
      <c r="D1705" s="198" t="str">
        <f>IFERROR(__xludf.DUMMYFUNCTION("""COMPUTED_VALUE"""),"FALSE")</f>
        <v>FALSE</v>
      </c>
      <c r="E1705" s="198" t="str">
        <f>IFERROR(__xludf.DUMMYFUNCTION("""COMPUTED_VALUE"""),"FALSE")</f>
        <v>FALSE</v>
      </c>
      <c r="F1705" s="198"/>
      <c r="J1705" s="184" t="str">
        <f>IFERROR(__xludf.DUMMYFUNCTION("""COMPUTED_VALUE"""),"")</f>
        <v/>
      </c>
      <c r="K1705" s="184"/>
      <c r="L1705" s="184"/>
      <c r="M1705" s="184"/>
      <c r="N1705" s="184"/>
      <c r="O1705" s="184"/>
      <c r="P1705" s="184"/>
      <c r="Q1705" s="184"/>
      <c r="R1705" s="184"/>
      <c r="S1705" s="184"/>
      <c r="T1705" s="184"/>
      <c r="U1705" s="184"/>
      <c r="V1705" s="184"/>
      <c r="W1705" s="184"/>
      <c r="X1705" s="184"/>
    </row>
    <row r="1706">
      <c r="A1706" s="198"/>
      <c r="D1706" s="198" t="str">
        <f>IFERROR(__xludf.DUMMYFUNCTION("""COMPUTED_VALUE"""),"FALSE")</f>
        <v>FALSE</v>
      </c>
      <c r="E1706" s="198" t="str">
        <f>IFERROR(__xludf.DUMMYFUNCTION("""COMPUTED_VALUE"""),"FALSE")</f>
        <v>FALSE</v>
      </c>
      <c r="F1706" s="198"/>
      <c r="J1706" s="184" t="str">
        <f>IFERROR(__xludf.DUMMYFUNCTION("""COMPUTED_VALUE"""),"")</f>
        <v/>
      </c>
      <c r="K1706" s="184"/>
      <c r="L1706" s="184"/>
      <c r="M1706" s="184"/>
      <c r="N1706" s="184"/>
      <c r="O1706" s="184"/>
      <c r="P1706" s="184"/>
      <c r="Q1706" s="184"/>
      <c r="R1706" s="184"/>
      <c r="S1706" s="184"/>
      <c r="T1706" s="184"/>
      <c r="U1706" s="184"/>
      <c r="V1706" s="184"/>
      <c r="W1706" s="184"/>
      <c r="X1706" s="184"/>
    </row>
    <row r="1707">
      <c r="A1707" s="198"/>
      <c r="D1707" s="198" t="str">
        <f>IFERROR(__xludf.DUMMYFUNCTION("""COMPUTED_VALUE"""),"FALSE")</f>
        <v>FALSE</v>
      </c>
      <c r="E1707" s="198" t="str">
        <f>IFERROR(__xludf.DUMMYFUNCTION("""COMPUTED_VALUE"""),"FALSE")</f>
        <v>FALSE</v>
      </c>
      <c r="F1707" s="198"/>
      <c r="J1707" s="184" t="str">
        <f>IFERROR(__xludf.DUMMYFUNCTION("""COMPUTED_VALUE"""),"")</f>
        <v/>
      </c>
      <c r="K1707" s="184"/>
      <c r="L1707" s="184"/>
      <c r="M1707" s="184"/>
      <c r="N1707" s="184"/>
      <c r="O1707" s="184"/>
      <c r="P1707" s="184"/>
      <c r="Q1707" s="184"/>
      <c r="R1707" s="184"/>
      <c r="S1707" s="184"/>
      <c r="T1707" s="184"/>
      <c r="U1707" s="184"/>
      <c r="V1707" s="184"/>
      <c r="W1707" s="184"/>
      <c r="X1707" s="184"/>
    </row>
    <row r="1708">
      <c r="A1708" s="198"/>
      <c r="D1708" s="198" t="str">
        <f>IFERROR(__xludf.DUMMYFUNCTION("""COMPUTED_VALUE"""),"FALSE")</f>
        <v>FALSE</v>
      </c>
      <c r="E1708" s="198" t="str">
        <f>IFERROR(__xludf.DUMMYFUNCTION("""COMPUTED_VALUE"""),"FALSE")</f>
        <v>FALSE</v>
      </c>
      <c r="F1708" s="198"/>
      <c r="J1708" s="184" t="str">
        <f>IFERROR(__xludf.DUMMYFUNCTION("""COMPUTED_VALUE"""),"")</f>
        <v/>
      </c>
      <c r="K1708" s="184"/>
      <c r="L1708" s="184"/>
      <c r="M1708" s="184"/>
      <c r="N1708" s="184"/>
      <c r="O1708" s="184"/>
      <c r="P1708" s="184"/>
      <c r="Q1708" s="184"/>
      <c r="R1708" s="184"/>
      <c r="S1708" s="184"/>
      <c r="T1708" s="184"/>
      <c r="U1708" s="184"/>
      <c r="V1708" s="184"/>
      <c r="W1708" s="184"/>
      <c r="X1708" s="184"/>
    </row>
    <row r="1709">
      <c r="A1709" s="198"/>
      <c r="D1709" s="198" t="str">
        <f>IFERROR(__xludf.DUMMYFUNCTION("""COMPUTED_VALUE"""),"FALSE")</f>
        <v>FALSE</v>
      </c>
      <c r="E1709" s="198" t="str">
        <f>IFERROR(__xludf.DUMMYFUNCTION("""COMPUTED_VALUE"""),"FALSE")</f>
        <v>FALSE</v>
      </c>
      <c r="F1709" s="198"/>
      <c r="J1709" s="184" t="str">
        <f>IFERROR(__xludf.DUMMYFUNCTION("""COMPUTED_VALUE"""),"")</f>
        <v/>
      </c>
      <c r="K1709" s="184"/>
      <c r="L1709" s="184"/>
      <c r="M1709" s="184"/>
      <c r="N1709" s="184"/>
      <c r="O1709" s="184"/>
      <c r="P1709" s="184"/>
      <c r="Q1709" s="184"/>
      <c r="R1709" s="184"/>
      <c r="S1709" s="184"/>
      <c r="T1709" s="184"/>
      <c r="U1709" s="184"/>
      <c r="V1709" s="184"/>
      <c r="W1709" s="184"/>
      <c r="X1709" s="184"/>
    </row>
    <row r="1710">
      <c r="A1710" s="198"/>
      <c r="D1710" s="198" t="str">
        <f>IFERROR(__xludf.DUMMYFUNCTION("""COMPUTED_VALUE"""),"FALSE")</f>
        <v>FALSE</v>
      </c>
      <c r="E1710" s="198" t="str">
        <f>IFERROR(__xludf.DUMMYFUNCTION("""COMPUTED_VALUE"""),"FALSE")</f>
        <v>FALSE</v>
      </c>
      <c r="F1710" s="198"/>
      <c r="J1710" s="184" t="str">
        <f>IFERROR(__xludf.DUMMYFUNCTION("""COMPUTED_VALUE"""),"")</f>
        <v/>
      </c>
      <c r="K1710" s="184"/>
      <c r="L1710" s="184"/>
      <c r="M1710" s="184"/>
      <c r="N1710" s="184"/>
      <c r="O1710" s="184"/>
      <c r="P1710" s="184"/>
      <c r="Q1710" s="184"/>
      <c r="R1710" s="184"/>
      <c r="S1710" s="184"/>
      <c r="T1710" s="184"/>
      <c r="U1710" s="184"/>
      <c r="V1710" s="184"/>
      <c r="W1710" s="184"/>
      <c r="X1710" s="184"/>
    </row>
    <row r="1711">
      <c r="A1711" s="198"/>
      <c r="D1711" s="198" t="str">
        <f>IFERROR(__xludf.DUMMYFUNCTION("""COMPUTED_VALUE"""),"FALSE")</f>
        <v>FALSE</v>
      </c>
      <c r="E1711" s="198" t="str">
        <f>IFERROR(__xludf.DUMMYFUNCTION("""COMPUTED_VALUE"""),"FALSE")</f>
        <v>FALSE</v>
      </c>
      <c r="F1711" s="198"/>
      <c r="J1711" s="184" t="str">
        <f>IFERROR(__xludf.DUMMYFUNCTION("""COMPUTED_VALUE"""),"")</f>
        <v/>
      </c>
      <c r="K1711" s="184"/>
      <c r="L1711" s="184"/>
      <c r="M1711" s="184"/>
      <c r="N1711" s="184"/>
      <c r="O1711" s="184"/>
      <c r="P1711" s="184"/>
      <c r="Q1711" s="184"/>
      <c r="R1711" s="184"/>
      <c r="S1711" s="184"/>
      <c r="T1711" s="184"/>
      <c r="U1711" s="184"/>
      <c r="V1711" s="184"/>
      <c r="W1711" s="184"/>
      <c r="X1711" s="184"/>
    </row>
    <row r="1712">
      <c r="A1712" s="198"/>
      <c r="D1712" s="198" t="str">
        <f>IFERROR(__xludf.DUMMYFUNCTION("""COMPUTED_VALUE"""),"FALSE")</f>
        <v>FALSE</v>
      </c>
      <c r="E1712" s="198" t="str">
        <f>IFERROR(__xludf.DUMMYFUNCTION("""COMPUTED_VALUE"""),"FALSE")</f>
        <v>FALSE</v>
      </c>
      <c r="F1712" s="198"/>
      <c r="J1712" s="184" t="str">
        <f>IFERROR(__xludf.DUMMYFUNCTION("""COMPUTED_VALUE"""),"")</f>
        <v/>
      </c>
      <c r="K1712" s="184"/>
      <c r="L1712" s="184"/>
      <c r="M1712" s="184"/>
      <c r="N1712" s="184"/>
      <c r="O1712" s="184"/>
      <c r="P1712" s="184"/>
      <c r="Q1712" s="184"/>
      <c r="R1712" s="184"/>
      <c r="S1712" s="184"/>
      <c r="T1712" s="184"/>
      <c r="U1712" s="184"/>
      <c r="V1712" s="184"/>
      <c r="W1712" s="184"/>
      <c r="X1712" s="184"/>
    </row>
    <row r="1713">
      <c r="A1713" s="198"/>
      <c r="D1713" s="198" t="str">
        <f>IFERROR(__xludf.DUMMYFUNCTION("""COMPUTED_VALUE"""),"FALSE")</f>
        <v>FALSE</v>
      </c>
      <c r="E1713" s="198" t="str">
        <f>IFERROR(__xludf.DUMMYFUNCTION("""COMPUTED_VALUE"""),"FALSE")</f>
        <v>FALSE</v>
      </c>
      <c r="F1713" s="198"/>
      <c r="J1713" s="184" t="str">
        <f>IFERROR(__xludf.DUMMYFUNCTION("""COMPUTED_VALUE"""),"")</f>
        <v/>
      </c>
      <c r="K1713" s="184"/>
      <c r="L1713" s="184"/>
      <c r="M1713" s="184"/>
      <c r="N1713" s="184"/>
      <c r="O1713" s="184"/>
      <c r="P1713" s="184"/>
      <c r="Q1713" s="184"/>
      <c r="R1713" s="184"/>
      <c r="S1713" s="184"/>
      <c r="T1713" s="184"/>
      <c r="U1713" s="184"/>
      <c r="V1713" s="184"/>
      <c r="W1713" s="184"/>
      <c r="X1713" s="184"/>
    </row>
    <row r="1714">
      <c r="A1714" s="198"/>
      <c r="D1714" s="198" t="str">
        <f>IFERROR(__xludf.DUMMYFUNCTION("""COMPUTED_VALUE"""),"FALSE")</f>
        <v>FALSE</v>
      </c>
      <c r="E1714" s="198" t="str">
        <f>IFERROR(__xludf.DUMMYFUNCTION("""COMPUTED_VALUE"""),"FALSE")</f>
        <v>FALSE</v>
      </c>
      <c r="F1714" s="198"/>
      <c r="J1714" s="184" t="str">
        <f>IFERROR(__xludf.DUMMYFUNCTION("""COMPUTED_VALUE"""),"")</f>
        <v/>
      </c>
      <c r="K1714" s="184"/>
      <c r="L1714" s="184"/>
      <c r="M1714" s="184"/>
      <c r="N1714" s="184"/>
      <c r="O1714" s="184"/>
      <c r="P1714" s="184"/>
      <c r="Q1714" s="184"/>
      <c r="R1714" s="184"/>
      <c r="S1714" s="184"/>
      <c r="T1714" s="184"/>
      <c r="U1714" s="184"/>
      <c r="V1714" s="184"/>
      <c r="W1714" s="184"/>
      <c r="X1714" s="184"/>
    </row>
    <row r="1715">
      <c r="A1715" s="198"/>
      <c r="D1715" s="198" t="str">
        <f>IFERROR(__xludf.DUMMYFUNCTION("""COMPUTED_VALUE"""),"FALSE")</f>
        <v>FALSE</v>
      </c>
      <c r="E1715" s="198" t="str">
        <f>IFERROR(__xludf.DUMMYFUNCTION("""COMPUTED_VALUE"""),"FALSE")</f>
        <v>FALSE</v>
      </c>
      <c r="F1715" s="198"/>
      <c r="J1715" s="184" t="str">
        <f>IFERROR(__xludf.DUMMYFUNCTION("""COMPUTED_VALUE"""),"")</f>
        <v/>
      </c>
      <c r="K1715" s="184"/>
      <c r="L1715" s="184"/>
      <c r="M1715" s="184"/>
      <c r="N1715" s="184"/>
      <c r="O1715" s="184"/>
      <c r="P1715" s="184"/>
      <c r="Q1715" s="184"/>
      <c r="R1715" s="184"/>
      <c r="S1715" s="184"/>
      <c r="T1715" s="184"/>
      <c r="U1715" s="184"/>
      <c r="V1715" s="184"/>
      <c r="W1715" s="184"/>
      <c r="X1715" s="184"/>
    </row>
    <row r="1716">
      <c r="A1716" s="198"/>
      <c r="D1716" s="198" t="str">
        <f>IFERROR(__xludf.DUMMYFUNCTION("""COMPUTED_VALUE"""),"FALSE")</f>
        <v>FALSE</v>
      </c>
      <c r="E1716" s="198" t="str">
        <f>IFERROR(__xludf.DUMMYFUNCTION("""COMPUTED_VALUE"""),"FALSE")</f>
        <v>FALSE</v>
      </c>
      <c r="F1716" s="198"/>
      <c r="J1716" s="184" t="str">
        <f>IFERROR(__xludf.DUMMYFUNCTION("""COMPUTED_VALUE"""),"")</f>
        <v/>
      </c>
      <c r="K1716" s="184"/>
      <c r="L1716" s="184"/>
      <c r="M1716" s="184"/>
      <c r="N1716" s="184"/>
      <c r="O1716" s="184"/>
      <c r="P1716" s="184"/>
      <c r="Q1716" s="184"/>
      <c r="R1716" s="184"/>
      <c r="S1716" s="184"/>
      <c r="T1716" s="184"/>
      <c r="U1716" s="184"/>
      <c r="V1716" s="184"/>
      <c r="W1716" s="184"/>
      <c r="X1716" s="184"/>
    </row>
    <row r="1717">
      <c r="A1717" s="198"/>
      <c r="D1717" s="198" t="str">
        <f>IFERROR(__xludf.DUMMYFUNCTION("""COMPUTED_VALUE"""),"FALSE")</f>
        <v>FALSE</v>
      </c>
      <c r="E1717" s="198" t="str">
        <f>IFERROR(__xludf.DUMMYFUNCTION("""COMPUTED_VALUE"""),"FALSE")</f>
        <v>FALSE</v>
      </c>
      <c r="F1717" s="198"/>
      <c r="J1717" s="184" t="str">
        <f>IFERROR(__xludf.DUMMYFUNCTION("""COMPUTED_VALUE"""),"")</f>
        <v/>
      </c>
      <c r="K1717" s="184"/>
      <c r="L1717" s="184"/>
      <c r="M1717" s="184"/>
      <c r="N1717" s="184"/>
      <c r="O1717" s="184"/>
      <c r="P1717" s="184"/>
      <c r="Q1717" s="184"/>
      <c r="R1717" s="184"/>
      <c r="S1717" s="184"/>
      <c r="T1717" s="184"/>
      <c r="U1717" s="184"/>
      <c r="V1717" s="184"/>
      <c r="W1717" s="184"/>
      <c r="X1717" s="184"/>
    </row>
    <row r="1718">
      <c r="A1718" s="198"/>
      <c r="D1718" s="198" t="str">
        <f>IFERROR(__xludf.DUMMYFUNCTION("""COMPUTED_VALUE"""),"FALSE")</f>
        <v>FALSE</v>
      </c>
      <c r="E1718" s="198" t="str">
        <f>IFERROR(__xludf.DUMMYFUNCTION("""COMPUTED_VALUE"""),"FALSE")</f>
        <v>FALSE</v>
      </c>
      <c r="F1718" s="198"/>
      <c r="J1718" s="184" t="str">
        <f>IFERROR(__xludf.DUMMYFUNCTION("""COMPUTED_VALUE"""),"")</f>
        <v/>
      </c>
      <c r="K1718" s="184"/>
      <c r="L1718" s="184"/>
      <c r="M1718" s="184"/>
      <c r="N1718" s="184"/>
      <c r="O1718" s="184"/>
      <c r="P1718" s="184"/>
      <c r="Q1718" s="184"/>
      <c r="R1718" s="184"/>
      <c r="S1718" s="184"/>
      <c r="T1718" s="184"/>
      <c r="U1718" s="184"/>
      <c r="V1718" s="184"/>
      <c r="W1718" s="184"/>
      <c r="X1718" s="184"/>
    </row>
    <row r="1719">
      <c r="A1719" s="198"/>
      <c r="D1719" s="198" t="str">
        <f>IFERROR(__xludf.DUMMYFUNCTION("""COMPUTED_VALUE"""),"FALSE")</f>
        <v>FALSE</v>
      </c>
      <c r="E1719" s="198" t="str">
        <f>IFERROR(__xludf.DUMMYFUNCTION("""COMPUTED_VALUE"""),"FALSE")</f>
        <v>FALSE</v>
      </c>
      <c r="F1719" s="198"/>
      <c r="J1719" s="184" t="str">
        <f>IFERROR(__xludf.DUMMYFUNCTION("""COMPUTED_VALUE"""),"")</f>
        <v/>
      </c>
      <c r="K1719" s="184"/>
      <c r="L1719" s="184"/>
      <c r="M1719" s="184"/>
      <c r="N1719" s="184"/>
      <c r="O1719" s="184"/>
      <c r="P1719" s="184"/>
      <c r="Q1719" s="184"/>
      <c r="R1719" s="184"/>
      <c r="S1719" s="184"/>
      <c r="T1719" s="184"/>
      <c r="U1719" s="184"/>
      <c r="V1719" s="184"/>
      <c r="W1719" s="184"/>
      <c r="X1719" s="184"/>
    </row>
    <row r="1720">
      <c r="A1720" s="198"/>
      <c r="D1720" s="198" t="str">
        <f>IFERROR(__xludf.DUMMYFUNCTION("""COMPUTED_VALUE"""),"FALSE")</f>
        <v>FALSE</v>
      </c>
      <c r="E1720" s="198" t="str">
        <f>IFERROR(__xludf.DUMMYFUNCTION("""COMPUTED_VALUE"""),"FALSE")</f>
        <v>FALSE</v>
      </c>
      <c r="F1720" s="198"/>
      <c r="J1720" s="184" t="str">
        <f>IFERROR(__xludf.DUMMYFUNCTION("""COMPUTED_VALUE"""),"")</f>
        <v/>
      </c>
      <c r="K1720" s="184"/>
      <c r="L1720" s="184"/>
      <c r="M1720" s="184"/>
      <c r="N1720" s="184"/>
      <c r="O1720" s="184"/>
      <c r="P1720" s="184"/>
      <c r="Q1720" s="184"/>
      <c r="R1720" s="184"/>
      <c r="S1720" s="184"/>
      <c r="T1720" s="184"/>
      <c r="U1720" s="184"/>
      <c r="V1720" s="184"/>
      <c r="W1720" s="184"/>
      <c r="X1720" s="184"/>
    </row>
    <row r="1721">
      <c r="A1721" s="198"/>
      <c r="D1721" s="198" t="str">
        <f>IFERROR(__xludf.DUMMYFUNCTION("""COMPUTED_VALUE"""),"FALSE")</f>
        <v>FALSE</v>
      </c>
      <c r="E1721" s="198" t="str">
        <f>IFERROR(__xludf.DUMMYFUNCTION("""COMPUTED_VALUE"""),"FALSE")</f>
        <v>FALSE</v>
      </c>
      <c r="F1721" s="198"/>
      <c r="J1721" s="184" t="str">
        <f>IFERROR(__xludf.DUMMYFUNCTION("""COMPUTED_VALUE"""),"")</f>
        <v/>
      </c>
      <c r="K1721" s="184"/>
      <c r="L1721" s="184"/>
      <c r="M1721" s="184"/>
      <c r="N1721" s="184"/>
      <c r="O1721" s="184"/>
      <c r="P1721" s="184"/>
      <c r="Q1721" s="184"/>
      <c r="R1721" s="184"/>
      <c r="S1721" s="184"/>
      <c r="T1721" s="184"/>
      <c r="U1721" s="184"/>
      <c r="V1721" s="184"/>
      <c r="W1721" s="184"/>
      <c r="X1721" s="184"/>
    </row>
    <row r="1722">
      <c r="A1722" s="198"/>
      <c r="D1722" s="198" t="str">
        <f>IFERROR(__xludf.DUMMYFUNCTION("""COMPUTED_VALUE"""),"FALSE")</f>
        <v>FALSE</v>
      </c>
      <c r="E1722" s="198" t="str">
        <f>IFERROR(__xludf.DUMMYFUNCTION("""COMPUTED_VALUE"""),"FALSE")</f>
        <v>FALSE</v>
      </c>
      <c r="F1722" s="198"/>
      <c r="J1722" s="184" t="str">
        <f>IFERROR(__xludf.DUMMYFUNCTION("""COMPUTED_VALUE"""),"")</f>
        <v/>
      </c>
      <c r="K1722" s="184"/>
      <c r="L1722" s="184"/>
      <c r="M1722" s="184"/>
      <c r="N1722" s="184"/>
      <c r="O1722" s="184"/>
      <c r="P1722" s="184"/>
      <c r="Q1722" s="184"/>
      <c r="R1722" s="184"/>
      <c r="S1722" s="184"/>
      <c r="T1722" s="184"/>
      <c r="U1722" s="184"/>
      <c r="V1722" s="184"/>
      <c r="W1722" s="184"/>
      <c r="X1722" s="184"/>
    </row>
    <row r="1723">
      <c r="A1723" s="198"/>
      <c r="D1723" s="198" t="str">
        <f>IFERROR(__xludf.DUMMYFUNCTION("""COMPUTED_VALUE"""),"FALSE")</f>
        <v>FALSE</v>
      </c>
      <c r="E1723" s="198" t="str">
        <f>IFERROR(__xludf.DUMMYFUNCTION("""COMPUTED_VALUE"""),"FALSE")</f>
        <v>FALSE</v>
      </c>
      <c r="F1723" s="198"/>
      <c r="J1723" s="184" t="str">
        <f>IFERROR(__xludf.DUMMYFUNCTION("""COMPUTED_VALUE"""),"")</f>
        <v/>
      </c>
      <c r="K1723" s="184"/>
      <c r="L1723" s="184"/>
      <c r="M1723" s="184"/>
      <c r="N1723" s="184"/>
      <c r="O1723" s="184"/>
      <c r="P1723" s="184"/>
      <c r="Q1723" s="184"/>
      <c r="R1723" s="184"/>
      <c r="S1723" s="184"/>
      <c r="T1723" s="184"/>
      <c r="U1723" s="184"/>
      <c r="V1723" s="184"/>
      <c r="W1723" s="184"/>
      <c r="X1723" s="184"/>
    </row>
    <row r="1724">
      <c r="A1724" s="198"/>
      <c r="D1724" s="198" t="str">
        <f>IFERROR(__xludf.DUMMYFUNCTION("""COMPUTED_VALUE"""),"FALSE")</f>
        <v>FALSE</v>
      </c>
      <c r="E1724" s="198" t="str">
        <f>IFERROR(__xludf.DUMMYFUNCTION("""COMPUTED_VALUE"""),"FALSE")</f>
        <v>FALSE</v>
      </c>
      <c r="F1724" s="198"/>
      <c r="J1724" s="184" t="str">
        <f>IFERROR(__xludf.DUMMYFUNCTION("""COMPUTED_VALUE"""),"")</f>
        <v/>
      </c>
      <c r="K1724" s="184"/>
      <c r="L1724" s="184"/>
      <c r="M1724" s="184"/>
      <c r="N1724" s="184"/>
      <c r="O1724" s="184"/>
      <c r="P1724" s="184"/>
      <c r="Q1724" s="184"/>
      <c r="R1724" s="184"/>
      <c r="S1724" s="184"/>
      <c r="T1724" s="184"/>
      <c r="U1724" s="184"/>
      <c r="V1724" s="184"/>
      <c r="W1724" s="184"/>
      <c r="X1724" s="184"/>
    </row>
    <row r="1725">
      <c r="A1725" s="198"/>
      <c r="D1725" s="198" t="str">
        <f>IFERROR(__xludf.DUMMYFUNCTION("""COMPUTED_VALUE"""),"FALSE")</f>
        <v>FALSE</v>
      </c>
      <c r="E1725" s="198" t="str">
        <f>IFERROR(__xludf.DUMMYFUNCTION("""COMPUTED_VALUE"""),"FALSE")</f>
        <v>FALSE</v>
      </c>
      <c r="F1725" s="198"/>
      <c r="J1725" s="184" t="str">
        <f>IFERROR(__xludf.DUMMYFUNCTION("""COMPUTED_VALUE"""),"")</f>
        <v/>
      </c>
      <c r="K1725" s="184"/>
      <c r="L1725" s="184"/>
      <c r="M1725" s="184"/>
      <c r="N1725" s="184"/>
      <c r="O1725" s="184"/>
      <c r="P1725" s="184"/>
      <c r="Q1725" s="184"/>
      <c r="R1725" s="184"/>
      <c r="S1725" s="184"/>
      <c r="T1725" s="184"/>
      <c r="U1725" s="184"/>
      <c r="V1725" s="184"/>
      <c r="W1725" s="184"/>
      <c r="X1725" s="184"/>
    </row>
    <row r="1726">
      <c r="A1726" s="198"/>
      <c r="D1726" s="198" t="str">
        <f>IFERROR(__xludf.DUMMYFUNCTION("""COMPUTED_VALUE"""),"FALSE")</f>
        <v>FALSE</v>
      </c>
      <c r="E1726" s="198" t="str">
        <f>IFERROR(__xludf.DUMMYFUNCTION("""COMPUTED_VALUE"""),"FALSE")</f>
        <v>FALSE</v>
      </c>
      <c r="F1726" s="198"/>
      <c r="J1726" s="184" t="str">
        <f>IFERROR(__xludf.DUMMYFUNCTION("""COMPUTED_VALUE"""),"")</f>
        <v/>
      </c>
      <c r="K1726" s="184"/>
      <c r="L1726" s="184"/>
      <c r="M1726" s="184"/>
      <c r="N1726" s="184"/>
      <c r="O1726" s="184"/>
      <c r="P1726" s="184"/>
      <c r="Q1726" s="184"/>
      <c r="R1726" s="184"/>
      <c r="S1726" s="184"/>
      <c r="T1726" s="184"/>
      <c r="U1726" s="184"/>
      <c r="V1726" s="184"/>
      <c r="W1726" s="184"/>
      <c r="X1726" s="184"/>
    </row>
    <row r="1727">
      <c r="A1727" s="198"/>
      <c r="D1727" s="198" t="str">
        <f>IFERROR(__xludf.DUMMYFUNCTION("""COMPUTED_VALUE"""),"FALSE")</f>
        <v>FALSE</v>
      </c>
      <c r="E1727" s="198" t="str">
        <f>IFERROR(__xludf.DUMMYFUNCTION("""COMPUTED_VALUE"""),"FALSE")</f>
        <v>FALSE</v>
      </c>
      <c r="F1727" s="198"/>
      <c r="J1727" s="184" t="str">
        <f>IFERROR(__xludf.DUMMYFUNCTION("""COMPUTED_VALUE"""),"")</f>
        <v/>
      </c>
      <c r="K1727" s="184"/>
      <c r="L1727" s="184"/>
      <c r="M1727" s="184"/>
      <c r="N1727" s="184"/>
      <c r="O1727" s="184"/>
      <c r="P1727" s="184"/>
      <c r="Q1727" s="184"/>
      <c r="R1727" s="184"/>
      <c r="S1727" s="184"/>
      <c r="T1727" s="184"/>
      <c r="U1727" s="184"/>
      <c r="V1727" s="184"/>
      <c r="W1727" s="184"/>
      <c r="X1727" s="184"/>
    </row>
    <row r="1728">
      <c r="A1728" s="198"/>
      <c r="D1728" s="198" t="str">
        <f>IFERROR(__xludf.DUMMYFUNCTION("""COMPUTED_VALUE"""),"FALSE")</f>
        <v>FALSE</v>
      </c>
      <c r="E1728" s="198" t="str">
        <f>IFERROR(__xludf.DUMMYFUNCTION("""COMPUTED_VALUE"""),"FALSE")</f>
        <v>FALSE</v>
      </c>
      <c r="F1728" s="198"/>
      <c r="J1728" s="184" t="str">
        <f>IFERROR(__xludf.DUMMYFUNCTION("""COMPUTED_VALUE"""),"")</f>
        <v/>
      </c>
      <c r="K1728" s="184"/>
      <c r="L1728" s="184"/>
      <c r="M1728" s="184"/>
      <c r="N1728" s="184"/>
      <c r="O1728" s="184"/>
      <c r="P1728" s="184"/>
      <c r="Q1728" s="184"/>
      <c r="R1728" s="184"/>
      <c r="S1728" s="184"/>
      <c r="T1728" s="184"/>
      <c r="U1728" s="184"/>
      <c r="V1728" s="184"/>
      <c r="W1728" s="184"/>
      <c r="X1728" s="184"/>
    </row>
    <row r="1729">
      <c r="A1729" s="198"/>
      <c r="D1729" s="198" t="str">
        <f>IFERROR(__xludf.DUMMYFUNCTION("""COMPUTED_VALUE"""),"FALSE")</f>
        <v>FALSE</v>
      </c>
      <c r="E1729" s="198" t="str">
        <f>IFERROR(__xludf.DUMMYFUNCTION("""COMPUTED_VALUE"""),"FALSE")</f>
        <v>FALSE</v>
      </c>
      <c r="F1729" s="198"/>
      <c r="J1729" s="184" t="str">
        <f>IFERROR(__xludf.DUMMYFUNCTION("""COMPUTED_VALUE"""),"")</f>
        <v/>
      </c>
      <c r="K1729" s="184"/>
      <c r="L1729" s="184"/>
      <c r="M1729" s="184"/>
      <c r="N1729" s="184"/>
      <c r="O1729" s="184"/>
      <c r="P1729" s="184"/>
      <c r="Q1729" s="184"/>
      <c r="R1729" s="184"/>
      <c r="S1729" s="184"/>
      <c r="T1729" s="184"/>
      <c r="U1729" s="184"/>
      <c r="V1729" s="184"/>
      <c r="W1729" s="184"/>
      <c r="X1729" s="184"/>
    </row>
    <row r="1730">
      <c r="A1730" s="198"/>
      <c r="D1730" s="198" t="str">
        <f>IFERROR(__xludf.DUMMYFUNCTION("""COMPUTED_VALUE"""),"FALSE")</f>
        <v>FALSE</v>
      </c>
      <c r="E1730" s="198" t="str">
        <f>IFERROR(__xludf.DUMMYFUNCTION("""COMPUTED_VALUE"""),"FALSE")</f>
        <v>FALSE</v>
      </c>
      <c r="F1730" s="198"/>
      <c r="J1730" s="184" t="str">
        <f>IFERROR(__xludf.DUMMYFUNCTION("""COMPUTED_VALUE"""),"")</f>
        <v/>
      </c>
      <c r="K1730" s="184"/>
      <c r="L1730" s="184"/>
      <c r="M1730" s="184"/>
      <c r="N1730" s="184"/>
      <c r="O1730" s="184"/>
      <c r="P1730" s="184"/>
      <c r="Q1730" s="184"/>
      <c r="R1730" s="184"/>
      <c r="S1730" s="184"/>
      <c r="T1730" s="184"/>
      <c r="U1730" s="184"/>
      <c r="V1730" s="184"/>
      <c r="W1730" s="184"/>
      <c r="X1730" s="184"/>
    </row>
    <row r="1731">
      <c r="A1731" s="198"/>
      <c r="D1731" s="198" t="str">
        <f>IFERROR(__xludf.DUMMYFUNCTION("""COMPUTED_VALUE"""),"FALSE")</f>
        <v>FALSE</v>
      </c>
      <c r="E1731" s="198" t="str">
        <f>IFERROR(__xludf.DUMMYFUNCTION("""COMPUTED_VALUE"""),"FALSE")</f>
        <v>FALSE</v>
      </c>
      <c r="F1731" s="198"/>
      <c r="J1731" s="184" t="str">
        <f>IFERROR(__xludf.DUMMYFUNCTION("""COMPUTED_VALUE"""),"")</f>
        <v/>
      </c>
      <c r="K1731" s="184"/>
      <c r="L1731" s="184"/>
      <c r="M1731" s="184"/>
      <c r="N1731" s="184"/>
      <c r="O1731" s="184"/>
      <c r="P1731" s="184"/>
      <c r="Q1731" s="184"/>
      <c r="R1731" s="184"/>
      <c r="S1731" s="184"/>
      <c r="T1731" s="184"/>
      <c r="U1731" s="184"/>
      <c r="V1731" s="184"/>
      <c r="W1731" s="184"/>
      <c r="X1731" s="184"/>
    </row>
    <row r="1732">
      <c r="A1732" s="198"/>
      <c r="D1732" s="198" t="str">
        <f>IFERROR(__xludf.DUMMYFUNCTION("""COMPUTED_VALUE"""),"FALSE")</f>
        <v>FALSE</v>
      </c>
      <c r="E1732" s="198" t="str">
        <f>IFERROR(__xludf.DUMMYFUNCTION("""COMPUTED_VALUE"""),"FALSE")</f>
        <v>FALSE</v>
      </c>
      <c r="F1732" s="198"/>
      <c r="J1732" s="184" t="str">
        <f>IFERROR(__xludf.DUMMYFUNCTION("""COMPUTED_VALUE"""),"")</f>
        <v/>
      </c>
      <c r="K1732" s="184"/>
      <c r="L1732" s="184"/>
      <c r="M1732" s="184"/>
      <c r="N1732" s="184"/>
      <c r="O1732" s="184"/>
      <c r="P1732" s="184"/>
      <c r="Q1732" s="184"/>
      <c r="R1732" s="184"/>
      <c r="S1732" s="184"/>
      <c r="T1732" s="184"/>
      <c r="U1732" s="184"/>
      <c r="V1732" s="184"/>
      <c r="W1732" s="184"/>
      <c r="X1732" s="184"/>
    </row>
    <row r="1733">
      <c r="A1733" s="198"/>
      <c r="D1733" s="198" t="str">
        <f>IFERROR(__xludf.DUMMYFUNCTION("""COMPUTED_VALUE"""),"FALSE")</f>
        <v>FALSE</v>
      </c>
      <c r="E1733" s="198" t="str">
        <f>IFERROR(__xludf.DUMMYFUNCTION("""COMPUTED_VALUE"""),"FALSE")</f>
        <v>FALSE</v>
      </c>
      <c r="F1733" s="198"/>
      <c r="J1733" s="184" t="str">
        <f>IFERROR(__xludf.DUMMYFUNCTION("""COMPUTED_VALUE"""),"")</f>
        <v/>
      </c>
      <c r="K1733" s="184"/>
      <c r="L1733" s="184"/>
      <c r="M1733" s="184"/>
      <c r="N1733" s="184"/>
      <c r="O1733" s="184"/>
      <c r="P1733" s="184"/>
      <c r="Q1733" s="184"/>
      <c r="R1733" s="184"/>
      <c r="S1733" s="184"/>
      <c r="T1733" s="184"/>
      <c r="U1733" s="184"/>
      <c r="V1733" s="184"/>
      <c r="W1733" s="184"/>
      <c r="X1733" s="184"/>
    </row>
    <row r="1734">
      <c r="A1734" s="198"/>
      <c r="D1734" s="198" t="str">
        <f>IFERROR(__xludf.DUMMYFUNCTION("""COMPUTED_VALUE"""),"FALSE")</f>
        <v>FALSE</v>
      </c>
      <c r="E1734" s="198" t="str">
        <f>IFERROR(__xludf.DUMMYFUNCTION("""COMPUTED_VALUE"""),"FALSE")</f>
        <v>FALSE</v>
      </c>
      <c r="F1734" s="198"/>
      <c r="J1734" s="184" t="str">
        <f>IFERROR(__xludf.DUMMYFUNCTION("""COMPUTED_VALUE"""),"")</f>
        <v/>
      </c>
      <c r="K1734" s="184"/>
      <c r="L1734" s="184"/>
      <c r="M1734" s="184"/>
      <c r="N1734" s="184"/>
      <c r="O1734" s="184"/>
      <c r="P1734" s="184"/>
      <c r="Q1734" s="184"/>
      <c r="R1734" s="184"/>
      <c r="S1734" s="184"/>
      <c r="T1734" s="184"/>
      <c r="U1734" s="184"/>
      <c r="V1734" s="184"/>
      <c r="W1734" s="184"/>
      <c r="X1734" s="184"/>
    </row>
    <row r="1735">
      <c r="A1735" s="198"/>
      <c r="D1735" s="198" t="str">
        <f>IFERROR(__xludf.DUMMYFUNCTION("""COMPUTED_VALUE"""),"FALSE")</f>
        <v>FALSE</v>
      </c>
      <c r="E1735" s="198" t="str">
        <f>IFERROR(__xludf.DUMMYFUNCTION("""COMPUTED_VALUE"""),"FALSE")</f>
        <v>FALSE</v>
      </c>
      <c r="F1735" s="198"/>
      <c r="J1735" s="184" t="str">
        <f>IFERROR(__xludf.DUMMYFUNCTION("""COMPUTED_VALUE"""),"")</f>
        <v/>
      </c>
      <c r="K1735" s="184"/>
      <c r="L1735" s="184"/>
      <c r="M1735" s="184"/>
      <c r="N1735" s="184"/>
      <c r="O1735" s="184"/>
      <c r="P1735" s="184"/>
      <c r="Q1735" s="184"/>
      <c r="R1735" s="184"/>
      <c r="S1735" s="184"/>
      <c r="T1735" s="184"/>
      <c r="U1735" s="184"/>
      <c r="V1735" s="184"/>
      <c r="W1735" s="184"/>
      <c r="X1735" s="184"/>
    </row>
    <row r="1736">
      <c r="A1736" s="198"/>
      <c r="D1736" s="198" t="str">
        <f>IFERROR(__xludf.DUMMYFUNCTION("""COMPUTED_VALUE"""),"FALSE")</f>
        <v>FALSE</v>
      </c>
      <c r="E1736" s="198" t="str">
        <f>IFERROR(__xludf.DUMMYFUNCTION("""COMPUTED_VALUE"""),"FALSE")</f>
        <v>FALSE</v>
      </c>
      <c r="F1736" s="198"/>
      <c r="J1736" s="184" t="str">
        <f>IFERROR(__xludf.DUMMYFUNCTION("""COMPUTED_VALUE"""),"")</f>
        <v/>
      </c>
      <c r="K1736" s="184"/>
      <c r="L1736" s="184"/>
      <c r="M1736" s="184"/>
      <c r="N1736" s="184"/>
      <c r="O1736" s="184"/>
      <c r="P1736" s="184"/>
      <c r="Q1736" s="184"/>
      <c r="R1736" s="184"/>
      <c r="S1736" s="184"/>
      <c r="T1736" s="184"/>
      <c r="U1736" s="184"/>
      <c r="V1736" s="184"/>
      <c r="W1736" s="184"/>
      <c r="X1736" s="184"/>
    </row>
    <row r="1737">
      <c r="A1737" s="198"/>
      <c r="D1737" s="198" t="str">
        <f>IFERROR(__xludf.DUMMYFUNCTION("""COMPUTED_VALUE"""),"FALSE")</f>
        <v>FALSE</v>
      </c>
      <c r="E1737" s="198" t="str">
        <f>IFERROR(__xludf.DUMMYFUNCTION("""COMPUTED_VALUE"""),"FALSE")</f>
        <v>FALSE</v>
      </c>
      <c r="F1737" s="198"/>
      <c r="J1737" s="184" t="str">
        <f>IFERROR(__xludf.DUMMYFUNCTION("""COMPUTED_VALUE"""),"")</f>
        <v/>
      </c>
      <c r="K1737" s="184"/>
      <c r="L1737" s="184"/>
      <c r="M1737" s="184"/>
      <c r="N1737" s="184"/>
      <c r="O1737" s="184"/>
      <c r="P1737" s="184"/>
      <c r="Q1737" s="184"/>
      <c r="R1737" s="184"/>
      <c r="S1737" s="184"/>
      <c r="T1737" s="184"/>
      <c r="U1737" s="184"/>
      <c r="V1737" s="184"/>
      <c r="W1737" s="184"/>
      <c r="X1737" s="184"/>
    </row>
    <row r="1738">
      <c r="A1738" s="198"/>
      <c r="D1738" s="198" t="str">
        <f>IFERROR(__xludf.DUMMYFUNCTION("""COMPUTED_VALUE"""),"FALSE")</f>
        <v>FALSE</v>
      </c>
      <c r="E1738" s="198" t="str">
        <f>IFERROR(__xludf.DUMMYFUNCTION("""COMPUTED_VALUE"""),"FALSE")</f>
        <v>FALSE</v>
      </c>
      <c r="F1738" s="198"/>
      <c r="J1738" s="184" t="str">
        <f>IFERROR(__xludf.DUMMYFUNCTION("""COMPUTED_VALUE"""),"")</f>
        <v/>
      </c>
      <c r="K1738" s="184"/>
      <c r="L1738" s="184"/>
      <c r="M1738" s="184"/>
      <c r="N1738" s="184"/>
      <c r="O1738" s="184"/>
      <c r="P1738" s="184"/>
      <c r="Q1738" s="184"/>
      <c r="R1738" s="184"/>
      <c r="S1738" s="184"/>
      <c r="T1738" s="184"/>
      <c r="U1738" s="184"/>
      <c r="V1738" s="184"/>
      <c r="W1738" s="184"/>
      <c r="X1738" s="184"/>
    </row>
    <row r="1739">
      <c r="A1739" s="198"/>
      <c r="D1739" s="198" t="str">
        <f>IFERROR(__xludf.DUMMYFUNCTION("""COMPUTED_VALUE"""),"FALSE")</f>
        <v>FALSE</v>
      </c>
      <c r="E1739" s="198" t="str">
        <f>IFERROR(__xludf.DUMMYFUNCTION("""COMPUTED_VALUE"""),"FALSE")</f>
        <v>FALSE</v>
      </c>
      <c r="F1739" s="198"/>
      <c r="J1739" s="184" t="str">
        <f>IFERROR(__xludf.DUMMYFUNCTION("""COMPUTED_VALUE"""),"")</f>
        <v/>
      </c>
      <c r="K1739" s="184"/>
      <c r="L1739" s="184"/>
      <c r="M1739" s="184"/>
      <c r="N1739" s="184"/>
      <c r="O1739" s="184"/>
      <c r="P1739" s="184"/>
      <c r="Q1739" s="184"/>
      <c r="R1739" s="184"/>
      <c r="S1739" s="184"/>
      <c r="T1739" s="184"/>
      <c r="U1739" s="184"/>
      <c r="V1739" s="184"/>
      <c r="W1739" s="184"/>
      <c r="X1739" s="184"/>
    </row>
    <row r="1740">
      <c r="A1740" s="198"/>
      <c r="D1740" s="198" t="str">
        <f>IFERROR(__xludf.DUMMYFUNCTION("""COMPUTED_VALUE"""),"FALSE")</f>
        <v>FALSE</v>
      </c>
      <c r="E1740" s="198" t="str">
        <f>IFERROR(__xludf.DUMMYFUNCTION("""COMPUTED_VALUE"""),"FALSE")</f>
        <v>FALSE</v>
      </c>
      <c r="F1740" s="198"/>
      <c r="J1740" s="184" t="str">
        <f>IFERROR(__xludf.DUMMYFUNCTION("""COMPUTED_VALUE"""),"")</f>
        <v/>
      </c>
      <c r="K1740" s="184"/>
      <c r="L1740" s="184"/>
      <c r="M1740" s="184"/>
      <c r="N1740" s="184"/>
      <c r="O1740" s="184"/>
      <c r="P1740" s="184"/>
      <c r="Q1740" s="184"/>
      <c r="R1740" s="184"/>
      <c r="S1740" s="184"/>
      <c r="T1740" s="184"/>
      <c r="U1740" s="184"/>
      <c r="V1740" s="184"/>
      <c r="W1740" s="184"/>
      <c r="X1740" s="184"/>
    </row>
    <row r="1741">
      <c r="A1741" s="198"/>
      <c r="D1741" s="198" t="str">
        <f>IFERROR(__xludf.DUMMYFUNCTION("""COMPUTED_VALUE"""),"FALSE")</f>
        <v>FALSE</v>
      </c>
      <c r="E1741" s="198" t="str">
        <f>IFERROR(__xludf.DUMMYFUNCTION("""COMPUTED_VALUE"""),"FALSE")</f>
        <v>FALSE</v>
      </c>
      <c r="F1741" s="198"/>
      <c r="J1741" s="184" t="str">
        <f>IFERROR(__xludf.DUMMYFUNCTION("""COMPUTED_VALUE"""),"")</f>
        <v/>
      </c>
      <c r="K1741" s="184"/>
      <c r="L1741" s="184"/>
      <c r="M1741" s="184"/>
      <c r="N1741" s="184"/>
      <c r="O1741" s="184"/>
      <c r="P1741" s="184"/>
      <c r="Q1741" s="184"/>
      <c r="R1741" s="184"/>
      <c r="S1741" s="184"/>
      <c r="T1741" s="184"/>
      <c r="U1741" s="184"/>
      <c r="V1741" s="184"/>
      <c r="W1741" s="184"/>
      <c r="X1741" s="184"/>
    </row>
    <row r="1742">
      <c r="A1742" s="198"/>
      <c r="D1742" s="198" t="str">
        <f>IFERROR(__xludf.DUMMYFUNCTION("""COMPUTED_VALUE"""),"FALSE")</f>
        <v>FALSE</v>
      </c>
      <c r="E1742" s="198" t="str">
        <f>IFERROR(__xludf.DUMMYFUNCTION("""COMPUTED_VALUE"""),"FALSE")</f>
        <v>FALSE</v>
      </c>
      <c r="F1742" s="198"/>
      <c r="J1742" s="184" t="str">
        <f>IFERROR(__xludf.DUMMYFUNCTION("""COMPUTED_VALUE"""),"")</f>
        <v/>
      </c>
      <c r="K1742" s="184"/>
      <c r="L1742" s="184"/>
      <c r="M1742" s="184"/>
      <c r="N1742" s="184"/>
      <c r="O1742" s="184"/>
      <c r="P1742" s="184"/>
      <c r="Q1742" s="184"/>
      <c r="R1742" s="184"/>
      <c r="S1742" s="184"/>
      <c r="T1742" s="184"/>
      <c r="U1742" s="184"/>
      <c r="V1742" s="184"/>
      <c r="W1742" s="184"/>
      <c r="X1742" s="184"/>
    </row>
    <row r="1743">
      <c r="A1743" s="198"/>
      <c r="D1743" s="198" t="str">
        <f>IFERROR(__xludf.DUMMYFUNCTION("""COMPUTED_VALUE"""),"FALSE")</f>
        <v>FALSE</v>
      </c>
      <c r="E1743" s="198" t="str">
        <f>IFERROR(__xludf.DUMMYFUNCTION("""COMPUTED_VALUE"""),"FALSE")</f>
        <v>FALSE</v>
      </c>
      <c r="F1743" s="198"/>
      <c r="J1743" s="184" t="str">
        <f>IFERROR(__xludf.DUMMYFUNCTION("""COMPUTED_VALUE"""),"")</f>
        <v/>
      </c>
      <c r="K1743" s="184"/>
      <c r="L1743" s="184"/>
      <c r="M1743" s="184"/>
      <c r="N1743" s="184"/>
      <c r="O1743" s="184"/>
      <c r="P1743" s="184"/>
      <c r="Q1743" s="184"/>
      <c r="R1743" s="184"/>
      <c r="S1743" s="184"/>
      <c r="T1743" s="184"/>
      <c r="U1743" s="184"/>
      <c r="V1743" s="184"/>
      <c r="W1743" s="184"/>
      <c r="X1743" s="184"/>
    </row>
    <row r="1744">
      <c r="A1744" s="198"/>
      <c r="D1744" s="198" t="str">
        <f>IFERROR(__xludf.DUMMYFUNCTION("""COMPUTED_VALUE"""),"FALSE")</f>
        <v>FALSE</v>
      </c>
      <c r="E1744" s="198" t="str">
        <f>IFERROR(__xludf.DUMMYFUNCTION("""COMPUTED_VALUE"""),"FALSE")</f>
        <v>FALSE</v>
      </c>
      <c r="F1744" s="198"/>
      <c r="J1744" s="184" t="str">
        <f>IFERROR(__xludf.DUMMYFUNCTION("""COMPUTED_VALUE"""),"")</f>
        <v/>
      </c>
      <c r="K1744" s="184"/>
      <c r="L1744" s="184"/>
      <c r="M1744" s="184"/>
      <c r="N1744" s="184"/>
      <c r="O1744" s="184"/>
      <c r="P1744" s="184"/>
      <c r="Q1744" s="184"/>
      <c r="R1744" s="184"/>
      <c r="S1744" s="184"/>
      <c r="T1744" s="184"/>
      <c r="U1744" s="184"/>
      <c r="V1744" s="184"/>
      <c r="W1744" s="184"/>
      <c r="X1744" s="184"/>
    </row>
    <row r="1745">
      <c r="A1745" s="198"/>
      <c r="D1745" s="198" t="str">
        <f>IFERROR(__xludf.DUMMYFUNCTION("""COMPUTED_VALUE"""),"FALSE")</f>
        <v>FALSE</v>
      </c>
      <c r="E1745" s="198" t="str">
        <f>IFERROR(__xludf.DUMMYFUNCTION("""COMPUTED_VALUE"""),"FALSE")</f>
        <v>FALSE</v>
      </c>
      <c r="F1745" s="198"/>
      <c r="J1745" s="184" t="str">
        <f>IFERROR(__xludf.DUMMYFUNCTION("""COMPUTED_VALUE"""),"")</f>
        <v/>
      </c>
      <c r="K1745" s="184"/>
      <c r="L1745" s="184"/>
      <c r="M1745" s="184"/>
      <c r="N1745" s="184"/>
      <c r="O1745" s="184"/>
      <c r="P1745" s="184"/>
      <c r="Q1745" s="184"/>
      <c r="R1745" s="184"/>
      <c r="S1745" s="184"/>
      <c r="T1745" s="184"/>
      <c r="U1745" s="184"/>
      <c r="V1745" s="184"/>
      <c r="W1745" s="184"/>
      <c r="X1745" s="184"/>
    </row>
    <row r="1746">
      <c r="A1746" s="198"/>
      <c r="D1746" s="198" t="str">
        <f>IFERROR(__xludf.DUMMYFUNCTION("""COMPUTED_VALUE"""),"FALSE")</f>
        <v>FALSE</v>
      </c>
      <c r="E1746" s="198" t="str">
        <f>IFERROR(__xludf.DUMMYFUNCTION("""COMPUTED_VALUE"""),"FALSE")</f>
        <v>FALSE</v>
      </c>
      <c r="F1746" s="198"/>
      <c r="J1746" s="184" t="str">
        <f>IFERROR(__xludf.DUMMYFUNCTION("""COMPUTED_VALUE"""),"")</f>
        <v/>
      </c>
      <c r="K1746" s="184"/>
      <c r="L1746" s="184"/>
      <c r="M1746" s="184"/>
      <c r="N1746" s="184"/>
      <c r="O1746" s="184"/>
      <c r="P1746" s="184"/>
      <c r="Q1746" s="184"/>
      <c r="R1746" s="184"/>
      <c r="S1746" s="184"/>
      <c r="T1746" s="184"/>
      <c r="U1746" s="184"/>
      <c r="V1746" s="184"/>
      <c r="W1746" s="184"/>
      <c r="X1746" s="184"/>
    </row>
    <row r="1747">
      <c r="A1747" s="198"/>
      <c r="D1747" s="198" t="str">
        <f>IFERROR(__xludf.DUMMYFUNCTION("""COMPUTED_VALUE"""),"FALSE")</f>
        <v>FALSE</v>
      </c>
      <c r="E1747" s="198" t="str">
        <f>IFERROR(__xludf.DUMMYFUNCTION("""COMPUTED_VALUE"""),"FALSE")</f>
        <v>FALSE</v>
      </c>
      <c r="F1747" s="198"/>
      <c r="J1747" s="184" t="str">
        <f>IFERROR(__xludf.DUMMYFUNCTION("""COMPUTED_VALUE"""),"")</f>
        <v/>
      </c>
      <c r="K1747" s="184"/>
      <c r="L1747" s="184"/>
      <c r="M1747" s="184"/>
      <c r="N1747" s="184"/>
      <c r="O1747" s="184"/>
      <c r="P1747" s="184"/>
      <c r="Q1747" s="184"/>
      <c r="R1747" s="184"/>
      <c r="S1747" s="184"/>
      <c r="T1747" s="184"/>
      <c r="U1747" s="184"/>
      <c r="V1747" s="184"/>
      <c r="W1747" s="184"/>
      <c r="X1747" s="184"/>
    </row>
    <row r="1748">
      <c r="A1748" s="198"/>
      <c r="D1748" s="198" t="str">
        <f>IFERROR(__xludf.DUMMYFUNCTION("""COMPUTED_VALUE"""),"FALSE")</f>
        <v>FALSE</v>
      </c>
      <c r="E1748" s="198" t="str">
        <f>IFERROR(__xludf.DUMMYFUNCTION("""COMPUTED_VALUE"""),"FALSE")</f>
        <v>FALSE</v>
      </c>
      <c r="F1748" s="198"/>
      <c r="J1748" s="184" t="str">
        <f>IFERROR(__xludf.DUMMYFUNCTION("""COMPUTED_VALUE"""),"")</f>
        <v/>
      </c>
      <c r="K1748" s="184"/>
      <c r="L1748" s="184"/>
      <c r="M1748" s="184"/>
      <c r="N1748" s="184"/>
      <c r="O1748" s="184"/>
      <c r="P1748" s="184"/>
      <c r="Q1748" s="184"/>
      <c r="R1748" s="184"/>
      <c r="S1748" s="184"/>
      <c r="T1748" s="184"/>
      <c r="U1748" s="184"/>
      <c r="V1748" s="184"/>
      <c r="W1748" s="184"/>
      <c r="X1748" s="184"/>
    </row>
    <row r="1749">
      <c r="A1749" s="198"/>
      <c r="D1749" s="198" t="str">
        <f>IFERROR(__xludf.DUMMYFUNCTION("""COMPUTED_VALUE"""),"FALSE")</f>
        <v>FALSE</v>
      </c>
      <c r="E1749" s="198" t="str">
        <f>IFERROR(__xludf.DUMMYFUNCTION("""COMPUTED_VALUE"""),"FALSE")</f>
        <v>FALSE</v>
      </c>
      <c r="F1749" s="198"/>
      <c r="J1749" s="184" t="str">
        <f>IFERROR(__xludf.DUMMYFUNCTION("""COMPUTED_VALUE"""),"")</f>
        <v/>
      </c>
      <c r="K1749" s="184"/>
      <c r="L1749" s="184"/>
      <c r="M1749" s="184"/>
      <c r="N1749" s="184"/>
      <c r="O1749" s="184"/>
      <c r="P1749" s="184"/>
      <c r="Q1749" s="184"/>
      <c r="R1749" s="184"/>
      <c r="S1749" s="184"/>
      <c r="T1749" s="184"/>
      <c r="U1749" s="184"/>
      <c r="V1749" s="184"/>
      <c r="W1749" s="184"/>
      <c r="X1749" s="184"/>
    </row>
    <row r="1750">
      <c r="A1750" s="198"/>
      <c r="D1750" s="198" t="str">
        <f>IFERROR(__xludf.DUMMYFUNCTION("""COMPUTED_VALUE"""),"FALSE")</f>
        <v>FALSE</v>
      </c>
      <c r="E1750" s="198" t="str">
        <f>IFERROR(__xludf.DUMMYFUNCTION("""COMPUTED_VALUE"""),"FALSE")</f>
        <v>FALSE</v>
      </c>
      <c r="F1750" s="198"/>
      <c r="J1750" s="184" t="str">
        <f>IFERROR(__xludf.DUMMYFUNCTION("""COMPUTED_VALUE"""),"")</f>
        <v/>
      </c>
      <c r="K1750" s="184"/>
      <c r="L1750" s="184"/>
      <c r="M1750" s="184"/>
      <c r="N1750" s="184"/>
      <c r="O1750" s="184"/>
      <c r="P1750" s="184"/>
      <c r="Q1750" s="184"/>
      <c r="R1750" s="184"/>
      <c r="S1750" s="184"/>
      <c r="T1750" s="184"/>
      <c r="U1750" s="184"/>
      <c r="V1750" s="184"/>
      <c r="W1750" s="184"/>
      <c r="X1750" s="184"/>
    </row>
    <row r="1751">
      <c r="A1751" s="198"/>
      <c r="D1751" s="198" t="str">
        <f>IFERROR(__xludf.DUMMYFUNCTION("""COMPUTED_VALUE"""),"FALSE")</f>
        <v>FALSE</v>
      </c>
      <c r="E1751" s="198" t="str">
        <f>IFERROR(__xludf.DUMMYFUNCTION("""COMPUTED_VALUE"""),"FALSE")</f>
        <v>FALSE</v>
      </c>
      <c r="F1751" s="198"/>
      <c r="J1751" s="184" t="str">
        <f>IFERROR(__xludf.DUMMYFUNCTION("""COMPUTED_VALUE"""),"")</f>
        <v/>
      </c>
      <c r="K1751" s="184"/>
      <c r="L1751" s="184"/>
      <c r="M1751" s="184"/>
      <c r="N1751" s="184"/>
      <c r="O1751" s="184"/>
      <c r="P1751" s="184"/>
      <c r="Q1751" s="184"/>
      <c r="R1751" s="184"/>
      <c r="S1751" s="184"/>
      <c r="T1751" s="184"/>
      <c r="U1751" s="184"/>
      <c r="V1751" s="184"/>
      <c r="W1751" s="184"/>
      <c r="X1751" s="184"/>
    </row>
    <row r="1752">
      <c r="A1752" s="198"/>
      <c r="D1752" s="198" t="str">
        <f>IFERROR(__xludf.DUMMYFUNCTION("""COMPUTED_VALUE"""),"FALSE")</f>
        <v>FALSE</v>
      </c>
      <c r="E1752" s="198" t="str">
        <f>IFERROR(__xludf.DUMMYFUNCTION("""COMPUTED_VALUE"""),"FALSE")</f>
        <v>FALSE</v>
      </c>
      <c r="F1752" s="198"/>
      <c r="J1752" s="184" t="str">
        <f>IFERROR(__xludf.DUMMYFUNCTION("""COMPUTED_VALUE"""),"")</f>
        <v/>
      </c>
      <c r="K1752" s="184"/>
      <c r="L1752" s="184"/>
      <c r="M1752" s="184"/>
      <c r="N1752" s="184"/>
      <c r="O1752" s="184"/>
      <c r="P1752" s="184"/>
      <c r="Q1752" s="184"/>
      <c r="R1752" s="184"/>
      <c r="S1752" s="184"/>
      <c r="T1752" s="184"/>
      <c r="U1752" s="184"/>
      <c r="V1752" s="184"/>
      <c r="W1752" s="184"/>
      <c r="X1752" s="184"/>
    </row>
    <row r="1753">
      <c r="A1753" s="198"/>
      <c r="D1753" s="198" t="str">
        <f>IFERROR(__xludf.DUMMYFUNCTION("""COMPUTED_VALUE"""),"FALSE")</f>
        <v>FALSE</v>
      </c>
      <c r="E1753" s="198" t="str">
        <f>IFERROR(__xludf.DUMMYFUNCTION("""COMPUTED_VALUE"""),"FALSE")</f>
        <v>FALSE</v>
      </c>
      <c r="F1753" s="198"/>
      <c r="J1753" s="184" t="str">
        <f>IFERROR(__xludf.DUMMYFUNCTION("""COMPUTED_VALUE"""),"")</f>
        <v/>
      </c>
      <c r="K1753" s="184"/>
      <c r="L1753" s="184"/>
      <c r="M1753" s="184"/>
      <c r="N1753" s="184"/>
      <c r="O1753" s="184"/>
      <c r="P1753" s="184"/>
      <c r="Q1753" s="184"/>
      <c r="R1753" s="184"/>
      <c r="S1753" s="184"/>
      <c r="T1753" s="184"/>
      <c r="U1753" s="184"/>
      <c r="V1753" s="184"/>
      <c r="W1753" s="184"/>
      <c r="X1753" s="184"/>
    </row>
    <row r="1754">
      <c r="A1754" s="198"/>
      <c r="D1754" s="198" t="str">
        <f>IFERROR(__xludf.DUMMYFUNCTION("""COMPUTED_VALUE"""),"FALSE")</f>
        <v>FALSE</v>
      </c>
      <c r="E1754" s="198" t="str">
        <f>IFERROR(__xludf.DUMMYFUNCTION("""COMPUTED_VALUE"""),"FALSE")</f>
        <v>FALSE</v>
      </c>
      <c r="F1754" s="198"/>
      <c r="J1754" s="184" t="str">
        <f>IFERROR(__xludf.DUMMYFUNCTION("""COMPUTED_VALUE"""),"")</f>
        <v/>
      </c>
      <c r="K1754" s="184"/>
      <c r="L1754" s="184"/>
      <c r="M1754" s="184"/>
      <c r="N1754" s="184"/>
      <c r="O1754" s="184"/>
      <c r="P1754" s="184"/>
      <c r="Q1754" s="184"/>
      <c r="R1754" s="184"/>
      <c r="S1754" s="184"/>
      <c r="T1754" s="184"/>
      <c r="U1754" s="184"/>
      <c r="V1754" s="184"/>
      <c r="W1754" s="184"/>
      <c r="X1754" s="184"/>
    </row>
    <row r="1755">
      <c r="A1755" s="198"/>
      <c r="D1755" s="198" t="str">
        <f>IFERROR(__xludf.DUMMYFUNCTION("""COMPUTED_VALUE"""),"FALSE")</f>
        <v>FALSE</v>
      </c>
      <c r="E1755" s="198" t="str">
        <f>IFERROR(__xludf.DUMMYFUNCTION("""COMPUTED_VALUE"""),"FALSE")</f>
        <v>FALSE</v>
      </c>
      <c r="F1755" s="198"/>
      <c r="J1755" s="184" t="str">
        <f>IFERROR(__xludf.DUMMYFUNCTION("""COMPUTED_VALUE"""),"")</f>
        <v/>
      </c>
      <c r="K1755" s="184"/>
      <c r="L1755" s="184"/>
      <c r="M1755" s="184"/>
      <c r="N1755" s="184"/>
      <c r="O1755" s="184"/>
      <c r="P1755" s="184"/>
      <c r="Q1755" s="184"/>
      <c r="R1755" s="184"/>
      <c r="S1755" s="184"/>
      <c r="T1755" s="184"/>
      <c r="U1755" s="184"/>
      <c r="V1755" s="184"/>
      <c r="W1755" s="184"/>
      <c r="X1755" s="184"/>
    </row>
    <row r="1756">
      <c r="A1756" s="198"/>
      <c r="D1756" s="198" t="str">
        <f>IFERROR(__xludf.DUMMYFUNCTION("""COMPUTED_VALUE"""),"FALSE")</f>
        <v>FALSE</v>
      </c>
      <c r="E1756" s="198" t="str">
        <f>IFERROR(__xludf.DUMMYFUNCTION("""COMPUTED_VALUE"""),"FALSE")</f>
        <v>FALSE</v>
      </c>
      <c r="F1756" s="198"/>
      <c r="J1756" s="184" t="str">
        <f>IFERROR(__xludf.DUMMYFUNCTION("""COMPUTED_VALUE"""),"")</f>
        <v/>
      </c>
      <c r="K1756" s="184"/>
      <c r="L1756" s="184"/>
      <c r="M1756" s="184"/>
      <c r="N1756" s="184"/>
      <c r="O1756" s="184"/>
      <c r="P1756" s="184"/>
      <c r="Q1756" s="184"/>
      <c r="R1756" s="184"/>
      <c r="S1756" s="184"/>
      <c r="T1756" s="184"/>
      <c r="U1756" s="184"/>
      <c r="V1756" s="184"/>
      <c r="W1756" s="184"/>
      <c r="X1756" s="184"/>
    </row>
    <row r="1757">
      <c r="A1757" s="198"/>
      <c r="D1757" s="198" t="str">
        <f>IFERROR(__xludf.DUMMYFUNCTION("""COMPUTED_VALUE"""),"FALSE")</f>
        <v>FALSE</v>
      </c>
      <c r="E1757" s="198" t="str">
        <f>IFERROR(__xludf.DUMMYFUNCTION("""COMPUTED_VALUE"""),"FALSE")</f>
        <v>FALSE</v>
      </c>
      <c r="F1757" s="198"/>
      <c r="J1757" s="184" t="str">
        <f>IFERROR(__xludf.DUMMYFUNCTION("""COMPUTED_VALUE"""),"")</f>
        <v/>
      </c>
      <c r="K1757" s="184"/>
      <c r="L1757" s="184"/>
      <c r="M1757" s="184"/>
      <c r="N1757" s="184"/>
      <c r="O1757" s="184"/>
      <c r="P1757" s="184"/>
      <c r="Q1757" s="184"/>
      <c r="R1757" s="184"/>
      <c r="S1757" s="184"/>
      <c r="T1757" s="184"/>
      <c r="U1757" s="184"/>
      <c r="V1757" s="184"/>
      <c r="W1757" s="184"/>
      <c r="X1757" s="184"/>
    </row>
    <row r="1758">
      <c r="A1758" s="198"/>
      <c r="D1758" s="198" t="str">
        <f>IFERROR(__xludf.DUMMYFUNCTION("""COMPUTED_VALUE"""),"FALSE")</f>
        <v>FALSE</v>
      </c>
      <c r="E1758" s="198" t="str">
        <f>IFERROR(__xludf.DUMMYFUNCTION("""COMPUTED_VALUE"""),"FALSE")</f>
        <v>FALSE</v>
      </c>
      <c r="F1758" s="198"/>
      <c r="J1758" s="184" t="str">
        <f>IFERROR(__xludf.DUMMYFUNCTION("""COMPUTED_VALUE"""),"")</f>
        <v/>
      </c>
      <c r="K1758" s="184"/>
      <c r="L1758" s="184"/>
      <c r="M1758" s="184"/>
      <c r="N1758" s="184"/>
      <c r="O1758" s="184"/>
      <c r="P1758" s="184"/>
      <c r="Q1758" s="184"/>
      <c r="R1758" s="184"/>
      <c r="S1758" s="184"/>
      <c r="T1758" s="184"/>
      <c r="U1758" s="184"/>
      <c r="V1758" s="184"/>
      <c r="W1758" s="184"/>
      <c r="X1758" s="184"/>
    </row>
    <row r="1759">
      <c r="A1759" s="198"/>
      <c r="D1759" s="198" t="str">
        <f>IFERROR(__xludf.DUMMYFUNCTION("""COMPUTED_VALUE"""),"FALSE")</f>
        <v>FALSE</v>
      </c>
      <c r="E1759" s="198" t="str">
        <f>IFERROR(__xludf.DUMMYFUNCTION("""COMPUTED_VALUE"""),"FALSE")</f>
        <v>FALSE</v>
      </c>
      <c r="F1759" s="198"/>
      <c r="J1759" s="184" t="str">
        <f>IFERROR(__xludf.DUMMYFUNCTION("""COMPUTED_VALUE"""),"")</f>
        <v/>
      </c>
      <c r="K1759" s="184"/>
      <c r="L1759" s="184"/>
      <c r="M1759" s="184"/>
      <c r="N1759" s="184"/>
      <c r="O1759" s="184"/>
      <c r="P1759" s="184"/>
      <c r="Q1759" s="184"/>
      <c r="R1759" s="184"/>
      <c r="S1759" s="184"/>
      <c r="T1759" s="184"/>
      <c r="U1759" s="184"/>
      <c r="V1759" s="184"/>
      <c r="W1759" s="184"/>
      <c r="X1759" s="184"/>
    </row>
    <row r="1760">
      <c r="A1760" s="198"/>
      <c r="D1760" s="198" t="str">
        <f>IFERROR(__xludf.DUMMYFUNCTION("""COMPUTED_VALUE"""),"FALSE")</f>
        <v>FALSE</v>
      </c>
      <c r="E1760" s="198" t="str">
        <f>IFERROR(__xludf.DUMMYFUNCTION("""COMPUTED_VALUE"""),"FALSE")</f>
        <v>FALSE</v>
      </c>
      <c r="F1760" s="198"/>
      <c r="J1760" s="184" t="str">
        <f>IFERROR(__xludf.DUMMYFUNCTION("""COMPUTED_VALUE"""),"")</f>
        <v/>
      </c>
      <c r="K1760" s="184"/>
      <c r="L1760" s="184"/>
      <c r="M1760" s="184"/>
      <c r="N1760" s="184"/>
      <c r="O1760" s="184"/>
      <c r="P1760" s="184"/>
      <c r="Q1760" s="184"/>
      <c r="R1760" s="184"/>
      <c r="S1760" s="184"/>
      <c r="T1760" s="184"/>
      <c r="U1760" s="184"/>
      <c r="V1760" s="184"/>
      <c r="W1760" s="184"/>
      <c r="X1760" s="184"/>
    </row>
    <row r="1761">
      <c r="A1761" s="198"/>
      <c r="D1761" s="198" t="str">
        <f>IFERROR(__xludf.DUMMYFUNCTION("""COMPUTED_VALUE"""),"FALSE")</f>
        <v>FALSE</v>
      </c>
      <c r="E1761" s="198" t="str">
        <f>IFERROR(__xludf.DUMMYFUNCTION("""COMPUTED_VALUE"""),"FALSE")</f>
        <v>FALSE</v>
      </c>
      <c r="F1761" s="198"/>
      <c r="J1761" s="184" t="str">
        <f>IFERROR(__xludf.DUMMYFUNCTION("""COMPUTED_VALUE"""),"")</f>
        <v/>
      </c>
      <c r="K1761" s="184"/>
      <c r="L1761" s="184"/>
      <c r="M1761" s="184"/>
      <c r="N1761" s="184"/>
      <c r="O1761" s="184"/>
      <c r="P1761" s="184"/>
      <c r="Q1761" s="184"/>
      <c r="R1761" s="184"/>
      <c r="S1761" s="184"/>
      <c r="T1761" s="184"/>
      <c r="U1761" s="184"/>
      <c r="V1761" s="184"/>
      <c r="W1761" s="184"/>
      <c r="X1761" s="184"/>
    </row>
    <row r="1762">
      <c r="A1762" s="198"/>
      <c r="D1762" s="198" t="str">
        <f>IFERROR(__xludf.DUMMYFUNCTION("""COMPUTED_VALUE"""),"FALSE")</f>
        <v>FALSE</v>
      </c>
      <c r="E1762" s="198" t="str">
        <f>IFERROR(__xludf.DUMMYFUNCTION("""COMPUTED_VALUE"""),"FALSE")</f>
        <v>FALSE</v>
      </c>
      <c r="F1762" s="198"/>
      <c r="J1762" s="184" t="str">
        <f>IFERROR(__xludf.DUMMYFUNCTION("""COMPUTED_VALUE"""),"")</f>
        <v/>
      </c>
      <c r="K1762" s="184"/>
      <c r="L1762" s="184"/>
      <c r="M1762" s="184"/>
      <c r="N1762" s="184"/>
      <c r="O1762" s="184"/>
      <c r="P1762" s="184"/>
      <c r="Q1762" s="184"/>
      <c r="R1762" s="184"/>
      <c r="S1762" s="184"/>
      <c r="T1762" s="184"/>
      <c r="U1762" s="184"/>
      <c r="V1762" s="184"/>
      <c r="W1762" s="184"/>
      <c r="X1762" s="184"/>
    </row>
    <row r="1763">
      <c r="A1763" s="198"/>
      <c r="D1763" s="198" t="str">
        <f>IFERROR(__xludf.DUMMYFUNCTION("""COMPUTED_VALUE"""),"FALSE")</f>
        <v>FALSE</v>
      </c>
      <c r="E1763" s="198" t="str">
        <f>IFERROR(__xludf.DUMMYFUNCTION("""COMPUTED_VALUE"""),"FALSE")</f>
        <v>FALSE</v>
      </c>
      <c r="F1763" s="198"/>
      <c r="J1763" s="184" t="str">
        <f>IFERROR(__xludf.DUMMYFUNCTION("""COMPUTED_VALUE"""),"")</f>
        <v/>
      </c>
      <c r="K1763" s="184"/>
      <c r="L1763" s="184"/>
      <c r="M1763" s="184"/>
      <c r="N1763" s="184"/>
      <c r="O1763" s="184"/>
      <c r="P1763" s="184"/>
      <c r="Q1763" s="184"/>
      <c r="R1763" s="184"/>
      <c r="S1763" s="184"/>
      <c r="T1763" s="184"/>
      <c r="U1763" s="184"/>
      <c r="V1763" s="184"/>
      <c r="W1763" s="184"/>
      <c r="X1763" s="184"/>
    </row>
    <row r="1764">
      <c r="A1764" s="198"/>
      <c r="D1764" s="198" t="str">
        <f>IFERROR(__xludf.DUMMYFUNCTION("""COMPUTED_VALUE"""),"FALSE")</f>
        <v>FALSE</v>
      </c>
      <c r="E1764" s="198" t="str">
        <f>IFERROR(__xludf.DUMMYFUNCTION("""COMPUTED_VALUE"""),"FALSE")</f>
        <v>FALSE</v>
      </c>
      <c r="F1764" s="198"/>
      <c r="J1764" s="184" t="str">
        <f>IFERROR(__xludf.DUMMYFUNCTION("""COMPUTED_VALUE"""),"")</f>
        <v/>
      </c>
      <c r="K1764" s="184"/>
      <c r="L1764" s="184"/>
      <c r="M1764" s="184"/>
      <c r="N1764" s="184"/>
      <c r="O1764" s="184"/>
      <c r="P1764" s="184"/>
      <c r="Q1764" s="184"/>
      <c r="R1764" s="184"/>
      <c r="S1764" s="184"/>
      <c r="T1764" s="184"/>
      <c r="U1764" s="184"/>
      <c r="V1764" s="184"/>
      <c r="W1764" s="184"/>
      <c r="X1764" s="184"/>
    </row>
    <row r="1765">
      <c r="A1765" s="198"/>
      <c r="D1765" s="198" t="str">
        <f>IFERROR(__xludf.DUMMYFUNCTION("""COMPUTED_VALUE"""),"FALSE")</f>
        <v>FALSE</v>
      </c>
      <c r="E1765" s="198" t="str">
        <f>IFERROR(__xludf.DUMMYFUNCTION("""COMPUTED_VALUE"""),"FALSE")</f>
        <v>FALSE</v>
      </c>
      <c r="F1765" s="198"/>
      <c r="J1765" s="184" t="str">
        <f>IFERROR(__xludf.DUMMYFUNCTION("""COMPUTED_VALUE"""),"")</f>
        <v/>
      </c>
      <c r="K1765" s="184"/>
      <c r="L1765" s="184"/>
      <c r="M1765" s="184"/>
      <c r="N1765" s="184"/>
      <c r="O1765" s="184"/>
      <c r="P1765" s="184"/>
      <c r="Q1765" s="184"/>
      <c r="R1765" s="184"/>
      <c r="S1765" s="184"/>
      <c r="T1765" s="184"/>
      <c r="U1765" s="184"/>
      <c r="V1765" s="184"/>
      <c r="W1765" s="184"/>
      <c r="X1765" s="184"/>
    </row>
    <row r="1766">
      <c r="A1766" s="198"/>
      <c r="D1766" s="198" t="str">
        <f>IFERROR(__xludf.DUMMYFUNCTION("""COMPUTED_VALUE"""),"FALSE")</f>
        <v>FALSE</v>
      </c>
      <c r="E1766" s="198" t="str">
        <f>IFERROR(__xludf.DUMMYFUNCTION("""COMPUTED_VALUE"""),"FALSE")</f>
        <v>FALSE</v>
      </c>
      <c r="F1766" s="198"/>
      <c r="J1766" s="184" t="str">
        <f>IFERROR(__xludf.DUMMYFUNCTION("""COMPUTED_VALUE"""),"")</f>
        <v/>
      </c>
      <c r="K1766" s="184"/>
      <c r="L1766" s="184"/>
      <c r="M1766" s="184"/>
      <c r="N1766" s="184"/>
      <c r="O1766" s="184"/>
      <c r="P1766" s="184"/>
      <c r="Q1766" s="184"/>
      <c r="R1766" s="184"/>
      <c r="S1766" s="184"/>
      <c r="T1766" s="184"/>
      <c r="U1766" s="184"/>
      <c r="V1766" s="184"/>
      <c r="W1766" s="184"/>
      <c r="X1766" s="184"/>
    </row>
    <row r="1767">
      <c r="A1767" s="198"/>
      <c r="D1767" s="198" t="str">
        <f>IFERROR(__xludf.DUMMYFUNCTION("""COMPUTED_VALUE"""),"FALSE")</f>
        <v>FALSE</v>
      </c>
      <c r="E1767" s="198" t="str">
        <f>IFERROR(__xludf.DUMMYFUNCTION("""COMPUTED_VALUE"""),"FALSE")</f>
        <v>FALSE</v>
      </c>
      <c r="F1767" s="198"/>
      <c r="J1767" s="184" t="str">
        <f>IFERROR(__xludf.DUMMYFUNCTION("""COMPUTED_VALUE"""),"")</f>
        <v/>
      </c>
      <c r="K1767" s="184"/>
      <c r="L1767" s="184"/>
      <c r="M1767" s="184"/>
      <c r="N1767" s="184"/>
      <c r="O1767" s="184"/>
      <c r="P1767" s="184"/>
      <c r="Q1767" s="184"/>
      <c r="R1767" s="184"/>
      <c r="S1767" s="184"/>
      <c r="T1767" s="184"/>
      <c r="U1767" s="184"/>
      <c r="V1767" s="184"/>
      <c r="W1767" s="184"/>
      <c r="X1767" s="184"/>
    </row>
    <row r="1768">
      <c r="A1768" s="198"/>
      <c r="D1768" s="198" t="str">
        <f>IFERROR(__xludf.DUMMYFUNCTION("""COMPUTED_VALUE"""),"FALSE")</f>
        <v>FALSE</v>
      </c>
      <c r="E1768" s="198" t="str">
        <f>IFERROR(__xludf.DUMMYFUNCTION("""COMPUTED_VALUE"""),"FALSE")</f>
        <v>FALSE</v>
      </c>
      <c r="F1768" s="198"/>
      <c r="J1768" s="184" t="str">
        <f>IFERROR(__xludf.DUMMYFUNCTION("""COMPUTED_VALUE"""),"")</f>
        <v/>
      </c>
      <c r="K1768" s="184"/>
      <c r="L1768" s="184"/>
      <c r="M1768" s="184"/>
      <c r="N1768" s="184"/>
      <c r="O1768" s="184"/>
      <c r="P1768" s="184"/>
      <c r="Q1768" s="184"/>
      <c r="R1768" s="184"/>
      <c r="S1768" s="184"/>
      <c r="T1768" s="184"/>
      <c r="U1768" s="184"/>
      <c r="V1768" s="184"/>
      <c r="W1768" s="184"/>
      <c r="X1768" s="184"/>
    </row>
    <row r="1769">
      <c r="A1769" s="198"/>
      <c r="D1769" s="198" t="str">
        <f>IFERROR(__xludf.DUMMYFUNCTION("""COMPUTED_VALUE"""),"FALSE")</f>
        <v>FALSE</v>
      </c>
      <c r="E1769" s="198" t="str">
        <f>IFERROR(__xludf.DUMMYFUNCTION("""COMPUTED_VALUE"""),"FALSE")</f>
        <v>FALSE</v>
      </c>
      <c r="F1769" s="198"/>
      <c r="J1769" s="184" t="str">
        <f>IFERROR(__xludf.DUMMYFUNCTION("""COMPUTED_VALUE"""),"")</f>
        <v/>
      </c>
      <c r="K1769" s="184"/>
      <c r="L1769" s="184"/>
      <c r="M1769" s="184"/>
      <c r="N1769" s="184"/>
      <c r="O1769" s="184"/>
      <c r="P1769" s="184"/>
      <c r="Q1769" s="184"/>
      <c r="R1769" s="184"/>
      <c r="S1769" s="184"/>
      <c r="T1769" s="184"/>
      <c r="U1769" s="184"/>
      <c r="V1769" s="184"/>
      <c r="W1769" s="184"/>
      <c r="X1769" s="184"/>
    </row>
    <row r="1770">
      <c r="A1770" s="198"/>
      <c r="D1770" s="198" t="str">
        <f>IFERROR(__xludf.DUMMYFUNCTION("""COMPUTED_VALUE"""),"FALSE")</f>
        <v>FALSE</v>
      </c>
      <c r="E1770" s="198" t="str">
        <f>IFERROR(__xludf.DUMMYFUNCTION("""COMPUTED_VALUE"""),"FALSE")</f>
        <v>FALSE</v>
      </c>
      <c r="F1770" s="198"/>
      <c r="J1770" s="184" t="str">
        <f>IFERROR(__xludf.DUMMYFUNCTION("""COMPUTED_VALUE"""),"")</f>
        <v/>
      </c>
      <c r="K1770" s="184"/>
      <c r="L1770" s="184"/>
      <c r="M1770" s="184"/>
      <c r="N1770" s="184"/>
      <c r="O1770" s="184"/>
      <c r="P1770" s="184"/>
      <c r="Q1770" s="184"/>
      <c r="R1770" s="184"/>
      <c r="S1770" s="184"/>
      <c r="T1770" s="184"/>
      <c r="U1770" s="184"/>
      <c r="V1770" s="184"/>
      <c r="W1770" s="184"/>
      <c r="X1770" s="184"/>
    </row>
    <row r="1771">
      <c r="A1771" s="198"/>
      <c r="D1771" s="198" t="str">
        <f>IFERROR(__xludf.DUMMYFUNCTION("""COMPUTED_VALUE"""),"FALSE")</f>
        <v>FALSE</v>
      </c>
      <c r="E1771" s="198" t="str">
        <f>IFERROR(__xludf.DUMMYFUNCTION("""COMPUTED_VALUE"""),"FALSE")</f>
        <v>FALSE</v>
      </c>
      <c r="F1771" s="198"/>
      <c r="J1771" s="184" t="str">
        <f>IFERROR(__xludf.DUMMYFUNCTION("""COMPUTED_VALUE"""),"")</f>
        <v/>
      </c>
      <c r="K1771" s="184"/>
      <c r="L1771" s="184"/>
      <c r="M1771" s="184"/>
      <c r="N1771" s="184"/>
      <c r="O1771" s="184"/>
      <c r="P1771" s="184"/>
      <c r="Q1771" s="184"/>
      <c r="R1771" s="184"/>
      <c r="S1771" s="184"/>
      <c r="T1771" s="184"/>
      <c r="U1771" s="184"/>
      <c r="V1771" s="184"/>
      <c r="W1771" s="184"/>
      <c r="X1771" s="184"/>
    </row>
    <row r="1772">
      <c r="A1772" s="198"/>
      <c r="D1772" s="198" t="str">
        <f>IFERROR(__xludf.DUMMYFUNCTION("""COMPUTED_VALUE"""),"FALSE")</f>
        <v>FALSE</v>
      </c>
      <c r="E1772" s="198" t="str">
        <f>IFERROR(__xludf.DUMMYFUNCTION("""COMPUTED_VALUE"""),"FALSE")</f>
        <v>FALSE</v>
      </c>
      <c r="F1772" s="198"/>
      <c r="J1772" s="184" t="str">
        <f>IFERROR(__xludf.DUMMYFUNCTION("""COMPUTED_VALUE"""),"")</f>
        <v/>
      </c>
      <c r="K1772" s="184"/>
      <c r="L1772" s="184"/>
      <c r="M1772" s="184"/>
      <c r="N1772" s="184"/>
      <c r="O1772" s="184"/>
      <c r="P1772" s="184"/>
      <c r="Q1772" s="184"/>
      <c r="R1772" s="184"/>
      <c r="S1772" s="184"/>
      <c r="T1772" s="184"/>
      <c r="U1772" s="184"/>
      <c r="V1772" s="184"/>
      <c r="W1772" s="184"/>
      <c r="X1772" s="184"/>
    </row>
    <row r="1773">
      <c r="A1773" s="198"/>
      <c r="D1773" s="198" t="str">
        <f>IFERROR(__xludf.DUMMYFUNCTION("""COMPUTED_VALUE"""),"FALSE")</f>
        <v>FALSE</v>
      </c>
      <c r="E1773" s="198" t="str">
        <f>IFERROR(__xludf.DUMMYFUNCTION("""COMPUTED_VALUE"""),"FALSE")</f>
        <v>FALSE</v>
      </c>
      <c r="F1773" s="198"/>
      <c r="J1773" s="184" t="str">
        <f>IFERROR(__xludf.DUMMYFUNCTION("""COMPUTED_VALUE"""),"")</f>
        <v/>
      </c>
      <c r="K1773" s="184"/>
      <c r="L1773" s="184"/>
      <c r="M1773" s="184"/>
      <c r="N1773" s="184"/>
      <c r="O1773" s="184"/>
      <c r="P1773" s="184"/>
      <c r="Q1773" s="184"/>
      <c r="R1773" s="184"/>
      <c r="S1773" s="184"/>
      <c r="T1773" s="184"/>
      <c r="U1773" s="184"/>
      <c r="V1773" s="184"/>
      <c r="W1773" s="184"/>
      <c r="X1773" s="184"/>
    </row>
    <row r="1774">
      <c r="A1774" s="198"/>
      <c r="D1774" s="198" t="str">
        <f>IFERROR(__xludf.DUMMYFUNCTION("""COMPUTED_VALUE"""),"FALSE")</f>
        <v>FALSE</v>
      </c>
      <c r="E1774" s="198" t="str">
        <f>IFERROR(__xludf.DUMMYFUNCTION("""COMPUTED_VALUE"""),"FALSE")</f>
        <v>FALSE</v>
      </c>
      <c r="F1774" s="198"/>
      <c r="J1774" s="184" t="str">
        <f>IFERROR(__xludf.DUMMYFUNCTION("""COMPUTED_VALUE"""),"")</f>
        <v/>
      </c>
      <c r="K1774" s="184"/>
      <c r="L1774" s="184"/>
      <c r="M1774" s="184"/>
      <c r="N1774" s="184"/>
      <c r="O1774" s="184"/>
      <c r="P1774" s="184"/>
      <c r="Q1774" s="184"/>
      <c r="R1774" s="184"/>
      <c r="S1774" s="184"/>
      <c r="T1774" s="184"/>
      <c r="U1774" s="184"/>
      <c r="V1774" s="184"/>
      <c r="W1774" s="184"/>
      <c r="X1774" s="184"/>
    </row>
    <row r="1775">
      <c r="A1775" s="198"/>
      <c r="D1775" s="198" t="str">
        <f>IFERROR(__xludf.DUMMYFUNCTION("""COMPUTED_VALUE"""),"FALSE")</f>
        <v>FALSE</v>
      </c>
      <c r="E1775" s="198" t="str">
        <f>IFERROR(__xludf.DUMMYFUNCTION("""COMPUTED_VALUE"""),"FALSE")</f>
        <v>FALSE</v>
      </c>
      <c r="F1775" s="198"/>
      <c r="J1775" s="184" t="str">
        <f>IFERROR(__xludf.DUMMYFUNCTION("""COMPUTED_VALUE"""),"")</f>
        <v/>
      </c>
      <c r="K1775" s="184"/>
      <c r="L1775" s="184"/>
      <c r="M1775" s="184"/>
      <c r="N1775" s="184"/>
      <c r="O1775" s="184"/>
      <c r="P1775" s="184"/>
      <c r="Q1775" s="184"/>
      <c r="R1775" s="184"/>
      <c r="S1775" s="184"/>
      <c r="T1775" s="184"/>
      <c r="U1775" s="184"/>
      <c r="V1775" s="184"/>
      <c r="W1775" s="184"/>
      <c r="X1775" s="184"/>
    </row>
    <row r="1776">
      <c r="A1776" s="198"/>
      <c r="D1776" s="198" t="str">
        <f>IFERROR(__xludf.DUMMYFUNCTION("""COMPUTED_VALUE"""),"FALSE")</f>
        <v>FALSE</v>
      </c>
      <c r="E1776" s="198" t="str">
        <f>IFERROR(__xludf.DUMMYFUNCTION("""COMPUTED_VALUE"""),"FALSE")</f>
        <v>FALSE</v>
      </c>
      <c r="F1776" s="198"/>
      <c r="J1776" s="184" t="str">
        <f>IFERROR(__xludf.DUMMYFUNCTION("""COMPUTED_VALUE"""),"")</f>
        <v/>
      </c>
      <c r="K1776" s="184"/>
      <c r="L1776" s="184"/>
      <c r="M1776" s="184"/>
      <c r="N1776" s="184"/>
      <c r="O1776" s="184"/>
      <c r="P1776" s="184"/>
      <c r="Q1776" s="184"/>
      <c r="R1776" s="184"/>
      <c r="S1776" s="184"/>
      <c r="T1776" s="184"/>
      <c r="U1776" s="184"/>
      <c r="V1776" s="184"/>
      <c r="W1776" s="184"/>
      <c r="X1776" s="184"/>
    </row>
    <row r="1777">
      <c r="A1777" s="198"/>
      <c r="D1777" s="198" t="str">
        <f>IFERROR(__xludf.DUMMYFUNCTION("""COMPUTED_VALUE"""),"FALSE")</f>
        <v>FALSE</v>
      </c>
      <c r="E1777" s="198" t="str">
        <f>IFERROR(__xludf.DUMMYFUNCTION("""COMPUTED_VALUE"""),"FALSE")</f>
        <v>FALSE</v>
      </c>
      <c r="F1777" s="198"/>
      <c r="J1777" s="184" t="str">
        <f>IFERROR(__xludf.DUMMYFUNCTION("""COMPUTED_VALUE"""),"")</f>
        <v/>
      </c>
      <c r="K1777" s="184"/>
      <c r="L1777" s="184"/>
      <c r="M1777" s="184"/>
      <c r="N1777" s="184"/>
      <c r="O1777" s="184"/>
      <c r="P1777" s="184"/>
      <c r="Q1777" s="184"/>
      <c r="R1777" s="184"/>
      <c r="S1777" s="184"/>
      <c r="T1777" s="184"/>
      <c r="U1777" s="184"/>
      <c r="V1777" s="184"/>
      <c r="W1777" s="184"/>
      <c r="X1777" s="184"/>
    </row>
    <row r="1778">
      <c r="A1778" s="198"/>
      <c r="D1778" s="198" t="str">
        <f>IFERROR(__xludf.DUMMYFUNCTION("""COMPUTED_VALUE"""),"FALSE")</f>
        <v>FALSE</v>
      </c>
      <c r="E1778" s="198" t="str">
        <f>IFERROR(__xludf.DUMMYFUNCTION("""COMPUTED_VALUE"""),"FALSE")</f>
        <v>FALSE</v>
      </c>
      <c r="F1778" s="198"/>
      <c r="J1778" s="184" t="str">
        <f>IFERROR(__xludf.DUMMYFUNCTION("""COMPUTED_VALUE"""),"")</f>
        <v/>
      </c>
      <c r="K1778" s="184"/>
      <c r="L1778" s="184"/>
      <c r="M1778" s="184"/>
      <c r="N1778" s="184"/>
      <c r="O1778" s="184"/>
      <c r="P1778" s="184"/>
      <c r="Q1778" s="184"/>
      <c r="R1778" s="184"/>
      <c r="S1778" s="184"/>
      <c r="T1778" s="184"/>
      <c r="U1778" s="184"/>
      <c r="V1778" s="184"/>
      <c r="W1778" s="184"/>
      <c r="X1778" s="184"/>
    </row>
    <row r="1779">
      <c r="A1779" s="198"/>
      <c r="D1779" s="198" t="str">
        <f>IFERROR(__xludf.DUMMYFUNCTION("""COMPUTED_VALUE"""),"FALSE")</f>
        <v>FALSE</v>
      </c>
      <c r="E1779" s="198" t="str">
        <f>IFERROR(__xludf.DUMMYFUNCTION("""COMPUTED_VALUE"""),"FALSE")</f>
        <v>FALSE</v>
      </c>
      <c r="F1779" s="198"/>
      <c r="J1779" s="184" t="str">
        <f>IFERROR(__xludf.DUMMYFUNCTION("""COMPUTED_VALUE"""),"")</f>
        <v/>
      </c>
      <c r="K1779" s="184"/>
      <c r="L1779" s="184"/>
      <c r="M1779" s="184"/>
      <c r="N1779" s="184"/>
      <c r="O1779" s="184"/>
      <c r="P1779" s="184"/>
      <c r="Q1779" s="184"/>
      <c r="R1779" s="184"/>
      <c r="S1779" s="184"/>
      <c r="T1779" s="184"/>
      <c r="U1779" s="184"/>
      <c r="V1779" s="184"/>
      <c r="W1779" s="184"/>
      <c r="X1779" s="184"/>
    </row>
    <row r="1780">
      <c r="A1780" s="198"/>
      <c r="D1780" s="198" t="str">
        <f>IFERROR(__xludf.DUMMYFUNCTION("""COMPUTED_VALUE"""),"FALSE")</f>
        <v>FALSE</v>
      </c>
      <c r="E1780" s="198" t="str">
        <f>IFERROR(__xludf.DUMMYFUNCTION("""COMPUTED_VALUE"""),"FALSE")</f>
        <v>FALSE</v>
      </c>
      <c r="F1780" s="198"/>
      <c r="J1780" s="184" t="str">
        <f>IFERROR(__xludf.DUMMYFUNCTION("""COMPUTED_VALUE"""),"")</f>
        <v/>
      </c>
      <c r="K1780" s="184"/>
      <c r="L1780" s="184"/>
      <c r="M1780" s="184"/>
      <c r="N1780" s="184"/>
      <c r="O1780" s="184"/>
      <c r="P1780" s="184"/>
      <c r="Q1780" s="184"/>
      <c r="R1780" s="184"/>
      <c r="S1780" s="184"/>
      <c r="T1780" s="184"/>
      <c r="U1780" s="184"/>
      <c r="V1780" s="184"/>
      <c r="W1780" s="184"/>
      <c r="X1780" s="184"/>
    </row>
    <row r="1781">
      <c r="A1781" s="198"/>
      <c r="D1781" s="198" t="str">
        <f>IFERROR(__xludf.DUMMYFUNCTION("""COMPUTED_VALUE"""),"FALSE")</f>
        <v>FALSE</v>
      </c>
      <c r="E1781" s="198" t="str">
        <f>IFERROR(__xludf.DUMMYFUNCTION("""COMPUTED_VALUE"""),"FALSE")</f>
        <v>FALSE</v>
      </c>
      <c r="F1781" s="198"/>
      <c r="J1781" s="184" t="str">
        <f>IFERROR(__xludf.DUMMYFUNCTION("""COMPUTED_VALUE"""),"")</f>
        <v/>
      </c>
      <c r="K1781" s="184"/>
      <c r="L1781" s="184"/>
      <c r="M1781" s="184"/>
      <c r="N1781" s="184"/>
      <c r="O1781" s="184"/>
      <c r="P1781" s="184"/>
      <c r="Q1781" s="184"/>
      <c r="R1781" s="184"/>
      <c r="S1781" s="184"/>
      <c r="T1781" s="184"/>
      <c r="U1781" s="184"/>
      <c r="V1781" s="184"/>
      <c r="W1781" s="184"/>
      <c r="X1781" s="184"/>
    </row>
    <row r="1782">
      <c r="A1782" s="198"/>
      <c r="D1782" s="198" t="str">
        <f>IFERROR(__xludf.DUMMYFUNCTION("""COMPUTED_VALUE"""),"FALSE")</f>
        <v>FALSE</v>
      </c>
      <c r="E1782" s="198" t="str">
        <f>IFERROR(__xludf.DUMMYFUNCTION("""COMPUTED_VALUE"""),"FALSE")</f>
        <v>FALSE</v>
      </c>
      <c r="F1782" s="198"/>
      <c r="J1782" s="184" t="str">
        <f>IFERROR(__xludf.DUMMYFUNCTION("""COMPUTED_VALUE"""),"")</f>
        <v/>
      </c>
      <c r="K1782" s="184"/>
      <c r="L1782" s="184"/>
      <c r="M1782" s="184"/>
      <c r="N1782" s="184"/>
      <c r="O1782" s="184"/>
      <c r="P1782" s="184"/>
      <c r="Q1782" s="184"/>
      <c r="R1782" s="184"/>
      <c r="S1782" s="184"/>
      <c r="T1782" s="184"/>
      <c r="U1782" s="184"/>
      <c r="V1782" s="184"/>
      <c r="W1782" s="184"/>
      <c r="X1782" s="184"/>
    </row>
    <row r="1783">
      <c r="A1783" s="198"/>
      <c r="D1783" s="198" t="str">
        <f>IFERROR(__xludf.DUMMYFUNCTION("""COMPUTED_VALUE"""),"FALSE")</f>
        <v>FALSE</v>
      </c>
      <c r="E1783" s="198" t="str">
        <f>IFERROR(__xludf.DUMMYFUNCTION("""COMPUTED_VALUE"""),"FALSE")</f>
        <v>FALSE</v>
      </c>
      <c r="F1783" s="198"/>
      <c r="J1783" s="184" t="str">
        <f>IFERROR(__xludf.DUMMYFUNCTION("""COMPUTED_VALUE"""),"")</f>
        <v/>
      </c>
      <c r="K1783" s="184"/>
      <c r="L1783" s="184"/>
      <c r="M1783" s="184"/>
      <c r="N1783" s="184"/>
      <c r="O1783" s="184"/>
      <c r="P1783" s="184"/>
      <c r="Q1783" s="184"/>
      <c r="R1783" s="184"/>
      <c r="S1783" s="184"/>
      <c r="T1783" s="184"/>
      <c r="U1783" s="184"/>
      <c r="V1783" s="184"/>
      <c r="W1783" s="184"/>
      <c r="X1783" s="184"/>
    </row>
    <row r="1784">
      <c r="A1784" s="198"/>
      <c r="D1784" s="198" t="str">
        <f>IFERROR(__xludf.DUMMYFUNCTION("""COMPUTED_VALUE"""),"FALSE")</f>
        <v>FALSE</v>
      </c>
      <c r="E1784" s="198" t="str">
        <f>IFERROR(__xludf.DUMMYFUNCTION("""COMPUTED_VALUE"""),"FALSE")</f>
        <v>FALSE</v>
      </c>
      <c r="F1784" s="198"/>
      <c r="J1784" s="184" t="str">
        <f>IFERROR(__xludf.DUMMYFUNCTION("""COMPUTED_VALUE"""),"")</f>
        <v/>
      </c>
      <c r="K1784" s="184"/>
      <c r="L1784" s="184"/>
      <c r="M1784" s="184"/>
      <c r="N1784" s="184"/>
      <c r="O1784" s="184"/>
      <c r="P1784" s="184"/>
      <c r="Q1784" s="184"/>
      <c r="R1784" s="184"/>
      <c r="S1784" s="184"/>
      <c r="T1784" s="184"/>
      <c r="U1784" s="184"/>
      <c r="V1784" s="184"/>
      <c r="W1784" s="184"/>
      <c r="X1784" s="184"/>
    </row>
    <row r="1785">
      <c r="A1785" s="198"/>
      <c r="D1785" s="198" t="str">
        <f>IFERROR(__xludf.DUMMYFUNCTION("""COMPUTED_VALUE"""),"FALSE")</f>
        <v>FALSE</v>
      </c>
      <c r="E1785" s="198" t="str">
        <f>IFERROR(__xludf.DUMMYFUNCTION("""COMPUTED_VALUE"""),"FALSE")</f>
        <v>FALSE</v>
      </c>
      <c r="F1785" s="198"/>
      <c r="J1785" s="184" t="str">
        <f>IFERROR(__xludf.DUMMYFUNCTION("""COMPUTED_VALUE"""),"")</f>
        <v/>
      </c>
      <c r="K1785" s="184"/>
      <c r="L1785" s="184"/>
      <c r="M1785" s="184"/>
      <c r="N1785" s="184"/>
      <c r="O1785" s="184"/>
      <c r="P1785" s="184"/>
      <c r="Q1785" s="184"/>
      <c r="R1785" s="184"/>
      <c r="S1785" s="184"/>
      <c r="T1785" s="184"/>
      <c r="U1785" s="184"/>
      <c r="V1785" s="184"/>
      <c r="W1785" s="184"/>
      <c r="X1785" s="184"/>
    </row>
    <row r="1786">
      <c r="A1786" s="198"/>
      <c r="D1786" s="198" t="str">
        <f>IFERROR(__xludf.DUMMYFUNCTION("""COMPUTED_VALUE"""),"FALSE")</f>
        <v>FALSE</v>
      </c>
      <c r="E1786" s="198" t="str">
        <f>IFERROR(__xludf.DUMMYFUNCTION("""COMPUTED_VALUE"""),"FALSE")</f>
        <v>FALSE</v>
      </c>
      <c r="F1786" s="198"/>
      <c r="J1786" s="184" t="str">
        <f>IFERROR(__xludf.DUMMYFUNCTION("""COMPUTED_VALUE"""),"")</f>
        <v/>
      </c>
      <c r="K1786" s="184"/>
      <c r="L1786" s="184"/>
      <c r="M1786" s="184"/>
      <c r="N1786" s="184"/>
      <c r="O1786" s="184"/>
      <c r="P1786" s="184"/>
      <c r="Q1786" s="184"/>
      <c r="R1786" s="184"/>
      <c r="S1786" s="184"/>
      <c r="T1786" s="184"/>
      <c r="U1786" s="184"/>
      <c r="V1786" s="184"/>
      <c r="W1786" s="184"/>
      <c r="X1786" s="184"/>
    </row>
    <row r="1787">
      <c r="A1787" s="198"/>
      <c r="D1787" s="198" t="str">
        <f>IFERROR(__xludf.DUMMYFUNCTION("""COMPUTED_VALUE"""),"FALSE")</f>
        <v>FALSE</v>
      </c>
      <c r="E1787" s="198" t="str">
        <f>IFERROR(__xludf.DUMMYFUNCTION("""COMPUTED_VALUE"""),"FALSE")</f>
        <v>FALSE</v>
      </c>
      <c r="F1787" s="198"/>
      <c r="J1787" s="184" t="str">
        <f>IFERROR(__xludf.DUMMYFUNCTION("""COMPUTED_VALUE"""),"")</f>
        <v/>
      </c>
      <c r="K1787" s="184"/>
      <c r="L1787" s="184"/>
      <c r="M1787" s="184"/>
      <c r="N1787" s="184"/>
      <c r="O1787" s="184"/>
      <c r="P1787" s="184"/>
      <c r="Q1787" s="184"/>
      <c r="R1787" s="184"/>
      <c r="S1787" s="184"/>
      <c r="T1787" s="184"/>
      <c r="U1787" s="184"/>
      <c r="V1787" s="184"/>
      <c r="W1787" s="184"/>
      <c r="X1787" s="184"/>
    </row>
    <row r="1788">
      <c r="A1788" s="198"/>
      <c r="D1788" s="198" t="str">
        <f>IFERROR(__xludf.DUMMYFUNCTION("""COMPUTED_VALUE"""),"FALSE")</f>
        <v>FALSE</v>
      </c>
      <c r="E1788" s="198" t="str">
        <f>IFERROR(__xludf.DUMMYFUNCTION("""COMPUTED_VALUE"""),"FALSE")</f>
        <v>FALSE</v>
      </c>
      <c r="F1788" s="198"/>
      <c r="J1788" s="184" t="str">
        <f>IFERROR(__xludf.DUMMYFUNCTION("""COMPUTED_VALUE"""),"")</f>
        <v/>
      </c>
      <c r="K1788" s="184"/>
      <c r="L1788" s="184"/>
      <c r="M1788" s="184"/>
      <c r="N1788" s="184"/>
      <c r="O1788" s="184"/>
      <c r="P1788" s="184"/>
      <c r="Q1788" s="184"/>
      <c r="R1788" s="184"/>
      <c r="S1788" s="184"/>
      <c r="T1788" s="184"/>
      <c r="U1788" s="184"/>
      <c r="V1788" s="184"/>
      <c r="W1788" s="184"/>
      <c r="X1788" s="184"/>
    </row>
    <row r="1789">
      <c r="A1789" s="198"/>
      <c r="D1789" s="198" t="str">
        <f>IFERROR(__xludf.DUMMYFUNCTION("""COMPUTED_VALUE"""),"FALSE")</f>
        <v>FALSE</v>
      </c>
      <c r="E1789" s="198" t="str">
        <f>IFERROR(__xludf.DUMMYFUNCTION("""COMPUTED_VALUE"""),"FALSE")</f>
        <v>FALSE</v>
      </c>
      <c r="F1789" s="198"/>
      <c r="J1789" s="184" t="str">
        <f>IFERROR(__xludf.DUMMYFUNCTION("""COMPUTED_VALUE"""),"")</f>
        <v/>
      </c>
      <c r="K1789" s="184"/>
      <c r="L1789" s="184"/>
      <c r="M1789" s="184"/>
      <c r="N1789" s="184"/>
      <c r="O1789" s="184"/>
      <c r="P1789" s="184"/>
      <c r="Q1789" s="184"/>
      <c r="R1789" s="184"/>
      <c r="S1789" s="184"/>
      <c r="T1789" s="184"/>
      <c r="U1789" s="184"/>
      <c r="V1789" s="184"/>
      <c r="W1789" s="184"/>
      <c r="X1789" s="184"/>
    </row>
    <row r="1790">
      <c r="A1790" s="198"/>
      <c r="D1790" s="198" t="str">
        <f>IFERROR(__xludf.DUMMYFUNCTION("""COMPUTED_VALUE"""),"FALSE")</f>
        <v>FALSE</v>
      </c>
      <c r="E1790" s="198" t="str">
        <f>IFERROR(__xludf.DUMMYFUNCTION("""COMPUTED_VALUE"""),"FALSE")</f>
        <v>FALSE</v>
      </c>
      <c r="F1790" s="198"/>
      <c r="J1790" s="184" t="str">
        <f>IFERROR(__xludf.DUMMYFUNCTION("""COMPUTED_VALUE"""),"")</f>
        <v/>
      </c>
      <c r="K1790" s="184"/>
      <c r="L1790" s="184"/>
      <c r="M1790" s="184"/>
      <c r="N1790" s="184"/>
      <c r="O1790" s="184"/>
      <c r="P1790" s="184"/>
      <c r="Q1790" s="184"/>
      <c r="R1790" s="184"/>
      <c r="S1790" s="184"/>
      <c r="T1790" s="184"/>
      <c r="U1790" s="184"/>
      <c r="V1790" s="184"/>
      <c r="W1790" s="184"/>
      <c r="X1790" s="184"/>
    </row>
    <row r="1791">
      <c r="A1791" s="198"/>
      <c r="D1791" s="198" t="str">
        <f>IFERROR(__xludf.DUMMYFUNCTION("""COMPUTED_VALUE"""),"FALSE")</f>
        <v>FALSE</v>
      </c>
      <c r="E1791" s="198" t="str">
        <f>IFERROR(__xludf.DUMMYFUNCTION("""COMPUTED_VALUE"""),"FALSE")</f>
        <v>FALSE</v>
      </c>
      <c r="F1791" s="198"/>
      <c r="J1791" s="184" t="str">
        <f>IFERROR(__xludf.DUMMYFUNCTION("""COMPUTED_VALUE"""),"")</f>
        <v/>
      </c>
      <c r="K1791" s="184"/>
      <c r="L1791" s="184"/>
      <c r="M1791" s="184"/>
      <c r="N1791" s="184"/>
      <c r="O1791" s="184"/>
      <c r="P1791" s="184"/>
      <c r="Q1791" s="184"/>
      <c r="R1791" s="184"/>
      <c r="S1791" s="184"/>
      <c r="T1791" s="184"/>
      <c r="U1791" s="184"/>
      <c r="V1791" s="184"/>
      <c r="W1791" s="184"/>
      <c r="X1791" s="184"/>
    </row>
    <row r="1792">
      <c r="A1792" s="198"/>
      <c r="D1792" s="198" t="str">
        <f>IFERROR(__xludf.DUMMYFUNCTION("""COMPUTED_VALUE"""),"FALSE")</f>
        <v>FALSE</v>
      </c>
      <c r="E1792" s="198" t="str">
        <f>IFERROR(__xludf.DUMMYFUNCTION("""COMPUTED_VALUE"""),"FALSE")</f>
        <v>FALSE</v>
      </c>
      <c r="F1792" s="198"/>
      <c r="J1792" s="184" t="str">
        <f>IFERROR(__xludf.DUMMYFUNCTION("""COMPUTED_VALUE"""),"")</f>
        <v/>
      </c>
      <c r="K1792" s="184"/>
      <c r="L1792" s="184"/>
      <c r="M1792" s="184"/>
      <c r="N1792" s="184"/>
      <c r="O1792" s="184"/>
      <c r="P1792" s="184"/>
      <c r="Q1792" s="184"/>
      <c r="R1792" s="184"/>
      <c r="S1792" s="184"/>
      <c r="T1792" s="184"/>
      <c r="U1792" s="184"/>
      <c r="V1792" s="184"/>
      <c r="W1792" s="184"/>
      <c r="X1792" s="184"/>
    </row>
    <row r="1793">
      <c r="A1793" s="198"/>
      <c r="D1793" s="198" t="str">
        <f>IFERROR(__xludf.DUMMYFUNCTION("""COMPUTED_VALUE"""),"FALSE")</f>
        <v>FALSE</v>
      </c>
      <c r="E1793" s="198" t="str">
        <f>IFERROR(__xludf.DUMMYFUNCTION("""COMPUTED_VALUE"""),"FALSE")</f>
        <v>FALSE</v>
      </c>
      <c r="F1793" s="198"/>
      <c r="J1793" s="184" t="str">
        <f>IFERROR(__xludf.DUMMYFUNCTION("""COMPUTED_VALUE"""),"")</f>
        <v/>
      </c>
      <c r="K1793" s="184"/>
      <c r="L1793" s="184"/>
      <c r="M1793" s="184"/>
      <c r="N1793" s="184"/>
      <c r="O1793" s="184"/>
      <c r="P1793" s="184"/>
      <c r="Q1793" s="184"/>
      <c r="R1793" s="184"/>
      <c r="S1793" s="184"/>
      <c r="T1793" s="184"/>
      <c r="U1793" s="184"/>
      <c r="V1793" s="184"/>
      <c r="W1793" s="184"/>
      <c r="X1793" s="184"/>
    </row>
    <row r="1794">
      <c r="A1794" s="198"/>
      <c r="D1794" s="198" t="str">
        <f>IFERROR(__xludf.DUMMYFUNCTION("""COMPUTED_VALUE"""),"FALSE")</f>
        <v>FALSE</v>
      </c>
      <c r="E1794" s="198" t="str">
        <f>IFERROR(__xludf.DUMMYFUNCTION("""COMPUTED_VALUE"""),"FALSE")</f>
        <v>FALSE</v>
      </c>
      <c r="F1794" s="198"/>
      <c r="J1794" s="184" t="str">
        <f>IFERROR(__xludf.DUMMYFUNCTION("""COMPUTED_VALUE"""),"")</f>
        <v/>
      </c>
      <c r="K1794" s="184"/>
      <c r="L1794" s="184"/>
      <c r="M1794" s="184"/>
      <c r="N1794" s="184"/>
      <c r="O1794" s="184"/>
      <c r="P1794" s="184"/>
      <c r="Q1794" s="184"/>
      <c r="R1794" s="184"/>
      <c r="S1794" s="184"/>
      <c r="T1794" s="184"/>
      <c r="U1794" s="184"/>
      <c r="V1794" s="184"/>
      <c r="W1794" s="184"/>
      <c r="X1794" s="184"/>
    </row>
    <row r="1795">
      <c r="A1795" s="198"/>
      <c r="D1795" s="198" t="str">
        <f>IFERROR(__xludf.DUMMYFUNCTION("""COMPUTED_VALUE"""),"FALSE")</f>
        <v>FALSE</v>
      </c>
      <c r="E1795" s="198" t="str">
        <f>IFERROR(__xludf.DUMMYFUNCTION("""COMPUTED_VALUE"""),"FALSE")</f>
        <v>FALSE</v>
      </c>
      <c r="F1795" s="198"/>
      <c r="J1795" s="184" t="str">
        <f>IFERROR(__xludf.DUMMYFUNCTION("""COMPUTED_VALUE"""),"")</f>
        <v/>
      </c>
      <c r="K1795" s="184"/>
      <c r="L1795" s="184"/>
      <c r="M1795" s="184"/>
      <c r="N1795" s="184"/>
      <c r="O1795" s="184"/>
      <c r="P1795" s="184"/>
      <c r="Q1795" s="184"/>
      <c r="R1795" s="184"/>
      <c r="S1795" s="184"/>
      <c r="T1795" s="184"/>
      <c r="U1795" s="184"/>
      <c r="V1795" s="184"/>
      <c r="W1795" s="184"/>
      <c r="X1795" s="184"/>
    </row>
    <row r="1796">
      <c r="A1796" s="198"/>
      <c r="D1796" s="198" t="str">
        <f>IFERROR(__xludf.DUMMYFUNCTION("""COMPUTED_VALUE"""),"FALSE")</f>
        <v>FALSE</v>
      </c>
      <c r="E1796" s="198" t="str">
        <f>IFERROR(__xludf.DUMMYFUNCTION("""COMPUTED_VALUE"""),"FALSE")</f>
        <v>FALSE</v>
      </c>
      <c r="F1796" s="198"/>
      <c r="J1796" s="184" t="str">
        <f>IFERROR(__xludf.DUMMYFUNCTION("""COMPUTED_VALUE"""),"")</f>
        <v/>
      </c>
      <c r="K1796" s="184"/>
      <c r="L1796" s="184"/>
      <c r="M1796" s="184"/>
      <c r="N1796" s="184"/>
      <c r="O1796" s="184"/>
      <c r="P1796" s="184"/>
      <c r="Q1796" s="184"/>
      <c r="R1796" s="184"/>
      <c r="S1796" s="184"/>
      <c r="T1796" s="184"/>
      <c r="U1796" s="184"/>
      <c r="V1796" s="184"/>
      <c r="W1796" s="184"/>
      <c r="X1796" s="184"/>
    </row>
    <row r="1797">
      <c r="A1797" s="198"/>
      <c r="D1797" s="198" t="str">
        <f>IFERROR(__xludf.DUMMYFUNCTION("""COMPUTED_VALUE"""),"FALSE")</f>
        <v>FALSE</v>
      </c>
      <c r="E1797" s="198" t="str">
        <f>IFERROR(__xludf.DUMMYFUNCTION("""COMPUTED_VALUE"""),"FALSE")</f>
        <v>FALSE</v>
      </c>
      <c r="F1797" s="198"/>
      <c r="J1797" s="184" t="str">
        <f>IFERROR(__xludf.DUMMYFUNCTION("""COMPUTED_VALUE"""),"")</f>
        <v/>
      </c>
      <c r="K1797" s="184"/>
      <c r="L1797" s="184"/>
      <c r="M1797" s="184"/>
      <c r="N1797" s="184"/>
      <c r="O1797" s="184"/>
      <c r="P1797" s="184"/>
      <c r="Q1797" s="184"/>
      <c r="R1797" s="184"/>
      <c r="S1797" s="184"/>
      <c r="T1797" s="184"/>
      <c r="U1797" s="184"/>
      <c r="V1797" s="184"/>
      <c r="W1797" s="184"/>
      <c r="X1797" s="184"/>
    </row>
    <row r="1798">
      <c r="A1798" s="198"/>
      <c r="D1798" s="198" t="str">
        <f>IFERROR(__xludf.DUMMYFUNCTION("""COMPUTED_VALUE"""),"FALSE")</f>
        <v>FALSE</v>
      </c>
      <c r="E1798" s="198" t="str">
        <f>IFERROR(__xludf.DUMMYFUNCTION("""COMPUTED_VALUE"""),"FALSE")</f>
        <v>FALSE</v>
      </c>
      <c r="F1798" s="198"/>
      <c r="J1798" s="184" t="str">
        <f>IFERROR(__xludf.DUMMYFUNCTION("""COMPUTED_VALUE"""),"")</f>
        <v/>
      </c>
      <c r="K1798" s="184"/>
      <c r="L1798" s="184"/>
      <c r="M1798" s="184"/>
      <c r="N1798" s="184"/>
      <c r="O1798" s="184"/>
      <c r="P1798" s="184"/>
      <c r="Q1798" s="184"/>
      <c r="R1798" s="184"/>
      <c r="S1798" s="184"/>
      <c r="T1798" s="184"/>
      <c r="U1798" s="184"/>
      <c r="V1798" s="184"/>
      <c r="W1798" s="184"/>
      <c r="X1798" s="184"/>
    </row>
    <row r="1799">
      <c r="A1799" s="198"/>
      <c r="D1799" s="198" t="str">
        <f>IFERROR(__xludf.DUMMYFUNCTION("""COMPUTED_VALUE"""),"FALSE")</f>
        <v>FALSE</v>
      </c>
      <c r="E1799" s="198" t="str">
        <f>IFERROR(__xludf.DUMMYFUNCTION("""COMPUTED_VALUE"""),"FALSE")</f>
        <v>FALSE</v>
      </c>
      <c r="F1799" s="198"/>
      <c r="J1799" s="184" t="str">
        <f>IFERROR(__xludf.DUMMYFUNCTION("""COMPUTED_VALUE"""),"")</f>
        <v/>
      </c>
      <c r="K1799" s="184"/>
      <c r="L1799" s="184"/>
      <c r="M1799" s="184"/>
      <c r="N1799" s="184"/>
      <c r="O1799" s="184"/>
      <c r="P1799" s="184"/>
      <c r="Q1799" s="184"/>
      <c r="R1799" s="184"/>
      <c r="S1799" s="184"/>
      <c r="T1799" s="184"/>
      <c r="U1799" s="184"/>
      <c r="V1799" s="184"/>
      <c r="W1799" s="184"/>
      <c r="X1799" s="184"/>
    </row>
    <row r="1800">
      <c r="A1800" s="198"/>
      <c r="D1800" s="198" t="str">
        <f>IFERROR(__xludf.DUMMYFUNCTION("""COMPUTED_VALUE"""),"FALSE")</f>
        <v>FALSE</v>
      </c>
      <c r="E1800" s="198" t="str">
        <f>IFERROR(__xludf.DUMMYFUNCTION("""COMPUTED_VALUE"""),"FALSE")</f>
        <v>FALSE</v>
      </c>
      <c r="F1800" s="198"/>
      <c r="J1800" s="184" t="str">
        <f>IFERROR(__xludf.DUMMYFUNCTION("""COMPUTED_VALUE"""),"")</f>
        <v/>
      </c>
      <c r="K1800" s="184"/>
      <c r="L1800" s="184"/>
      <c r="M1800" s="184"/>
      <c r="N1800" s="184"/>
      <c r="O1800" s="184"/>
      <c r="P1800" s="184"/>
      <c r="Q1800" s="184"/>
      <c r="R1800" s="184"/>
      <c r="S1800" s="184"/>
      <c r="T1800" s="184"/>
      <c r="U1800" s="184"/>
      <c r="V1800" s="184"/>
      <c r="W1800" s="184"/>
      <c r="X1800" s="184"/>
    </row>
    <row r="1801">
      <c r="A1801" s="198"/>
      <c r="D1801" s="198" t="str">
        <f>IFERROR(__xludf.DUMMYFUNCTION("""COMPUTED_VALUE"""),"FALSE")</f>
        <v>FALSE</v>
      </c>
      <c r="E1801" s="198" t="str">
        <f>IFERROR(__xludf.DUMMYFUNCTION("""COMPUTED_VALUE"""),"FALSE")</f>
        <v>FALSE</v>
      </c>
      <c r="F1801" s="198"/>
      <c r="J1801" s="184" t="str">
        <f>IFERROR(__xludf.DUMMYFUNCTION("""COMPUTED_VALUE"""),"")</f>
        <v/>
      </c>
      <c r="K1801" s="184"/>
      <c r="L1801" s="184"/>
      <c r="M1801" s="184"/>
      <c r="N1801" s="184"/>
      <c r="O1801" s="184"/>
      <c r="P1801" s="184"/>
      <c r="Q1801" s="184"/>
      <c r="R1801" s="184"/>
      <c r="S1801" s="184"/>
      <c r="T1801" s="184"/>
      <c r="U1801" s="184"/>
      <c r="V1801" s="184"/>
      <c r="W1801" s="184"/>
      <c r="X1801" s="184"/>
    </row>
    <row r="1802">
      <c r="A1802" s="198"/>
      <c r="D1802" s="198" t="str">
        <f>IFERROR(__xludf.DUMMYFUNCTION("""COMPUTED_VALUE"""),"FALSE")</f>
        <v>FALSE</v>
      </c>
      <c r="E1802" s="198" t="str">
        <f>IFERROR(__xludf.DUMMYFUNCTION("""COMPUTED_VALUE"""),"FALSE")</f>
        <v>FALSE</v>
      </c>
      <c r="F1802" s="198"/>
      <c r="J1802" s="184" t="str">
        <f>IFERROR(__xludf.DUMMYFUNCTION("""COMPUTED_VALUE"""),"")</f>
        <v/>
      </c>
      <c r="K1802" s="184"/>
      <c r="L1802" s="184"/>
      <c r="M1802" s="184"/>
      <c r="N1802" s="184"/>
      <c r="O1802" s="184"/>
      <c r="P1802" s="184"/>
      <c r="Q1802" s="184"/>
      <c r="R1802" s="184"/>
      <c r="S1802" s="184"/>
      <c r="T1802" s="184"/>
      <c r="U1802" s="184"/>
      <c r="V1802" s="184"/>
      <c r="W1802" s="184"/>
      <c r="X1802" s="184"/>
    </row>
    <row r="1803">
      <c r="A1803" s="198"/>
      <c r="D1803" s="198" t="str">
        <f>IFERROR(__xludf.DUMMYFUNCTION("""COMPUTED_VALUE"""),"FALSE")</f>
        <v>FALSE</v>
      </c>
      <c r="E1803" s="198" t="str">
        <f>IFERROR(__xludf.DUMMYFUNCTION("""COMPUTED_VALUE"""),"FALSE")</f>
        <v>FALSE</v>
      </c>
      <c r="F1803" s="198"/>
      <c r="J1803" s="184" t="str">
        <f>IFERROR(__xludf.DUMMYFUNCTION("""COMPUTED_VALUE"""),"")</f>
        <v/>
      </c>
      <c r="K1803" s="184"/>
      <c r="L1803" s="184"/>
      <c r="M1803" s="184"/>
      <c r="N1803" s="184"/>
      <c r="O1803" s="184"/>
      <c r="P1803" s="184"/>
      <c r="Q1803" s="184"/>
      <c r="R1803" s="184"/>
      <c r="S1803" s="184"/>
      <c r="T1803" s="184"/>
      <c r="U1803" s="184"/>
      <c r="V1803" s="184"/>
      <c r="W1803" s="184"/>
      <c r="X1803" s="184"/>
    </row>
    <row r="1804">
      <c r="A1804" s="198"/>
      <c r="D1804" s="198" t="str">
        <f>IFERROR(__xludf.DUMMYFUNCTION("""COMPUTED_VALUE"""),"FALSE")</f>
        <v>FALSE</v>
      </c>
      <c r="E1804" s="198" t="str">
        <f>IFERROR(__xludf.DUMMYFUNCTION("""COMPUTED_VALUE"""),"FALSE")</f>
        <v>FALSE</v>
      </c>
      <c r="F1804" s="198"/>
      <c r="J1804" s="184" t="str">
        <f>IFERROR(__xludf.DUMMYFUNCTION("""COMPUTED_VALUE"""),"")</f>
        <v/>
      </c>
      <c r="K1804" s="184"/>
      <c r="L1804" s="184"/>
      <c r="M1804" s="184"/>
      <c r="N1804" s="184"/>
      <c r="O1804" s="184"/>
      <c r="P1804" s="184"/>
      <c r="Q1804" s="184"/>
      <c r="R1804" s="184"/>
      <c r="S1804" s="184"/>
      <c r="T1804" s="184"/>
      <c r="U1804" s="184"/>
      <c r="V1804" s="184"/>
      <c r="W1804" s="184"/>
      <c r="X1804" s="184"/>
    </row>
    <row r="1805">
      <c r="A1805" s="198"/>
      <c r="D1805" s="198" t="str">
        <f>IFERROR(__xludf.DUMMYFUNCTION("""COMPUTED_VALUE"""),"FALSE")</f>
        <v>FALSE</v>
      </c>
      <c r="E1805" s="198" t="str">
        <f>IFERROR(__xludf.DUMMYFUNCTION("""COMPUTED_VALUE"""),"FALSE")</f>
        <v>FALSE</v>
      </c>
      <c r="F1805" s="198"/>
      <c r="J1805" s="184" t="str">
        <f>IFERROR(__xludf.DUMMYFUNCTION("""COMPUTED_VALUE"""),"")</f>
        <v/>
      </c>
      <c r="K1805" s="184"/>
      <c r="L1805" s="184"/>
      <c r="M1805" s="184"/>
      <c r="N1805" s="184"/>
      <c r="O1805" s="184"/>
      <c r="P1805" s="184"/>
      <c r="Q1805" s="184"/>
      <c r="R1805" s="184"/>
      <c r="S1805" s="184"/>
      <c r="T1805" s="184"/>
      <c r="U1805" s="184"/>
      <c r="V1805" s="184"/>
      <c r="W1805" s="184"/>
      <c r="X1805" s="184"/>
    </row>
    <row r="1806">
      <c r="A1806" s="198"/>
      <c r="D1806" s="198" t="str">
        <f>IFERROR(__xludf.DUMMYFUNCTION("""COMPUTED_VALUE"""),"FALSE")</f>
        <v>FALSE</v>
      </c>
      <c r="E1806" s="198" t="str">
        <f>IFERROR(__xludf.DUMMYFUNCTION("""COMPUTED_VALUE"""),"FALSE")</f>
        <v>FALSE</v>
      </c>
      <c r="F1806" s="198"/>
      <c r="J1806" s="184" t="str">
        <f>IFERROR(__xludf.DUMMYFUNCTION("""COMPUTED_VALUE"""),"")</f>
        <v/>
      </c>
      <c r="K1806" s="184"/>
      <c r="L1806" s="184"/>
      <c r="M1806" s="184"/>
      <c r="N1806" s="184"/>
      <c r="O1806" s="184"/>
      <c r="P1806" s="184"/>
      <c r="Q1806" s="184"/>
      <c r="R1806" s="184"/>
      <c r="S1806" s="184"/>
      <c r="T1806" s="184"/>
      <c r="U1806" s="184"/>
      <c r="V1806" s="184"/>
      <c r="W1806" s="184"/>
      <c r="X1806" s="184"/>
    </row>
    <row r="1807">
      <c r="A1807" s="198"/>
      <c r="D1807" s="198" t="str">
        <f>IFERROR(__xludf.DUMMYFUNCTION("""COMPUTED_VALUE"""),"FALSE")</f>
        <v>FALSE</v>
      </c>
      <c r="E1807" s="198" t="str">
        <f>IFERROR(__xludf.DUMMYFUNCTION("""COMPUTED_VALUE"""),"FALSE")</f>
        <v>FALSE</v>
      </c>
      <c r="F1807" s="198"/>
      <c r="J1807" s="184" t="str">
        <f>IFERROR(__xludf.DUMMYFUNCTION("""COMPUTED_VALUE"""),"")</f>
        <v/>
      </c>
      <c r="K1807" s="184"/>
      <c r="L1807" s="184"/>
      <c r="M1807" s="184"/>
      <c r="N1807" s="184"/>
      <c r="O1807" s="184"/>
      <c r="P1807" s="184"/>
      <c r="Q1807" s="184"/>
      <c r="R1807" s="184"/>
      <c r="S1807" s="184"/>
      <c r="T1807" s="184"/>
      <c r="U1807" s="184"/>
      <c r="V1807" s="184"/>
      <c r="W1807" s="184"/>
      <c r="X1807" s="184"/>
    </row>
    <row r="1808">
      <c r="A1808" s="198"/>
      <c r="D1808" s="198" t="str">
        <f>IFERROR(__xludf.DUMMYFUNCTION("""COMPUTED_VALUE"""),"FALSE")</f>
        <v>FALSE</v>
      </c>
      <c r="E1808" s="198" t="str">
        <f>IFERROR(__xludf.DUMMYFUNCTION("""COMPUTED_VALUE"""),"FALSE")</f>
        <v>FALSE</v>
      </c>
      <c r="F1808" s="198"/>
      <c r="J1808" s="184" t="str">
        <f>IFERROR(__xludf.DUMMYFUNCTION("""COMPUTED_VALUE"""),"")</f>
        <v/>
      </c>
      <c r="K1808" s="184"/>
      <c r="L1808" s="184"/>
      <c r="M1808" s="184"/>
      <c r="N1808" s="184"/>
      <c r="O1808" s="184"/>
      <c r="P1808" s="184"/>
      <c r="Q1808" s="184"/>
      <c r="R1808" s="184"/>
      <c r="S1808" s="184"/>
      <c r="T1808" s="184"/>
      <c r="U1808" s="184"/>
      <c r="V1808" s="184"/>
      <c r="W1808" s="184"/>
      <c r="X1808" s="184"/>
    </row>
    <row r="1809">
      <c r="A1809" s="198"/>
      <c r="D1809" s="198" t="str">
        <f>IFERROR(__xludf.DUMMYFUNCTION("""COMPUTED_VALUE"""),"FALSE")</f>
        <v>FALSE</v>
      </c>
      <c r="E1809" s="198" t="str">
        <f>IFERROR(__xludf.DUMMYFUNCTION("""COMPUTED_VALUE"""),"FALSE")</f>
        <v>FALSE</v>
      </c>
      <c r="F1809" s="198"/>
      <c r="J1809" s="184" t="str">
        <f>IFERROR(__xludf.DUMMYFUNCTION("""COMPUTED_VALUE"""),"")</f>
        <v/>
      </c>
      <c r="K1809" s="184"/>
      <c r="L1809" s="184"/>
      <c r="M1809" s="184"/>
      <c r="N1809" s="184"/>
      <c r="O1809" s="184"/>
      <c r="P1809" s="184"/>
      <c r="Q1809" s="184"/>
      <c r="R1809" s="184"/>
      <c r="S1809" s="184"/>
      <c r="T1809" s="184"/>
      <c r="U1809" s="184"/>
      <c r="V1809" s="184"/>
      <c r="W1809" s="184"/>
      <c r="X1809" s="184"/>
    </row>
    <row r="1810">
      <c r="A1810" s="198"/>
      <c r="D1810" s="198" t="str">
        <f>IFERROR(__xludf.DUMMYFUNCTION("""COMPUTED_VALUE"""),"FALSE")</f>
        <v>FALSE</v>
      </c>
      <c r="E1810" s="198" t="str">
        <f>IFERROR(__xludf.DUMMYFUNCTION("""COMPUTED_VALUE"""),"FALSE")</f>
        <v>FALSE</v>
      </c>
      <c r="F1810" s="198"/>
      <c r="J1810" s="184" t="str">
        <f>IFERROR(__xludf.DUMMYFUNCTION("""COMPUTED_VALUE"""),"")</f>
        <v/>
      </c>
      <c r="K1810" s="184"/>
      <c r="L1810" s="184"/>
      <c r="M1810" s="184"/>
      <c r="N1810" s="184"/>
      <c r="O1810" s="184"/>
      <c r="P1810" s="184"/>
      <c r="Q1810" s="184"/>
      <c r="R1810" s="184"/>
      <c r="S1810" s="184"/>
      <c r="T1810" s="184"/>
      <c r="U1810" s="184"/>
      <c r="V1810" s="184"/>
      <c r="W1810" s="184"/>
      <c r="X1810" s="184"/>
    </row>
    <row r="1811">
      <c r="A1811" s="198"/>
      <c r="D1811" s="198" t="str">
        <f>IFERROR(__xludf.DUMMYFUNCTION("""COMPUTED_VALUE"""),"FALSE")</f>
        <v>FALSE</v>
      </c>
      <c r="E1811" s="198" t="str">
        <f>IFERROR(__xludf.DUMMYFUNCTION("""COMPUTED_VALUE"""),"FALSE")</f>
        <v>FALSE</v>
      </c>
      <c r="F1811" s="198"/>
      <c r="J1811" s="184" t="str">
        <f>IFERROR(__xludf.DUMMYFUNCTION("""COMPUTED_VALUE"""),"")</f>
        <v/>
      </c>
      <c r="K1811" s="184"/>
      <c r="L1811" s="184"/>
      <c r="M1811" s="184"/>
      <c r="N1811" s="184"/>
      <c r="O1811" s="184"/>
      <c r="P1811" s="184"/>
      <c r="Q1811" s="184"/>
      <c r="R1811" s="184"/>
      <c r="S1811" s="184"/>
      <c r="T1811" s="184"/>
      <c r="U1811" s="184"/>
      <c r="V1811" s="184"/>
      <c r="W1811" s="184"/>
      <c r="X1811" s="184"/>
    </row>
    <row r="1812">
      <c r="A1812" s="198"/>
      <c r="D1812" s="198" t="str">
        <f>IFERROR(__xludf.DUMMYFUNCTION("""COMPUTED_VALUE"""),"FALSE")</f>
        <v>FALSE</v>
      </c>
      <c r="E1812" s="198" t="str">
        <f>IFERROR(__xludf.DUMMYFUNCTION("""COMPUTED_VALUE"""),"FALSE")</f>
        <v>FALSE</v>
      </c>
      <c r="F1812" s="198"/>
      <c r="J1812" s="184" t="str">
        <f>IFERROR(__xludf.DUMMYFUNCTION("""COMPUTED_VALUE"""),"")</f>
        <v/>
      </c>
      <c r="K1812" s="184"/>
      <c r="L1812" s="184"/>
      <c r="M1812" s="184"/>
      <c r="N1812" s="184"/>
      <c r="O1812" s="184"/>
      <c r="P1812" s="184"/>
      <c r="Q1812" s="184"/>
      <c r="R1812" s="184"/>
      <c r="S1812" s="184"/>
      <c r="T1812" s="184"/>
      <c r="U1812" s="184"/>
      <c r="V1812" s="184"/>
      <c r="W1812" s="184"/>
      <c r="X1812" s="184"/>
    </row>
    <row r="1813">
      <c r="A1813" s="198"/>
      <c r="D1813" s="198" t="str">
        <f>IFERROR(__xludf.DUMMYFUNCTION("""COMPUTED_VALUE"""),"FALSE")</f>
        <v>FALSE</v>
      </c>
      <c r="E1813" s="198" t="str">
        <f>IFERROR(__xludf.DUMMYFUNCTION("""COMPUTED_VALUE"""),"FALSE")</f>
        <v>FALSE</v>
      </c>
      <c r="F1813" s="198"/>
      <c r="J1813" s="184" t="str">
        <f>IFERROR(__xludf.DUMMYFUNCTION("""COMPUTED_VALUE"""),"")</f>
        <v/>
      </c>
      <c r="K1813" s="184"/>
      <c r="L1813" s="184"/>
      <c r="M1813" s="184"/>
      <c r="N1813" s="184"/>
      <c r="O1813" s="184"/>
      <c r="P1813" s="184"/>
      <c r="Q1813" s="184"/>
      <c r="R1813" s="184"/>
      <c r="S1813" s="184"/>
      <c r="T1813" s="184"/>
      <c r="U1813" s="184"/>
      <c r="V1813" s="184"/>
      <c r="W1813" s="184"/>
      <c r="X1813" s="184"/>
    </row>
    <row r="1814">
      <c r="A1814" s="198"/>
      <c r="D1814" s="198" t="str">
        <f>IFERROR(__xludf.DUMMYFUNCTION("""COMPUTED_VALUE"""),"FALSE")</f>
        <v>FALSE</v>
      </c>
      <c r="E1814" s="198" t="str">
        <f>IFERROR(__xludf.DUMMYFUNCTION("""COMPUTED_VALUE"""),"FALSE")</f>
        <v>FALSE</v>
      </c>
      <c r="F1814" s="198"/>
      <c r="J1814" s="184" t="str">
        <f>IFERROR(__xludf.DUMMYFUNCTION("""COMPUTED_VALUE"""),"")</f>
        <v/>
      </c>
      <c r="K1814" s="184"/>
      <c r="L1814" s="184"/>
      <c r="M1814" s="184"/>
      <c r="N1814" s="184"/>
      <c r="O1814" s="184"/>
      <c r="P1814" s="184"/>
      <c r="Q1814" s="184"/>
      <c r="R1814" s="184"/>
      <c r="S1814" s="184"/>
      <c r="T1814" s="184"/>
      <c r="U1814" s="184"/>
      <c r="V1814" s="184"/>
      <c r="W1814" s="184"/>
      <c r="X1814" s="184"/>
    </row>
    <row r="1815">
      <c r="A1815" s="198"/>
      <c r="D1815" s="198" t="str">
        <f>IFERROR(__xludf.DUMMYFUNCTION("""COMPUTED_VALUE"""),"FALSE")</f>
        <v>FALSE</v>
      </c>
      <c r="E1815" s="198" t="str">
        <f>IFERROR(__xludf.DUMMYFUNCTION("""COMPUTED_VALUE"""),"FALSE")</f>
        <v>FALSE</v>
      </c>
      <c r="F1815" s="198"/>
      <c r="J1815" s="184" t="str">
        <f>IFERROR(__xludf.DUMMYFUNCTION("""COMPUTED_VALUE"""),"")</f>
        <v/>
      </c>
      <c r="K1815" s="184"/>
      <c r="L1815" s="184"/>
      <c r="M1815" s="184"/>
      <c r="N1815" s="184"/>
      <c r="O1815" s="184"/>
      <c r="P1815" s="184"/>
      <c r="Q1815" s="184"/>
      <c r="R1815" s="184"/>
      <c r="S1815" s="184"/>
      <c r="T1815" s="184"/>
      <c r="U1815" s="184"/>
      <c r="V1815" s="184"/>
      <c r="W1815" s="184"/>
      <c r="X1815" s="184"/>
    </row>
    <row r="1816">
      <c r="A1816" s="198"/>
      <c r="D1816" s="198" t="str">
        <f>IFERROR(__xludf.DUMMYFUNCTION("""COMPUTED_VALUE"""),"FALSE")</f>
        <v>FALSE</v>
      </c>
      <c r="E1816" s="198" t="str">
        <f>IFERROR(__xludf.DUMMYFUNCTION("""COMPUTED_VALUE"""),"FALSE")</f>
        <v>FALSE</v>
      </c>
      <c r="F1816" s="198"/>
      <c r="J1816" s="184" t="str">
        <f>IFERROR(__xludf.DUMMYFUNCTION("""COMPUTED_VALUE"""),"")</f>
        <v/>
      </c>
      <c r="K1816" s="184"/>
      <c r="L1816" s="184"/>
      <c r="M1816" s="184"/>
      <c r="N1816" s="184"/>
      <c r="O1816" s="184"/>
      <c r="P1816" s="184"/>
      <c r="Q1816" s="184"/>
      <c r="R1816" s="184"/>
      <c r="S1816" s="184"/>
      <c r="T1816" s="184"/>
      <c r="U1816" s="184"/>
      <c r="V1816" s="184"/>
      <c r="W1816" s="184"/>
      <c r="X1816" s="184"/>
    </row>
    <row r="1817">
      <c r="A1817" s="198"/>
      <c r="D1817" s="198" t="str">
        <f>IFERROR(__xludf.DUMMYFUNCTION("""COMPUTED_VALUE"""),"FALSE")</f>
        <v>FALSE</v>
      </c>
      <c r="E1817" s="198" t="str">
        <f>IFERROR(__xludf.DUMMYFUNCTION("""COMPUTED_VALUE"""),"FALSE")</f>
        <v>FALSE</v>
      </c>
      <c r="F1817" s="198"/>
      <c r="J1817" s="184" t="str">
        <f>IFERROR(__xludf.DUMMYFUNCTION("""COMPUTED_VALUE"""),"")</f>
        <v/>
      </c>
      <c r="K1817" s="184"/>
      <c r="L1817" s="184"/>
      <c r="M1817" s="184"/>
      <c r="N1817" s="184"/>
      <c r="O1817" s="184"/>
      <c r="P1817" s="184"/>
      <c r="Q1817" s="184"/>
      <c r="R1817" s="184"/>
      <c r="S1817" s="184"/>
      <c r="T1817" s="184"/>
      <c r="U1817" s="184"/>
      <c r="V1817" s="184"/>
      <c r="W1817" s="184"/>
      <c r="X1817" s="184"/>
    </row>
    <row r="1818">
      <c r="A1818" s="198"/>
      <c r="D1818" s="198" t="str">
        <f>IFERROR(__xludf.DUMMYFUNCTION("""COMPUTED_VALUE"""),"FALSE")</f>
        <v>FALSE</v>
      </c>
      <c r="E1818" s="198" t="str">
        <f>IFERROR(__xludf.DUMMYFUNCTION("""COMPUTED_VALUE"""),"FALSE")</f>
        <v>FALSE</v>
      </c>
      <c r="F1818" s="198"/>
      <c r="J1818" s="184" t="str">
        <f>IFERROR(__xludf.DUMMYFUNCTION("""COMPUTED_VALUE"""),"")</f>
        <v/>
      </c>
      <c r="K1818" s="184"/>
      <c r="L1818" s="184"/>
      <c r="M1818" s="184"/>
      <c r="N1818" s="184"/>
      <c r="O1818" s="184"/>
      <c r="P1818" s="184"/>
      <c r="Q1818" s="184"/>
      <c r="R1818" s="184"/>
      <c r="S1818" s="184"/>
      <c r="T1818" s="184"/>
      <c r="U1818" s="184"/>
      <c r="V1818" s="184"/>
      <c r="W1818" s="184"/>
      <c r="X1818" s="184"/>
    </row>
    <row r="1819">
      <c r="A1819" s="198"/>
      <c r="D1819" s="198" t="str">
        <f>IFERROR(__xludf.DUMMYFUNCTION("""COMPUTED_VALUE"""),"FALSE")</f>
        <v>FALSE</v>
      </c>
      <c r="E1819" s="198" t="str">
        <f>IFERROR(__xludf.DUMMYFUNCTION("""COMPUTED_VALUE"""),"FALSE")</f>
        <v>FALSE</v>
      </c>
      <c r="F1819" s="198"/>
      <c r="J1819" s="184" t="str">
        <f>IFERROR(__xludf.DUMMYFUNCTION("""COMPUTED_VALUE"""),"")</f>
        <v/>
      </c>
      <c r="K1819" s="184"/>
      <c r="L1819" s="184"/>
      <c r="M1819" s="184"/>
      <c r="N1819" s="184"/>
      <c r="O1819" s="184"/>
      <c r="P1819" s="184"/>
      <c r="Q1819" s="184"/>
      <c r="R1819" s="184"/>
      <c r="S1819" s="184"/>
      <c r="T1819" s="184"/>
      <c r="U1819" s="184"/>
      <c r="V1819" s="184"/>
      <c r="W1819" s="184"/>
      <c r="X1819" s="184"/>
    </row>
    <row r="1820">
      <c r="A1820" s="198"/>
      <c r="D1820" s="198" t="str">
        <f>IFERROR(__xludf.DUMMYFUNCTION("""COMPUTED_VALUE"""),"FALSE")</f>
        <v>FALSE</v>
      </c>
      <c r="E1820" s="198" t="str">
        <f>IFERROR(__xludf.DUMMYFUNCTION("""COMPUTED_VALUE"""),"FALSE")</f>
        <v>FALSE</v>
      </c>
      <c r="F1820" s="198"/>
      <c r="J1820" s="184" t="str">
        <f>IFERROR(__xludf.DUMMYFUNCTION("""COMPUTED_VALUE"""),"")</f>
        <v/>
      </c>
      <c r="K1820" s="184"/>
      <c r="L1820" s="184"/>
      <c r="M1820" s="184"/>
      <c r="N1820" s="184"/>
      <c r="O1820" s="184"/>
      <c r="P1820" s="184"/>
      <c r="Q1820" s="184"/>
      <c r="R1820" s="184"/>
      <c r="S1820" s="184"/>
      <c r="T1820" s="184"/>
      <c r="U1820" s="184"/>
      <c r="V1820" s="184"/>
      <c r="W1820" s="184"/>
      <c r="X1820" s="184"/>
    </row>
    <row r="1821">
      <c r="A1821" s="198"/>
      <c r="D1821" s="198" t="str">
        <f>IFERROR(__xludf.DUMMYFUNCTION("""COMPUTED_VALUE"""),"FALSE")</f>
        <v>FALSE</v>
      </c>
      <c r="E1821" s="198" t="str">
        <f>IFERROR(__xludf.DUMMYFUNCTION("""COMPUTED_VALUE"""),"FALSE")</f>
        <v>FALSE</v>
      </c>
      <c r="F1821" s="198"/>
      <c r="J1821" s="184" t="str">
        <f>IFERROR(__xludf.DUMMYFUNCTION("""COMPUTED_VALUE"""),"")</f>
        <v/>
      </c>
      <c r="K1821" s="184"/>
      <c r="L1821" s="184"/>
      <c r="M1821" s="184"/>
      <c r="N1821" s="184"/>
      <c r="O1821" s="184"/>
      <c r="P1821" s="184"/>
      <c r="Q1821" s="184"/>
      <c r="R1821" s="184"/>
      <c r="S1821" s="184"/>
      <c r="T1821" s="184"/>
      <c r="U1821" s="184"/>
      <c r="V1821" s="184"/>
      <c r="W1821" s="184"/>
      <c r="X1821" s="184"/>
    </row>
    <row r="1822">
      <c r="A1822" s="198"/>
      <c r="D1822" s="198" t="str">
        <f>IFERROR(__xludf.DUMMYFUNCTION("""COMPUTED_VALUE"""),"FALSE")</f>
        <v>FALSE</v>
      </c>
      <c r="E1822" s="198" t="str">
        <f>IFERROR(__xludf.DUMMYFUNCTION("""COMPUTED_VALUE"""),"FALSE")</f>
        <v>FALSE</v>
      </c>
      <c r="F1822" s="198"/>
      <c r="J1822" s="184" t="str">
        <f>IFERROR(__xludf.DUMMYFUNCTION("""COMPUTED_VALUE"""),"")</f>
        <v/>
      </c>
      <c r="K1822" s="184"/>
      <c r="L1822" s="184"/>
      <c r="M1822" s="184"/>
      <c r="N1822" s="184"/>
      <c r="O1822" s="184"/>
      <c r="P1822" s="184"/>
      <c r="Q1822" s="184"/>
      <c r="R1822" s="184"/>
      <c r="S1822" s="184"/>
      <c r="T1822" s="184"/>
      <c r="U1822" s="184"/>
      <c r="V1822" s="184"/>
      <c r="W1822" s="184"/>
      <c r="X1822" s="184"/>
    </row>
    <row r="1823">
      <c r="A1823" s="198"/>
      <c r="D1823" s="198" t="str">
        <f>IFERROR(__xludf.DUMMYFUNCTION("""COMPUTED_VALUE"""),"FALSE")</f>
        <v>FALSE</v>
      </c>
      <c r="E1823" s="198" t="str">
        <f>IFERROR(__xludf.DUMMYFUNCTION("""COMPUTED_VALUE"""),"FALSE")</f>
        <v>FALSE</v>
      </c>
      <c r="F1823" s="198"/>
      <c r="J1823" s="184" t="str">
        <f>IFERROR(__xludf.DUMMYFUNCTION("""COMPUTED_VALUE"""),"")</f>
        <v/>
      </c>
      <c r="K1823" s="184"/>
      <c r="L1823" s="184"/>
      <c r="M1823" s="184"/>
      <c r="N1823" s="184"/>
      <c r="O1823" s="184"/>
      <c r="P1823" s="184"/>
      <c r="Q1823" s="184"/>
      <c r="R1823" s="184"/>
      <c r="S1823" s="184"/>
      <c r="T1823" s="184"/>
      <c r="U1823" s="184"/>
      <c r="V1823" s="184"/>
      <c r="W1823" s="184"/>
      <c r="X1823" s="184"/>
    </row>
    <row r="1824">
      <c r="A1824" s="198"/>
      <c r="D1824" s="198" t="str">
        <f>IFERROR(__xludf.DUMMYFUNCTION("""COMPUTED_VALUE"""),"FALSE")</f>
        <v>FALSE</v>
      </c>
      <c r="E1824" s="198" t="str">
        <f>IFERROR(__xludf.DUMMYFUNCTION("""COMPUTED_VALUE"""),"FALSE")</f>
        <v>FALSE</v>
      </c>
      <c r="F1824" s="198"/>
      <c r="J1824" s="184" t="str">
        <f>IFERROR(__xludf.DUMMYFUNCTION("""COMPUTED_VALUE"""),"")</f>
        <v/>
      </c>
      <c r="K1824" s="184"/>
      <c r="L1824" s="184"/>
      <c r="M1824" s="184"/>
      <c r="N1824" s="184"/>
      <c r="O1824" s="184"/>
      <c r="P1824" s="184"/>
      <c r="Q1824" s="184"/>
      <c r="R1824" s="184"/>
      <c r="S1824" s="184"/>
      <c r="T1824" s="184"/>
      <c r="U1824" s="184"/>
      <c r="V1824" s="184"/>
      <c r="W1824" s="184"/>
      <c r="X1824" s="184"/>
    </row>
    <row r="1825">
      <c r="A1825" s="198"/>
      <c r="D1825" s="198" t="str">
        <f>IFERROR(__xludf.DUMMYFUNCTION("""COMPUTED_VALUE"""),"FALSE")</f>
        <v>FALSE</v>
      </c>
      <c r="E1825" s="198" t="str">
        <f>IFERROR(__xludf.DUMMYFUNCTION("""COMPUTED_VALUE"""),"FALSE")</f>
        <v>FALSE</v>
      </c>
      <c r="F1825" s="198"/>
      <c r="J1825" s="184" t="str">
        <f>IFERROR(__xludf.DUMMYFUNCTION("""COMPUTED_VALUE"""),"")</f>
        <v/>
      </c>
      <c r="K1825" s="184"/>
      <c r="L1825" s="184"/>
      <c r="M1825" s="184"/>
      <c r="N1825" s="184"/>
      <c r="O1825" s="184"/>
      <c r="P1825" s="184"/>
      <c r="Q1825" s="184"/>
      <c r="R1825" s="184"/>
      <c r="S1825" s="184"/>
      <c r="T1825" s="184"/>
      <c r="U1825" s="184"/>
      <c r="V1825" s="184"/>
      <c r="W1825" s="184"/>
      <c r="X1825" s="184"/>
    </row>
    <row r="1826">
      <c r="A1826" s="198"/>
      <c r="D1826" s="198" t="str">
        <f>IFERROR(__xludf.DUMMYFUNCTION("""COMPUTED_VALUE"""),"FALSE")</f>
        <v>FALSE</v>
      </c>
      <c r="E1826" s="198" t="str">
        <f>IFERROR(__xludf.DUMMYFUNCTION("""COMPUTED_VALUE"""),"FALSE")</f>
        <v>FALSE</v>
      </c>
      <c r="F1826" s="198"/>
      <c r="J1826" s="184" t="str">
        <f>IFERROR(__xludf.DUMMYFUNCTION("""COMPUTED_VALUE"""),"")</f>
        <v/>
      </c>
      <c r="K1826" s="184"/>
      <c r="L1826" s="184"/>
      <c r="M1826" s="184"/>
      <c r="N1826" s="184"/>
      <c r="O1826" s="184"/>
      <c r="P1826" s="184"/>
      <c r="Q1826" s="184"/>
      <c r="R1826" s="184"/>
      <c r="S1826" s="184"/>
      <c r="T1826" s="184"/>
      <c r="U1826" s="184"/>
      <c r="V1826" s="184"/>
      <c r="W1826" s="184"/>
      <c r="X1826" s="184"/>
    </row>
    <row r="1827">
      <c r="A1827" s="198"/>
      <c r="D1827" s="198" t="str">
        <f>IFERROR(__xludf.DUMMYFUNCTION("""COMPUTED_VALUE"""),"FALSE")</f>
        <v>FALSE</v>
      </c>
      <c r="E1827" s="198" t="str">
        <f>IFERROR(__xludf.DUMMYFUNCTION("""COMPUTED_VALUE"""),"FALSE")</f>
        <v>FALSE</v>
      </c>
      <c r="F1827" s="198"/>
      <c r="J1827" s="184" t="str">
        <f>IFERROR(__xludf.DUMMYFUNCTION("""COMPUTED_VALUE"""),"")</f>
        <v/>
      </c>
      <c r="K1827" s="184"/>
      <c r="L1827" s="184"/>
      <c r="M1827" s="184"/>
      <c r="N1827" s="184"/>
      <c r="O1827" s="184"/>
      <c r="P1827" s="184"/>
      <c r="Q1827" s="184"/>
      <c r="R1827" s="184"/>
      <c r="S1827" s="184"/>
      <c r="T1827" s="184"/>
      <c r="U1827" s="184"/>
      <c r="V1827" s="184"/>
      <c r="W1827" s="184"/>
      <c r="X1827" s="184"/>
    </row>
    <row r="1828">
      <c r="A1828" s="198"/>
      <c r="D1828" s="198" t="str">
        <f>IFERROR(__xludf.DUMMYFUNCTION("""COMPUTED_VALUE"""),"FALSE")</f>
        <v>FALSE</v>
      </c>
      <c r="E1828" s="198" t="str">
        <f>IFERROR(__xludf.DUMMYFUNCTION("""COMPUTED_VALUE"""),"FALSE")</f>
        <v>FALSE</v>
      </c>
      <c r="F1828" s="198"/>
      <c r="J1828" s="184" t="str">
        <f>IFERROR(__xludf.DUMMYFUNCTION("""COMPUTED_VALUE"""),"")</f>
        <v/>
      </c>
      <c r="K1828" s="184"/>
      <c r="L1828" s="184"/>
      <c r="M1828" s="184"/>
      <c r="N1828" s="184"/>
      <c r="O1828" s="184"/>
      <c r="P1828" s="184"/>
      <c r="Q1828" s="184"/>
      <c r="R1828" s="184"/>
      <c r="S1828" s="184"/>
      <c r="T1828" s="184"/>
      <c r="U1828" s="184"/>
      <c r="V1828" s="184"/>
      <c r="W1828" s="184"/>
      <c r="X1828" s="184"/>
    </row>
    <row r="1829">
      <c r="A1829" s="198"/>
      <c r="D1829" s="198" t="str">
        <f>IFERROR(__xludf.DUMMYFUNCTION("""COMPUTED_VALUE"""),"FALSE")</f>
        <v>FALSE</v>
      </c>
      <c r="E1829" s="198" t="str">
        <f>IFERROR(__xludf.DUMMYFUNCTION("""COMPUTED_VALUE"""),"FALSE")</f>
        <v>FALSE</v>
      </c>
      <c r="F1829" s="198"/>
      <c r="J1829" s="184" t="str">
        <f>IFERROR(__xludf.DUMMYFUNCTION("""COMPUTED_VALUE"""),"")</f>
        <v/>
      </c>
      <c r="K1829" s="184"/>
      <c r="L1829" s="184"/>
      <c r="M1829" s="184"/>
      <c r="N1829" s="184"/>
      <c r="O1829" s="184"/>
      <c r="P1829" s="184"/>
      <c r="Q1829" s="184"/>
      <c r="R1829" s="184"/>
      <c r="S1829" s="184"/>
      <c r="T1829" s="184"/>
      <c r="U1829" s="184"/>
      <c r="V1829" s="184"/>
      <c r="W1829" s="184"/>
      <c r="X1829" s="184"/>
    </row>
    <row r="1830">
      <c r="A1830" s="198"/>
      <c r="D1830" s="198" t="str">
        <f>IFERROR(__xludf.DUMMYFUNCTION("""COMPUTED_VALUE"""),"FALSE")</f>
        <v>FALSE</v>
      </c>
      <c r="E1830" s="198" t="str">
        <f>IFERROR(__xludf.DUMMYFUNCTION("""COMPUTED_VALUE"""),"FALSE")</f>
        <v>FALSE</v>
      </c>
      <c r="F1830" s="198"/>
      <c r="J1830" s="184" t="str">
        <f>IFERROR(__xludf.DUMMYFUNCTION("""COMPUTED_VALUE"""),"")</f>
        <v/>
      </c>
      <c r="K1830" s="184"/>
      <c r="L1830" s="184"/>
      <c r="M1830" s="184"/>
      <c r="N1830" s="184"/>
      <c r="O1830" s="184"/>
      <c r="P1830" s="184"/>
      <c r="Q1830" s="184"/>
      <c r="R1830" s="184"/>
      <c r="S1830" s="184"/>
      <c r="T1830" s="184"/>
      <c r="U1830" s="184"/>
      <c r="V1830" s="184"/>
      <c r="W1830" s="184"/>
      <c r="X1830" s="184"/>
    </row>
    <row r="1831">
      <c r="A1831" s="198"/>
      <c r="D1831" s="198" t="str">
        <f>IFERROR(__xludf.DUMMYFUNCTION("""COMPUTED_VALUE"""),"FALSE")</f>
        <v>FALSE</v>
      </c>
      <c r="E1831" s="198" t="str">
        <f>IFERROR(__xludf.DUMMYFUNCTION("""COMPUTED_VALUE"""),"FALSE")</f>
        <v>FALSE</v>
      </c>
      <c r="F1831" s="198"/>
      <c r="J1831" s="184" t="str">
        <f>IFERROR(__xludf.DUMMYFUNCTION("""COMPUTED_VALUE"""),"")</f>
        <v/>
      </c>
      <c r="K1831" s="184"/>
      <c r="L1831" s="184"/>
      <c r="M1831" s="184"/>
      <c r="N1831" s="184"/>
      <c r="O1831" s="184"/>
      <c r="P1831" s="184"/>
      <c r="Q1831" s="184"/>
      <c r="R1831" s="184"/>
      <c r="S1831" s="184"/>
      <c r="T1831" s="184"/>
      <c r="U1831" s="184"/>
      <c r="V1831" s="184"/>
      <c r="W1831" s="184"/>
      <c r="X1831" s="184"/>
    </row>
    <row r="1832">
      <c r="A1832" s="198"/>
      <c r="D1832" s="198" t="str">
        <f>IFERROR(__xludf.DUMMYFUNCTION("""COMPUTED_VALUE"""),"FALSE")</f>
        <v>FALSE</v>
      </c>
      <c r="E1832" s="198" t="str">
        <f>IFERROR(__xludf.DUMMYFUNCTION("""COMPUTED_VALUE"""),"FALSE")</f>
        <v>FALSE</v>
      </c>
      <c r="F1832" s="198"/>
      <c r="J1832" s="184" t="str">
        <f>IFERROR(__xludf.DUMMYFUNCTION("""COMPUTED_VALUE"""),"")</f>
        <v/>
      </c>
      <c r="K1832" s="184"/>
      <c r="L1832" s="184"/>
      <c r="M1832" s="184"/>
      <c r="N1832" s="184"/>
      <c r="O1832" s="184"/>
      <c r="P1832" s="184"/>
      <c r="Q1832" s="184"/>
      <c r="R1832" s="184"/>
      <c r="S1832" s="184"/>
      <c r="T1832" s="184"/>
      <c r="U1832" s="184"/>
      <c r="V1832" s="184"/>
      <c r="W1832" s="184"/>
      <c r="X1832" s="184"/>
    </row>
    <row r="1833">
      <c r="A1833" s="198"/>
      <c r="D1833" s="198" t="str">
        <f>IFERROR(__xludf.DUMMYFUNCTION("""COMPUTED_VALUE"""),"FALSE")</f>
        <v>FALSE</v>
      </c>
      <c r="E1833" s="198" t="str">
        <f>IFERROR(__xludf.DUMMYFUNCTION("""COMPUTED_VALUE"""),"FALSE")</f>
        <v>FALSE</v>
      </c>
      <c r="F1833" s="198"/>
      <c r="J1833" s="184" t="str">
        <f>IFERROR(__xludf.DUMMYFUNCTION("""COMPUTED_VALUE"""),"")</f>
        <v/>
      </c>
      <c r="K1833" s="184"/>
      <c r="L1833" s="184"/>
      <c r="M1833" s="184"/>
      <c r="N1833" s="184"/>
      <c r="O1833" s="184"/>
      <c r="P1833" s="184"/>
      <c r="Q1833" s="184"/>
      <c r="R1833" s="184"/>
      <c r="S1833" s="184"/>
      <c r="T1833" s="184"/>
      <c r="U1833" s="184"/>
      <c r="V1833" s="184"/>
      <c r="W1833" s="184"/>
      <c r="X1833" s="184"/>
    </row>
    <row r="1834">
      <c r="A1834" s="198"/>
      <c r="D1834" s="198" t="str">
        <f>IFERROR(__xludf.DUMMYFUNCTION("""COMPUTED_VALUE"""),"FALSE")</f>
        <v>FALSE</v>
      </c>
      <c r="E1834" s="198" t="str">
        <f>IFERROR(__xludf.DUMMYFUNCTION("""COMPUTED_VALUE"""),"FALSE")</f>
        <v>FALSE</v>
      </c>
      <c r="F1834" s="198"/>
      <c r="J1834" s="184" t="str">
        <f>IFERROR(__xludf.DUMMYFUNCTION("""COMPUTED_VALUE"""),"")</f>
        <v/>
      </c>
      <c r="K1834" s="184"/>
      <c r="L1834" s="184"/>
      <c r="M1834" s="184"/>
      <c r="N1834" s="184"/>
      <c r="O1834" s="184"/>
      <c r="P1834" s="184"/>
      <c r="Q1834" s="184"/>
      <c r="R1834" s="184"/>
      <c r="S1834" s="184"/>
      <c r="T1834" s="184"/>
      <c r="U1834" s="184"/>
      <c r="V1834" s="184"/>
      <c r="W1834" s="184"/>
      <c r="X1834" s="184"/>
    </row>
    <row r="1835">
      <c r="A1835" s="198"/>
      <c r="D1835" s="198" t="str">
        <f>IFERROR(__xludf.DUMMYFUNCTION("""COMPUTED_VALUE"""),"FALSE")</f>
        <v>FALSE</v>
      </c>
      <c r="E1835" s="198" t="str">
        <f>IFERROR(__xludf.DUMMYFUNCTION("""COMPUTED_VALUE"""),"FALSE")</f>
        <v>FALSE</v>
      </c>
      <c r="F1835" s="198"/>
      <c r="J1835" s="184" t="str">
        <f>IFERROR(__xludf.DUMMYFUNCTION("""COMPUTED_VALUE"""),"")</f>
        <v/>
      </c>
      <c r="K1835" s="184"/>
      <c r="L1835" s="184"/>
      <c r="M1835" s="184"/>
      <c r="N1835" s="184"/>
      <c r="O1835" s="184"/>
      <c r="P1835" s="184"/>
      <c r="Q1835" s="184"/>
      <c r="R1835" s="184"/>
      <c r="S1835" s="184"/>
      <c r="T1835" s="184"/>
      <c r="U1835" s="184"/>
      <c r="V1835" s="184"/>
      <c r="W1835" s="184"/>
      <c r="X1835" s="184"/>
    </row>
    <row r="1836">
      <c r="A1836" s="198"/>
      <c r="D1836" s="198" t="str">
        <f>IFERROR(__xludf.DUMMYFUNCTION("""COMPUTED_VALUE"""),"FALSE")</f>
        <v>FALSE</v>
      </c>
      <c r="E1836" s="198" t="str">
        <f>IFERROR(__xludf.DUMMYFUNCTION("""COMPUTED_VALUE"""),"FALSE")</f>
        <v>FALSE</v>
      </c>
      <c r="F1836" s="198"/>
      <c r="J1836" s="184" t="str">
        <f>IFERROR(__xludf.DUMMYFUNCTION("""COMPUTED_VALUE"""),"")</f>
        <v/>
      </c>
      <c r="K1836" s="184"/>
      <c r="L1836" s="184"/>
      <c r="M1836" s="184"/>
      <c r="N1836" s="184"/>
      <c r="O1836" s="184"/>
      <c r="P1836" s="184"/>
      <c r="Q1836" s="184"/>
      <c r="R1836" s="184"/>
      <c r="S1836" s="184"/>
      <c r="T1836" s="184"/>
      <c r="U1836" s="184"/>
      <c r="V1836" s="184"/>
      <c r="W1836" s="184"/>
      <c r="X1836" s="184"/>
    </row>
    <row r="1837">
      <c r="A1837" s="198"/>
      <c r="D1837" s="198" t="str">
        <f>IFERROR(__xludf.DUMMYFUNCTION("""COMPUTED_VALUE"""),"FALSE")</f>
        <v>FALSE</v>
      </c>
      <c r="E1837" s="198" t="str">
        <f>IFERROR(__xludf.DUMMYFUNCTION("""COMPUTED_VALUE"""),"FALSE")</f>
        <v>FALSE</v>
      </c>
      <c r="F1837" s="198"/>
      <c r="J1837" s="184" t="str">
        <f>IFERROR(__xludf.DUMMYFUNCTION("""COMPUTED_VALUE"""),"")</f>
        <v/>
      </c>
      <c r="K1837" s="184"/>
      <c r="L1837" s="184"/>
      <c r="M1837" s="184"/>
      <c r="N1837" s="184"/>
      <c r="O1837" s="184"/>
      <c r="P1837" s="184"/>
      <c r="Q1837" s="184"/>
      <c r="R1837" s="184"/>
      <c r="S1837" s="184"/>
      <c r="T1837" s="184"/>
      <c r="U1837" s="184"/>
      <c r="V1837" s="184"/>
      <c r="W1837" s="184"/>
      <c r="X1837" s="184"/>
    </row>
    <row r="1838">
      <c r="A1838" s="198"/>
      <c r="D1838" s="198" t="str">
        <f>IFERROR(__xludf.DUMMYFUNCTION("""COMPUTED_VALUE"""),"FALSE")</f>
        <v>FALSE</v>
      </c>
      <c r="E1838" s="198" t="str">
        <f>IFERROR(__xludf.DUMMYFUNCTION("""COMPUTED_VALUE"""),"FALSE")</f>
        <v>FALSE</v>
      </c>
      <c r="F1838" s="198"/>
      <c r="J1838" s="184" t="str">
        <f>IFERROR(__xludf.DUMMYFUNCTION("""COMPUTED_VALUE"""),"")</f>
        <v/>
      </c>
      <c r="K1838" s="184"/>
      <c r="L1838" s="184"/>
      <c r="M1838" s="184"/>
      <c r="N1838" s="184"/>
      <c r="O1838" s="184"/>
      <c r="P1838" s="184"/>
      <c r="Q1838" s="184"/>
      <c r="R1838" s="184"/>
      <c r="S1838" s="184"/>
      <c r="T1838" s="184"/>
      <c r="U1838" s="184"/>
      <c r="V1838" s="184"/>
      <c r="W1838" s="184"/>
      <c r="X1838" s="184"/>
    </row>
    <row r="1839">
      <c r="A1839" s="198"/>
      <c r="D1839" s="198" t="str">
        <f>IFERROR(__xludf.DUMMYFUNCTION("""COMPUTED_VALUE"""),"FALSE")</f>
        <v>FALSE</v>
      </c>
      <c r="E1839" s="198" t="str">
        <f>IFERROR(__xludf.DUMMYFUNCTION("""COMPUTED_VALUE"""),"FALSE")</f>
        <v>FALSE</v>
      </c>
      <c r="F1839" s="198"/>
      <c r="J1839" s="184" t="str">
        <f>IFERROR(__xludf.DUMMYFUNCTION("""COMPUTED_VALUE"""),"")</f>
        <v/>
      </c>
      <c r="K1839" s="184"/>
      <c r="L1839" s="184"/>
      <c r="M1839" s="184"/>
      <c r="N1839" s="184"/>
      <c r="O1839" s="184"/>
      <c r="P1839" s="184"/>
      <c r="Q1839" s="184"/>
      <c r="R1839" s="184"/>
      <c r="S1839" s="184"/>
      <c r="T1839" s="184"/>
      <c r="U1839" s="184"/>
      <c r="V1839" s="184"/>
      <c r="W1839" s="184"/>
      <c r="X1839" s="184"/>
    </row>
    <row r="1840">
      <c r="A1840" s="198"/>
      <c r="D1840" s="198" t="str">
        <f>IFERROR(__xludf.DUMMYFUNCTION("""COMPUTED_VALUE"""),"FALSE")</f>
        <v>FALSE</v>
      </c>
      <c r="E1840" s="198" t="str">
        <f>IFERROR(__xludf.DUMMYFUNCTION("""COMPUTED_VALUE"""),"FALSE")</f>
        <v>FALSE</v>
      </c>
      <c r="F1840" s="198"/>
      <c r="J1840" s="184" t="str">
        <f>IFERROR(__xludf.DUMMYFUNCTION("""COMPUTED_VALUE"""),"")</f>
        <v/>
      </c>
      <c r="K1840" s="184"/>
      <c r="L1840" s="184"/>
      <c r="M1840" s="184"/>
      <c r="N1840" s="184"/>
      <c r="O1840" s="184"/>
      <c r="P1840" s="184"/>
      <c r="Q1840" s="184"/>
      <c r="R1840" s="184"/>
      <c r="S1840" s="184"/>
      <c r="T1840" s="184"/>
      <c r="U1840" s="184"/>
      <c r="V1840" s="184"/>
      <c r="W1840" s="184"/>
      <c r="X1840" s="184"/>
    </row>
    <row r="1841">
      <c r="A1841" s="198"/>
      <c r="D1841" s="198" t="str">
        <f>IFERROR(__xludf.DUMMYFUNCTION("""COMPUTED_VALUE"""),"FALSE")</f>
        <v>FALSE</v>
      </c>
      <c r="E1841" s="198" t="str">
        <f>IFERROR(__xludf.DUMMYFUNCTION("""COMPUTED_VALUE"""),"FALSE")</f>
        <v>FALSE</v>
      </c>
      <c r="F1841" s="198"/>
      <c r="J1841" s="184" t="str">
        <f>IFERROR(__xludf.DUMMYFUNCTION("""COMPUTED_VALUE"""),"")</f>
        <v/>
      </c>
      <c r="K1841" s="184"/>
      <c r="L1841" s="184"/>
      <c r="M1841" s="184"/>
      <c r="N1841" s="184"/>
      <c r="O1841" s="184"/>
      <c r="P1841" s="184"/>
      <c r="Q1841" s="184"/>
      <c r="R1841" s="184"/>
      <c r="S1841" s="184"/>
      <c r="T1841" s="184"/>
      <c r="U1841" s="184"/>
      <c r="V1841" s="184"/>
      <c r="W1841" s="184"/>
      <c r="X1841" s="184"/>
    </row>
    <row r="1842">
      <c r="A1842" s="198"/>
      <c r="D1842" s="198" t="str">
        <f>IFERROR(__xludf.DUMMYFUNCTION("""COMPUTED_VALUE"""),"FALSE")</f>
        <v>FALSE</v>
      </c>
      <c r="E1842" s="198" t="str">
        <f>IFERROR(__xludf.DUMMYFUNCTION("""COMPUTED_VALUE"""),"FALSE")</f>
        <v>FALSE</v>
      </c>
      <c r="F1842" s="198"/>
      <c r="J1842" s="184" t="str">
        <f>IFERROR(__xludf.DUMMYFUNCTION("""COMPUTED_VALUE"""),"")</f>
        <v/>
      </c>
      <c r="K1842" s="184"/>
      <c r="L1842" s="184"/>
      <c r="M1842" s="184"/>
      <c r="N1842" s="184"/>
      <c r="O1842" s="184"/>
      <c r="P1842" s="184"/>
      <c r="Q1842" s="184"/>
      <c r="R1842" s="184"/>
      <c r="S1842" s="184"/>
      <c r="T1842" s="184"/>
      <c r="U1842" s="184"/>
      <c r="V1842" s="184"/>
      <c r="W1842" s="184"/>
      <c r="X1842" s="184"/>
    </row>
    <row r="1843">
      <c r="A1843" s="198"/>
      <c r="D1843" s="198" t="str">
        <f>IFERROR(__xludf.DUMMYFUNCTION("""COMPUTED_VALUE"""),"FALSE")</f>
        <v>FALSE</v>
      </c>
      <c r="E1843" s="198" t="str">
        <f>IFERROR(__xludf.DUMMYFUNCTION("""COMPUTED_VALUE"""),"FALSE")</f>
        <v>FALSE</v>
      </c>
      <c r="F1843" s="198"/>
      <c r="J1843" s="184" t="str">
        <f>IFERROR(__xludf.DUMMYFUNCTION("""COMPUTED_VALUE"""),"")</f>
        <v/>
      </c>
      <c r="K1843" s="184"/>
      <c r="L1843" s="184"/>
      <c r="M1843" s="184"/>
      <c r="N1843" s="184"/>
      <c r="O1843" s="184"/>
      <c r="P1843" s="184"/>
      <c r="Q1843" s="184"/>
      <c r="R1843" s="184"/>
      <c r="S1843" s="184"/>
      <c r="T1843" s="184"/>
      <c r="U1843" s="184"/>
      <c r="V1843" s="184"/>
      <c r="W1843" s="184"/>
      <c r="X1843" s="184"/>
    </row>
    <row r="1844">
      <c r="A1844" s="198"/>
      <c r="D1844" s="198" t="str">
        <f>IFERROR(__xludf.DUMMYFUNCTION("""COMPUTED_VALUE"""),"FALSE")</f>
        <v>FALSE</v>
      </c>
      <c r="E1844" s="198" t="str">
        <f>IFERROR(__xludf.DUMMYFUNCTION("""COMPUTED_VALUE"""),"FALSE")</f>
        <v>FALSE</v>
      </c>
      <c r="F1844" s="198"/>
      <c r="J1844" s="184" t="str">
        <f>IFERROR(__xludf.DUMMYFUNCTION("""COMPUTED_VALUE"""),"")</f>
        <v/>
      </c>
      <c r="K1844" s="184"/>
      <c r="L1844" s="184"/>
      <c r="M1844" s="184"/>
      <c r="N1844" s="184"/>
      <c r="O1844" s="184"/>
      <c r="P1844" s="184"/>
      <c r="Q1844" s="184"/>
      <c r="R1844" s="184"/>
      <c r="S1844" s="184"/>
      <c r="T1844" s="184"/>
      <c r="U1844" s="184"/>
      <c r="V1844" s="184"/>
      <c r="W1844" s="184"/>
      <c r="X1844" s="184"/>
    </row>
    <row r="1845">
      <c r="A1845" s="198"/>
      <c r="D1845" s="198" t="str">
        <f>IFERROR(__xludf.DUMMYFUNCTION("""COMPUTED_VALUE"""),"FALSE")</f>
        <v>FALSE</v>
      </c>
      <c r="E1845" s="198" t="str">
        <f>IFERROR(__xludf.DUMMYFUNCTION("""COMPUTED_VALUE"""),"FALSE")</f>
        <v>FALSE</v>
      </c>
      <c r="F1845" s="198"/>
      <c r="J1845" s="184" t="str">
        <f>IFERROR(__xludf.DUMMYFUNCTION("""COMPUTED_VALUE"""),"")</f>
        <v/>
      </c>
      <c r="K1845" s="184"/>
      <c r="L1845" s="184"/>
      <c r="M1845" s="184"/>
      <c r="N1845" s="184"/>
      <c r="O1845" s="184"/>
      <c r="P1845" s="184"/>
      <c r="Q1845" s="184"/>
      <c r="R1845" s="184"/>
      <c r="S1845" s="184"/>
      <c r="T1845" s="184"/>
      <c r="U1845" s="184"/>
      <c r="V1845" s="184"/>
      <c r="W1845" s="184"/>
      <c r="X1845" s="184"/>
    </row>
    <row r="1846">
      <c r="A1846" s="198"/>
      <c r="D1846" s="198" t="str">
        <f>IFERROR(__xludf.DUMMYFUNCTION("""COMPUTED_VALUE"""),"FALSE")</f>
        <v>FALSE</v>
      </c>
      <c r="E1846" s="198" t="str">
        <f>IFERROR(__xludf.DUMMYFUNCTION("""COMPUTED_VALUE"""),"FALSE")</f>
        <v>FALSE</v>
      </c>
      <c r="F1846" s="198"/>
      <c r="J1846" s="184" t="str">
        <f>IFERROR(__xludf.DUMMYFUNCTION("""COMPUTED_VALUE"""),"")</f>
        <v/>
      </c>
      <c r="K1846" s="184"/>
      <c r="L1846" s="184"/>
      <c r="M1846" s="184"/>
      <c r="N1846" s="184"/>
      <c r="O1846" s="184"/>
      <c r="P1846" s="184"/>
      <c r="Q1846" s="184"/>
      <c r="R1846" s="184"/>
      <c r="S1846" s="184"/>
      <c r="T1846" s="184"/>
      <c r="U1846" s="184"/>
      <c r="V1846" s="184"/>
      <c r="W1846" s="184"/>
      <c r="X1846" s="184"/>
    </row>
    <row r="1847">
      <c r="A1847" s="198"/>
      <c r="D1847" s="198" t="str">
        <f>IFERROR(__xludf.DUMMYFUNCTION("""COMPUTED_VALUE"""),"FALSE")</f>
        <v>FALSE</v>
      </c>
      <c r="E1847" s="198" t="str">
        <f>IFERROR(__xludf.DUMMYFUNCTION("""COMPUTED_VALUE"""),"FALSE")</f>
        <v>FALSE</v>
      </c>
      <c r="F1847" s="198"/>
      <c r="J1847" s="184" t="str">
        <f>IFERROR(__xludf.DUMMYFUNCTION("""COMPUTED_VALUE"""),"")</f>
        <v/>
      </c>
      <c r="K1847" s="184"/>
      <c r="L1847" s="184"/>
      <c r="M1847" s="184"/>
      <c r="N1847" s="184"/>
      <c r="O1847" s="184"/>
      <c r="P1847" s="184"/>
      <c r="Q1847" s="184"/>
      <c r="R1847" s="184"/>
      <c r="S1847" s="184"/>
      <c r="T1847" s="184"/>
      <c r="U1847" s="184"/>
      <c r="V1847" s="184"/>
      <c r="W1847" s="184"/>
      <c r="X1847" s="184"/>
    </row>
    <row r="1848">
      <c r="A1848" s="198"/>
      <c r="D1848" s="198" t="str">
        <f>IFERROR(__xludf.DUMMYFUNCTION("""COMPUTED_VALUE"""),"FALSE")</f>
        <v>FALSE</v>
      </c>
      <c r="E1848" s="198" t="str">
        <f>IFERROR(__xludf.DUMMYFUNCTION("""COMPUTED_VALUE"""),"FALSE")</f>
        <v>FALSE</v>
      </c>
      <c r="F1848" s="198"/>
      <c r="J1848" s="184" t="str">
        <f>IFERROR(__xludf.DUMMYFUNCTION("""COMPUTED_VALUE"""),"")</f>
        <v/>
      </c>
      <c r="K1848" s="184"/>
      <c r="L1848" s="184"/>
      <c r="M1848" s="184"/>
      <c r="N1848" s="184"/>
      <c r="O1848" s="184"/>
      <c r="P1848" s="184"/>
      <c r="Q1848" s="184"/>
      <c r="R1848" s="184"/>
      <c r="S1848" s="184"/>
      <c r="T1848" s="184"/>
      <c r="U1848" s="184"/>
      <c r="V1848" s="184"/>
      <c r="W1848" s="184"/>
      <c r="X1848" s="184"/>
    </row>
    <row r="1849">
      <c r="A1849" s="198"/>
      <c r="D1849" s="198" t="str">
        <f>IFERROR(__xludf.DUMMYFUNCTION("""COMPUTED_VALUE"""),"FALSE")</f>
        <v>FALSE</v>
      </c>
      <c r="E1849" s="198" t="str">
        <f>IFERROR(__xludf.DUMMYFUNCTION("""COMPUTED_VALUE"""),"FALSE")</f>
        <v>FALSE</v>
      </c>
      <c r="F1849" s="198"/>
      <c r="J1849" s="184" t="str">
        <f>IFERROR(__xludf.DUMMYFUNCTION("""COMPUTED_VALUE"""),"")</f>
        <v/>
      </c>
      <c r="K1849" s="184"/>
      <c r="L1849" s="184"/>
      <c r="M1849" s="184"/>
      <c r="N1849" s="184"/>
      <c r="O1849" s="184"/>
      <c r="P1849" s="184"/>
      <c r="Q1849" s="184"/>
      <c r="R1849" s="184"/>
      <c r="S1849" s="184"/>
      <c r="T1849" s="184"/>
      <c r="U1849" s="184"/>
      <c r="V1849" s="184"/>
      <c r="W1849" s="184"/>
      <c r="X1849" s="184"/>
    </row>
    <row r="1850">
      <c r="A1850" s="198"/>
      <c r="D1850" s="198" t="str">
        <f>IFERROR(__xludf.DUMMYFUNCTION("""COMPUTED_VALUE"""),"FALSE")</f>
        <v>FALSE</v>
      </c>
      <c r="E1850" s="198" t="str">
        <f>IFERROR(__xludf.DUMMYFUNCTION("""COMPUTED_VALUE"""),"FALSE")</f>
        <v>FALSE</v>
      </c>
      <c r="F1850" s="198"/>
      <c r="J1850" s="184" t="str">
        <f>IFERROR(__xludf.DUMMYFUNCTION("""COMPUTED_VALUE"""),"")</f>
        <v/>
      </c>
      <c r="K1850" s="184"/>
      <c r="L1850" s="184"/>
      <c r="M1850" s="184"/>
      <c r="N1850" s="184"/>
      <c r="O1850" s="184"/>
      <c r="P1850" s="184"/>
      <c r="Q1850" s="184"/>
      <c r="R1850" s="184"/>
      <c r="S1850" s="184"/>
      <c r="T1850" s="184"/>
      <c r="U1850" s="184"/>
      <c r="V1850" s="184"/>
      <c r="W1850" s="184"/>
      <c r="X1850" s="184"/>
    </row>
    <row r="1851">
      <c r="A1851" s="198"/>
      <c r="D1851" s="198" t="str">
        <f>IFERROR(__xludf.DUMMYFUNCTION("""COMPUTED_VALUE"""),"FALSE")</f>
        <v>FALSE</v>
      </c>
      <c r="E1851" s="198" t="str">
        <f>IFERROR(__xludf.DUMMYFUNCTION("""COMPUTED_VALUE"""),"FALSE")</f>
        <v>FALSE</v>
      </c>
      <c r="F1851" s="198"/>
      <c r="J1851" s="184" t="str">
        <f>IFERROR(__xludf.DUMMYFUNCTION("""COMPUTED_VALUE"""),"")</f>
        <v/>
      </c>
      <c r="K1851" s="184"/>
      <c r="L1851" s="184"/>
      <c r="M1851" s="184"/>
      <c r="N1851" s="184"/>
      <c r="O1851" s="184"/>
      <c r="P1851" s="184"/>
      <c r="Q1851" s="184"/>
      <c r="R1851" s="184"/>
      <c r="S1851" s="184"/>
      <c r="T1851" s="184"/>
      <c r="U1851" s="184"/>
      <c r="V1851" s="184"/>
      <c r="W1851" s="184"/>
      <c r="X1851" s="184"/>
    </row>
    <row r="1852">
      <c r="A1852" s="198"/>
      <c r="D1852" s="198" t="str">
        <f>IFERROR(__xludf.DUMMYFUNCTION("""COMPUTED_VALUE"""),"FALSE")</f>
        <v>FALSE</v>
      </c>
      <c r="E1852" s="198" t="str">
        <f>IFERROR(__xludf.DUMMYFUNCTION("""COMPUTED_VALUE"""),"FALSE")</f>
        <v>FALSE</v>
      </c>
      <c r="F1852" s="198"/>
      <c r="J1852" s="184" t="str">
        <f>IFERROR(__xludf.DUMMYFUNCTION("""COMPUTED_VALUE"""),"")</f>
        <v/>
      </c>
      <c r="K1852" s="184"/>
      <c r="L1852" s="184"/>
      <c r="M1852" s="184"/>
      <c r="N1852" s="184"/>
      <c r="O1852" s="184"/>
      <c r="P1852" s="184"/>
      <c r="Q1852" s="184"/>
      <c r="R1852" s="184"/>
      <c r="S1852" s="184"/>
      <c r="T1852" s="184"/>
      <c r="U1852" s="184"/>
      <c r="V1852" s="184"/>
      <c r="W1852" s="184"/>
      <c r="X1852" s="184"/>
    </row>
    <row r="1853">
      <c r="A1853" s="198"/>
      <c r="D1853" s="198" t="str">
        <f>IFERROR(__xludf.DUMMYFUNCTION("""COMPUTED_VALUE"""),"FALSE")</f>
        <v>FALSE</v>
      </c>
      <c r="E1853" s="198" t="str">
        <f>IFERROR(__xludf.DUMMYFUNCTION("""COMPUTED_VALUE"""),"FALSE")</f>
        <v>FALSE</v>
      </c>
      <c r="F1853" s="198"/>
      <c r="J1853" s="184" t="str">
        <f>IFERROR(__xludf.DUMMYFUNCTION("""COMPUTED_VALUE"""),"")</f>
        <v/>
      </c>
      <c r="K1853" s="184"/>
      <c r="L1853" s="184"/>
      <c r="M1853" s="184"/>
      <c r="N1853" s="184"/>
      <c r="O1853" s="184"/>
      <c r="P1853" s="184"/>
      <c r="Q1853" s="184"/>
      <c r="R1853" s="184"/>
      <c r="S1853" s="184"/>
      <c r="T1853" s="184"/>
      <c r="U1853" s="184"/>
      <c r="V1853" s="184"/>
      <c r="W1853" s="184"/>
      <c r="X1853" s="184"/>
    </row>
    <row r="1854">
      <c r="A1854" s="198"/>
      <c r="D1854" s="198" t="str">
        <f>IFERROR(__xludf.DUMMYFUNCTION("""COMPUTED_VALUE"""),"FALSE")</f>
        <v>FALSE</v>
      </c>
      <c r="E1854" s="198" t="str">
        <f>IFERROR(__xludf.DUMMYFUNCTION("""COMPUTED_VALUE"""),"FALSE")</f>
        <v>FALSE</v>
      </c>
      <c r="F1854" s="198"/>
      <c r="J1854" s="184" t="str">
        <f>IFERROR(__xludf.DUMMYFUNCTION("""COMPUTED_VALUE"""),"")</f>
        <v/>
      </c>
      <c r="K1854" s="184"/>
      <c r="L1854" s="184"/>
      <c r="M1854" s="184"/>
      <c r="N1854" s="184"/>
      <c r="O1854" s="184"/>
      <c r="P1854" s="184"/>
      <c r="Q1854" s="184"/>
      <c r="R1854" s="184"/>
      <c r="S1854" s="184"/>
      <c r="T1854" s="184"/>
      <c r="U1854" s="184"/>
      <c r="V1854" s="184"/>
      <c r="W1854" s="184"/>
      <c r="X1854" s="184"/>
    </row>
    <row r="1855">
      <c r="A1855" s="198"/>
      <c r="D1855" s="198" t="str">
        <f>IFERROR(__xludf.DUMMYFUNCTION("""COMPUTED_VALUE"""),"FALSE")</f>
        <v>FALSE</v>
      </c>
      <c r="E1855" s="198" t="str">
        <f>IFERROR(__xludf.DUMMYFUNCTION("""COMPUTED_VALUE"""),"FALSE")</f>
        <v>FALSE</v>
      </c>
      <c r="F1855" s="198"/>
      <c r="J1855" s="184" t="str">
        <f>IFERROR(__xludf.DUMMYFUNCTION("""COMPUTED_VALUE"""),"")</f>
        <v/>
      </c>
      <c r="K1855" s="184"/>
      <c r="L1855" s="184"/>
      <c r="M1855" s="184"/>
      <c r="N1855" s="184"/>
      <c r="O1855" s="184"/>
      <c r="P1855" s="184"/>
      <c r="Q1855" s="184"/>
      <c r="R1855" s="184"/>
      <c r="S1855" s="184"/>
      <c r="T1855" s="184"/>
      <c r="U1855" s="184"/>
      <c r="V1855" s="184"/>
      <c r="W1855" s="184"/>
      <c r="X1855" s="184"/>
    </row>
    <row r="1856">
      <c r="A1856" s="198"/>
      <c r="D1856" s="198" t="str">
        <f>IFERROR(__xludf.DUMMYFUNCTION("""COMPUTED_VALUE"""),"FALSE")</f>
        <v>FALSE</v>
      </c>
      <c r="E1856" s="198" t="str">
        <f>IFERROR(__xludf.DUMMYFUNCTION("""COMPUTED_VALUE"""),"FALSE")</f>
        <v>FALSE</v>
      </c>
      <c r="F1856" s="198"/>
      <c r="J1856" s="184" t="str">
        <f>IFERROR(__xludf.DUMMYFUNCTION("""COMPUTED_VALUE"""),"")</f>
        <v/>
      </c>
      <c r="K1856" s="184"/>
      <c r="L1856" s="184"/>
      <c r="M1856" s="184"/>
      <c r="N1856" s="184"/>
      <c r="O1856" s="184"/>
      <c r="P1856" s="184"/>
      <c r="Q1856" s="184"/>
      <c r="R1856" s="184"/>
      <c r="S1856" s="184"/>
      <c r="T1856" s="184"/>
      <c r="U1856" s="184"/>
      <c r="V1856" s="184"/>
      <c r="W1856" s="184"/>
      <c r="X1856" s="184"/>
    </row>
    <row r="1857">
      <c r="A1857" s="198"/>
      <c r="D1857" s="198" t="str">
        <f>IFERROR(__xludf.DUMMYFUNCTION("""COMPUTED_VALUE"""),"FALSE")</f>
        <v>FALSE</v>
      </c>
      <c r="E1857" s="198" t="str">
        <f>IFERROR(__xludf.DUMMYFUNCTION("""COMPUTED_VALUE"""),"FALSE")</f>
        <v>FALSE</v>
      </c>
      <c r="F1857" s="198"/>
      <c r="J1857" s="184" t="str">
        <f>IFERROR(__xludf.DUMMYFUNCTION("""COMPUTED_VALUE"""),"")</f>
        <v/>
      </c>
      <c r="K1857" s="184"/>
      <c r="L1857" s="184"/>
      <c r="M1857" s="184"/>
      <c r="N1857" s="184"/>
      <c r="O1857" s="184"/>
      <c r="P1857" s="184"/>
      <c r="Q1857" s="184"/>
      <c r="R1857" s="184"/>
      <c r="S1857" s="184"/>
      <c r="T1857" s="184"/>
      <c r="U1857" s="184"/>
      <c r="V1857" s="184"/>
      <c r="W1857" s="184"/>
      <c r="X1857" s="184"/>
    </row>
    <row r="1858">
      <c r="A1858" s="198"/>
      <c r="D1858" s="198" t="str">
        <f>IFERROR(__xludf.DUMMYFUNCTION("""COMPUTED_VALUE"""),"FALSE")</f>
        <v>FALSE</v>
      </c>
      <c r="E1858" s="198" t="str">
        <f>IFERROR(__xludf.DUMMYFUNCTION("""COMPUTED_VALUE"""),"FALSE")</f>
        <v>FALSE</v>
      </c>
      <c r="F1858" s="198"/>
      <c r="J1858" s="184" t="str">
        <f>IFERROR(__xludf.DUMMYFUNCTION("""COMPUTED_VALUE"""),"")</f>
        <v/>
      </c>
      <c r="K1858" s="184"/>
      <c r="L1858" s="184"/>
      <c r="M1858" s="184"/>
      <c r="N1858" s="184"/>
      <c r="O1858" s="184"/>
      <c r="P1858" s="184"/>
      <c r="Q1858" s="184"/>
      <c r="R1858" s="184"/>
      <c r="S1858" s="184"/>
      <c r="T1858" s="184"/>
      <c r="U1858" s="184"/>
      <c r="V1858" s="184"/>
      <c r="W1858" s="184"/>
      <c r="X1858" s="184"/>
    </row>
    <row r="1859">
      <c r="A1859" s="198"/>
      <c r="D1859" s="198" t="str">
        <f>IFERROR(__xludf.DUMMYFUNCTION("""COMPUTED_VALUE"""),"FALSE")</f>
        <v>FALSE</v>
      </c>
      <c r="E1859" s="198" t="str">
        <f>IFERROR(__xludf.DUMMYFUNCTION("""COMPUTED_VALUE"""),"FALSE")</f>
        <v>FALSE</v>
      </c>
      <c r="F1859" s="198"/>
      <c r="J1859" s="184" t="str">
        <f>IFERROR(__xludf.DUMMYFUNCTION("""COMPUTED_VALUE"""),"")</f>
        <v/>
      </c>
      <c r="K1859" s="184"/>
      <c r="L1859" s="184"/>
      <c r="M1859" s="184"/>
      <c r="N1859" s="184"/>
      <c r="O1859" s="184"/>
      <c r="P1859" s="184"/>
      <c r="Q1859" s="184"/>
      <c r="R1859" s="184"/>
      <c r="S1859" s="184"/>
      <c r="T1859" s="184"/>
      <c r="U1859" s="184"/>
      <c r="V1859" s="184"/>
      <c r="W1859" s="184"/>
      <c r="X1859" s="184"/>
    </row>
    <row r="1860">
      <c r="A1860" s="198"/>
      <c r="D1860" s="198" t="str">
        <f>IFERROR(__xludf.DUMMYFUNCTION("""COMPUTED_VALUE"""),"FALSE")</f>
        <v>FALSE</v>
      </c>
      <c r="E1860" s="198" t="str">
        <f>IFERROR(__xludf.DUMMYFUNCTION("""COMPUTED_VALUE"""),"FALSE")</f>
        <v>FALSE</v>
      </c>
      <c r="F1860" s="198"/>
      <c r="J1860" s="184" t="str">
        <f>IFERROR(__xludf.DUMMYFUNCTION("""COMPUTED_VALUE"""),"")</f>
        <v/>
      </c>
      <c r="K1860" s="184"/>
      <c r="L1860" s="184"/>
      <c r="M1860" s="184"/>
      <c r="N1860" s="184"/>
      <c r="O1860" s="184"/>
      <c r="P1860" s="184"/>
      <c r="Q1860" s="184"/>
      <c r="R1860" s="184"/>
      <c r="S1860" s="184"/>
      <c r="T1860" s="184"/>
      <c r="U1860" s="184"/>
      <c r="V1860" s="184"/>
      <c r="W1860" s="184"/>
      <c r="X1860" s="184"/>
    </row>
    <row r="1861">
      <c r="A1861" s="198"/>
      <c r="D1861" s="198" t="str">
        <f>IFERROR(__xludf.DUMMYFUNCTION("""COMPUTED_VALUE"""),"FALSE")</f>
        <v>FALSE</v>
      </c>
      <c r="E1861" s="198" t="str">
        <f>IFERROR(__xludf.DUMMYFUNCTION("""COMPUTED_VALUE"""),"FALSE")</f>
        <v>FALSE</v>
      </c>
      <c r="F1861" s="198"/>
      <c r="J1861" s="184" t="str">
        <f>IFERROR(__xludf.DUMMYFUNCTION("""COMPUTED_VALUE"""),"")</f>
        <v/>
      </c>
      <c r="K1861" s="184"/>
      <c r="L1861" s="184"/>
      <c r="M1861" s="184"/>
      <c r="N1861" s="184"/>
      <c r="O1861" s="184"/>
      <c r="P1861" s="184"/>
      <c r="Q1861" s="184"/>
      <c r="R1861" s="184"/>
      <c r="S1861" s="184"/>
      <c r="T1861" s="184"/>
      <c r="U1861" s="184"/>
      <c r="V1861" s="184"/>
      <c r="W1861" s="184"/>
      <c r="X1861" s="184"/>
    </row>
    <row r="1862">
      <c r="A1862" s="198"/>
      <c r="D1862" s="198" t="str">
        <f>IFERROR(__xludf.DUMMYFUNCTION("""COMPUTED_VALUE"""),"FALSE")</f>
        <v>FALSE</v>
      </c>
      <c r="E1862" s="198" t="str">
        <f>IFERROR(__xludf.DUMMYFUNCTION("""COMPUTED_VALUE"""),"FALSE")</f>
        <v>FALSE</v>
      </c>
      <c r="F1862" s="198"/>
      <c r="J1862" s="184" t="str">
        <f>IFERROR(__xludf.DUMMYFUNCTION("""COMPUTED_VALUE"""),"")</f>
        <v/>
      </c>
      <c r="K1862" s="184"/>
      <c r="L1862" s="184"/>
      <c r="M1862" s="184"/>
      <c r="N1862" s="184"/>
      <c r="O1862" s="184"/>
      <c r="P1862" s="184"/>
      <c r="Q1862" s="184"/>
      <c r="R1862" s="184"/>
      <c r="S1862" s="184"/>
      <c r="T1862" s="184"/>
      <c r="U1862" s="184"/>
      <c r="V1862" s="184"/>
      <c r="W1862" s="184"/>
      <c r="X1862" s="184"/>
    </row>
    <row r="1863">
      <c r="A1863" s="198"/>
      <c r="D1863" s="198" t="str">
        <f>IFERROR(__xludf.DUMMYFUNCTION("""COMPUTED_VALUE"""),"FALSE")</f>
        <v>FALSE</v>
      </c>
      <c r="E1863" s="198" t="str">
        <f>IFERROR(__xludf.DUMMYFUNCTION("""COMPUTED_VALUE"""),"FALSE")</f>
        <v>FALSE</v>
      </c>
      <c r="F1863" s="198"/>
      <c r="J1863" s="184" t="str">
        <f>IFERROR(__xludf.DUMMYFUNCTION("""COMPUTED_VALUE"""),"")</f>
        <v/>
      </c>
      <c r="K1863" s="184"/>
      <c r="L1863" s="184"/>
      <c r="M1863" s="184"/>
      <c r="N1863" s="184"/>
      <c r="O1863" s="184"/>
      <c r="P1863" s="184"/>
      <c r="Q1863" s="184"/>
      <c r="R1863" s="184"/>
      <c r="S1863" s="184"/>
      <c r="T1863" s="184"/>
      <c r="U1863" s="184"/>
      <c r="V1863" s="184"/>
      <c r="W1863" s="184"/>
      <c r="X1863" s="184"/>
    </row>
    <row r="1864">
      <c r="A1864" s="198"/>
      <c r="D1864" s="198" t="str">
        <f>IFERROR(__xludf.DUMMYFUNCTION("""COMPUTED_VALUE"""),"FALSE")</f>
        <v>FALSE</v>
      </c>
      <c r="E1864" s="198" t="str">
        <f>IFERROR(__xludf.DUMMYFUNCTION("""COMPUTED_VALUE"""),"FALSE")</f>
        <v>FALSE</v>
      </c>
      <c r="F1864" s="198"/>
      <c r="J1864" s="184" t="str">
        <f>IFERROR(__xludf.DUMMYFUNCTION("""COMPUTED_VALUE"""),"")</f>
        <v/>
      </c>
      <c r="K1864" s="184"/>
      <c r="L1864" s="184"/>
      <c r="M1864" s="184"/>
      <c r="N1864" s="184"/>
      <c r="O1864" s="184"/>
      <c r="P1864" s="184"/>
      <c r="Q1864" s="184"/>
      <c r="R1864" s="184"/>
      <c r="S1864" s="184"/>
      <c r="T1864" s="184"/>
      <c r="U1864" s="184"/>
      <c r="V1864" s="184"/>
      <c r="W1864" s="184"/>
      <c r="X1864" s="184"/>
    </row>
    <row r="1865">
      <c r="A1865" s="198"/>
      <c r="D1865" s="198" t="str">
        <f>IFERROR(__xludf.DUMMYFUNCTION("""COMPUTED_VALUE"""),"FALSE")</f>
        <v>FALSE</v>
      </c>
      <c r="E1865" s="198" t="str">
        <f>IFERROR(__xludf.DUMMYFUNCTION("""COMPUTED_VALUE"""),"FALSE")</f>
        <v>FALSE</v>
      </c>
      <c r="F1865" s="198"/>
      <c r="J1865" s="184" t="str">
        <f>IFERROR(__xludf.DUMMYFUNCTION("""COMPUTED_VALUE"""),"")</f>
        <v/>
      </c>
      <c r="K1865" s="184"/>
      <c r="L1865" s="184"/>
      <c r="M1865" s="184"/>
      <c r="N1865" s="184"/>
      <c r="O1865" s="184"/>
      <c r="P1865" s="184"/>
      <c r="Q1865" s="184"/>
      <c r="R1865" s="184"/>
      <c r="S1865" s="184"/>
      <c r="T1865" s="184"/>
      <c r="U1865" s="184"/>
      <c r="V1865" s="184"/>
      <c r="W1865" s="184"/>
      <c r="X1865" s="184"/>
    </row>
    <row r="1866">
      <c r="A1866" s="198"/>
      <c r="D1866" s="198" t="str">
        <f>IFERROR(__xludf.DUMMYFUNCTION("""COMPUTED_VALUE"""),"FALSE")</f>
        <v>FALSE</v>
      </c>
      <c r="E1866" s="198" t="str">
        <f>IFERROR(__xludf.DUMMYFUNCTION("""COMPUTED_VALUE"""),"FALSE")</f>
        <v>FALSE</v>
      </c>
      <c r="F1866" s="198"/>
      <c r="J1866" s="184" t="str">
        <f>IFERROR(__xludf.DUMMYFUNCTION("""COMPUTED_VALUE"""),"")</f>
        <v/>
      </c>
      <c r="K1866" s="184"/>
      <c r="L1866" s="184"/>
      <c r="M1866" s="184"/>
      <c r="N1866" s="184"/>
      <c r="O1866" s="184"/>
      <c r="P1866" s="184"/>
      <c r="Q1866" s="184"/>
      <c r="R1866" s="184"/>
      <c r="S1866" s="184"/>
      <c r="T1866" s="184"/>
      <c r="U1866" s="184"/>
      <c r="V1866" s="184"/>
      <c r="W1866" s="184"/>
      <c r="X1866" s="184"/>
    </row>
    <row r="1867">
      <c r="A1867" s="198"/>
      <c r="D1867" s="198" t="str">
        <f>IFERROR(__xludf.DUMMYFUNCTION("""COMPUTED_VALUE"""),"FALSE")</f>
        <v>FALSE</v>
      </c>
      <c r="E1867" s="198" t="str">
        <f>IFERROR(__xludf.DUMMYFUNCTION("""COMPUTED_VALUE"""),"FALSE")</f>
        <v>FALSE</v>
      </c>
      <c r="F1867" s="198"/>
      <c r="J1867" s="184" t="str">
        <f>IFERROR(__xludf.DUMMYFUNCTION("""COMPUTED_VALUE"""),"")</f>
        <v/>
      </c>
      <c r="K1867" s="184"/>
      <c r="L1867" s="184"/>
      <c r="M1867" s="184"/>
      <c r="N1867" s="184"/>
      <c r="O1867" s="184"/>
      <c r="P1867" s="184"/>
      <c r="Q1867" s="184"/>
      <c r="R1867" s="184"/>
      <c r="S1867" s="184"/>
      <c r="T1867" s="184"/>
      <c r="U1867" s="184"/>
      <c r="V1867" s="184"/>
      <c r="W1867" s="184"/>
      <c r="X1867" s="184"/>
    </row>
    <row r="1868">
      <c r="A1868" s="198"/>
      <c r="D1868" s="198" t="str">
        <f>IFERROR(__xludf.DUMMYFUNCTION("""COMPUTED_VALUE"""),"FALSE")</f>
        <v>FALSE</v>
      </c>
      <c r="E1868" s="198" t="str">
        <f>IFERROR(__xludf.DUMMYFUNCTION("""COMPUTED_VALUE"""),"FALSE")</f>
        <v>FALSE</v>
      </c>
      <c r="F1868" s="198"/>
      <c r="J1868" s="184" t="str">
        <f>IFERROR(__xludf.DUMMYFUNCTION("""COMPUTED_VALUE"""),"")</f>
        <v/>
      </c>
      <c r="K1868" s="184"/>
      <c r="L1868" s="184"/>
      <c r="M1868" s="184"/>
      <c r="N1868" s="184"/>
      <c r="O1868" s="184"/>
      <c r="P1868" s="184"/>
      <c r="Q1868" s="184"/>
      <c r="R1868" s="184"/>
      <c r="S1868" s="184"/>
      <c r="T1868" s="184"/>
      <c r="U1868" s="184"/>
      <c r="V1868" s="184"/>
      <c r="W1868" s="184"/>
      <c r="X1868" s="184"/>
    </row>
    <row r="1869">
      <c r="A1869" s="198"/>
      <c r="D1869" s="198" t="str">
        <f>IFERROR(__xludf.DUMMYFUNCTION("""COMPUTED_VALUE"""),"FALSE")</f>
        <v>FALSE</v>
      </c>
      <c r="E1869" s="198" t="str">
        <f>IFERROR(__xludf.DUMMYFUNCTION("""COMPUTED_VALUE"""),"FALSE")</f>
        <v>FALSE</v>
      </c>
      <c r="F1869" s="198"/>
      <c r="J1869" s="184" t="str">
        <f>IFERROR(__xludf.DUMMYFUNCTION("""COMPUTED_VALUE"""),"")</f>
        <v/>
      </c>
      <c r="K1869" s="184"/>
      <c r="L1869" s="184"/>
      <c r="M1869" s="184"/>
      <c r="N1869" s="184"/>
      <c r="O1869" s="184"/>
      <c r="P1869" s="184"/>
      <c r="Q1869" s="184"/>
      <c r="R1869" s="184"/>
      <c r="S1869" s="184"/>
      <c r="T1869" s="184"/>
      <c r="U1869" s="184"/>
      <c r="V1869" s="184"/>
      <c r="W1869" s="184"/>
      <c r="X1869" s="184"/>
    </row>
    <row r="1870">
      <c r="A1870" s="198"/>
      <c r="D1870" s="198" t="str">
        <f>IFERROR(__xludf.DUMMYFUNCTION("""COMPUTED_VALUE"""),"FALSE")</f>
        <v>FALSE</v>
      </c>
      <c r="E1870" s="198" t="str">
        <f>IFERROR(__xludf.DUMMYFUNCTION("""COMPUTED_VALUE"""),"FALSE")</f>
        <v>FALSE</v>
      </c>
      <c r="F1870" s="198"/>
      <c r="J1870" s="184" t="str">
        <f>IFERROR(__xludf.DUMMYFUNCTION("""COMPUTED_VALUE"""),"")</f>
        <v/>
      </c>
      <c r="K1870" s="184"/>
      <c r="L1870" s="184"/>
      <c r="M1870" s="184"/>
      <c r="N1870" s="184"/>
      <c r="O1870" s="184"/>
      <c r="P1870" s="184"/>
      <c r="Q1870" s="184"/>
      <c r="R1870" s="184"/>
      <c r="S1870" s="184"/>
      <c r="T1870" s="184"/>
      <c r="U1870" s="184"/>
      <c r="V1870" s="184"/>
      <c r="W1870" s="184"/>
      <c r="X1870" s="184"/>
    </row>
    <row r="1871">
      <c r="A1871" s="198"/>
      <c r="D1871" s="198" t="str">
        <f>IFERROR(__xludf.DUMMYFUNCTION("""COMPUTED_VALUE"""),"FALSE")</f>
        <v>FALSE</v>
      </c>
      <c r="E1871" s="198" t="str">
        <f>IFERROR(__xludf.DUMMYFUNCTION("""COMPUTED_VALUE"""),"FALSE")</f>
        <v>FALSE</v>
      </c>
      <c r="F1871" s="198"/>
      <c r="J1871" s="184" t="str">
        <f>IFERROR(__xludf.DUMMYFUNCTION("""COMPUTED_VALUE"""),"")</f>
        <v/>
      </c>
      <c r="K1871" s="184"/>
      <c r="L1871" s="184"/>
      <c r="M1871" s="184"/>
      <c r="N1871" s="184"/>
      <c r="O1871" s="184"/>
      <c r="P1871" s="184"/>
      <c r="Q1871" s="184"/>
      <c r="R1871" s="184"/>
      <c r="S1871" s="184"/>
      <c r="T1871" s="184"/>
      <c r="U1871" s="184"/>
      <c r="V1871" s="184"/>
      <c r="W1871" s="184"/>
      <c r="X1871" s="184"/>
    </row>
    <row r="1872">
      <c r="A1872" s="198"/>
      <c r="D1872" s="198" t="str">
        <f>IFERROR(__xludf.DUMMYFUNCTION("""COMPUTED_VALUE"""),"FALSE")</f>
        <v>FALSE</v>
      </c>
      <c r="E1872" s="198" t="str">
        <f>IFERROR(__xludf.DUMMYFUNCTION("""COMPUTED_VALUE"""),"FALSE")</f>
        <v>FALSE</v>
      </c>
      <c r="F1872" s="198"/>
      <c r="J1872" s="184" t="str">
        <f>IFERROR(__xludf.DUMMYFUNCTION("""COMPUTED_VALUE"""),"")</f>
        <v/>
      </c>
      <c r="K1872" s="184"/>
      <c r="L1872" s="184"/>
      <c r="M1872" s="184"/>
      <c r="N1872" s="184"/>
      <c r="O1872" s="184"/>
      <c r="P1872" s="184"/>
      <c r="Q1872" s="184"/>
      <c r="R1872" s="184"/>
      <c r="S1872" s="184"/>
      <c r="T1872" s="184"/>
      <c r="U1872" s="184"/>
      <c r="V1872" s="184"/>
      <c r="W1872" s="184"/>
      <c r="X1872" s="184"/>
    </row>
    <row r="1873">
      <c r="A1873" s="198"/>
      <c r="D1873" s="198" t="str">
        <f>IFERROR(__xludf.DUMMYFUNCTION("""COMPUTED_VALUE"""),"FALSE")</f>
        <v>FALSE</v>
      </c>
      <c r="E1873" s="198" t="str">
        <f>IFERROR(__xludf.DUMMYFUNCTION("""COMPUTED_VALUE"""),"FALSE")</f>
        <v>FALSE</v>
      </c>
      <c r="F1873" s="198"/>
      <c r="J1873" s="184" t="str">
        <f>IFERROR(__xludf.DUMMYFUNCTION("""COMPUTED_VALUE"""),"")</f>
        <v/>
      </c>
      <c r="K1873" s="184"/>
      <c r="L1873" s="184"/>
      <c r="M1873" s="184"/>
      <c r="N1873" s="184"/>
      <c r="O1873" s="184"/>
      <c r="P1873" s="184"/>
      <c r="Q1873" s="184"/>
      <c r="R1873" s="184"/>
      <c r="S1873" s="184"/>
      <c r="T1873" s="184"/>
      <c r="U1873" s="184"/>
      <c r="V1873" s="184"/>
      <c r="W1873" s="184"/>
      <c r="X1873" s="184"/>
    </row>
    <row r="1874">
      <c r="A1874" s="198"/>
      <c r="D1874" s="198" t="str">
        <f>IFERROR(__xludf.DUMMYFUNCTION("""COMPUTED_VALUE"""),"FALSE")</f>
        <v>FALSE</v>
      </c>
      <c r="E1874" s="198" t="str">
        <f>IFERROR(__xludf.DUMMYFUNCTION("""COMPUTED_VALUE"""),"FALSE")</f>
        <v>FALSE</v>
      </c>
      <c r="F1874" s="198"/>
      <c r="J1874" s="184" t="str">
        <f>IFERROR(__xludf.DUMMYFUNCTION("""COMPUTED_VALUE"""),"")</f>
        <v/>
      </c>
      <c r="K1874" s="184"/>
      <c r="L1874" s="184"/>
      <c r="M1874" s="184"/>
      <c r="N1874" s="184"/>
      <c r="O1874" s="184"/>
      <c r="P1874" s="184"/>
      <c r="Q1874" s="184"/>
      <c r="R1874" s="184"/>
      <c r="S1874" s="184"/>
      <c r="T1874" s="184"/>
      <c r="U1874" s="184"/>
      <c r="V1874" s="184"/>
      <c r="W1874" s="184"/>
      <c r="X1874" s="184"/>
    </row>
    <row r="1875">
      <c r="A1875" s="198"/>
      <c r="D1875" s="198" t="str">
        <f>IFERROR(__xludf.DUMMYFUNCTION("""COMPUTED_VALUE"""),"FALSE")</f>
        <v>FALSE</v>
      </c>
      <c r="E1875" s="198" t="str">
        <f>IFERROR(__xludf.DUMMYFUNCTION("""COMPUTED_VALUE"""),"FALSE")</f>
        <v>FALSE</v>
      </c>
      <c r="F1875" s="198"/>
      <c r="J1875" s="184" t="str">
        <f>IFERROR(__xludf.DUMMYFUNCTION("""COMPUTED_VALUE"""),"")</f>
        <v/>
      </c>
      <c r="K1875" s="184"/>
      <c r="L1875" s="184"/>
      <c r="M1875" s="184"/>
      <c r="N1875" s="184"/>
      <c r="O1875" s="184"/>
      <c r="P1875" s="184"/>
      <c r="Q1875" s="184"/>
      <c r="R1875" s="184"/>
      <c r="S1875" s="184"/>
      <c r="T1875" s="184"/>
      <c r="U1875" s="184"/>
      <c r="V1875" s="184"/>
      <c r="W1875" s="184"/>
      <c r="X1875" s="184"/>
    </row>
    <row r="1876">
      <c r="A1876" s="198"/>
      <c r="D1876" s="198" t="str">
        <f>IFERROR(__xludf.DUMMYFUNCTION("""COMPUTED_VALUE"""),"FALSE")</f>
        <v>FALSE</v>
      </c>
      <c r="E1876" s="198" t="str">
        <f>IFERROR(__xludf.DUMMYFUNCTION("""COMPUTED_VALUE"""),"FALSE")</f>
        <v>FALSE</v>
      </c>
      <c r="F1876" s="198"/>
      <c r="J1876" s="184" t="str">
        <f>IFERROR(__xludf.DUMMYFUNCTION("""COMPUTED_VALUE"""),"")</f>
        <v/>
      </c>
      <c r="K1876" s="184"/>
      <c r="L1876" s="184"/>
      <c r="M1876" s="184"/>
      <c r="N1876" s="184"/>
      <c r="O1876" s="184"/>
      <c r="P1876" s="184"/>
      <c r="Q1876" s="184"/>
      <c r="R1876" s="184"/>
      <c r="S1876" s="184"/>
      <c r="T1876" s="184"/>
      <c r="U1876" s="184"/>
      <c r="V1876" s="184"/>
      <c r="W1876" s="184"/>
      <c r="X1876" s="184"/>
    </row>
    <row r="1877">
      <c r="A1877" s="198"/>
      <c r="D1877" s="198" t="str">
        <f>IFERROR(__xludf.DUMMYFUNCTION("""COMPUTED_VALUE"""),"FALSE")</f>
        <v>FALSE</v>
      </c>
      <c r="E1877" s="198" t="str">
        <f>IFERROR(__xludf.DUMMYFUNCTION("""COMPUTED_VALUE"""),"FALSE")</f>
        <v>FALSE</v>
      </c>
      <c r="F1877" s="198"/>
      <c r="J1877" s="184" t="str">
        <f>IFERROR(__xludf.DUMMYFUNCTION("""COMPUTED_VALUE"""),"")</f>
        <v/>
      </c>
      <c r="K1877" s="184"/>
      <c r="L1877" s="184"/>
      <c r="M1877" s="184"/>
      <c r="N1877" s="184"/>
      <c r="O1877" s="184"/>
      <c r="P1877" s="184"/>
      <c r="Q1877" s="184"/>
      <c r="R1877" s="184"/>
      <c r="S1877" s="184"/>
      <c r="T1877" s="184"/>
      <c r="U1877" s="184"/>
      <c r="V1877" s="184"/>
      <c r="W1877" s="184"/>
      <c r="X1877" s="184"/>
    </row>
    <row r="1878">
      <c r="A1878" s="198"/>
      <c r="D1878" s="198" t="str">
        <f>IFERROR(__xludf.DUMMYFUNCTION("""COMPUTED_VALUE"""),"FALSE")</f>
        <v>FALSE</v>
      </c>
      <c r="E1878" s="198" t="str">
        <f>IFERROR(__xludf.DUMMYFUNCTION("""COMPUTED_VALUE"""),"FALSE")</f>
        <v>FALSE</v>
      </c>
      <c r="F1878" s="198"/>
      <c r="J1878" s="184" t="str">
        <f>IFERROR(__xludf.DUMMYFUNCTION("""COMPUTED_VALUE"""),"")</f>
        <v/>
      </c>
      <c r="K1878" s="184"/>
      <c r="L1878" s="184"/>
      <c r="M1878" s="184"/>
      <c r="N1878" s="184"/>
      <c r="O1878" s="184"/>
      <c r="P1878" s="184"/>
      <c r="Q1878" s="184"/>
      <c r="R1878" s="184"/>
      <c r="S1878" s="184"/>
      <c r="T1878" s="184"/>
      <c r="U1878" s="184"/>
      <c r="V1878" s="184"/>
      <c r="W1878" s="184"/>
      <c r="X1878" s="184"/>
    </row>
    <row r="1879">
      <c r="A1879" s="198"/>
      <c r="D1879" s="198" t="str">
        <f>IFERROR(__xludf.DUMMYFUNCTION("""COMPUTED_VALUE"""),"FALSE")</f>
        <v>FALSE</v>
      </c>
      <c r="E1879" s="198" t="str">
        <f>IFERROR(__xludf.DUMMYFUNCTION("""COMPUTED_VALUE"""),"FALSE")</f>
        <v>FALSE</v>
      </c>
      <c r="F1879" s="198"/>
      <c r="J1879" s="184" t="str">
        <f>IFERROR(__xludf.DUMMYFUNCTION("""COMPUTED_VALUE"""),"")</f>
        <v/>
      </c>
      <c r="K1879" s="184"/>
      <c r="L1879" s="184"/>
      <c r="M1879" s="184"/>
      <c r="N1879" s="184"/>
      <c r="O1879" s="184"/>
      <c r="P1879" s="184"/>
      <c r="Q1879" s="184"/>
      <c r="R1879" s="184"/>
      <c r="S1879" s="184"/>
      <c r="T1879" s="184"/>
      <c r="U1879" s="184"/>
      <c r="V1879" s="184"/>
      <c r="W1879" s="184"/>
      <c r="X1879" s="184"/>
    </row>
    <row r="1880">
      <c r="A1880" s="198"/>
      <c r="D1880" s="198" t="str">
        <f>IFERROR(__xludf.DUMMYFUNCTION("""COMPUTED_VALUE"""),"FALSE")</f>
        <v>FALSE</v>
      </c>
      <c r="E1880" s="198" t="str">
        <f>IFERROR(__xludf.DUMMYFUNCTION("""COMPUTED_VALUE"""),"FALSE")</f>
        <v>FALSE</v>
      </c>
      <c r="F1880" s="198"/>
      <c r="J1880" s="184" t="str">
        <f>IFERROR(__xludf.DUMMYFUNCTION("""COMPUTED_VALUE"""),"")</f>
        <v/>
      </c>
      <c r="K1880" s="184"/>
      <c r="L1880" s="184"/>
      <c r="M1880" s="184"/>
      <c r="N1880" s="184"/>
      <c r="O1880" s="184"/>
      <c r="P1880" s="184"/>
      <c r="Q1880" s="184"/>
      <c r="R1880" s="184"/>
      <c r="S1880" s="184"/>
      <c r="T1880" s="184"/>
      <c r="U1880" s="184"/>
      <c r="V1880" s="184"/>
      <c r="W1880" s="184"/>
      <c r="X1880" s="184"/>
    </row>
    <row r="1881">
      <c r="D1881" s="198" t="str">
        <f>IFERROR(__xludf.DUMMYFUNCTION("""COMPUTED_VALUE"""),"FALSE")</f>
        <v>FALSE</v>
      </c>
      <c r="E1881" s="198" t="str">
        <f>IFERROR(__xludf.DUMMYFUNCTION("""COMPUTED_VALUE"""),"FALSE")</f>
        <v>FALSE</v>
      </c>
      <c r="F1881" s="198"/>
      <c r="J1881" s="184" t="str">
        <f>IFERROR(__xludf.DUMMYFUNCTION("""COMPUTED_VALUE"""),"")</f>
        <v/>
      </c>
      <c r="K1881" s="184"/>
      <c r="L1881" s="184"/>
      <c r="M1881" s="184"/>
      <c r="N1881" s="184"/>
      <c r="O1881" s="184"/>
      <c r="P1881" s="184"/>
      <c r="Q1881" s="184"/>
      <c r="R1881" s="184"/>
      <c r="S1881" s="184"/>
      <c r="T1881" s="184"/>
      <c r="U1881" s="184"/>
      <c r="V1881" s="184"/>
      <c r="W1881" s="184"/>
      <c r="X1881" s="184"/>
    </row>
    <row r="1882">
      <c r="D1882" s="198" t="str">
        <f>IFERROR(__xludf.DUMMYFUNCTION("""COMPUTED_VALUE"""),"FALSE")</f>
        <v>FALSE</v>
      </c>
      <c r="E1882" s="198" t="str">
        <f>IFERROR(__xludf.DUMMYFUNCTION("""COMPUTED_VALUE"""),"FALSE")</f>
        <v>FALSE</v>
      </c>
      <c r="F1882" s="198"/>
      <c r="J1882" s="184" t="str">
        <f>IFERROR(__xludf.DUMMYFUNCTION("""COMPUTED_VALUE"""),"")</f>
        <v/>
      </c>
      <c r="K1882" s="184"/>
      <c r="L1882" s="184"/>
      <c r="M1882" s="184"/>
      <c r="N1882" s="184"/>
      <c r="O1882" s="184"/>
      <c r="P1882" s="184"/>
      <c r="Q1882" s="184"/>
      <c r="R1882" s="184"/>
      <c r="S1882" s="184"/>
      <c r="T1882" s="184"/>
      <c r="U1882" s="184"/>
      <c r="V1882" s="184"/>
      <c r="W1882" s="184"/>
      <c r="X1882" s="184"/>
    </row>
    <row r="1883">
      <c r="D1883" s="198" t="str">
        <f>IFERROR(__xludf.DUMMYFUNCTION("""COMPUTED_VALUE"""),"FALSE")</f>
        <v>FALSE</v>
      </c>
      <c r="E1883" s="198" t="str">
        <f>IFERROR(__xludf.DUMMYFUNCTION("""COMPUTED_VALUE"""),"FALSE")</f>
        <v>FALSE</v>
      </c>
      <c r="F1883" s="198"/>
      <c r="J1883" s="184" t="str">
        <f>IFERROR(__xludf.DUMMYFUNCTION("""COMPUTED_VALUE"""),"")</f>
        <v/>
      </c>
      <c r="K1883" s="184"/>
      <c r="L1883" s="184"/>
      <c r="M1883" s="184"/>
      <c r="N1883" s="184"/>
      <c r="O1883" s="184"/>
      <c r="P1883" s="184"/>
      <c r="Q1883" s="184"/>
      <c r="R1883" s="184"/>
      <c r="S1883" s="184"/>
      <c r="T1883" s="184"/>
      <c r="U1883" s="184"/>
      <c r="V1883" s="184"/>
      <c r="W1883" s="184"/>
      <c r="X1883" s="184"/>
    </row>
    <row r="1884">
      <c r="D1884" s="198" t="str">
        <f>IFERROR(__xludf.DUMMYFUNCTION("""COMPUTED_VALUE"""),"FALSE")</f>
        <v>FALSE</v>
      </c>
      <c r="E1884" s="198" t="str">
        <f>IFERROR(__xludf.DUMMYFUNCTION("""COMPUTED_VALUE"""),"FALSE")</f>
        <v>FALSE</v>
      </c>
      <c r="F1884" s="198"/>
      <c r="J1884" s="184" t="str">
        <f>IFERROR(__xludf.DUMMYFUNCTION("""COMPUTED_VALUE"""),"")</f>
        <v/>
      </c>
      <c r="K1884" s="184"/>
      <c r="L1884" s="184"/>
      <c r="M1884" s="184"/>
      <c r="N1884" s="184"/>
      <c r="O1884" s="184"/>
      <c r="P1884" s="184"/>
      <c r="Q1884" s="184"/>
      <c r="R1884" s="184"/>
      <c r="S1884" s="184"/>
      <c r="T1884" s="184"/>
      <c r="U1884" s="184"/>
      <c r="V1884" s="184"/>
      <c r="W1884" s="184"/>
      <c r="X1884" s="184"/>
    </row>
    <row r="1885">
      <c r="D1885" s="198" t="str">
        <f>IFERROR(__xludf.DUMMYFUNCTION("""COMPUTED_VALUE"""),"FALSE")</f>
        <v>FALSE</v>
      </c>
      <c r="E1885" s="198" t="str">
        <f>IFERROR(__xludf.DUMMYFUNCTION("""COMPUTED_VALUE"""),"FALSE")</f>
        <v>FALSE</v>
      </c>
      <c r="F1885" s="198"/>
      <c r="J1885" s="184" t="str">
        <f>IFERROR(__xludf.DUMMYFUNCTION("""COMPUTED_VALUE"""),"")</f>
        <v/>
      </c>
      <c r="K1885" s="184"/>
      <c r="L1885" s="184"/>
      <c r="M1885" s="184"/>
      <c r="N1885" s="184"/>
      <c r="O1885" s="184"/>
      <c r="P1885" s="184"/>
      <c r="Q1885" s="184"/>
      <c r="R1885" s="184"/>
      <c r="S1885" s="184"/>
      <c r="T1885" s="184"/>
      <c r="U1885" s="184"/>
      <c r="V1885" s="184"/>
      <c r="W1885" s="184"/>
      <c r="X1885" s="184"/>
    </row>
    <row r="1886">
      <c r="D1886" s="198" t="str">
        <f>IFERROR(__xludf.DUMMYFUNCTION("""COMPUTED_VALUE"""),"FALSE")</f>
        <v>FALSE</v>
      </c>
      <c r="E1886" s="198" t="str">
        <f>IFERROR(__xludf.DUMMYFUNCTION("""COMPUTED_VALUE"""),"FALSE")</f>
        <v>FALSE</v>
      </c>
      <c r="F1886" s="198"/>
      <c r="J1886" s="184" t="str">
        <f>IFERROR(__xludf.DUMMYFUNCTION("""COMPUTED_VALUE"""),"")</f>
        <v/>
      </c>
      <c r="K1886" s="184"/>
      <c r="L1886" s="184"/>
      <c r="M1886" s="184"/>
      <c r="N1886" s="184"/>
      <c r="O1886" s="184"/>
      <c r="P1886" s="184"/>
      <c r="Q1886" s="184"/>
      <c r="R1886" s="184"/>
      <c r="S1886" s="184"/>
      <c r="T1886" s="184"/>
      <c r="U1886" s="184"/>
      <c r="V1886" s="184"/>
      <c r="W1886" s="184"/>
      <c r="X1886" s="184"/>
    </row>
    <row r="1887">
      <c r="D1887" s="198" t="str">
        <f>IFERROR(__xludf.DUMMYFUNCTION("""COMPUTED_VALUE"""),"FALSE")</f>
        <v>FALSE</v>
      </c>
      <c r="E1887" s="198" t="str">
        <f>IFERROR(__xludf.DUMMYFUNCTION("""COMPUTED_VALUE"""),"FALSE")</f>
        <v>FALSE</v>
      </c>
      <c r="F1887" s="198"/>
      <c r="J1887" s="184" t="str">
        <f>IFERROR(__xludf.DUMMYFUNCTION("""COMPUTED_VALUE"""),"")</f>
        <v/>
      </c>
      <c r="K1887" s="184"/>
      <c r="L1887" s="184"/>
      <c r="M1887" s="184"/>
      <c r="N1887" s="184"/>
      <c r="O1887" s="184"/>
      <c r="P1887" s="184"/>
      <c r="Q1887" s="184"/>
      <c r="R1887" s="184"/>
      <c r="S1887" s="184"/>
      <c r="T1887" s="184"/>
      <c r="U1887" s="184"/>
      <c r="V1887" s="184"/>
      <c r="W1887" s="184"/>
      <c r="X1887" s="184"/>
    </row>
    <row r="1888">
      <c r="D1888" s="198" t="str">
        <f>IFERROR(__xludf.DUMMYFUNCTION("""COMPUTED_VALUE"""),"FALSE")</f>
        <v>FALSE</v>
      </c>
      <c r="E1888" s="198" t="str">
        <f>IFERROR(__xludf.DUMMYFUNCTION("""COMPUTED_VALUE"""),"FALSE")</f>
        <v>FALSE</v>
      </c>
      <c r="F1888" s="198"/>
      <c r="J1888" s="184" t="str">
        <f>IFERROR(__xludf.DUMMYFUNCTION("""COMPUTED_VALUE"""),"")</f>
        <v/>
      </c>
      <c r="K1888" s="184"/>
      <c r="L1888" s="184"/>
      <c r="M1888" s="184"/>
      <c r="N1888" s="184"/>
      <c r="O1888" s="184"/>
      <c r="P1888" s="184"/>
      <c r="Q1888" s="184"/>
      <c r="R1888" s="184"/>
      <c r="S1888" s="184"/>
      <c r="T1888" s="184"/>
      <c r="U1888" s="184"/>
      <c r="V1888" s="184"/>
      <c r="W1888" s="184"/>
      <c r="X1888" s="184"/>
    </row>
    <row r="1889">
      <c r="D1889" s="198" t="str">
        <f>IFERROR(__xludf.DUMMYFUNCTION("""COMPUTED_VALUE"""),"FALSE")</f>
        <v>FALSE</v>
      </c>
      <c r="E1889" s="198" t="str">
        <f>IFERROR(__xludf.DUMMYFUNCTION("""COMPUTED_VALUE"""),"FALSE")</f>
        <v>FALSE</v>
      </c>
      <c r="F1889" s="198"/>
      <c r="J1889" s="184" t="str">
        <f>IFERROR(__xludf.DUMMYFUNCTION("""COMPUTED_VALUE"""),"")</f>
        <v/>
      </c>
      <c r="K1889" s="184"/>
      <c r="L1889" s="184"/>
      <c r="M1889" s="184"/>
      <c r="N1889" s="184"/>
      <c r="O1889" s="184"/>
      <c r="P1889" s="184"/>
      <c r="Q1889" s="184"/>
      <c r="R1889" s="184"/>
      <c r="S1889" s="184"/>
      <c r="T1889" s="184"/>
      <c r="U1889" s="184"/>
      <c r="V1889" s="184"/>
      <c r="W1889" s="184"/>
      <c r="X1889" s="184"/>
    </row>
    <row r="1890">
      <c r="D1890" s="198" t="str">
        <f>IFERROR(__xludf.DUMMYFUNCTION("""COMPUTED_VALUE"""),"FALSE")</f>
        <v>FALSE</v>
      </c>
      <c r="E1890" s="198" t="str">
        <f>IFERROR(__xludf.DUMMYFUNCTION("""COMPUTED_VALUE"""),"FALSE")</f>
        <v>FALSE</v>
      </c>
      <c r="F1890" s="198"/>
      <c r="J1890" s="184" t="str">
        <f>IFERROR(__xludf.DUMMYFUNCTION("""COMPUTED_VALUE"""),"")</f>
        <v/>
      </c>
      <c r="K1890" s="184"/>
      <c r="L1890" s="184"/>
      <c r="M1890" s="184"/>
      <c r="N1890" s="184"/>
      <c r="O1890" s="184"/>
      <c r="P1890" s="184"/>
      <c r="Q1890" s="184"/>
      <c r="R1890" s="184"/>
      <c r="S1890" s="184"/>
      <c r="T1890" s="184"/>
      <c r="U1890" s="184"/>
      <c r="V1890" s="184"/>
      <c r="W1890" s="184"/>
      <c r="X1890" s="184"/>
    </row>
    <row r="1891">
      <c r="D1891" s="198" t="str">
        <f>IFERROR(__xludf.DUMMYFUNCTION("""COMPUTED_VALUE"""),"FALSE")</f>
        <v>FALSE</v>
      </c>
      <c r="E1891" s="198" t="str">
        <f>IFERROR(__xludf.DUMMYFUNCTION("""COMPUTED_VALUE"""),"FALSE")</f>
        <v>FALSE</v>
      </c>
      <c r="J1891" s="184" t="str">
        <f>IFERROR(__xludf.DUMMYFUNCTION("""COMPUTED_VALUE"""),"")</f>
        <v/>
      </c>
      <c r="K1891" s="184"/>
      <c r="L1891" s="184"/>
      <c r="M1891" s="184"/>
      <c r="N1891" s="184"/>
      <c r="O1891" s="184"/>
      <c r="P1891" s="184"/>
      <c r="Q1891" s="184"/>
      <c r="R1891" s="184"/>
      <c r="S1891" s="184"/>
      <c r="T1891" s="184"/>
      <c r="U1891" s="184"/>
      <c r="V1891" s="184"/>
      <c r="W1891" s="184"/>
      <c r="X1891" s="184"/>
    </row>
    <row r="1892">
      <c r="D1892" s="198" t="str">
        <f>IFERROR(__xludf.DUMMYFUNCTION("""COMPUTED_VALUE"""),"FALSE")</f>
        <v>FALSE</v>
      </c>
      <c r="E1892" s="198" t="str">
        <f>IFERROR(__xludf.DUMMYFUNCTION("""COMPUTED_VALUE"""),"FALSE")</f>
        <v>FALSE</v>
      </c>
      <c r="J1892" s="184" t="str">
        <f>IFERROR(__xludf.DUMMYFUNCTION("""COMPUTED_VALUE"""),"")</f>
        <v/>
      </c>
      <c r="K1892" s="184"/>
      <c r="L1892" s="184"/>
      <c r="M1892" s="184"/>
      <c r="N1892" s="184"/>
      <c r="O1892" s="184"/>
      <c r="P1892" s="184"/>
      <c r="Q1892" s="184"/>
      <c r="R1892" s="184"/>
      <c r="S1892" s="184"/>
      <c r="T1892" s="184"/>
      <c r="U1892" s="184"/>
      <c r="V1892" s="184"/>
      <c r="W1892" s="184"/>
      <c r="X1892" s="184"/>
    </row>
    <row r="1893">
      <c r="D1893" s="198" t="str">
        <f>IFERROR(__xludf.DUMMYFUNCTION("""COMPUTED_VALUE"""),"FALSE")</f>
        <v>FALSE</v>
      </c>
      <c r="E1893" s="198" t="str">
        <f>IFERROR(__xludf.DUMMYFUNCTION("""COMPUTED_VALUE"""),"FALSE")</f>
        <v>FALSE</v>
      </c>
      <c r="J1893" s="184" t="str">
        <f>IFERROR(__xludf.DUMMYFUNCTION("""COMPUTED_VALUE"""),"")</f>
        <v/>
      </c>
      <c r="K1893" s="184"/>
      <c r="L1893" s="184"/>
      <c r="M1893" s="184"/>
      <c r="N1893" s="184"/>
      <c r="O1893" s="184"/>
      <c r="P1893" s="184"/>
      <c r="Q1893" s="184"/>
      <c r="R1893" s="184"/>
      <c r="S1893" s="184"/>
      <c r="T1893" s="184"/>
      <c r="U1893" s="184"/>
      <c r="V1893" s="184"/>
      <c r="W1893" s="184"/>
      <c r="X1893" s="184"/>
    </row>
    <row r="1894">
      <c r="D1894" s="198" t="str">
        <f>IFERROR(__xludf.DUMMYFUNCTION("""COMPUTED_VALUE"""),"FALSE")</f>
        <v>FALSE</v>
      </c>
      <c r="E1894" s="198" t="str">
        <f>IFERROR(__xludf.DUMMYFUNCTION("""COMPUTED_VALUE"""),"FALSE")</f>
        <v>FALSE</v>
      </c>
      <c r="J1894" s="184" t="str">
        <f>IFERROR(__xludf.DUMMYFUNCTION("""COMPUTED_VALUE"""),"")</f>
        <v/>
      </c>
      <c r="K1894" s="184"/>
      <c r="L1894" s="184"/>
      <c r="M1894" s="184"/>
      <c r="N1894" s="184"/>
      <c r="O1894" s="184"/>
      <c r="P1894" s="184"/>
      <c r="Q1894" s="184"/>
      <c r="R1894" s="184"/>
      <c r="S1894" s="184"/>
      <c r="T1894" s="184"/>
      <c r="U1894" s="184"/>
      <c r="V1894" s="184"/>
      <c r="W1894" s="184"/>
      <c r="X1894" s="184"/>
    </row>
    <row r="1895">
      <c r="D1895" s="198" t="str">
        <f>IFERROR(__xludf.DUMMYFUNCTION("""COMPUTED_VALUE"""),"FALSE")</f>
        <v>FALSE</v>
      </c>
      <c r="E1895" s="198" t="str">
        <f>IFERROR(__xludf.DUMMYFUNCTION("""COMPUTED_VALUE"""),"FALSE")</f>
        <v>FALSE</v>
      </c>
      <c r="J1895" s="184" t="str">
        <f>IFERROR(__xludf.DUMMYFUNCTION("""COMPUTED_VALUE"""),"")</f>
        <v/>
      </c>
      <c r="K1895" s="184"/>
      <c r="L1895" s="184"/>
      <c r="M1895" s="184"/>
      <c r="N1895" s="184"/>
      <c r="O1895" s="184"/>
      <c r="P1895" s="184"/>
      <c r="Q1895" s="184"/>
      <c r="R1895" s="184"/>
      <c r="S1895" s="184"/>
      <c r="T1895" s="184"/>
      <c r="U1895" s="184"/>
      <c r="V1895" s="184"/>
      <c r="W1895" s="184"/>
      <c r="X1895" s="184"/>
    </row>
    <row r="1896">
      <c r="D1896" s="198" t="str">
        <f>IFERROR(__xludf.DUMMYFUNCTION("""COMPUTED_VALUE"""),"FALSE")</f>
        <v>FALSE</v>
      </c>
      <c r="E1896" s="198" t="str">
        <f>IFERROR(__xludf.DUMMYFUNCTION("""COMPUTED_VALUE"""),"FALSE")</f>
        <v>FALSE</v>
      </c>
      <c r="J1896" s="184" t="str">
        <f>IFERROR(__xludf.DUMMYFUNCTION("""COMPUTED_VALUE"""),"")</f>
        <v/>
      </c>
      <c r="K1896" s="184"/>
      <c r="L1896" s="184"/>
      <c r="M1896" s="184"/>
      <c r="N1896" s="184"/>
      <c r="O1896" s="184"/>
      <c r="P1896" s="184"/>
      <c r="Q1896" s="184"/>
      <c r="R1896" s="184"/>
      <c r="S1896" s="184"/>
      <c r="T1896" s="184"/>
      <c r="U1896" s="184"/>
      <c r="V1896" s="184"/>
      <c r="W1896" s="184"/>
      <c r="X1896" s="184"/>
    </row>
  </sheetData>
  <mergeCells count="2">
    <mergeCell ref="F1:G1"/>
    <mergeCell ref="H1:J1"/>
  </mergeCells>
  <dataValidations>
    <dataValidation type="list" allowBlank="1" showErrorMessage="1" sqref="H3:J3">
      <formula1>"-20%,-15%,-10%,-5%,0,5%,10%,15%,20%,25%,30%,35%,40%,45%,50%,60%,70%"</formula1>
    </dataValidation>
  </dataValidations>
  <hyperlinks>
    <hyperlink r:id="rId1" ref="A7"/>
    <hyperlink r:id="rId2" ref="F7"/>
    <hyperlink r:id="rId3" ref="A8"/>
    <hyperlink r:id="rId4" ref="F8"/>
    <hyperlink r:id="rId5" ref="F9"/>
    <hyperlink r:id="rId6" ref="A10"/>
    <hyperlink r:id="rId7" ref="F10"/>
    <hyperlink r:id="rId8" ref="A11"/>
    <hyperlink r:id="rId9" ref="F11"/>
    <hyperlink r:id="rId10" ref="A12"/>
    <hyperlink r:id="rId11" ref="F12"/>
    <hyperlink r:id="rId12" ref="A13"/>
    <hyperlink r:id="rId13" ref="F13"/>
    <hyperlink r:id="rId14" ref="A14"/>
    <hyperlink r:id="rId15" ref="A15"/>
    <hyperlink r:id="rId16" ref="F15"/>
    <hyperlink r:id="rId17" ref="A16"/>
    <hyperlink r:id="rId18" ref="F16"/>
    <hyperlink r:id="rId19" ref="A17"/>
    <hyperlink r:id="rId20" ref="F17"/>
    <hyperlink r:id="rId21" ref="A18"/>
    <hyperlink r:id="rId22" ref="F19"/>
    <hyperlink r:id="rId23" ref="A20"/>
    <hyperlink r:id="rId24" ref="F20"/>
    <hyperlink r:id="rId25" ref="A21"/>
    <hyperlink r:id="rId26" ref="F21"/>
    <hyperlink r:id="rId27" ref="A22"/>
    <hyperlink r:id="rId28" ref="F22"/>
    <hyperlink r:id="rId29" ref="A23"/>
    <hyperlink r:id="rId30" ref="F23"/>
    <hyperlink r:id="rId31" ref="A25"/>
    <hyperlink r:id="rId32" ref="A26"/>
    <hyperlink r:id="rId33" ref="A27"/>
    <hyperlink r:id="rId34" ref="A28"/>
    <hyperlink r:id="rId35" ref="A29"/>
  </hyperlinks>
  <drawing r:id="rId3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5.11"/>
    <col customWidth="1" min="2" max="2" width="39.22"/>
    <col customWidth="1" min="3" max="3" width="7.89"/>
    <col customWidth="1" min="4" max="5" width="9.89"/>
    <col customWidth="1" min="6" max="7" width="8.89"/>
    <col customWidth="1" min="8" max="8" width="14.78"/>
    <col customWidth="1" min="9" max="9" width="4.78"/>
    <col customWidth="1" min="10" max="10" width="9.33"/>
    <col customWidth="1" min="11" max="11" width="10.89"/>
    <col customWidth="1" min="12" max="12" width="8.78"/>
    <col customWidth="1" min="13" max="13" width="16.22"/>
    <col customWidth="1" min="14" max="14" width="13.11"/>
    <col customWidth="1" min="15" max="15" width="17.22"/>
    <col customWidth="1" min="16" max="16" width="7.11"/>
    <col customWidth="1" min="17" max="17" width="18.56"/>
    <col customWidth="1" min="18" max="18" width="10.22"/>
    <col customWidth="1" min="19" max="19" width="13.22"/>
    <col customWidth="1" min="20" max="26" width="26.56"/>
  </cols>
  <sheetData>
    <row r="1">
      <c r="A1" s="204" t="s">
        <v>2114</v>
      </c>
      <c r="B1" s="204" t="s">
        <v>2115</v>
      </c>
      <c r="C1" s="205" t="s">
        <v>2116</v>
      </c>
      <c r="D1" s="206" t="s">
        <v>2117</v>
      </c>
      <c r="E1" s="204" t="s">
        <v>2118</v>
      </c>
      <c r="F1" s="206" t="s">
        <v>2119</v>
      </c>
      <c r="G1" s="204" t="s">
        <v>2120</v>
      </c>
      <c r="H1" s="204" t="s">
        <v>2121</v>
      </c>
      <c r="I1" s="204" t="s">
        <v>2122</v>
      </c>
      <c r="J1" s="205" t="s">
        <v>2123</v>
      </c>
      <c r="K1" s="204" t="s">
        <v>2124</v>
      </c>
      <c r="L1" s="204" t="s">
        <v>2124</v>
      </c>
      <c r="M1" s="204" t="s">
        <v>2125</v>
      </c>
      <c r="N1" s="204" t="s">
        <v>2126</v>
      </c>
      <c r="O1" s="204" t="s">
        <v>2127</v>
      </c>
      <c r="P1" s="204" t="s">
        <v>2128</v>
      </c>
      <c r="Q1" s="204" t="s">
        <v>2129</v>
      </c>
      <c r="R1" s="204" t="s">
        <v>2130</v>
      </c>
      <c r="S1" s="204" t="s">
        <v>1329</v>
      </c>
      <c r="T1" s="207"/>
      <c r="U1" s="207"/>
      <c r="V1" s="207"/>
      <c r="W1" s="207"/>
      <c r="X1" s="207"/>
      <c r="Y1" s="207"/>
      <c r="Z1" s="207"/>
    </row>
    <row r="2">
      <c r="A2" s="208" t="str">
        <f>IFERROR(__xludf.DUMMYFUNCTION("QUERY(IMPORTRANGE(""1a2nAya5tHGuVI8jxtE7HAlsKWOJ2Bp9LREgQZG3e0ao"", ""Лист1!A1:Z""), ""SELECT Col2, Col3, Col5, Col9, Col10, Col11, Col12, Col13, Col14, Col15, Col16, Col17, Col18, Col19, Col20, Col21, Col22, Col23, Col24, Col25, Col26 OFFSET 2"", 0)"),"ДОМА")</f>
        <v>ДОМА</v>
      </c>
      <c r="B2" s="207" t="str">
        <f>IFERROR(__xludf.DUMMYFUNCTION("""COMPUTED_VALUE"""),"ADV 150CC PHUKET 7497")</f>
        <v>ADV 150CC PHUKET 7497</v>
      </c>
      <c r="C2" s="209">
        <f>IFERROR(__xludf.DUMMYFUNCTION("""COMPUTED_VALUE"""),2021.0)</f>
        <v>2021</v>
      </c>
      <c r="D2" s="210">
        <f>IFERROR(__xludf.DUMMYFUNCTION("""COMPUTED_VALUE"""),27500.0)</f>
        <v>27500</v>
      </c>
      <c r="E2" s="210">
        <f>IFERROR(__xludf.DUMMYFUNCTION("""COMPUTED_VALUE"""),27500.0)</f>
        <v>27500</v>
      </c>
      <c r="F2" s="210">
        <f>IFERROR(__xludf.DUMMYFUNCTION("""COMPUTED_VALUE"""),19000.0)</f>
        <v>19000</v>
      </c>
      <c r="G2" s="210"/>
      <c r="H2" s="208" t="str">
        <f>IFERROR(__xludf.DUMMYFUNCTION("""COMPUTED_VALUE"""),"я 7497 +")</f>
        <v>я 7497 +</v>
      </c>
      <c r="I2" s="208">
        <f>IFERROR(__xludf.DUMMYFUNCTION("""COMPUTED_VALUE"""),1.0)</f>
        <v>1</v>
      </c>
      <c r="J2" s="209"/>
      <c r="K2" s="211">
        <f>IFERROR(__xludf.DUMMYFUNCTION("""COMPUTED_VALUE"""),45207.0)</f>
        <v>45207</v>
      </c>
      <c r="L2" s="208" t="str">
        <f>IFERROR(__xludf.DUMMYFUNCTION("""COMPUTED_VALUE"""),"в байке")</f>
        <v>в байке</v>
      </c>
      <c r="M2" s="208"/>
      <c r="N2" s="208"/>
      <c r="O2" s="208"/>
      <c r="P2" s="208"/>
      <c r="Q2" s="208"/>
      <c r="R2" s="208"/>
      <c r="S2" s="212"/>
      <c r="T2" s="208"/>
      <c r="U2" s="208"/>
      <c r="V2" s="208"/>
      <c r="W2" s="208"/>
      <c r="X2" s="208"/>
      <c r="Y2" s="208"/>
      <c r="Z2" s="208"/>
    </row>
    <row r="3">
      <c r="A3" s="208" t="str">
        <f>IFERROR(__xludf.DUMMYFUNCTION("""COMPUTED_VALUE"""),"ДОМА")</f>
        <v>ДОМА</v>
      </c>
      <c r="B3" s="207" t="str">
        <f>IFERROR(__xludf.DUMMYFUNCTION("""COMPUTED_VALUE"""),"CB 300CC R 9011")</f>
        <v>CB 300CC R 9011</v>
      </c>
      <c r="C3" s="209">
        <f>IFERROR(__xludf.DUMMYFUNCTION("""COMPUTED_VALUE"""),2018.0)</f>
        <v>2018</v>
      </c>
      <c r="D3" s="210">
        <f>IFERROR(__xludf.DUMMYFUNCTION("""COMPUTED_VALUE"""),25000.0)</f>
        <v>25000</v>
      </c>
      <c r="E3" s="210"/>
      <c r="F3" s="210">
        <f>IFERROR(__xludf.DUMMYFUNCTION("""COMPUTED_VALUE"""),22000.0)</f>
        <v>22000</v>
      </c>
      <c r="G3" s="210"/>
      <c r="H3" s="208" t="str">
        <f>IFERROR(__xludf.DUMMYFUNCTION("""COMPUTED_VALUE"""),"я 461")</f>
        <v>я 461</v>
      </c>
      <c r="I3" s="208">
        <f>IFERROR(__xludf.DUMMYFUNCTION("""COMPUTED_VALUE"""),2.0)</f>
        <v>2</v>
      </c>
      <c r="J3" s="209"/>
      <c r="K3" s="211">
        <f>IFERROR(__xludf.DUMMYFUNCTION("""COMPUTED_VALUE"""),45386.0)</f>
        <v>45386</v>
      </c>
      <c r="L3" s="208"/>
      <c r="M3" s="208"/>
      <c r="N3" s="208"/>
      <c r="O3" s="208"/>
      <c r="P3" s="208"/>
      <c r="Q3" s="208"/>
      <c r="R3" s="208"/>
      <c r="S3" s="212"/>
      <c r="T3" s="208"/>
      <c r="U3" s="208"/>
      <c r="V3" s="208"/>
      <c r="W3" s="208"/>
      <c r="X3" s="208"/>
      <c r="Y3" s="208"/>
      <c r="Z3" s="208"/>
    </row>
    <row r="4">
      <c r="A4" s="208" t="str">
        <f>IFERROR(__xludf.DUMMYFUNCTION("""COMPUTED_VALUE"""),"В аренде")</f>
        <v>В аренде</v>
      </c>
      <c r="B4" s="207" t="str">
        <f>IFERROR(__xludf.DUMMYFUNCTION("""COMPUTED_VALUE"""),"CBR 650R PHUKET 4505")</f>
        <v>CBR 650R PHUKET 4505</v>
      </c>
      <c r="C4" s="209">
        <f>IFERROR(__xludf.DUMMYFUNCTION("""COMPUTED_VALUE"""),2018.0)</f>
        <v>2018</v>
      </c>
      <c r="D4" s="210">
        <f>IFERROR(__xludf.DUMMYFUNCTION("""COMPUTED_VALUE"""),40500.0)</f>
        <v>40500</v>
      </c>
      <c r="E4" s="210"/>
      <c r="F4" s="210">
        <f>IFERROR(__xludf.DUMMYFUNCTION("""COMPUTED_VALUE"""),31000.0)</f>
        <v>31000</v>
      </c>
      <c r="G4" s="210"/>
      <c r="H4" s="208" t="str">
        <f>IFERROR(__xludf.DUMMYFUNCTION("""COMPUTED_VALUE"""),"я 4505+")</f>
        <v>я 4505+</v>
      </c>
      <c r="I4" s="208">
        <f>IFERROR(__xludf.DUMMYFUNCTION("""COMPUTED_VALUE"""),2.0)</f>
        <v>2</v>
      </c>
      <c r="J4" s="209"/>
      <c r="K4" s="211">
        <f>IFERROR(__xludf.DUMMYFUNCTION("""COMPUTED_VALUE"""),44942.0)</f>
        <v>44942</v>
      </c>
      <c r="L4" s="208" t="str">
        <f>IFERROR(__xludf.DUMMYFUNCTION("""COMPUTED_VALUE"""),"в байке")</f>
        <v>в байке</v>
      </c>
      <c r="M4" s="208"/>
      <c r="N4" s="208" t="str">
        <f>IFERROR(__xludf.DUMMYFUNCTION("""COMPUTED_VALUE"""),"В аренде")</f>
        <v>В аренде</v>
      </c>
      <c r="O4" s="208" t="str">
        <f>IFERROR(__xludf.DUMMYFUNCTION("""COMPUTED_VALUE"""),"Zolotukhin Iurii")</f>
        <v>Zolotukhin Iurii</v>
      </c>
      <c r="P4" s="208" t="str">
        <f>IFERROR(__xludf.DUMMYFUNCTION("""COMPUTED_VALUE"""),"3 Д")</f>
        <v>3 Д</v>
      </c>
      <c r="Q4" s="208" t="str">
        <f>IFERROR(__xludf.DUMMYFUNCTION("""COMPUTED_VALUE"""),"01.06.2024 , 14:00")</f>
        <v>01.06.2024 , 14:00</v>
      </c>
      <c r="R4" s="208" t="str">
        <f>IFERROR(__xludf.DUMMYFUNCTION("""COMPUTED_VALUE"""),"฿1 490")</f>
        <v>฿1 490</v>
      </c>
      <c r="S4" s="212">
        <f>IFERROR(__xludf.DUMMYFUNCTION("""COMPUTED_VALUE"""),1137860.0)</f>
        <v>1137860</v>
      </c>
      <c r="T4" s="208"/>
      <c r="U4" s="208"/>
      <c r="V4" s="208"/>
      <c r="W4" s="208"/>
      <c r="X4" s="208"/>
      <c r="Y4" s="208"/>
      <c r="Z4" s="208"/>
    </row>
    <row r="5">
      <c r="A5" s="208" t="str">
        <f>IFERROR(__xludf.DUMMYFUNCTION("""COMPUTED_VALUE"""),"ДОМА")</f>
        <v>ДОМА</v>
      </c>
      <c r="B5" s="207" t="str">
        <f>IFERROR(__xludf.DUMMYFUNCTION("""COMPUTED_VALUE"""),"CLICK 125CC PHUKET 5580")</f>
        <v>CLICK 125CC PHUKET 5580</v>
      </c>
      <c r="C5" s="209">
        <f>IFERROR(__xludf.DUMMYFUNCTION("""COMPUTED_VALUE"""),2017.0)</f>
        <v>2017</v>
      </c>
      <c r="D5" s="210">
        <f>IFERROR(__xludf.DUMMYFUNCTION("""COMPUTED_VALUE"""),33515.0)</f>
        <v>33515</v>
      </c>
      <c r="E5" s="210">
        <f>IFERROR(__xludf.DUMMYFUNCTION("""COMPUTED_VALUE"""),33515.0)</f>
        <v>33515</v>
      </c>
      <c r="F5" s="210"/>
      <c r="G5" s="210">
        <f>IFERROR(__xludf.DUMMYFUNCTION("""COMPUTED_VALUE"""),26840.0)</f>
        <v>26840</v>
      </c>
      <c r="H5" s="208" t="str">
        <f>IFERROR(__xludf.DUMMYFUNCTION("""COMPUTED_VALUE"""),"я 5762 +")</f>
        <v>я 5762 +</v>
      </c>
      <c r="I5" s="208">
        <f>IFERROR(__xludf.DUMMYFUNCTION("""COMPUTED_VALUE"""),2.0)</f>
        <v>2</v>
      </c>
      <c r="J5" s="209"/>
      <c r="K5" s="211">
        <f>IFERROR(__xludf.DUMMYFUNCTION("""COMPUTED_VALUE"""),45014.0)</f>
        <v>45014</v>
      </c>
      <c r="L5" s="208" t="str">
        <f>IFERROR(__xludf.DUMMYFUNCTION("""COMPUTED_VALUE"""),"?")</f>
        <v>?</v>
      </c>
      <c r="M5" s="208" t="str">
        <f>IFERROR(__xludf.DUMMYFUNCTION("""COMPUTED_VALUE"""),"ошибка номер 5762")</f>
        <v>ошибка номер 5762</v>
      </c>
      <c r="N5" s="208"/>
      <c r="O5" s="208"/>
      <c r="P5" s="208"/>
      <c r="Q5" s="208"/>
      <c r="R5" s="208"/>
      <c r="S5" s="212"/>
      <c r="T5" s="208"/>
      <c r="U5" s="208"/>
      <c r="V5" s="208"/>
      <c r="W5" s="208"/>
      <c r="X5" s="208"/>
      <c r="Y5" s="208"/>
      <c r="Z5" s="208"/>
    </row>
    <row r="6">
      <c r="A6" s="208" t="str">
        <f>IFERROR(__xludf.DUMMYFUNCTION("""COMPUTED_VALUE"""),"ДОМА")</f>
        <v>ДОМА</v>
      </c>
      <c r="B6" s="207" t="str">
        <f>IFERROR(__xludf.DUMMYFUNCTION("""COMPUTED_VALUE"""),"FORZA 300CC GREY PHUKET 4234")</f>
        <v>FORZA 300CC GREY PHUKET 4234</v>
      </c>
      <c r="C6" s="209">
        <f>IFERROR(__xludf.DUMMYFUNCTION("""COMPUTED_VALUE"""),2018.0)</f>
        <v>2018</v>
      </c>
      <c r="D6" s="210">
        <f>IFERROR(__xludf.DUMMYFUNCTION("""COMPUTED_VALUE"""),20000.0)</f>
        <v>20000</v>
      </c>
      <c r="E6" s="210">
        <f>IFERROR(__xludf.DUMMYFUNCTION("""COMPUTED_VALUE"""),17800.0)</f>
        <v>17800</v>
      </c>
      <c r="F6" s="210">
        <f>IFERROR(__xludf.DUMMYFUNCTION("""COMPUTED_VALUE"""),17800.0)</f>
        <v>17800</v>
      </c>
      <c r="G6" s="210">
        <f>IFERROR(__xludf.DUMMYFUNCTION("""COMPUTED_VALUE"""),17800.0)</f>
        <v>17800</v>
      </c>
      <c r="H6" s="208" t="str">
        <f>IFERROR(__xludf.DUMMYFUNCTION("""COMPUTED_VALUE"""),"я 4234+")</f>
        <v>я 4234+</v>
      </c>
      <c r="I6" s="208">
        <f>IFERROR(__xludf.DUMMYFUNCTION("""COMPUTED_VALUE"""),2.0)</f>
        <v>2</v>
      </c>
      <c r="J6" s="209"/>
      <c r="K6" s="211">
        <f>IFERROR(__xludf.DUMMYFUNCTION("""COMPUTED_VALUE"""),45183.0)</f>
        <v>45183</v>
      </c>
      <c r="L6" s="208" t="str">
        <f>IFERROR(__xludf.DUMMYFUNCTION("""COMPUTED_VALUE"""),"в байке")</f>
        <v>в байке</v>
      </c>
      <c r="M6" s="208"/>
      <c r="N6" s="208"/>
      <c r="O6" s="208"/>
      <c r="P6" s="208"/>
      <c r="Q6" s="208"/>
      <c r="R6" s="208"/>
      <c r="S6" s="212"/>
      <c r="T6" s="208"/>
      <c r="U6" s="208"/>
      <c r="V6" s="208"/>
      <c r="W6" s="208"/>
      <c r="X6" s="208"/>
      <c r="Y6" s="208"/>
      <c r="Z6" s="208"/>
    </row>
    <row r="7">
      <c r="A7" s="208" t="str">
        <f>IFERROR(__xludf.DUMMYFUNCTION("""COMPUTED_VALUE"""),"ДОМА")</f>
        <v>ДОМА</v>
      </c>
      <c r="B7" s="207" t="str">
        <f>IFERROR(__xludf.DUMMYFUNCTION("""COMPUTED_VALUE"""),"FORZA 300CC RED PHUKET 4244")</f>
        <v>FORZA 300CC RED PHUKET 4244</v>
      </c>
      <c r="C7" s="209">
        <f>IFERROR(__xludf.DUMMYFUNCTION("""COMPUTED_VALUE"""),2020.0)</f>
        <v>2020</v>
      </c>
      <c r="D7" s="210">
        <f>IFERROR(__xludf.DUMMYFUNCTION("""COMPUTED_VALUE"""),22000.0)</f>
        <v>22000</v>
      </c>
      <c r="E7" s="210">
        <f>IFERROR(__xludf.DUMMYFUNCTION("""COMPUTED_VALUE"""),22000.0)</f>
        <v>22000</v>
      </c>
      <c r="F7" s="210">
        <f>IFERROR(__xludf.DUMMYFUNCTION("""COMPUTED_VALUE"""),18000.0)</f>
        <v>18000</v>
      </c>
      <c r="G7" s="210">
        <f>IFERROR(__xludf.DUMMYFUNCTION("""COMPUTED_VALUE"""),18000.0)</f>
        <v>18000</v>
      </c>
      <c r="H7" s="208" t="str">
        <f>IFERROR(__xludf.DUMMYFUNCTION("""COMPUTED_VALUE"""),"я 4244+")</f>
        <v>я 4244+</v>
      </c>
      <c r="I7" s="208">
        <f>IFERROR(__xludf.DUMMYFUNCTION("""COMPUTED_VALUE"""),1.0)</f>
        <v>1</v>
      </c>
      <c r="J7" s="209">
        <f>IFERROR(__xludf.DUMMYFUNCTION("""COMPUTED_VALUE"""),9.1781204E7)</f>
        <v>91781204</v>
      </c>
      <c r="K7" s="211">
        <f>IFERROR(__xludf.DUMMYFUNCTION("""COMPUTED_VALUE"""),45169.0)</f>
        <v>45169</v>
      </c>
      <c r="L7" s="208" t="str">
        <f>IFERROR(__xludf.DUMMYFUNCTION("""COMPUTED_VALUE"""),"в байке")</f>
        <v>в байке</v>
      </c>
      <c r="M7" s="208"/>
      <c r="N7" s="208"/>
      <c r="O7" s="208"/>
      <c r="P7" s="208"/>
      <c r="Q7" s="208"/>
      <c r="R7" s="208"/>
      <c r="S7" s="212"/>
      <c r="T7" s="208"/>
      <c r="U7" s="208"/>
      <c r="V7" s="208"/>
      <c r="W7" s="208"/>
      <c r="X7" s="208"/>
      <c r="Y7" s="208"/>
      <c r="Z7" s="208"/>
    </row>
    <row r="8">
      <c r="A8" s="208" t="str">
        <f>IFERROR(__xludf.DUMMYFUNCTION("""COMPUTED_VALUE"""),"ДОМА")</f>
        <v>ДОМА</v>
      </c>
      <c r="B8" s="207" t="str">
        <f>IFERROR(__xludf.DUMMYFUNCTION("""COMPUTED_VALUE"""),"FORZA 300CC WHITE PHUKET 8950")</f>
        <v>FORZA 300CC WHITE PHUKET 8950</v>
      </c>
      <c r="C8" s="209">
        <f>IFERROR(__xludf.DUMMYFUNCTION("""COMPUTED_VALUE"""),2019.0)</f>
        <v>2019</v>
      </c>
      <c r="D8" s="210">
        <f>IFERROR(__xludf.DUMMYFUNCTION("""COMPUTED_VALUE"""),20100.0)</f>
        <v>20100</v>
      </c>
      <c r="E8" s="210">
        <f>IFERROR(__xludf.DUMMYFUNCTION("""COMPUTED_VALUE"""),20100.0)</f>
        <v>20100</v>
      </c>
      <c r="F8" s="210"/>
      <c r="G8" s="210"/>
      <c r="H8" s="208" t="str">
        <f>IFERROR(__xludf.DUMMYFUNCTION("""COMPUTED_VALUE"""),"я 8950 +")</f>
        <v>я 8950 +</v>
      </c>
      <c r="I8" s="208">
        <f>IFERROR(__xludf.DUMMYFUNCTION("""COMPUTED_VALUE"""),1.0)</f>
        <v>1</v>
      </c>
      <c r="J8" s="209"/>
      <c r="K8" s="211">
        <f>IFERROR(__xludf.DUMMYFUNCTION("""COMPUTED_VALUE"""),45245.0)</f>
        <v>45245</v>
      </c>
      <c r="L8" s="208"/>
      <c r="M8" s="208"/>
      <c r="N8" s="208"/>
      <c r="O8" s="208"/>
      <c r="P8" s="208"/>
      <c r="Q8" s="208"/>
      <c r="R8" s="208"/>
      <c r="S8" s="212"/>
      <c r="T8" s="208"/>
      <c r="U8" s="208"/>
      <c r="V8" s="208"/>
      <c r="W8" s="208"/>
      <c r="X8" s="208"/>
      <c r="Y8" s="208"/>
      <c r="Z8" s="208"/>
    </row>
    <row r="9">
      <c r="A9" s="208" t="str">
        <f>IFERROR(__xludf.DUMMYFUNCTION("""COMPUTED_VALUE"""),"ДОМА")</f>
        <v>ДОМА</v>
      </c>
      <c r="B9" s="207" t="str">
        <f>IFERROR(__xludf.DUMMYFUNCTION("""COMPUTED_VALUE"""),"MT-03 300СС BLUE PHUKET 5068")</f>
        <v>MT-03 300СС BLUE PHUKET 5068</v>
      </c>
      <c r="C9" s="209">
        <f>IFERROR(__xludf.DUMMYFUNCTION("""COMPUTED_VALUE"""),2021.0)</f>
        <v>2021</v>
      </c>
      <c r="D9" s="210">
        <f>IFERROR(__xludf.DUMMYFUNCTION("""COMPUTED_VALUE"""),19640.0)</f>
        <v>19640</v>
      </c>
      <c r="E9" s="210"/>
      <c r="F9" s="210">
        <f>IFERROR(__xludf.DUMMYFUNCTION("""COMPUTED_VALUE"""),9500.0)</f>
        <v>9500</v>
      </c>
      <c r="G9" s="210"/>
      <c r="H9" s="208" t="str">
        <f>IFERROR(__xludf.DUMMYFUNCTION("""COMPUTED_VALUE"""),"я 5068 +")</f>
        <v>я 5068 +</v>
      </c>
      <c r="I9" s="208">
        <f>IFERROR(__xludf.DUMMYFUNCTION("""COMPUTED_VALUE"""),2.0)</f>
        <v>2</v>
      </c>
      <c r="J9" s="209"/>
      <c r="K9" s="211">
        <f>IFERROR(__xludf.DUMMYFUNCTION("""COMPUTED_VALUE"""),45422.0)</f>
        <v>45422</v>
      </c>
      <c r="L9" s="208"/>
      <c r="M9" s="208"/>
      <c r="N9" s="208"/>
      <c r="O9" s="208"/>
      <c r="P9" s="208"/>
      <c r="Q9" s="208"/>
      <c r="R9" s="208"/>
      <c r="S9" s="212"/>
      <c r="T9" s="208"/>
      <c r="U9" s="208"/>
      <c r="V9" s="208"/>
      <c r="W9" s="208"/>
      <c r="X9" s="208"/>
      <c r="Y9" s="208"/>
      <c r="Z9" s="208"/>
    </row>
    <row r="10">
      <c r="A10" s="208" t="str">
        <f>IFERROR(__xludf.DUMMYFUNCTION("""COMPUTED_VALUE"""),"В аренде")</f>
        <v>В аренде</v>
      </c>
      <c r="B10" s="207" t="str">
        <f>IFERROR(__xludf.DUMMYFUNCTION("""COMPUTED_VALUE"""),"MT-03 300СС RED")</f>
        <v>MT-03 300СС RED</v>
      </c>
      <c r="C10" s="209">
        <f>IFERROR(__xludf.DUMMYFUNCTION("""COMPUTED_VALUE"""),2020.0)</f>
        <v>2020</v>
      </c>
      <c r="D10" s="210">
        <f>IFERROR(__xludf.DUMMYFUNCTION("""COMPUTED_VALUE"""),17800.0)</f>
        <v>17800</v>
      </c>
      <c r="E10" s="210"/>
      <c r="F10" s="210">
        <f>IFERROR(__xludf.DUMMYFUNCTION("""COMPUTED_VALUE"""),7745.0)</f>
        <v>7745</v>
      </c>
      <c r="G10" s="210"/>
      <c r="H10" s="208" t="str">
        <f>IFERROR(__xludf.DUMMYFUNCTION("""COMPUTED_VALUE"""),"я 5887")</f>
        <v>я 5887</v>
      </c>
      <c r="I10" s="208">
        <f>IFERROR(__xludf.DUMMYFUNCTION("""COMPUTED_VALUE"""),2.0)</f>
        <v>2</v>
      </c>
      <c r="J10" s="209"/>
      <c r="K10" s="211"/>
      <c r="L10" s="208"/>
      <c r="M10" s="208"/>
      <c r="N10" s="208" t="str">
        <f>IFERROR(__xludf.DUMMYFUNCTION("""COMPUTED_VALUE"""),"В аренде")</f>
        <v>В аренде</v>
      </c>
      <c r="O10" s="208" t="str">
        <f>IFERROR(__xludf.DUMMYFUNCTION("""COMPUTED_VALUE"""),"Makarevich Vladimir")</f>
        <v>Makarevich Vladimir</v>
      </c>
      <c r="P10" s="208" t="str">
        <f>IFERROR(__xludf.DUMMYFUNCTION("""COMPUTED_VALUE"""),"1 М")</f>
        <v>1 М</v>
      </c>
      <c r="Q10" s="208" t="str">
        <f>IFERROR(__xludf.DUMMYFUNCTION("""COMPUTED_VALUE"""),"05.06.2024 , 18:00")</f>
        <v>05.06.2024 , 18:00</v>
      </c>
      <c r="R10" s="208" t="str">
        <f>IFERROR(__xludf.DUMMYFUNCTION("""COMPUTED_VALUE"""),"฿380")</f>
        <v>฿380</v>
      </c>
      <c r="S10" s="212">
        <f>IFERROR(__xludf.DUMMYFUNCTION("""COMPUTED_VALUE"""),289180.0)</f>
        <v>289180</v>
      </c>
      <c r="T10" s="208"/>
      <c r="U10" s="208"/>
      <c r="V10" s="208"/>
      <c r="W10" s="208"/>
      <c r="X10" s="208"/>
      <c r="Y10" s="208"/>
      <c r="Z10" s="208"/>
    </row>
    <row r="11">
      <c r="A11" s="208" t="str">
        <f>IFERROR(__xludf.DUMMYFUNCTION("""COMPUTED_VALUE"""),"В аренде")</f>
        <v>В аренде</v>
      </c>
      <c r="B11" s="207" t="str">
        <f>IFERROR(__xludf.DUMMYFUNCTION("""COMPUTED_VALUE"""),"NINJA 400СС PHUKET 6334")</f>
        <v>NINJA 400СС PHUKET 6334</v>
      </c>
      <c r="C11" s="209">
        <f>IFERROR(__xludf.DUMMYFUNCTION("""COMPUTED_VALUE"""),2020.0)</f>
        <v>2020</v>
      </c>
      <c r="D11" s="210">
        <f>IFERROR(__xludf.DUMMYFUNCTION("""COMPUTED_VALUE"""),20600.0)</f>
        <v>20600</v>
      </c>
      <c r="E11" s="210"/>
      <c r="F11" s="210">
        <f>IFERROR(__xludf.DUMMYFUNCTION("""COMPUTED_VALUE"""),15000.0)</f>
        <v>15000</v>
      </c>
      <c r="G11" s="210"/>
      <c r="H11" s="208" t="str">
        <f>IFERROR(__xludf.DUMMYFUNCTION("""COMPUTED_VALUE"""),"я 6334")</f>
        <v>я 6334</v>
      </c>
      <c r="I11" s="208"/>
      <c r="J11" s="209"/>
      <c r="K11" s="211">
        <f>IFERROR(__xludf.DUMMYFUNCTION("""COMPUTED_VALUE"""),45383.0)</f>
        <v>45383</v>
      </c>
      <c r="L11" s="208"/>
      <c r="M11" s="208"/>
      <c r="N11" s="208" t="str">
        <f>IFERROR(__xludf.DUMMYFUNCTION("""COMPUTED_VALUE"""),"В аренде")</f>
        <v>В аренде</v>
      </c>
      <c r="O11" s="208" t="str">
        <f>IFERROR(__xludf.DUMMYFUNCTION("""COMPUTED_VALUE"""),"Pavliukov Ivan")</f>
        <v>Pavliukov Ivan</v>
      </c>
      <c r="P11" s="208" t="str">
        <f>IFERROR(__xludf.DUMMYFUNCTION("""COMPUTED_VALUE"""),"1 М")</f>
        <v>1 М</v>
      </c>
      <c r="Q11" s="208" t="str">
        <f>IFERROR(__xludf.DUMMYFUNCTION("""COMPUTED_VALUE"""),"28.06.2024 , 14:00")</f>
        <v>28.06.2024 , 14:00</v>
      </c>
      <c r="R11" s="208" t="str">
        <f>IFERROR(__xludf.DUMMYFUNCTION("""COMPUTED_VALUE"""),"฿417")</f>
        <v>฿417</v>
      </c>
      <c r="S11" s="212">
        <f>IFERROR(__xludf.DUMMYFUNCTION("""COMPUTED_VALUE"""),307500.0)</f>
        <v>307500</v>
      </c>
      <c r="T11" s="208"/>
      <c r="U11" s="208"/>
      <c r="V11" s="208"/>
      <c r="W11" s="208"/>
      <c r="X11" s="208"/>
      <c r="Y11" s="208"/>
      <c r="Z11" s="208"/>
    </row>
    <row r="12">
      <c r="A12" s="208" t="str">
        <f>IFERROR(__xludf.DUMMYFUNCTION("""COMPUTED_VALUE"""),"В аренде")</f>
        <v>В аренде</v>
      </c>
      <c r="B12" s="207" t="str">
        <f>IFERROR(__xludf.DUMMYFUNCTION("""COMPUTED_VALUE"""),"NMAX 155CC BLACK GOLD PHUKET 4255")</f>
        <v>NMAX 155CC BLACK GOLD PHUKET 4255</v>
      </c>
      <c r="C12" s="209">
        <f>IFERROR(__xludf.DUMMYFUNCTION("""COMPUTED_VALUE"""),2020.0)</f>
        <v>2020</v>
      </c>
      <c r="D12" s="210">
        <f>IFERROR(__xludf.DUMMYFUNCTION("""COMPUTED_VALUE"""),20000.0)</f>
        <v>20000</v>
      </c>
      <c r="E12" s="210">
        <f>IFERROR(__xludf.DUMMYFUNCTION("""COMPUTED_VALUE"""),20000.0)</f>
        <v>20000</v>
      </c>
      <c r="F12" s="210">
        <f>IFERROR(__xludf.DUMMYFUNCTION("""COMPUTED_VALUE"""),15400.0)</f>
        <v>15400</v>
      </c>
      <c r="G12" s="210"/>
      <c r="H12" s="208" t="str">
        <f>IFERROR(__xludf.DUMMYFUNCTION("""COMPUTED_VALUE"""),"я 4255 +")</f>
        <v>я 4255 +</v>
      </c>
      <c r="I12" s="208">
        <f>IFERROR(__xludf.DUMMYFUNCTION("""COMPUTED_VALUE"""),1.0)</f>
        <v>1</v>
      </c>
      <c r="J12" s="209">
        <f>IFERROR(__xludf.DUMMYFUNCTION("""COMPUTED_VALUE"""),282564.0)</f>
        <v>282564</v>
      </c>
      <c r="K12" s="211">
        <f>IFERROR(__xludf.DUMMYFUNCTION("""COMPUTED_VALUE"""),44891.0)</f>
        <v>44891</v>
      </c>
      <c r="L12" s="208" t="str">
        <f>IFERROR(__xludf.DUMMYFUNCTION("""COMPUTED_VALUE"""),"нет")</f>
        <v>нет</v>
      </c>
      <c r="M12" s="208"/>
      <c r="N12" s="208" t="str">
        <f>IFERROR(__xludf.DUMMYFUNCTION("""COMPUTED_VALUE"""),"В аренде")</f>
        <v>В аренде</v>
      </c>
      <c r="O12" s="208" t="str">
        <f>IFERROR(__xludf.DUMMYFUNCTION("""COMPUTED_VALUE"""),"ANGADPREET SINGH")</f>
        <v>ANGADPREET SINGH</v>
      </c>
      <c r="P12" s="208" t="str">
        <f>IFERROR(__xludf.DUMMYFUNCTION("""COMPUTED_VALUE"""),"1 М")</f>
        <v>1 М</v>
      </c>
      <c r="Q12" s="208" t="str">
        <f>IFERROR(__xludf.DUMMYFUNCTION("""COMPUTED_VALUE"""),"24.06.2024 , 12:00")</f>
        <v>24.06.2024 , 12:00</v>
      </c>
      <c r="R12" s="208" t="str">
        <f>IFERROR(__xludf.DUMMYFUNCTION("""COMPUTED_VALUE"""),"฿167")</f>
        <v>฿167</v>
      </c>
      <c r="S12" s="212">
        <f>IFERROR(__xludf.DUMMYFUNCTION("""COMPUTED_VALUE"""),123666.66666666666)</f>
        <v>123666.6667</v>
      </c>
      <c r="T12" s="208"/>
      <c r="U12" s="208"/>
      <c r="V12" s="208"/>
      <c r="W12" s="208"/>
      <c r="X12" s="208"/>
      <c r="Y12" s="208"/>
      <c r="Z12" s="208"/>
    </row>
    <row r="13">
      <c r="A13" s="208" t="str">
        <f>IFERROR(__xludf.DUMMYFUNCTION("""COMPUTED_VALUE"""),"В аренде")</f>
        <v>В аренде</v>
      </c>
      <c r="B13" s="207" t="str">
        <f>IFERROR(__xludf.DUMMYFUNCTION("""COMPUTED_VALUE"""),"NMAX 155CC BLACK GOLD-2 PHUKET 4685")</f>
        <v>NMAX 155CC BLACK GOLD-2 PHUKET 4685</v>
      </c>
      <c r="C13" s="209">
        <f>IFERROR(__xludf.DUMMYFUNCTION("""COMPUTED_VALUE"""),2020.0)</f>
        <v>2020</v>
      </c>
      <c r="D13" s="210">
        <f>IFERROR(__xludf.DUMMYFUNCTION("""COMPUTED_VALUE"""),22800.0)</f>
        <v>22800</v>
      </c>
      <c r="E13" s="210">
        <f>IFERROR(__xludf.DUMMYFUNCTION("""COMPUTED_VALUE"""),22800.0)</f>
        <v>22800</v>
      </c>
      <c r="F13" s="210">
        <f>IFERROR(__xludf.DUMMYFUNCTION("""COMPUTED_VALUE"""),13500.0)</f>
        <v>13500</v>
      </c>
      <c r="G13" s="210">
        <f>IFERROR(__xludf.DUMMYFUNCTION("""COMPUTED_VALUE"""),9600.0)</f>
        <v>9600</v>
      </c>
      <c r="H13" s="208" t="str">
        <f>IFERROR(__xludf.DUMMYFUNCTION("""COMPUTED_VALUE"""),"я 4685 +")</f>
        <v>я 4685 +</v>
      </c>
      <c r="I13" s="208">
        <f>IFERROR(__xludf.DUMMYFUNCTION("""COMPUTED_VALUE"""),1.0)</f>
        <v>1</v>
      </c>
      <c r="J13" s="209">
        <f>IFERROR(__xludf.DUMMYFUNCTION("""COMPUTED_VALUE"""),282564.0)</f>
        <v>282564</v>
      </c>
      <c r="K13" s="211">
        <f>IFERROR(__xludf.DUMMYFUNCTION("""COMPUTED_VALUE"""),44890.0)</f>
        <v>44890</v>
      </c>
      <c r="L13" s="208" t="str">
        <f>IFERROR(__xludf.DUMMYFUNCTION("""COMPUTED_VALUE"""),"в байке")</f>
        <v>в байке</v>
      </c>
      <c r="M13" s="208"/>
      <c r="N13" s="208" t="str">
        <f>IFERROR(__xludf.DUMMYFUNCTION("""COMPUTED_VALUE"""),"В аренде")</f>
        <v>В аренде</v>
      </c>
      <c r="O13" s="208" t="str">
        <f>IFERROR(__xludf.DUMMYFUNCTION("""COMPUTED_VALUE"""),"Aksenov Aleksandr")</f>
        <v>Aksenov Aleksandr</v>
      </c>
      <c r="P13" s="208" t="str">
        <f>IFERROR(__xludf.DUMMYFUNCTION("""COMPUTED_VALUE"""),"1 М")</f>
        <v>1 М</v>
      </c>
      <c r="Q13" s="208" t="str">
        <f>IFERROR(__xludf.DUMMYFUNCTION("""COMPUTED_VALUE"""),"04.06.2024 , 12:00")</f>
        <v>04.06.2024 , 12:00</v>
      </c>
      <c r="R13" s="208" t="str">
        <f>IFERROR(__xludf.DUMMYFUNCTION("""COMPUTED_VALUE"""),"฿167")</f>
        <v>฿167</v>
      </c>
      <c r="S13" s="212">
        <f>IFERROR(__xludf.DUMMYFUNCTION("""COMPUTED_VALUE"""),127000.0)</f>
        <v>127000</v>
      </c>
      <c r="T13" s="208"/>
      <c r="U13" s="208"/>
      <c r="V13" s="208"/>
      <c r="W13" s="208"/>
      <c r="X13" s="208"/>
      <c r="Y13" s="208"/>
      <c r="Z13" s="208"/>
    </row>
    <row r="14">
      <c r="A14" s="208" t="str">
        <f>IFERROR(__xludf.DUMMYFUNCTION("""COMPUTED_VALUE"""),"ДОМА")</f>
        <v>ДОМА</v>
      </c>
      <c r="B14" s="207" t="str">
        <f>IFERROR(__xludf.DUMMYFUNCTION("""COMPUTED_VALUE"""),"NMAX 155CC BLACK GOLD-3 PHUKET 7530")</f>
        <v>NMAX 155CC BLACK GOLD-3 PHUKET 7530</v>
      </c>
      <c r="C14" s="209">
        <f>IFERROR(__xludf.DUMMYFUNCTION("""COMPUTED_VALUE"""),2020.0)</f>
        <v>2020</v>
      </c>
      <c r="D14" s="210">
        <f>IFERROR(__xludf.DUMMYFUNCTION("""COMPUTED_VALUE"""),22500.0)</f>
        <v>22500</v>
      </c>
      <c r="E14" s="210">
        <f>IFERROR(__xludf.DUMMYFUNCTION("""COMPUTED_VALUE"""),19000.0)</f>
        <v>19000</v>
      </c>
      <c r="F14" s="210">
        <f>IFERROR(__xludf.DUMMYFUNCTION("""COMPUTED_VALUE"""),12000.0)</f>
        <v>12000</v>
      </c>
      <c r="G14" s="210">
        <f>IFERROR(__xludf.DUMMYFUNCTION("""COMPUTED_VALUE"""),15000.0)</f>
        <v>15000</v>
      </c>
      <c r="H14" s="208" t="str">
        <f>IFERROR(__xludf.DUMMYFUNCTION("""COMPUTED_VALUE"""),"я 7530 +")</f>
        <v>я 7530 +</v>
      </c>
      <c r="I14" s="208">
        <f>IFERROR(__xludf.DUMMYFUNCTION("""COMPUTED_VALUE"""),1.0)</f>
        <v>1</v>
      </c>
      <c r="J14" s="209">
        <f>IFERROR(__xludf.DUMMYFUNCTION("""COMPUTED_VALUE"""),285735.0)</f>
        <v>285735</v>
      </c>
      <c r="K14" s="211">
        <f>IFERROR(__xludf.DUMMYFUNCTION("""COMPUTED_VALUE"""),44874.0)</f>
        <v>44874</v>
      </c>
      <c r="L14" s="208" t="str">
        <f>IFERROR(__xludf.DUMMYFUNCTION("""COMPUTED_VALUE"""),"в байке")</f>
        <v>в байке</v>
      </c>
      <c r="M14" s="208"/>
      <c r="N14" s="208"/>
      <c r="O14" s="208"/>
      <c r="P14" s="208"/>
      <c r="Q14" s="208"/>
      <c r="R14" s="208"/>
      <c r="S14" s="212"/>
      <c r="T14" s="208"/>
      <c r="U14" s="208"/>
      <c r="V14" s="208"/>
      <c r="W14" s="208"/>
      <c r="X14" s="208"/>
      <c r="Y14" s="208"/>
      <c r="Z14" s="208"/>
    </row>
    <row r="15">
      <c r="A15" s="208" t="str">
        <f>IFERROR(__xludf.DUMMYFUNCTION("""COMPUTED_VALUE"""),"ДОМА")</f>
        <v>ДОМА</v>
      </c>
      <c r="B15" s="207" t="str">
        <f>IFERROR(__xludf.DUMMYFUNCTION("""COMPUTED_VALUE"""),"NMAX 155CC BLACK GREEN PHUKET 4253")</f>
        <v>NMAX 155CC BLACK GREEN PHUKET 4253</v>
      </c>
      <c r="C15" s="209">
        <f>IFERROR(__xludf.DUMMYFUNCTION("""COMPUTED_VALUE"""),2020.0)</f>
        <v>2020</v>
      </c>
      <c r="D15" s="210">
        <f>IFERROR(__xludf.DUMMYFUNCTION("""COMPUTED_VALUE"""),21200.0)</f>
        <v>21200</v>
      </c>
      <c r="E15" s="210">
        <f>IFERROR(__xludf.DUMMYFUNCTION("""COMPUTED_VALUE"""),18700.0)</f>
        <v>18700</v>
      </c>
      <c r="F15" s="210"/>
      <c r="G15" s="210"/>
      <c r="H15" s="208" t="str">
        <f>IFERROR(__xludf.DUMMYFUNCTION("""COMPUTED_VALUE"""),"я 4253+")</f>
        <v>я 4253+</v>
      </c>
      <c r="I15" s="208">
        <f>IFERROR(__xludf.DUMMYFUNCTION("""COMPUTED_VALUE"""),1.0)</f>
        <v>1</v>
      </c>
      <c r="J15" s="209"/>
      <c r="K15" s="211">
        <f>IFERROR(__xludf.DUMMYFUNCTION("""COMPUTED_VALUE"""),45102.0)</f>
        <v>45102</v>
      </c>
      <c r="L15" s="208" t="str">
        <f>IFERROR(__xludf.DUMMYFUNCTION("""COMPUTED_VALUE"""),"в байке")</f>
        <v>в байке</v>
      </c>
      <c r="M15" s="208"/>
      <c r="N15" s="208"/>
      <c r="O15" s="208"/>
      <c r="P15" s="208"/>
      <c r="Q15" s="208"/>
      <c r="R15" s="208"/>
      <c r="S15" s="212"/>
      <c r="T15" s="208"/>
      <c r="U15" s="208"/>
      <c r="V15" s="208"/>
      <c r="W15" s="208"/>
      <c r="X15" s="208"/>
      <c r="Y15" s="208"/>
      <c r="Z15" s="208"/>
    </row>
    <row r="16">
      <c r="A16" s="208" t="str">
        <f>IFERROR(__xludf.DUMMYFUNCTION("""COMPUTED_VALUE"""),"ДОМА")</f>
        <v>ДОМА</v>
      </c>
      <c r="B16" s="207" t="str">
        <f>IFERROR(__xludf.DUMMYFUNCTION("""COMPUTED_VALUE"""),"NMAX 155CC BLACK PHUKET 8952")</f>
        <v>NMAX 155CC BLACK PHUKET 8952</v>
      </c>
      <c r="C16" s="209">
        <f>IFERROR(__xludf.DUMMYFUNCTION("""COMPUTED_VALUE"""),2020.0)</f>
        <v>2020</v>
      </c>
      <c r="D16" s="210">
        <f>IFERROR(__xludf.DUMMYFUNCTION("""COMPUTED_VALUE"""),26243.0)</f>
        <v>26243</v>
      </c>
      <c r="E16" s="210">
        <f>IFERROR(__xludf.DUMMYFUNCTION("""COMPUTED_VALUE"""),20890.0)</f>
        <v>20890</v>
      </c>
      <c r="F16" s="210">
        <f>IFERROR(__xludf.DUMMYFUNCTION("""COMPUTED_VALUE"""),15600.0)</f>
        <v>15600</v>
      </c>
      <c r="G16" s="210">
        <f>IFERROR(__xludf.DUMMYFUNCTION("""COMPUTED_VALUE"""),15600.0)</f>
        <v>15600</v>
      </c>
      <c r="H16" s="208" t="str">
        <f>IFERROR(__xludf.DUMMYFUNCTION("""COMPUTED_VALUE"""),"я 8952+")</f>
        <v>я 8952+</v>
      </c>
      <c r="I16" s="208">
        <f>IFERROR(__xludf.DUMMYFUNCTION("""COMPUTED_VALUE"""),1.0)</f>
        <v>1</v>
      </c>
      <c r="J16" s="209"/>
      <c r="K16" s="211">
        <f>IFERROR(__xludf.DUMMYFUNCTION("""COMPUTED_VALUE"""),45046.0)</f>
        <v>45046</v>
      </c>
      <c r="L16" s="208" t="str">
        <f>IFERROR(__xludf.DUMMYFUNCTION("""COMPUTED_VALUE"""),"в байке")</f>
        <v>в байке</v>
      </c>
      <c r="M16" s="208"/>
      <c r="N16" s="208"/>
      <c r="O16" s="208"/>
      <c r="P16" s="208"/>
      <c r="Q16" s="208"/>
      <c r="R16" s="208"/>
      <c r="S16" s="212"/>
      <c r="T16" s="208"/>
      <c r="U16" s="208"/>
      <c r="V16" s="208"/>
      <c r="W16" s="208"/>
      <c r="X16" s="208"/>
      <c r="Y16" s="208"/>
      <c r="Z16" s="208"/>
    </row>
    <row r="17">
      <c r="A17" s="208" t="str">
        <f>IFERROR(__xludf.DUMMYFUNCTION("""COMPUTED_VALUE"""),"ДОМА")</f>
        <v>ДОМА</v>
      </c>
      <c r="B17" s="207" t="str">
        <f>IFERROR(__xludf.DUMMYFUNCTION("""COMPUTED_VALUE"""),"NMAX 155CC BLACK-2 PHUKET 9561")</f>
        <v>NMAX 155CC BLACK-2 PHUKET 9561</v>
      </c>
      <c r="C17" s="209">
        <f>IFERROR(__xludf.DUMMYFUNCTION("""COMPUTED_VALUE"""),2020.0)</f>
        <v>2020</v>
      </c>
      <c r="D17" s="210">
        <f>IFERROR(__xludf.DUMMYFUNCTION("""COMPUTED_VALUE"""),23337.0)</f>
        <v>23337</v>
      </c>
      <c r="E17" s="210">
        <f>IFERROR(__xludf.DUMMYFUNCTION("""COMPUTED_VALUE"""),23337.0)</f>
        <v>23337</v>
      </c>
      <c r="F17" s="210">
        <f>IFERROR(__xludf.DUMMYFUNCTION("""COMPUTED_VALUE"""),11358.0)</f>
        <v>11358</v>
      </c>
      <c r="G17" s="210">
        <f>IFERROR(__xludf.DUMMYFUNCTION("""COMPUTED_VALUE"""),11358.0)</f>
        <v>11358</v>
      </c>
      <c r="H17" s="208" t="str">
        <f>IFERROR(__xludf.DUMMYFUNCTION("""COMPUTED_VALUE"""),"я 9854")</f>
        <v>я 9854</v>
      </c>
      <c r="I17" s="208">
        <f>IFERROR(__xludf.DUMMYFUNCTION("""COMPUTED_VALUE"""),1.0)</f>
        <v>1</v>
      </c>
      <c r="J17" s="209"/>
      <c r="K17" s="211">
        <f>IFERROR(__xludf.DUMMYFUNCTION("""COMPUTED_VALUE"""),45256.0)</f>
        <v>45256</v>
      </c>
      <c r="L17" s="208"/>
      <c r="M17" s="208" t="str">
        <f>IFERROR(__xludf.DUMMYFUNCTION("""COMPUTED_VALUE"""),"вешать номер 9854")</f>
        <v>вешать номер 9854</v>
      </c>
      <c r="N17" s="208"/>
      <c r="O17" s="208"/>
      <c r="P17" s="208"/>
      <c r="Q17" s="208"/>
      <c r="R17" s="208"/>
      <c r="S17" s="212"/>
      <c r="T17" s="208"/>
      <c r="U17" s="208"/>
      <c r="V17" s="208"/>
      <c r="W17" s="208"/>
      <c r="X17" s="208"/>
      <c r="Y17" s="208"/>
      <c r="Z17" s="208"/>
    </row>
    <row r="18">
      <c r="A18" s="208" t="str">
        <f>IFERROR(__xludf.DUMMYFUNCTION("""COMPUTED_VALUE"""),"ДОМА")</f>
        <v>ДОМА</v>
      </c>
      <c r="B18" s="207" t="str">
        <f>IFERROR(__xludf.DUMMYFUNCTION("""COMPUTED_VALUE"""),"NMAX 155CC BLUE PHUKET 4957")</f>
        <v>NMAX 155CC BLUE PHUKET 4957</v>
      </c>
      <c r="C18" s="209">
        <f>IFERROR(__xludf.DUMMYFUNCTION("""COMPUTED_VALUE"""),2020.0)</f>
        <v>2020</v>
      </c>
      <c r="D18" s="210">
        <f>IFERROR(__xludf.DUMMYFUNCTION("""COMPUTED_VALUE"""),16700.0)</f>
        <v>16700</v>
      </c>
      <c r="E18" s="210">
        <f>IFERROR(__xludf.DUMMYFUNCTION("""COMPUTED_VALUE"""),14600.0)</f>
        <v>14600</v>
      </c>
      <c r="F18" s="210">
        <f>IFERROR(__xludf.DUMMYFUNCTION("""COMPUTED_VALUE"""),12600.0)</f>
        <v>12600</v>
      </c>
      <c r="G18" s="210"/>
      <c r="H18" s="208" t="str">
        <f>IFERROR(__xludf.DUMMYFUNCTION("""COMPUTED_VALUE"""),"я 4957 +")</f>
        <v>я 4957 +</v>
      </c>
      <c r="I18" s="208">
        <f>IFERROR(__xludf.DUMMYFUNCTION("""COMPUTED_VALUE"""),1.0)</f>
        <v>1</v>
      </c>
      <c r="J18" s="209">
        <f>IFERROR(__xludf.DUMMYFUNCTION("""COMPUTED_VALUE"""),726323.0)</f>
        <v>726323</v>
      </c>
      <c r="K18" s="211">
        <f>IFERROR(__xludf.DUMMYFUNCTION("""COMPUTED_VALUE"""),45040.0)</f>
        <v>45040</v>
      </c>
      <c r="L18" s="208" t="str">
        <f>IFERROR(__xludf.DUMMYFUNCTION("""COMPUTED_VALUE"""),"в байке")</f>
        <v>в байке</v>
      </c>
      <c r="M18" s="208"/>
      <c r="N18" s="208"/>
      <c r="O18" s="208"/>
      <c r="P18" s="208"/>
      <c r="Q18" s="208"/>
      <c r="R18" s="208"/>
      <c r="S18" s="212"/>
      <c r="T18" s="208"/>
      <c r="U18" s="208"/>
      <c r="V18" s="208"/>
      <c r="W18" s="208"/>
      <c r="X18" s="208"/>
      <c r="Y18" s="208"/>
      <c r="Z18" s="208"/>
    </row>
    <row r="19">
      <c r="A19" s="208" t="str">
        <f>IFERROR(__xludf.DUMMYFUNCTION("""COMPUTED_VALUE"""),"ДОМА")</f>
        <v>ДОМА</v>
      </c>
      <c r="B19" s="207" t="str">
        <f>IFERROR(__xludf.DUMMYFUNCTION("""COMPUTED_VALUE"""),"NMAX 155CC GREEN MATT-2 PHUKET 7639")</f>
        <v>NMAX 155CC GREEN MATT-2 PHUKET 7639</v>
      </c>
      <c r="C19" s="209">
        <f>IFERROR(__xludf.DUMMYFUNCTION("""COMPUTED_VALUE"""),2020.0)</f>
        <v>2020</v>
      </c>
      <c r="D19" s="210">
        <f>IFERROR(__xludf.DUMMYFUNCTION("""COMPUTED_VALUE"""),21204.0)</f>
        <v>21204</v>
      </c>
      <c r="E19" s="210">
        <f>IFERROR(__xludf.DUMMYFUNCTION("""COMPUTED_VALUE"""),17100.0)</f>
        <v>17100</v>
      </c>
      <c r="F19" s="210">
        <f>IFERROR(__xludf.DUMMYFUNCTION("""COMPUTED_VALUE"""),6000.0)</f>
        <v>6000</v>
      </c>
      <c r="G19" s="210"/>
      <c r="H19" s="208" t="str">
        <f>IFERROR(__xludf.DUMMYFUNCTION("""COMPUTED_VALUE"""),"я 7639+")</f>
        <v>я 7639+</v>
      </c>
      <c r="I19" s="208">
        <f>IFERROR(__xludf.DUMMYFUNCTION("""COMPUTED_VALUE"""),1.0)</f>
        <v>1</v>
      </c>
      <c r="J19" s="209"/>
      <c r="K19" s="211">
        <f>IFERROR(__xludf.DUMMYFUNCTION("""COMPUTED_VALUE"""),45207.0)</f>
        <v>45207</v>
      </c>
      <c r="L19" s="208" t="str">
        <f>IFERROR(__xludf.DUMMYFUNCTION("""COMPUTED_VALUE"""),"в байке")</f>
        <v>в байке</v>
      </c>
      <c r="M19" s="208"/>
      <c r="N19" s="208"/>
      <c r="O19" s="208"/>
      <c r="P19" s="208"/>
      <c r="Q19" s="208"/>
      <c r="R19" s="208"/>
      <c r="S19" s="212"/>
      <c r="T19" s="208"/>
      <c r="U19" s="208"/>
      <c r="V19" s="208"/>
      <c r="W19" s="208"/>
      <c r="X19" s="208"/>
      <c r="Y19" s="208"/>
      <c r="Z19" s="208"/>
    </row>
    <row r="20">
      <c r="A20" s="208" t="str">
        <f>IFERROR(__xludf.DUMMYFUNCTION("""COMPUTED_VALUE"""),"В аренде")</f>
        <v>В аренде</v>
      </c>
      <c r="B20" s="207" t="str">
        <f>IFERROR(__xludf.DUMMYFUNCTION("""COMPUTED_VALUE"""),"NMAX 155CC GREY GOLD PHUKET 6908")</f>
        <v>NMAX 155CC GREY GOLD PHUKET 6908</v>
      </c>
      <c r="C20" s="209">
        <f>IFERROR(__xludf.DUMMYFUNCTION("""COMPUTED_VALUE"""),2021.0)</f>
        <v>2021</v>
      </c>
      <c r="D20" s="210">
        <f>IFERROR(__xludf.DUMMYFUNCTION("""COMPUTED_VALUE"""),20838.0)</f>
        <v>20838</v>
      </c>
      <c r="E20" s="210">
        <f>IFERROR(__xludf.DUMMYFUNCTION("""COMPUTED_VALUE"""),20838.0)</f>
        <v>20838</v>
      </c>
      <c r="F20" s="210">
        <f>IFERROR(__xludf.DUMMYFUNCTION("""COMPUTED_VALUE"""),17379.0)</f>
        <v>17379</v>
      </c>
      <c r="G20" s="210">
        <f>IFERROR(__xludf.DUMMYFUNCTION("""COMPUTED_VALUE"""),24900.0)</f>
        <v>24900</v>
      </c>
      <c r="H20" s="208" t="str">
        <f>IFERROR(__xludf.DUMMYFUNCTION("""COMPUTED_VALUE"""),"я 6908+")</f>
        <v>я 6908+</v>
      </c>
      <c r="I20" s="208">
        <f>IFERROR(__xludf.DUMMYFUNCTION("""COMPUTED_VALUE"""),1.0)</f>
        <v>1</v>
      </c>
      <c r="J20" s="209"/>
      <c r="K20" s="211">
        <f>IFERROR(__xludf.DUMMYFUNCTION("""COMPUTED_VALUE"""),44842.0)</f>
        <v>44842</v>
      </c>
      <c r="L20" s="208"/>
      <c r="M20" s="208"/>
      <c r="N20" s="208" t="str">
        <f>IFERROR(__xludf.DUMMYFUNCTION("""COMPUTED_VALUE"""),"В аренде")</f>
        <v>В аренде</v>
      </c>
      <c r="O20" s="208" t="str">
        <f>IFERROR(__xludf.DUMMYFUNCTION("""COMPUTED_VALUE"""),"Vereshchinskii Artemii")</f>
        <v>Vereshchinskii Artemii</v>
      </c>
      <c r="P20" s="208" t="str">
        <f>IFERROR(__xludf.DUMMYFUNCTION("""COMPUTED_VALUE"""),"3 М")</f>
        <v>3 М</v>
      </c>
      <c r="Q20" s="208" t="str">
        <f>IFERROR(__xludf.DUMMYFUNCTION("""COMPUTED_VALUE"""),"03.06.2024 , 18:00")</f>
        <v>03.06.2024 , 18:00</v>
      </c>
      <c r="R20" s="208" t="str">
        <f>IFERROR(__xludf.DUMMYFUNCTION("""COMPUTED_VALUE"""),"฿217")</f>
        <v>฿217</v>
      </c>
      <c r="S20" s="212">
        <f>IFERROR(__xludf.DUMMYFUNCTION("""COMPUTED_VALUE"""),165533.3333333333)</f>
        <v>165533.3333</v>
      </c>
      <c r="T20" s="208"/>
      <c r="U20" s="208"/>
      <c r="V20" s="208"/>
      <c r="W20" s="208"/>
      <c r="X20" s="208"/>
      <c r="Y20" s="208"/>
      <c r="Z20" s="208"/>
    </row>
    <row r="21">
      <c r="A21" s="208" t="str">
        <f>IFERROR(__xludf.DUMMYFUNCTION("""COMPUTED_VALUE"""),"ДОМА")</f>
        <v>ДОМА</v>
      </c>
      <c r="B21" s="207" t="str">
        <f>IFERROR(__xludf.DUMMYFUNCTION("""COMPUTED_VALUE"""),"NMAX 155CC GREY MATT PHUKET 7527")</f>
        <v>NMAX 155CC GREY MATT PHUKET 7527</v>
      </c>
      <c r="C21" s="209">
        <f>IFERROR(__xludf.DUMMYFUNCTION("""COMPUTED_VALUE"""),2021.0)</f>
        <v>2021</v>
      </c>
      <c r="D21" s="210">
        <f>IFERROR(__xludf.DUMMYFUNCTION("""COMPUTED_VALUE"""),18927.0)</f>
        <v>18927</v>
      </c>
      <c r="E21" s="210">
        <f>IFERROR(__xludf.DUMMYFUNCTION("""COMPUTED_VALUE"""),18927.0)</f>
        <v>18927</v>
      </c>
      <c r="F21" s="210">
        <f>IFERROR(__xludf.DUMMYFUNCTION("""COMPUTED_VALUE"""),15500.0)</f>
        <v>15500</v>
      </c>
      <c r="G21" s="210">
        <f>IFERROR(__xludf.DUMMYFUNCTION("""COMPUTED_VALUE"""),12300.0)</f>
        <v>12300</v>
      </c>
      <c r="H21" s="208" t="str">
        <f>IFERROR(__xludf.DUMMYFUNCTION("""COMPUTED_VALUE"""),"я 7527 +")</f>
        <v>я 7527 +</v>
      </c>
      <c r="I21" s="208">
        <f>IFERROR(__xludf.DUMMYFUNCTION("""COMPUTED_VALUE"""),2.0)</f>
        <v>2</v>
      </c>
      <c r="J21" s="209">
        <f>IFERROR(__xludf.DUMMYFUNCTION("""COMPUTED_VALUE"""),858413.0)</f>
        <v>858413</v>
      </c>
      <c r="K21" s="211"/>
      <c r="L21" s="208" t="str">
        <f>IFERROR(__xludf.DUMMYFUNCTION("""COMPUTED_VALUE"""),"?")</f>
        <v>?</v>
      </c>
      <c r="M21" s="208"/>
      <c r="N21" s="208"/>
      <c r="O21" s="208"/>
      <c r="P21" s="208"/>
      <c r="Q21" s="208"/>
      <c r="R21" s="208"/>
      <c r="S21" s="212"/>
      <c r="T21" s="208"/>
      <c r="U21" s="208"/>
      <c r="V21" s="208"/>
      <c r="W21" s="208"/>
      <c r="X21" s="208"/>
      <c r="Y21" s="208"/>
      <c r="Z21" s="208"/>
    </row>
    <row r="22">
      <c r="A22" s="208" t="str">
        <f>IFERROR(__xludf.DUMMYFUNCTION("""COMPUTED_VALUE"""),"В аренде")</f>
        <v>В аренде</v>
      </c>
      <c r="B22" s="207" t="str">
        <f>IFERROR(__xludf.DUMMYFUNCTION("""COMPUTED_VALUE"""),"NMAX 155CC GREY NOSMART PHUKET 5508")</f>
        <v>NMAX 155CC GREY NOSMART PHUKET 5508</v>
      </c>
      <c r="C22" s="209">
        <f>IFERROR(__xludf.DUMMYFUNCTION("""COMPUTED_VALUE"""),2019.0)</f>
        <v>2019</v>
      </c>
      <c r="D22" s="210">
        <f>IFERROR(__xludf.DUMMYFUNCTION("""COMPUTED_VALUE"""),35568.0)</f>
        <v>35568</v>
      </c>
      <c r="E22" s="210">
        <f>IFERROR(__xludf.DUMMYFUNCTION("""COMPUTED_VALUE"""),32300.0)</f>
        <v>32300</v>
      </c>
      <c r="F22" s="210">
        <f>IFERROR(__xludf.DUMMYFUNCTION("""COMPUTED_VALUE"""),24000.0)</f>
        <v>24000</v>
      </c>
      <c r="G22" s="210">
        <f>IFERROR(__xludf.DUMMYFUNCTION("""COMPUTED_VALUE"""),24000.0)</f>
        <v>24000</v>
      </c>
      <c r="H22" s="208" t="str">
        <f>IFERROR(__xludf.DUMMYFUNCTION("""COMPUTED_VALUE"""),"я 5580+")</f>
        <v>я 5580+</v>
      </c>
      <c r="I22" s="208">
        <f>IFERROR(__xludf.DUMMYFUNCTION("""COMPUTED_VALUE"""),2.0)</f>
        <v>2</v>
      </c>
      <c r="J22" s="209"/>
      <c r="K22" s="211">
        <f>IFERROR(__xludf.DUMMYFUNCTION("""COMPUTED_VALUE"""),44978.0)</f>
        <v>44978</v>
      </c>
      <c r="L22" s="208" t="str">
        <f>IFERROR(__xludf.DUMMYFUNCTION("""COMPUTED_VALUE"""),"?")</f>
        <v>?</v>
      </c>
      <c r="M22" s="208" t="str">
        <f>IFERROR(__xludf.DUMMYFUNCTION("""COMPUTED_VALUE"""),"ошибка номер 5580")</f>
        <v>ошибка номер 5580</v>
      </c>
      <c r="N22" s="208" t="str">
        <f>IFERROR(__xludf.DUMMYFUNCTION("""COMPUTED_VALUE"""),"В аренде")</f>
        <v>В аренде</v>
      </c>
      <c r="O22" s="208" t="str">
        <f>IFERROR(__xludf.DUMMYFUNCTION("""COMPUTED_VALUE"""),"Phil Vorontsov")</f>
        <v>Phil Vorontsov</v>
      </c>
      <c r="P22" s="208" t="str">
        <f>IFERROR(__xludf.DUMMYFUNCTION("""COMPUTED_VALUE"""),"1 М")</f>
        <v>1 М</v>
      </c>
      <c r="Q22" s="208" t="str">
        <f>IFERROR(__xludf.DUMMYFUNCTION("""COMPUTED_VALUE"""),"25.06.2024 , 16:00")</f>
        <v>25.06.2024 , 16:00</v>
      </c>
      <c r="R22" s="208" t="str">
        <f>IFERROR(__xludf.DUMMYFUNCTION("""COMPUTED_VALUE"""),"฿133")</f>
        <v>฿133</v>
      </c>
      <c r="S22" s="212">
        <f>IFERROR(__xludf.DUMMYFUNCTION("""COMPUTED_VALUE"""),98800.00000000001)</f>
        <v>98800</v>
      </c>
      <c r="T22" s="208"/>
      <c r="U22" s="208"/>
      <c r="V22" s="208"/>
      <c r="W22" s="208"/>
      <c r="X22" s="208"/>
      <c r="Y22" s="208"/>
      <c r="Z22" s="208"/>
    </row>
    <row r="23">
      <c r="A23" s="208" t="str">
        <f>IFERROR(__xludf.DUMMYFUNCTION("""COMPUTED_VALUE"""),"ДОМА")</f>
        <v>ДОМА</v>
      </c>
      <c r="B23" s="207" t="str">
        <f>IFERROR(__xludf.DUMMYFUNCTION("""COMPUTED_VALUE"""),"NMAX 155CC GREY PHUKET 5960")</f>
        <v>NMAX 155CC GREY PHUKET 5960</v>
      </c>
      <c r="C23" s="209">
        <f>IFERROR(__xludf.DUMMYFUNCTION("""COMPUTED_VALUE"""),2021.0)</f>
        <v>2021</v>
      </c>
      <c r="D23" s="210">
        <f>IFERROR(__xludf.DUMMYFUNCTION("""COMPUTED_VALUE"""),24700.0)</f>
        <v>24700</v>
      </c>
      <c r="E23" s="210">
        <f>IFERROR(__xludf.DUMMYFUNCTION("""COMPUTED_VALUE"""),24700.0)</f>
        <v>24700</v>
      </c>
      <c r="F23" s="210">
        <f>IFERROR(__xludf.DUMMYFUNCTION("""COMPUTED_VALUE"""),23150.0)</f>
        <v>23150</v>
      </c>
      <c r="G23" s="210">
        <f>IFERROR(__xludf.DUMMYFUNCTION("""COMPUTED_VALUE"""),10000.0)</f>
        <v>10000</v>
      </c>
      <c r="H23" s="208" t="str">
        <f>IFERROR(__xludf.DUMMYFUNCTION("""COMPUTED_VALUE"""),"не")</f>
        <v>не</v>
      </c>
      <c r="I23" s="208">
        <f>IFERROR(__xludf.DUMMYFUNCTION("""COMPUTED_VALUE"""),1.0)</f>
        <v>1</v>
      </c>
      <c r="J23" s="209">
        <f>IFERROR(__xludf.DUMMYFUNCTION("""COMPUTED_VALUE"""),623247.0)</f>
        <v>623247</v>
      </c>
      <c r="K23" s="211">
        <f>IFERROR(__xludf.DUMMYFUNCTION("""COMPUTED_VALUE"""),45039.0)</f>
        <v>45039</v>
      </c>
      <c r="L23" s="208"/>
      <c r="M23" s="208"/>
      <c r="N23" s="208"/>
      <c r="O23" s="208"/>
      <c r="P23" s="208"/>
      <c r="Q23" s="208"/>
      <c r="R23" s="208"/>
      <c r="S23" s="212"/>
      <c r="T23" s="208"/>
      <c r="U23" s="208"/>
      <c r="V23" s="208"/>
      <c r="W23" s="208"/>
      <c r="X23" s="208"/>
      <c r="Y23" s="208"/>
      <c r="Z23" s="208"/>
    </row>
    <row r="24">
      <c r="A24" s="208" t="str">
        <f>IFERROR(__xludf.DUMMYFUNCTION("""COMPUTED_VALUE"""),"ДОМА")</f>
        <v>ДОМА</v>
      </c>
      <c r="B24" s="207" t="str">
        <f>IFERROR(__xludf.DUMMYFUNCTION("""COMPUTED_VALUE"""),"NMAX 155CC RACE PHUKET 7532")</f>
        <v>NMAX 155CC RACE PHUKET 7532</v>
      </c>
      <c r="C24" s="209">
        <f>IFERROR(__xludf.DUMMYFUNCTION("""COMPUTED_VALUE"""),2020.0)</f>
        <v>2020</v>
      </c>
      <c r="D24" s="210">
        <f>IFERROR(__xludf.DUMMYFUNCTION("""COMPUTED_VALUE"""),18600.0)</f>
        <v>18600</v>
      </c>
      <c r="E24" s="210">
        <f>IFERROR(__xludf.DUMMYFUNCTION("""COMPUTED_VALUE"""),16400.0)</f>
        <v>16400</v>
      </c>
      <c r="F24" s="210">
        <f>IFERROR(__xludf.DUMMYFUNCTION("""COMPUTED_VALUE"""),13000.0)</f>
        <v>13000</v>
      </c>
      <c r="G24" s="210">
        <f>IFERROR(__xludf.DUMMYFUNCTION("""COMPUTED_VALUE"""),13300.0)</f>
        <v>13300</v>
      </c>
      <c r="H24" s="208" t="str">
        <f>IFERROR(__xludf.DUMMYFUNCTION("""COMPUTED_VALUE"""),"я 7532 +")</f>
        <v>я 7532 +</v>
      </c>
      <c r="I24" s="208">
        <f>IFERROR(__xludf.DUMMYFUNCTION("""COMPUTED_VALUE"""),1.0)</f>
        <v>1</v>
      </c>
      <c r="J24" s="209">
        <f>IFERROR(__xludf.DUMMYFUNCTION("""COMPUTED_VALUE"""),554631.0)</f>
        <v>554631</v>
      </c>
      <c r="K24" s="211"/>
      <c r="L24" s="208" t="str">
        <f>IFERROR(__xludf.DUMMYFUNCTION("""COMPUTED_VALUE"""),"в байке")</f>
        <v>в байке</v>
      </c>
      <c r="M24" s="208"/>
      <c r="N24" s="208"/>
      <c r="O24" s="208"/>
      <c r="P24" s="208"/>
      <c r="Q24" s="208"/>
      <c r="R24" s="208"/>
      <c r="S24" s="212"/>
      <c r="T24" s="208"/>
      <c r="U24" s="208"/>
      <c r="V24" s="208"/>
      <c r="W24" s="208"/>
      <c r="X24" s="208"/>
      <c r="Y24" s="208"/>
      <c r="Z24" s="208"/>
    </row>
    <row r="25">
      <c r="A25" s="208" t="str">
        <f>IFERROR(__xludf.DUMMYFUNCTION("""COMPUTED_VALUE"""),"В аренде")</f>
        <v>В аренде</v>
      </c>
      <c r="B25" s="207" t="str">
        <f>IFERROR(__xludf.DUMMYFUNCTION("""COMPUTED_VALUE"""),"NMAX 155CC RED WHITE PHUKET 9548")</f>
        <v>NMAX 155CC RED WHITE PHUKET 9548</v>
      </c>
      <c r="C25" s="209">
        <f>IFERROR(__xludf.DUMMYFUNCTION("""COMPUTED_VALUE"""),2020.0)</f>
        <v>2020</v>
      </c>
      <c r="D25" s="210">
        <f>IFERROR(__xludf.DUMMYFUNCTION("""COMPUTED_VALUE"""),18900.0)</f>
        <v>18900</v>
      </c>
      <c r="E25" s="210">
        <f>IFERROR(__xludf.DUMMYFUNCTION("""COMPUTED_VALUE"""),18900.0)</f>
        <v>18900</v>
      </c>
      <c r="F25" s="210">
        <f>IFERROR(__xludf.DUMMYFUNCTION("""COMPUTED_VALUE"""),13800.0)</f>
        <v>13800</v>
      </c>
      <c r="G25" s="210">
        <f>IFERROR(__xludf.DUMMYFUNCTION("""COMPUTED_VALUE"""),13800.0)</f>
        <v>13800</v>
      </c>
      <c r="H25" s="208" t="str">
        <f>IFERROR(__xludf.DUMMYFUNCTION("""COMPUTED_VALUE"""),"я 9548 +")</f>
        <v>я 9548 +</v>
      </c>
      <c r="I25" s="208">
        <f>IFERROR(__xludf.DUMMYFUNCTION("""COMPUTED_VALUE"""),1.0)</f>
        <v>1</v>
      </c>
      <c r="J25" s="209">
        <f>IFERROR(__xludf.DUMMYFUNCTION("""COMPUTED_VALUE"""),718175.0)</f>
        <v>718175</v>
      </c>
      <c r="K25" s="211">
        <f>IFERROR(__xludf.DUMMYFUNCTION("""COMPUTED_VALUE"""),45276.0)</f>
        <v>45276</v>
      </c>
      <c r="L25" s="208"/>
      <c r="M25" s="208"/>
      <c r="N25" s="208" t="str">
        <f>IFERROR(__xludf.DUMMYFUNCTION("""COMPUTED_VALUE"""),"В аренде")</f>
        <v>В аренде</v>
      </c>
      <c r="O25" s="208" t="str">
        <f>IFERROR(__xludf.DUMMYFUNCTION("""COMPUTED_VALUE"""),"Nikitin Kirill")</f>
        <v>Nikitin Kirill</v>
      </c>
      <c r="P25" s="208" t="str">
        <f>IFERROR(__xludf.DUMMYFUNCTION("""COMPUTED_VALUE"""),"10 Д")</f>
        <v>10 Д</v>
      </c>
      <c r="Q25" s="208" t="str">
        <f>IFERROR(__xludf.DUMMYFUNCTION("""COMPUTED_VALUE"""),"20.05.2024 , 15:00")</f>
        <v>20.05.2024 , 15:00</v>
      </c>
      <c r="R25" s="208" t="str">
        <f>IFERROR(__xludf.DUMMYFUNCTION("""COMPUTED_VALUE"""),"฿390")</f>
        <v>฿390</v>
      </c>
      <c r="S25" s="212">
        <f>IFERROR(__xludf.DUMMYFUNCTION("""COMPUTED_VALUE"""),302640.0)</f>
        <v>302640</v>
      </c>
      <c r="T25" s="208"/>
      <c r="U25" s="208"/>
      <c r="V25" s="208"/>
      <c r="W25" s="208"/>
      <c r="X25" s="208"/>
      <c r="Y25" s="208"/>
      <c r="Z25" s="208"/>
    </row>
    <row r="26">
      <c r="A26" s="208" t="str">
        <f>IFERROR(__xludf.DUMMYFUNCTION("""COMPUTED_VALUE"""),"ДОМА")</f>
        <v>ДОМА</v>
      </c>
      <c r="B26" s="207" t="str">
        <f>IFERROR(__xludf.DUMMYFUNCTION("""COMPUTED_VALUE"""),"PCX 150CC 150 GREY PHUKET 778")</f>
        <v>PCX 150CC 150 GREY PHUKET 778</v>
      </c>
      <c r="C26" s="209">
        <f>IFERROR(__xludf.DUMMYFUNCTION("""COMPUTED_VALUE"""),2019.0)</f>
        <v>2019</v>
      </c>
      <c r="D26" s="210">
        <f>IFERROR(__xludf.DUMMYFUNCTION("""COMPUTED_VALUE"""),25700.0)</f>
        <v>25700</v>
      </c>
      <c r="E26" s="210">
        <f>IFERROR(__xludf.DUMMYFUNCTION("""COMPUTED_VALUE"""),22186.0)</f>
        <v>22186</v>
      </c>
      <c r="F26" s="210"/>
      <c r="G26" s="210">
        <f>IFERROR(__xludf.DUMMYFUNCTION("""COMPUTED_VALUE"""),20000.0)</f>
        <v>20000</v>
      </c>
      <c r="H26" s="208" t="str">
        <f>IFERROR(__xludf.DUMMYFUNCTION("""COMPUTED_VALUE"""),"я 778+")</f>
        <v>я 778+</v>
      </c>
      <c r="I26" s="208">
        <f>IFERROR(__xludf.DUMMYFUNCTION("""COMPUTED_VALUE"""),1.0)</f>
        <v>1</v>
      </c>
      <c r="J26" s="209">
        <f>IFERROR(__xludf.DUMMYFUNCTION("""COMPUTED_VALUE"""),1.39545674E8)</f>
        <v>139545674</v>
      </c>
      <c r="K26" s="211">
        <f>IFERROR(__xludf.DUMMYFUNCTION("""COMPUTED_VALUE"""),45276.0)</f>
        <v>45276</v>
      </c>
      <c r="L26" s="208" t="str">
        <f>IFERROR(__xludf.DUMMYFUNCTION("""COMPUTED_VALUE"""),"?")</f>
        <v>?</v>
      </c>
      <c r="M26" s="208"/>
      <c r="N26" s="208"/>
      <c r="O26" s="208"/>
      <c r="P26" s="208"/>
      <c r="Q26" s="208"/>
      <c r="R26" s="208"/>
      <c r="S26" s="212"/>
      <c r="T26" s="208"/>
      <c r="U26" s="208"/>
      <c r="V26" s="208"/>
      <c r="W26" s="208"/>
      <c r="X26" s="208"/>
      <c r="Y26" s="208"/>
      <c r="Z26" s="208"/>
    </row>
    <row r="27">
      <c r="A27" s="208" t="str">
        <f>IFERROR(__xludf.DUMMYFUNCTION("""COMPUTED_VALUE"""),"ДОМА")</f>
        <v>ДОМА</v>
      </c>
      <c r="B27" s="207" t="str">
        <f>IFERROR(__xludf.DUMMYFUNCTION("""COMPUTED_VALUE"""),"R3 RED MATT 5992")</f>
        <v>R3 RED MATT 5992</v>
      </c>
      <c r="C27" s="209">
        <f>IFERROR(__xludf.DUMMYFUNCTION("""COMPUTED_VALUE"""),2019.0)</f>
        <v>2019</v>
      </c>
      <c r="D27" s="210">
        <f>IFERROR(__xludf.DUMMYFUNCTION("""COMPUTED_VALUE"""),22800.0)</f>
        <v>22800</v>
      </c>
      <c r="E27" s="210"/>
      <c r="F27" s="210">
        <f>IFERROR(__xludf.DUMMYFUNCTION("""COMPUTED_VALUE"""),14750.0)</f>
        <v>14750</v>
      </c>
      <c r="G27" s="210"/>
      <c r="H27" s="208"/>
      <c r="I27" s="208">
        <f>IFERROR(__xludf.DUMMYFUNCTION("""COMPUTED_VALUE"""),2.0)</f>
        <v>2</v>
      </c>
      <c r="J27" s="209"/>
      <c r="K27" s="211">
        <f>IFERROR(__xludf.DUMMYFUNCTION("""COMPUTED_VALUE"""),45419.0)</f>
        <v>45419</v>
      </c>
      <c r="L27" s="208"/>
      <c r="M27" s="208"/>
      <c r="N27" s="208"/>
      <c r="O27" s="208"/>
      <c r="P27" s="208"/>
      <c r="Q27" s="208"/>
      <c r="R27" s="208"/>
      <c r="S27" s="212"/>
      <c r="T27" s="208"/>
      <c r="U27" s="208"/>
      <c r="V27" s="208"/>
      <c r="W27" s="208"/>
      <c r="X27" s="208"/>
      <c r="Y27" s="208"/>
      <c r="Z27" s="208"/>
    </row>
    <row r="28">
      <c r="A28" s="208" t="str">
        <f>IFERROR(__xludf.DUMMYFUNCTION("""COMPUTED_VALUE"""),"ДОМА")</f>
        <v>ДОМА</v>
      </c>
      <c r="B28" s="207" t="str">
        <f>IFERROR(__xludf.DUMMYFUNCTION("""COMPUTED_VALUE"""),"REBEL 300СС PHUKET 7884")</f>
        <v>REBEL 300СС PHUKET 7884</v>
      </c>
      <c r="C28" s="209">
        <f>IFERROR(__xludf.DUMMYFUNCTION("""COMPUTED_VALUE"""),2018.0)</f>
        <v>2018</v>
      </c>
      <c r="D28" s="210">
        <f>IFERROR(__xludf.DUMMYFUNCTION("""COMPUTED_VALUE"""),18300.0)</f>
        <v>18300</v>
      </c>
      <c r="E28" s="210"/>
      <c r="F28" s="210">
        <f>IFERROR(__xludf.DUMMYFUNCTION("""COMPUTED_VALUE"""),13000.0)</f>
        <v>13000</v>
      </c>
      <c r="G28" s="210"/>
      <c r="H28" s="208" t="str">
        <f>IFERROR(__xludf.DUMMYFUNCTION("""COMPUTED_VALUE"""),"я 7844 +")</f>
        <v>я 7844 +</v>
      </c>
      <c r="I28" s="208">
        <f>IFERROR(__xludf.DUMMYFUNCTION("""COMPUTED_VALUE"""),2.0)</f>
        <v>2</v>
      </c>
      <c r="J28" s="209"/>
      <c r="K28" s="211">
        <f>IFERROR(__xludf.DUMMYFUNCTION("""COMPUTED_VALUE"""),45309.0)</f>
        <v>45309</v>
      </c>
      <c r="L28" s="208" t="str">
        <f>IFERROR(__xludf.DUMMYFUNCTION("""COMPUTED_VALUE"""),"в байке")</f>
        <v>в байке</v>
      </c>
      <c r="M28" s="208"/>
      <c r="N28" s="208"/>
      <c r="O28" s="208"/>
      <c r="P28" s="208"/>
      <c r="Q28" s="208"/>
      <c r="R28" s="208"/>
      <c r="S28" s="212"/>
      <c r="T28" s="208"/>
      <c r="U28" s="208"/>
      <c r="V28" s="208"/>
      <c r="W28" s="208"/>
      <c r="X28" s="208"/>
      <c r="Y28" s="208"/>
      <c r="Z28" s="208"/>
    </row>
    <row r="29">
      <c r="A29" s="208" t="str">
        <f>IFERROR(__xludf.DUMMYFUNCTION("""COMPUTED_VALUE"""),"ДОМА")</f>
        <v>ДОМА</v>
      </c>
      <c r="B29" s="207" t="str">
        <f>IFERROR(__xludf.DUMMYFUNCTION("""COMPUTED_VALUE"""),"VULCAN 650CC S PHUKET 5065")</f>
        <v>VULCAN 650CC S PHUKET 5065</v>
      </c>
      <c r="C29" s="209">
        <f>IFERROR(__xludf.DUMMYFUNCTION("""COMPUTED_VALUE"""),2019.0)</f>
        <v>2019</v>
      </c>
      <c r="D29" s="210">
        <f>IFERROR(__xludf.DUMMYFUNCTION("""COMPUTED_VALUE"""),27400.0)</f>
        <v>27400</v>
      </c>
      <c r="E29" s="210"/>
      <c r="F29" s="210">
        <f>IFERROR(__xludf.DUMMYFUNCTION("""COMPUTED_VALUE"""),16500.0)</f>
        <v>16500</v>
      </c>
      <c r="G29" s="210"/>
      <c r="H29" s="208" t="str">
        <f>IFERROR(__xludf.DUMMYFUNCTION("""COMPUTED_VALUE"""),"нет")</f>
        <v>нет</v>
      </c>
      <c r="I29" s="208">
        <f>IFERROR(__xludf.DUMMYFUNCTION("""COMPUTED_VALUE"""),1.0)</f>
        <v>1</v>
      </c>
      <c r="J29" s="209"/>
      <c r="K29" s="211">
        <f>IFERROR(__xludf.DUMMYFUNCTION("""COMPUTED_VALUE"""),45419.0)</f>
        <v>45419</v>
      </c>
      <c r="L29" s="208" t="str">
        <f>IFERROR(__xludf.DUMMYFUNCTION("""COMPUTED_VALUE"""),"нет")</f>
        <v>нет</v>
      </c>
      <c r="M29" s="208"/>
      <c r="N29" s="208"/>
      <c r="O29" s="208"/>
      <c r="P29" s="208"/>
      <c r="Q29" s="208"/>
      <c r="R29" s="208"/>
      <c r="S29" s="212"/>
      <c r="T29" s="208"/>
      <c r="U29" s="208"/>
      <c r="V29" s="208"/>
      <c r="W29" s="208"/>
      <c r="X29" s="208"/>
      <c r="Y29" s="208"/>
      <c r="Z29" s="208"/>
    </row>
    <row r="30">
      <c r="A30" s="208" t="str">
        <f>IFERROR(__xludf.DUMMYFUNCTION("""COMPUTED_VALUE"""),"ДОМА")</f>
        <v>ДОМА</v>
      </c>
      <c r="B30" s="207" t="str">
        <f>IFERROR(__xludf.DUMMYFUNCTION("""COMPUTED_VALUE"""),"XMAX 300CC 2017 8358")</f>
        <v>XMAX 300CC 2017 8358</v>
      </c>
      <c r="C30" s="209">
        <f>IFERROR(__xludf.DUMMYFUNCTION("""COMPUTED_VALUE"""),2017.0)</f>
        <v>2017</v>
      </c>
      <c r="D30" s="210">
        <f>IFERROR(__xludf.DUMMYFUNCTION("""COMPUTED_VALUE"""),40000.0)</f>
        <v>40000</v>
      </c>
      <c r="E30" s="210">
        <f>IFERROR(__xludf.DUMMYFUNCTION("""COMPUTED_VALUE"""),40000.0)</f>
        <v>40000</v>
      </c>
      <c r="F30" s="210">
        <f>IFERROR(__xludf.DUMMYFUNCTION("""COMPUTED_VALUE"""),36000.0)</f>
        <v>36000</v>
      </c>
      <c r="G30" s="210"/>
      <c r="H30" s="208" t="str">
        <f>IFERROR(__xludf.DUMMYFUNCTION("""COMPUTED_VALUE"""),"я 8358 +")</f>
        <v>я 8358 +</v>
      </c>
      <c r="I30" s="208">
        <f>IFERROR(__xludf.DUMMYFUNCTION("""COMPUTED_VALUE"""),2.0)</f>
        <v>2</v>
      </c>
      <c r="J30" s="209">
        <f>IFERROR(__xludf.DUMMYFUNCTION("""COMPUTED_VALUE"""),876628.0)</f>
        <v>876628</v>
      </c>
      <c r="K30" s="211">
        <f>IFERROR(__xludf.DUMMYFUNCTION("""COMPUTED_VALUE"""),45070.0)</f>
        <v>45070</v>
      </c>
      <c r="L30" s="208" t="str">
        <f>IFERROR(__xludf.DUMMYFUNCTION("""COMPUTED_VALUE"""),"?")</f>
        <v>?</v>
      </c>
      <c r="M30" s="208"/>
      <c r="N30" s="208"/>
      <c r="O30" s="208"/>
      <c r="P30" s="208"/>
      <c r="Q30" s="208"/>
      <c r="R30" s="208"/>
      <c r="S30" s="212"/>
      <c r="T30" s="208"/>
      <c r="U30" s="208"/>
      <c r="V30" s="208"/>
      <c r="W30" s="208"/>
      <c r="X30" s="208"/>
      <c r="Y30" s="208"/>
      <c r="Z30" s="208"/>
    </row>
    <row r="31">
      <c r="A31" s="208" t="str">
        <f>IFERROR(__xludf.DUMMYFUNCTION("""COMPUTED_VALUE"""),"ДОМА")</f>
        <v>ДОМА</v>
      </c>
      <c r="B31" s="207" t="str">
        <f>IFERROR(__xludf.DUMMYFUNCTION("""COMPUTED_VALUE"""),"XMAX 300CC 2020 BLACKGOLD PHUKET 3163")</f>
        <v>XMAX 300CC 2020 BLACKGOLD PHUKET 3163</v>
      </c>
      <c r="C31" s="209">
        <f>IFERROR(__xludf.DUMMYFUNCTION("""COMPUTED_VALUE"""),2020.0)</f>
        <v>2020</v>
      </c>
      <c r="D31" s="210">
        <f>IFERROR(__xludf.DUMMYFUNCTION("""COMPUTED_VALUE"""),26500.0)</f>
        <v>26500</v>
      </c>
      <c r="E31" s="210">
        <f>IFERROR(__xludf.DUMMYFUNCTION("""COMPUTED_VALUE"""),21400.0)</f>
        <v>21400</v>
      </c>
      <c r="F31" s="210">
        <f>IFERROR(__xludf.DUMMYFUNCTION("""COMPUTED_VALUE"""),16500.0)</f>
        <v>16500</v>
      </c>
      <c r="G31" s="210">
        <f>IFERROR(__xludf.DUMMYFUNCTION("""COMPUTED_VALUE"""),16500.0)</f>
        <v>16500</v>
      </c>
      <c r="H31" s="208" t="str">
        <f>IFERROR(__xludf.DUMMYFUNCTION("""COMPUTED_VALUE"""),"я 3163 +")</f>
        <v>я 3163 +</v>
      </c>
      <c r="I31" s="208">
        <f>IFERROR(__xludf.DUMMYFUNCTION("""COMPUTED_VALUE"""),1.0)</f>
        <v>1</v>
      </c>
      <c r="J31" s="209">
        <f>IFERROR(__xludf.DUMMYFUNCTION("""COMPUTED_VALUE"""),523152.0)</f>
        <v>523152</v>
      </c>
      <c r="K31" s="211">
        <f>IFERROR(__xludf.DUMMYFUNCTION("""COMPUTED_VALUE"""),45253.0)</f>
        <v>45253</v>
      </c>
      <c r="L31" s="208"/>
      <c r="M31" s="208" t="str">
        <f>IFERROR(__xludf.DUMMYFUNCTION("""COMPUTED_VALUE"""),"старый номер 4178")</f>
        <v>старый номер 4178</v>
      </c>
      <c r="N31" s="208"/>
      <c r="O31" s="208"/>
      <c r="P31" s="208"/>
      <c r="Q31" s="208"/>
      <c r="R31" s="208"/>
      <c r="S31" s="212"/>
      <c r="T31" s="208"/>
      <c r="U31" s="208"/>
      <c r="V31" s="208"/>
      <c r="W31" s="208"/>
      <c r="X31" s="208"/>
      <c r="Y31" s="208"/>
      <c r="Z31" s="208"/>
    </row>
    <row r="32">
      <c r="A32" s="208" t="str">
        <f>IFERROR(__xludf.DUMMYFUNCTION("""COMPUTED_VALUE"""),"ДОМА")</f>
        <v>ДОМА</v>
      </c>
      <c r="B32" s="207" t="str">
        <f>IFERROR(__xludf.DUMMYFUNCTION("""COMPUTED_VALUE"""),"XMAX 300CC BLUE PHUKET 5773")</f>
        <v>XMAX 300CC BLUE PHUKET 5773</v>
      </c>
      <c r="C32" s="209">
        <f>IFERROR(__xludf.DUMMYFUNCTION("""COMPUTED_VALUE"""),2019.0)</f>
        <v>2019</v>
      </c>
      <c r="D32" s="210">
        <f>IFERROR(__xludf.DUMMYFUNCTION("""COMPUTED_VALUE"""),20500.0)</f>
        <v>20500</v>
      </c>
      <c r="E32" s="210">
        <f>IFERROR(__xludf.DUMMYFUNCTION("""COMPUTED_VALUE"""),14600.0)</f>
        <v>14600</v>
      </c>
      <c r="F32" s="210">
        <f>IFERROR(__xludf.DUMMYFUNCTION("""COMPUTED_VALUE"""),14600.0)</f>
        <v>14600</v>
      </c>
      <c r="G32" s="210">
        <f>IFERROR(__xludf.DUMMYFUNCTION("""COMPUTED_VALUE"""),28600.0)</f>
        <v>28600</v>
      </c>
      <c r="H32" s="208" t="str">
        <f>IFERROR(__xludf.DUMMYFUNCTION("""COMPUTED_VALUE"""),"я 5773 +")</f>
        <v>я 5773 +</v>
      </c>
      <c r="I32" s="208">
        <f>IFERROR(__xludf.DUMMYFUNCTION("""COMPUTED_VALUE"""),1.0)</f>
        <v>1</v>
      </c>
      <c r="J32" s="209">
        <f>IFERROR(__xludf.DUMMYFUNCTION("""COMPUTED_VALUE"""),735553.0)</f>
        <v>735553</v>
      </c>
      <c r="K32" s="211">
        <f>IFERROR(__xludf.DUMMYFUNCTION("""COMPUTED_VALUE"""),45192.0)</f>
        <v>45192</v>
      </c>
      <c r="L32" s="208" t="str">
        <f>IFERROR(__xludf.DUMMYFUNCTION("""COMPUTED_VALUE"""),"в байке")</f>
        <v>в байке</v>
      </c>
      <c r="M32" s="208"/>
      <c r="N32" s="208"/>
      <c r="O32" s="208"/>
      <c r="P32" s="208"/>
      <c r="Q32" s="208"/>
      <c r="R32" s="208"/>
      <c r="S32" s="212"/>
      <c r="T32" s="208"/>
      <c r="U32" s="208"/>
      <c r="V32" s="208"/>
      <c r="W32" s="208"/>
      <c r="X32" s="208"/>
      <c r="Y32" s="208"/>
      <c r="Z32" s="208"/>
    </row>
    <row r="33">
      <c r="A33" s="208" t="str">
        <f>IFERROR(__xludf.DUMMYFUNCTION("""COMPUTED_VALUE"""),"ДОМА")</f>
        <v>ДОМА</v>
      </c>
      <c r="B33" s="207" t="str">
        <f>IFERROR(__xludf.DUMMYFUNCTION("""COMPUTED_VALUE"""),"XMAX 300CC GREEN PHUKET 4248")</f>
        <v>XMAX 300CC GREEN PHUKET 4248</v>
      </c>
      <c r="C33" s="209">
        <f>IFERROR(__xludf.DUMMYFUNCTION("""COMPUTED_VALUE"""),2020.0)</f>
        <v>2020</v>
      </c>
      <c r="D33" s="210">
        <f>IFERROR(__xludf.DUMMYFUNCTION("""COMPUTED_VALUE"""),22800.0)</f>
        <v>22800</v>
      </c>
      <c r="E33" s="210">
        <f>IFERROR(__xludf.DUMMYFUNCTION("""COMPUTED_VALUE"""),22800.0)</f>
        <v>22800</v>
      </c>
      <c r="F33" s="210">
        <f>IFERROR(__xludf.DUMMYFUNCTION("""COMPUTED_VALUE"""),22800.0)</f>
        <v>22800</v>
      </c>
      <c r="G33" s="210">
        <f>IFERROR(__xludf.DUMMYFUNCTION("""COMPUTED_VALUE"""),22800.0)</f>
        <v>22800</v>
      </c>
      <c r="H33" s="208" t="str">
        <f>IFERROR(__xludf.DUMMYFUNCTION("""COMPUTED_VALUE"""),"я 4248 +")</f>
        <v>я 4248 +</v>
      </c>
      <c r="I33" s="208">
        <f>IFERROR(__xludf.DUMMYFUNCTION("""COMPUTED_VALUE"""),2.0)</f>
        <v>2</v>
      </c>
      <c r="J33" s="209">
        <f>IFERROR(__xludf.DUMMYFUNCTION("""COMPUTED_VALUE"""),762164.0)</f>
        <v>762164</v>
      </c>
      <c r="K33" s="211">
        <f>IFERROR(__xludf.DUMMYFUNCTION("""COMPUTED_VALUE"""),45054.0)</f>
        <v>45054</v>
      </c>
      <c r="L33" s="208" t="str">
        <f>IFERROR(__xludf.DUMMYFUNCTION("""COMPUTED_VALUE"""),"в байке")</f>
        <v>в байке</v>
      </c>
      <c r="M33" s="208"/>
      <c r="N33" s="208"/>
      <c r="O33" s="208"/>
      <c r="P33" s="208"/>
      <c r="Q33" s="208"/>
      <c r="R33" s="208"/>
      <c r="S33" s="212"/>
      <c r="T33" s="208"/>
      <c r="U33" s="208"/>
      <c r="V33" s="208"/>
      <c r="W33" s="208"/>
      <c r="X33" s="208"/>
      <c r="Y33" s="208"/>
      <c r="Z33" s="208"/>
    </row>
    <row r="34">
      <c r="A34" s="208" t="str">
        <f>IFERROR(__xludf.DUMMYFUNCTION("""COMPUTED_VALUE"""),"ДОМА")</f>
        <v>ДОМА</v>
      </c>
      <c r="B34" s="207" t="str">
        <f>IFERROR(__xludf.DUMMYFUNCTION("""COMPUTED_VALUE"""),"XMAX 300CC GREY PHUKET 4246")</f>
        <v>XMAX 300CC GREY PHUKET 4246</v>
      </c>
      <c r="C34" s="209">
        <f>IFERROR(__xludf.DUMMYFUNCTION("""COMPUTED_VALUE"""),2019.0)</f>
        <v>2019</v>
      </c>
      <c r="D34" s="210">
        <f>IFERROR(__xludf.DUMMYFUNCTION("""COMPUTED_VALUE"""),22723.0)</f>
        <v>22723</v>
      </c>
      <c r="E34" s="210">
        <f>IFERROR(__xludf.DUMMYFUNCTION("""COMPUTED_VALUE"""),22723.0)</f>
        <v>22723</v>
      </c>
      <c r="F34" s="210">
        <f>IFERROR(__xludf.DUMMYFUNCTION("""COMPUTED_VALUE"""),13800.0)</f>
        <v>13800</v>
      </c>
      <c r="G34" s="210">
        <f>IFERROR(__xludf.DUMMYFUNCTION("""COMPUTED_VALUE"""),19500.0)</f>
        <v>19500</v>
      </c>
      <c r="H34" s="208" t="str">
        <f>IFERROR(__xludf.DUMMYFUNCTION("""COMPUTED_VALUE"""),"я 4246 +")</f>
        <v>я 4246 +</v>
      </c>
      <c r="I34" s="208">
        <f>IFERROR(__xludf.DUMMYFUNCTION("""COMPUTED_VALUE"""),1.0)</f>
        <v>1</v>
      </c>
      <c r="J34" s="209">
        <f>IFERROR(__xludf.DUMMYFUNCTION("""COMPUTED_VALUE"""),682517.0)</f>
        <v>682517</v>
      </c>
      <c r="K34" s="211">
        <f>IFERROR(__xludf.DUMMYFUNCTION("""COMPUTED_VALUE"""),45060.0)</f>
        <v>45060</v>
      </c>
      <c r="L34" s="208" t="str">
        <f>IFERROR(__xludf.DUMMYFUNCTION("""COMPUTED_VALUE"""),"в байке")</f>
        <v>в байке</v>
      </c>
      <c r="M34" s="208"/>
      <c r="N34" s="208"/>
      <c r="O34" s="208"/>
      <c r="P34" s="208"/>
      <c r="Q34" s="208"/>
      <c r="R34" s="208"/>
      <c r="S34" s="212"/>
      <c r="T34" s="208"/>
      <c r="U34" s="208"/>
      <c r="V34" s="208"/>
      <c r="W34" s="208"/>
      <c r="X34" s="208"/>
      <c r="Y34" s="208"/>
      <c r="Z34" s="208"/>
    </row>
    <row r="35">
      <c r="A35" s="208" t="str">
        <f>IFERROR(__xludf.DUMMYFUNCTION("""COMPUTED_VALUE"""),"ДОМА")</f>
        <v>ДОМА</v>
      </c>
      <c r="B35" s="207" t="str">
        <f>IFERROR(__xludf.DUMMYFUNCTION("""COMPUTED_VALUE"""),"XMAX 300CC RED MATT PHUKET 8943")</f>
        <v>XMAX 300CC RED MATT PHUKET 8943</v>
      </c>
      <c r="C35" s="209">
        <f>IFERROR(__xludf.DUMMYFUNCTION("""COMPUTED_VALUE"""),2019.0)</f>
        <v>2019</v>
      </c>
      <c r="D35" s="210">
        <f>IFERROR(__xludf.DUMMYFUNCTION("""COMPUTED_VALUE"""),30873.0)</f>
        <v>30873</v>
      </c>
      <c r="E35" s="210">
        <f>IFERROR(__xludf.DUMMYFUNCTION("""COMPUTED_VALUE"""),30873.0)</f>
        <v>30873</v>
      </c>
      <c r="F35" s="210">
        <f>IFERROR(__xludf.DUMMYFUNCTION("""COMPUTED_VALUE"""),21170.0)</f>
        <v>21170</v>
      </c>
      <c r="G35" s="210"/>
      <c r="H35" s="208" t="str">
        <f>IFERROR(__xludf.DUMMYFUNCTION("""COMPUTED_VALUE"""),"я 8943+")</f>
        <v>я 8943+</v>
      </c>
      <c r="I35" s="208">
        <f>IFERROR(__xludf.DUMMYFUNCTION("""COMPUTED_VALUE"""),1.0)</f>
        <v>1</v>
      </c>
      <c r="J35" s="209"/>
      <c r="K35" s="211">
        <f>IFERROR(__xludf.DUMMYFUNCTION("""COMPUTED_VALUE"""),45039.0)</f>
        <v>45039</v>
      </c>
      <c r="L35" s="208" t="str">
        <f>IFERROR(__xludf.DUMMYFUNCTION("""COMPUTED_VALUE"""),"в байке")</f>
        <v>в байке</v>
      </c>
      <c r="M35" s="208"/>
      <c r="N35" s="208"/>
      <c r="O35" s="208"/>
      <c r="P35" s="208"/>
      <c r="Q35" s="208"/>
      <c r="R35" s="208"/>
      <c r="S35" s="212"/>
      <c r="T35" s="208"/>
      <c r="U35" s="208"/>
      <c r="V35" s="208"/>
      <c r="W35" s="208"/>
      <c r="X35" s="208"/>
      <c r="Y35" s="208"/>
      <c r="Z35" s="208"/>
    </row>
    <row r="36">
      <c r="A36" s="208" t="str">
        <f>IFERROR(__xludf.DUMMYFUNCTION("""COMPUTED_VALUE"""),"ДОМА")</f>
        <v>ДОМА</v>
      </c>
      <c r="B36" s="207" t="str">
        <f>IFERROR(__xludf.DUMMYFUNCTION("""COMPUTED_VALUE"""),"XMAX 300CC RED PHUKET 6947")</f>
        <v>XMAX 300CC RED PHUKET 6947</v>
      </c>
      <c r="C36" s="209">
        <f>IFERROR(__xludf.DUMMYFUNCTION("""COMPUTED_VALUE"""),2019.0)</f>
        <v>2019</v>
      </c>
      <c r="D36" s="210">
        <f>IFERROR(__xludf.DUMMYFUNCTION("""COMPUTED_VALUE"""),13400.0)</f>
        <v>13400</v>
      </c>
      <c r="E36" s="210">
        <f>IFERROR(__xludf.DUMMYFUNCTION("""COMPUTED_VALUE"""),13400.0)</f>
        <v>13400</v>
      </c>
      <c r="F36" s="210">
        <f>IFERROR(__xludf.DUMMYFUNCTION("""COMPUTED_VALUE"""),13400.0)</f>
        <v>13400</v>
      </c>
      <c r="G36" s="210"/>
      <c r="H36" s="208" t="str">
        <f>IFERROR(__xludf.DUMMYFUNCTION("""COMPUTED_VALUE"""),"я 6947 +")</f>
        <v>я 6947 +</v>
      </c>
      <c r="I36" s="208">
        <f>IFERROR(__xludf.DUMMYFUNCTION("""COMPUTED_VALUE"""),1.0)</f>
        <v>1</v>
      </c>
      <c r="J36" s="209">
        <f>IFERROR(__xludf.DUMMYFUNCTION("""COMPUTED_VALUE"""),663236.0)</f>
        <v>663236</v>
      </c>
      <c r="K36" s="211">
        <f>IFERROR(__xludf.DUMMYFUNCTION("""COMPUTED_VALUE"""),45217.0)</f>
        <v>45217</v>
      </c>
      <c r="L36" s="208"/>
      <c r="M36" s="208"/>
      <c r="N36" s="208"/>
      <c r="O36" s="208"/>
      <c r="P36" s="208"/>
      <c r="Q36" s="208"/>
      <c r="R36" s="208"/>
      <c r="S36" s="212"/>
      <c r="T36" s="208"/>
      <c r="U36" s="208"/>
      <c r="V36" s="208"/>
      <c r="W36" s="208"/>
      <c r="X36" s="208"/>
      <c r="Y36" s="208"/>
      <c r="Z36" s="208"/>
    </row>
    <row r="37">
      <c r="A37" s="208" t="str">
        <f>IFERROR(__xludf.DUMMYFUNCTION("""COMPUTED_VALUE"""),"В аренде")</f>
        <v>В аренде</v>
      </c>
      <c r="B37" s="207" t="str">
        <f>IFERROR(__xludf.DUMMYFUNCTION("""COMPUTED_VALUE"""),"XMAX 300CC Y-CON")</f>
        <v>XMAX 300CC Y-CON</v>
      </c>
      <c r="C37" s="209">
        <f>IFERROR(__xludf.DUMMYFUNCTION("""COMPUTED_VALUE"""),2019.0)</f>
        <v>2019</v>
      </c>
      <c r="D37" s="210">
        <f>IFERROR(__xludf.DUMMYFUNCTION("""COMPUTED_VALUE"""),32400.0)</f>
        <v>32400</v>
      </c>
      <c r="E37" s="210">
        <f>IFERROR(__xludf.DUMMYFUNCTION("""COMPUTED_VALUE"""),26300.0)</f>
        <v>26300</v>
      </c>
      <c r="F37" s="210">
        <f>IFERROR(__xludf.DUMMYFUNCTION("""COMPUTED_VALUE"""),27200.0)</f>
        <v>27200</v>
      </c>
      <c r="G37" s="210">
        <f>IFERROR(__xludf.DUMMYFUNCTION("""COMPUTED_VALUE"""),27200.0)</f>
        <v>27200</v>
      </c>
      <c r="H37" s="208"/>
      <c r="I37" s="208">
        <f>IFERROR(__xludf.DUMMYFUNCTION("""COMPUTED_VALUE"""),1.0)</f>
        <v>1</v>
      </c>
      <c r="J37" s="209"/>
      <c r="K37" s="211"/>
      <c r="L37" s="208" t="str">
        <f>IFERROR(__xludf.DUMMYFUNCTION("""COMPUTED_VALUE"""),"?")</f>
        <v>?</v>
      </c>
      <c r="M37" s="208" t="str">
        <f>IFERROR(__xludf.DUMMYFUNCTION("""COMPUTED_VALUE"""),"номер 4784 старый новый 7829")</f>
        <v>номер 4784 старый новый 7829</v>
      </c>
      <c r="N37" s="208" t="str">
        <f>IFERROR(__xludf.DUMMYFUNCTION("""COMPUTED_VALUE"""),"В аренде")</f>
        <v>В аренде</v>
      </c>
      <c r="O37" s="208" t="str">
        <f>IFERROR(__xludf.DUMMYFUNCTION("""COMPUTED_VALUE"""),"Александр Ильин ")</f>
        <v>Александр Ильин </v>
      </c>
      <c r="P37" s="208" t="str">
        <f>IFERROR(__xludf.DUMMYFUNCTION("""COMPUTED_VALUE"""),"2 М")</f>
        <v>2 М</v>
      </c>
      <c r="Q37" s="208" t="str">
        <f>IFERROR(__xludf.DUMMYFUNCTION("""COMPUTED_VALUE"""),"28.05.2024 , 20:00")</f>
        <v>28.05.2024 , 20:00</v>
      </c>
      <c r="R37" s="208" t="str">
        <f>IFERROR(__xludf.DUMMYFUNCTION("""COMPUTED_VALUE"""),"฿387")</f>
        <v>฿387</v>
      </c>
      <c r="S37" s="212">
        <f>IFERROR(__xludf.DUMMYFUNCTION("""COMPUTED_VALUE"""),296903.22580645164)</f>
        <v>296903.2258</v>
      </c>
      <c r="T37" s="208"/>
      <c r="U37" s="208"/>
      <c r="V37" s="208"/>
      <c r="W37" s="208"/>
      <c r="X37" s="208"/>
      <c r="Y37" s="208"/>
      <c r="Z37" s="208"/>
    </row>
    <row r="38">
      <c r="A38" s="208" t="str">
        <f>IFERROR(__xludf.DUMMYFUNCTION("""COMPUTED_VALUE"""),"В аренде")</f>
        <v>В аренде</v>
      </c>
      <c r="B38" s="207" t="str">
        <f>IFERROR(__xludf.DUMMYFUNCTION("""COMPUTED_VALUE"""),"XSR 155СС BLACK PHUKET 8949")</f>
        <v>XSR 155СС BLACK PHUKET 8949</v>
      </c>
      <c r="C38" s="209">
        <f>IFERROR(__xludf.DUMMYFUNCTION("""COMPUTED_VALUE"""),2021.0)</f>
        <v>2021</v>
      </c>
      <c r="D38" s="210">
        <f>IFERROR(__xludf.DUMMYFUNCTION("""COMPUTED_VALUE"""),14070.0)</f>
        <v>14070</v>
      </c>
      <c r="E38" s="210"/>
      <c r="F38" s="210"/>
      <c r="G38" s="210"/>
      <c r="H38" s="208" t="str">
        <f>IFERROR(__xludf.DUMMYFUNCTION("""COMPUTED_VALUE"""),"я 8949 +")</f>
        <v>я 8949 +</v>
      </c>
      <c r="I38" s="208">
        <f>IFERROR(__xludf.DUMMYFUNCTION("""COMPUTED_VALUE"""),2.0)</f>
        <v>2</v>
      </c>
      <c r="J38" s="209"/>
      <c r="K38" s="211">
        <f>IFERROR(__xludf.DUMMYFUNCTION("""COMPUTED_VALUE"""),45092.0)</f>
        <v>45092</v>
      </c>
      <c r="L38" s="208" t="str">
        <f>IFERROR(__xludf.DUMMYFUNCTION("""COMPUTED_VALUE"""),"в байке")</f>
        <v>в байке</v>
      </c>
      <c r="M38" s="208"/>
      <c r="N38" s="208" t="str">
        <f>IFERROR(__xludf.DUMMYFUNCTION("""COMPUTED_VALUE"""),"В аренде")</f>
        <v>В аренде</v>
      </c>
      <c r="O38" s="208" t="str">
        <f>IFERROR(__xludf.DUMMYFUNCTION("""COMPUTED_VALUE"""),"Mksim Arutinyan")</f>
        <v>Mksim Arutinyan</v>
      </c>
      <c r="P38" s="208" t="str">
        <f>IFERROR(__xludf.DUMMYFUNCTION("""COMPUTED_VALUE"""),"2 М")</f>
        <v>2 М</v>
      </c>
      <c r="Q38" s="208" t="str">
        <f>IFERROR(__xludf.DUMMYFUNCTION("""COMPUTED_VALUE"""),"09.05.2024 , 20:00")</f>
        <v>09.05.2024 , 20:00</v>
      </c>
      <c r="R38" s="208" t="str">
        <f>IFERROR(__xludf.DUMMYFUNCTION("""COMPUTED_VALUE"""),"฿217")</f>
        <v>฿217</v>
      </c>
      <c r="S38" s="212">
        <f>IFERROR(__xludf.DUMMYFUNCTION("""COMPUTED_VALUE"""),172733.3333333333)</f>
        <v>172733.3333</v>
      </c>
      <c r="T38" s="208"/>
      <c r="U38" s="208"/>
      <c r="V38" s="208"/>
      <c r="W38" s="208"/>
      <c r="X38" s="208"/>
      <c r="Y38" s="208"/>
      <c r="Z38" s="208"/>
    </row>
    <row r="39">
      <c r="A39" s="208" t="str">
        <f>IFERROR(__xludf.DUMMYFUNCTION("""COMPUTED_VALUE"""),"В аренде")</f>
        <v>В аренде</v>
      </c>
      <c r="B39" s="207" t="str">
        <f>IFERROR(__xludf.DUMMYFUNCTION("""COMPUTED_VALUE"""),"XSR 155СС GREEN")</f>
        <v>XSR 155СС GREEN</v>
      </c>
      <c r="C39" s="209">
        <f>IFERROR(__xludf.DUMMYFUNCTION("""COMPUTED_VALUE"""),2021.0)</f>
        <v>2021</v>
      </c>
      <c r="D39" s="210">
        <f>IFERROR(__xludf.DUMMYFUNCTION("""COMPUTED_VALUE"""),5000.0)</f>
        <v>5000</v>
      </c>
      <c r="E39" s="210">
        <f>IFERROR(__xludf.DUMMYFUNCTION("""COMPUTED_VALUE"""),3500.0)</f>
        <v>3500</v>
      </c>
      <c r="F39" s="210"/>
      <c r="G39" s="210"/>
      <c r="H39" s="208" t="str">
        <f>IFERROR(__xludf.DUMMYFUNCTION("""COMPUTED_VALUE"""),"я 6956")</f>
        <v>я 6956</v>
      </c>
      <c r="I39" s="208">
        <f>IFERROR(__xludf.DUMMYFUNCTION("""COMPUTED_VALUE"""),2.0)</f>
        <v>2</v>
      </c>
      <c r="J39" s="209"/>
      <c r="K39" s="211"/>
      <c r="L39" s="208"/>
      <c r="M39" s="208" t="str">
        <f>IFERROR(__xludf.DUMMYFUNCTION("""COMPUTED_VALUE"""),"1023 новый номер не весит")</f>
        <v>1023 новый номер не весит</v>
      </c>
      <c r="N39" s="208" t="str">
        <f>IFERROR(__xludf.DUMMYFUNCTION("""COMPUTED_VALUE"""),"В аренде")</f>
        <v>В аренде</v>
      </c>
      <c r="O39" s="208" t="str">
        <f>IFERROR(__xludf.DUMMYFUNCTION("""COMPUTED_VALUE"""),"Bukreev Denis")</f>
        <v>Bukreev Denis</v>
      </c>
      <c r="P39" s="208" t="str">
        <f>IFERROR(__xludf.DUMMYFUNCTION("""COMPUTED_VALUE"""),"3 М")</f>
        <v>3 М</v>
      </c>
      <c r="Q39" s="208" t="str">
        <f>IFERROR(__xludf.DUMMYFUNCTION("""COMPUTED_VALUE"""),"05.07.2024 , 16:00")</f>
        <v>05.07.2024 , 16:00</v>
      </c>
      <c r="R39" s="208" t="str">
        <f>IFERROR(__xludf.DUMMYFUNCTION("""COMPUTED_VALUE"""),"฿223")</f>
        <v>฿223</v>
      </c>
      <c r="S39" s="212">
        <f>IFERROR(__xludf.DUMMYFUNCTION("""COMPUTED_VALUE"""),169956.6666666667)</f>
        <v>169956.6667</v>
      </c>
      <c r="T39" s="208"/>
      <c r="U39" s="208"/>
      <c r="V39" s="208"/>
      <c r="W39" s="208"/>
      <c r="X39" s="208"/>
      <c r="Y39" s="208"/>
      <c r="Z39" s="208"/>
    </row>
    <row r="40">
      <c r="A40" s="208" t="str">
        <f>IFERROR(__xludf.DUMMYFUNCTION("""COMPUTED_VALUE"""),"ДОМА")</f>
        <v>ДОМА</v>
      </c>
      <c r="B40" s="207" t="str">
        <f>IFERROR(__xludf.DUMMYFUNCTION("""COMPUTED_VALUE"""),"XSR 155СС GREY PHUKET 6946")</f>
        <v>XSR 155СС GREY PHUKET 6946</v>
      </c>
      <c r="C40" s="209">
        <f>IFERROR(__xludf.DUMMYFUNCTION("""COMPUTED_VALUE"""),2022.0)</f>
        <v>2022</v>
      </c>
      <c r="D40" s="210">
        <f>IFERROR(__xludf.DUMMYFUNCTION("""COMPUTED_VALUE"""),11600.0)</f>
        <v>11600</v>
      </c>
      <c r="E40" s="210">
        <f>IFERROR(__xludf.DUMMYFUNCTION("""COMPUTED_VALUE"""),7000.0)</f>
        <v>7000</v>
      </c>
      <c r="F40" s="210"/>
      <c r="G40" s="210"/>
      <c r="H40" s="208" t="str">
        <f>IFERROR(__xludf.DUMMYFUNCTION("""COMPUTED_VALUE"""),"я 6946 +")</f>
        <v>я 6946 +</v>
      </c>
      <c r="I40" s="208">
        <f>IFERROR(__xludf.DUMMYFUNCTION("""COMPUTED_VALUE"""),2.0)</f>
        <v>2</v>
      </c>
      <c r="J40" s="209"/>
      <c r="K40" s="211">
        <f>IFERROR(__xludf.DUMMYFUNCTION("""COMPUTED_VALUE"""),45238.0)</f>
        <v>45238</v>
      </c>
      <c r="L40" s="208"/>
      <c r="M40" s="208"/>
      <c r="N40" s="208"/>
      <c r="O40" s="208"/>
      <c r="P40" s="208"/>
      <c r="Q40" s="208"/>
      <c r="R40" s="208"/>
      <c r="S40" s="212"/>
      <c r="T40" s="208"/>
      <c r="U40" s="208"/>
      <c r="V40" s="208"/>
      <c r="W40" s="208"/>
      <c r="X40" s="208"/>
      <c r="Y40" s="208"/>
      <c r="Z40" s="208"/>
    </row>
    <row r="41">
      <c r="A41" s="208" t="str">
        <f>IFERROR(__xludf.DUMMYFUNCTION("""COMPUTED_VALUE"""),"ДОМА")</f>
        <v>ДОМА</v>
      </c>
      <c r="B41" s="207" t="str">
        <f>IFERROR(__xludf.DUMMYFUNCTION("""COMPUTED_VALUE"""),"XSR 155СС GREY-2 PHUKET 1024")</f>
        <v>XSR 155СС GREY-2 PHUKET 1024</v>
      </c>
      <c r="C41" s="209">
        <f>IFERROR(__xludf.DUMMYFUNCTION("""COMPUTED_VALUE"""),2020.0)</f>
        <v>2020</v>
      </c>
      <c r="D41" s="210">
        <f>IFERROR(__xludf.DUMMYFUNCTION("""COMPUTED_VALUE"""),15122.0)</f>
        <v>15122</v>
      </c>
      <c r="E41" s="210">
        <f>IFERROR(__xludf.DUMMYFUNCTION("""COMPUTED_VALUE"""),4700.0)</f>
        <v>4700</v>
      </c>
      <c r="F41" s="210"/>
      <c r="G41" s="210"/>
      <c r="H41" s="208" t="str">
        <f>IFERROR(__xludf.DUMMYFUNCTION("""COMPUTED_VALUE"""),"я 1024 +")</f>
        <v>я 1024 +</v>
      </c>
      <c r="I41" s="208">
        <f>IFERROR(__xludf.DUMMYFUNCTION("""COMPUTED_VALUE"""),2.0)</f>
        <v>2</v>
      </c>
      <c r="J41" s="209"/>
      <c r="K41" s="211">
        <f>IFERROR(__xludf.DUMMYFUNCTION("""COMPUTED_VALUE"""),45096.0)</f>
        <v>45096</v>
      </c>
      <c r="L41" s="208"/>
      <c r="M41" s="208"/>
      <c r="N41" s="208"/>
      <c r="O41" s="208"/>
      <c r="P41" s="208"/>
      <c r="Q41" s="208"/>
      <c r="R41" s="208"/>
      <c r="S41" s="212"/>
      <c r="T41" s="208"/>
      <c r="U41" s="208"/>
      <c r="V41" s="208"/>
      <c r="W41" s="208"/>
      <c r="X41" s="208"/>
      <c r="Y41" s="208"/>
      <c r="Z41" s="208"/>
    </row>
    <row r="42">
      <c r="A42" s="208" t="str">
        <f>IFERROR(__xludf.DUMMYFUNCTION("""COMPUTED_VALUE"""),"ДОМА")</f>
        <v>ДОМА</v>
      </c>
      <c r="B42" s="207" t="str">
        <f>IFERROR(__xludf.DUMMYFUNCTION("""COMPUTED_VALUE"""),"XSR 900СС PHUKET 5630")</f>
        <v>XSR 900СС PHUKET 5630</v>
      </c>
      <c r="C42" s="209">
        <f>IFERROR(__xludf.DUMMYFUNCTION("""COMPUTED_VALUE"""),2016.0)</f>
        <v>2016</v>
      </c>
      <c r="D42" s="210">
        <f>IFERROR(__xludf.DUMMYFUNCTION("""COMPUTED_VALUE"""),50700.0)</f>
        <v>50700</v>
      </c>
      <c r="E42" s="210"/>
      <c r="F42" s="210">
        <f>IFERROR(__xludf.DUMMYFUNCTION("""COMPUTED_VALUE"""),36500.0)</f>
        <v>36500</v>
      </c>
      <c r="G42" s="210"/>
      <c r="H42" s="208" t="str">
        <f>IFERROR(__xludf.DUMMYFUNCTION("""COMPUTED_VALUE"""),"артем")</f>
        <v>артем</v>
      </c>
      <c r="I42" s="208">
        <f>IFERROR(__xludf.DUMMYFUNCTION("""COMPUTED_VALUE"""),2.0)</f>
        <v>2</v>
      </c>
      <c r="J42" s="209"/>
      <c r="K42" s="211">
        <f>IFERROR(__xludf.DUMMYFUNCTION("""COMPUTED_VALUE"""),45096.0)</f>
        <v>45096</v>
      </c>
      <c r="L42" s="208"/>
      <c r="M42" s="208"/>
      <c r="N42" s="208"/>
      <c r="O42" s="208"/>
      <c r="P42" s="208"/>
      <c r="Q42" s="208"/>
      <c r="R42" s="208"/>
      <c r="S42" s="212"/>
      <c r="T42" s="208"/>
      <c r="U42" s="208"/>
      <c r="V42" s="208"/>
      <c r="W42" s="208"/>
      <c r="X42" s="208"/>
      <c r="Y42" s="208"/>
      <c r="Z42" s="208"/>
    </row>
    <row r="43">
      <c r="A43" s="208" t="str">
        <f>IFERROR(__xludf.DUMMYFUNCTION("""COMPUTED_VALUE"""),"ДОМА")</f>
        <v>ДОМА</v>
      </c>
      <c r="B43" s="207" t="str">
        <f>IFERROR(__xludf.DUMMYFUNCTION("""COMPUTED_VALUE"""),"XMAX 300СС RED GLOSS BKK 8946")</f>
        <v>XMAX 300СС RED GLOSS BKK 8946</v>
      </c>
      <c r="C43" s="209">
        <f>IFERROR(__xludf.DUMMYFUNCTION("""COMPUTED_VALUE"""),2023.0)</f>
        <v>2023</v>
      </c>
      <c r="D43" s="210">
        <f>IFERROR(__xludf.DUMMYFUNCTION("""COMPUTED_VALUE"""),5000.0)</f>
        <v>5000</v>
      </c>
      <c r="E43" s="210">
        <f>IFERROR(__xludf.DUMMYFUNCTION("""COMPUTED_VALUE"""),5000.0)</f>
        <v>5000</v>
      </c>
      <c r="F43" s="210">
        <f>IFERROR(__xludf.DUMMYFUNCTION("""COMPUTED_VALUE"""),8900.0)</f>
        <v>8900</v>
      </c>
      <c r="G43" s="210"/>
      <c r="H43" s="208" t="str">
        <f>IFERROR(__xludf.DUMMYFUNCTION("""COMPUTED_VALUE"""),"нет")</f>
        <v>нет</v>
      </c>
      <c r="I43" s="208">
        <f>IFERROR(__xludf.DUMMYFUNCTION("""COMPUTED_VALUE"""),1.0)</f>
        <v>1</v>
      </c>
      <c r="J43" s="209">
        <f>IFERROR(__xludf.DUMMYFUNCTION("""COMPUTED_VALUE"""),255888.0)</f>
        <v>255888</v>
      </c>
      <c r="K43" s="211">
        <f>IFERROR(__xludf.DUMMYFUNCTION("""COMPUTED_VALUE"""),45451.0)</f>
        <v>45451</v>
      </c>
      <c r="L43" s="208"/>
      <c r="M43" s="208"/>
      <c r="N43" s="208"/>
      <c r="O43" s="208"/>
      <c r="P43" s="208"/>
      <c r="Q43" s="208"/>
      <c r="R43" s="208"/>
      <c r="S43" s="212"/>
      <c r="T43" s="208"/>
      <c r="U43" s="208"/>
      <c r="V43" s="208"/>
      <c r="W43" s="208"/>
      <c r="X43" s="208"/>
      <c r="Y43" s="208"/>
      <c r="Z43" s="208"/>
    </row>
    <row r="44">
      <c r="A44" s="208" t="str">
        <f>IFERROR(__xludf.DUMMYFUNCTION("""COMPUTED_VALUE"""),"ДОМА")</f>
        <v>ДОМА</v>
      </c>
      <c r="B44" s="207" t="str">
        <f>IFERROR(__xludf.DUMMYFUNCTION("""COMPUTED_VALUE"""),"ADV 350CC GREY BKK 798")</f>
        <v>ADV 350CC GREY BKK 798</v>
      </c>
      <c r="C44" s="209">
        <f>IFERROR(__xludf.DUMMYFUNCTION("""COMPUTED_VALUE"""),2023.0)</f>
        <v>2023</v>
      </c>
      <c r="D44" s="210">
        <f>IFERROR(__xludf.DUMMYFUNCTION("""COMPUTED_VALUE"""),6800.0)</f>
        <v>6800</v>
      </c>
      <c r="E44" s="210"/>
      <c r="F44" s="210"/>
      <c r="G44" s="210"/>
      <c r="H44" s="208"/>
      <c r="I44" s="208">
        <f>IFERROR(__xludf.DUMMYFUNCTION("""COMPUTED_VALUE"""),2.0)</f>
        <v>2</v>
      </c>
      <c r="J44" s="209">
        <f>IFERROR(__xludf.DUMMYFUNCTION("""COMPUTED_VALUE"""),1.00155405E8)</f>
        <v>100155405</v>
      </c>
      <c r="K44" s="211"/>
      <c r="L44" s="208"/>
      <c r="M44" s="208"/>
      <c r="N44" s="208"/>
      <c r="O44" s="208"/>
      <c r="P44" s="208"/>
      <c r="Q44" s="208"/>
      <c r="R44" s="208"/>
      <c r="S44" s="212"/>
      <c r="T44" s="208"/>
      <c r="U44" s="208"/>
      <c r="V44" s="208"/>
      <c r="W44" s="208"/>
      <c r="X44" s="208"/>
      <c r="Y44" s="208"/>
      <c r="Z44" s="208"/>
    </row>
    <row r="45">
      <c r="A45" s="208" t="str">
        <f>IFERROR(__xludf.DUMMYFUNCTION("""COMPUTED_VALUE"""),"ДОМА")</f>
        <v>ДОМА</v>
      </c>
      <c r="B45" s="207" t="str">
        <f>IFERROR(__xludf.DUMMYFUNCTION("""COMPUTED_VALUE"""),"R7 700CC WHITE PHUKET 4743")</f>
        <v>R7 700CC WHITE PHUKET 4743</v>
      </c>
      <c r="C45" s="209">
        <f>IFERROR(__xludf.DUMMYFUNCTION("""COMPUTED_VALUE"""),2023.0)</f>
        <v>2023</v>
      </c>
      <c r="D45" s="210"/>
      <c r="E45" s="210"/>
      <c r="F45" s="210"/>
      <c r="G45" s="210"/>
      <c r="H45" s="208"/>
      <c r="I45" s="208">
        <f>IFERROR(__xludf.DUMMYFUNCTION("""COMPUTED_VALUE"""),2.0)</f>
        <v>2</v>
      </c>
      <c r="J45" s="209"/>
      <c r="K45" s="211"/>
      <c r="L45" s="208"/>
      <c r="M45" s="208"/>
      <c r="N45" s="208"/>
      <c r="O45" s="208"/>
      <c r="P45" s="208"/>
      <c r="Q45" s="208"/>
      <c r="R45" s="208"/>
      <c r="S45" s="212"/>
      <c r="T45" s="208"/>
      <c r="U45" s="208"/>
      <c r="V45" s="208"/>
      <c r="W45" s="208"/>
      <c r="X45" s="208"/>
      <c r="Y45" s="208"/>
      <c r="Z45" s="208"/>
    </row>
    <row r="46">
      <c r="A46" s="208"/>
      <c r="B46" s="207"/>
      <c r="C46" s="209"/>
      <c r="D46" s="210"/>
      <c r="E46" s="210"/>
      <c r="F46" s="210"/>
      <c r="G46" s="210"/>
      <c r="H46" s="208"/>
      <c r="I46" s="208"/>
      <c r="J46" s="209"/>
      <c r="K46" s="211"/>
      <c r="L46" s="208"/>
      <c r="M46" s="208"/>
      <c r="N46" s="208"/>
      <c r="O46" s="208"/>
      <c r="P46" s="208"/>
      <c r="Q46" s="208"/>
      <c r="R46" s="208"/>
      <c r="S46" s="212"/>
      <c r="T46" s="208"/>
      <c r="U46" s="208"/>
      <c r="V46" s="208"/>
      <c r="W46" s="208"/>
      <c r="X46" s="208"/>
      <c r="Y46" s="208"/>
      <c r="Z46" s="208"/>
    </row>
    <row r="47">
      <c r="A47" s="208"/>
      <c r="B47" s="207"/>
      <c r="C47" s="209"/>
      <c r="D47" s="210"/>
      <c r="E47" s="210"/>
      <c r="F47" s="210"/>
      <c r="G47" s="210"/>
      <c r="H47" s="208"/>
      <c r="I47" s="208"/>
      <c r="J47" s="209"/>
      <c r="K47" s="211"/>
      <c r="L47" s="208"/>
      <c r="M47" s="208"/>
      <c r="N47" s="208"/>
      <c r="O47" s="208"/>
      <c r="P47" s="208"/>
      <c r="Q47" s="208"/>
      <c r="R47" s="208"/>
      <c r="S47" s="212"/>
      <c r="T47" s="208"/>
      <c r="U47" s="208"/>
      <c r="V47" s="208"/>
      <c r="W47" s="208"/>
      <c r="X47" s="208"/>
      <c r="Y47" s="208"/>
      <c r="Z47" s="208"/>
    </row>
    <row r="48">
      <c r="A48" s="208"/>
      <c r="B48" s="207"/>
      <c r="C48" s="209"/>
      <c r="D48" s="210"/>
      <c r="E48" s="210"/>
      <c r="F48" s="210"/>
      <c r="G48" s="210"/>
      <c r="H48" s="208"/>
      <c r="I48" s="208"/>
      <c r="J48" s="209"/>
      <c r="K48" s="211"/>
      <c r="L48" s="208"/>
      <c r="M48" s="208"/>
      <c r="N48" s="208"/>
      <c r="O48" s="208"/>
      <c r="P48" s="208"/>
      <c r="Q48" s="208"/>
      <c r="R48" s="208"/>
      <c r="S48" s="212"/>
      <c r="T48" s="208"/>
      <c r="U48" s="208"/>
      <c r="V48" s="208"/>
      <c r="W48" s="208"/>
      <c r="X48" s="208"/>
      <c r="Y48" s="208"/>
      <c r="Z48" s="208"/>
    </row>
    <row r="49">
      <c r="A49" s="208"/>
      <c r="B49" s="207"/>
      <c r="C49" s="209"/>
      <c r="D49" s="210"/>
      <c r="E49" s="210"/>
      <c r="F49" s="210"/>
      <c r="G49" s="210"/>
      <c r="H49" s="208"/>
      <c r="I49" s="208"/>
      <c r="J49" s="209"/>
      <c r="K49" s="211"/>
      <c r="L49" s="208"/>
      <c r="M49" s="208"/>
      <c r="N49" s="208"/>
      <c r="O49" s="208"/>
      <c r="P49" s="208"/>
      <c r="Q49" s="208"/>
      <c r="R49" s="208"/>
      <c r="S49" s="212"/>
      <c r="T49" s="208"/>
      <c r="U49" s="208"/>
      <c r="V49" s="208"/>
      <c r="W49" s="208"/>
      <c r="X49" s="208"/>
      <c r="Y49" s="208"/>
      <c r="Z49" s="208"/>
    </row>
    <row r="50">
      <c r="A50" s="208"/>
      <c r="B50" s="207"/>
      <c r="C50" s="209"/>
      <c r="D50" s="210"/>
      <c r="E50" s="210"/>
      <c r="F50" s="210"/>
      <c r="G50" s="210"/>
      <c r="H50" s="208"/>
      <c r="I50" s="208"/>
      <c r="J50" s="209"/>
      <c r="K50" s="211"/>
      <c r="L50" s="208"/>
      <c r="M50" s="208"/>
      <c r="N50" s="208"/>
      <c r="O50" s="208"/>
      <c r="P50" s="208"/>
      <c r="Q50" s="208"/>
      <c r="R50" s="208"/>
      <c r="S50" s="212"/>
      <c r="T50" s="208"/>
      <c r="U50" s="208"/>
      <c r="V50" s="208"/>
      <c r="W50" s="208"/>
      <c r="X50" s="208"/>
      <c r="Y50" s="208"/>
      <c r="Z50" s="208"/>
    </row>
    <row r="51">
      <c r="A51" s="208"/>
      <c r="B51" s="207"/>
      <c r="C51" s="209"/>
      <c r="D51" s="210"/>
      <c r="E51" s="210"/>
      <c r="F51" s="210"/>
      <c r="G51" s="210"/>
      <c r="H51" s="208"/>
      <c r="I51" s="208"/>
      <c r="J51" s="209"/>
      <c r="K51" s="211"/>
      <c r="L51" s="208"/>
      <c r="M51" s="208"/>
      <c r="N51" s="208"/>
      <c r="O51" s="208"/>
      <c r="P51" s="208"/>
      <c r="Q51" s="208"/>
      <c r="R51" s="208"/>
      <c r="S51" s="212"/>
      <c r="T51" s="208"/>
      <c r="U51" s="208"/>
      <c r="V51" s="208"/>
      <c r="W51" s="208"/>
      <c r="X51" s="208"/>
      <c r="Y51" s="208"/>
      <c r="Z51" s="208"/>
    </row>
    <row r="52">
      <c r="A52" s="208"/>
      <c r="B52" s="207"/>
      <c r="C52" s="209"/>
      <c r="D52" s="210"/>
      <c r="E52" s="210"/>
      <c r="F52" s="210"/>
      <c r="G52" s="210"/>
      <c r="H52" s="208"/>
      <c r="I52" s="208"/>
      <c r="J52" s="209"/>
      <c r="K52" s="211"/>
      <c r="L52" s="208"/>
      <c r="M52" s="208"/>
      <c r="N52" s="208"/>
      <c r="O52" s="208"/>
      <c r="P52" s="208"/>
      <c r="Q52" s="208"/>
      <c r="R52" s="208"/>
      <c r="S52" s="212"/>
      <c r="T52" s="208"/>
      <c r="U52" s="208"/>
      <c r="V52" s="208"/>
      <c r="W52" s="208"/>
      <c r="X52" s="208"/>
      <c r="Y52" s="208"/>
      <c r="Z52" s="208"/>
    </row>
    <row r="53">
      <c r="A53" s="208"/>
      <c r="B53" s="207"/>
      <c r="C53" s="209"/>
      <c r="D53" s="210"/>
      <c r="E53" s="210"/>
      <c r="F53" s="210"/>
      <c r="G53" s="210"/>
      <c r="H53" s="208"/>
      <c r="I53" s="208"/>
      <c r="J53" s="209"/>
      <c r="K53" s="211"/>
      <c r="L53" s="208"/>
      <c r="M53" s="208"/>
      <c r="N53" s="208"/>
      <c r="O53" s="208"/>
      <c r="P53" s="208"/>
      <c r="Q53" s="208"/>
      <c r="R53" s="208"/>
      <c r="S53" s="212"/>
      <c r="T53" s="208"/>
      <c r="U53" s="208"/>
      <c r="V53" s="208"/>
      <c r="W53" s="208"/>
      <c r="X53" s="208"/>
      <c r="Y53" s="208"/>
      <c r="Z53" s="208"/>
    </row>
    <row r="54">
      <c r="A54" s="208"/>
      <c r="B54" s="207"/>
      <c r="C54" s="209"/>
      <c r="D54" s="210"/>
      <c r="E54" s="210"/>
      <c r="F54" s="210"/>
      <c r="G54" s="210"/>
      <c r="H54" s="208"/>
      <c r="I54" s="208"/>
      <c r="J54" s="209"/>
      <c r="K54" s="211"/>
      <c r="L54" s="208"/>
      <c r="M54" s="208"/>
      <c r="N54" s="208"/>
      <c r="O54" s="208"/>
      <c r="P54" s="208"/>
      <c r="Q54" s="208"/>
      <c r="R54" s="208"/>
      <c r="S54" s="212"/>
      <c r="T54" s="208"/>
      <c r="U54" s="208"/>
      <c r="V54" s="208"/>
      <c r="W54" s="208"/>
      <c r="X54" s="208"/>
      <c r="Y54" s="208"/>
      <c r="Z54" s="208"/>
    </row>
    <row r="55">
      <c r="A55" s="208"/>
      <c r="B55" s="207"/>
      <c r="C55" s="209"/>
      <c r="D55" s="210"/>
      <c r="E55" s="210"/>
      <c r="F55" s="210"/>
      <c r="G55" s="210"/>
      <c r="H55" s="208"/>
      <c r="I55" s="208"/>
      <c r="J55" s="209"/>
      <c r="K55" s="211"/>
      <c r="L55" s="208"/>
      <c r="M55" s="208"/>
      <c r="N55" s="208"/>
      <c r="O55" s="208"/>
      <c r="P55" s="208"/>
      <c r="Q55" s="208"/>
      <c r="R55" s="208"/>
      <c r="S55" s="212"/>
      <c r="T55" s="208"/>
      <c r="U55" s="208"/>
      <c r="V55" s="208"/>
      <c r="W55" s="208"/>
      <c r="X55" s="208"/>
      <c r="Y55" s="208"/>
      <c r="Z55" s="208"/>
    </row>
    <row r="56">
      <c r="A56" s="208"/>
      <c r="B56" s="207"/>
      <c r="C56" s="209"/>
      <c r="D56" s="210"/>
      <c r="E56" s="210"/>
      <c r="F56" s="210"/>
      <c r="G56" s="210"/>
      <c r="H56" s="208"/>
      <c r="I56" s="208"/>
      <c r="J56" s="209"/>
      <c r="K56" s="211"/>
      <c r="L56" s="208"/>
      <c r="M56" s="208"/>
      <c r="N56" s="208"/>
      <c r="O56" s="208"/>
      <c r="P56" s="208"/>
      <c r="Q56" s="208"/>
      <c r="R56" s="208"/>
      <c r="S56" s="212"/>
      <c r="T56" s="208"/>
      <c r="U56" s="208"/>
      <c r="V56" s="208"/>
      <c r="W56" s="208"/>
      <c r="X56" s="208"/>
      <c r="Y56" s="208"/>
      <c r="Z56" s="208"/>
    </row>
    <row r="57">
      <c r="A57" s="208"/>
      <c r="B57" s="207"/>
      <c r="C57" s="209"/>
      <c r="D57" s="210"/>
      <c r="E57" s="210"/>
      <c r="F57" s="210"/>
      <c r="G57" s="210"/>
      <c r="H57" s="208"/>
      <c r="I57" s="208"/>
      <c r="J57" s="209"/>
      <c r="K57" s="211"/>
      <c r="L57" s="208"/>
      <c r="M57" s="208"/>
      <c r="N57" s="208"/>
      <c r="O57" s="208"/>
      <c r="P57" s="208"/>
      <c r="Q57" s="208"/>
      <c r="R57" s="208"/>
      <c r="S57" s="212"/>
      <c r="T57" s="208"/>
      <c r="U57" s="208"/>
      <c r="V57" s="208"/>
      <c r="W57" s="208"/>
      <c r="X57" s="208"/>
      <c r="Y57" s="208"/>
      <c r="Z57" s="208"/>
    </row>
    <row r="58">
      <c r="A58" s="208"/>
      <c r="B58" s="207"/>
      <c r="C58" s="209"/>
      <c r="D58" s="210"/>
      <c r="E58" s="210"/>
      <c r="F58" s="210"/>
      <c r="G58" s="210"/>
      <c r="H58" s="208"/>
      <c r="I58" s="208"/>
      <c r="J58" s="209"/>
      <c r="K58" s="211"/>
      <c r="L58" s="208"/>
      <c r="M58" s="208"/>
      <c r="N58" s="208"/>
      <c r="O58" s="208"/>
      <c r="P58" s="208"/>
      <c r="Q58" s="208"/>
      <c r="R58" s="208"/>
      <c r="S58" s="212"/>
      <c r="T58" s="208"/>
      <c r="U58" s="208"/>
      <c r="V58" s="208"/>
      <c r="W58" s="208"/>
      <c r="X58" s="208"/>
      <c r="Y58" s="208"/>
      <c r="Z58" s="208"/>
    </row>
    <row r="59">
      <c r="A59" s="208"/>
      <c r="B59" s="207"/>
      <c r="C59" s="209"/>
      <c r="D59" s="210"/>
      <c r="E59" s="210"/>
      <c r="F59" s="210"/>
      <c r="G59" s="210"/>
      <c r="H59" s="208"/>
      <c r="I59" s="208"/>
      <c r="J59" s="209"/>
      <c r="K59" s="211"/>
      <c r="L59" s="208"/>
      <c r="M59" s="208"/>
      <c r="N59" s="208"/>
      <c r="O59" s="208"/>
      <c r="P59" s="208"/>
      <c r="Q59" s="208"/>
      <c r="R59" s="208"/>
      <c r="S59" s="212"/>
      <c r="T59" s="208"/>
      <c r="U59" s="208"/>
      <c r="V59" s="208"/>
      <c r="W59" s="208"/>
      <c r="X59" s="208"/>
      <c r="Y59" s="208"/>
      <c r="Z59" s="208"/>
    </row>
    <row r="60">
      <c r="A60" s="208"/>
      <c r="B60" s="207"/>
      <c r="C60" s="209"/>
      <c r="D60" s="210"/>
      <c r="E60" s="210"/>
      <c r="F60" s="210"/>
      <c r="G60" s="210"/>
      <c r="H60" s="208"/>
      <c r="I60" s="208"/>
      <c r="J60" s="209"/>
      <c r="K60" s="211"/>
      <c r="L60" s="208"/>
      <c r="M60" s="208"/>
      <c r="N60" s="208"/>
      <c r="O60" s="208"/>
      <c r="P60" s="208"/>
      <c r="Q60" s="208"/>
      <c r="R60" s="208"/>
      <c r="S60" s="212"/>
      <c r="T60" s="208"/>
      <c r="U60" s="208"/>
      <c r="V60" s="208"/>
      <c r="W60" s="208"/>
      <c r="X60" s="208"/>
      <c r="Y60" s="208"/>
      <c r="Z60" s="208"/>
    </row>
    <row r="61">
      <c r="A61" s="208"/>
      <c r="B61" s="207"/>
      <c r="C61" s="209"/>
      <c r="D61" s="210"/>
      <c r="E61" s="210"/>
      <c r="F61" s="210"/>
      <c r="G61" s="210"/>
      <c r="H61" s="208"/>
      <c r="I61" s="208"/>
      <c r="J61" s="209"/>
      <c r="K61" s="211"/>
      <c r="L61" s="208"/>
      <c r="M61" s="208"/>
      <c r="N61" s="208"/>
      <c r="O61" s="208"/>
      <c r="P61" s="208"/>
      <c r="Q61" s="208"/>
      <c r="R61" s="208"/>
      <c r="S61" s="212"/>
      <c r="T61" s="208"/>
      <c r="U61" s="208"/>
      <c r="V61" s="208"/>
      <c r="W61" s="208"/>
      <c r="X61" s="208"/>
      <c r="Y61" s="208"/>
      <c r="Z61" s="208"/>
    </row>
    <row r="62">
      <c r="A62" s="208"/>
      <c r="B62" s="207"/>
      <c r="C62" s="209"/>
      <c r="D62" s="210"/>
      <c r="E62" s="210"/>
      <c r="F62" s="210"/>
      <c r="G62" s="210"/>
      <c r="H62" s="208"/>
      <c r="I62" s="208"/>
      <c r="J62" s="209"/>
      <c r="K62" s="211"/>
      <c r="L62" s="208"/>
      <c r="M62" s="208"/>
      <c r="N62" s="208"/>
      <c r="O62" s="208"/>
      <c r="P62" s="208"/>
      <c r="Q62" s="208"/>
      <c r="R62" s="208"/>
      <c r="S62" s="212"/>
      <c r="T62" s="208"/>
      <c r="U62" s="208"/>
      <c r="V62" s="208"/>
      <c r="W62" s="208"/>
      <c r="X62" s="208"/>
      <c r="Y62" s="208"/>
      <c r="Z62" s="208"/>
    </row>
    <row r="63">
      <c r="A63" s="208"/>
      <c r="B63" s="207"/>
      <c r="C63" s="209"/>
      <c r="D63" s="210"/>
      <c r="E63" s="210"/>
      <c r="F63" s="210"/>
      <c r="G63" s="210"/>
      <c r="H63" s="208"/>
      <c r="I63" s="208"/>
      <c r="J63" s="209"/>
      <c r="K63" s="211"/>
      <c r="L63" s="208"/>
      <c r="M63" s="208"/>
      <c r="N63" s="208"/>
      <c r="O63" s="208"/>
      <c r="P63" s="208"/>
      <c r="Q63" s="208"/>
      <c r="R63" s="208"/>
      <c r="S63" s="212"/>
      <c r="T63" s="208"/>
      <c r="U63" s="208"/>
      <c r="V63" s="208"/>
      <c r="W63" s="208"/>
      <c r="X63" s="208"/>
      <c r="Y63" s="208"/>
      <c r="Z63" s="208"/>
    </row>
    <row r="64">
      <c r="A64" s="208"/>
      <c r="B64" s="207"/>
      <c r="C64" s="209"/>
      <c r="D64" s="210"/>
      <c r="E64" s="210"/>
      <c r="F64" s="210"/>
      <c r="G64" s="210"/>
      <c r="H64" s="208"/>
      <c r="I64" s="208"/>
      <c r="J64" s="209"/>
      <c r="K64" s="211"/>
      <c r="L64" s="208"/>
      <c r="M64" s="208"/>
      <c r="N64" s="208"/>
      <c r="O64" s="208"/>
      <c r="P64" s="208"/>
      <c r="Q64" s="208"/>
      <c r="R64" s="208"/>
      <c r="S64" s="212"/>
      <c r="T64" s="208"/>
      <c r="U64" s="208"/>
      <c r="V64" s="208"/>
      <c r="W64" s="208"/>
      <c r="X64" s="208"/>
      <c r="Y64" s="208"/>
      <c r="Z64" s="208"/>
    </row>
    <row r="65">
      <c r="A65" s="208"/>
      <c r="B65" s="207"/>
      <c r="C65" s="209"/>
      <c r="D65" s="210"/>
      <c r="E65" s="210"/>
      <c r="F65" s="210"/>
      <c r="G65" s="210"/>
      <c r="H65" s="208"/>
      <c r="I65" s="208"/>
      <c r="J65" s="209"/>
      <c r="K65" s="211"/>
      <c r="L65" s="208"/>
      <c r="M65" s="208"/>
      <c r="N65" s="208"/>
      <c r="O65" s="208"/>
      <c r="P65" s="208"/>
      <c r="Q65" s="208"/>
      <c r="R65" s="208"/>
      <c r="S65" s="212"/>
      <c r="T65" s="208"/>
      <c r="U65" s="208"/>
      <c r="V65" s="208"/>
      <c r="W65" s="208"/>
      <c r="X65" s="208"/>
      <c r="Y65" s="208"/>
      <c r="Z65" s="208"/>
    </row>
    <row r="66">
      <c r="A66" s="208"/>
      <c r="B66" s="207"/>
      <c r="C66" s="209"/>
      <c r="D66" s="210"/>
      <c r="E66" s="210"/>
      <c r="F66" s="210"/>
      <c r="G66" s="210"/>
      <c r="H66" s="208"/>
      <c r="I66" s="208"/>
      <c r="J66" s="209"/>
      <c r="K66" s="211"/>
      <c r="L66" s="208"/>
      <c r="M66" s="208"/>
      <c r="N66" s="208"/>
      <c r="O66" s="208"/>
      <c r="P66" s="208"/>
      <c r="Q66" s="208"/>
      <c r="R66" s="208"/>
      <c r="S66" s="212"/>
      <c r="T66" s="208"/>
      <c r="U66" s="208"/>
      <c r="V66" s="208"/>
      <c r="W66" s="208"/>
      <c r="X66" s="208"/>
      <c r="Y66" s="208"/>
      <c r="Z66" s="208"/>
    </row>
    <row r="67">
      <c r="A67" s="208"/>
      <c r="B67" s="207"/>
      <c r="C67" s="209"/>
      <c r="D67" s="210"/>
      <c r="E67" s="210"/>
      <c r="F67" s="210"/>
      <c r="G67" s="210"/>
      <c r="H67" s="208"/>
      <c r="I67" s="208"/>
      <c r="J67" s="209"/>
      <c r="K67" s="211"/>
      <c r="L67" s="208"/>
      <c r="M67" s="208"/>
      <c r="N67" s="208"/>
      <c r="O67" s="208"/>
      <c r="P67" s="208"/>
      <c r="Q67" s="208"/>
      <c r="R67" s="208"/>
      <c r="S67" s="212"/>
      <c r="T67" s="208"/>
      <c r="U67" s="208"/>
      <c r="V67" s="208"/>
      <c r="W67" s="208"/>
      <c r="X67" s="208"/>
      <c r="Y67" s="208"/>
      <c r="Z67" s="208"/>
    </row>
    <row r="68">
      <c r="A68" s="208"/>
      <c r="B68" s="207"/>
      <c r="C68" s="209"/>
      <c r="D68" s="210"/>
      <c r="E68" s="210"/>
      <c r="F68" s="210"/>
      <c r="G68" s="210"/>
      <c r="H68" s="208"/>
      <c r="I68" s="208"/>
      <c r="J68" s="209"/>
      <c r="K68" s="211"/>
      <c r="L68" s="208"/>
      <c r="M68" s="208"/>
      <c r="N68" s="208"/>
      <c r="O68" s="208"/>
      <c r="P68" s="208"/>
      <c r="Q68" s="208"/>
      <c r="R68" s="208"/>
      <c r="S68" s="212"/>
      <c r="T68" s="208"/>
      <c r="U68" s="208"/>
      <c r="V68" s="208"/>
      <c r="W68" s="208"/>
      <c r="X68" s="208"/>
      <c r="Y68" s="208"/>
      <c r="Z68" s="208"/>
    </row>
    <row r="69">
      <c r="A69" s="208"/>
      <c r="B69" s="207"/>
      <c r="C69" s="209"/>
      <c r="D69" s="210"/>
      <c r="E69" s="210"/>
      <c r="F69" s="210"/>
      <c r="G69" s="210"/>
      <c r="H69" s="208"/>
      <c r="I69" s="208"/>
      <c r="J69" s="209"/>
      <c r="K69" s="211"/>
      <c r="L69" s="208"/>
      <c r="M69" s="208"/>
      <c r="N69" s="208"/>
      <c r="O69" s="208"/>
      <c r="P69" s="208"/>
      <c r="Q69" s="208"/>
      <c r="R69" s="208"/>
      <c r="S69" s="212"/>
      <c r="T69" s="208"/>
      <c r="U69" s="208"/>
      <c r="V69" s="208"/>
      <c r="W69" s="208"/>
      <c r="X69" s="208"/>
      <c r="Y69" s="208"/>
      <c r="Z69" s="208"/>
    </row>
    <row r="70">
      <c r="A70" s="208"/>
      <c r="B70" s="207"/>
      <c r="C70" s="209"/>
      <c r="D70" s="210"/>
      <c r="E70" s="210"/>
      <c r="F70" s="210"/>
      <c r="G70" s="210"/>
      <c r="H70" s="208"/>
      <c r="I70" s="208"/>
      <c r="J70" s="209"/>
      <c r="K70" s="211"/>
      <c r="L70" s="208"/>
      <c r="M70" s="208"/>
      <c r="N70" s="208"/>
      <c r="O70" s="208"/>
      <c r="P70" s="208"/>
      <c r="Q70" s="208"/>
      <c r="R70" s="208"/>
      <c r="S70" s="212"/>
      <c r="T70" s="208"/>
      <c r="U70" s="208"/>
      <c r="V70" s="208"/>
      <c r="W70" s="208"/>
      <c r="X70" s="208"/>
      <c r="Y70" s="208"/>
      <c r="Z70" s="208"/>
    </row>
    <row r="71">
      <c r="A71" s="208"/>
      <c r="B71" s="207"/>
      <c r="C71" s="209"/>
      <c r="D71" s="210"/>
      <c r="E71" s="210"/>
      <c r="F71" s="210"/>
      <c r="G71" s="210"/>
      <c r="H71" s="208"/>
      <c r="I71" s="208"/>
      <c r="J71" s="209"/>
      <c r="K71" s="211"/>
      <c r="L71" s="208"/>
      <c r="M71" s="208"/>
      <c r="N71" s="208"/>
      <c r="O71" s="208"/>
      <c r="P71" s="208"/>
      <c r="Q71" s="208"/>
      <c r="R71" s="208"/>
      <c r="S71" s="212"/>
      <c r="T71" s="208"/>
      <c r="U71" s="208"/>
      <c r="V71" s="208"/>
      <c r="W71" s="208"/>
      <c r="X71" s="208"/>
      <c r="Y71" s="208"/>
      <c r="Z71" s="208"/>
    </row>
    <row r="72">
      <c r="A72" s="208"/>
      <c r="B72" s="207"/>
      <c r="C72" s="209"/>
      <c r="D72" s="210"/>
      <c r="E72" s="210"/>
      <c r="F72" s="210"/>
      <c r="G72" s="210"/>
      <c r="H72" s="208"/>
      <c r="I72" s="208"/>
      <c r="J72" s="209"/>
      <c r="K72" s="211"/>
      <c r="L72" s="208"/>
      <c r="M72" s="208"/>
      <c r="N72" s="208"/>
      <c r="O72" s="208"/>
      <c r="P72" s="208"/>
      <c r="Q72" s="208"/>
      <c r="R72" s="208"/>
      <c r="S72" s="212"/>
      <c r="T72" s="208"/>
      <c r="U72" s="208"/>
      <c r="V72" s="208"/>
      <c r="W72" s="208"/>
      <c r="X72" s="208"/>
      <c r="Y72" s="208"/>
      <c r="Z72" s="208"/>
    </row>
    <row r="73">
      <c r="A73" s="208"/>
      <c r="B73" s="207"/>
      <c r="C73" s="209"/>
      <c r="D73" s="210"/>
      <c r="E73" s="210"/>
      <c r="F73" s="210"/>
      <c r="G73" s="210"/>
      <c r="H73" s="208"/>
      <c r="I73" s="208"/>
      <c r="J73" s="209"/>
      <c r="K73" s="211"/>
      <c r="L73" s="208"/>
      <c r="M73" s="208"/>
      <c r="N73" s="208"/>
      <c r="O73" s="208"/>
      <c r="P73" s="208"/>
      <c r="Q73" s="208"/>
      <c r="R73" s="208"/>
      <c r="S73" s="212"/>
      <c r="T73" s="208"/>
      <c r="U73" s="208"/>
      <c r="V73" s="208"/>
      <c r="W73" s="208"/>
      <c r="X73" s="208"/>
      <c r="Y73" s="208"/>
      <c r="Z73" s="208"/>
    </row>
    <row r="74">
      <c r="A74" s="208"/>
      <c r="B74" s="207"/>
      <c r="C74" s="209"/>
      <c r="D74" s="210"/>
      <c r="E74" s="210"/>
      <c r="F74" s="210"/>
      <c r="G74" s="210"/>
      <c r="H74" s="208"/>
      <c r="I74" s="208"/>
      <c r="J74" s="209"/>
      <c r="K74" s="211"/>
      <c r="L74" s="208"/>
      <c r="M74" s="208"/>
      <c r="N74" s="208"/>
      <c r="O74" s="208"/>
      <c r="P74" s="208"/>
      <c r="Q74" s="208"/>
      <c r="R74" s="208"/>
      <c r="S74" s="212"/>
      <c r="T74" s="208"/>
      <c r="U74" s="208"/>
      <c r="V74" s="208"/>
      <c r="W74" s="208"/>
      <c r="X74" s="208"/>
      <c r="Y74" s="208"/>
      <c r="Z74" s="208"/>
    </row>
    <row r="75">
      <c r="A75" s="208"/>
      <c r="B75" s="207"/>
      <c r="C75" s="209"/>
      <c r="D75" s="210"/>
      <c r="E75" s="210"/>
      <c r="F75" s="210"/>
      <c r="G75" s="210"/>
      <c r="H75" s="208"/>
      <c r="I75" s="208"/>
      <c r="J75" s="209"/>
      <c r="K75" s="211"/>
      <c r="L75" s="208"/>
      <c r="M75" s="208"/>
      <c r="N75" s="208"/>
      <c r="O75" s="208"/>
      <c r="P75" s="208"/>
      <c r="Q75" s="208"/>
      <c r="R75" s="208"/>
      <c r="S75" s="212"/>
      <c r="T75" s="208"/>
      <c r="U75" s="208"/>
      <c r="V75" s="208"/>
      <c r="W75" s="208"/>
      <c r="X75" s="208"/>
      <c r="Y75" s="208"/>
      <c r="Z75" s="208"/>
    </row>
    <row r="76">
      <c r="A76" s="208"/>
      <c r="B76" s="207"/>
      <c r="C76" s="209"/>
      <c r="D76" s="210"/>
      <c r="E76" s="210"/>
      <c r="F76" s="210"/>
      <c r="G76" s="210"/>
      <c r="H76" s="208"/>
      <c r="I76" s="208"/>
      <c r="J76" s="209"/>
      <c r="K76" s="211"/>
      <c r="L76" s="208"/>
      <c r="M76" s="208"/>
      <c r="N76" s="208"/>
      <c r="O76" s="208"/>
      <c r="P76" s="208"/>
      <c r="Q76" s="208"/>
      <c r="R76" s="208"/>
      <c r="S76" s="212"/>
      <c r="T76" s="208"/>
      <c r="U76" s="208"/>
      <c r="V76" s="208"/>
      <c r="W76" s="208"/>
      <c r="X76" s="208"/>
      <c r="Y76" s="208"/>
      <c r="Z76" s="208"/>
    </row>
    <row r="77">
      <c r="A77" s="208"/>
      <c r="B77" s="207"/>
      <c r="C77" s="209"/>
      <c r="D77" s="210"/>
      <c r="E77" s="210"/>
      <c r="F77" s="210"/>
      <c r="G77" s="210"/>
      <c r="H77" s="208"/>
      <c r="I77" s="208"/>
      <c r="J77" s="209"/>
      <c r="K77" s="211"/>
      <c r="L77" s="208"/>
      <c r="M77" s="208"/>
      <c r="N77" s="208"/>
      <c r="O77" s="208"/>
      <c r="P77" s="208"/>
      <c r="Q77" s="208"/>
      <c r="R77" s="208"/>
      <c r="S77" s="212"/>
      <c r="T77" s="208"/>
      <c r="U77" s="208"/>
      <c r="V77" s="208"/>
      <c r="W77" s="208"/>
      <c r="X77" s="208"/>
      <c r="Y77" s="208"/>
      <c r="Z77" s="208"/>
    </row>
    <row r="78">
      <c r="A78" s="208"/>
      <c r="B78" s="207"/>
      <c r="C78" s="209"/>
      <c r="D78" s="210"/>
      <c r="E78" s="210"/>
      <c r="F78" s="210"/>
      <c r="G78" s="210"/>
      <c r="H78" s="208"/>
      <c r="I78" s="208"/>
      <c r="J78" s="209"/>
      <c r="K78" s="211"/>
      <c r="L78" s="208"/>
      <c r="M78" s="208"/>
      <c r="N78" s="208"/>
      <c r="O78" s="208"/>
      <c r="P78" s="208"/>
      <c r="Q78" s="208"/>
      <c r="R78" s="208"/>
      <c r="S78" s="212"/>
      <c r="T78" s="208"/>
      <c r="U78" s="208"/>
      <c r="V78" s="208"/>
      <c r="W78" s="208"/>
      <c r="X78" s="208"/>
      <c r="Y78" s="208"/>
      <c r="Z78" s="208"/>
    </row>
    <row r="79">
      <c r="A79" s="208"/>
      <c r="B79" s="207"/>
      <c r="C79" s="209"/>
      <c r="D79" s="210"/>
      <c r="E79" s="210"/>
      <c r="F79" s="210"/>
      <c r="G79" s="210"/>
      <c r="H79" s="208"/>
      <c r="I79" s="208"/>
      <c r="J79" s="209"/>
      <c r="K79" s="211"/>
      <c r="L79" s="208"/>
      <c r="M79" s="208"/>
      <c r="N79" s="208"/>
      <c r="O79" s="208"/>
      <c r="P79" s="208"/>
      <c r="Q79" s="208"/>
      <c r="R79" s="208"/>
      <c r="S79" s="212"/>
      <c r="T79" s="208"/>
      <c r="U79" s="208"/>
      <c r="V79" s="208"/>
      <c r="W79" s="208"/>
      <c r="X79" s="208"/>
      <c r="Y79" s="208"/>
      <c r="Z79" s="208"/>
    </row>
    <row r="80">
      <c r="A80" s="208"/>
      <c r="B80" s="207"/>
      <c r="C80" s="209"/>
      <c r="D80" s="210"/>
      <c r="E80" s="210"/>
      <c r="F80" s="210"/>
      <c r="G80" s="210"/>
      <c r="H80" s="208"/>
      <c r="I80" s="208"/>
      <c r="J80" s="209"/>
      <c r="K80" s="211"/>
      <c r="L80" s="208"/>
      <c r="M80" s="208"/>
      <c r="N80" s="208"/>
      <c r="O80" s="208"/>
      <c r="P80" s="208"/>
      <c r="Q80" s="208"/>
      <c r="R80" s="208"/>
      <c r="S80" s="212"/>
      <c r="T80" s="208"/>
      <c r="U80" s="208"/>
      <c r="V80" s="208"/>
      <c r="W80" s="208"/>
      <c r="X80" s="208"/>
      <c r="Y80" s="208"/>
      <c r="Z80" s="208"/>
    </row>
    <row r="81">
      <c r="A81" s="208"/>
      <c r="B81" s="207"/>
      <c r="C81" s="209"/>
      <c r="D81" s="210"/>
      <c r="E81" s="210"/>
      <c r="F81" s="210"/>
      <c r="G81" s="210"/>
      <c r="H81" s="208"/>
      <c r="I81" s="208"/>
      <c r="J81" s="209"/>
      <c r="K81" s="211"/>
      <c r="L81" s="208"/>
      <c r="M81" s="208"/>
      <c r="N81" s="208"/>
      <c r="O81" s="208"/>
      <c r="P81" s="208"/>
      <c r="Q81" s="208"/>
      <c r="R81" s="208"/>
      <c r="S81" s="212"/>
      <c r="T81" s="208"/>
      <c r="U81" s="208"/>
      <c r="V81" s="208"/>
      <c r="W81" s="208"/>
      <c r="X81" s="208"/>
      <c r="Y81" s="208"/>
      <c r="Z81" s="208"/>
    </row>
    <row r="82">
      <c r="A82" s="208"/>
      <c r="B82" s="207"/>
      <c r="C82" s="209"/>
      <c r="D82" s="210"/>
      <c r="E82" s="210"/>
      <c r="F82" s="210"/>
      <c r="G82" s="210"/>
      <c r="H82" s="208"/>
      <c r="I82" s="208"/>
      <c r="J82" s="209"/>
      <c r="K82" s="211"/>
      <c r="L82" s="208"/>
      <c r="M82" s="208"/>
      <c r="N82" s="208"/>
      <c r="O82" s="208"/>
      <c r="P82" s="208"/>
      <c r="Q82" s="208"/>
      <c r="R82" s="208"/>
      <c r="S82" s="212"/>
      <c r="T82" s="208"/>
      <c r="U82" s="208"/>
      <c r="V82" s="208"/>
      <c r="W82" s="208"/>
      <c r="X82" s="208"/>
      <c r="Y82" s="208"/>
      <c r="Z82" s="208"/>
    </row>
    <row r="83">
      <c r="A83" s="208"/>
      <c r="B83" s="207"/>
      <c r="C83" s="209"/>
      <c r="D83" s="210"/>
      <c r="E83" s="210"/>
      <c r="F83" s="210"/>
      <c r="G83" s="210"/>
      <c r="H83" s="208"/>
      <c r="I83" s="208"/>
      <c r="J83" s="209"/>
      <c r="K83" s="211"/>
      <c r="L83" s="208"/>
      <c r="M83" s="208"/>
      <c r="N83" s="208"/>
      <c r="O83" s="208"/>
      <c r="P83" s="208"/>
      <c r="Q83" s="208"/>
      <c r="R83" s="208"/>
      <c r="S83" s="212"/>
      <c r="T83" s="208"/>
      <c r="U83" s="208"/>
      <c r="V83" s="208"/>
      <c r="W83" s="208"/>
      <c r="X83" s="208"/>
      <c r="Y83" s="208"/>
      <c r="Z83" s="208"/>
    </row>
    <row r="84">
      <c r="A84" s="208"/>
      <c r="B84" s="207"/>
      <c r="C84" s="209"/>
      <c r="D84" s="210"/>
      <c r="E84" s="210"/>
      <c r="F84" s="210"/>
      <c r="G84" s="210"/>
      <c r="H84" s="208"/>
      <c r="I84" s="208"/>
      <c r="J84" s="209"/>
      <c r="K84" s="211"/>
      <c r="L84" s="208"/>
      <c r="M84" s="208"/>
      <c r="N84" s="208"/>
      <c r="O84" s="208"/>
      <c r="P84" s="208"/>
      <c r="Q84" s="208"/>
      <c r="R84" s="208"/>
      <c r="S84" s="212"/>
      <c r="T84" s="208"/>
      <c r="U84" s="208"/>
      <c r="V84" s="208"/>
      <c r="W84" s="208"/>
      <c r="X84" s="208"/>
      <c r="Y84" s="208"/>
      <c r="Z84" s="208"/>
    </row>
    <row r="85">
      <c r="A85" s="208"/>
      <c r="B85" s="207"/>
      <c r="C85" s="209"/>
      <c r="D85" s="210"/>
      <c r="E85" s="210"/>
      <c r="F85" s="210"/>
      <c r="G85" s="210"/>
      <c r="H85" s="208"/>
      <c r="I85" s="208"/>
      <c r="J85" s="209"/>
      <c r="K85" s="211"/>
      <c r="L85" s="208"/>
      <c r="M85" s="208"/>
      <c r="N85" s="208"/>
      <c r="O85" s="208"/>
      <c r="P85" s="208"/>
      <c r="Q85" s="208"/>
      <c r="R85" s="208"/>
      <c r="S85" s="212"/>
      <c r="T85" s="208"/>
      <c r="U85" s="208"/>
      <c r="V85" s="208"/>
      <c r="W85" s="208"/>
      <c r="X85" s="208"/>
      <c r="Y85" s="208"/>
      <c r="Z85" s="208"/>
    </row>
    <row r="86">
      <c r="A86" s="208"/>
      <c r="B86" s="207"/>
      <c r="C86" s="209"/>
      <c r="D86" s="210"/>
      <c r="E86" s="210"/>
      <c r="F86" s="210"/>
      <c r="G86" s="210"/>
      <c r="H86" s="208"/>
      <c r="I86" s="208"/>
      <c r="J86" s="209"/>
      <c r="K86" s="211"/>
      <c r="L86" s="208"/>
      <c r="M86" s="208"/>
      <c r="N86" s="208"/>
      <c r="O86" s="208"/>
      <c r="P86" s="208"/>
      <c r="Q86" s="208"/>
      <c r="R86" s="208"/>
      <c r="S86" s="212"/>
      <c r="T86" s="208"/>
      <c r="U86" s="208"/>
      <c r="V86" s="208"/>
      <c r="W86" s="208"/>
      <c r="X86" s="208"/>
      <c r="Y86" s="208"/>
      <c r="Z86" s="208"/>
    </row>
    <row r="87">
      <c r="A87" s="208"/>
      <c r="B87" s="207"/>
      <c r="C87" s="209"/>
      <c r="D87" s="210"/>
      <c r="E87" s="210"/>
      <c r="F87" s="210"/>
      <c r="G87" s="210"/>
      <c r="H87" s="208"/>
      <c r="I87" s="208"/>
      <c r="J87" s="209"/>
      <c r="K87" s="211"/>
      <c r="L87" s="208"/>
      <c r="M87" s="208"/>
      <c r="N87" s="208"/>
      <c r="O87" s="208"/>
      <c r="P87" s="208"/>
      <c r="Q87" s="208"/>
      <c r="R87" s="208"/>
      <c r="S87" s="212"/>
      <c r="T87" s="208"/>
      <c r="U87" s="208"/>
      <c r="V87" s="208"/>
      <c r="W87" s="208"/>
      <c r="X87" s="208"/>
      <c r="Y87" s="208"/>
      <c r="Z87" s="208"/>
    </row>
    <row r="88">
      <c r="A88" s="208"/>
      <c r="B88" s="207"/>
      <c r="C88" s="209"/>
      <c r="D88" s="210"/>
      <c r="E88" s="210"/>
      <c r="F88" s="210"/>
      <c r="G88" s="210"/>
      <c r="H88" s="208"/>
      <c r="I88" s="208"/>
      <c r="J88" s="209"/>
      <c r="K88" s="211"/>
      <c r="L88" s="208"/>
      <c r="M88" s="208"/>
      <c r="N88" s="208"/>
      <c r="O88" s="208"/>
      <c r="P88" s="208"/>
      <c r="Q88" s="208"/>
      <c r="R88" s="208"/>
      <c r="S88" s="212"/>
      <c r="T88" s="208"/>
      <c r="U88" s="208"/>
      <c r="V88" s="208"/>
      <c r="W88" s="208"/>
      <c r="X88" s="208"/>
      <c r="Y88" s="208"/>
      <c r="Z88" s="208"/>
    </row>
    <row r="89">
      <c r="A89" s="208"/>
      <c r="B89" s="207"/>
      <c r="C89" s="209"/>
      <c r="D89" s="210"/>
      <c r="E89" s="210"/>
      <c r="F89" s="210"/>
      <c r="G89" s="210"/>
      <c r="H89" s="208"/>
      <c r="I89" s="208"/>
      <c r="J89" s="209"/>
      <c r="K89" s="211"/>
      <c r="L89" s="208"/>
      <c r="M89" s="208"/>
      <c r="N89" s="208"/>
      <c r="O89" s="208"/>
      <c r="P89" s="208"/>
      <c r="Q89" s="208"/>
      <c r="R89" s="208"/>
      <c r="S89" s="212"/>
      <c r="T89" s="208"/>
      <c r="U89" s="208"/>
      <c r="V89" s="208"/>
      <c r="W89" s="208"/>
      <c r="X89" s="208"/>
      <c r="Y89" s="208"/>
      <c r="Z89" s="208"/>
    </row>
    <row r="90">
      <c r="A90" s="208"/>
      <c r="B90" s="207"/>
      <c r="C90" s="209"/>
      <c r="D90" s="210"/>
      <c r="E90" s="210"/>
      <c r="F90" s="210"/>
      <c r="G90" s="210"/>
      <c r="H90" s="208"/>
      <c r="I90" s="208"/>
      <c r="J90" s="209"/>
      <c r="K90" s="211"/>
      <c r="L90" s="208"/>
      <c r="M90" s="208"/>
      <c r="N90" s="208"/>
      <c r="O90" s="208"/>
      <c r="P90" s="208"/>
      <c r="Q90" s="208"/>
      <c r="R90" s="208"/>
      <c r="S90" s="212"/>
      <c r="T90" s="208"/>
      <c r="U90" s="208"/>
      <c r="V90" s="208"/>
      <c r="W90" s="208"/>
      <c r="X90" s="208"/>
      <c r="Y90" s="208"/>
      <c r="Z90" s="208"/>
    </row>
    <row r="91">
      <c r="A91" s="208"/>
      <c r="B91" s="207"/>
      <c r="C91" s="209"/>
      <c r="D91" s="210"/>
      <c r="E91" s="210"/>
      <c r="F91" s="210"/>
      <c r="G91" s="210"/>
      <c r="H91" s="208"/>
      <c r="I91" s="208"/>
      <c r="J91" s="209"/>
      <c r="K91" s="211"/>
      <c r="L91" s="208"/>
      <c r="M91" s="208"/>
      <c r="N91" s="208"/>
      <c r="O91" s="208"/>
      <c r="P91" s="208"/>
      <c r="Q91" s="208"/>
      <c r="R91" s="208"/>
      <c r="S91" s="212"/>
      <c r="T91" s="208"/>
      <c r="U91" s="208"/>
      <c r="V91" s="208"/>
      <c r="W91" s="208"/>
      <c r="X91" s="208"/>
      <c r="Y91" s="208"/>
      <c r="Z91" s="208"/>
    </row>
    <row r="92">
      <c r="A92" s="208"/>
      <c r="B92" s="207"/>
      <c r="C92" s="209"/>
      <c r="D92" s="210"/>
      <c r="E92" s="210"/>
      <c r="F92" s="210"/>
      <c r="G92" s="210"/>
      <c r="H92" s="208"/>
      <c r="I92" s="208"/>
      <c r="J92" s="209"/>
      <c r="K92" s="211"/>
      <c r="L92" s="208"/>
      <c r="M92" s="208"/>
      <c r="N92" s="208"/>
      <c r="O92" s="208"/>
      <c r="P92" s="208"/>
      <c r="Q92" s="208"/>
      <c r="R92" s="208"/>
      <c r="S92" s="212"/>
      <c r="T92" s="208"/>
      <c r="U92" s="208"/>
      <c r="V92" s="208"/>
      <c r="W92" s="208"/>
      <c r="X92" s="208"/>
      <c r="Y92" s="208"/>
      <c r="Z92" s="208"/>
    </row>
    <row r="93">
      <c r="A93" s="208"/>
      <c r="B93" s="207"/>
      <c r="C93" s="209"/>
      <c r="D93" s="210"/>
      <c r="E93" s="210"/>
      <c r="F93" s="210"/>
      <c r="G93" s="210"/>
      <c r="H93" s="208"/>
      <c r="I93" s="208"/>
      <c r="J93" s="209"/>
      <c r="K93" s="211"/>
      <c r="L93" s="208"/>
      <c r="M93" s="208"/>
      <c r="N93" s="208"/>
      <c r="O93" s="208"/>
      <c r="P93" s="208"/>
      <c r="Q93" s="208"/>
      <c r="R93" s="208"/>
      <c r="S93" s="212"/>
      <c r="T93" s="208"/>
      <c r="U93" s="208"/>
      <c r="V93" s="208"/>
      <c r="W93" s="208"/>
      <c r="X93" s="208"/>
      <c r="Y93" s="208"/>
      <c r="Z93" s="208"/>
    </row>
    <row r="94">
      <c r="A94" s="208"/>
      <c r="B94" s="207"/>
      <c r="C94" s="209"/>
      <c r="D94" s="210"/>
      <c r="E94" s="210"/>
      <c r="F94" s="210"/>
      <c r="G94" s="210"/>
      <c r="H94" s="208"/>
      <c r="I94" s="208"/>
      <c r="J94" s="209"/>
      <c r="K94" s="211"/>
      <c r="L94" s="208"/>
      <c r="M94" s="208"/>
      <c r="N94" s="208"/>
      <c r="O94" s="208"/>
      <c r="P94" s="208"/>
      <c r="Q94" s="208"/>
      <c r="R94" s="208"/>
      <c r="S94" s="212"/>
      <c r="T94" s="208"/>
      <c r="U94" s="208"/>
      <c r="V94" s="208"/>
      <c r="W94" s="208"/>
      <c r="X94" s="208"/>
      <c r="Y94" s="208"/>
      <c r="Z94" s="208"/>
    </row>
    <row r="95">
      <c r="A95" s="208"/>
      <c r="B95" s="207"/>
      <c r="C95" s="209"/>
      <c r="D95" s="210"/>
      <c r="E95" s="210"/>
      <c r="F95" s="210"/>
      <c r="G95" s="210"/>
      <c r="H95" s="208"/>
      <c r="I95" s="208"/>
      <c r="J95" s="209"/>
      <c r="K95" s="211"/>
      <c r="L95" s="208"/>
      <c r="M95" s="208"/>
      <c r="N95" s="208"/>
      <c r="O95" s="208"/>
      <c r="P95" s="208"/>
      <c r="Q95" s="208"/>
      <c r="R95" s="208"/>
      <c r="S95" s="212"/>
      <c r="T95" s="208"/>
      <c r="U95" s="208"/>
      <c r="V95" s="208"/>
      <c r="W95" s="208"/>
      <c r="X95" s="208"/>
      <c r="Y95" s="208"/>
      <c r="Z95" s="208"/>
    </row>
    <row r="96">
      <c r="A96" s="208"/>
      <c r="B96" s="207"/>
      <c r="C96" s="209"/>
      <c r="D96" s="210"/>
      <c r="E96" s="210"/>
      <c r="F96" s="210"/>
      <c r="G96" s="210"/>
      <c r="H96" s="208"/>
      <c r="I96" s="208"/>
      <c r="J96" s="209"/>
      <c r="K96" s="211"/>
      <c r="L96" s="208"/>
      <c r="M96" s="208"/>
      <c r="N96" s="208"/>
      <c r="O96" s="208"/>
      <c r="P96" s="208"/>
      <c r="Q96" s="208"/>
      <c r="R96" s="208"/>
      <c r="S96" s="212"/>
      <c r="T96" s="208"/>
      <c r="U96" s="208"/>
      <c r="V96" s="208"/>
      <c r="W96" s="208"/>
      <c r="X96" s="208"/>
      <c r="Y96" s="208"/>
      <c r="Z96" s="208"/>
    </row>
    <row r="97">
      <c r="A97" s="208"/>
      <c r="B97" s="207"/>
      <c r="C97" s="209"/>
      <c r="D97" s="210"/>
      <c r="E97" s="210"/>
      <c r="F97" s="210"/>
      <c r="G97" s="210"/>
      <c r="H97" s="208"/>
      <c r="I97" s="208"/>
      <c r="J97" s="209"/>
      <c r="K97" s="211"/>
      <c r="L97" s="208"/>
      <c r="M97" s="208"/>
      <c r="N97" s="208"/>
      <c r="O97" s="208"/>
      <c r="P97" s="208"/>
      <c r="Q97" s="208"/>
      <c r="R97" s="208"/>
      <c r="S97" s="212"/>
      <c r="T97" s="208"/>
      <c r="U97" s="208"/>
      <c r="V97" s="208"/>
      <c r="W97" s="208"/>
      <c r="X97" s="208"/>
      <c r="Y97" s="208"/>
      <c r="Z97" s="208"/>
    </row>
    <row r="98">
      <c r="A98" s="208"/>
      <c r="B98" s="207"/>
      <c r="C98" s="209"/>
      <c r="D98" s="210"/>
      <c r="E98" s="210"/>
      <c r="F98" s="210"/>
      <c r="G98" s="210"/>
      <c r="H98" s="208"/>
      <c r="I98" s="208"/>
      <c r="J98" s="209"/>
      <c r="K98" s="211"/>
      <c r="L98" s="208"/>
      <c r="M98" s="208"/>
      <c r="N98" s="208"/>
      <c r="O98" s="208"/>
      <c r="P98" s="208"/>
      <c r="Q98" s="208"/>
      <c r="R98" s="208"/>
      <c r="S98" s="212"/>
      <c r="T98" s="208"/>
      <c r="U98" s="208"/>
      <c r="V98" s="208"/>
      <c r="W98" s="208"/>
      <c r="X98" s="208"/>
      <c r="Y98" s="208"/>
      <c r="Z98" s="208"/>
    </row>
    <row r="99">
      <c r="A99" s="208"/>
      <c r="B99" s="207"/>
      <c r="C99" s="209"/>
      <c r="D99" s="210"/>
      <c r="E99" s="210"/>
      <c r="F99" s="210"/>
      <c r="G99" s="210"/>
      <c r="H99" s="208"/>
      <c r="I99" s="208"/>
      <c r="J99" s="209"/>
      <c r="K99" s="211"/>
      <c r="L99" s="208"/>
      <c r="M99" s="208"/>
      <c r="N99" s="208"/>
      <c r="O99" s="208"/>
      <c r="P99" s="208"/>
      <c r="Q99" s="208"/>
      <c r="R99" s="208"/>
      <c r="S99" s="212"/>
      <c r="T99" s="208"/>
      <c r="U99" s="208"/>
      <c r="V99" s="208"/>
      <c r="W99" s="208"/>
      <c r="X99" s="208"/>
      <c r="Y99" s="208"/>
      <c r="Z99" s="208"/>
    </row>
    <row r="100">
      <c r="A100" s="208"/>
      <c r="B100" s="207"/>
      <c r="C100" s="209"/>
      <c r="D100" s="210"/>
      <c r="E100" s="210"/>
      <c r="F100" s="210"/>
      <c r="G100" s="210"/>
      <c r="H100" s="208"/>
      <c r="I100" s="208"/>
      <c r="J100" s="209"/>
      <c r="K100" s="211"/>
      <c r="L100" s="208"/>
      <c r="M100" s="208"/>
      <c r="N100" s="208"/>
      <c r="O100" s="208"/>
      <c r="P100" s="208"/>
      <c r="Q100" s="208"/>
      <c r="R100" s="208"/>
      <c r="S100" s="212"/>
      <c r="T100" s="208"/>
      <c r="U100" s="208"/>
      <c r="V100" s="208"/>
      <c r="W100" s="208"/>
      <c r="X100" s="208"/>
      <c r="Y100" s="208"/>
      <c r="Z100" s="208"/>
    </row>
    <row r="101">
      <c r="A101" s="208"/>
      <c r="B101" s="207"/>
      <c r="C101" s="209"/>
      <c r="D101" s="210"/>
      <c r="E101" s="210"/>
      <c r="F101" s="210"/>
      <c r="G101" s="210"/>
      <c r="H101" s="208"/>
      <c r="I101" s="208"/>
      <c r="J101" s="209"/>
      <c r="K101" s="211"/>
      <c r="L101" s="208"/>
      <c r="M101" s="208"/>
      <c r="N101" s="208"/>
      <c r="O101" s="208"/>
      <c r="P101" s="208"/>
      <c r="Q101" s="208"/>
      <c r="R101" s="208"/>
      <c r="S101" s="212"/>
      <c r="T101" s="208"/>
      <c r="U101" s="208"/>
      <c r="V101" s="208"/>
      <c r="W101" s="208"/>
      <c r="X101" s="208"/>
      <c r="Y101" s="208"/>
      <c r="Z101" s="208"/>
    </row>
    <row r="102">
      <c r="A102" s="208"/>
      <c r="B102" s="207"/>
      <c r="C102" s="209"/>
      <c r="D102" s="210"/>
      <c r="E102" s="210"/>
      <c r="F102" s="210"/>
      <c r="G102" s="210"/>
      <c r="H102" s="208"/>
      <c r="I102" s="208"/>
      <c r="J102" s="209"/>
      <c r="K102" s="211"/>
      <c r="L102" s="208"/>
      <c r="M102" s="208"/>
      <c r="N102" s="208"/>
      <c r="O102" s="208"/>
      <c r="P102" s="208"/>
      <c r="Q102" s="208"/>
      <c r="R102" s="208"/>
      <c r="S102" s="212"/>
      <c r="T102" s="208"/>
      <c r="U102" s="208"/>
      <c r="V102" s="208"/>
      <c r="W102" s="208"/>
      <c r="X102" s="208"/>
      <c r="Y102" s="208"/>
      <c r="Z102" s="208"/>
    </row>
    <row r="103">
      <c r="A103" s="208"/>
      <c r="B103" s="207"/>
      <c r="C103" s="209"/>
      <c r="D103" s="210"/>
      <c r="E103" s="210"/>
      <c r="F103" s="210"/>
      <c r="G103" s="210"/>
      <c r="H103" s="208"/>
      <c r="I103" s="208"/>
      <c r="J103" s="209"/>
      <c r="K103" s="211"/>
      <c r="L103" s="208"/>
      <c r="M103" s="208"/>
      <c r="N103" s="208"/>
      <c r="O103" s="208"/>
      <c r="P103" s="208"/>
      <c r="Q103" s="208"/>
      <c r="R103" s="208"/>
      <c r="S103" s="212"/>
      <c r="T103" s="208"/>
      <c r="U103" s="208"/>
      <c r="V103" s="208"/>
      <c r="W103" s="208"/>
      <c r="X103" s="208"/>
      <c r="Y103" s="208"/>
      <c r="Z103" s="208"/>
    </row>
    <row r="104">
      <c r="A104" s="208"/>
      <c r="B104" s="207"/>
      <c r="C104" s="209"/>
      <c r="D104" s="210"/>
      <c r="E104" s="210"/>
      <c r="F104" s="210"/>
      <c r="G104" s="210"/>
      <c r="H104" s="208"/>
      <c r="I104" s="208"/>
      <c r="J104" s="209"/>
      <c r="K104" s="211"/>
      <c r="L104" s="208"/>
      <c r="M104" s="208"/>
      <c r="N104" s="208"/>
      <c r="O104" s="208"/>
      <c r="P104" s="208"/>
      <c r="Q104" s="208"/>
      <c r="R104" s="208"/>
      <c r="S104" s="212"/>
      <c r="T104" s="208"/>
      <c r="U104" s="208"/>
      <c r="V104" s="208"/>
      <c r="W104" s="208"/>
      <c r="X104" s="208"/>
      <c r="Y104" s="208"/>
      <c r="Z104" s="208"/>
    </row>
    <row r="105">
      <c r="A105" s="208"/>
      <c r="B105" s="207"/>
      <c r="C105" s="209"/>
      <c r="D105" s="210"/>
      <c r="E105" s="210"/>
      <c r="F105" s="210"/>
      <c r="G105" s="210"/>
      <c r="H105" s="208"/>
      <c r="I105" s="208"/>
      <c r="J105" s="209"/>
      <c r="K105" s="211"/>
      <c r="L105" s="208"/>
      <c r="M105" s="208"/>
      <c r="N105" s="208"/>
      <c r="O105" s="208"/>
      <c r="P105" s="208"/>
      <c r="Q105" s="208"/>
      <c r="R105" s="208"/>
      <c r="S105" s="212"/>
      <c r="T105" s="208"/>
      <c r="U105" s="208"/>
      <c r="V105" s="208"/>
      <c r="W105" s="208"/>
      <c r="X105" s="208"/>
      <c r="Y105" s="208"/>
      <c r="Z105" s="208"/>
    </row>
    <row r="106">
      <c r="A106" s="208"/>
      <c r="B106" s="207"/>
      <c r="C106" s="209"/>
      <c r="D106" s="210"/>
      <c r="E106" s="210"/>
      <c r="F106" s="210"/>
      <c r="G106" s="210"/>
      <c r="H106" s="208"/>
      <c r="I106" s="208"/>
      <c r="J106" s="209"/>
      <c r="K106" s="211"/>
      <c r="L106" s="208"/>
      <c r="M106" s="208"/>
      <c r="N106" s="208"/>
      <c r="O106" s="208"/>
      <c r="P106" s="208"/>
      <c r="Q106" s="208"/>
      <c r="R106" s="208"/>
      <c r="S106" s="212"/>
      <c r="T106" s="208"/>
      <c r="U106" s="208"/>
      <c r="V106" s="208"/>
      <c r="W106" s="208"/>
      <c r="X106" s="208"/>
      <c r="Y106" s="208"/>
      <c r="Z106" s="208"/>
    </row>
    <row r="107">
      <c r="A107" s="208"/>
      <c r="B107" s="207"/>
      <c r="C107" s="209"/>
      <c r="D107" s="210"/>
      <c r="E107" s="210"/>
      <c r="F107" s="210"/>
      <c r="G107" s="210"/>
      <c r="H107" s="208"/>
      <c r="I107" s="208"/>
      <c r="J107" s="209"/>
      <c r="K107" s="211"/>
      <c r="L107" s="208"/>
      <c r="M107" s="208"/>
      <c r="N107" s="208"/>
      <c r="O107" s="208"/>
      <c r="P107" s="208"/>
      <c r="Q107" s="208"/>
      <c r="R107" s="208"/>
      <c r="S107" s="212"/>
      <c r="T107" s="208"/>
      <c r="U107" s="208"/>
      <c r="V107" s="208"/>
      <c r="W107" s="208"/>
      <c r="X107" s="208"/>
      <c r="Y107" s="208"/>
      <c r="Z107" s="208"/>
    </row>
    <row r="108">
      <c r="A108" s="208"/>
      <c r="B108" s="207"/>
      <c r="C108" s="209"/>
      <c r="D108" s="210"/>
      <c r="E108" s="210"/>
      <c r="F108" s="210"/>
      <c r="G108" s="210"/>
      <c r="H108" s="208"/>
      <c r="I108" s="208"/>
      <c r="J108" s="209"/>
      <c r="K108" s="211"/>
      <c r="L108" s="208"/>
      <c r="M108" s="208"/>
      <c r="N108" s="208"/>
      <c r="O108" s="208"/>
      <c r="P108" s="208"/>
      <c r="Q108" s="208"/>
      <c r="R108" s="208"/>
      <c r="S108" s="212"/>
      <c r="T108" s="208"/>
      <c r="U108" s="208"/>
      <c r="V108" s="208"/>
      <c r="W108" s="208"/>
      <c r="X108" s="208"/>
      <c r="Y108" s="208"/>
      <c r="Z108" s="208"/>
    </row>
    <row r="109">
      <c r="A109" s="208"/>
      <c r="B109" s="207"/>
      <c r="C109" s="209"/>
      <c r="D109" s="210"/>
      <c r="E109" s="210"/>
      <c r="F109" s="210"/>
      <c r="G109" s="210"/>
      <c r="H109" s="208"/>
      <c r="I109" s="208"/>
      <c r="J109" s="209"/>
      <c r="K109" s="211"/>
      <c r="L109" s="208"/>
      <c r="M109" s="208"/>
      <c r="N109" s="208"/>
      <c r="O109" s="208"/>
      <c r="P109" s="208"/>
      <c r="Q109" s="208"/>
      <c r="R109" s="208"/>
      <c r="S109" s="212"/>
      <c r="T109" s="208"/>
      <c r="U109" s="208"/>
      <c r="V109" s="208"/>
      <c r="W109" s="208"/>
      <c r="X109" s="208"/>
      <c r="Y109" s="208"/>
      <c r="Z109" s="208"/>
    </row>
    <row r="110">
      <c r="A110" s="208"/>
      <c r="B110" s="207"/>
      <c r="C110" s="209"/>
      <c r="D110" s="210"/>
      <c r="E110" s="210"/>
      <c r="F110" s="210"/>
      <c r="G110" s="210"/>
      <c r="H110" s="208"/>
      <c r="I110" s="208"/>
      <c r="J110" s="209"/>
      <c r="K110" s="211"/>
      <c r="L110" s="208"/>
      <c r="M110" s="208"/>
      <c r="N110" s="208"/>
      <c r="O110" s="208"/>
      <c r="P110" s="208"/>
      <c r="Q110" s="208"/>
      <c r="R110" s="208"/>
      <c r="S110" s="212"/>
      <c r="T110" s="208"/>
      <c r="U110" s="208"/>
      <c r="V110" s="208"/>
      <c r="W110" s="208"/>
      <c r="X110" s="208"/>
      <c r="Y110" s="208"/>
      <c r="Z110" s="208"/>
    </row>
    <row r="111">
      <c r="A111" s="208"/>
      <c r="B111" s="207"/>
      <c r="C111" s="209"/>
      <c r="D111" s="210"/>
      <c r="E111" s="210"/>
      <c r="F111" s="210"/>
      <c r="G111" s="210"/>
      <c r="H111" s="208"/>
      <c r="I111" s="208"/>
      <c r="J111" s="209"/>
      <c r="K111" s="211"/>
      <c r="L111" s="208"/>
      <c r="M111" s="208"/>
      <c r="N111" s="208"/>
      <c r="O111" s="208"/>
      <c r="P111" s="208"/>
      <c r="Q111" s="208"/>
      <c r="R111" s="208"/>
      <c r="S111" s="212"/>
      <c r="T111" s="208"/>
      <c r="U111" s="208"/>
      <c r="V111" s="208"/>
      <c r="W111" s="208"/>
      <c r="X111" s="208"/>
      <c r="Y111" s="208"/>
      <c r="Z111" s="208"/>
    </row>
    <row r="112">
      <c r="A112" s="208"/>
      <c r="B112" s="207"/>
      <c r="C112" s="209"/>
      <c r="D112" s="210"/>
      <c r="E112" s="210"/>
      <c r="F112" s="210"/>
      <c r="G112" s="210"/>
      <c r="H112" s="208"/>
      <c r="I112" s="208"/>
      <c r="J112" s="209"/>
      <c r="K112" s="211"/>
      <c r="L112" s="208"/>
      <c r="M112" s="208"/>
      <c r="N112" s="208"/>
      <c r="O112" s="208"/>
      <c r="P112" s="208"/>
      <c r="Q112" s="208"/>
      <c r="R112" s="208"/>
      <c r="S112" s="212"/>
      <c r="T112" s="208"/>
      <c r="U112" s="208"/>
      <c r="V112" s="208"/>
      <c r="W112" s="208"/>
      <c r="X112" s="208"/>
      <c r="Y112" s="208"/>
      <c r="Z112" s="208"/>
    </row>
    <row r="113">
      <c r="A113" s="208"/>
      <c r="B113" s="207"/>
      <c r="C113" s="209"/>
      <c r="D113" s="210"/>
      <c r="E113" s="210"/>
      <c r="F113" s="210"/>
      <c r="G113" s="210"/>
      <c r="H113" s="208"/>
      <c r="I113" s="208"/>
      <c r="J113" s="209"/>
      <c r="K113" s="211"/>
      <c r="L113" s="208"/>
      <c r="M113" s="208"/>
      <c r="N113" s="208"/>
      <c r="O113" s="208"/>
      <c r="P113" s="208"/>
      <c r="Q113" s="208"/>
      <c r="R113" s="208"/>
      <c r="S113" s="212"/>
      <c r="T113" s="208"/>
      <c r="U113" s="208"/>
      <c r="V113" s="208"/>
      <c r="W113" s="208"/>
      <c r="X113" s="208"/>
      <c r="Y113" s="208"/>
      <c r="Z113" s="208"/>
    </row>
    <row r="114">
      <c r="A114" s="208"/>
      <c r="B114" s="207"/>
      <c r="C114" s="209"/>
      <c r="D114" s="210"/>
      <c r="E114" s="210"/>
      <c r="F114" s="210"/>
      <c r="G114" s="210"/>
      <c r="H114" s="208"/>
      <c r="I114" s="208"/>
      <c r="J114" s="209"/>
      <c r="K114" s="211"/>
      <c r="L114" s="208"/>
      <c r="M114" s="208"/>
      <c r="N114" s="208"/>
      <c r="O114" s="208"/>
      <c r="P114" s="208"/>
      <c r="Q114" s="208"/>
      <c r="R114" s="208"/>
      <c r="S114" s="212"/>
      <c r="T114" s="208"/>
      <c r="U114" s="208"/>
      <c r="V114" s="208"/>
      <c r="W114" s="208"/>
      <c r="X114" s="208"/>
      <c r="Y114" s="208"/>
      <c r="Z114" s="208"/>
    </row>
    <row r="115">
      <c r="A115" s="208"/>
      <c r="B115" s="207"/>
      <c r="C115" s="209"/>
      <c r="D115" s="210"/>
      <c r="E115" s="210"/>
      <c r="F115" s="210"/>
      <c r="G115" s="210"/>
      <c r="H115" s="208"/>
      <c r="I115" s="208"/>
      <c r="J115" s="209"/>
      <c r="K115" s="211"/>
      <c r="L115" s="208"/>
      <c r="M115" s="208"/>
      <c r="N115" s="208"/>
      <c r="O115" s="208"/>
      <c r="P115" s="208"/>
      <c r="Q115" s="208"/>
      <c r="R115" s="208"/>
      <c r="S115" s="212"/>
      <c r="T115" s="208"/>
      <c r="U115" s="208"/>
      <c r="V115" s="208"/>
      <c r="W115" s="208"/>
      <c r="X115" s="208"/>
      <c r="Y115" s="208"/>
      <c r="Z115" s="208"/>
    </row>
    <row r="116">
      <c r="A116" s="208"/>
      <c r="B116" s="207"/>
      <c r="C116" s="209"/>
      <c r="D116" s="210"/>
      <c r="E116" s="210"/>
      <c r="F116" s="210"/>
      <c r="G116" s="210"/>
      <c r="H116" s="208"/>
      <c r="I116" s="208"/>
      <c r="J116" s="209"/>
      <c r="K116" s="211"/>
      <c r="L116" s="208"/>
      <c r="M116" s="208"/>
      <c r="N116" s="208"/>
      <c r="O116" s="208"/>
      <c r="P116" s="208"/>
      <c r="Q116" s="208"/>
      <c r="R116" s="208"/>
      <c r="S116" s="212"/>
      <c r="T116" s="208"/>
      <c r="U116" s="208"/>
      <c r="V116" s="208"/>
      <c r="W116" s="208"/>
      <c r="X116" s="208"/>
      <c r="Y116" s="208"/>
      <c r="Z116" s="208"/>
    </row>
    <row r="117">
      <c r="A117" s="208"/>
      <c r="B117" s="207"/>
      <c r="C117" s="209"/>
      <c r="D117" s="210"/>
      <c r="E117" s="210"/>
      <c r="F117" s="210"/>
      <c r="G117" s="210"/>
      <c r="H117" s="208"/>
      <c r="I117" s="208"/>
      <c r="J117" s="209"/>
      <c r="K117" s="211"/>
      <c r="L117" s="208"/>
      <c r="M117" s="208"/>
      <c r="N117" s="208"/>
      <c r="O117" s="208"/>
      <c r="P117" s="208"/>
      <c r="Q117" s="208"/>
      <c r="R117" s="208"/>
      <c r="S117" s="212"/>
      <c r="T117" s="208"/>
      <c r="U117" s="208"/>
      <c r="V117" s="208"/>
      <c r="W117" s="208"/>
      <c r="X117" s="208"/>
      <c r="Y117" s="208"/>
      <c r="Z117" s="208"/>
    </row>
    <row r="118">
      <c r="A118" s="208"/>
      <c r="B118" s="207"/>
      <c r="C118" s="209"/>
      <c r="D118" s="210"/>
      <c r="E118" s="210"/>
      <c r="F118" s="210"/>
      <c r="G118" s="210"/>
      <c r="H118" s="208"/>
      <c r="I118" s="208"/>
      <c r="J118" s="209"/>
      <c r="K118" s="211"/>
      <c r="L118" s="208"/>
      <c r="M118" s="208"/>
      <c r="N118" s="208"/>
      <c r="O118" s="208"/>
      <c r="P118" s="208"/>
      <c r="Q118" s="208"/>
      <c r="R118" s="208"/>
      <c r="S118" s="212"/>
      <c r="T118" s="208"/>
      <c r="U118" s="208"/>
      <c r="V118" s="208"/>
      <c r="W118" s="208"/>
      <c r="X118" s="208"/>
      <c r="Y118" s="208"/>
      <c r="Z118" s="208"/>
    </row>
    <row r="119">
      <c r="A119" s="208"/>
      <c r="B119" s="207"/>
      <c r="C119" s="209"/>
      <c r="D119" s="210"/>
      <c r="E119" s="210"/>
      <c r="F119" s="210"/>
      <c r="G119" s="210"/>
      <c r="H119" s="208"/>
      <c r="I119" s="208"/>
      <c r="J119" s="209"/>
      <c r="K119" s="211"/>
      <c r="L119" s="208"/>
      <c r="M119" s="208"/>
      <c r="N119" s="208"/>
      <c r="O119" s="208"/>
      <c r="P119" s="208"/>
      <c r="Q119" s="208"/>
      <c r="R119" s="208"/>
      <c r="S119" s="212"/>
      <c r="T119" s="208"/>
      <c r="U119" s="208"/>
      <c r="V119" s="208"/>
      <c r="W119" s="208"/>
      <c r="X119" s="208"/>
      <c r="Y119" s="208"/>
      <c r="Z119" s="208"/>
    </row>
    <row r="120">
      <c r="A120" s="208"/>
      <c r="B120" s="207"/>
      <c r="C120" s="209"/>
      <c r="D120" s="210"/>
      <c r="E120" s="210"/>
      <c r="F120" s="210"/>
      <c r="G120" s="210"/>
      <c r="H120" s="208"/>
      <c r="I120" s="208"/>
      <c r="J120" s="209"/>
      <c r="K120" s="211"/>
      <c r="L120" s="208"/>
      <c r="M120" s="208"/>
      <c r="N120" s="208"/>
      <c r="O120" s="208"/>
      <c r="P120" s="208"/>
      <c r="Q120" s="208"/>
      <c r="R120" s="208"/>
      <c r="S120" s="212"/>
      <c r="T120" s="208"/>
      <c r="U120" s="208"/>
      <c r="V120" s="208"/>
      <c r="W120" s="208"/>
      <c r="X120" s="208"/>
      <c r="Y120" s="208"/>
      <c r="Z120" s="208"/>
    </row>
    <row r="121">
      <c r="A121" s="208"/>
      <c r="B121" s="207"/>
      <c r="C121" s="209"/>
      <c r="D121" s="210"/>
      <c r="E121" s="210"/>
      <c r="F121" s="210"/>
      <c r="G121" s="210"/>
      <c r="H121" s="208"/>
      <c r="I121" s="208"/>
      <c r="J121" s="209"/>
      <c r="K121" s="211"/>
      <c r="L121" s="208"/>
      <c r="M121" s="208"/>
      <c r="N121" s="208"/>
      <c r="O121" s="208"/>
      <c r="P121" s="208"/>
      <c r="Q121" s="208"/>
      <c r="R121" s="208"/>
      <c r="S121" s="212"/>
      <c r="T121" s="208"/>
      <c r="U121" s="208"/>
      <c r="V121" s="208"/>
      <c r="W121" s="208"/>
      <c r="X121" s="208"/>
      <c r="Y121" s="208"/>
      <c r="Z121" s="208"/>
    </row>
    <row r="122">
      <c r="A122" s="208"/>
      <c r="B122" s="207"/>
      <c r="C122" s="209"/>
      <c r="D122" s="210"/>
      <c r="E122" s="210"/>
      <c r="F122" s="210"/>
      <c r="G122" s="210"/>
      <c r="H122" s="208"/>
      <c r="I122" s="208"/>
      <c r="J122" s="209"/>
      <c r="K122" s="211"/>
      <c r="L122" s="208"/>
      <c r="M122" s="208"/>
      <c r="N122" s="208"/>
      <c r="O122" s="208"/>
      <c r="P122" s="208"/>
      <c r="Q122" s="208"/>
      <c r="R122" s="208"/>
      <c r="S122" s="212"/>
      <c r="T122" s="208"/>
      <c r="U122" s="208"/>
      <c r="V122" s="208"/>
      <c r="W122" s="208"/>
      <c r="X122" s="208"/>
      <c r="Y122" s="208"/>
      <c r="Z122" s="208"/>
    </row>
    <row r="123">
      <c r="A123" s="208"/>
      <c r="B123" s="207"/>
      <c r="C123" s="209"/>
      <c r="D123" s="210"/>
      <c r="E123" s="210"/>
      <c r="F123" s="210"/>
      <c r="G123" s="210"/>
      <c r="H123" s="208"/>
      <c r="I123" s="208"/>
      <c r="J123" s="209"/>
      <c r="K123" s="211"/>
      <c r="L123" s="208"/>
      <c r="M123" s="208"/>
      <c r="N123" s="208"/>
      <c r="O123" s="208"/>
      <c r="P123" s="208"/>
      <c r="Q123" s="208"/>
      <c r="R123" s="208"/>
      <c r="S123" s="212"/>
      <c r="T123" s="208"/>
      <c r="U123" s="208"/>
      <c r="V123" s="208"/>
      <c r="W123" s="208"/>
      <c r="X123" s="208"/>
      <c r="Y123" s="208"/>
      <c r="Z123" s="208"/>
    </row>
    <row r="124">
      <c r="A124" s="208"/>
      <c r="B124" s="207"/>
      <c r="C124" s="209"/>
      <c r="D124" s="210"/>
      <c r="E124" s="210"/>
      <c r="F124" s="210"/>
      <c r="G124" s="210"/>
      <c r="H124" s="208"/>
      <c r="I124" s="208"/>
      <c r="J124" s="209"/>
      <c r="K124" s="211"/>
      <c r="L124" s="208"/>
      <c r="M124" s="208"/>
      <c r="N124" s="208"/>
      <c r="O124" s="208"/>
      <c r="P124" s="208"/>
      <c r="Q124" s="208"/>
      <c r="R124" s="208"/>
      <c r="S124" s="212"/>
      <c r="T124" s="208"/>
      <c r="U124" s="208"/>
      <c r="V124" s="208"/>
      <c r="W124" s="208"/>
      <c r="X124" s="208"/>
      <c r="Y124" s="208"/>
      <c r="Z124" s="208"/>
    </row>
    <row r="125">
      <c r="A125" s="208"/>
      <c r="B125" s="207"/>
      <c r="C125" s="209"/>
      <c r="D125" s="210"/>
      <c r="E125" s="210"/>
      <c r="F125" s="210"/>
      <c r="G125" s="210"/>
      <c r="H125" s="208"/>
      <c r="I125" s="208"/>
      <c r="J125" s="209"/>
      <c r="K125" s="211"/>
      <c r="L125" s="208"/>
      <c r="M125" s="208"/>
      <c r="N125" s="208"/>
      <c r="O125" s="208"/>
      <c r="P125" s="208"/>
      <c r="Q125" s="208"/>
      <c r="R125" s="208"/>
      <c r="S125" s="212"/>
      <c r="T125" s="208"/>
      <c r="U125" s="208"/>
      <c r="V125" s="208"/>
      <c r="W125" s="208"/>
      <c r="X125" s="208"/>
      <c r="Y125" s="208"/>
      <c r="Z125" s="208"/>
    </row>
    <row r="126">
      <c r="A126" s="208"/>
      <c r="B126" s="207"/>
      <c r="C126" s="209"/>
      <c r="D126" s="210"/>
      <c r="E126" s="210"/>
      <c r="F126" s="210"/>
      <c r="G126" s="210"/>
      <c r="H126" s="208"/>
      <c r="I126" s="208"/>
      <c r="J126" s="209"/>
      <c r="K126" s="211"/>
      <c r="L126" s="208"/>
      <c r="M126" s="208"/>
      <c r="N126" s="208"/>
      <c r="O126" s="208"/>
      <c r="P126" s="208"/>
      <c r="Q126" s="208"/>
      <c r="R126" s="208"/>
      <c r="S126" s="212"/>
      <c r="T126" s="208"/>
      <c r="U126" s="208"/>
      <c r="V126" s="208"/>
      <c r="W126" s="208"/>
      <c r="X126" s="208"/>
      <c r="Y126" s="208"/>
      <c r="Z126" s="208"/>
    </row>
    <row r="127">
      <c r="A127" s="208"/>
      <c r="B127" s="207"/>
      <c r="C127" s="209"/>
      <c r="D127" s="210"/>
      <c r="E127" s="210"/>
      <c r="F127" s="210"/>
      <c r="G127" s="210"/>
      <c r="H127" s="208"/>
      <c r="I127" s="208"/>
      <c r="J127" s="209"/>
      <c r="K127" s="211"/>
      <c r="L127" s="208"/>
      <c r="M127" s="208"/>
      <c r="N127" s="208"/>
      <c r="O127" s="208"/>
      <c r="P127" s="208"/>
      <c r="Q127" s="208"/>
      <c r="R127" s="208"/>
      <c r="S127" s="212"/>
      <c r="T127" s="208"/>
      <c r="U127" s="208"/>
      <c r="V127" s="208"/>
      <c r="W127" s="208"/>
      <c r="X127" s="208"/>
      <c r="Y127" s="208"/>
      <c r="Z127" s="208"/>
    </row>
    <row r="128">
      <c r="A128" s="208"/>
      <c r="B128" s="207"/>
      <c r="C128" s="209"/>
      <c r="D128" s="210"/>
      <c r="E128" s="210"/>
      <c r="F128" s="210"/>
      <c r="G128" s="210"/>
      <c r="H128" s="208"/>
      <c r="I128" s="208"/>
      <c r="J128" s="209"/>
      <c r="K128" s="211"/>
      <c r="L128" s="208"/>
      <c r="M128" s="208"/>
      <c r="N128" s="208"/>
      <c r="O128" s="208"/>
      <c r="P128" s="208"/>
      <c r="Q128" s="208"/>
      <c r="R128" s="208"/>
      <c r="S128" s="212"/>
      <c r="T128" s="208"/>
      <c r="U128" s="208"/>
      <c r="V128" s="208"/>
      <c r="W128" s="208"/>
      <c r="X128" s="208"/>
      <c r="Y128" s="208"/>
      <c r="Z128" s="208"/>
    </row>
    <row r="129">
      <c r="A129" s="208"/>
      <c r="B129" s="207"/>
      <c r="C129" s="209"/>
      <c r="D129" s="210"/>
      <c r="E129" s="210"/>
      <c r="F129" s="210"/>
      <c r="G129" s="210"/>
      <c r="H129" s="208"/>
      <c r="I129" s="208"/>
      <c r="J129" s="209"/>
      <c r="K129" s="211"/>
      <c r="L129" s="208"/>
      <c r="M129" s="208"/>
      <c r="N129" s="208"/>
      <c r="O129" s="208"/>
      <c r="P129" s="208"/>
      <c r="Q129" s="208"/>
      <c r="R129" s="208"/>
      <c r="S129" s="212"/>
      <c r="T129" s="208"/>
      <c r="U129" s="208"/>
      <c r="V129" s="208"/>
      <c r="W129" s="208"/>
      <c r="X129" s="208"/>
      <c r="Y129" s="208"/>
      <c r="Z129" s="208"/>
    </row>
    <row r="130">
      <c r="A130" s="208"/>
      <c r="B130" s="207"/>
      <c r="C130" s="209"/>
      <c r="D130" s="210"/>
      <c r="E130" s="210"/>
      <c r="F130" s="210"/>
      <c r="G130" s="210"/>
      <c r="H130" s="208"/>
      <c r="I130" s="208"/>
      <c r="J130" s="209"/>
      <c r="K130" s="211"/>
      <c r="L130" s="208"/>
      <c r="M130" s="208"/>
      <c r="N130" s="208"/>
      <c r="O130" s="208"/>
      <c r="P130" s="208"/>
      <c r="Q130" s="208"/>
      <c r="R130" s="208"/>
      <c r="S130" s="212"/>
      <c r="T130" s="208"/>
      <c r="U130" s="208"/>
      <c r="V130" s="208"/>
      <c r="W130" s="208"/>
      <c r="X130" s="208"/>
      <c r="Y130" s="208"/>
      <c r="Z130" s="208"/>
    </row>
    <row r="131">
      <c r="A131" s="208"/>
      <c r="B131" s="207"/>
      <c r="C131" s="209"/>
      <c r="D131" s="210"/>
      <c r="E131" s="210"/>
      <c r="F131" s="210"/>
      <c r="G131" s="210"/>
      <c r="H131" s="208"/>
      <c r="I131" s="208"/>
      <c r="J131" s="209"/>
      <c r="K131" s="211"/>
      <c r="L131" s="208"/>
      <c r="M131" s="208"/>
      <c r="N131" s="208"/>
      <c r="O131" s="208"/>
      <c r="P131" s="208"/>
      <c r="Q131" s="208"/>
      <c r="R131" s="208"/>
      <c r="S131" s="212"/>
      <c r="T131" s="208"/>
      <c r="U131" s="208"/>
      <c r="V131" s="208"/>
      <c r="W131" s="208"/>
      <c r="X131" s="208"/>
      <c r="Y131" s="208"/>
      <c r="Z131" s="208"/>
    </row>
    <row r="132">
      <c r="A132" s="208"/>
      <c r="B132" s="207"/>
      <c r="C132" s="209"/>
      <c r="D132" s="210"/>
      <c r="E132" s="210"/>
      <c r="F132" s="210"/>
      <c r="G132" s="210"/>
      <c r="H132" s="208"/>
      <c r="I132" s="208"/>
      <c r="J132" s="209"/>
      <c r="K132" s="211"/>
      <c r="L132" s="208"/>
      <c r="M132" s="208"/>
      <c r="N132" s="208"/>
      <c r="O132" s="208"/>
      <c r="P132" s="208"/>
      <c r="Q132" s="208"/>
      <c r="R132" s="208"/>
      <c r="S132" s="212"/>
      <c r="T132" s="208"/>
      <c r="U132" s="208"/>
      <c r="V132" s="208"/>
      <c r="W132" s="208"/>
      <c r="X132" s="208"/>
      <c r="Y132" s="208"/>
      <c r="Z132" s="208"/>
    </row>
    <row r="133">
      <c r="A133" s="208"/>
      <c r="B133" s="207"/>
      <c r="C133" s="209"/>
      <c r="D133" s="210"/>
      <c r="E133" s="210"/>
      <c r="F133" s="210"/>
      <c r="G133" s="210"/>
      <c r="H133" s="208"/>
      <c r="I133" s="208"/>
      <c r="J133" s="209"/>
      <c r="K133" s="211"/>
      <c r="L133" s="208"/>
      <c r="M133" s="208"/>
      <c r="N133" s="208"/>
      <c r="O133" s="208"/>
      <c r="P133" s="208"/>
      <c r="Q133" s="208"/>
      <c r="R133" s="208"/>
      <c r="S133" s="212"/>
      <c r="T133" s="208"/>
      <c r="U133" s="208"/>
      <c r="V133" s="208"/>
      <c r="W133" s="208"/>
      <c r="X133" s="208"/>
      <c r="Y133" s="208"/>
      <c r="Z133" s="208"/>
    </row>
    <row r="134">
      <c r="A134" s="208"/>
      <c r="B134" s="207"/>
      <c r="C134" s="209"/>
      <c r="D134" s="210"/>
      <c r="E134" s="210"/>
      <c r="F134" s="210"/>
      <c r="G134" s="210"/>
      <c r="H134" s="208"/>
      <c r="I134" s="208"/>
      <c r="J134" s="209"/>
      <c r="K134" s="211"/>
      <c r="L134" s="208"/>
      <c r="M134" s="208"/>
      <c r="N134" s="208"/>
      <c r="O134" s="208"/>
      <c r="P134" s="208"/>
      <c r="Q134" s="208"/>
      <c r="R134" s="208"/>
      <c r="S134" s="212"/>
      <c r="T134" s="208"/>
      <c r="U134" s="208"/>
      <c r="V134" s="208"/>
      <c r="W134" s="208"/>
      <c r="X134" s="208"/>
      <c r="Y134" s="208"/>
      <c r="Z134" s="208"/>
    </row>
    <row r="135">
      <c r="A135" s="208"/>
      <c r="B135" s="207"/>
      <c r="C135" s="209"/>
      <c r="D135" s="210"/>
      <c r="E135" s="210"/>
      <c r="F135" s="210"/>
      <c r="G135" s="210"/>
      <c r="H135" s="208"/>
      <c r="I135" s="208"/>
      <c r="J135" s="209"/>
      <c r="K135" s="211"/>
      <c r="L135" s="208"/>
      <c r="M135" s="208"/>
      <c r="N135" s="208"/>
      <c r="O135" s="208"/>
      <c r="P135" s="208"/>
      <c r="Q135" s="208"/>
      <c r="R135" s="208"/>
      <c r="S135" s="212"/>
      <c r="T135" s="208"/>
      <c r="U135" s="208"/>
      <c r="V135" s="208"/>
      <c r="W135" s="208"/>
      <c r="X135" s="208"/>
      <c r="Y135" s="208"/>
      <c r="Z135" s="208"/>
    </row>
    <row r="136">
      <c r="A136" s="208"/>
      <c r="B136" s="207"/>
      <c r="C136" s="209"/>
      <c r="D136" s="210"/>
      <c r="E136" s="210"/>
      <c r="F136" s="210"/>
      <c r="G136" s="210"/>
      <c r="H136" s="208"/>
      <c r="I136" s="208"/>
      <c r="J136" s="209"/>
      <c r="K136" s="211"/>
      <c r="L136" s="208"/>
      <c r="M136" s="208"/>
      <c r="N136" s="208"/>
      <c r="O136" s="208"/>
      <c r="P136" s="208"/>
      <c r="Q136" s="208"/>
      <c r="R136" s="208"/>
      <c r="S136" s="212"/>
      <c r="T136" s="208"/>
      <c r="U136" s="208"/>
      <c r="V136" s="208"/>
      <c r="W136" s="208"/>
      <c r="X136" s="208"/>
      <c r="Y136" s="208"/>
      <c r="Z136" s="208"/>
    </row>
    <row r="137">
      <c r="A137" s="208"/>
      <c r="B137" s="207"/>
      <c r="C137" s="209"/>
      <c r="D137" s="210"/>
      <c r="E137" s="210"/>
      <c r="F137" s="210"/>
      <c r="G137" s="210"/>
      <c r="H137" s="208"/>
      <c r="I137" s="208"/>
      <c r="J137" s="209"/>
      <c r="K137" s="211"/>
      <c r="L137" s="208"/>
      <c r="M137" s="208"/>
      <c r="N137" s="208"/>
      <c r="O137" s="208"/>
      <c r="P137" s="208"/>
      <c r="Q137" s="208"/>
      <c r="R137" s="208"/>
      <c r="S137" s="212"/>
      <c r="T137" s="208"/>
      <c r="U137" s="208"/>
      <c r="V137" s="208"/>
      <c r="W137" s="208"/>
      <c r="X137" s="208"/>
      <c r="Y137" s="208"/>
      <c r="Z137" s="208"/>
    </row>
    <row r="138">
      <c r="A138" s="208"/>
      <c r="B138" s="207"/>
      <c r="C138" s="209"/>
      <c r="D138" s="210"/>
      <c r="E138" s="210"/>
      <c r="F138" s="210"/>
      <c r="G138" s="210"/>
      <c r="H138" s="208"/>
      <c r="I138" s="208"/>
      <c r="J138" s="209"/>
      <c r="K138" s="211"/>
      <c r="L138" s="208"/>
      <c r="M138" s="208"/>
      <c r="N138" s="208"/>
      <c r="O138" s="208"/>
      <c r="P138" s="208"/>
      <c r="Q138" s="208"/>
      <c r="R138" s="208"/>
      <c r="S138" s="212"/>
      <c r="T138" s="208"/>
      <c r="U138" s="208"/>
      <c r="V138" s="208"/>
      <c r="W138" s="208"/>
      <c r="X138" s="208"/>
      <c r="Y138" s="208"/>
      <c r="Z138" s="208"/>
    </row>
    <row r="139">
      <c r="A139" s="208"/>
      <c r="B139" s="207"/>
      <c r="C139" s="209"/>
      <c r="D139" s="210"/>
      <c r="E139" s="210"/>
      <c r="F139" s="210"/>
      <c r="G139" s="210"/>
      <c r="H139" s="208"/>
      <c r="I139" s="208"/>
      <c r="J139" s="209"/>
      <c r="K139" s="211"/>
      <c r="L139" s="208"/>
      <c r="M139" s="208"/>
      <c r="N139" s="208"/>
      <c r="O139" s="208"/>
      <c r="P139" s="208"/>
      <c r="Q139" s="208"/>
      <c r="R139" s="208"/>
      <c r="S139" s="212"/>
      <c r="T139" s="208"/>
      <c r="U139" s="208"/>
      <c r="V139" s="208"/>
      <c r="W139" s="208"/>
      <c r="X139" s="208"/>
      <c r="Y139" s="208"/>
      <c r="Z139" s="208"/>
    </row>
    <row r="140">
      <c r="A140" s="208"/>
      <c r="B140" s="207"/>
      <c r="C140" s="209"/>
      <c r="D140" s="210"/>
      <c r="E140" s="210"/>
      <c r="F140" s="210"/>
      <c r="G140" s="210"/>
      <c r="H140" s="208"/>
      <c r="I140" s="208"/>
      <c r="J140" s="209"/>
      <c r="K140" s="211"/>
      <c r="L140" s="208"/>
      <c r="M140" s="208"/>
      <c r="N140" s="208"/>
      <c r="O140" s="208"/>
      <c r="P140" s="208"/>
      <c r="Q140" s="208"/>
      <c r="R140" s="208"/>
      <c r="S140" s="212"/>
      <c r="T140" s="208"/>
      <c r="U140" s="208"/>
      <c r="V140" s="208"/>
      <c r="W140" s="208"/>
      <c r="X140" s="208"/>
      <c r="Y140" s="208"/>
      <c r="Z140" s="208"/>
    </row>
    <row r="141">
      <c r="A141" s="208"/>
      <c r="B141" s="207"/>
      <c r="C141" s="209"/>
      <c r="D141" s="210"/>
      <c r="E141" s="210"/>
      <c r="F141" s="210"/>
      <c r="G141" s="210"/>
      <c r="H141" s="208"/>
      <c r="I141" s="208"/>
      <c r="J141" s="209"/>
      <c r="K141" s="211"/>
      <c r="L141" s="208"/>
      <c r="M141" s="208"/>
      <c r="N141" s="208"/>
      <c r="O141" s="208"/>
      <c r="P141" s="208"/>
      <c r="Q141" s="208"/>
      <c r="R141" s="208"/>
      <c r="S141" s="212"/>
      <c r="T141" s="208"/>
      <c r="U141" s="208"/>
      <c r="V141" s="208"/>
      <c r="W141" s="208"/>
      <c r="X141" s="208"/>
      <c r="Y141" s="208"/>
      <c r="Z141" s="208"/>
    </row>
    <row r="142">
      <c r="A142" s="208"/>
      <c r="B142" s="207"/>
      <c r="C142" s="209"/>
      <c r="D142" s="210"/>
      <c r="E142" s="210"/>
      <c r="F142" s="210"/>
      <c r="G142" s="210"/>
      <c r="H142" s="208"/>
      <c r="I142" s="208"/>
      <c r="J142" s="209"/>
      <c r="K142" s="211"/>
      <c r="L142" s="208"/>
      <c r="M142" s="208"/>
      <c r="N142" s="208"/>
      <c r="O142" s="208"/>
      <c r="P142" s="208"/>
      <c r="Q142" s="208"/>
      <c r="R142" s="208"/>
      <c r="S142" s="212"/>
      <c r="T142" s="208"/>
      <c r="U142" s="208"/>
      <c r="V142" s="208"/>
      <c r="W142" s="208"/>
      <c r="X142" s="208"/>
      <c r="Y142" s="208"/>
      <c r="Z142" s="208"/>
    </row>
    <row r="143">
      <c r="A143" s="208"/>
      <c r="B143" s="207"/>
      <c r="C143" s="209"/>
      <c r="D143" s="210"/>
      <c r="E143" s="210"/>
      <c r="F143" s="210"/>
      <c r="G143" s="210"/>
      <c r="H143" s="208"/>
      <c r="I143" s="208"/>
      <c r="J143" s="209"/>
      <c r="K143" s="211"/>
      <c r="L143" s="208"/>
      <c r="M143" s="208"/>
      <c r="N143" s="208"/>
      <c r="O143" s="208"/>
      <c r="P143" s="208"/>
      <c r="Q143" s="208"/>
      <c r="R143" s="208"/>
      <c r="S143" s="212"/>
      <c r="T143" s="208"/>
      <c r="U143" s="208"/>
      <c r="V143" s="208"/>
      <c r="W143" s="208"/>
      <c r="X143" s="208"/>
      <c r="Y143" s="208"/>
      <c r="Z143" s="208"/>
    </row>
    <row r="144">
      <c r="A144" s="208"/>
      <c r="B144" s="207"/>
      <c r="C144" s="209"/>
      <c r="D144" s="210"/>
      <c r="E144" s="210"/>
      <c r="F144" s="210"/>
      <c r="G144" s="210"/>
      <c r="H144" s="208"/>
      <c r="I144" s="208"/>
      <c r="J144" s="209"/>
      <c r="K144" s="211"/>
      <c r="L144" s="208"/>
      <c r="M144" s="208"/>
      <c r="N144" s="208"/>
      <c r="O144" s="208"/>
      <c r="P144" s="208"/>
      <c r="Q144" s="208"/>
      <c r="R144" s="208"/>
      <c r="S144" s="212"/>
      <c r="T144" s="208"/>
      <c r="U144" s="208"/>
      <c r="V144" s="208"/>
      <c r="W144" s="208"/>
      <c r="X144" s="208"/>
      <c r="Y144" s="208"/>
      <c r="Z144" s="208"/>
    </row>
    <row r="145">
      <c r="A145" s="208"/>
      <c r="B145" s="207"/>
      <c r="C145" s="209"/>
      <c r="D145" s="210"/>
      <c r="E145" s="210"/>
      <c r="F145" s="210"/>
      <c r="G145" s="210"/>
      <c r="H145" s="208"/>
      <c r="I145" s="208"/>
      <c r="J145" s="209"/>
      <c r="K145" s="211"/>
      <c r="L145" s="208"/>
      <c r="M145" s="208"/>
      <c r="N145" s="208"/>
      <c r="O145" s="208"/>
      <c r="P145" s="208"/>
      <c r="Q145" s="208"/>
      <c r="R145" s="208"/>
      <c r="S145" s="212"/>
      <c r="T145" s="208"/>
      <c r="U145" s="208"/>
      <c r="V145" s="208"/>
      <c r="W145" s="208"/>
      <c r="X145" s="208"/>
      <c r="Y145" s="208"/>
      <c r="Z145" s="208"/>
    </row>
    <row r="146">
      <c r="A146" s="208"/>
      <c r="B146" s="207"/>
      <c r="C146" s="209"/>
      <c r="D146" s="210"/>
      <c r="E146" s="210"/>
      <c r="F146" s="210"/>
      <c r="G146" s="210"/>
      <c r="H146" s="208"/>
      <c r="I146" s="208"/>
      <c r="J146" s="209"/>
      <c r="K146" s="211"/>
      <c r="L146" s="208"/>
      <c r="M146" s="208"/>
      <c r="N146" s="208"/>
      <c r="O146" s="208"/>
      <c r="P146" s="208"/>
      <c r="Q146" s="208"/>
      <c r="R146" s="208"/>
      <c r="S146" s="212"/>
      <c r="T146" s="208"/>
      <c r="U146" s="208"/>
      <c r="V146" s="208"/>
      <c r="W146" s="208"/>
      <c r="X146" s="208"/>
      <c r="Y146" s="208"/>
      <c r="Z146" s="208"/>
    </row>
    <row r="147">
      <c r="A147" s="208"/>
      <c r="B147" s="207"/>
      <c r="C147" s="209"/>
      <c r="D147" s="210"/>
      <c r="E147" s="210"/>
      <c r="F147" s="210"/>
      <c r="G147" s="210"/>
      <c r="H147" s="208"/>
      <c r="I147" s="208"/>
      <c r="J147" s="209"/>
      <c r="K147" s="211"/>
      <c r="L147" s="208"/>
      <c r="M147" s="208"/>
      <c r="N147" s="208"/>
      <c r="O147" s="208"/>
      <c r="P147" s="208"/>
      <c r="Q147" s="208"/>
      <c r="R147" s="208"/>
      <c r="S147" s="212"/>
      <c r="T147" s="208"/>
      <c r="U147" s="208"/>
      <c r="V147" s="208"/>
      <c r="W147" s="208"/>
      <c r="X147" s="208"/>
      <c r="Y147" s="208"/>
      <c r="Z147" s="208"/>
    </row>
    <row r="148">
      <c r="A148" s="208"/>
      <c r="B148" s="207"/>
      <c r="C148" s="209"/>
      <c r="D148" s="210"/>
      <c r="E148" s="210"/>
      <c r="F148" s="210"/>
      <c r="G148" s="210"/>
      <c r="H148" s="208"/>
      <c r="I148" s="208"/>
      <c r="J148" s="209"/>
      <c r="K148" s="211"/>
      <c r="L148" s="208"/>
      <c r="M148" s="208"/>
      <c r="N148" s="208"/>
      <c r="O148" s="208"/>
      <c r="P148" s="208"/>
      <c r="Q148" s="208"/>
      <c r="R148" s="208"/>
      <c r="S148" s="212"/>
      <c r="T148" s="208"/>
      <c r="U148" s="208"/>
      <c r="V148" s="208"/>
      <c r="W148" s="208"/>
      <c r="X148" s="208"/>
      <c r="Y148" s="208"/>
      <c r="Z148" s="208"/>
    </row>
    <row r="149">
      <c r="A149" s="208"/>
      <c r="B149" s="207"/>
      <c r="C149" s="209"/>
      <c r="D149" s="210"/>
      <c r="E149" s="210"/>
      <c r="F149" s="210"/>
      <c r="G149" s="210"/>
      <c r="H149" s="208"/>
      <c r="I149" s="208"/>
      <c r="J149" s="209"/>
      <c r="K149" s="211"/>
      <c r="L149" s="208"/>
      <c r="M149" s="208"/>
      <c r="N149" s="208"/>
      <c r="O149" s="208"/>
      <c r="P149" s="208"/>
      <c r="Q149" s="208"/>
      <c r="R149" s="208"/>
      <c r="S149" s="212"/>
      <c r="T149" s="208"/>
      <c r="U149" s="208"/>
      <c r="V149" s="208"/>
      <c r="W149" s="208"/>
      <c r="X149" s="208"/>
      <c r="Y149" s="208"/>
      <c r="Z149" s="208"/>
    </row>
    <row r="150">
      <c r="A150" s="208"/>
      <c r="B150" s="207"/>
      <c r="C150" s="209"/>
      <c r="D150" s="210"/>
      <c r="E150" s="210"/>
      <c r="F150" s="210"/>
      <c r="G150" s="210"/>
      <c r="H150" s="208"/>
      <c r="I150" s="208"/>
      <c r="J150" s="209"/>
      <c r="K150" s="211"/>
      <c r="L150" s="208"/>
      <c r="M150" s="208"/>
      <c r="N150" s="208"/>
      <c r="O150" s="208"/>
      <c r="P150" s="208"/>
      <c r="Q150" s="208"/>
      <c r="R150" s="208"/>
      <c r="S150" s="212"/>
      <c r="T150" s="208"/>
      <c r="U150" s="208"/>
      <c r="V150" s="208"/>
      <c r="W150" s="208"/>
      <c r="X150" s="208"/>
      <c r="Y150" s="208"/>
      <c r="Z150" s="208"/>
    </row>
    <row r="151">
      <c r="A151" s="208"/>
      <c r="B151" s="207"/>
      <c r="C151" s="209"/>
      <c r="D151" s="210"/>
      <c r="E151" s="210"/>
      <c r="F151" s="210"/>
      <c r="G151" s="210"/>
      <c r="H151" s="208"/>
      <c r="I151" s="208"/>
      <c r="J151" s="209"/>
      <c r="K151" s="211"/>
      <c r="L151" s="208"/>
      <c r="M151" s="208"/>
      <c r="N151" s="208"/>
      <c r="O151" s="208"/>
      <c r="P151" s="208"/>
      <c r="Q151" s="208"/>
      <c r="R151" s="208"/>
      <c r="S151" s="212"/>
      <c r="T151" s="208"/>
      <c r="U151" s="208"/>
      <c r="V151" s="208"/>
      <c r="W151" s="208"/>
      <c r="X151" s="208"/>
      <c r="Y151" s="208"/>
      <c r="Z151" s="208"/>
    </row>
    <row r="152">
      <c r="A152" s="208"/>
      <c r="B152" s="207"/>
      <c r="C152" s="209"/>
      <c r="D152" s="210"/>
      <c r="E152" s="210"/>
      <c r="F152" s="210"/>
      <c r="G152" s="210"/>
      <c r="H152" s="208"/>
      <c r="I152" s="208"/>
      <c r="J152" s="209"/>
      <c r="K152" s="211"/>
      <c r="L152" s="208"/>
      <c r="M152" s="208"/>
      <c r="N152" s="208"/>
      <c r="O152" s="208"/>
      <c r="P152" s="208"/>
      <c r="Q152" s="208"/>
      <c r="R152" s="208"/>
      <c r="S152" s="212"/>
      <c r="T152" s="208"/>
      <c r="U152" s="208"/>
      <c r="V152" s="208"/>
      <c r="W152" s="208"/>
      <c r="X152" s="208"/>
      <c r="Y152" s="208"/>
      <c r="Z152" s="208"/>
    </row>
    <row r="153">
      <c r="A153" s="208"/>
      <c r="B153" s="207"/>
      <c r="C153" s="209"/>
      <c r="D153" s="210"/>
      <c r="E153" s="210"/>
      <c r="F153" s="210"/>
      <c r="G153" s="210"/>
      <c r="H153" s="208"/>
      <c r="I153" s="208"/>
      <c r="J153" s="209"/>
      <c r="K153" s="211"/>
      <c r="L153" s="208"/>
      <c r="M153" s="208"/>
      <c r="N153" s="208"/>
      <c r="O153" s="208"/>
      <c r="P153" s="208"/>
      <c r="Q153" s="208"/>
      <c r="R153" s="208"/>
      <c r="S153" s="212"/>
      <c r="T153" s="208"/>
      <c r="U153" s="208"/>
      <c r="V153" s="208"/>
      <c r="W153" s="208"/>
      <c r="X153" s="208"/>
      <c r="Y153" s="208"/>
      <c r="Z153" s="208"/>
    </row>
    <row r="154">
      <c r="A154" s="208"/>
      <c r="B154" s="207"/>
      <c r="C154" s="209"/>
      <c r="D154" s="210"/>
      <c r="E154" s="210"/>
      <c r="F154" s="210"/>
      <c r="G154" s="210"/>
      <c r="H154" s="208"/>
      <c r="I154" s="208"/>
      <c r="J154" s="209"/>
      <c r="K154" s="211"/>
      <c r="L154" s="208"/>
      <c r="M154" s="208"/>
      <c r="N154" s="208"/>
      <c r="O154" s="208"/>
      <c r="P154" s="208"/>
      <c r="Q154" s="208"/>
      <c r="R154" s="208"/>
      <c r="S154" s="212"/>
      <c r="T154" s="208"/>
      <c r="U154" s="208"/>
      <c r="V154" s="208"/>
      <c r="W154" s="208"/>
      <c r="X154" s="208"/>
      <c r="Y154" s="208"/>
      <c r="Z154" s="208"/>
    </row>
    <row r="155">
      <c r="A155" s="208"/>
      <c r="B155" s="207"/>
      <c r="C155" s="209"/>
      <c r="D155" s="210"/>
      <c r="E155" s="210"/>
      <c r="F155" s="210"/>
      <c r="G155" s="210"/>
      <c r="H155" s="208"/>
      <c r="I155" s="208"/>
      <c r="J155" s="209"/>
      <c r="K155" s="211"/>
      <c r="L155" s="208"/>
      <c r="M155" s="208"/>
      <c r="N155" s="208"/>
      <c r="O155" s="208"/>
      <c r="P155" s="208"/>
      <c r="Q155" s="208"/>
      <c r="R155" s="208"/>
      <c r="S155" s="212"/>
      <c r="T155" s="208"/>
      <c r="U155" s="208"/>
      <c r="V155" s="208"/>
      <c r="W155" s="208"/>
      <c r="X155" s="208"/>
      <c r="Y155" s="208"/>
      <c r="Z155" s="208"/>
    </row>
    <row r="156">
      <c r="A156" s="208"/>
      <c r="B156" s="207"/>
      <c r="C156" s="209"/>
      <c r="D156" s="210"/>
      <c r="E156" s="210"/>
      <c r="F156" s="210"/>
      <c r="G156" s="210"/>
      <c r="H156" s="208"/>
      <c r="I156" s="208"/>
      <c r="J156" s="209"/>
      <c r="K156" s="211"/>
      <c r="L156" s="208"/>
      <c r="M156" s="208"/>
      <c r="N156" s="208"/>
      <c r="O156" s="208"/>
      <c r="P156" s="208"/>
      <c r="Q156" s="208"/>
      <c r="R156" s="208"/>
      <c r="S156" s="212"/>
      <c r="T156" s="208"/>
      <c r="U156" s="208"/>
      <c r="V156" s="208"/>
      <c r="W156" s="208"/>
      <c r="X156" s="208"/>
      <c r="Y156" s="208"/>
      <c r="Z156" s="208"/>
    </row>
    <row r="157">
      <c r="A157" s="208"/>
      <c r="B157" s="207"/>
      <c r="C157" s="209"/>
      <c r="D157" s="210"/>
      <c r="E157" s="210"/>
      <c r="F157" s="210"/>
      <c r="G157" s="210"/>
      <c r="H157" s="208"/>
      <c r="I157" s="208"/>
      <c r="J157" s="209"/>
      <c r="K157" s="211"/>
      <c r="L157" s="208"/>
      <c r="M157" s="208"/>
      <c r="N157" s="208"/>
      <c r="O157" s="208"/>
      <c r="P157" s="208"/>
      <c r="Q157" s="208"/>
      <c r="R157" s="208"/>
      <c r="S157" s="212"/>
      <c r="T157" s="208"/>
      <c r="U157" s="208"/>
      <c r="V157" s="208"/>
      <c r="W157" s="208"/>
      <c r="X157" s="208"/>
      <c r="Y157" s="208"/>
      <c r="Z157" s="208"/>
    </row>
    <row r="158">
      <c r="A158" s="208"/>
      <c r="B158" s="207"/>
      <c r="C158" s="209"/>
      <c r="D158" s="210"/>
      <c r="E158" s="210"/>
      <c r="F158" s="210"/>
      <c r="G158" s="210"/>
      <c r="H158" s="208"/>
      <c r="I158" s="208"/>
      <c r="J158" s="209"/>
      <c r="K158" s="211"/>
      <c r="L158" s="208"/>
      <c r="M158" s="208"/>
      <c r="N158" s="208"/>
      <c r="O158" s="208"/>
      <c r="P158" s="208"/>
      <c r="Q158" s="208"/>
      <c r="R158" s="208"/>
      <c r="S158" s="212"/>
      <c r="T158" s="208"/>
      <c r="U158" s="208"/>
      <c r="V158" s="208"/>
      <c r="W158" s="208"/>
      <c r="X158" s="208"/>
      <c r="Y158" s="208"/>
      <c r="Z158" s="208"/>
    </row>
    <row r="159">
      <c r="A159" s="208"/>
      <c r="B159" s="207"/>
      <c r="C159" s="209"/>
      <c r="D159" s="210"/>
      <c r="E159" s="210"/>
      <c r="F159" s="210"/>
      <c r="G159" s="210"/>
      <c r="H159" s="208"/>
      <c r="I159" s="208"/>
      <c r="J159" s="209"/>
      <c r="K159" s="211"/>
      <c r="L159" s="208"/>
      <c r="M159" s="208"/>
      <c r="N159" s="208"/>
      <c r="O159" s="208"/>
      <c r="P159" s="208"/>
      <c r="Q159" s="208"/>
      <c r="R159" s="208"/>
      <c r="S159" s="212"/>
      <c r="T159" s="208"/>
      <c r="U159" s="208"/>
      <c r="V159" s="208"/>
      <c r="W159" s="208"/>
      <c r="X159" s="208"/>
      <c r="Y159" s="208"/>
      <c r="Z159" s="208"/>
    </row>
    <row r="160">
      <c r="A160" s="208"/>
      <c r="B160" s="207"/>
      <c r="C160" s="209"/>
      <c r="D160" s="210"/>
      <c r="E160" s="210"/>
      <c r="F160" s="210"/>
      <c r="G160" s="210"/>
      <c r="H160" s="208"/>
      <c r="I160" s="208"/>
      <c r="J160" s="209"/>
      <c r="K160" s="211"/>
      <c r="L160" s="208"/>
      <c r="M160" s="208"/>
      <c r="N160" s="208"/>
      <c r="O160" s="208"/>
      <c r="P160" s="208"/>
      <c r="Q160" s="208"/>
      <c r="R160" s="208"/>
      <c r="S160" s="212"/>
      <c r="T160" s="208"/>
      <c r="U160" s="208"/>
      <c r="V160" s="208"/>
      <c r="W160" s="208"/>
      <c r="X160" s="208"/>
      <c r="Y160" s="208"/>
      <c r="Z160" s="208"/>
    </row>
    <row r="161">
      <c r="A161" s="208"/>
      <c r="B161" s="207"/>
      <c r="C161" s="209"/>
      <c r="D161" s="210"/>
      <c r="E161" s="210"/>
      <c r="F161" s="210"/>
      <c r="G161" s="210"/>
      <c r="H161" s="208"/>
      <c r="I161" s="208"/>
      <c r="J161" s="209"/>
      <c r="K161" s="211"/>
      <c r="L161" s="208"/>
      <c r="M161" s="208"/>
      <c r="N161" s="208"/>
      <c r="O161" s="208"/>
      <c r="P161" s="208"/>
      <c r="Q161" s="208"/>
      <c r="R161" s="208"/>
      <c r="S161" s="212"/>
      <c r="T161" s="208"/>
      <c r="U161" s="208"/>
      <c r="V161" s="208"/>
      <c r="W161" s="208"/>
      <c r="X161" s="208"/>
      <c r="Y161" s="208"/>
      <c r="Z161" s="208"/>
    </row>
    <row r="162">
      <c r="A162" s="208"/>
      <c r="B162" s="207"/>
      <c r="C162" s="209"/>
      <c r="D162" s="210"/>
      <c r="E162" s="210"/>
      <c r="F162" s="210"/>
      <c r="G162" s="210"/>
      <c r="H162" s="208"/>
      <c r="I162" s="208"/>
      <c r="J162" s="209"/>
      <c r="K162" s="211"/>
      <c r="L162" s="208"/>
      <c r="M162" s="208"/>
      <c r="N162" s="208"/>
      <c r="O162" s="208"/>
      <c r="P162" s="208"/>
      <c r="Q162" s="208"/>
      <c r="R162" s="208"/>
      <c r="S162" s="212"/>
      <c r="T162" s="208"/>
      <c r="U162" s="208"/>
      <c r="V162" s="208"/>
      <c r="W162" s="208"/>
      <c r="X162" s="208"/>
      <c r="Y162" s="208"/>
      <c r="Z162" s="208"/>
    </row>
    <row r="163">
      <c r="A163" s="208"/>
      <c r="B163" s="207"/>
      <c r="C163" s="209"/>
      <c r="D163" s="210"/>
      <c r="E163" s="210"/>
      <c r="F163" s="210"/>
      <c r="G163" s="210"/>
      <c r="H163" s="208"/>
      <c r="I163" s="208"/>
      <c r="J163" s="209"/>
      <c r="K163" s="211"/>
      <c r="L163" s="208"/>
      <c r="M163" s="208"/>
      <c r="N163" s="208"/>
      <c r="O163" s="208"/>
      <c r="P163" s="208"/>
      <c r="Q163" s="208"/>
      <c r="R163" s="208"/>
      <c r="S163" s="212"/>
      <c r="T163" s="208"/>
      <c r="U163" s="208"/>
      <c r="V163" s="208"/>
      <c r="W163" s="208"/>
      <c r="X163" s="208"/>
      <c r="Y163" s="208"/>
      <c r="Z163" s="208"/>
    </row>
    <row r="164">
      <c r="A164" s="208"/>
      <c r="B164" s="207"/>
      <c r="C164" s="209"/>
      <c r="D164" s="210"/>
      <c r="E164" s="210"/>
      <c r="F164" s="210"/>
      <c r="G164" s="210"/>
      <c r="H164" s="208"/>
      <c r="I164" s="208"/>
      <c r="J164" s="209"/>
      <c r="K164" s="211"/>
      <c r="L164" s="208"/>
      <c r="M164" s="208"/>
      <c r="N164" s="208"/>
      <c r="O164" s="208"/>
      <c r="P164" s="208"/>
      <c r="Q164" s="208"/>
      <c r="R164" s="208"/>
      <c r="S164" s="212"/>
      <c r="T164" s="208"/>
      <c r="U164" s="208"/>
      <c r="V164" s="208"/>
      <c r="W164" s="208"/>
      <c r="X164" s="208"/>
      <c r="Y164" s="208"/>
      <c r="Z164" s="208"/>
    </row>
    <row r="165">
      <c r="A165" s="208"/>
      <c r="B165" s="207"/>
      <c r="C165" s="209"/>
      <c r="D165" s="210"/>
      <c r="E165" s="210"/>
      <c r="F165" s="210"/>
      <c r="G165" s="210"/>
      <c r="H165" s="208"/>
      <c r="I165" s="208"/>
      <c r="J165" s="209"/>
      <c r="K165" s="211"/>
      <c r="L165" s="208"/>
      <c r="M165" s="208"/>
      <c r="N165" s="208"/>
      <c r="O165" s="208"/>
      <c r="P165" s="208"/>
      <c r="Q165" s="208"/>
      <c r="R165" s="208"/>
      <c r="S165" s="212"/>
      <c r="T165" s="208"/>
      <c r="U165" s="208"/>
      <c r="V165" s="208"/>
      <c r="W165" s="208"/>
      <c r="X165" s="208"/>
      <c r="Y165" s="208"/>
      <c r="Z165" s="208"/>
    </row>
    <row r="166">
      <c r="A166" s="208"/>
      <c r="B166" s="207"/>
      <c r="C166" s="209"/>
      <c r="D166" s="210"/>
      <c r="E166" s="210"/>
      <c r="F166" s="210"/>
      <c r="G166" s="210"/>
      <c r="H166" s="208"/>
      <c r="I166" s="208"/>
      <c r="J166" s="209"/>
      <c r="K166" s="211"/>
      <c r="L166" s="208"/>
      <c r="M166" s="208"/>
      <c r="N166" s="208"/>
      <c r="O166" s="208"/>
      <c r="P166" s="208"/>
      <c r="Q166" s="208"/>
      <c r="R166" s="208"/>
      <c r="S166" s="212"/>
      <c r="T166" s="208"/>
      <c r="U166" s="208"/>
      <c r="V166" s="208"/>
      <c r="W166" s="208"/>
      <c r="X166" s="208"/>
      <c r="Y166" s="208"/>
      <c r="Z166" s="208"/>
    </row>
    <row r="167">
      <c r="A167" s="208"/>
      <c r="B167" s="207"/>
      <c r="C167" s="209"/>
      <c r="D167" s="210"/>
      <c r="E167" s="210"/>
      <c r="F167" s="210"/>
      <c r="G167" s="210"/>
      <c r="H167" s="208"/>
      <c r="I167" s="208"/>
      <c r="J167" s="209"/>
      <c r="K167" s="211"/>
      <c r="L167" s="208"/>
      <c r="M167" s="208"/>
      <c r="N167" s="208"/>
      <c r="O167" s="208"/>
      <c r="P167" s="208"/>
      <c r="Q167" s="208"/>
      <c r="R167" s="208"/>
      <c r="S167" s="212"/>
      <c r="T167" s="208"/>
      <c r="U167" s="208"/>
      <c r="V167" s="208"/>
      <c r="W167" s="208"/>
      <c r="X167" s="208"/>
      <c r="Y167" s="208"/>
      <c r="Z167" s="208"/>
    </row>
    <row r="168">
      <c r="A168" s="208"/>
      <c r="B168" s="207"/>
      <c r="C168" s="209"/>
      <c r="D168" s="210"/>
      <c r="E168" s="210"/>
      <c r="F168" s="210"/>
      <c r="G168" s="210"/>
      <c r="H168" s="208"/>
      <c r="I168" s="208"/>
      <c r="J168" s="209"/>
      <c r="K168" s="211"/>
      <c r="L168" s="208"/>
      <c r="M168" s="208"/>
      <c r="N168" s="208"/>
      <c r="O168" s="208"/>
      <c r="P168" s="208"/>
      <c r="Q168" s="208"/>
      <c r="R168" s="208"/>
      <c r="S168" s="212"/>
      <c r="T168" s="208"/>
      <c r="U168" s="208"/>
      <c r="V168" s="208"/>
      <c r="W168" s="208"/>
      <c r="X168" s="208"/>
      <c r="Y168" s="208"/>
      <c r="Z168" s="208"/>
    </row>
    <row r="169">
      <c r="A169" s="208"/>
      <c r="B169" s="207"/>
      <c r="C169" s="209"/>
      <c r="D169" s="210"/>
      <c r="E169" s="210"/>
      <c r="F169" s="210"/>
      <c r="G169" s="210"/>
      <c r="H169" s="208"/>
      <c r="I169" s="208"/>
      <c r="J169" s="209"/>
      <c r="K169" s="211"/>
      <c r="L169" s="208"/>
      <c r="M169" s="208"/>
      <c r="N169" s="208"/>
      <c r="O169" s="208"/>
      <c r="P169" s="208"/>
      <c r="Q169" s="208"/>
      <c r="R169" s="208"/>
      <c r="S169" s="212"/>
      <c r="T169" s="208"/>
      <c r="U169" s="208"/>
      <c r="V169" s="208"/>
      <c r="W169" s="208"/>
      <c r="X169" s="208"/>
      <c r="Y169" s="208"/>
      <c r="Z169" s="208"/>
    </row>
    <row r="170">
      <c r="A170" s="208"/>
      <c r="B170" s="207"/>
      <c r="C170" s="209"/>
      <c r="D170" s="210"/>
      <c r="E170" s="210"/>
      <c r="F170" s="210"/>
      <c r="G170" s="210"/>
      <c r="H170" s="208"/>
      <c r="I170" s="208"/>
      <c r="J170" s="209"/>
      <c r="K170" s="211"/>
      <c r="L170" s="208"/>
      <c r="M170" s="208"/>
      <c r="N170" s="208"/>
      <c r="O170" s="208"/>
      <c r="P170" s="208"/>
      <c r="Q170" s="208"/>
      <c r="R170" s="208"/>
      <c r="S170" s="212"/>
      <c r="T170" s="208"/>
      <c r="U170" s="208"/>
      <c r="V170" s="208"/>
      <c r="W170" s="208"/>
      <c r="X170" s="208"/>
      <c r="Y170" s="208"/>
      <c r="Z170" s="208"/>
    </row>
    <row r="171">
      <c r="A171" s="208"/>
      <c r="B171" s="207"/>
      <c r="C171" s="209"/>
      <c r="D171" s="210"/>
      <c r="E171" s="210"/>
      <c r="F171" s="210"/>
      <c r="G171" s="210"/>
      <c r="H171" s="208"/>
      <c r="I171" s="208"/>
      <c r="J171" s="209"/>
      <c r="K171" s="211"/>
      <c r="L171" s="208"/>
      <c r="M171" s="208"/>
      <c r="N171" s="208"/>
      <c r="O171" s="208"/>
      <c r="P171" s="208"/>
      <c r="Q171" s="208"/>
      <c r="R171" s="208"/>
      <c r="S171" s="212"/>
      <c r="T171" s="208"/>
      <c r="U171" s="208"/>
      <c r="V171" s="208"/>
      <c r="W171" s="208"/>
      <c r="X171" s="208"/>
      <c r="Y171" s="208"/>
      <c r="Z171" s="208"/>
    </row>
    <row r="172">
      <c r="A172" s="208"/>
      <c r="B172" s="207"/>
      <c r="C172" s="209"/>
      <c r="D172" s="210"/>
      <c r="E172" s="210"/>
      <c r="F172" s="210"/>
      <c r="G172" s="210"/>
      <c r="H172" s="208"/>
      <c r="I172" s="208"/>
      <c r="J172" s="209"/>
      <c r="K172" s="211"/>
      <c r="L172" s="208"/>
      <c r="M172" s="208"/>
      <c r="N172" s="208"/>
      <c r="O172" s="208"/>
      <c r="P172" s="208"/>
      <c r="Q172" s="208"/>
      <c r="R172" s="208"/>
      <c r="S172" s="212"/>
      <c r="T172" s="208"/>
      <c r="U172" s="208"/>
      <c r="V172" s="208"/>
      <c r="W172" s="208"/>
      <c r="X172" s="208"/>
      <c r="Y172" s="208"/>
      <c r="Z172" s="208"/>
    </row>
    <row r="173">
      <c r="A173" s="208"/>
      <c r="B173" s="207"/>
      <c r="C173" s="209"/>
      <c r="D173" s="210"/>
      <c r="E173" s="210"/>
      <c r="F173" s="210"/>
      <c r="G173" s="210"/>
      <c r="H173" s="208"/>
      <c r="I173" s="208"/>
      <c r="J173" s="209"/>
      <c r="K173" s="211"/>
      <c r="L173" s="208"/>
      <c r="M173" s="208"/>
      <c r="N173" s="208"/>
      <c r="O173" s="208"/>
      <c r="P173" s="208"/>
      <c r="Q173" s="208"/>
      <c r="R173" s="208"/>
      <c r="S173" s="212"/>
      <c r="T173" s="208"/>
      <c r="U173" s="208"/>
      <c r="V173" s="208"/>
      <c r="W173" s="208"/>
      <c r="X173" s="208"/>
      <c r="Y173" s="208"/>
      <c r="Z173" s="208"/>
    </row>
    <row r="174">
      <c r="A174" s="208"/>
      <c r="B174" s="207"/>
      <c r="C174" s="209"/>
      <c r="D174" s="210"/>
      <c r="E174" s="210"/>
      <c r="F174" s="210"/>
      <c r="G174" s="210"/>
      <c r="H174" s="208"/>
      <c r="I174" s="208"/>
      <c r="J174" s="209"/>
      <c r="K174" s="211"/>
      <c r="L174" s="208"/>
      <c r="M174" s="208"/>
      <c r="N174" s="208"/>
      <c r="O174" s="208"/>
      <c r="P174" s="208"/>
      <c r="Q174" s="208"/>
      <c r="R174" s="208"/>
      <c r="S174" s="212"/>
      <c r="T174" s="208"/>
      <c r="U174" s="208"/>
      <c r="V174" s="208"/>
      <c r="W174" s="208"/>
      <c r="X174" s="208"/>
      <c r="Y174" s="208"/>
      <c r="Z174" s="208"/>
    </row>
    <row r="175">
      <c r="A175" s="208"/>
      <c r="B175" s="207"/>
      <c r="C175" s="209"/>
      <c r="D175" s="210"/>
      <c r="E175" s="210"/>
      <c r="F175" s="210"/>
      <c r="G175" s="210"/>
      <c r="H175" s="208"/>
      <c r="I175" s="208"/>
      <c r="J175" s="209"/>
      <c r="K175" s="211"/>
      <c r="L175" s="208"/>
      <c r="M175" s="208"/>
      <c r="N175" s="208"/>
      <c r="O175" s="208"/>
      <c r="P175" s="208"/>
      <c r="Q175" s="208"/>
      <c r="R175" s="208"/>
      <c r="S175" s="212"/>
      <c r="T175" s="208"/>
      <c r="U175" s="208"/>
      <c r="V175" s="208"/>
      <c r="W175" s="208"/>
      <c r="X175" s="208"/>
      <c r="Y175" s="208"/>
      <c r="Z175" s="208"/>
    </row>
    <row r="176">
      <c r="A176" s="208"/>
      <c r="B176" s="207"/>
      <c r="C176" s="209"/>
      <c r="D176" s="210"/>
      <c r="E176" s="210"/>
      <c r="F176" s="210"/>
      <c r="G176" s="210"/>
      <c r="H176" s="208"/>
      <c r="I176" s="208"/>
      <c r="J176" s="209"/>
      <c r="K176" s="211"/>
      <c r="L176" s="208"/>
      <c r="M176" s="208"/>
      <c r="N176" s="208"/>
      <c r="O176" s="208"/>
      <c r="P176" s="208"/>
      <c r="Q176" s="208"/>
      <c r="R176" s="208"/>
      <c r="S176" s="212"/>
      <c r="T176" s="208"/>
      <c r="U176" s="208"/>
      <c r="V176" s="208"/>
      <c r="W176" s="208"/>
      <c r="X176" s="208"/>
      <c r="Y176" s="208"/>
      <c r="Z176" s="208"/>
    </row>
    <row r="177">
      <c r="A177" s="208"/>
      <c r="B177" s="207"/>
      <c r="C177" s="209"/>
      <c r="D177" s="210"/>
      <c r="E177" s="210"/>
      <c r="F177" s="210"/>
      <c r="G177" s="210"/>
      <c r="H177" s="208"/>
      <c r="I177" s="208"/>
      <c r="J177" s="209"/>
      <c r="K177" s="211"/>
      <c r="L177" s="208"/>
      <c r="M177" s="208"/>
      <c r="N177" s="208"/>
      <c r="O177" s="208"/>
      <c r="P177" s="208"/>
      <c r="Q177" s="208"/>
      <c r="R177" s="208"/>
      <c r="S177" s="212"/>
      <c r="T177" s="208"/>
      <c r="U177" s="208"/>
      <c r="V177" s="208"/>
      <c r="W177" s="208"/>
      <c r="X177" s="208"/>
      <c r="Y177" s="208"/>
      <c r="Z177" s="208"/>
    </row>
    <row r="178">
      <c r="A178" s="208"/>
      <c r="B178" s="207"/>
      <c r="C178" s="209"/>
      <c r="D178" s="210"/>
      <c r="E178" s="210"/>
      <c r="F178" s="210"/>
      <c r="G178" s="210"/>
      <c r="H178" s="208"/>
      <c r="I178" s="208"/>
      <c r="J178" s="209"/>
      <c r="K178" s="211"/>
      <c r="L178" s="208"/>
      <c r="M178" s="208"/>
      <c r="N178" s="208"/>
      <c r="O178" s="208"/>
      <c r="P178" s="208"/>
      <c r="Q178" s="208"/>
      <c r="R178" s="208"/>
      <c r="S178" s="212"/>
      <c r="T178" s="208"/>
      <c r="U178" s="208"/>
      <c r="V178" s="208"/>
      <c r="W178" s="208"/>
      <c r="X178" s="208"/>
      <c r="Y178" s="208"/>
      <c r="Z178" s="208"/>
    </row>
    <row r="179">
      <c r="A179" s="208"/>
      <c r="B179" s="207"/>
      <c r="C179" s="209"/>
      <c r="D179" s="210"/>
      <c r="E179" s="210"/>
      <c r="F179" s="210"/>
      <c r="G179" s="210"/>
      <c r="H179" s="208"/>
      <c r="I179" s="208"/>
      <c r="J179" s="209"/>
      <c r="K179" s="211"/>
      <c r="L179" s="208"/>
      <c r="M179" s="208"/>
      <c r="N179" s="208"/>
      <c r="O179" s="208"/>
      <c r="P179" s="208"/>
      <c r="Q179" s="208"/>
      <c r="R179" s="208"/>
      <c r="S179" s="212"/>
      <c r="T179" s="208"/>
      <c r="U179" s="208"/>
      <c r="V179" s="208"/>
      <c r="W179" s="208"/>
      <c r="X179" s="208"/>
      <c r="Y179" s="208"/>
      <c r="Z179" s="208"/>
    </row>
    <row r="180">
      <c r="A180" s="208"/>
      <c r="B180" s="207"/>
      <c r="C180" s="209"/>
      <c r="D180" s="210"/>
      <c r="E180" s="210"/>
      <c r="F180" s="210"/>
      <c r="G180" s="210"/>
      <c r="H180" s="208"/>
      <c r="I180" s="208"/>
      <c r="J180" s="209"/>
      <c r="K180" s="211"/>
      <c r="L180" s="208"/>
      <c r="M180" s="208"/>
      <c r="N180" s="208"/>
      <c r="O180" s="208"/>
      <c r="P180" s="208"/>
      <c r="Q180" s="208"/>
      <c r="R180" s="208"/>
      <c r="S180" s="212"/>
      <c r="T180" s="208"/>
      <c r="U180" s="208"/>
      <c r="V180" s="208"/>
      <c r="W180" s="208"/>
      <c r="X180" s="208"/>
      <c r="Y180" s="208"/>
      <c r="Z180" s="208"/>
    </row>
    <row r="181">
      <c r="A181" s="208"/>
      <c r="B181" s="207"/>
      <c r="C181" s="209"/>
      <c r="D181" s="210"/>
      <c r="E181" s="210"/>
      <c r="F181" s="210"/>
      <c r="G181" s="210"/>
      <c r="H181" s="208"/>
      <c r="I181" s="208"/>
      <c r="J181" s="209"/>
      <c r="K181" s="211"/>
      <c r="L181" s="208"/>
      <c r="M181" s="208"/>
      <c r="N181" s="208"/>
      <c r="O181" s="208"/>
      <c r="P181" s="208"/>
      <c r="Q181" s="208"/>
      <c r="R181" s="208"/>
      <c r="S181" s="212"/>
      <c r="T181" s="208"/>
      <c r="U181" s="208"/>
      <c r="V181" s="208"/>
      <c r="W181" s="208"/>
      <c r="X181" s="208"/>
      <c r="Y181" s="208"/>
      <c r="Z181" s="208"/>
    </row>
    <row r="182">
      <c r="A182" s="208"/>
      <c r="B182" s="207"/>
      <c r="C182" s="209"/>
      <c r="D182" s="210"/>
      <c r="E182" s="210"/>
      <c r="F182" s="210"/>
      <c r="G182" s="210"/>
      <c r="H182" s="208"/>
      <c r="I182" s="208"/>
      <c r="J182" s="209"/>
      <c r="K182" s="211"/>
      <c r="L182" s="208"/>
      <c r="M182" s="208"/>
      <c r="N182" s="208"/>
      <c r="O182" s="208"/>
      <c r="P182" s="208"/>
      <c r="Q182" s="208"/>
      <c r="R182" s="208"/>
      <c r="S182" s="212"/>
      <c r="T182" s="208"/>
      <c r="U182" s="208"/>
      <c r="V182" s="208"/>
      <c r="W182" s="208"/>
      <c r="X182" s="208"/>
      <c r="Y182" s="208"/>
      <c r="Z182" s="208"/>
    </row>
    <row r="183">
      <c r="A183" s="208"/>
      <c r="B183" s="207"/>
      <c r="C183" s="209"/>
      <c r="D183" s="210"/>
      <c r="E183" s="210"/>
      <c r="F183" s="210"/>
      <c r="G183" s="210"/>
      <c r="H183" s="208"/>
      <c r="I183" s="208"/>
      <c r="J183" s="209"/>
      <c r="K183" s="211"/>
      <c r="L183" s="208"/>
      <c r="M183" s="208"/>
      <c r="N183" s="208"/>
      <c r="O183" s="208"/>
      <c r="P183" s="208"/>
      <c r="Q183" s="208"/>
      <c r="R183" s="208"/>
      <c r="S183" s="212"/>
      <c r="T183" s="208"/>
      <c r="U183" s="208"/>
      <c r="V183" s="208"/>
      <c r="W183" s="208"/>
      <c r="X183" s="208"/>
      <c r="Y183" s="208"/>
      <c r="Z183" s="208"/>
    </row>
    <row r="184">
      <c r="A184" s="208"/>
      <c r="B184" s="207"/>
      <c r="C184" s="209"/>
      <c r="D184" s="210"/>
      <c r="E184" s="210"/>
      <c r="F184" s="210"/>
      <c r="G184" s="210"/>
      <c r="H184" s="208"/>
      <c r="I184" s="208"/>
      <c r="J184" s="209"/>
      <c r="K184" s="211"/>
      <c r="L184" s="208"/>
      <c r="M184" s="208"/>
      <c r="N184" s="208"/>
      <c r="O184" s="208"/>
      <c r="P184" s="208"/>
      <c r="Q184" s="208"/>
      <c r="R184" s="208"/>
      <c r="S184" s="212"/>
      <c r="T184" s="208"/>
      <c r="U184" s="208"/>
      <c r="V184" s="208"/>
      <c r="W184" s="208"/>
      <c r="X184" s="208"/>
      <c r="Y184" s="208"/>
      <c r="Z184" s="208"/>
    </row>
    <row r="185">
      <c r="A185" s="208"/>
      <c r="B185" s="207"/>
      <c r="C185" s="209"/>
      <c r="D185" s="210"/>
      <c r="E185" s="210"/>
      <c r="F185" s="210"/>
      <c r="G185" s="210"/>
      <c r="H185" s="208"/>
      <c r="I185" s="208"/>
      <c r="J185" s="209"/>
      <c r="K185" s="211"/>
      <c r="L185" s="208"/>
      <c r="M185" s="208"/>
      <c r="N185" s="208"/>
      <c r="O185" s="208"/>
      <c r="P185" s="208"/>
      <c r="Q185" s="208"/>
      <c r="R185" s="208"/>
      <c r="S185" s="212"/>
      <c r="T185" s="208"/>
      <c r="U185" s="208"/>
      <c r="V185" s="208"/>
      <c r="W185" s="208"/>
      <c r="X185" s="208"/>
      <c r="Y185" s="208"/>
      <c r="Z185" s="208"/>
    </row>
    <row r="186">
      <c r="A186" s="208"/>
      <c r="B186" s="207"/>
      <c r="C186" s="209"/>
      <c r="D186" s="210"/>
      <c r="E186" s="210"/>
      <c r="F186" s="210"/>
      <c r="G186" s="210"/>
      <c r="H186" s="208"/>
      <c r="I186" s="208"/>
      <c r="J186" s="209"/>
      <c r="K186" s="211"/>
      <c r="L186" s="208"/>
      <c r="M186" s="208"/>
      <c r="N186" s="208"/>
      <c r="O186" s="208"/>
      <c r="P186" s="208"/>
      <c r="Q186" s="208"/>
      <c r="R186" s="208"/>
      <c r="S186" s="212"/>
      <c r="T186" s="208"/>
      <c r="U186" s="208"/>
      <c r="V186" s="208"/>
      <c r="W186" s="208"/>
      <c r="X186" s="208"/>
      <c r="Y186" s="208"/>
      <c r="Z186" s="208"/>
    </row>
    <row r="187">
      <c r="A187" s="208"/>
      <c r="B187" s="207"/>
      <c r="C187" s="209"/>
      <c r="D187" s="210"/>
      <c r="E187" s="210"/>
      <c r="F187" s="210"/>
      <c r="G187" s="210"/>
      <c r="H187" s="208"/>
      <c r="I187" s="208"/>
      <c r="J187" s="209"/>
      <c r="K187" s="211"/>
      <c r="L187" s="208"/>
      <c r="M187" s="208"/>
      <c r="N187" s="208"/>
      <c r="O187" s="208"/>
      <c r="P187" s="208"/>
      <c r="Q187" s="208"/>
      <c r="R187" s="208"/>
      <c r="S187" s="212"/>
      <c r="T187" s="208"/>
      <c r="U187" s="208"/>
      <c r="V187" s="208"/>
      <c r="W187" s="208"/>
      <c r="X187" s="208"/>
      <c r="Y187" s="208"/>
      <c r="Z187" s="208"/>
    </row>
    <row r="188">
      <c r="A188" s="208"/>
      <c r="B188" s="207"/>
      <c r="C188" s="209"/>
      <c r="D188" s="210"/>
      <c r="E188" s="210"/>
      <c r="F188" s="210"/>
      <c r="G188" s="210"/>
      <c r="H188" s="208"/>
      <c r="I188" s="208"/>
      <c r="J188" s="209"/>
      <c r="K188" s="211"/>
      <c r="L188" s="208"/>
      <c r="M188" s="208"/>
      <c r="N188" s="208"/>
      <c r="O188" s="208"/>
      <c r="P188" s="208"/>
      <c r="Q188" s="208"/>
      <c r="R188" s="208"/>
      <c r="S188" s="212"/>
      <c r="T188" s="208"/>
      <c r="U188" s="208"/>
      <c r="V188" s="208"/>
      <c r="W188" s="208"/>
      <c r="X188" s="208"/>
      <c r="Y188" s="208"/>
      <c r="Z188" s="208"/>
    </row>
    <row r="189">
      <c r="A189" s="208"/>
      <c r="B189" s="207"/>
      <c r="C189" s="209"/>
      <c r="D189" s="210"/>
      <c r="E189" s="210"/>
      <c r="F189" s="210"/>
      <c r="G189" s="210"/>
      <c r="H189" s="208"/>
      <c r="I189" s="208"/>
      <c r="J189" s="209"/>
      <c r="K189" s="211"/>
      <c r="L189" s="208"/>
      <c r="M189" s="208"/>
      <c r="N189" s="208"/>
      <c r="O189" s="208"/>
      <c r="P189" s="208"/>
      <c r="Q189" s="208"/>
      <c r="R189" s="208"/>
      <c r="S189" s="212"/>
      <c r="T189" s="208"/>
      <c r="U189" s="208"/>
      <c r="V189" s="208"/>
      <c r="W189" s="208"/>
      <c r="X189" s="208"/>
      <c r="Y189" s="208"/>
      <c r="Z189" s="208"/>
    </row>
    <row r="190">
      <c r="A190" s="208"/>
      <c r="B190" s="207"/>
      <c r="C190" s="209"/>
      <c r="D190" s="210"/>
      <c r="E190" s="210"/>
      <c r="F190" s="210"/>
      <c r="G190" s="210"/>
      <c r="H190" s="208"/>
      <c r="I190" s="208"/>
      <c r="J190" s="209"/>
      <c r="K190" s="211"/>
      <c r="L190" s="208"/>
      <c r="M190" s="208"/>
      <c r="N190" s="208"/>
      <c r="O190" s="208"/>
      <c r="P190" s="208"/>
      <c r="Q190" s="208"/>
      <c r="R190" s="208"/>
      <c r="S190" s="212"/>
      <c r="T190" s="208"/>
      <c r="U190" s="208"/>
      <c r="V190" s="208"/>
      <c r="W190" s="208"/>
      <c r="X190" s="208"/>
      <c r="Y190" s="208"/>
      <c r="Z190" s="208"/>
    </row>
    <row r="191">
      <c r="A191" s="208"/>
      <c r="B191" s="207"/>
      <c r="C191" s="209"/>
      <c r="D191" s="210"/>
      <c r="E191" s="210"/>
      <c r="F191" s="210"/>
      <c r="G191" s="210"/>
      <c r="H191" s="208"/>
      <c r="I191" s="208"/>
      <c r="J191" s="209"/>
      <c r="K191" s="211"/>
      <c r="L191" s="208"/>
      <c r="M191" s="208"/>
      <c r="N191" s="208"/>
      <c r="O191" s="208"/>
      <c r="P191" s="208"/>
      <c r="Q191" s="208"/>
      <c r="R191" s="208"/>
      <c r="S191" s="212"/>
      <c r="T191" s="208"/>
      <c r="U191" s="208"/>
      <c r="V191" s="208"/>
      <c r="W191" s="208"/>
      <c r="X191" s="208"/>
      <c r="Y191" s="208"/>
      <c r="Z191" s="208"/>
    </row>
    <row r="192">
      <c r="A192" s="208"/>
      <c r="B192" s="207"/>
      <c r="C192" s="209"/>
      <c r="D192" s="210"/>
      <c r="E192" s="210"/>
      <c r="F192" s="210"/>
      <c r="G192" s="210"/>
      <c r="H192" s="208"/>
      <c r="I192" s="208"/>
      <c r="J192" s="209"/>
      <c r="K192" s="211"/>
      <c r="L192" s="208"/>
      <c r="M192" s="208"/>
      <c r="N192" s="208"/>
      <c r="O192" s="208"/>
      <c r="P192" s="208"/>
      <c r="Q192" s="208"/>
      <c r="R192" s="208"/>
      <c r="S192" s="212"/>
      <c r="T192" s="208"/>
      <c r="U192" s="208"/>
      <c r="V192" s="208"/>
      <c r="W192" s="208"/>
      <c r="X192" s="208"/>
      <c r="Y192" s="208"/>
      <c r="Z192" s="208"/>
    </row>
    <row r="193">
      <c r="A193" s="208"/>
      <c r="B193" s="207"/>
      <c r="C193" s="209"/>
      <c r="D193" s="210"/>
      <c r="E193" s="210"/>
      <c r="F193" s="210"/>
      <c r="G193" s="210"/>
      <c r="H193" s="208"/>
      <c r="I193" s="208"/>
      <c r="J193" s="209"/>
      <c r="K193" s="211"/>
      <c r="L193" s="208"/>
      <c r="M193" s="208"/>
      <c r="N193" s="208"/>
      <c r="O193" s="208"/>
      <c r="P193" s="208"/>
      <c r="Q193" s="208"/>
      <c r="R193" s="208"/>
      <c r="S193" s="212"/>
      <c r="T193" s="208"/>
      <c r="U193" s="208"/>
      <c r="V193" s="208"/>
      <c r="W193" s="208"/>
      <c r="X193" s="208"/>
      <c r="Y193" s="208"/>
      <c r="Z193" s="208"/>
    </row>
    <row r="194">
      <c r="A194" s="208"/>
      <c r="B194" s="207"/>
      <c r="C194" s="209"/>
      <c r="D194" s="210"/>
      <c r="E194" s="210"/>
      <c r="F194" s="210"/>
      <c r="G194" s="210"/>
      <c r="H194" s="208"/>
      <c r="I194" s="208"/>
      <c r="J194" s="209"/>
      <c r="K194" s="211"/>
      <c r="L194" s="208"/>
      <c r="M194" s="208"/>
      <c r="N194" s="208"/>
      <c r="O194" s="208"/>
      <c r="P194" s="208"/>
      <c r="Q194" s="208"/>
      <c r="R194" s="208"/>
      <c r="S194" s="212"/>
      <c r="T194" s="208"/>
      <c r="U194" s="208"/>
      <c r="V194" s="208"/>
      <c r="W194" s="208"/>
      <c r="X194" s="208"/>
      <c r="Y194" s="208"/>
      <c r="Z194" s="208"/>
    </row>
    <row r="195">
      <c r="A195" s="208"/>
      <c r="B195" s="207"/>
      <c r="C195" s="209"/>
      <c r="D195" s="210"/>
      <c r="E195" s="210"/>
      <c r="F195" s="210"/>
      <c r="G195" s="210"/>
      <c r="H195" s="208"/>
      <c r="I195" s="208"/>
      <c r="J195" s="209"/>
      <c r="K195" s="211"/>
      <c r="L195" s="208"/>
      <c r="M195" s="208"/>
      <c r="N195" s="208"/>
      <c r="O195" s="208"/>
      <c r="P195" s="208"/>
      <c r="Q195" s="208"/>
      <c r="R195" s="208"/>
      <c r="S195" s="212"/>
      <c r="T195" s="208"/>
      <c r="U195" s="208"/>
      <c r="V195" s="208"/>
      <c r="W195" s="208"/>
      <c r="X195" s="208"/>
      <c r="Y195" s="208"/>
      <c r="Z195" s="208"/>
    </row>
    <row r="196">
      <c r="A196" s="208"/>
      <c r="B196" s="207"/>
      <c r="C196" s="209"/>
      <c r="D196" s="210"/>
      <c r="E196" s="210"/>
      <c r="F196" s="210"/>
      <c r="G196" s="210"/>
      <c r="H196" s="208"/>
      <c r="I196" s="208"/>
      <c r="J196" s="209"/>
      <c r="K196" s="211"/>
      <c r="L196" s="208"/>
      <c r="M196" s="208"/>
      <c r="N196" s="208"/>
      <c r="O196" s="208"/>
      <c r="P196" s="208"/>
      <c r="Q196" s="208"/>
      <c r="R196" s="208"/>
      <c r="S196" s="212"/>
      <c r="T196" s="208"/>
      <c r="U196" s="208"/>
      <c r="V196" s="208"/>
      <c r="W196" s="208"/>
      <c r="X196" s="208"/>
      <c r="Y196" s="208"/>
      <c r="Z196" s="208"/>
    </row>
    <row r="197">
      <c r="A197" s="208"/>
      <c r="B197" s="207"/>
      <c r="C197" s="209"/>
      <c r="D197" s="210"/>
      <c r="E197" s="210"/>
      <c r="F197" s="210"/>
      <c r="G197" s="210"/>
      <c r="H197" s="208"/>
      <c r="I197" s="208"/>
      <c r="J197" s="209"/>
      <c r="K197" s="211"/>
      <c r="L197" s="208"/>
      <c r="M197" s="208"/>
      <c r="N197" s="208"/>
      <c r="O197" s="208"/>
      <c r="P197" s="208"/>
      <c r="Q197" s="208"/>
      <c r="R197" s="208"/>
      <c r="S197" s="212"/>
      <c r="T197" s="208"/>
      <c r="U197" s="208"/>
      <c r="V197" s="208"/>
      <c r="W197" s="208"/>
      <c r="X197" s="208"/>
      <c r="Y197" s="208"/>
      <c r="Z197" s="208"/>
    </row>
    <row r="198">
      <c r="A198" s="208"/>
      <c r="B198" s="207"/>
      <c r="C198" s="209"/>
      <c r="D198" s="210"/>
      <c r="E198" s="210"/>
      <c r="F198" s="210"/>
      <c r="G198" s="210"/>
      <c r="H198" s="208"/>
      <c r="I198" s="208"/>
      <c r="J198" s="209"/>
      <c r="K198" s="211"/>
      <c r="L198" s="208"/>
      <c r="M198" s="208"/>
      <c r="N198" s="208"/>
      <c r="O198" s="208"/>
      <c r="P198" s="208"/>
      <c r="Q198" s="208"/>
      <c r="R198" s="208"/>
      <c r="S198" s="212"/>
      <c r="T198" s="208"/>
      <c r="U198" s="208"/>
      <c r="V198" s="208"/>
      <c r="W198" s="208"/>
      <c r="X198" s="208"/>
      <c r="Y198" s="208"/>
      <c r="Z198" s="208"/>
    </row>
    <row r="199">
      <c r="A199" s="208"/>
      <c r="B199" s="207"/>
      <c r="C199" s="209"/>
      <c r="D199" s="210"/>
      <c r="E199" s="210"/>
      <c r="F199" s="210"/>
      <c r="G199" s="210"/>
      <c r="H199" s="208"/>
      <c r="I199" s="208"/>
      <c r="J199" s="209"/>
      <c r="K199" s="211"/>
      <c r="L199" s="208"/>
      <c r="M199" s="208"/>
      <c r="N199" s="208"/>
      <c r="O199" s="208"/>
      <c r="P199" s="208"/>
      <c r="Q199" s="208"/>
      <c r="R199" s="208"/>
      <c r="S199" s="212"/>
      <c r="T199" s="208"/>
      <c r="U199" s="208"/>
      <c r="V199" s="208"/>
      <c r="W199" s="208"/>
      <c r="X199" s="208"/>
      <c r="Y199" s="208"/>
      <c r="Z199" s="208"/>
    </row>
    <row r="200">
      <c r="A200" s="208"/>
      <c r="B200" s="207"/>
      <c r="C200" s="209"/>
      <c r="D200" s="210"/>
      <c r="E200" s="210"/>
      <c r="F200" s="210"/>
      <c r="G200" s="210"/>
      <c r="H200" s="208"/>
      <c r="I200" s="208"/>
      <c r="J200" s="209"/>
      <c r="K200" s="211"/>
      <c r="L200" s="208"/>
      <c r="M200" s="208"/>
      <c r="N200" s="208"/>
      <c r="O200" s="208"/>
      <c r="P200" s="208"/>
      <c r="Q200" s="208"/>
      <c r="R200" s="208"/>
      <c r="S200" s="212"/>
      <c r="T200" s="208"/>
      <c r="U200" s="208"/>
      <c r="V200" s="208"/>
      <c r="W200" s="208"/>
      <c r="X200" s="208"/>
      <c r="Y200" s="208"/>
      <c r="Z200" s="208"/>
    </row>
    <row r="201">
      <c r="A201" s="208"/>
      <c r="B201" s="207"/>
      <c r="C201" s="209"/>
      <c r="D201" s="210"/>
      <c r="E201" s="210"/>
      <c r="F201" s="210"/>
      <c r="G201" s="210"/>
      <c r="H201" s="208"/>
      <c r="I201" s="208"/>
      <c r="J201" s="209"/>
      <c r="K201" s="211"/>
      <c r="L201" s="208"/>
      <c r="M201" s="208"/>
      <c r="N201" s="208"/>
      <c r="O201" s="208"/>
      <c r="P201" s="208"/>
      <c r="Q201" s="208"/>
      <c r="R201" s="208"/>
      <c r="S201" s="212"/>
      <c r="T201" s="208"/>
      <c r="U201" s="208"/>
      <c r="V201" s="208"/>
      <c r="W201" s="208"/>
      <c r="X201" s="208"/>
      <c r="Y201" s="208"/>
      <c r="Z201" s="208"/>
    </row>
    <row r="202">
      <c r="A202" s="208"/>
      <c r="B202" s="207"/>
      <c r="C202" s="209"/>
      <c r="D202" s="210"/>
      <c r="E202" s="210"/>
      <c r="F202" s="210"/>
      <c r="G202" s="210"/>
      <c r="H202" s="208"/>
      <c r="I202" s="208"/>
      <c r="J202" s="209"/>
      <c r="K202" s="211"/>
      <c r="L202" s="208"/>
      <c r="M202" s="208"/>
      <c r="N202" s="208"/>
      <c r="O202" s="208"/>
      <c r="P202" s="208"/>
      <c r="Q202" s="208"/>
      <c r="R202" s="208"/>
      <c r="S202" s="212"/>
      <c r="T202" s="208"/>
      <c r="U202" s="208"/>
      <c r="V202" s="208"/>
      <c r="W202" s="208"/>
      <c r="X202" s="208"/>
      <c r="Y202" s="208"/>
      <c r="Z202" s="208"/>
    </row>
    <row r="203">
      <c r="A203" s="208"/>
      <c r="B203" s="207"/>
      <c r="C203" s="209"/>
      <c r="D203" s="210"/>
      <c r="E203" s="210"/>
      <c r="F203" s="210"/>
      <c r="G203" s="210"/>
      <c r="H203" s="208"/>
      <c r="I203" s="208"/>
      <c r="J203" s="209"/>
      <c r="K203" s="211"/>
      <c r="L203" s="208"/>
      <c r="M203" s="208"/>
      <c r="N203" s="208"/>
      <c r="O203" s="208"/>
      <c r="P203" s="208"/>
      <c r="Q203" s="208"/>
      <c r="R203" s="208"/>
      <c r="S203" s="212"/>
      <c r="T203" s="208"/>
      <c r="U203" s="208"/>
      <c r="V203" s="208"/>
      <c r="W203" s="208"/>
      <c r="X203" s="208"/>
      <c r="Y203" s="208"/>
      <c r="Z203" s="208"/>
    </row>
    <row r="204">
      <c r="A204" s="208"/>
      <c r="B204" s="207"/>
      <c r="C204" s="209"/>
      <c r="D204" s="210"/>
      <c r="E204" s="210"/>
      <c r="F204" s="210"/>
      <c r="G204" s="210"/>
      <c r="H204" s="208"/>
      <c r="I204" s="208"/>
      <c r="J204" s="209"/>
      <c r="K204" s="211"/>
      <c r="L204" s="208"/>
      <c r="M204" s="208"/>
      <c r="N204" s="208"/>
      <c r="O204" s="208"/>
      <c r="P204" s="208"/>
      <c r="Q204" s="208"/>
      <c r="R204" s="208"/>
      <c r="S204" s="212"/>
      <c r="T204" s="208"/>
      <c r="U204" s="208"/>
      <c r="V204" s="208"/>
      <c r="W204" s="208"/>
      <c r="X204" s="208"/>
      <c r="Y204" s="208"/>
      <c r="Z204" s="208"/>
    </row>
    <row r="205">
      <c r="A205" s="208"/>
      <c r="B205" s="207"/>
      <c r="C205" s="209"/>
      <c r="D205" s="210"/>
      <c r="E205" s="210"/>
      <c r="F205" s="210"/>
      <c r="G205" s="210"/>
      <c r="H205" s="208"/>
      <c r="I205" s="208"/>
      <c r="J205" s="209"/>
      <c r="K205" s="211"/>
      <c r="L205" s="208"/>
      <c r="M205" s="208"/>
      <c r="N205" s="208"/>
      <c r="O205" s="208"/>
      <c r="P205" s="208"/>
      <c r="Q205" s="208"/>
      <c r="R205" s="208"/>
      <c r="S205" s="212"/>
      <c r="T205" s="208"/>
      <c r="U205" s="208"/>
      <c r="V205" s="208"/>
      <c r="W205" s="208"/>
      <c r="X205" s="208"/>
      <c r="Y205" s="208"/>
      <c r="Z205" s="208"/>
    </row>
    <row r="206">
      <c r="A206" s="208"/>
      <c r="B206" s="207"/>
      <c r="C206" s="209"/>
      <c r="D206" s="210"/>
      <c r="E206" s="210"/>
      <c r="F206" s="210"/>
      <c r="G206" s="210"/>
      <c r="H206" s="208"/>
      <c r="I206" s="208"/>
      <c r="J206" s="209"/>
      <c r="K206" s="211"/>
      <c r="L206" s="208"/>
      <c r="M206" s="208"/>
      <c r="N206" s="208"/>
      <c r="O206" s="208"/>
      <c r="P206" s="208"/>
      <c r="Q206" s="208"/>
      <c r="R206" s="208"/>
      <c r="S206" s="212"/>
      <c r="T206" s="208"/>
      <c r="U206" s="208"/>
      <c r="V206" s="208"/>
      <c r="W206" s="208"/>
      <c r="X206" s="208"/>
      <c r="Y206" s="208"/>
      <c r="Z206" s="208"/>
    </row>
    <row r="207">
      <c r="A207" s="208"/>
      <c r="B207" s="207"/>
      <c r="C207" s="209"/>
      <c r="D207" s="210"/>
      <c r="E207" s="210"/>
      <c r="F207" s="210"/>
      <c r="G207" s="210"/>
      <c r="H207" s="208"/>
      <c r="I207" s="208"/>
      <c r="J207" s="209"/>
      <c r="K207" s="211"/>
      <c r="L207" s="208"/>
      <c r="M207" s="208"/>
      <c r="N207" s="208"/>
      <c r="O207" s="208"/>
      <c r="P207" s="208"/>
      <c r="Q207" s="208"/>
      <c r="R207" s="208"/>
      <c r="S207" s="212"/>
      <c r="T207" s="208"/>
      <c r="U207" s="208"/>
      <c r="V207" s="208"/>
      <c r="W207" s="208"/>
      <c r="X207" s="208"/>
      <c r="Y207" s="208"/>
      <c r="Z207" s="208"/>
    </row>
    <row r="208">
      <c r="A208" s="208"/>
      <c r="B208" s="207"/>
      <c r="C208" s="209"/>
      <c r="D208" s="210"/>
      <c r="E208" s="210"/>
      <c r="F208" s="210"/>
      <c r="G208" s="210"/>
      <c r="H208" s="208"/>
      <c r="I208" s="208"/>
      <c r="J208" s="209"/>
      <c r="K208" s="211"/>
      <c r="L208" s="208"/>
      <c r="M208" s="208"/>
      <c r="N208" s="208"/>
      <c r="O208" s="208"/>
      <c r="P208" s="208"/>
      <c r="Q208" s="208"/>
      <c r="R208" s="208"/>
      <c r="S208" s="212"/>
      <c r="T208" s="208"/>
      <c r="U208" s="208"/>
      <c r="V208" s="208"/>
      <c r="W208" s="208"/>
      <c r="X208" s="208"/>
      <c r="Y208" s="208"/>
      <c r="Z208" s="208"/>
    </row>
    <row r="209">
      <c r="A209" s="208"/>
      <c r="B209" s="207"/>
      <c r="C209" s="209"/>
      <c r="D209" s="210"/>
      <c r="E209" s="210"/>
      <c r="F209" s="210"/>
      <c r="G209" s="210"/>
      <c r="H209" s="208"/>
      <c r="I209" s="208"/>
      <c r="J209" s="209"/>
      <c r="K209" s="211"/>
      <c r="L209" s="208"/>
      <c r="M209" s="208"/>
      <c r="N209" s="208"/>
      <c r="O209" s="208"/>
      <c r="P209" s="208"/>
      <c r="Q209" s="208"/>
      <c r="R209" s="208"/>
      <c r="S209" s="212"/>
      <c r="T209" s="208"/>
      <c r="U209" s="208"/>
      <c r="V209" s="208"/>
      <c r="W209" s="208"/>
      <c r="X209" s="208"/>
      <c r="Y209" s="208"/>
      <c r="Z209" s="208"/>
    </row>
    <row r="210">
      <c r="A210" s="208"/>
      <c r="B210" s="207"/>
      <c r="C210" s="209"/>
      <c r="D210" s="210"/>
      <c r="E210" s="210"/>
      <c r="F210" s="210"/>
      <c r="G210" s="210"/>
      <c r="H210" s="208"/>
      <c r="I210" s="208"/>
      <c r="J210" s="209"/>
      <c r="K210" s="211"/>
      <c r="L210" s="208"/>
      <c r="M210" s="208"/>
      <c r="N210" s="208"/>
      <c r="O210" s="208"/>
      <c r="P210" s="208"/>
      <c r="Q210" s="208"/>
      <c r="R210" s="208"/>
      <c r="S210" s="212"/>
      <c r="T210" s="208"/>
      <c r="U210" s="208"/>
      <c r="V210" s="208"/>
      <c r="W210" s="208"/>
      <c r="X210" s="208"/>
      <c r="Y210" s="208"/>
      <c r="Z210" s="208"/>
    </row>
    <row r="211">
      <c r="A211" s="208"/>
      <c r="B211" s="207"/>
      <c r="C211" s="209"/>
      <c r="D211" s="210"/>
      <c r="E211" s="210"/>
      <c r="F211" s="210"/>
      <c r="G211" s="210"/>
      <c r="H211" s="208"/>
      <c r="I211" s="208"/>
      <c r="J211" s="209"/>
      <c r="K211" s="211"/>
      <c r="L211" s="208"/>
      <c r="M211" s="208"/>
      <c r="N211" s="208"/>
      <c r="O211" s="208"/>
      <c r="P211" s="208"/>
      <c r="Q211" s="208"/>
      <c r="R211" s="208"/>
      <c r="S211" s="212"/>
      <c r="T211" s="208"/>
      <c r="U211" s="208"/>
      <c r="V211" s="208"/>
      <c r="W211" s="208"/>
      <c r="X211" s="208"/>
      <c r="Y211" s="208"/>
      <c r="Z211" s="208"/>
    </row>
    <row r="212">
      <c r="A212" s="208"/>
      <c r="B212" s="207"/>
      <c r="C212" s="209"/>
      <c r="D212" s="210"/>
      <c r="E212" s="210"/>
      <c r="F212" s="210"/>
      <c r="G212" s="210"/>
      <c r="H212" s="208"/>
      <c r="I212" s="208"/>
      <c r="J212" s="209"/>
      <c r="K212" s="211"/>
      <c r="L212" s="208"/>
      <c r="M212" s="208"/>
      <c r="N212" s="208"/>
      <c r="O212" s="208"/>
      <c r="P212" s="208"/>
      <c r="Q212" s="208"/>
      <c r="R212" s="208"/>
      <c r="S212" s="212"/>
      <c r="T212" s="208"/>
      <c r="U212" s="208"/>
      <c r="V212" s="208"/>
      <c r="W212" s="208"/>
      <c r="X212" s="208"/>
      <c r="Y212" s="208"/>
      <c r="Z212" s="208"/>
    </row>
    <row r="213">
      <c r="A213" s="208"/>
      <c r="B213" s="207"/>
      <c r="C213" s="209"/>
      <c r="D213" s="210"/>
      <c r="E213" s="210"/>
      <c r="F213" s="210"/>
      <c r="G213" s="210"/>
      <c r="H213" s="208"/>
      <c r="I213" s="208"/>
      <c r="J213" s="209"/>
      <c r="K213" s="211"/>
      <c r="L213" s="208"/>
      <c r="M213" s="208"/>
      <c r="N213" s="208"/>
      <c r="O213" s="208"/>
      <c r="P213" s="208"/>
      <c r="Q213" s="208"/>
      <c r="R213" s="208"/>
      <c r="S213" s="212"/>
      <c r="T213" s="208"/>
      <c r="U213" s="208"/>
      <c r="V213" s="208"/>
      <c r="W213" s="208"/>
      <c r="X213" s="208"/>
      <c r="Y213" s="208"/>
      <c r="Z213" s="208"/>
    </row>
    <row r="214">
      <c r="A214" s="208"/>
      <c r="B214" s="207"/>
      <c r="C214" s="209"/>
      <c r="D214" s="210"/>
      <c r="E214" s="210"/>
      <c r="F214" s="210"/>
      <c r="G214" s="210"/>
      <c r="H214" s="208"/>
      <c r="I214" s="208"/>
      <c r="J214" s="209"/>
      <c r="K214" s="211"/>
      <c r="L214" s="208"/>
      <c r="M214" s="208"/>
      <c r="N214" s="208"/>
      <c r="O214" s="208"/>
      <c r="P214" s="208"/>
      <c r="Q214" s="208"/>
      <c r="R214" s="208"/>
      <c r="S214" s="212"/>
      <c r="T214" s="208"/>
      <c r="U214" s="208"/>
      <c r="V214" s="208"/>
      <c r="W214" s="208"/>
      <c r="X214" s="208"/>
      <c r="Y214" s="208"/>
      <c r="Z214" s="208"/>
    </row>
    <row r="215">
      <c r="A215" s="208"/>
      <c r="B215" s="207"/>
      <c r="C215" s="209"/>
      <c r="D215" s="210"/>
      <c r="E215" s="210"/>
      <c r="F215" s="210"/>
      <c r="G215" s="210"/>
      <c r="H215" s="208"/>
      <c r="I215" s="208"/>
      <c r="J215" s="209"/>
      <c r="K215" s="211"/>
      <c r="L215" s="208"/>
      <c r="M215" s="208"/>
      <c r="N215" s="208"/>
      <c r="O215" s="208"/>
      <c r="P215" s="208"/>
      <c r="Q215" s="208"/>
      <c r="R215" s="208"/>
      <c r="S215" s="212"/>
      <c r="T215" s="208"/>
      <c r="U215" s="208"/>
      <c r="V215" s="208"/>
      <c r="W215" s="208"/>
      <c r="X215" s="208"/>
      <c r="Y215" s="208"/>
      <c r="Z215" s="208"/>
    </row>
    <row r="216">
      <c r="A216" s="208"/>
      <c r="B216" s="207"/>
      <c r="C216" s="209"/>
      <c r="D216" s="210"/>
      <c r="E216" s="210"/>
      <c r="F216" s="210"/>
      <c r="G216" s="210"/>
      <c r="H216" s="208"/>
      <c r="I216" s="208"/>
      <c r="J216" s="209"/>
      <c r="K216" s="211"/>
      <c r="L216" s="208"/>
      <c r="M216" s="208"/>
      <c r="N216" s="208"/>
      <c r="O216" s="208"/>
      <c r="P216" s="208"/>
      <c r="Q216" s="208"/>
      <c r="R216" s="208"/>
      <c r="S216" s="212"/>
      <c r="T216" s="208"/>
      <c r="U216" s="208"/>
      <c r="V216" s="208"/>
      <c r="W216" s="208"/>
      <c r="X216" s="208"/>
      <c r="Y216" s="208"/>
      <c r="Z216" s="208"/>
    </row>
    <row r="217">
      <c r="A217" s="208"/>
      <c r="B217" s="207"/>
      <c r="C217" s="209"/>
      <c r="D217" s="210"/>
      <c r="E217" s="210"/>
      <c r="F217" s="210"/>
      <c r="G217" s="210"/>
      <c r="H217" s="208"/>
      <c r="I217" s="208"/>
      <c r="J217" s="209"/>
      <c r="K217" s="211"/>
      <c r="L217" s="208"/>
      <c r="M217" s="208"/>
      <c r="N217" s="208"/>
      <c r="O217" s="208"/>
      <c r="P217" s="208"/>
      <c r="Q217" s="208"/>
      <c r="R217" s="208"/>
      <c r="S217" s="212"/>
      <c r="T217" s="208"/>
      <c r="U217" s="208"/>
      <c r="V217" s="208"/>
      <c r="W217" s="208"/>
      <c r="X217" s="208"/>
      <c r="Y217" s="208"/>
      <c r="Z217" s="208"/>
    </row>
    <row r="218">
      <c r="A218" s="208"/>
      <c r="B218" s="207"/>
      <c r="C218" s="209"/>
      <c r="D218" s="210"/>
      <c r="E218" s="210"/>
      <c r="F218" s="210"/>
      <c r="G218" s="210"/>
      <c r="H218" s="208"/>
      <c r="I218" s="208"/>
      <c r="J218" s="209"/>
      <c r="K218" s="211"/>
      <c r="L218" s="208"/>
      <c r="M218" s="208"/>
      <c r="N218" s="208"/>
      <c r="O218" s="208"/>
      <c r="P218" s="208"/>
      <c r="Q218" s="208"/>
      <c r="R218" s="208"/>
      <c r="S218" s="212"/>
      <c r="T218" s="208"/>
      <c r="U218" s="208"/>
      <c r="V218" s="208"/>
      <c r="W218" s="208"/>
      <c r="X218" s="208"/>
      <c r="Y218" s="208"/>
      <c r="Z218" s="208"/>
    </row>
    <row r="219">
      <c r="A219" s="208"/>
      <c r="B219" s="207"/>
      <c r="C219" s="209"/>
      <c r="D219" s="210"/>
      <c r="E219" s="210"/>
      <c r="F219" s="210"/>
      <c r="G219" s="210"/>
      <c r="H219" s="208"/>
      <c r="I219" s="208"/>
      <c r="J219" s="209"/>
      <c r="K219" s="211"/>
      <c r="L219" s="208"/>
      <c r="M219" s="208"/>
      <c r="N219" s="208"/>
      <c r="O219" s="208"/>
      <c r="P219" s="208"/>
      <c r="Q219" s="208"/>
      <c r="R219" s="208"/>
      <c r="S219" s="212"/>
      <c r="T219" s="208"/>
      <c r="U219" s="208"/>
      <c r="V219" s="208"/>
      <c r="W219" s="208"/>
      <c r="X219" s="208"/>
      <c r="Y219" s="208"/>
      <c r="Z219" s="208"/>
    </row>
    <row r="220">
      <c r="A220" s="208"/>
      <c r="B220" s="207"/>
      <c r="C220" s="209"/>
      <c r="D220" s="210"/>
      <c r="E220" s="210"/>
      <c r="F220" s="210"/>
      <c r="G220" s="210"/>
      <c r="H220" s="208"/>
      <c r="I220" s="208"/>
      <c r="J220" s="209"/>
      <c r="K220" s="211"/>
      <c r="L220" s="208"/>
      <c r="M220" s="208"/>
      <c r="N220" s="208"/>
      <c r="O220" s="208"/>
      <c r="P220" s="208"/>
      <c r="Q220" s="208"/>
      <c r="R220" s="208"/>
      <c r="S220" s="212"/>
      <c r="T220" s="208"/>
      <c r="U220" s="208"/>
      <c r="V220" s="208"/>
      <c r="W220" s="208"/>
      <c r="X220" s="208"/>
      <c r="Y220" s="208"/>
      <c r="Z220" s="208"/>
    </row>
    <row r="221">
      <c r="A221" s="208"/>
      <c r="B221" s="207"/>
      <c r="C221" s="209"/>
      <c r="D221" s="210"/>
      <c r="E221" s="210"/>
      <c r="F221" s="210"/>
      <c r="G221" s="210"/>
      <c r="H221" s="208"/>
      <c r="I221" s="208"/>
      <c r="J221" s="209"/>
      <c r="K221" s="211"/>
      <c r="L221" s="208"/>
      <c r="M221" s="208"/>
      <c r="N221" s="208"/>
      <c r="O221" s="208"/>
      <c r="P221" s="208"/>
      <c r="Q221" s="208"/>
      <c r="R221" s="208"/>
      <c r="S221" s="212"/>
      <c r="T221" s="208"/>
      <c r="U221" s="208"/>
      <c r="V221" s="208"/>
      <c r="W221" s="208"/>
      <c r="X221" s="208"/>
      <c r="Y221" s="208"/>
      <c r="Z221" s="208"/>
    </row>
    <row r="222">
      <c r="A222" s="208"/>
      <c r="B222" s="207"/>
      <c r="C222" s="209"/>
      <c r="D222" s="210"/>
      <c r="E222" s="210"/>
      <c r="F222" s="210"/>
      <c r="G222" s="210"/>
      <c r="H222" s="208"/>
      <c r="I222" s="208"/>
      <c r="J222" s="209"/>
      <c r="K222" s="211"/>
      <c r="L222" s="208"/>
      <c r="M222" s="208"/>
      <c r="N222" s="208"/>
      <c r="O222" s="208"/>
      <c r="P222" s="208"/>
      <c r="Q222" s="208"/>
      <c r="R222" s="208"/>
      <c r="S222" s="212"/>
      <c r="T222" s="208"/>
      <c r="U222" s="208"/>
      <c r="V222" s="208"/>
      <c r="W222" s="208"/>
      <c r="X222" s="208"/>
      <c r="Y222" s="208"/>
      <c r="Z222" s="208"/>
    </row>
    <row r="223">
      <c r="A223" s="208"/>
      <c r="B223" s="207"/>
      <c r="C223" s="209"/>
      <c r="D223" s="210"/>
      <c r="E223" s="210"/>
      <c r="F223" s="210"/>
      <c r="G223" s="210"/>
      <c r="H223" s="208"/>
      <c r="I223" s="208"/>
      <c r="J223" s="209"/>
      <c r="K223" s="211"/>
      <c r="L223" s="208"/>
      <c r="M223" s="208"/>
      <c r="N223" s="208"/>
      <c r="O223" s="208"/>
      <c r="P223" s="208"/>
      <c r="Q223" s="208"/>
      <c r="R223" s="208"/>
      <c r="S223" s="212"/>
      <c r="T223" s="208"/>
      <c r="U223" s="208"/>
      <c r="V223" s="208"/>
      <c r="W223" s="208"/>
      <c r="X223" s="208"/>
      <c r="Y223" s="208"/>
      <c r="Z223" s="208"/>
    </row>
    <row r="224">
      <c r="A224" s="208"/>
      <c r="B224" s="207"/>
      <c r="C224" s="209"/>
      <c r="D224" s="210"/>
      <c r="E224" s="210"/>
      <c r="F224" s="210"/>
      <c r="G224" s="210"/>
      <c r="H224" s="208"/>
      <c r="I224" s="208"/>
      <c r="J224" s="209"/>
      <c r="K224" s="211"/>
      <c r="L224" s="208"/>
      <c r="M224" s="208"/>
      <c r="N224" s="208"/>
      <c r="O224" s="208"/>
      <c r="P224" s="208"/>
      <c r="Q224" s="208"/>
      <c r="R224" s="208"/>
      <c r="S224" s="212"/>
      <c r="T224" s="208"/>
      <c r="U224" s="208"/>
      <c r="V224" s="208"/>
      <c r="W224" s="208"/>
      <c r="X224" s="208"/>
      <c r="Y224" s="208"/>
      <c r="Z224" s="208"/>
    </row>
    <row r="225">
      <c r="A225" s="208"/>
      <c r="B225" s="207"/>
      <c r="C225" s="209"/>
      <c r="D225" s="210"/>
      <c r="E225" s="210"/>
      <c r="F225" s="210"/>
      <c r="G225" s="210"/>
      <c r="H225" s="208"/>
      <c r="I225" s="208"/>
      <c r="J225" s="209"/>
      <c r="K225" s="211"/>
      <c r="L225" s="208"/>
      <c r="M225" s="208"/>
      <c r="N225" s="208"/>
      <c r="O225" s="208"/>
      <c r="P225" s="208"/>
      <c r="Q225" s="208"/>
      <c r="R225" s="208"/>
      <c r="S225" s="212"/>
      <c r="T225" s="208"/>
      <c r="U225" s="208"/>
      <c r="V225" s="208"/>
      <c r="W225" s="208"/>
      <c r="X225" s="208"/>
      <c r="Y225" s="208"/>
      <c r="Z225" s="208"/>
    </row>
    <row r="226">
      <c r="A226" s="208"/>
      <c r="B226" s="207"/>
      <c r="C226" s="209"/>
      <c r="D226" s="210"/>
      <c r="E226" s="210"/>
      <c r="F226" s="210"/>
      <c r="G226" s="210"/>
      <c r="H226" s="208"/>
      <c r="I226" s="208"/>
      <c r="J226" s="209"/>
      <c r="K226" s="211"/>
      <c r="L226" s="208"/>
      <c r="M226" s="208"/>
      <c r="N226" s="208"/>
      <c r="O226" s="208"/>
      <c r="P226" s="208"/>
      <c r="Q226" s="208"/>
      <c r="R226" s="208"/>
      <c r="S226" s="212"/>
      <c r="T226" s="208"/>
      <c r="U226" s="208"/>
      <c r="V226" s="208"/>
      <c r="W226" s="208"/>
      <c r="X226" s="208"/>
      <c r="Y226" s="208"/>
      <c r="Z226" s="208"/>
    </row>
    <row r="227">
      <c r="A227" s="208"/>
      <c r="B227" s="207"/>
      <c r="C227" s="209"/>
      <c r="D227" s="210"/>
      <c r="E227" s="210"/>
      <c r="F227" s="210"/>
      <c r="G227" s="210"/>
      <c r="H227" s="208"/>
      <c r="I227" s="208"/>
      <c r="J227" s="209"/>
      <c r="K227" s="211"/>
      <c r="L227" s="208"/>
      <c r="M227" s="208"/>
      <c r="N227" s="208"/>
      <c r="O227" s="208"/>
      <c r="P227" s="208"/>
      <c r="Q227" s="208"/>
      <c r="R227" s="208"/>
      <c r="S227" s="212"/>
      <c r="T227" s="208"/>
      <c r="U227" s="208"/>
      <c r="V227" s="208"/>
      <c r="W227" s="208"/>
      <c r="X227" s="208"/>
      <c r="Y227" s="208"/>
      <c r="Z227" s="208"/>
    </row>
    <row r="228">
      <c r="A228" s="208"/>
      <c r="B228" s="207"/>
      <c r="C228" s="209"/>
      <c r="D228" s="210"/>
      <c r="E228" s="210"/>
      <c r="F228" s="210"/>
      <c r="G228" s="210"/>
      <c r="H228" s="208"/>
      <c r="I228" s="208"/>
      <c r="J228" s="209"/>
      <c r="K228" s="211"/>
      <c r="L228" s="208"/>
      <c r="M228" s="208"/>
      <c r="N228" s="208"/>
      <c r="O228" s="208"/>
      <c r="P228" s="208"/>
      <c r="Q228" s="208"/>
      <c r="R228" s="208"/>
      <c r="S228" s="212"/>
      <c r="T228" s="208"/>
      <c r="U228" s="208"/>
      <c r="V228" s="208"/>
      <c r="W228" s="208"/>
      <c r="X228" s="208"/>
      <c r="Y228" s="208"/>
      <c r="Z228" s="208"/>
    </row>
    <row r="229">
      <c r="A229" s="208"/>
      <c r="B229" s="207"/>
      <c r="C229" s="209"/>
      <c r="D229" s="210"/>
      <c r="E229" s="210"/>
      <c r="F229" s="210"/>
      <c r="G229" s="210"/>
      <c r="H229" s="208"/>
      <c r="I229" s="208"/>
      <c r="J229" s="209"/>
      <c r="K229" s="211"/>
      <c r="L229" s="208"/>
      <c r="M229" s="208"/>
      <c r="N229" s="208"/>
      <c r="O229" s="208"/>
      <c r="P229" s="208"/>
      <c r="Q229" s="208"/>
      <c r="R229" s="208"/>
      <c r="S229" s="212"/>
      <c r="T229" s="208"/>
      <c r="U229" s="208"/>
      <c r="V229" s="208"/>
      <c r="W229" s="208"/>
      <c r="X229" s="208"/>
      <c r="Y229" s="208"/>
      <c r="Z229" s="208"/>
    </row>
    <row r="230">
      <c r="A230" s="208"/>
      <c r="B230" s="207"/>
      <c r="C230" s="209"/>
      <c r="D230" s="210"/>
      <c r="E230" s="210"/>
      <c r="F230" s="210"/>
      <c r="G230" s="210"/>
      <c r="H230" s="208"/>
      <c r="I230" s="208"/>
      <c r="J230" s="209"/>
      <c r="K230" s="211"/>
      <c r="L230" s="208"/>
      <c r="M230" s="208"/>
      <c r="N230" s="208"/>
      <c r="O230" s="208"/>
      <c r="P230" s="208"/>
      <c r="Q230" s="208"/>
      <c r="R230" s="208"/>
      <c r="S230" s="212"/>
      <c r="T230" s="208"/>
      <c r="U230" s="208"/>
      <c r="V230" s="208"/>
      <c r="W230" s="208"/>
      <c r="X230" s="208"/>
      <c r="Y230" s="208"/>
      <c r="Z230" s="208"/>
    </row>
    <row r="231">
      <c r="A231" s="208"/>
      <c r="B231" s="207"/>
      <c r="C231" s="209"/>
      <c r="D231" s="210"/>
      <c r="E231" s="210"/>
      <c r="F231" s="210"/>
      <c r="G231" s="210"/>
      <c r="H231" s="208"/>
      <c r="I231" s="208"/>
      <c r="J231" s="209"/>
      <c r="K231" s="211"/>
      <c r="L231" s="208"/>
      <c r="M231" s="208"/>
      <c r="N231" s="208"/>
      <c r="O231" s="208"/>
      <c r="P231" s="208"/>
      <c r="Q231" s="208"/>
      <c r="R231" s="208"/>
      <c r="S231" s="212"/>
      <c r="T231" s="208"/>
      <c r="U231" s="208"/>
      <c r="V231" s="208"/>
      <c r="W231" s="208"/>
      <c r="X231" s="208"/>
      <c r="Y231" s="208"/>
      <c r="Z231" s="208"/>
    </row>
    <row r="232">
      <c r="A232" s="208"/>
      <c r="B232" s="207"/>
      <c r="C232" s="209"/>
      <c r="D232" s="210"/>
      <c r="E232" s="210"/>
      <c r="F232" s="210"/>
      <c r="G232" s="210"/>
      <c r="H232" s="208"/>
      <c r="I232" s="208"/>
      <c r="J232" s="209"/>
      <c r="K232" s="211"/>
      <c r="L232" s="208"/>
      <c r="M232" s="208"/>
      <c r="N232" s="208"/>
      <c r="O232" s="208"/>
      <c r="P232" s="208"/>
      <c r="Q232" s="208"/>
      <c r="R232" s="208"/>
      <c r="S232" s="212"/>
      <c r="T232" s="208"/>
      <c r="U232" s="208"/>
      <c r="V232" s="208"/>
      <c r="W232" s="208"/>
      <c r="X232" s="208"/>
      <c r="Y232" s="208"/>
      <c r="Z232" s="208"/>
    </row>
    <row r="233">
      <c r="A233" s="208"/>
      <c r="B233" s="207"/>
      <c r="C233" s="209"/>
      <c r="D233" s="210"/>
      <c r="E233" s="210"/>
      <c r="F233" s="210"/>
      <c r="G233" s="210"/>
      <c r="H233" s="208"/>
      <c r="I233" s="208"/>
      <c r="J233" s="209"/>
      <c r="K233" s="211"/>
      <c r="L233" s="208"/>
      <c r="M233" s="208"/>
      <c r="N233" s="208"/>
      <c r="O233" s="208"/>
      <c r="P233" s="208"/>
      <c r="Q233" s="208"/>
      <c r="R233" s="208"/>
      <c r="S233" s="212"/>
      <c r="T233" s="208"/>
      <c r="U233" s="208"/>
      <c r="V233" s="208"/>
      <c r="W233" s="208"/>
      <c r="X233" s="208"/>
      <c r="Y233" s="208"/>
      <c r="Z233" s="208"/>
    </row>
    <row r="234">
      <c r="A234" s="208"/>
      <c r="B234" s="207"/>
      <c r="C234" s="209"/>
      <c r="D234" s="210"/>
      <c r="E234" s="210"/>
      <c r="F234" s="210"/>
      <c r="G234" s="210"/>
      <c r="H234" s="208"/>
      <c r="I234" s="208"/>
      <c r="J234" s="209"/>
      <c r="K234" s="211"/>
      <c r="L234" s="208"/>
      <c r="M234" s="208"/>
      <c r="N234" s="208"/>
      <c r="O234" s="208"/>
      <c r="P234" s="208"/>
      <c r="Q234" s="208"/>
      <c r="R234" s="208"/>
      <c r="S234" s="212"/>
      <c r="T234" s="208"/>
      <c r="U234" s="208"/>
      <c r="V234" s="208"/>
      <c r="W234" s="208"/>
      <c r="X234" s="208"/>
      <c r="Y234" s="208"/>
      <c r="Z234" s="208"/>
    </row>
    <row r="235">
      <c r="A235" s="208"/>
      <c r="B235" s="207"/>
      <c r="C235" s="209"/>
      <c r="D235" s="210"/>
      <c r="E235" s="210"/>
      <c r="F235" s="210"/>
      <c r="G235" s="210"/>
      <c r="H235" s="208"/>
      <c r="I235" s="208"/>
      <c r="J235" s="209"/>
      <c r="K235" s="211"/>
      <c r="L235" s="208"/>
      <c r="M235" s="208"/>
      <c r="N235" s="208"/>
      <c r="O235" s="208"/>
      <c r="P235" s="208"/>
      <c r="Q235" s="208"/>
      <c r="R235" s="208"/>
      <c r="S235" s="212"/>
      <c r="T235" s="208"/>
      <c r="U235" s="208"/>
      <c r="V235" s="208"/>
      <c r="W235" s="208"/>
      <c r="X235" s="208"/>
      <c r="Y235" s="208"/>
      <c r="Z235" s="208"/>
    </row>
    <row r="236">
      <c r="A236" s="208"/>
      <c r="B236" s="207"/>
      <c r="C236" s="209"/>
      <c r="D236" s="210"/>
      <c r="E236" s="210"/>
      <c r="F236" s="210"/>
      <c r="G236" s="210"/>
      <c r="H236" s="208"/>
      <c r="I236" s="208"/>
      <c r="J236" s="209"/>
      <c r="K236" s="211"/>
      <c r="L236" s="208"/>
      <c r="M236" s="208"/>
      <c r="N236" s="208"/>
      <c r="O236" s="208"/>
      <c r="P236" s="208"/>
      <c r="Q236" s="208"/>
      <c r="R236" s="208"/>
      <c r="S236" s="212"/>
      <c r="T236" s="208"/>
      <c r="U236" s="208"/>
      <c r="V236" s="208"/>
      <c r="W236" s="208"/>
      <c r="X236" s="208"/>
      <c r="Y236" s="208"/>
      <c r="Z236" s="208"/>
    </row>
    <row r="237">
      <c r="A237" s="208"/>
      <c r="B237" s="207"/>
      <c r="C237" s="209"/>
      <c r="D237" s="210"/>
      <c r="E237" s="210"/>
      <c r="F237" s="210"/>
      <c r="G237" s="210"/>
      <c r="H237" s="208"/>
      <c r="I237" s="208"/>
      <c r="J237" s="209"/>
      <c r="K237" s="211"/>
      <c r="L237" s="208"/>
      <c r="M237" s="208"/>
      <c r="N237" s="208"/>
      <c r="O237" s="208"/>
      <c r="P237" s="208"/>
      <c r="Q237" s="208"/>
      <c r="R237" s="208"/>
      <c r="S237" s="212"/>
      <c r="T237" s="208"/>
      <c r="U237" s="208"/>
      <c r="V237" s="208"/>
      <c r="W237" s="208"/>
      <c r="X237" s="208"/>
      <c r="Y237" s="208"/>
      <c r="Z237" s="208"/>
    </row>
    <row r="238">
      <c r="A238" s="208"/>
      <c r="B238" s="207"/>
      <c r="C238" s="209"/>
      <c r="D238" s="210"/>
      <c r="E238" s="210"/>
      <c r="F238" s="210"/>
      <c r="G238" s="210"/>
      <c r="H238" s="208"/>
      <c r="I238" s="208"/>
      <c r="J238" s="209"/>
      <c r="K238" s="211"/>
      <c r="L238" s="208"/>
      <c r="M238" s="208"/>
      <c r="N238" s="208"/>
      <c r="O238" s="208"/>
      <c r="P238" s="208"/>
      <c r="Q238" s="208"/>
      <c r="R238" s="208"/>
      <c r="S238" s="212"/>
      <c r="T238" s="208"/>
      <c r="U238" s="208"/>
      <c r="V238" s="208"/>
      <c r="W238" s="208"/>
      <c r="X238" s="208"/>
      <c r="Y238" s="208"/>
      <c r="Z238" s="208"/>
    </row>
    <row r="239">
      <c r="A239" s="208"/>
      <c r="B239" s="207"/>
      <c r="C239" s="209"/>
      <c r="D239" s="210"/>
      <c r="E239" s="210"/>
      <c r="F239" s="210"/>
      <c r="G239" s="210"/>
      <c r="H239" s="208"/>
      <c r="I239" s="208"/>
      <c r="J239" s="209"/>
      <c r="K239" s="211"/>
      <c r="L239" s="208"/>
      <c r="M239" s="208"/>
      <c r="N239" s="208"/>
      <c r="O239" s="208"/>
      <c r="P239" s="208"/>
      <c r="Q239" s="208"/>
      <c r="R239" s="208"/>
      <c r="S239" s="212"/>
      <c r="T239" s="208"/>
      <c r="U239" s="208"/>
      <c r="V239" s="208"/>
      <c r="W239" s="208"/>
      <c r="X239" s="208"/>
      <c r="Y239" s="208"/>
      <c r="Z239" s="208"/>
    </row>
    <row r="240">
      <c r="A240" s="208"/>
      <c r="B240" s="207"/>
      <c r="C240" s="209"/>
      <c r="D240" s="210"/>
      <c r="E240" s="210"/>
      <c r="F240" s="210"/>
      <c r="G240" s="210"/>
      <c r="H240" s="208"/>
      <c r="I240" s="208"/>
      <c r="J240" s="209"/>
      <c r="K240" s="211"/>
      <c r="L240" s="208"/>
      <c r="M240" s="208"/>
      <c r="N240" s="208"/>
      <c r="O240" s="208"/>
      <c r="P240" s="208"/>
      <c r="Q240" s="208"/>
      <c r="R240" s="208"/>
      <c r="S240" s="212"/>
      <c r="T240" s="208"/>
      <c r="U240" s="208"/>
      <c r="V240" s="208"/>
      <c r="W240" s="208"/>
      <c r="X240" s="208"/>
      <c r="Y240" s="208"/>
      <c r="Z240" s="208"/>
    </row>
    <row r="241">
      <c r="A241" s="208"/>
      <c r="B241" s="207"/>
      <c r="C241" s="209"/>
      <c r="D241" s="210"/>
      <c r="E241" s="210"/>
      <c r="F241" s="210"/>
      <c r="G241" s="210"/>
      <c r="H241" s="208"/>
      <c r="I241" s="208"/>
      <c r="J241" s="209"/>
      <c r="K241" s="211"/>
      <c r="L241" s="208"/>
      <c r="M241" s="208"/>
      <c r="N241" s="208"/>
      <c r="O241" s="208"/>
      <c r="P241" s="208"/>
      <c r="Q241" s="208"/>
      <c r="R241" s="208"/>
      <c r="S241" s="212"/>
      <c r="T241" s="208"/>
      <c r="U241" s="208"/>
      <c r="V241" s="208"/>
      <c r="W241" s="208"/>
      <c r="X241" s="208"/>
      <c r="Y241" s="208"/>
      <c r="Z241" s="208"/>
    </row>
    <row r="242">
      <c r="A242" s="208"/>
      <c r="B242" s="207"/>
      <c r="C242" s="209"/>
      <c r="D242" s="210"/>
      <c r="E242" s="210"/>
      <c r="F242" s="210"/>
      <c r="G242" s="210"/>
      <c r="H242" s="208"/>
      <c r="I242" s="208"/>
      <c r="J242" s="209"/>
      <c r="K242" s="211"/>
      <c r="L242" s="208"/>
      <c r="M242" s="208"/>
      <c r="N242" s="208"/>
      <c r="O242" s="208"/>
      <c r="P242" s="208"/>
      <c r="Q242" s="208"/>
      <c r="R242" s="208"/>
      <c r="S242" s="212"/>
      <c r="T242" s="208"/>
      <c r="U242" s="208"/>
      <c r="V242" s="208"/>
      <c r="W242" s="208"/>
      <c r="X242" s="208"/>
      <c r="Y242" s="208"/>
      <c r="Z242" s="208"/>
    </row>
    <row r="243">
      <c r="A243" s="208"/>
      <c r="B243" s="207"/>
      <c r="C243" s="209"/>
      <c r="D243" s="210"/>
      <c r="E243" s="210"/>
      <c r="F243" s="210"/>
      <c r="G243" s="210"/>
      <c r="H243" s="208"/>
      <c r="I243" s="208"/>
      <c r="J243" s="209"/>
      <c r="K243" s="211"/>
      <c r="L243" s="208"/>
      <c r="M243" s="208"/>
      <c r="N243" s="208"/>
      <c r="O243" s="208"/>
      <c r="P243" s="208"/>
      <c r="Q243" s="208"/>
      <c r="R243" s="208"/>
      <c r="S243" s="212"/>
      <c r="T243" s="208"/>
      <c r="U243" s="208"/>
      <c r="V243" s="208"/>
      <c r="W243" s="208"/>
      <c r="X243" s="208"/>
      <c r="Y243" s="208"/>
      <c r="Z243" s="208"/>
    </row>
    <row r="244">
      <c r="A244" s="208"/>
      <c r="B244" s="207"/>
      <c r="C244" s="209"/>
      <c r="D244" s="210"/>
      <c r="E244" s="210"/>
      <c r="F244" s="210"/>
      <c r="G244" s="210"/>
      <c r="H244" s="208"/>
      <c r="I244" s="208"/>
      <c r="J244" s="209"/>
      <c r="K244" s="211"/>
      <c r="L244" s="208"/>
      <c r="M244" s="208"/>
      <c r="N244" s="208"/>
      <c r="O244" s="208"/>
      <c r="P244" s="208"/>
      <c r="Q244" s="208"/>
      <c r="R244" s="208"/>
      <c r="S244" s="212"/>
      <c r="T244" s="208"/>
      <c r="U244" s="208"/>
      <c r="V244" s="208"/>
      <c r="W244" s="208"/>
      <c r="X244" s="208"/>
      <c r="Y244" s="208"/>
      <c r="Z244" s="208"/>
    </row>
    <row r="245">
      <c r="A245" s="208"/>
      <c r="B245" s="207"/>
      <c r="C245" s="209"/>
      <c r="D245" s="210"/>
      <c r="E245" s="210"/>
      <c r="F245" s="210"/>
      <c r="G245" s="210"/>
      <c r="H245" s="208"/>
      <c r="I245" s="208"/>
      <c r="J245" s="209"/>
      <c r="K245" s="211"/>
      <c r="L245" s="208"/>
      <c r="M245" s="208"/>
      <c r="N245" s="208"/>
      <c r="O245" s="208"/>
      <c r="P245" s="208"/>
      <c r="Q245" s="208"/>
      <c r="R245" s="208"/>
      <c r="S245" s="212"/>
      <c r="T245" s="208"/>
      <c r="U245" s="208"/>
      <c r="V245" s="208"/>
      <c r="W245" s="208"/>
      <c r="X245" s="208"/>
      <c r="Y245" s="208"/>
      <c r="Z245" s="208"/>
    </row>
    <row r="246">
      <c r="A246" s="208"/>
      <c r="B246" s="207"/>
      <c r="C246" s="209"/>
      <c r="D246" s="210"/>
      <c r="E246" s="210"/>
      <c r="F246" s="210"/>
      <c r="G246" s="210"/>
      <c r="H246" s="208"/>
      <c r="I246" s="208"/>
      <c r="J246" s="209"/>
      <c r="K246" s="211"/>
      <c r="L246" s="208"/>
      <c r="M246" s="208"/>
      <c r="N246" s="208"/>
      <c r="O246" s="208"/>
      <c r="P246" s="208"/>
      <c r="Q246" s="208"/>
      <c r="R246" s="208"/>
      <c r="S246" s="212"/>
      <c r="T246" s="208"/>
      <c r="U246" s="208"/>
      <c r="V246" s="208"/>
      <c r="W246" s="208"/>
      <c r="X246" s="208"/>
      <c r="Y246" s="208"/>
      <c r="Z246" s="208"/>
    </row>
    <row r="247">
      <c r="A247" s="208"/>
      <c r="B247" s="207"/>
      <c r="C247" s="209"/>
      <c r="D247" s="210"/>
      <c r="E247" s="210"/>
      <c r="F247" s="210"/>
      <c r="G247" s="210"/>
      <c r="H247" s="208"/>
      <c r="I247" s="208"/>
      <c r="J247" s="209"/>
      <c r="K247" s="211"/>
      <c r="L247" s="208"/>
      <c r="M247" s="208"/>
      <c r="N247" s="208"/>
      <c r="O247" s="208"/>
      <c r="P247" s="208"/>
      <c r="Q247" s="208"/>
      <c r="R247" s="208"/>
      <c r="S247" s="212"/>
      <c r="T247" s="208"/>
      <c r="U247" s="208"/>
      <c r="V247" s="208"/>
      <c r="W247" s="208"/>
      <c r="X247" s="208"/>
      <c r="Y247" s="208"/>
      <c r="Z247" s="208"/>
    </row>
    <row r="248">
      <c r="A248" s="208"/>
      <c r="B248" s="207"/>
      <c r="C248" s="209"/>
      <c r="D248" s="210"/>
      <c r="E248" s="210"/>
      <c r="F248" s="210"/>
      <c r="G248" s="210"/>
      <c r="H248" s="208"/>
      <c r="I248" s="208"/>
      <c r="J248" s="209"/>
      <c r="K248" s="211"/>
      <c r="L248" s="208"/>
      <c r="M248" s="208"/>
      <c r="N248" s="208"/>
      <c r="O248" s="208"/>
      <c r="P248" s="208"/>
      <c r="Q248" s="208"/>
      <c r="R248" s="208"/>
      <c r="S248" s="212"/>
      <c r="T248" s="208"/>
      <c r="U248" s="208"/>
      <c r="V248" s="208"/>
      <c r="W248" s="208"/>
      <c r="X248" s="208"/>
      <c r="Y248" s="208"/>
      <c r="Z248" s="208"/>
    </row>
    <row r="249">
      <c r="A249" s="208"/>
      <c r="B249" s="207"/>
      <c r="C249" s="209"/>
      <c r="D249" s="210"/>
      <c r="E249" s="210"/>
      <c r="F249" s="210"/>
      <c r="G249" s="210"/>
      <c r="H249" s="208"/>
      <c r="I249" s="208"/>
      <c r="J249" s="209"/>
      <c r="K249" s="211"/>
      <c r="L249" s="208"/>
      <c r="M249" s="208"/>
      <c r="N249" s="208"/>
      <c r="O249" s="208"/>
      <c r="P249" s="208"/>
      <c r="Q249" s="208"/>
      <c r="R249" s="208"/>
      <c r="S249" s="212"/>
      <c r="T249" s="208"/>
      <c r="U249" s="208"/>
      <c r="V249" s="208"/>
      <c r="W249" s="208"/>
      <c r="X249" s="208"/>
      <c r="Y249" s="208"/>
      <c r="Z249" s="208"/>
    </row>
    <row r="250">
      <c r="A250" s="208"/>
      <c r="B250" s="207"/>
      <c r="C250" s="209"/>
      <c r="D250" s="210"/>
      <c r="E250" s="210"/>
      <c r="F250" s="210"/>
      <c r="G250" s="210"/>
      <c r="H250" s="208"/>
      <c r="I250" s="208"/>
      <c r="J250" s="209"/>
      <c r="K250" s="211"/>
      <c r="L250" s="208"/>
      <c r="M250" s="208"/>
      <c r="N250" s="208"/>
      <c r="O250" s="208"/>
      <c r="P250" s="208"/>
      <c r="Q250" s="208"/>
      <c r="R250" s="208"/>
      <c r="S250" s="212"/>
      <c r="T250" s="208"/>
      <c r="U250" s="208"/>
      <c r="V250" s="208"/>
      <c r="W250" s="208"/>
      <c r="X250" s="208"/>
      <c r="Y250" s="208"/>
      <c r="Z250" s="208"/>
    </row>
    <row r="251">
      <c r="A251" s="208"/>
      <c r="B251" s="207"/>
      <c r="C251" s="209"/>
      <c r="D251" s="210"/>
      <c r="E251" s="210"/>
      <c r="F251" s="210"/>
      <c r="G251" s="210"/>
      <c r="H251" s="208"/>
      <c r="I251" s="208"/>
      <c r="J251" s="209"/>
      <c r="K251" s="211"/>
      <c r="L251" s="208"/>
      <c r="M251" s="208"/>
      <c r="N251" s="208"/>
      <c r="O251" s="208"/>
      <c r="P251" s="208"/>
      <c r="Q251" s="208"/>
      <c r="R251" s="208"/>
      <c r="S251" s="212"/>
      <c r="T251" s="208"/>
      <c r="U251" s="208"/>
      <c r="V251" s="208"/>
      <c r="W251" s="208"/>
      <c r="X251" s="208"/>
      <c r="Y251" s="208"/>
      <c r="Z251" s="208"/>
    </row>
    <row r="252">
      <c r="A252" s="208"/>
      <c r="B252" s="207"/>
      <c r="C252" s="209"/>
      <c r="D252" s="210"/>
      <c r="E252" s="210"/>
      <c r="F252" s="210"/>
      <c r="G252" s="210"/>
      <c r="H252" s="208"/>
      <c r="I252" s="208"/>
      <c r="J252" s="209"/>
      <c r="K252" s="211"/>
      <c r="L252" s="208"/>
      <c r="M252" s="208"/>
      <c r="N252" s="208"/>
      <c r="O252" s="208"/>
      <c r="P252" s="208"/>
      <c r="Q252" s="208"/>
      <c r="R252" s="208"/>
      <c r="S252" s="212"/>
      <c r="T252" s="208"/>
      <c r="U252" s="208"/>
      <c r="V252" s="208"/>
      <c r="W252" s="208"/>
      <c r="X252" s="208"/>
      <c r="Y252" s="208"/>
      <c r="Z252" s="208"/>
    </row>
    <row r="253">
      <c r="A253" s="208"/>
      <c r="B253" s="207"/>
      <c r="C253" s="209"/>
      <c r="D253" s="210"/>
      <c r="E253" s="210"/>
      <c r="F253" s="210"/>
      <c r="G253" s="210"/>
      <c r="H253" s="208"/>
      <c r="I253" s="208"/>
      <c r="J253" s="209"/>
      <c r="K253" s="211"/>
      <c r="L253" s="208"/>
      <c r="M253" s="208"/>
      <c r="N253" s="208"/>
      <c r="O253" s="208"/>
      <c r="P253" s="208"/>
      <c r="Q253" s="208"/>
      <c r="R253" s="208"/>
      <c r="S253" s="212"/>
      <c r="T253" s="208"/>
      <c r="U253" s="208"/>
      <c r="V253" s="208"/>
      <c r="W253" s="208"/>
      <c r="X253" s="208"/>
      <c r="Y253" s="208"/>
      <c r="Z253" s="208"/>
    </row>
    <row r="254">
      <c r="A254" s="208"/>
      <c r="B254" s="207"/>
      <c r="C254" s="209"/>
      <c r="D254" s="210"/>
      <c r="E254" s="210"/>
      <c r="F254" s="210"/>
      <c r="G254" s="210"/>
      <c r="H254" s="208"/>
      <c r="I254" s="208"/>
      <c r="J254" s="209"/>
      <c r="K254" s="211"/>
      <c r="L254" s="208"/>
      <c r="M254" s="208"/>
      <c r="N254" s="208"/>
      <c r="O254" s="208"/>
      <c r="P254" s="208"/>
      <c r="Q254" s="208"/>
      <c r="R254" s="208"/>
      <c r="S254" s="212"/>
      <c r="T254" s="208"/>
      <c r="U254" s="208"/>
      <c r="V254" s="208"/>
      <c r="W254" s="208"/>
      <c r="X254" s="208"/>
      <c r="Y254" s="208"/>
      <c r="Z254" s="208"/>
    </row>
    <row r="255">
      <c r="A255" s="208"/>
      <c r="B255" s="207"/>
      <c r="C255" s="209"/>
      <c r="D255" s="210"/>
      <c r="E255" s="210"/>
      <c r="F255" s="210"/>
      <c r="G255" s="210"/>
      <c r="H255" s="208"/>
      <c r="I255" s="208"/>
      <c r="J255" s="209"/>
      <c r="K255" s="211"/>
      <c r="L255" s="208"/>
      <c r="M255" s="208"/>
      <c r="N255" s="208"/>
      <c r="O255" s="208"/>
      <c r="P255" s="208"/>
      <c r="Q255" s="208"/>
      <c r="R255" s="208"/>
      <c r="S255" s="212"/>
      <c r="T255" s="208"/>
      <c r="U255" s="208"/>
      <c r="V255" s="208"/>
      <c r="W255" s="208"/>
      <c r="X255" s="208"/>
      <c r="Y255" s="208"/>
      <c r="Z255" s="208"/>
    </row>
    <row r="256">
      <c r="A256" s="208"/>
      <c r="B256" s="207"/>
      <c r="C256" s="209"/>
      <c r="D256" s="210"/>
      <c r="E256" s="210"/>
      <c r="F256" s="210"/>
      <c r="G256" s="210"/>
      <c r="H256" s="208"/>
      <c r="I256" s="208"/>
      <c r="J256" s="209"/>
      <c r="K256" s="211"/>
      <c r="L256" s="208"/>
      <c r="M256" s="208"/>
      <c r="N256" s="208"/>
      <c r="O256" s="208"/>
      <c r="P256" s="208"/>
      <c r="Q256" s="208"/>
      <c r="R256" s="208"/>
      <c r="S256" s="212"/>
      <c r="T256" s="208"/>
      <c r="U256" s="208"/>
      <c r="V256" s="208"/>
      <c r="W256" s="208"/>
      <c r="X256" s="208"/>
      <c r="Y256" s="208"/>
      <c r="Z256" s="208"/>
    </row>
    <row r="257">
      <c r="A257" s="208"/>
      <c r="B257" s="207"/>
      <c r="C257" s="209"/>
      <c r="D257" s="210"/>
      <c r="E257" s="210"/>
      <c r="F257" s="210"/>
      <c r="G257" s="210"/>
      <c r="H257" s="208"/>
      <c r="I257" s="208"/>
      <c r="J257" s="209"/>
      <c r="K257" s="211"/>
      <c r="L257" s="208"/>
      <c r="M257" s="208"/>
      <c r="N257" s="208"/>
      <c r="O257" s="208"/>
      <c r="P257" s="208"/>
      <c r="Q257" s="208"/>
      <c r="R257" s="208"/>
      <c r="S257" s="212"/>
      <c r="T257" s="208"/>
      <c r="U257" s="208"/>
      <c r="V257" s="208"/>
      <c r="W257" s="208"/>
      <c r="X257" s="208"/>
      <c r="Y257" s="208"/>
      <c r="Z257" s="208"/>
    </row>
    <row r="258">
      <c r="A258" s="208"/>
      <c r="B258" s="207"/>
      <c r="C258" s="209"/>
      <c r="D258" s="210"/>
      <c r="E258" s="210"/>
      <c r="F258" s="210"/>
      <c r="G258" s="210"/>
      <c r="H258" s="208"/>
      <c r="I258" s="208"/>
      <c r="J258" s="209"/>
      <c r="K258" s="211"/>
      <c r="L258" s="208"/>
      <c r="M258" s="208"/>
      <c r="N258" s="208"/>
      <c r="O258" s="208"/>
      <c r="P258" s="208"/>
      <c r="Q258" s="208"/>
      <c r="R258" s="208"/>
      <c r="S258" s="212"/>
      <c r="T258" s="208"/>
      <c r="U258" s="208"/>
      <c r="V258" s="208"/>
      <c r="W258" s="208"/>
      <c r="X258" s="208"/>
      <c r="Y258" s="208"/>
      <c r="Z258" s="208"/>
    </row>
    <row r="259">
      <c r="A259" s="208"/>
      <c r="B259" s="207"/>
      <c r="C259" s="209"/>
      <c r="D259" s="210"/>
      <c r="E259" s="210"/>
      <c r="F259" s="210"/>
      <c r="G259" s="210"/>
      <c r="H259" s="208"/>
      <c r="I259" s="208"/>
      <c r="J259" s="209"/>
      <c r="K259" s="211"/>
      <c r="L259" s="208"/>
      <c r="M259" s="208"/>
      <c r="N259" s="208"/>
      <c r="O259" s="208"/>
      <c r="P259" s="208"/>
      <c r="Q259" s="208"/>
      <c r="R259" s="208"/>
      <c r="S259" s="212"/>
      <c r="T259" s="208"/>
      <c r="U259" s="208"/>
      <c r="V259" s="208"/>
      <c r="W259" s="208"/>
      <c r="X259" s="208"/>
      <c r="Y259" s="208"/>
      <c r="Z259" s="208"/>
    </row>
    <row r="260">
      <c r="A260" s="208"/>
      <c r="B260" s="207"/>
      <c r="C260" s="209"/>
      <c r="D260" s="210"/>
      <c r="E260" s="210"/>
      <c r="F260" s="210"/>
      <c r="G260" s="210"/>
      <c r="H260" s="208"/>
      <c r="I260" s="208"/>
      <c r="J260" s="209"/>
      <c r="K260" s="211"/>
      <c r="L260" s="208"/>
      <c r="M260" s="208"/>
      <c r="N260" s="208"/>
      <c r="O260" s="208"/>
      <c r="P260" s="208"/>
      <c r="Q260" s="208"/>
      <c r="R260" s="208"/>
      <c r="S260" s="212"/>
      <c r="T260" s="208"/>
      <c r="U260" s="208"/>
      <c r="V260" s="208"/>
      <c r="W260" s="208"/>
      <c r="X260" s="208"/>
      <c r="Y260" s="208"/>
      <c r="Z260" s="208"/>
    </row>
    <row r="261">
      <c r="A261" s="208"/>
      <c r="B261" s="207"/>
      <c r="C261" s="209"/>
      <c r="D261" s="210"/>
      <c r="E261" s="210"/>
      <c r="F261" s="210"/>
      <c r="G261" s="210"/>
      <c r="H261" s="208"/>
      <c r="I261" s="208"/>
      <c r="J261" s="209"/>
      <c r="K261" s="211"/>
      <c r="L261" s="208"/>
      <c r="M261" s="208"/>
      <c r="N261" s="208"/>
      <c r="O261" s="208"/>
      <c r="P261" s="208"/>
      <c r="Q261" s="208"/>
      <c r="R261" s="208"/>
      <c r="S261" s="212"/>
      <c r="T261" s="208"/>
      <c r="U261" s="208"/>
      <c r="V261" s="208"/>
      <c r="W261" s="208"/>
      <c r="X261" s="208"/>
      <c r="Y261" s="208"/>
      <c r="Z261" s="208"/>
    </row>
    <row r="262">
      <c r="A262" s="208"/>
      <c r="B262" s="207"/>
      <c r="C262" s="209"/>
      <c r="D262" s="210"/>
      <c r="E262" s="210"/>
      <c r="F262" s="210"/>
      <c r="G262" s="210"/>
      <c r="H262" s="208"/>
      <c r="I262" s="208"/>
      <c r="J262" s="209"/>
      <c r="K262" s="211"/>
      <c r="L262" s="208"/>
      <c r="M262" s="208"/>
      <c r="N262" s="208"/>
      <c r="O262" s="208"/>
      <c r="P262" s="208"/>
      <c r="Q262" s="208"/>
      <c r="R262" s="208"/>
      <c r="S262" s="212"/>
      <c r="T262" s="208"/>
      <c r="U262" s="208"/>
      <c r="V262" s="208"/>
      <c r="W262" s="208"/>
      <c r="X262" s="208"/>
      <c r="Y262" s="208"/>
      <c r="Z262" s="208"/>
    </row>
    <row r="263">
      <c r="A263" s="208"/>
      <c r="B263" s="207"/>
      <c r="C263" s="209"/>
      <c r="D263" s="210"/>
      <c r="E263" s="210"/>
      <c r="F263" s="210"/>
      <c r="G263" s="210"/>
      <c r="H263" s="208"/>
      <c r="I263" s="208"/>
      <c r="J263" s="209"/>
      <c r="K263" s="211"/>
      <c r="L263" s="208"/>
      <c r="M263" s="208"/>
      <c r="N263" s="208"/>
      <c r="O263" s="208"/>
      <c r="P263" s="208"/>
      <c r="Q263" s="208"/>
      <c r="R263" s="208"/>
      <c r="S263" s="212"/>
      <c r="T263" s="208"/>
      <c r="U263" s="208"/>
      <c r="V263" s="208"/>
      <c r="W263" s="208"/>
      <c r="X263" s="208"/>
      <c r="Y263" s="208"/>
      <c r="Z263" s="208"/>
    </row>
    <row r="264">
      <c r="A264" s="208"/>
      <c r="B264" s="207"/>
      <c r="C264" s="209"/>
      <c r="D264" s="210"/>
      <c r="E264" s="210"/>
      <c r="F264" s="210"/>
      <c r="G264" s="210"/>
      <c r="H264" s="208"/>
      <c r="I264" s="208"/>
      <c r="J264" s="209"/>
      <c r="K264" s="211"/>
      <c r="L264" s="208"/>
      <c r="M264" s="208"/>
      <c r="N264" s="208"/>
      <c r="O264" s="208"/>
      <c r="P264" s="208"/>
      <c r="Q264" s="208"/>
      <c r="R264" s="208"/>
      <c r="S264" s="212"/>
      <c r="T264" s="208"/>
      <c r="U264" s="208"/>
      <c r="V264" s="208"/>
      <c r="W264" s="208"/>
      <c r="X264" s="208"/>
      <c r="Y264" s="208"/>
      <c r="Z264" s="208"/>
    </row>
    <row r="265">
      <c r="A265" s="208"/>
      <c r="B265" s="207"/>
      <c r="C265" s="209"/>
      <c r="D265" s="210"/>
      <c r="E265" s="210"/>
      <c r="F265" s="210"/>
      <c r="G265" s="210"/>
      <c r="H265" s="208"/>
      <c r="I265" s="208"/>
      <c r="J265" s="209"/>
      <c r="K265" s="211"/>
      <c r="L265" s="208"/>
      <c r="M265" s="208"/>
      <c r="N265" s="208"/>
      <c r="O265" s="208"/>
      <c r="P265" s="208"/>
      <c r="Q265" s="208"/>
      <c r="R265" s="208"/>
      <c r="S265" s="212"/>
      <c r="T265" s="208"/>
      <c r="U265" s="208"/>
      <c r="V265" s="208"/>
      <c r="W265" s="208"/>
      <c r="X265" s="208"/>
      <c r="Y265" s="208"/>
      <c r="Z265" s="208"/>
    </row>
    <row r="266">
      <c r="A266" s="208"/>
      <c r="B266" s="207"/>
      <c r="C266" s="209"/>
      <c r="D266" s="210"/>
      <c r="E266" s="210"/>
      <c r="F266" s="210"/>
      <c r="G266" s="210"/>
      <c r="H266" s="208"/>
      <c r="I266" s="208"/>
      <c r="J266" s="209"/>
      <c r="K266" s="211"/>
      <c r="L266" s="208"/>
      <c r="M266" s="208"/>
      <c r="N266" s="208"/>
      <c r="O266" s="208"/>
      <c r="P266" s="208"/>
      <c r="Q266" s="208"/>
      <c r="R266" s="208"/>
      <c r="S266" s="212"/>
      <c r="T266" s="208"/>
      <c r="U266" s="208"/>
      <c r="V266" s="208"/>
      <c r="W266" s="208"/>
      <c r="X266" s="208"/>
      <c r="Y266" s="208"/>
      <c r="Z266" s="208"/>
    </row>
    <row r="267">
      <c r="A267" s="208"/>
      <c r="B267" s="207"/>
      <c r="C267" s="209"/>
      <c r="D267" s="210"/>
      <c r="E267" s="210"/>
      <c r="F267" s="210"/>
      <c r="G267" s="210"/>
      <c r="H267" s="208"/>
      <c r="I267" s="208"/>
      <c r="J267" s="209"/>
      <c r="K267" s="211"/>
      <c r="L267" s="208"/>
      <c r="M267" s="208"/>
      <c r="N267" s="208"/>
      <c r="O267" s="208"/>
      <c r="P267" s="208"/>
      <c r="Q267" s="208"/>
      <c r="R267" s="208"/>
      <c r="S267" s="212"/>
      <c r="T267" s="208"/>
      <c r="U267" s="208"/>
      <c r="V267" s="208"/>
      <c r="W267" s="208"/>
      <c r="X267" s="208"/>
      <c r="Y267" s="208"/>
      <c r="Z267" s="208"/>
    </row>
    <row r="268">
      <c r="A268" s="208"/>
      <c r="B268" s="207"/>
      <c r="C268" s="209"/>
      <c r="D268" s="210"/>
      <c r="E268" s="210"/>
      <c r="F268" s="210"/>
      <c r="G268" s="210"/>
      <c r="H268" s="208"/>
      <c r="I268" s="208"/>
      <c r="J268" s="209"/>
      <c r="K268" s="211"/>
      <c r="L268" s="208"/>
      <c r="M268" s="208"/>
      <c r="N268" s="208"/>
      <c r="O268" s="208"/>
      <c r="P268" s="208"/>
      <c r="Q268" s="208"/>
      <c r="R268" s="208"/>
      <c r="S268" s="212"/>
      <c r="T268" s="208"/>
      <c r="U268" s="208"/>
      <c r="V268" s="208"/>
      <c r="W268" s="208"/>
      <c r="X268" s="208"/>
      <c r="Y268" s="208"/>
      <c r="Z268" s="208"/>
    </row>
    <row r="269">
      <c r="A269" s="208"/>
      <c r="B269" s="207"/>
      <c r="C269" s="209"/>
      <c r="D269" s="210"/>
      <c r="E269" s="210"/>
      <c r="F269" s="210"/>
      <c r="G269" s="210"/>
      <c r="H269" s="208"/>
      <c r="I269" s="208"/>
      <c r="J269" s="209"/>
      <c r="K269" s="211"/>
      <c r="L269" s="208"/>
      <c r="M269" s="208"/>
      <c r="N269" s="208"/>
      <c r="O269" s="208"/>
      <c r="P269" s="208"/>
      <c r="Q269" s="208"/>
      <c r="R269" s="208"/>
      <c r="S269" s="212"/>
      <c r="T269" s="208"/>
      <c r="U269" s="208"/>
      <c r="V269" s="208"/>
      <c r="W269" s="208"/>
      <c r="X269" s="208"/>
      <c r="Y269" s="208"/>
      <c r="Z269" s="208"/>
    </row>
    <row r="270">
      <c r="A270" s="208"/>
      <c r="B270" s="207"/>
      <c r="C270" s="209"/>
      <c r="D270" s="210"/>
      <c r="E270" s="210"/>
      <c r="F270" s="210"/>
      <c r="G270" s="210"/>
      <c r="H270" s="208"/>
      <c r="I270" s="208"/>
      <c r="J270" s="209"/>
      <c r="K270" s="211"/>
      <c r="L270" s="208"/>
      <c r="M270" s="208"/>
      <c r="N270" s="208"/>
      <c r="O270" s="208"/>
      <c r="P270" s="208"/>
      <c r="Q270" s="208"/>
      <c r="R270" s="208"/>
      <c r="S270" s="212"/>
      <c r="T270" s="208"/>
      <c r="U270" s="208"/>
      <c r="V270" s="208"/>
      <c r="W270" s="208"/>
      <c r="X270" s="208"/>
      <c r="Y270" s="208"/>
      <c r="Z270" s="208"/>
    </row>
    <row r="271">
      <c r="A271" s="208"/>
      <c r="B271" s="207"/>
      <c r="C271" s="209"/>
      <c r="D271" s="210"/>
      <c r="E271" s="210"/>
      <c r="F271" s="210"/>
      <c r="G271" s="210"/>
      <c r="H271" s="208"/>
      <c r="I271" s="208"/>
      <c r="J271" s="209"/>
      <c r="K271" s="211"/>
      <c r="L271" s="208"/>
      <c r="M271" s="208"/>
      <c r="N271" s="208"/>
      <c r="O271" s="208"/>
      <c r="P271" s="208"/>
      <c r="Q271" s="208"/>
      <c r="R271" s="208"/>
      <c r="S271" s="212"/>
      <c r="T271" s="208"/>
      <c r="U271" s="208"/>
      <c r="V271" s="208"/>
      <c r="W271" s="208"/>
      <c r="X271" s="208"/>
      <c r="Y271" s="208"/>
      <c r="Z271" s="208"/>
    </row>
    <row r="272">
      <c r="A272" s="208"/>
      <c r="B272" s="207"/>
      <c r="C272" s="209"/>
      <c r="D272" s="210"/>
      <c r="E272" s="210"/>
      <c r="F272" s="210"/>
      <c r="G272" s="210"/>
      <c r="H272" s="208"/>
      <c r="I272" s="208"/>
      <c r="J272" s="209"/>
      <c r="K272" s="211"/>
      <c r="L272" s="208"/>
      <c r="M272" s="208"/>
      <c r="N272" s="208"/>
      <c r="O272" s="208"/>
      <c r="P272" s="208"/>
      <c r="Q272" s="208"/>
      <c r="R272" s="208"/>
      <c r="S272" s="212"/>
      <c r="T272" s="208"/>
      <c r="U272" s="208"/>
      <c r="V272" s="208"/>
      <c r="W272" s="208"/>
      <c r="X272" s="208"/>
      <c r="Y272" s="208"/>
      <c r="Z272" s="208"/>
    </row>
    <row r="273">
      <c r="A273" s="208"/>
      <c r="B273" s="207"/>
      <c r="C273" s="209"/>
      <c r="D273" s="210"/>
      <c r="E273" s="210"/>
      <c r="F273" s="210"/>
      <c r="G273" s="210"/>
      <c r="H273" s="208"/>
      <c r="I273" s="208"/>
      <c r="J273" s="209"/>
      <c r="K273" s="211"/>
      <c r="L273" s="208"/>
      <c r="M273" s="208"/>
      <c r="N273" s="208"/>
      <c r="O273" s="208"/>
      <c r="P273" s="208"/>
      <c r="Q273" s="208"/>
      <c r="R273" s="208"/>
      <c r="S273" s="212"/>
      <c r="T273" s="208"/>
      <c r="U273" s="208"/>
      <c r="V273" s="208"/>
      <c r="W273" s="208"/>
      <c r="X273" s="208"/>
      <c r="Y273" s="208"/>
      <c r="Z273" s="208"/>
    </row>
    <row r="274">
      <c r="A274" s="208"/>
      <c r="B274" s="207"/>
      <c r="C274" s="209"/>
      <c r="D274" s="210"/>
      <c r="E274" s="210"/>
      <c r="F274" s="210"/>
      <c r="G274" s="210"/>
      <c r="H274" s="208"/>
      <c r="I274" s="208"/>
      <c r="J274" s="209"/>
      <c r="K274" s="211"/>
      <c r="L274" s="208"/>
      <c r="M274" s="208"/>
      <c r="N274" s="208"/>
      <c r="O274" s="208"/>
      <c r="P274" s="208"/>
      <c r="Q274" s="208"/>
      <c r="R274" s="208"/>
      <c r="S274" s="212"/>
      <c r="T274" s="208"/>
      <c r="U274" s="208"/>
      <c r="V274" s="208"/>
      <c r="W274" s="208"/>
      <c r="X274" s="208"/>
      <c r="Y274" s="208"/>
      <c r="Z274" s="208"/>
    </row>
    <row r="275">
      <c r="A275" s="208"/>
      <c r="B275" s="207"/>
      <c r="C275" s="209"/>
      <c r="D275" s="210"/>
      <c r="E275" s="210"/>
      <c r="F275" s="210"/>
      <c r="G275" s="210"/>
      <c r="H275" s="208"/>
      <c r="I275" s="208"/>
      <c r="J275" s="209"/>
      <c r="K275" s="211"/>
      <c r="L275" s="208"/>
      <c r="M275" s="208"/>
      <c r="N275" s="208"/>
      <c r="O275" s="208"/>
      <c r="P275" s="208"/>
      <c r="Q275" s="208"/>
      <c r="R275" s="208"/>
      <c r="S275" s="212"/>
      <c r="T275" s="208"/>
      <c r="U275" s="208"/>
      <c r="V275" s="208"/>
      <c r="W275" s="208"/>
      <c r="X275" s="208"/>
      <c r="Y275" s="208"/>
      <c r="Z275" s="208"/>
    </row>
    <row r="276">
      <c r="A276" s="208"/>
      <c r="B276" s="207"/>
      <c r="C276" s="209"/>
      <c r="D276" s="210"/>
      <c r="E276" s="210"/>
      <c r="F276" s="210"/>
      <c r="G276" s="210"/>
      <c r="H276" s="208"/>
      <c r="I276" s="208"/>
      <c r="J276" s="209"/>
      <c r="K276" s="211"/>
      <c r="L276" s="208"/>
      <c r="M276" s="208"/>
      <c r="N276" s="208"/>
      <c r="O276" s="208"/>
      <c r="P276" s="208"/>
      <c r="Q276" s="208"/>
      <c r="R276" s="208"/>
      <c r="S276" s="212"/>
      <c r="T276" s="208"/>
      <c r="U276" s="208"/>
      <c r="V276" s="208"/>
      <c r="W276" s="208"/>
      <c r="X276" s="208"/>
      <c r="Y276" s="208"/>
      <c r="Z276" s="208"/>
    </row>
    <row r="277">
      <c r="A277" s="208"/>
      <c r="B277" s="207"/>
      <c r="C277" s="209"/>
      <c r="D277" s="210"/>
      <c r="E277" s="210"/>
      <c r="F277" s="210"/>
      <c r="G277" s="210"/>
      <c r="H277" s="208"/>
      <c r="I277" s="208"/>
      <c r="J277" s="209"/>
      <c r="K277" s="211"/>
      <c r="L277" s="208"/>
      <c r="M277" s="208"/>
      <c r="N277" s="208"/>
      <c r="O277" s="208"/>
      <c r="P277" s="208"/>
      <c r="Q277" s="208"/>
      <c r="R277" s="208"/>
      <c r="S277" s="212"/>
      <c r="T277" s="208"/>
      <c r="U277" s="208"/>
      <c r="V277" s="208"/>
      <c r="W277" s="208"/>
      <c r="X277" s="208"/>
      <c r="Y277" s="208"/>
      <c r="Z277" s="208"/>
    </row>
    <row r="278">
      <c r="A278" s="208"/>
      <c r="B278" s="207"/>
      <c r="C278" s="209"/>
      <c r="D278" s="210"/>
      <c r="E278" s="210"/>
      <c r="F278" s="210"/>
      <c r="G278" s="210"/>
      <c r="H278" s="208"/>
      <c r="I278" s="208"/>
      <c r="J278" s="209"/>
      <c r="K278" s="211"/>
      <c r="L278" s="208"/>
      <c r="M278" s="208"/>
      <c r="N278" s="208"/>
      <c r="O278" s="208"/>
      <c r="P278" s="208"/>
      <c r="Q278" s="208"/>
      <c r="R278" s="208"/>
      <c r="S278" s="212"/>
      <c r="T278" s="208"/>
      <c r="U278" s="208"/>
      <c r="V278" s="208"/>
      <c r="W278" s="208"/>
      <c r="X278" s="208"/>
      <c r="Y278" s="208"/>
      <c r="Z278" s="208"/>
    </row>
    <row r="279">
      <c r="A279" s="208"/>
      <c r="B279" s="207"/>
      <c r="C279" s="209"/>
      <c r="D279" s="210"/>
      <c r="E279" s="210"/>
      <c r="F279" s="210"/>
      <c r="G279" s="210"/>
      <c r="H279" s="208"/>
      <c r="I279" s="208"/>
      <c r="J279" s="209"/>
      <c r="K279" s="211"/>
      <c r="L279" s="208"/>
      <c r="M279" s="208"/>
      <c r="N279" s="208"/>
      <c r="O279" s="208"/>
      <c r="P279" s="208"/>
      <c r="Q279" s="208"/>
      <c r="R279" s="208"/>
      <c r="S279" s="212"/>
      <c r="T279" s="208"/>
      <c r="U279" s="208"/>
      <c r="V279" s="208"/>
      <c r="W279" s="208"/>
      <c r="X279" s="208"/>
      <c r="Y279" s="208"/>
      <c r="Z279" s="208"/>
    </row>
    <row r="280">
      <c r="A280" s="208"/>
      <c r="B280" s="207"/>
      <c r="C280" s="209"/>
      <c r="D280" s="210"/>
      <c r="E280" s="210"/>
      <c r="F280" s="210"/>
      <c r="G280" s="210"/>
      <c r="H280" s="208"/>
      <c r="I280" s="208"/>
      <c r="J280" s="209"/>
      <c r="K280" s="211"/>
      <c r="L280" s="208"/>
      <c r="M280" s="208"/>
      <c r="N280" s="208"/>
      <c r="O280" s="208"/>
      <c r="P280" s="208"/>
      <c r="Q280" s="208"/>
      <c r="R280" s="208"/>
      <c r="S280" s="212"/>
      <c r="T280" s="208"/>
      <c r="U280" s="208"/>
      <c r="V280" s="208"/>
      <c r="W280" s="208"/>
      <c r="X280" s="208"/>
      <c r="Y280" s="208"/>
      <c r="Z280" s="208"/>
    </row>
    <row r="281">
      <c r="A281" s="208"/>
      <c r="B281" s="207"/>
      <c r="C281" s="209"/>
      <c r="D281" s="210"/>
      <c r="E281" s="210"/>
      <c r="F281" s="210"/>
      <c r="G281" s="210"/>
      <c r="H281" s="208"/>
      <c r="I281" s="208"/>
      <c r="J281" s="209"/>
      <c r="K281" s="211"/>
      <c r="L281" s="208"/>
      <c r="M281" s="208"/>
      <c r="N281" s="208"/>
      <c r="O281" s="208"/>
      <c r="P281" s="208"/>
      <c r="Q281" s="208"/>
      <c r="R281" s="208"/>
      <c r="S281" s="212"/>
      <c r="T281" s="208"/>
      <c r="U281" s="208"/>
      <c r="V281" s="208"/>
      <c r="W281" s="208"/>
      <c r="X281" s="208"/>
      <c r="Y281" s="208"/>
      <c r="Z281" s="208"/>
    </row>
    <row r="282">
      <c r="A282" s="208"/>
      <c r="B282" s="207"/>
      <c r="C282" s="209"/>
      <c r="D282" s="210"/>
      <c r="E282" s="210"/>
      <c r="F282" s="210"/>
      <c r="G282" s="210"/>
      <c r="H282" s="208"/>
      <c r="I282" s="208"/>
      <c r="J282" s="209"/>
      <c r="K282" s="211"/>
      <c r="L282" s="208"/>
      <c r="M282" s="208"/>
      <c r="N282" s="208"/>
      <c r="O282" s="208"/>
      <c r="P282" s="208"/>
      <c r="Q282" s="208"/>
      <c r="R282" s="208"/>
      <c r="S282" s="212"/>
      <c r="T282" s="208"/>
      <c r="U282" s="208"/>
      <c r="V282" s="208"/>
      <c r="W282" s="208"/>
      <c r="X282" s="208"/>
      <c r="Y282" s="208"/>
      <c r="Z282" s="208"/>
    </row>
    <row r="283">
      <c r="A283" s="208"/>
      <c r="B283" s="207"/>
      <c r="C283" s="209"/>
      <c r="D283" s="210"/>
      <c r="E283" s="210"/>
      <c r="F283" s="210"/>
      <c r="G283" s="210"/>
      <c r="H283" s="208"/>
      <c r="I283" s="208"/>
      <c r="J283" s="209"/>
      <c r="K283" s="211"/>
      <c r="L283" s="208"/>
      <c r="M283" s="208"/>
      <c r="N283" s="208"/>
      <c r="O283" s="208"/>
      <c r="P283" s="208"/>
      <c r="Q283" s="208"/>
      <c r="R283" s="208"/>
      <c r="S283" s="212"/>
      <c r="T283" s="208"/>
      <c r="U283" s="208"/>
      <c r="V283" s="208"/>
      <c r="W283" s="208"/>
      <c r="X283" s="208"/>
      <c r="Y283" s="208"/>
      <c r="Z283" s="208"/>
    </row>
    <row r="284">
      <c r="A284" s="208"/>
      <c r="B284" s="207"/>
      <c r="C284" s="209"/>
      <c r="D284" s="210"/>
      <c r="E284" s="210"/>
      <c r="F284" s="210"/>
      <c r="G284" s="210"/>
      <c r="H284" s="208"/>
      <c r="I284" s="208"/>
      <c r="J284" s="209"/>
      <c r="K284" s="211"/>
      <c r="L284" s="208"/>
      <c r="M284" s="208"/>
      <c r="N284" s="208"/>
      <c r="O284" s="208"/>
      <c r="P284" s="208"/>
      <c r="Q284" s="208"/>
      <c r="R284" s="208"/>
      <c r="S284" s="212"/>
      <c r="T284" s="208"/>
      <c r="U284" s="208"/>
      <c r="V284" s="208"/>
      <c r="W284" s="208"/>
      <c r="X284" s="208"/>
      <c r="Y284" s="208"/>
      <c r="Z284" s="208"/>
    </row>
    <row r="285">
      <c r="A285" s="208"/>
      <c r="B285" s="207"/>
      <c r="C285" s="209"/>
      <c r="D285" s="210"/>
      <c r="E285" s="210"/>
      <c r="F285" s="210"/>
      <c r="G285" s="210"/>
      <c r="H285" s="208"/>
      <c r="I285" s="208"/>
      <c r="J285" s="209"/>
      <c r="K285" s="211"/>
      <c r="L285" s="208"/>
      <c r="M285" s="208"/>
      <c r="N285" s="208"/>
      <c r="O285" s="208"/>
      <c r="P285" s="208"/>
      <c r="Q285" s="208"/>
      <c r="R285" s="208"/>
      <c r="S285" s="212"/>
      <c r="T285" s="208"/>
      <c r="U285" s="208"/>
      <c r="V285" s="208"/>
      <c r="W285" s="208"/>
      <c r="X285" s="208"/>
      <c r="Y285" s="208"/>
      <c r="Z285" s="208"/>
    </row>
    <row r="286">
      <c r="A286" s="208"/>
      <c r="B286" s="207"/>
      <c r="C286" s="209"/>
      <c r="D286" s="210"/>
      <c r="E286" s="210"/>
      <c r="F286" s="210"/>
      <c r="G286" s="210"/>
      <c r="H286" s="208"/>
      <c r="I286" s="208"/>
      <c r="J286" s="209"/>
      <c r="K286" s="211"/>
      <c r="L286" s="208"/>
      <c r="M286" s="208"/>
      <c r="N286" s="208"/>
      <c r="O286" s="208"/>
      <c r="P286" s="208"/>
      <c r="Q286" s="208"/>
      <c r="R286" s="208"/>
      <c r="S286" s="212"/>
      <c r="T286" s="208"/>
      <c r="U286" s="208"/>
      <c r="V286" s="208"/>
      <c r="W286" s="208"/>
      <c r="X286" s="208"/>
      <c r="Y286" s="208"/>
      <c r="Z286" s="208"/>
    </row>
    <row r="287">
      <c r="A287" s="208"/>
      <c r="B287" s="207"/>
      <c r="C287" s="209"/>
      <c r="D287" s="210"/>
      <c r="E287" s="210"/>
      <c r="F287" s="210"/>
      <c r="G287" s="210"/>
      <c r="H287" s="208"/>
      <c r="I287" s="208"/>
      <c r="J287" s="209"/>
      <c r="K287" s="211"/>
      <c r="L287" s="208"/>
      <c r="M287" s="208"/>
      <c r="N287" s="208"/>
      <c r="O287" s="208"/>
      <c r="P287" s="208"/>
      <c r="Q287" s="208"/>
      <c r="R287" s="208"/>
      <c r="S287" s="212"/>
      <c r="T287" s="208"/>
      <c r="U287" s="208"/>
      <c r="V287" s="208"/>
      <c r="W287" s="208"/>
      <c r="X287" s="208"/>
      <c r="Y287" s="208"/>
      <c r="Z287" s="208"/>
    </row>
    <row r="288">
      <c r="A288" s="208"/>
      <c r="B288" s="207"/>
      <c r="C288" s="209"/>
      <c r="D288" s="210"/>
      <c r="E288" s="210"/>
      <c r="F288" s="210"/>
      <c r="G288" s="210"/>
      <c r="H288" s="208"/>
      <c r="I288" s="208"/>
      <c r="J288" s="209"/>
      <c r="K288" s="211"/>
      <c r="L288" s="208"/>
      <c r="M288" s="208"/>
      <c r="N288" s="208"/>
      <c r="O288" s="208"/>
      <c r="P288" s="208"/>
      <c r="Q288" s="208"/>
      <c r="R288" s="208"/>
      <c r="S288" s="212"/>
      <c r="T288" s="208"/>
      <c r="U288" s="208"/>
      <c r="V288" s="208"/>
      <c r="W288" s="208"/>
      <c r="X288" s="208"/>
      <c r="Y288" s="208"/>
      <c r="Z288" s="208"/>
    </row>
    <row r="289">
      <c r="A289" s="208"/>
      <c r="B289" s="207"/>
      <c r="C289" s="209"/>
      <c r="D289" s="210"/>
      <c r="E289" s="210"/>
      <c r="F289" s="210"/>
      <c r="G289" s="210"/>
      <c r="H289" s="208"/>
      <c r="I289" s="208"/>
      <c r="J289" s="209"/>
      <c r="K289" s="211"/>
      <c r="L289" s="208"/>
      <c r="M289" s="208"/>
      <c r="N289" s="208"/>
      <c r="O289" s="208"/>
      <c r="P289" s="208"/>
      <c r="Q289" s="208"/>
      <c r="R289" s="208"/>
      <c r="S289" s="212"/>
      <c r="T289" s="208"/>
      <c r="U289" s="208"/>
      <c r="V289" s="208"/>
      <c r="W289" s="208"/>
      <c r="X289" s="208"/>
      <c r="Y289" s="208"/>
      <c r="Z289" s="208"/>
    </row>
    <row r="290">
      <c r="A290" s="208"/>
      <c r="B290" s="207"/>
      <c r="C290" s="209"/>
      <c r="D290" s="210"/>
      <c r="E290" s="210"/>
      <c r="F290" s="210"/>
      <c r="G290" s="210"/>
      <c r="H290" s="208"/>
      <c r="I290" s="208"/>
      <c r="J290" s="209"/>
      <c r="K290" s="211"/>
      <c r="L290" s="208"/>
      <c r="M290" s="208"/>
      <c r="N290" s="208"/>
      <c r="O290" s="208"/>
      <c r="P290" s="208"/>
      <c r="Q290" s="208"/>
      <c r="R290" s="208"/>
      <c r="S290" s="212"/>
      <c r="T290" s="208"/>
      <c r="U290" s="208"/>
      <c r="V290" s="208"/>
      <c r="W290" s="208"/>
      <c r="X290" s="208"/>
      <c r="Y290" s="208"/>
      <c r="Z290" s="208"/>
    </row>
    <row r="291">
      <c r="A291" s="208"/>
      <c r="B291" s="207"/>
      <c r="C291" s="209"/>
      <c r="D291" s="210"/>
      <c r="E291" s="210"/>
      <c r="F291" s="210"/>
      <c r="G291" s="210"/>
      <c r="H291" s="208"/>
      <c r="I291" s="208"/>
      <c r="J291" s="209"/>
      <c r="K291" s="211"/>
      <c r="L291" s="208"/>
      <c r="M291" s="208"/>
      <c r="N291" s="208"/>
      <c r="O291" s="208"/>
      <c r="P291" s="208"/>
      <c r="Q291" s="208"/>
      <c r="R291" s="208"/>
      <c r="S291" s="212"/>
      <c r="T291" s="208"/>
      <c r="U291" s="208"/>
      <c r="V291" s="208"/>
      <c r="W291" s="208"/>
      <c r="X291" s="208"/>
      <c r="Y291" s="208"/>
      <c r="Z291" s="208"/>
    </row>
    <row r="292">
      <c r="A292" s="208"/>
      <c r="B292" s="207"/>
      <c r="C292" s="209"/>
      <c r="D292" s="210"/>
      <c r="E292" s="210"/>
      <c r="F292" s="210"/>
      <c r="G292" s="210"/>
      <c r="H292" s="208"/>
      <c r="I292" s="208"/>
      <c r="J292" s="209"/>
      <c r="K292" s="211"/>
      <c r="L292" s="208"/>
      <c r="M292" s="208"/>
      <c r="N292" s="208"/>
      <c r="O292" s="208"/>
      <c r="P292" s="208"/>
      <c r="Q292" s="208"/>
      <c r="R292" s="208"/>
      <c r="S292" s="212"/>
      <c r="T292" s="208"/>
      <c r="U292" s="208"/>
      <c r="V292" s="208"/>
      <c r="W292" s="208"/>
      <c r="X292" s="208"/>
      <c r="Y292" s="208"/>
      <c r="Z292" s="208"/>
    </row>
    <row r="293">
      <c r="A293" s="208"/>
      <c r="B293" s="207"/>
      <c r="C293" s="209"/>
      <c r="D293" s="210"/>
      <c r="E293" s="210"/>
      <c r="F293" s="210"/>
      <c r="G293" s="210"/>
      <c r="H293" s="208"/>
      <c r="I293" s="208"/>
      <c r="J293" s="209"/>
      <c r="K293" s="211"/>
      <c r="L293" s="208"/>
      <c r="M293" s="208"/>
      <c r="N293" s="208"/>
      <c r="O293" s="208"/>
      <c r="P293" s="208"/>
      <c r="Q293" s="208"/>
      <c r="R293" s="208"/>
      <c r="S293" s="212"/>
      <c r="T293" s="208"/>
      <c r="U293" s="208"/>
      <c r="V293" s="208"/>
      <c r="W293" s="208"/>
      <c r="X293" s="208"/>
      <c r="Y293" s="208"/>
      <c r="Z293" s="208"/>
    </row>
    <row r="294">
      <c r="A294" s="208"/>
      <c r="B294" s="207"/>
      <c r="C294" s="209"/>
      <c r="D294" s="210"/>
      <c r="E294" s="210"/>
      <c r="F294" s="210"/>
      <c r="G294" s="210"/>
      <c r="H294" s="208"/>
      <c r="I294" s="208"/>
      <c r="J294" s="209"/>
      <c r="K294" s="211"/>
      <c r="L294" s="208"/>
      <c r="M294" s="208"/>
      <c r="N294" s="208"/>
      <c r="O294" s="208"/>
      <c r="P294" s="208"/>
      <c r="Q294" s="208"/>
      <c r="R294" s="208"/>
      <c r="S294" s="212"/>
      <c r="T294" s="208"/>
      <c r="U294" s="208"/>
      <c r="V294" s="208"/>
      <c r="W294" s="208"/>
      <c r="X294" s="208"/>
      <c r="Y294" s="208"/>
      <c r="Z294" s="208"/>
    </row>
    <row r="295">
      <c r="A295" s="208"/>
      <c r="B295" s="207"/>
      <c r="C295" s="209"/>
      <c r="D295" s="210"/>
      <c r="E295" s="210"/>
      <c r="F295" s="210"/>
      <c r="G295" s="210"/>
      <c r="H295" s="208"/>
      <c r="I295" s="208"/>
      <c r="J295" s="209"/>
      <c r="K295" s="211"/>
      <c r="L295" s="208"/>
      <c r="M295" s="208"/>
      <c r="N295" s="208"/>
      <c r="O295" s="208"/>
      <c r="P295" s="208"/>
      <c r="Q295" s="208"/>
      <c r="R295" s="208"/>
      <c r="S295" s="212"/>
      <c r="T295" s="208"/>
      <c r="U295" s="208"/>
      <c r="V295" s="208"/>
      <c r="W295" s="208"/>
      <c r="X295" s="208"/>
      <c r="Y295" s="208"/>
      <c r="Z295" s="208"/>
    </row>
    <row r="296">
      <c r="A296" s="208"/>
      <c r="B296" s="207"/>
      <c r="C296" s="209"/>
      <c r="D296" s="210"/>
      <c r="E296" s="210"/>
      <c r="F296" s="210"/>
      <c r="G296" s="210"/>
      <c r="H296" s="208"/>
      <c r="I296" s="208"/>
      <c r="J296" s="209"/>
      <c r="K296" s="211"/>
      <c r="L296" s="208"/>
      <c r="M296" s="208"/>
      <c r="N296" s="208"/>
      <c r="O296" s="208"/>
      <c r="P296" s="208"/>
      <c r="Q296" s="208"/>
      <c r="R296" s="208"/>
      <c r="S296" s="212"/>
      <c r="T296" s="208"/>
      <c r="U296" s="208"/>
      <c r="V296" s="208"/>
      <c r="W296" s="208"/>
      <c r="X296" s="208"/>
      <c r="Y296" s="208"/>
      <c r="Z296" s="208"/>
    </row>
    <row r="297">
      <c r="A297" s="208"/>
      <c r="B297" s="207"/>
      <c r="C297" s="209"/>
      <c r="D297" s="210"/>
      <c r="E297" s="210"/>
      <c r="F297" s="210"/>
      <c r="G297" s="210"/>
      <c r="H297" s="208"/>
      <c r="I297" s="208"/>
      <c r="J297" s="209"/>
      <c r="K297" s="211"/>
      <c r="L297" s="208"/>
      <c r="M297" s="208"/>
      <c r="N297" s="208"/>
      <c r="O297" s="208"/>
      <c r="P297" s="208"/>
      <c r="Q297" s="208"/>
      <c r="R297" s="208"/>
      <c r="S297" s="212"/>
      <c r="T297" s="208"/>
      <c r="U297" s="208"/>
      <c r="V297" s="208"/>
      <c r="W297" s="208"/>
      <c r="X297" s="208"/>
      <c r="Y297" s="208"/>
      <c r="Z297" s="208"/>
    </row>
    <row r="298">
      <c r="A298" s="208"/>
      <c r="B298" s="207"/>
      <c r="C298" s="209"/>
      <c r="D298" s="210"/>
      <c r="E298" s="210"/>
      <c r="F298" s="210"/>
      <c r="G298" s="210"/>
      <c r="H298" s="208"/>
      <c r="I298" s="208"/>
      <c r="J298" s="209"/>
      <c r="K298" s="211"/>
      <c r="L298" s="208"/>
      <c r="M298" s="208"/>
      <c r="N298" s="208"/>
      <c r="O298" s="208"/>
      <c r="P298" s="208"/>
      <c r="Q298" s="208"/>
      <c r="R298" s="208"/>
      <c r="S298" s="212"/>
      <c r="T298" s="208"/>
      <c r="U298" s="208"/>
      <c r="V298" s="208"/>
      <c r="W298" s="208"/>
      <c r="X298" s="208"/>
      <c r="Y298" s="208"/>
      <c r="Z298" s="208"/>
    </row>
    <row r="299">
      <c r="A299" s="208"/>
      <c r="B299" s="207"/>
      <c r="C299" s="209"/>
      <c r="D299" s="210"/>
      <c r="E299" s="210"/>
      <c r="F299" s="210"/>
      <c r="G299" s="210"/>
      <c r="H299" s="208"/>
      <c r="I299" s="208"/>
      <c r="J299" s="209"/>
      <c r="K299" s="211"/>
      <c r="L299" s="208"/>
      <c r="M299" s="208"/>
      <c r="N299" s="208"/>
      <c r="O299" s="208"/>
      <c r="P299" s="208"/>
      <c r="Q299" s="208"/>
      <c r="R299" s="208"/>
      <c r="S299" s="212"/>
      <c r="T299" s="208"/>
      <c r="U299" s="208"/>
      <c r="V299" s="208"/>
      <c r="W299" s="208"/>
      <c r="X299" s="208"/>
      <c r="Y299" s="208"/>
      <c r="Z299" s="208"/>
    </row>
    <row r="300">
      <c r="A300" s="208"/>
      <c r="B300" s="207"/>
      <c r="C300" s="209"/>
      <c r="D300" s="210"/>
      <c r="E300" s="210"/>
      <c r="F300" s="210"/>
      <c r="G300" s="210"/>
      <c r="H300" s="208"/>
      <c r="I300" s="208"/>
      <c r="J300" s="209"/>
      <c r="K300" s="211"/>
      <c r="L300" s="208"/>
      <c r="M300" s="208"/>
      <c r="N300" s="208"/>
      <c r="O300" s="208"/>
      <c r="P300" s="208"/>
      <c r="Q300" s="208"/>
      <c r="R300" s="208"/>
      <c r="S300" s="212"/>
      <c r="T300" s="208"/>
      <c r="U300" s="208"/>
      <c r="V300" s="208"/>
      <c r="W300" s="208"/>
      <c r="X300" s="208"/>
      <c r="Y300" s="208"/>
      <c r="Z300" s="208"/>
    </row>
    <row r="301">
      <c r="A301" s="208"/>
      <c r="B301" s="207"/>
      <c r="C301" s="209"/>
      <c r="D301" s="210"/>
      <c r="E301" s="210"/>
      <c r="F301" s="210"/>
      <c r="G301" s="210"/>
      <c r="H301" s="208"/>
      <c r="I301" s="208"/>
      <c r="J301" s="209"/>
      <c r="K301" s="211"/>
      <c r="L301" s="208"/>
      <c r="M301" s="208"/>
      <c r="N301" s="208"/>
      <c r="O301" s="208"/>
      <c r="P301" s="208"/>
      <c r="Q301" s="208"/>
      <c r="R301" s="208"/>
      <c r="S301" s="212"/>
      <c r="T301" s="208"/>
      <c r="U301" s="208"/>
      <c r="V301" s="208"/>
      <c r="W301" s="208"/>
      <c r="X301" s="208"/>
      <c r="Y301" s="208"/>
      <c r="Z301" s="208"/>
    </row>
    <row r="302">
      <c r="A302" s="208"/>
      <c r="B302" s="207"/>
      <c r="C302" s="209"/>
      <c r="D302" s="210"/>
      <c r="E302" s="210"/>
      <c r="F302" s="210"/>
      <c r="G302" s="210"/>
      <c r="H302" s="208"/>
      <c r="I302" s="208"/>
      <c r="J302" s="209"/>
      <c r="K302" s="211"/>
      <c r="L302" s="208"/>
      <c r="M302" s="208"/>
      <c r="N302" s="208"/>
      <c r="O302" s="208"/>
      <c r="P302" s="208"/>
      <c r="Q302" s="208"/>
      <c r="R302" s="208"/>
      <c r="S302" s="212"/>
      <c r="T302" s="208"/>
      <c r="U302" s="208"/>
      <c r="V302" s="208"/>
      <c r="W302" s="208"/>
      <c r="X302" s="208"/>
      <c r="Y302" s="208"/>
      <c r="Z302" s="208"/>
    </row>
    <row r="303">
      <c r="A303" s="208"/>
      <c r="B303" s="207"/>
      <c r="C303" s="209"/>
      <c r="D303" s="210"/>
      <c r="E303" s="210"/>
      <c r="F303" s="210"/>
      <c r="G303" s="210"/>
      <c r="H303" s="208"/>
      <c r="I303" s="208"/>
      <c r="J303" s="209"/>
      <c r="K303" s="211"/>
      <c r="L303" s="208"/>
      <c r="M303" s="208"/>
      <c r="N303" s="208"/>
      <c r="O303" s="208"/>
      <c r="P303" s="208"/>
      <c r="Q303" s="208"/>
      <c r="R303" s="208"/>
      <c r="S303" s="212"/>
      <c r="T303" s="208"/>
      <c r="U303" s="208"/>
      <c r="V303" s="208"/>
      <c r="W303" s="208"/>
      <c r="X303" s="208"/>
      <c r="Y303" s="208"/>
      <c r="Z303" s="208"/>
    </row>
    <row r="304">
      <c r="A304" s="208"/>
      <c r="B304" s="207"/>
      <c r="C304" s="209"/>
      <c r="D304" s="210"/>
      <c r="E304" s="210"/>
      <c r="F304" s="210"/>
      <c r="G304" s="210"/>
      <c r="H304" s="208"/>
      <c r="I304" s="208"/>
      <c r="J304" s="209"/>
      <c r="K304" s="211"/>
      <c r="L304" s="208"/>
      <c r="M304" s="208"/>
      <c r="N304" s="208"/>
      <c r="O304" s="208"/>
      <c r="P304" s="208"/>
      <c r="Q304" s="208"/>
      <c r="R304" s="208"/>
      <c r="S304" s="212"/>
      <c r="T304" s="208"/>
      <c r="U304" s="208"/>
      <c r="V304" s="208"/>
      <c r="W304" s="208"/>
      <c r="X304" s="208"/>
      <c r="Y304" s="208"/>
      <c r="Z304" s="208"/>
    </row>
    <row r="305">
      <c r="A305" s="208"/>
      <c r="B305" s="207"/>
      <c r="C305" s="209"/>
      <c r="D305" s="210"/>
      <c r="E305" s="210"/>
      <c r="F305" s="210"/>
      <c r="G305" s="210"/>
      <c r="H305" s="208"/>
      <c r="I305" s="208"/>
      <c r="J305" s="209"/>
      <c r="K305" s="211"/>
      <c r="L305" s="208"/>
      <c r="M305" s="208"/>
      <c r="N305" s="208"/>
      <c r="O305" s="208"/>
      <c r="P305" s="208"/>
      <c r="Q305" s="208"/>
      <c r="R305" s="208"/>
      <c r="S305" s="212"/>
      <c r="T305" s="208"/>
      <c r="U305" s="208"/>
      <c r="V305" s="208"/>
      <c r="W305" s="208"/>
      <c r="X305" s="208"/>
      <c r="Y305" s="208"/>
      <c r="Z305" s="208"/>
    </row>
    <row r="306">
      <c r="A306" s="208"/>
      <c r="B306" s="207"/>
      <c r="C306" s="209"/>
      <c r="D306" s="210"/>
      <c r="E306" s="210"/>
      <c r="F306" s="210"/>
      <c r="G306" s="210"/>
      <c r="H306" s="208"/>
      <c r="I306" s="208"/>
      <c r="J306" s="209"/>
      <c r="K306" s="211"/>
      <c r="L306" s="208"/>
      <c r="M306" s="208"/>
      <c r="N306" s="208"/>
      <c r="O306" s="208"/>
      <c r="P306" s="208"/>
      <c r="Q306" s="208"/>
      <c r="R306" s="208"/>
      <c r="S306" s="212"/>
      <c r="T306" s="208"/>
      <c r="U306" s="208"/>
      <c r="V306" s="208"/>
      <c r="W306" s="208"/>
      <c r="X306" s="208"/>
      <c r="Y306" s="208"/>
      <c r="Z306" s="208"/>
    </row>
    <row r="307">
      <c r="A307" s="208"/>
      <c r="B307" s="207"/>
      <c r="C307" s="209"/>
      <c r="D307" s="210"/>
      <c r="E307" s="210"/>
      <c r="F307" s="210"/>
      <c r="G307" s="210"/>
      <c r="H307" s="208"/>
      <c r="I307" s="208"/>
      <c r="J307" s="209"/>
      <c r="K307" s="211"/>
      <c r="L307" s="208"/>
      <c r="M307" s="208"/>
      <c r="N307" s="208"/>
      <c r="O307" s="208"/>
      <c r="P307" s="208"/>
      <c r="Q307" s="208"/>
      <c r="R307" s="208"/>
      <c r="S307" s="212"/>
      <c r="T307" s="208"/>
      <c r="U307" s="208"/>
      <c r="V307" s="208"/>
      <c r="W307" s="208"/>
      <c r="X307" s="208"/>
      <c r="Y307" s="208"/>
      <c r="Z307" s="208"/>
    </row>
    <row r="308">
      <c r="A308" s="208"/>
      <c r="B308" s="207"/>
      <c r="C308" s="209"/>
      <c r="D308" s="210"/>
      <c r="E308" s="210"/>
      <c r="F308" s="210"/>
      <c r="G308" s="210"/>
      <c r="H308" s="208"/>
      <c r="I308" s="208"/>
      <c r="J308" s="209"/>
      <c r="K308" s="211"/>
      <c r="L308" s="208"/>
      <c r="M308" s="208"/>
      <c r="N308" s="208"/>
      <c r="O308" s="208"/>
      <c r="P308" s="208"/>
      <c r="Q308" s="208"/>
      <c r="R308" s="208"/>
      <c r="S308" s="212"/>
      <c r="T308" s="208"/>
      <c r="U308" s="208"/>
      <c r="V308" s="208"/>
      <c r="W308" s="208"/>
      <c r="X308" s="208"/>
      <c r="Y308" s="208"/>
      <c r="Z308" s="208"/>
    </row>
    <row r="309">
      <c r="A309" s="208"/>
      <c r="B309" s="207"/>
      <c r="C309" s="209"/>
      <c r="D309" s="210"/>
      <c r="E309" s="210"/>
      <c r="F309" s="210"/>
      <c r="G309" s="210"/>
      <c r="H309" s="208"/>
      <c r="I309" s="208"/>
      <c r="J309" s="209"/>
      <c r="K309" s="211"/>
      <c r="L309" s="208"/>
      <c r="M309" s="208"/>
      <c r="N309" s="208"/>
      <c r="O309" s="208"/>
      <c r="P309" s="208"/>
      <c r="Q309" s="208"/>
      <c r="R309" s="208"/>
      <c r="S309" s="212"/>
      <c r="T309" s="208"/>
      <c r="U309" s="208"/>
      <c r="V309" s="208"/>
      <c r="W309" s="208"/>
      <c r="X309" s="208"/>
      <c r="Y309" s="208"/>
      <c r="Z309" s="208"/>
    </row>
    <row r="310">
      <c r="A310" s="208"/>
      <c r="B310" s="207"/>
      <c r="C310" s="209"/>
      <c r="D310" s="210"/>
      <c r="E310" s="210"/>
      <c r="F310" s="210"/>
      <c r="G310" s="210"/>
      <c r="H310" s="208"/>
      <c r="I310" s="208"/>
      <c r="J310" s="209"/>
      <c r="K310" s="211"/>
      <c r="L310" s="208"/>
      <c r="M310" s="208"/>
      <c r="N310" s="208"/>
      <c r="O310" s="208"/>
      <c r="P310" s="208"/>
      <c r="Q310" s="208"/>
      <c r="R310" s="208"/>
      <c r="S310" s="212"/>
      <c r="T310" s="208"/>
      <c r="U310" s="208"/>
      <c r="V310" s="208"/>
      <c r="W310" s="208"/>
      <c r="X310" s="208"/>
      <c r="Y310" s="208"/>
      <c r="Z310" s="208"/>
    </row>
    <row r="311">
      <c r="A311" s="208"/>
      <c r="B311" s="207"/>
      <c r="C311" s="209"/>
      <c r="D311" s="210"/>
      <c r="E311" s="210"/>
      <c r="F311" s="210"/>
      <c r="G311" s="210"/>
      <c r="H311" s="208"/>
      <c r="I311" s="208"/>
      <c r="J311" s="209"/>
      <c r="K311" s="211"/>
      <c r="L311" s="208"/>
      <c r="M311" s="208"/>
      <c r="N311" s="208"/>
      <c r="O311" s="208"/>
      <c r="P311" s="208"/>
      <c r="Q311" s="208"/>
      <c r="R311" s="208"/>
      <c r="S311" s="212"/>
      <c r="T311" s="208"/>
      <c r="U311" s="208"/>
      <c r="V311" s="208"/>
      <c r="W311" s="208"/>
      <c r="X311" s="208"/>
      <c r="Y311" s="208"/>
      <c r="Z311" s="208"/>
    </row>
    <row r="312">
      <c r="A312" s="208"/>
      <c r="B312" s="207"/>
      <c r="C312" s="209"/>
      <c r="D312" s="210"/>
      <c r="E312" s="210"/>
      <c r="F312" s="210"/>
      <c r="G312" s="210"/>
      <c r="H312" s="208"/>
      <c r="I312" s="208"/>
      <c r="J312" s="209"/>
      <c r="K312" s="211"/>
      <c r="L312" s="208"/>
      <c r="M312" s="208"/>
      <c r="N312" s="208"/>
      <c r="O312" s="208"/>
      <c r="P312" s="208"/>
      <c r="Q312" s="208"/>
      <c r="R312" s="208"/>
      <c r="S312" s="212"/>
      <c r="T312" s="208"/>
      <c r="U312" s="208"/>
      <c r="V312" s="208"/>
      <c r="W312" s="208"/>
      <c r="X312" s="208"/>
      <c r="Y312" s="208"/>
      <c r="Z312" s="208"/>
    </row>
    <row r="313">
      <c r="A313" s="208"/>
      <c r="B313" s="207"/>
      <c r="C313" s="209"/>
      <c r="D313" s="210"/>
      <c r="E313" s="210"/>
      <c r="F313" s="210"/>
      <c r="G313" s="210"/>
      <c r="H313" s="208"/>
      <c r="I313" s="208"/>
      <c r="J313" s="209"/>
      <c r="K313" s="211"/>
      <c r="L313" s="208"/>
      <c r="M313" s="208"/>
      <c r="N313" s="208"/>
      <c r="O313" s="208"/>
      <c r="P313" s="208"/>
      <c r="Q313" s="208"/>
      <c r="R313" s="208"/>
      <c r="S313" s="212"/>
      <c r="T313" s="208"/>
      <c r="U313" s="208"/>
      <c r="V313" s="208"/>
      <c r="W313" s="208"/>
      <c r="X313" s="208"/>
      <c r="Y313" s="208"/>
      <c r="Z313" s="208"/>
    </row>
    <row r="314">
      <c r="A314" s="208"/>
      <c r="B314" s="207"/>
      <c r="C314" s="209"/>
      <c r="D314" s="210"/>
      <c r="E314" s="210"/>
      <c r="F314" s="210"/>
      <c r="G314" s="210"/>
      <c r="H314" s="208"/>
      <c r="I314" s="208"/>
      <c r="J314" s="209"/>
      <c r="K314" s="211"/>
      <c r="L314" s="208"/>
      <c r="M314" s="208"/>
      <c r="N314" s="208"/>
      <c r="O314" s="208"/>
      <c r="P314" s="208"/>
      <c r="Q314" s="208"/>
      <c r="R314" s="208"/>
      <c r="S314" s="212"/>
      <c r="T314" s="208"/>
      <c r="U314" s="208"/>
      <c r="V314" s="208"/>
      <c r="W314" s="208"/>
      <c r="X314" s="208"/>
      <c r="Y314" s="208"/>
      <c r="Z314" s="208"/>
    </row>
    <row r="315">
      <c r="A315" s="208"/>
      <c r="B315" s="207"/>
      <c r="C315" s="209"/>
      <c r="D315" s="210"/>
      <c r="E315" s="210"/>
      <c r="F315" s="210"/>
      <c r="G315" s="210"/>
      <c r="H315" s="208"/>
      <c r="I315" s="208"/>
      <c r="J315" s="209"/>
      <c r="K315" s="211"/>
      <c r="L315" s="208"/>
      <c r="M315" s="208"/>
      <c r="N315" s="208"/>
      <c r="O315" s="208"/>
      <c r="P315" s="208"/>
      <c r="Q315" s="208"/>
      <c r="R315" s="208"/>
      <c r="S315" s="212"/>
      <c r="T315" s="208"/>
      <c r="U315" s="208"/>
      <c r="V315" s="208"/>
      <c r="W315" s="208"/>
      <c r="X315" s="208"/>
      <c r="Y315" s="208"/>
      <c r="Z315" s="208"/>
    </row>
    <row r="316">
      <c r="A316" s="208"/>
      <c r="B316" s="207"/>
      <c r="C316" s="209"/>
      <c r="D316" s="210"/>
      <c r="E316" s="210"/>
      <c r="F316" s="210"/>
      <c r="G316" s="210"/>
      <c r="H316" s="208"/>
      <c r="I316" s="208"/>
      <c r="J316" s="209"/>
      <c r="K316" s="211"/>
      <c r="L316" s="208"/>
      <c r="M316" s="208"/>
      <c r="N316" s="208"/>
      <c r="O316" s="208"/>
      <c r="P316" s="208"/>
      <c r="Q316" s="208"/>
      <c r="R316" s="208"/>
      <c r="S316" s="212"/>
      <c r="T316" s="208"/>
      <c r="U316" s="208"/>
      <c r="V316" s="208"/>
      <c r="W316" s="208"/>
      <c r="X316" s="208"/>
      <c r="Y316" s="208"/>
      <c r="Z316" s="208"/>
    </row>
    <row r="317">
      <c r="A317" s="208"/>
      <c r="B317" s="207"/>
      <c r="C317" s="209"/>
      <c r="D317" s="210"/>
      <c r="E317" s="210"/>
      <c r="F317" s="210"/>
      <c r="G317" s="210"/>
      <c r="H317" s="208"/>
      <c r="I317" s="208"/>
      <c r="J317" s="209"/>
      <c r="K317" s="211"/>
      <c r="L317" s="208"/>
      <c r="M317" s="208"/>
      <c r="N317" s="208"/>
      <c r="O317" s="208"/>
      <c r="P317" s="208"/>
      <c r="Q317" s="208"/>
      <c r="R317" s="208"/>
      <c r="S317" s="212"/>
      <c r="T317" s="208"/>
      <c r="U317" s="208"/>
      <c r="V317" s="208"/>
      <c r="W317" s="208"/>
      <c r="X317" s="208"/>
      <c r="Y317" s="208"/>
      <c r="Z317" s="208"/>
    </row>
    <row r="318">
      <c r="A318" s="208"/>
      <c r="B318" s="207"/>
      <c r="C318" s="209"/>
      <c r="D318" s="210"/>
      <c r="E318" s="210"/>
      <c r="F318" s="210"/>
      <c r="G318" s="210"/>
      <c r="H318" s="208"/>
      <c r="I318" s="208"/>
      <c r="J318" s="209"/>
      <c r="K318" s="211"/>
      <c r="L318" s="208"/>
      <c r="M318" s="208"/>
      <c r="N318" s="208"/>
      <c r="O318" s="208"/>
      <c r="P318" s="208"/>
      <c r="Q318" s="208"/>
      <c r="R318" s="208"/>
      <c r="S318" s="212"/>
      <c r="T318" s="208"/>
      <c r="U318" s="208"/>
      <c r="V318" s="208"/>
      <c r="W318" s="208"/>
      <c r="X318" s="208"/>
      <c r="Y318" s="208"/>
      <c r="Z318" s="208"/>
    </row>
    <row r="319">
      <c r="A319" s="208"/>
      <c r="B319" s="207"/>
      <c r="C319" s="209"/>
      <c r="D319" s="210"/>
      <c r="E319" s="210"/>
      <c r="F319" s="210"/>
      <c r="G319" s="210"/>
      <c r="H319" s="208"/>
      <c r="I319" s="208"/>
      <c r="J319" s="209"/>
      <c r="K319" s="211"/>
      <c r="L319" s="208"/>
      <c r="M319" s="208"/>
      <c r="N319" s="208"/>
      <c r="O319" s="208"/>
      <c r="P319" s="208"/>
      <c r="Q319" s="208"/>
      <c r="R319" s="208"/>
      <c r="S319" s="212"/>
      <c r="T319" s="208"/>
      <c r="U319" s="208"/>
      <c r="V319" s="208"/>
      <c r="W319" s="208"/>
      <c r="X319" s="208"/>
      <c r="Y319" s="208"/>
      <c r="Z319" s="208"/>
    </row>
    <row r="320">
      <c r="A320" s="208"/>
      <c r="B320" s="207"/>
      <c r="C320" s="209"/>
      <c r="D320" s="210"/>
      <c r="E320" s="210"/>
      <c r="F320" s="210"/>
      <c r="G320" s="210"/>
      <c r="H320" s="208"/>
      <c r="I320" s="208"/>
      <c r="J320" s="209"/>
      <c r="K320" s="211"/>
      <c r="L320" s="208"/>
      <c r="M320" s="208"/>
      <c r="N320" s="208"/>
      <c r="O320" s="208"/>
      <c r="P320" s="208"/>
      <c r="Q320" s="208"/>
      <c r="R320" s="208"/>
      <c r="S320" s="212"/>
      <c r="T320" s="208"/>
      <c r="U320" s="208"/>
      <c r="V320" s="208"/>
      <c r="W320" s="208"/>
      <c r="X320" s="208"/>
      <c r="Y320" s="208"/>
      <c r="Z320" s="208"/>
    </row>
    <row r="321">
      <c r="A321" s="208"/>
      <c r="B321" s="207"/>
      <c r="C321" s="209"/>
      <c r="D321" s="210"/>
      <c r="E321" s="210"/>
      <c r="F321" s="210"/>
      <c r="G321" s="210"/>
      <c r="H321" s="208"/>
      <c r="I321" s="208"/>
      <c r="J321" s="209"/>
      <c r="K321" s="211"/>
      <c r="L321" s="208"/>
      <c r="M321" s="208"/>
      <c r="N321" s="208"/>
      <c r="O321" s="208"/>
      <c r="P321" s="208"/>
      <c r="Q321" s="208"/>
      <c r="R321" s="208"/>
      <c r="S321" s="212"/>
      <c r="T321" s="208"/>
      <c r="U321" s="208"/>
      <c r="V321" s="208"/>
      <c r="W321" s="208"/>
      <c r="X321" s="208"/>
      <c r="Y321" s="208"/>
      <c r="Z321" s="208"/>
    </row>
    <row r="322">
      <c r="A322" s="208"/>
      <c r="B322" s="207"/>
      <c r="C322" s="209"/>
      <c r="D322" s="210"/>
      <c r="E322" s="210"/>
      <c r="F322" s="210"/>
      <c r="G322" s="210"/>
      <c r="H322" s="208"/>
      <c r="I322" s="208"/>
      <c r="J322" s="209"/>
      <c r="K322" s="211"/>
      <c r="L322" s="208"/>
      <c r="M322" s="208"/>
      <c r="N322" s="208"/>
      <c r="O322" s="208"/>
      <c r="P322" s="208"/>
      <c r="Q322" s="208"/>
      <c r="R322" s="208"/>
      <c r="S322" s="212"/>
      <c r="T322" s="208"/>
      <c r="U322" s="208"/>
      <c r="V322" s="208"/>
      <c r="W322" s="208"/>
      <c r="X322" s="208"/>
      <c r="Y322" s="208"/>
      <c r="Z322" s="208"/>
    </row>
    <row r="323">
      <c r="A323" s="208"/>
      <c r="B323" s="207"/>
      <c r="C323" s="209"/>
      <c r="D323" s="210"/>
      <c r="E323" s="210"/>
      <c r="F323" s="210"/>
      <c r="G323" s="210"/>
      <c r="H323" s="208"/>
      <c r="I323" s="208"/>
      <c r="J323" s="209"/>
      <c r="K323" s="211"/>
      <c r="L323" s="208"/>
      <c r="M323" s="208"/>
      <c r="N323" s="208"/>
      <c r="O323" s="208"/>
      <c r="P323" s="208"/>
      <c r="Q323" s="208"/>
      <c r="R323" s="208"/>
      <c r="S323" s="212"/>
      <c r="T323" s="208"/>
      <c r="U323" s="208"/>
      <c r="V323" s="208"/>
      <c r="W323" s="208"/>
      <c r="X323" s="208"/>
      <c r="Y323" s="208"/>
      <c r="Z323" s="208"/>
    </row>
    <row r="324">
      <c r="A324" s="208"/>
      <c r="B324" s="207"/>
      <c r="C324" s="209"/>
      <c r="D324" s="210"/>
      <c r="E324" s="210"/>
      <c r="F324" s="210"/>
      <c r="G324" s="210"/>
      <c r="H324" s="208"/>
      <c r="I324" s="208"/>
      <c r="J324" s="209"/>
      <c r="K324" s="211"/>
      <c r="L324" s="208"/>
      <c r="M324" s="208"/>
      <c r="N324" s="208"/>
      <c r="O324" s="208"/>
      <c r="P324" s="208"/>
      <c r="Q324" s="208"/>
      <c r="R324" s="208"/>
      <c r="S324" s="212"/>
      <c r="T324" s="208"/>
      <c r="U324" s="208"/>
      <c r="V324" s="208"/>
      <c r="W324" s="208"/>
      <c r="X324" s="208"/>
      <c r="Y324" s="208"/>
      <c r="Z324" s="208"/>
    </row>
    <row r="325">
      <c r="A325" s="208"/>
      <c r="B325" s="207"/>
      <c r="C325" s="209"/>
      <c r="D325" s="210"/>
      <c r="E325" s="210"/>
      <c r="F325" s="210"/>
      <c r="G325" s="210"/>
      <c r="H325" s="208"/>
      <c r="I325" s="208"/>
      <c r="J325" s="209"/>
      <c r="K325" s="211"/>
      <c r="L325" s="208"/>
      <c r="M325" s="208"/>
      <c r="N325" s="208"/>
      <c r="O325" s="208"/>
      <c r="P325" s="208"/>
      <c r="Q325" s="208"/>
      <c r="R325" s="208"/>
      <c r="S325" s="212"/>
      <c r="T325" s="208"/>
      <c r="U325" s="208"/>
      <c r="V325" s="208"/>
      <c r="W325" s="208"/>
      <c r="X325" s="208"/>
      <c r="Y325" s="208"/>
      <c r="Z325" s="208"/>
    </row>
    <row r="326">
      <c r="A326" s="208"/>
      <c r="B326" s="207"/>
      <c r="C326" s="209"/>
      <c r="D326" s="210"/>
      <c r="E326" s="210"/>
      <c r="F326" s="210"/>
      <c r="G326" s="210"/>
      <c r="H326" s="208"/>
      <c r="I326" s="208"/>
      <c r="J326" s="209"/>
      <c r="K326" s="211"/>
      <c r="L326" s="208"/>
      <c r="M326" s="208"/>
      <c r="N326" s="208"/>
      <c r="O326" s="208"/>
      <c r="P326" s="208"/>
      <c r="Q326" s="208"/>
      <c r="R326" s="208"/>
      <c r="S326" s="212"/>
      <c r="T326" s="208"/>
      <c r="U326" s="208"/>
      <c r="V326" s="208"/>
      <c r="W326" s="208"/>
      <c r="X326" s="208"/>
      <c r="Y326" s="208"/>
      <c r="Z326" s="208"/>
    </row>
    <row r="327">
      <c r="A327" s="208"/>
      <c r="B327" s="207"/>
      <c r="C327" s="209"/>
      <c r="D327" s="210"/>
      <c r="E327" s="210"/>
      <c r="F327" s="210"/>
      <c r="G327" s="210"/>
      <c r="H327" s="208"/>
      <c r="I327" s="208"/>
      <c r="J327" s="209"/>
      <c r="K327" s="211"/>
      <c r="L327" s="208"/>
      <c r="M327" s="208"/>
      <c r="N327" s="208"/>
      <c r="O327" s="208"/>
      <c r="P327" s="208"/>
      <c r="Q327" s="208"/>
      <c r="R327" s="208"/>
      <c r="S327" s="212"/>
      <c r="T327" s="208"/>
      <c r="U327" s="208"/>
      <c r="V327" s="208"/>
      <c r="W327" s="208"/>
      <c r="X327" s="208"/>
      <c r="Y327" s="208"/>
      <c r="Z327" s="208"/>
    </row>
    <row r="328">
      <c r="A328" s="208"/>
      <c r="B328" s="207"/>
      <c r="C328" s="209"/>
      <c r="D328" s="210"/>
      <c r="E328" s="210"/>
      <c r="F328" s="210"/>
      <c r="G328" s="210"/>
      <c r="H328" s="208"/>
      <c r="I328" s="208"/>
      <c r="J328" s="209"/>
      <c r="K328" s="211"/>
      <c r="L328" s="208"/>
      <c r="M328" s="208"/>
      <c r="N328" s="208"/>
      <c r="O328" s="208"/>
      <c r="P328" s="208"/>
      <c r="Q328" s="208"/>
      <c r="R328" s="208"/>
      <c r="S328" s="212"/>
      <c r="T328" s="208"/>
      <c r="U328" s="208"/>
      <c r="V328" s="208"/>
      <c r="W328" s="208"/>
      <c r="X328" s="208"/>
      <c r="Y328" s="208"/>
      <c r="Z328" s="208"/>
    </row>
    <row r="329">
      <c r="A329" s="208"/>
      <c r="B329" s="207"/>
      <c r="C329" s="209"/>
      <c r="D329" s="210"/>
      <c r="E329" s="210"/>
      <c r="F329" s="210"/>
      <c r="G329" s="210"/>
      <c r="H329" s="208"/>
      <c r="I329" s="208"/>
      <c r="J329" s="209"/>
      <c r="K329" s="211"/>
      <c r="L329" s="208"/>
      <c r="M329" s="208"/>
      <c r="N329" s="208"/>
      <c r="O329" s="208"/>
      <c r="P329" s="208"/>
      <c r="Q329" s="208"/>
      <c r="R329" s="208"/>
      <c r="S329" s="212"/>
      <c r="T329" s="208"/>
      <c r="U329" s="208"/>
      <c r="V329" s="208"/>
      <c r="W329" s="208"/>
      <c r="X329" s="208"/>
      <c r="Y329" s="208"/>
      <c r="Z329" s="208"/>
    </row>
    <row r="330">
      <c r="A330" s="208"/>
      <c r="B330" s="207"/>
      <c r="C330" s="209"/>
      <c r="D330" s="210"/>
      <c r="E330" s="210"/>
      <c r="F330" s="210"/>
      <c r="G330" s="210"/>
      <c r="H330" s="208"/>
      <c r="I330" s="208"/>
      <c r="J330" s="209"/>
      <c r="K330" s="211"/>
      <c r="L330" s="208"/>
      <c r="M330" s="208"/>
      <c r="N330" s="208"/>
      <c r="O330" s="208"/>
      <c r="P330" s="208"/>
      <c r="Q330" s="208"/>
      <c r="R330" s="208"/>
      <c r="S330" s="212"/>
      <c r="T330" s="208"/>
      <c r="U330" s="208"/>
      <c r="V330" s="208"/>
      <c r="W330" s="208"/>
      <c r="X330" s="208"/>
      <c r="Y330" s="208"/>
      <c r="Z330" s="208"/>
    </row>
    <row r="331">
      <c r="A331" s="208"/>
      <c r="B331" s="207"/>
      <c r="C331" s="209"/>
      <c r="D331" s="210"/>
      <c r="E331" s="210"/>
      <c r="F331" s="210"/>
      <c r="G331" s="210"/>
      <c r="H331" s="208"/>
      <c r="I331" s="208"/>
      <c r="J331" s="209"/>
      <c r="K331" s="211"/>
      <c r="L331" s="208"/>
      <c r="M331" s="208"/>
      <c r="N331" s="208"/>
      <c r="O331" s="208"/>
      <c r="P331" s="208"/>
      <c r="Q331" s="208"/>
      <c r="R331" s="208"/>
      <c r="S331" s="212"/>
      <c r="T331" s="208"/>
      <c r="U331" s="208"/>
      <c r="V331" s="208"/>
      <c r="W331" s="208"/>
      <c r="X331" s="208"/>
      <c r="Y331" s="208"/>
      <c r="Z331" s="208"/>
    </row>
    <row r="332">
      <c r="A332" s="208"/>
      <c r="B332" s="207"/>
      <c r="C332" s="209"/>
      <c r="D332" s="210"/>
      <c r="E332" s="210"/>
      <c r="F332" s="210"/>
      <c r="G332" s="210"/>
      <c r="H332" s="208"/>
      <c r="I332" s="208"/>
      <c r="J332" s="209"/>
      <c r="K332" s="211"/>
      <c r="L332" s="208"/>
      <c r="M332" s="208"/>
      <c r="N332" s="208"/>
      <c r="O332" s="208"/>
      <c r="P332" s="208"/>
      <c r="Q332" s="208"/>
      <c r="R332" s="208"/>
      <c r="S332" s="212"/>
      <c r="T332" s="208"/>
      <c r="U332" s="208"/>
      <c r="V332" s="208"/>
      <c r="W332" s="208"/>
      <c r="X332" s="208"/>
      <c r="Y332" s="208"/>
      <c r="Z332" s="208"/>
    </row>
    <row r="333">
      <c r="A333" s="208"/>
      <c r="B333" s="207"/>
      <c r="C333" s="209"/>
      <c r="D333" s="210"/>
      <c r="E333" s="210"/>
      <c r="F333" s="210"/>
      <c r="G333" s="210"/>
      <c r="H333" s="208"/>
      <c r="I333" s="208"/>
      <c r="J333" s="209"/>
      <c r="K333" s="211"/>
      <c r="L333" s="208"/>
      <c r="M333" s="208"/>
      <c r="N333" s="208"/>
      <c r="O333" s="208"/>
      <c r="P333" s="208"/>
      <c r="Q333" s="208"/>
      <c r="R333" s="208"/>
      <c r="S333" s="212"/>
      <c r="T333" s="208"/>
      <c r="U333" s="208"/>
      <c r="V333" s="208"/>
      <c r="W333" s="208"/>
      <c r="X333" s="208"/>
      <c r="Y333" s="208"/>
      <c r="Z333" s="208"/>
    </row>
    <row r="334">
      <c r="A334" s="208"/>
      <c r="B334" s="207"/>
      <c r="C334" s="209"/>
      <c r="D334" s="210"/>
      <c r="E334" s="210"/>
      <c r="F334" s="210"/>
      <c r="G334" s="210"/>
      <c r="H334" s="208"/>
      <c r="I334" s="208"/>
      <c r="J334" s="209"/>
      <c r="K334" s="211"/>
      <c r="L334" s="208"/>
      <c r="M334" s="208"/>
      <c r="N334" s="208"/>
      <c r="O334" s="208"/>
      <c r="P334" s="208"/>
      <c r="Q334" s="208"/>
      <c r="R334" s="208"/>
      <c r="S334" s="212"/>
      <c r="T334" s="208"/>
      <c r="U334" s="208"/>
      <c r="V334" s="208"/>
      <c r="W334" s="208"/>
      <c r="X334" s="208"/>
      <c r="Y334" s="208"/>
      <c r="Z334" s="208"/>
    </row>
    <row r="335">
      <c r="A335" s="208"/>
      <c r="B335" s="207"/>
      <c r="C335" s="209"/>
      <c r="D335" s="210"/>
      <c r="E335" s="210"/>
      <c r="F335" s="210"/>
      <c r="G335" s="210"/>
      <c r="H335" s="208"/>
      <c r="I335" s="208"/>
      <c r="J335" s="209"/>
      <c r="K335" s="211"/>
      <c r="L335" s="208"/>
      <c r="M335" s="208"/>
      <c r="N335" s="208"/>
      <c r="O335" s="208"/>
      <c r="P335" s="208"/>
      <c r="Q335" s="208"/>
      <c r="R335" s="208"/>
      <c r="S335" s="212"/>
      <c r="T335" s="208"/>
      <c r="U335" s="208"/>
      <c r="V335" s="208"/>
      <c r="W335" s="208"/>
      <c r="X335" s="208"/>
      <c r="Y335" s="208"/>
      <c r="Z335" s="208"/>
    </row>
    <row r="336">
      <c r="A336" s="208"/>
      <c r="B336" s="207"/>
      <c r="C336" s="209"/>
      <c r="D336" s="210"/>
      <c r="E336" s="210"/>
      <c r="F336" s="210"/>
      <c r="G336" s="210"/>
      <c r="H336" s="208"/>
      <c r="I336" s="208"/>
      <c r="J336" s="209"/>
      <c r="K336" s="211"/>
      <c r="L336" s="208"/>
      <c r="M336" s="208"/>
      <c r="N336" s="208"/>
      <c r="O336" s="208"/>
      <c r="P336" s="208"/>
      <c r="Q336" s="208"/>
      <c r="R336" s="208"/>
      <c r="S336" s="212"/>
      <c r="T336" s="208"/>
      <c r="U336" s="208"/>
      <c r="V336" s="208"/>
      <c r="W336" s="208"/>
      <c r="X336" s="208"/>
      <c r="Y336" s="208"/>
      <c r="Z336" s="208"/>
    </row>
    <row r="337">
      <c r="A337" s="208"/>
      <c r="B337" s="207"/>
      <c r="C337" s="209"/>
      <c r="D337" s="210"/>
      <c r="E337" s="210"/>
      <c r="F337" s="210"/>
      <c r="G337" s="210"/>
      <c r="H337" s="208"/>
      <c r="I337" s="208"/>
      <c r="J337" s="209"/>
      <c r="K337" s="211"/>
      <c r="L337" s="208"/>
      <c r="M337" s="208"/>
      <c r="N337" s="208"/>
      <c r="O337" s="208"/>
      <c r="P337" s="208"/>
      <c r="Q337" s="208"/>
      <c r="R337" s="208"/>
      <c r="S337" s="212"/>
      <c r="T337" s="208"/>
      <c r="U337" s="208"/>
      <c r="V337" s="208"/>
      <c r="W337" s="208"/>
      <c r="X337" s="208"/>
      <c r="Y337" s="208"/>
      <c r="Z337" s="208"/>
    </row>
    <row r="338">
      <c r="A338" s="208"/>
      <c r="B338" s="207"/>
      <c r="C338" s="209"/>
      <c r="D338" s="210"/>
      <c r="E338" s="210"/>
      <c r="F338" s="210"/>
      <c r="G338" s="210"/>
      <c r="H338" s="208"/>
      <c r="I338" s="208"/>
      <c r="J338" s="209"/>
      <c r="K338" s="211"/>
      <c r="L338" s="208"/>
      <c r="M338" s="208"/>
      <c r="N338" s="208"/>
      <c r="O338" s="208"/>
      <c r="P338" s="208"/>
      <c r="Q338" s="208"/>
      <c r="R338" s="208"/>
      <c r="S338" s="212"/>
      <c r="T338" s="208"/>
      <c r="U338" s="208"/>
      <c r="V338" s="208"/>
      <c r="W338" s="208"/>
      <c r="X338" s="208"/>
      <c r="Y338" s="208"/>
      <c r="Z338" s="208"/>
    </row>
    <row r="339">
      <c r="A339" s="208"/>
      <c r="B339" s="207"/>
      <c r="C339" s="209"/>
      <c r="D339" s="210"/>
      <c r="E339" s="210"/>
      <c r="F339" s="210"/>
      <c r="G339" s="210"/>
      <c r="H339" s="208"/>
      <c r="I339" s="208"/>
      <c r="J339" s="209"/>
      <c r="K339" s="211"/>
      <c r="L339" s="208"/>
      <c r="M339" s="208"/>
      <c r="N339" s="208"/>
      <c r="O339" s="208"/>
      <c r="P339" s="208"/>
      <c r="Q339" s="208"/>
      <c r="R339" s="208"/>
      <c r="S339" s="212"/>
      <c r="T339" s="208"/>
      <c r="U339" s="208"/>
      <c r="V339" s="208"/>
      <c r="W339" s="208"/>
      <c r="X339" s="208"/>
      <c r="Y339" s="208"/>
      <c r="Z339" s="208"/>
    </row>
    <row r="340">
      <c r="A340" s="208"/>
      <c r="B340" s="207"/>
      <c r="C340" s="209"/>
      <c r="D340" s="210"/>
      <c r="E340" s="210"/>
      <c r="F340" s="210"/>
      <c r="G340" s="210"/>
      <c r="H340" s="208"/>
      <c r="I340" s="208"/>
      <c r="J340" s="209"/>
      <c r="K340" s="211"/>
      <c r="L340" s="208"/>
      <c r="M340" s="208"/>
      <c r="N340" s="208"/>
      <c r="O340" s="208"/>
      <c r="P340" s="208"/>
      <c r="Q340" s="208"/>
      <c r="R340" s="208"/>
      <c r="S340" s="212"/>
      <c r="T340" s="208"/>
      <c r="U340" s="208"/>
      <c r="V340" s="208"/>
      <c r="W340" s="208"/>
      <c r="X340" s="208"/>
      <c r="Y340" s="208"/>
      <c r="Z340" s="208"/>
    </row>
    <row r="341">
      <c r="A341" s="208"/>
      <c r="B341" s="207"/>
      <c r="C341" s="209"/>
      <c r="D341" s="210"/>
      <c r="E341" s="210"/>
      <c r="F341" s="210"/>
      <c r="G341" s="210"/>
      <c r="H341" s="208"/>
      <c r="I341" s="208"/>
      <c r="J341" s="209"/>
      <c r="K341" s="211"/>
      <c r="L341" s="208"/>
      <c r="M341" s="208"/>
      <c r="N341" s="208"/>
      <c r="O341" s="208"/>
      <c r="P341" s="208"/>
      <c r="Q341" s="208"/>
      <c r="R341" s="208"/>
      <c r="S341" s="212"/>
      <c r="T341" s="208"/>
      <c r="U341" s="208"/>
      <c r="V341" s="208"/>
      <c r="W341" s="208"/>
      <c r="X341" s="208"/>
      <c r="Y341" s="208"/>
      <c r="Z341" s="208"/>
    </row>
    <row r="342">
      <c r="A342" s="208"/>
      <c r="B342" s="207"/>
      <c r="C342" s="209"/>
      <c r="D342" s="210"/>
      <c r="E342" s="210"/>
      <c r="F342" s="210"/>
      <c r="G342" s="210"/>
      <c r="H342" s="208"/>
      <c r="I342" s="208"/>
      <c r="J342" s="209"/>
      <c r="K342" s="211"/>
      <c r="L342" s="208"/>
      <c r="M342" s="208"/>
      <c r="N342" s="208"/>
      <c r="O342" s="208"/>
      <c r="P342" s="208"/>
      <c r="Q342" s="208"/>
      <c r="R342" s="208"/>
      <c r="S342" s="212"/>
      <c r="T342" s="208"/>
      <c r="U342" s="208"/>
      <c r="V342" s="208"/>
      <c r="W342" s="208"/>
      <c r="X342" s="208"/>
      <c r="Y342" s="208"/>
      <c r="Z342" s="208"/>
    </row>
    <row r="343">
      <c r="A343" s="208"/>
      <c r="B343" s="207"/>
      <c r="C343" s="209"/>
      <c r="D343" s="210"/>
      <c r="E343" s="210"/>
      <c r="F343" s="210"/>
      <c r="G343" s="210"/>
      <c r="H343" s="208"/>
      <c r="I343" s="208"/>
      <c r="J343" s="209"/>
      <c r="K343" s="211"/>
      <c r="L343" s="208"/>
      <c r="M343" s="208"/>
      <c r="N343" s="208"/>
      <c r="O343" s="208"/>
      <c r="P343" s="208"/>
      <c r="Q343" s="208"/>
      <c r="R343" s="208"/>
      <c r="S343" s="212"/>
      <c r="T343" s="208"/>
      <c r="U343" s="208"/>
      <c r="V343" s="208"/>
      <c r="W343" s="208"/>
      <c r="X343" s="208"/>
      <c r="Y343" s="208"/>
      <c r="Z343" s="208"/>
    </row>
    <row r="344">
      <c r="A344" s="208"/>
      <c r="B344" s="207"/>
      <c r="C344" s="209"/>
      <c r="D344" s="210"/>
      <c r="E344" s="210"/>
      <c r="F344" s="210"/>
      <c r="G344" s="210"/>
      <c r="H344" s="208"/>
      <c r="I344" s="208"/>
      <c r="J344" s="209"/>
      <c r="K344" s="211"/>
      <c r="L344" s="208"/>
      <c r="M344" s="208"/>
      <c r="N344" s="208"/>
      <c r="O344" s="208"/>
      <c r="P344" s="208"/>
      <c r="Q344" s="208"/>
      <c r="R344" s="208"/>
      <c r="S344" s="212"/>
      <c r="T344" s="208"/>
      <c r="U344" s="208"/>
      <c r="V344" s="208"/>
      <c r="W344" s="208"/>
      <c r="X344" s="208"/>
      <c r="Y344" s="208"/>
      <c r="Z344" s="208"/>
    </row>
    <row r="345">
      <c r="A345" s="208"/>
      <c r="B345" s="207"/>
      <c r="C345" s="209"/>
      <c r="D345" s="210"/>
      <c r="E345" s="210"/>
      <c r="F345" s="210"/>
      <c r="G345" s="210"/>
      <c r="H345" s="208"/>
      <c r="I345" s="208"/>
      <c r="J345" s="209"/>
      <c r="K345" s="211"/>
      <c r="L345" s="208"/>
      <c r="M345" s="208"/>
      <c r="N345" s="208"/>
      <c r="O345" s="208"/>
      <c r="P345" s="208"/>
      <c r="Q345" s="208"/>
      <c r="R345" s="208"/>
      <c r="S345" s="212"/>
      <c r="T345" s="208"/>
      <c r="U345" s="208"/>
      <c r="V345" s="208"/>
      <c r="W345" s="208"/>
      <c r="X345" s="208"/>
      <c r="Y345" s="208"/>
      <c r="Z345" s="208"/>
    </row>
    <row r="346">
      <c r="A346" s="208"/>
      <c r="B346" s="207"/>
      <c r="C346" s="209"/>
      <c r="D346" s="210"/>
      <c r="E346" s="210"/>
      <c r="F346" s="210"/>
      <c r="G346" s="210"/>
      <c r="H346" s="208"/>
      <c r="I346" s="208"/>
      <c r="J346" s="209"/>
      <c r="K346" s="211"/>
      <c r="L346" s="208"/>
      <c r="M346" s="208"/>
      <c r="N346" s="208"/>
      <c r="O346" s="208"/>
      <c r="P346" s="208"/>
      <c r="Q346" s="208"/>
      <c r="R346" s="208"/>
      <c r="S346" s="212"/>
      <c r="T346" s="208"/>
      <c r="U346" s="208"/>
      <c r="V346" s="208"/>
      <c r="W346" s="208"/>
      <c r="X346" s="208"/>
      <c r="Y346" s="208"/>
      <c r="Z346" s="208"/>
    </row>
    <row r="347">
      <c r="A347" s="208"/>
      <c r="B347" s="207"/>
      <c r="C347" s="209"/>
      <c r="D347" s="210"/>
      <c r="E347" s="210"/>
      <c r="F347" s="210"/>
      <c r="G347" s="210"/>
      <c r="H347" s="208"/>
      <c r="I347" s="208"/>
      <c r="J347" s="209"/>
      <c r="K347" s="211"/>
      <c r="L347" s="208"/>
      <c r="M347" s="208"/>
      <c r="N347" s="208"/>
      <c r="O347" s="208"/>
      <c r="P347" s="208"/>
      <c r="Q347" s="208"/>
      <c r="R347" s="208"/>
      <c r="S347" s="212"/>
      <c r="T347" s="208"/>
      <c r="U347" s="208"/>
      <c r="V347" s="208"/>
      <c r="W347" s="208"/>
      <c r="X347" s="208"/>
      <c r="Y347" s="208"/>
      <c r="Z347" s="208"/>
    </row>
    <row r="348">
      <c r="A348" s="208"/>
      <c r="B348" s="207"/>
      <c r="C348" s="209"/>
      <c r="D348" s="210"/>
      <c r="E348" s="210"/>
      <c r="F348" s="210"/>
      <c r="G348" s="210"/>
      <c r="H348" s="208"/>
      <c r="I348" s="208"/>
      <c r="J348" s="209"/>
      <c r="K348" s="211"/>
      <c r="L348" s="208"/>
      <c r="M348" s="208"/>
      <c r="N348" s="208"/>
      <c r="O348" s="208"/>
      <c r="P348" s="208"/>
      <c r="Q348" s="208"/>
      <c r="R348" s="208"/>
      <c r="S348" s="212"/>
      <c r="T348" s="208"/>
      <c r="U348" s="208"/>
      <c r="V348" s="208"/>
      <c r="W348" s="208"/>
      <c r="X348" s="208"/>
      <c r="Y348" s="208"/>
      <c r="Z348" s="208"/>
    </row>
    <row r="349">
      <c r="A349" s="208"/>
      <c r="B349" s="207"/>
      <c r="C349" s="209"/>
      <c r="D349" s="210"/>
      <c r="E349" s="210"/>
      <c r="F349" s="210"/>
      <c r="G349" s="210"/>
      <c r="H349" s="208"/>
      <c r="I349" s="208"/>
      <c r="J349" s="209"/>
      <c r="K349" s="211"/>
      <c r="L349" s="208"/>
      <c r="M349" s="208"/>
      <c r="N349" s="208"/>
      <c r="O349" s="208"/>
      <c r="P349" s="208"/>
      <c r="Q349" s="208"/>
      <c r="R349" s="208"/>
      <c r="S349" s="212"/>
      <c r="T349" s="208"/>
      <c r="U349" s="208"/>
      <c r="V349" s="208"/>
      <c r="W349" s="208"/>
      <c r="X349" s="208"/>
      <c r="Y349" s="208"/>
      <c r="Z349" s="208"/>
    </row>
    <row r="350">
      <c r="A350" s="208"/>
      <c r="B350" s="207"/>
      <c r="C350" s="209"/>
      <c r="D350" s="210"/>
      <c r="E350" s="210"/>
      <c r="F350" s="210"/>
      <c r="G350" s="210"/>
      <c r="H350" s="208"/>
      <c r="I350" s="208"/>
      <c r="J350" s="209"/>
      <c r="K350" s="211"/>
      <c r="L350" s="208"/>
      <c r="M350" s="208"/>
      <c r="N350" s="208"/>
      <c r="O350" s="208"/>
      <c r="P350" s="208"/>
      <c r="Q350" s="208"/>
      <c r="R350" s="208"/>
      <c r="S350" s="212"/>
      <c r="T350" s="208"/>
      <c r="U350" s="208"/>
      <c r="V350" s="208"/>
      <c r="W350" s="208"/>
      <c r="X350" s="208"/>
      <c r="Y350" s="208"/>
      <c r="Z350" s="208"/>
    </row>
    <row r="351">
      <c r="A351" s="208"/>
      <c r="B351" s="207"/>
      <c r="C351" s="209"/>
      <c r="D351" s="210"/>
      <c r="E351" s="210"/>
      <c r="F351" s="210"/>
      <c r="G351" s="210"/>
      <c r="H351" s="208"/>
      <c r="I351" s="208"/>
      <c r="J351" s="209"/>
      <c r="K351" s="211"/>
      <c r="L351" s="208"/>
      <c r="M351" s="208"/>
      <c r="N351" s="208"/>
      <c r="O351" s="208"/>
      <c r="P351" s="208"/>
      <c r="Q351" s="208"/>
      <c r="R351" s="208"/>
      <c r="S351" s="212"/>
      <c r="T351" s="208"/>
      <c r="U351" s="208"/>
      <c r="V351" s="208"/>
      <c r="W351" s="208"/>
      <c r="X351" s="208"/>
      <c r="Y351" s="208"/>
      <c r="Z351" s="208"/>
    </row>
    <row r="352">
      <c r="A352" s="208"/>
      <c r="B352" s="207"/>
      <c r="C352" s="209"/>
      <c r="D352" s="210"/>
      <c r="E352" s="210"/>
      <c r="F352" s="210"/>
      <c r="G352" s="210"/>
      <c r="H352" s="208"/>
      <c r="I352" s="208"/>
      <c r="J352" s="209"/>
      <c r="K352" s="211"/>
      <c r="L352" s="208"/>
      <c r="M352" s="208"/>
      <c r="N352" s="208"/>
      <c r="O352" s="208"/>
      <c r="P352" s="208"/>
      <c r="Q352" s="208"/>
      <c r="R352" s="208"/>
      <c r="S352" s="212"/>
      <c r="T352" s="208"/>
      <c r="U352" s="208"/>
      <c r="V352" s="208"/>
      <c r="W352" s="208"/>
      <c r="X352" s="208"/>
      <c r="Y352" s="208"/>
      <c r="Z352" s="208"/>
    </row>
    <row r="353">
      <c r="A353" s="208"/>
      <c r="B353" s="207"/>
      <c r="C353" s="209"/>
      <c r="D353" s="210"/>
      <c r="E353" s="210"/>
      <c r="F353" s="210"/>
      <c r="G353" s="210"/>
      <c r="H353" s="208"/>
      <c r="I353" s="208"/>
      <c r="J353" s="209"/>
      <c r="K353" s="211"/>
      <c r="L353" s="208"/>
      <c r="M353" s="208"/>
      <c r="N353" s="208"/>
      <c r="O353" s="208"/>
      <c r="P353" s="208"/>
      <c r="Q353" s="208"/>
      <c r="R353" s="208"/>
      <c r="S353" s="212"/>
      <c r="T353" s="208"/>
      <c r="U353" s="208"/>
      <c r="V353" s="208"/>
      <c r="W353" s="208"/>
      <c r="X353" s="208"/>
      <c r="Y353" s="208"/>
      <c r="Z353" s="208"/>
    </row>
    <row r="354">
      <c r="A354" s="208"/>
      <c r="B354" s="207"/>
      <c r="C354" s="209"/>
      <c r="D354" s="210"/>
      <c r="E354" s="210"/>
      <c r="F354" s="210"/>
      <c r="G354" s="210"/>
      <c r="H354" s="208"/>
      <c r="I354" s="208"/>
      <c r="J354" s="209"/>
      <c r="K354" s="211"/>
      <c r="L354" s="208"/>
      <c r="M354" s="208"/>
      <c r="N354" s="208"/>
      <c r="O354" s="208"/>
      <c r="P354" s="208"/>
      <c r="Q354" s="208"/>
      <c r="R354" s="208"/>
      <c r="S354" s="212"/>
      <c r="T354" s="208"/>
      <c r="U354" s="208"/>
      <c r="V354" s="208"/>
      <c r="W354" s="208"/>
      <c r="X354" s="208"/>
      <c r="Y354" s="208"/>
      <c r="Z354" s="208"/>
    </row>
    <row r="355">
      <c r="A355" s="208"/>
      <c r="B355" s="207"/>
      <c r="C355" s="209"/>
      <c r="D355" s="210"/>
      <c r="E355" s="210"/>
      <c r="F355" s="210"/>
      <c r="G355" s="210"/>
      <c r="H355" s="208"/>
      <c r="I355" s="208"/>
      <c r="J355" s="209"/>
      <c r="K355" s="211"/>
      <c r="L355" s="208"/>
      <c r="M355" s="208"/>
      <c r="N355" s="208"/>
      <c r="O355" s="208"/>
      <c r="P355" s="208"/>
      <c r="Q355" s="208"/>
      <c r="R355" s="208"/>
      <c r="S355" s="212"/>
      <c r="T355" s="208"/>
      <c r="U355" s="208"/>
      <c r="V355" s="208"/>
      <c r="W355" s="208"/>
      <c r="X355" s="208"/>
      <c r="Y355" s="208"/>
      <c r="Z355" s="208"/>
    </row>
    <row r="356">
      <c r="A356" s="208"/>
      <c r="B356" s="207"/>
      <c r="C356" s="209"/>
      <c r="D356" s="210"/>
      <c r="E356" s="210"/>
      <c r="F356" s="210"/>
      <c r="G356" s="210"/>
      <c r="H356" s="208"/>
      <c r="I356" s="208"/>
      <c r="J356" s="209"/>
      <c r="K356" s="211"/>
      <c r="L356" s="208"/>
      <c r="M356" s="208"/>
      <c r="N356" s="208"/>
      <c r="O356" s="208"/>
      <c r="P356" s="208"/>
      <c r="Q356" s="208"/>
      <c r="R356" s="208"/>
      <c r="S356" s="212"/>
      <c r="T356" s="208"/>
      <c r="U356" s="208"/>
      <c r="V356" s="208"/>
      <c r="W356" s="208"/>
      <c r="X356" s="208"/>
      <c r="Y356" s="208"/>
      <c r="Z356" s="208"/>
    </row>
    <row r="357">
      <c r="A357" s="208"/>
      <c r="B357" s="207"/>
      <c r="C357" s="209"/>
      <c r="D357" s="210"/>
      <c r="E357" s="210"/>
      <c r="F357" s="210"/>
      <c r="G357" s="210"/>
      <c r="H357" s="208"/>
      <c r="I357" s="208"/>
      <c r="J357" s="209"/>
      <c r="K357" s="211"/>
      <c r="L357" s="208"/>
      <c r="M357" s="208"/>
      <c r="N357" s="208"/>
      <c r="O357" s="208"/>
      <c r="P357" s="208"/>
      <c r="Q357" s="208"/>
      <c r="R357" s="208"/>
      <c r="S357" s="212"/>
      <c r="T357" s="208"/>
      <c r="U357" s="208"/>
      <c r="V357" s="208"/>
      <c r="W357" s="208"/>
      <c r="X357" s="208"/>
      <c r="Y357" s="208"/>
      <c r="Z357" s="208"/>
    </row>
    <row r="358">
      <c r="A358" s="208"/>
      <c r="B358" s="207"/>
      <c r="C358" s="209"/>
      <c r="D358" s="210"/>
      <c r="E358" s="210"/>
      <c r="F358" s="210"/>
      <c r="G358" s="210"/>
      <c r="H358" s="208"/>
      <c r="I358" s="208"/>
      <c r="J358" s="209"/>
      <c r="K358" s="211"/>
      <c r="L358" s="208"/>
      <c r="M358" s="208"/>
      <c r="N358" s="208"/>
      <c r="O358" s="208"/>
      <c r="P358" s="208"/>
      <c r="Q358" s="208"/>
      <c r="R358" s="208"/>
      <c r="S358" s="212"/>
      <c r="T358" s="208"/>
      <c r="U358" s="208"/>
      <c r="V358" s="208"/>
      <c r="W358" s="208"/>
      <c r="X358" s="208"/>
      <c r="Y358" s="208"/>
      <c r="Z358" s="208"/>
    </row>
    <row r="359">
      <c r="A359" s="208"/>
      <c r="B359" s="207"/>
      <c r="C359" s="209"/>
      <c r="D359" s="210"/>
      <c r="E359" s="210"/>
      <c r="F359" s="210"/>
      <c r="G359" s="210"/>
      <c r="H359" s="208"/>
      <c r="I359" s="208"/>
      <c r="J359" s="209"/>
      <c r="K359" s="211"/>
      <c r="L359" s="208"/>
      <c r="M359" s="208"/>
      <c r="N359" s="208"/>
      <c r="O359" s="208"/>
      <c r="P359" s="208"/>
      <c r="Q359" s="208"/>
      <c r="R359" s="208"/>
      <c r="S359" s="212"/>
      <c r="T359" s="208"/>
      <c r="U359" s="208"/>
      <c r="V359" s="208"/>
      <c r="W359" s="208"/>
      <c r="X359" s="208"/>
      <c r="Y359" s="208"/>
      <c r="Z359" s="208"/>
    </row>
    <row r="360">
      <c r="A360" s="208"/>
      <c r="B360" s="207"/>
      <c r="C360" s="209"/>
      <c r="D360" s="210"/>
      <c r="E360" s="210"/>
      <c r="F360" s="210"/>
      <c r="G360" s="210"/>
      <c r="H360" s="208"/>
      <c r="I360" s="208"/>
      <c r="J360" s="209"/>
      <c r="K360" s="211"/>
      <c r="L360" s="208"/>
      <c r="M360" s="208"/>
      <c r="N360" s="208"/>
      <c r="O360" s="208"/>
      <c r="P360" s="208"/>
      <c r="Q360" s="208"/>
      <c r="R360" s="208"/>
      <c r="S360" s="212"/>
      <c r="T360" s="208"/>
      <c r="U360" s="208"/>
      <c r="V360" s="208"/>
      <c r="W360" s="208"/>
      <c r="X360" s="208"/>
      <c r="Y360" s="208"/>
      <c r="Z360" s="208"/>
    </row>
    <row r="361">
      <c r="A361" s="208"/>
      <c r="B361" s="207"/>
      <c r="C361" s="209"/>
      <c r="D361" s="210"/>
      <c r="E361" s="210"/>
      <c r="F361" s="210"/>
      <c r="G361" s="210"/>
      <c r="H361" s="208"/>
      <c r="I361" s="208"/>
      <c r="J361" s="209"/>
      <c r="K361" s="211"/>
      <c r="L361" s="208"/>
      <c r="M361" s="208"/>
      <c r="N361" s="208"/>
      <c r="O361" s="208"/>
      <c r="P361" s="208"/>
      <c r="Q361" s="208"/>
      <c r="R361" s="208"/>
      <c r="S361" s="212"/>
      <c r="T361" s="208"/>
      <c r="U361" s="208"/>
      <c r="V361" s="208"/>
      <c r="W361" s="208"/>
      <c r="X361" s="208"/>
      <c r="Y361" s="208"/>
      <c r="Z361" s="208"/>
    </row>
    <row r="362">
      <c r="A362" s="208"/>
      <c r="B362" s="207"/>
      <c r="C362" s="209"/>
      <c r="D362" s="210"/>
      <c r="E362" s="210"/>
      <c r="F362" s="210"/>
      <c r="G362" s="210"/>
      <c r="H362" s="208"/>
      <c r="I362" s="208"/>
      <c r="J362" s="209"/>
      <c r="K362" s="211"/>
      <c r="L362" s="208"/>
      <c r="M362" s="208"/>
      <c r="N362" s="208"/>
      <c r="O362" s="208"/>
      <c r="P362" s="208"/>
      <c r="Q362" s="208"/>
      <c r="R362" s="208"/>
      <c r="S362" s="212"/>
      <c r="T362" s="208"/>
      <c r="U362" s="208"/>
      <c r="V362" s="208"/>
      <c r="W362" s="208"/>
      <c r="X362" s="208"/>
      <c r="Y362" s="208"/>
      <c r="Z362" s="208"/>
    </row>
    <row r="363">
      <c r="A363" s="208"/>
      <c r="B363" s="207"/>
      <c r="C363" s="209"/>
      <c r="D363" s="210"/>
      <c r="E363" s="210"/>
      <c r="F363" s="210"/>
      <c r="G363" s="210"/>
      <c r="H363" s="208"/>
      <c r="I363" s="208"/>
      <c r="J363" s="209"/>
      <c r="K363" s="211"/>
      <c r="L363" s="208"/>
      <c r="M363" s="208"/>
      <c r="N363" s="208"/>
      <c r="O363" s="208"/>
      <c r="P363" s="208"/>
      <c r="Q363" s="208"/>
      <c r="R363" s="208"/>
      <c r="S363" s="212"/>
      <c r="T363" s="208"/>
      <c r="U363" s="208"/>
      <c r="V363" s="208"/>
      <c r="W363" s="208"/>
      <c r="X363" s="208"/>
      <c r="Y363" s="208"/>
      <c r="Z363" s="208"/>
    </row>
    <row r="364">
      <c r="A364" s="208"/>
      <c r="B364" s="207"/>
      <c r="C364" s="209"/>
      <c r="D364" s="210"/>
      <c r="E364" s="210"/>
      <c r="F364" s="210"/>
      <c r="G364" s="210"/>
      <c r="H364" s="208"/>
      <c r="I364" s="208"/>
      <c r="J364" s="209"/>
      <c r="K364" s="211"/>
      <c r="L364" s="208"/>
      <c r="M364" s="208"/>
      <c r="N364" s="208"/>
      <c r="O364" s="208"/>
      <c r="P364" s="208"/>
      <c r="Q364" s="208"/>
      <c r="R364" s="208"/>
      <c r="S364" s="212"/>
      <c r="T364" s="208"/>
      <c r="U364" s="208"/>
      <c r="V364" s="208"/>
      <c r="W364" s="208"/>
      <c r="X364" s="208"/>
      <c r="Y364" s="208"/>
      <c r="Z364" s="208"/>
    </row>
    <row r="365">
      <c r="A365" s="208"/>
      <c r="B365" s="207"/>
      <c r="C365" s="209"/>
      <c r="D365" s="210"/>
      <c r="E365" s="210"/>
      <c r="F365" s="210"/>
      <c r="G365" s="210"/>
      <c r="H365" s="208"/>
      <c r="I365" s="208"/>
      <c r="J365" s="209"/>
      <c r="K365" s="211"/>
      <c r="L365" s="208"/>
      <c r="M365" s="208"/>
      <c r="N365" s="208"/>
      <c r="O365" s="208"/>
      <c r="P365" s="208"/>
      <c r="Q365" s="208"/>
      <c r="R365" s="208"/>
      <c r="S365" s="212"/>
      <c r="T365" s="208"/>
      <c r="U365" s="208"/>
      <c r="V365" s="208"/>
      <c r="W365" s="208"/>
      <c r="X365" s="208"/>
      <c r="Y365" s="208"/>
      <c r="Z365" s="208"/>
    </row>
    <row r="366">
      <c r="A366" s="208"/>
      <c r="B366" s="207"/>
      <c r="C366" s="209"/>
      <c r="D366" s="210"/>
      <c r="E366" s="210"/>
      <c r="F366" s="210"/>
      <c r="G366" s="210"/>
      <c r="H366" s="208"/>
      <c r="I366" s="208"/>
      <c r="J366" s="209"/>
      <c r="K366" s="211"/>
      <c r="L366" s="208"/>
      <c r="M366" s="208"/>
      <c r="N366" s="208"/>
      <c r="O366" s="208"/>
      <c r="P366" s="208"/>
      <c r="Q366" s="208"/>
      <c r="R366" s="208"/>
      <c r="S366" s="212"/>
      <c r="T366" s="208"/>
      <c r="U366" s="208"/>
      <c r="V366" s="208"/>
      <c r="W366" s="208"/>
      <c r="X366" s="208"/>
      <c r="Y366" s="208"/>
      <c r="Z366" s="208"/>
    </row>
    <row r="367">
      <c r="A367" s="208"/>
      <c r="B367" s="207"/>
      <c r="C367" s="209"/>
      <c r="D367" s="210"/>
      <c r="E367" s="210"/>
      <c r="F367" s="210"/>
      <c r="G367" s="210"/>
      <c r="H367" s="208"/>
      <c r="I367" s="208"/>
      <c r="J367" s="209"/>
      <c r="K367" s="211"/>
      <c r="L367" s="208"/>
      <c r="M367" s="208"/>
      <c r="N367" s="208"/>
      <c r="O367" s="208"/>
      <c r="P367" s="208"/>
      <c r="Q367" s="208"/>
      <c r="R367" s="208"/>
      <c r="S367" s="212"/>
      <c r="T367" s="208"/>
      <c r="U367" s="208"/>
      <c r="V367" s="208"/>
      <c r="W367" s="208"/>
      <c r="X367" s="208"/>
      <c r="Y367" s="208"/>
      <c r="Z367" s="208"/>
    </row>
    <row r="368">
      <c r="A368" s="208"/>
      <c r="B368" s="207"/>
      <c r="C368" s="209"/>
      <c r="D368" s="210"/>
      <c r="E368" s="210"/>
      <c r="F368" s="210"/>
      <c r="G368" s="210"/>
      <c r="H368" s="208"/>
      <c r="I368" s="208"/>
      <c r="J368" s="209"/>
      <c r="K368" s="211"/>
      <c r="L368" s="208"/>
      <c r="M368" s="208"/>
      <c r="N368" s="208"/>
      <c r="O368" s="208"/>
      <c r="P368" s="208"/>
      <c r="Q368" s="208"/>
      <c r="R368" s="208"/>
      <c r="S368" s="212"/>
      <c r="T368" s="208"/>
      <c r="U368" s="208"/>
      <c r="V368" s="208"/>
      <c r="W368" s="208"/>
      <c r="X368" s="208"/>
      <c r="Y368" s="208"/>
      <c r="Z368" s="208"/>
    </row>
    <row r="369">
      <c r="A369" s="208"/>
      <c r="B369" s="207"/>
      <c r="C369" s="209"/>
      <c r="D369" s="210"/>
      <c r="E369" s="210"/>
      <c r="F369" s="210"/>
      <c r="G369" s="210"/>
      <c r="H369" s="208"/>
      <c r="I369" s="208"/>
      <c r="J369" s="209"/>
      <c r="K369" s="211"/>
      <c r="L369" s="208"/>
      <c r="M369" s="208"/>
      <c r="N369" s="208"/>
      <c r="O369" s="208"/>
      <c r="P369" s="208"/>
      <c r="Q369" s="208"/>
      <c r="R369" s="208"/>
      <c r="S369" s="212"/>
      <c r="T369" s="208"/>
      <c r="U369" s="208"/>
      <c r="V369" s="208"/>
      <c r="W369" s="208"/>
      <c r="X369" s="208"/>
      <c r="Y369" s="208"/>
      <c r="Z369" s="208"/>
    </row>
    <row r="370">
      <c r="A370" s="208"/>
      <c r="B370" s="207"/>
      <c r="C370" s="209"/>
      <c r="D370" s="210"/>
      <c r="E370" s="210"/>
      <c r="F370" s="210"/>
      <c r="G370" s="210"/>
      <c r="H370" s="208"/>
      <c r="I370" s="208"/>
      <c r="J370" s="209"/>
      <c r="K370" s="211"/>
      <c r="L370" s="208"/>
      <c r="M370" s="208"/>
      <c r="N370" s="208"/>
      <c r="O370" s="208"/>
      <c r="P370" s="208"/>
      <c r="Q370" s="208"/>
      <c r="R370" s="208"/>
      <c r="S370" s="212"/>
      <c r="T370" s="208"/>
      <c r="U370" s="208"/>
      <c r="V370" s="208"/>
      <c r="W370" s="208"/>
      <c r="X370" s="208"/>
      <c r="Y370" s="208"/>
      <c r="Z370" s="208"/>
    </row>
    <row r="371">
      <c r="A371" s="208"/>
      <c r="B371" s="207"/>
      <c r="C371" s="209"/>
      <c r="D371" s="210"/>
      <c r="E371" s="210"/>
      <c r="F371" s="210"/>
      <c r="G371" s="210"/>
      <c r="H371" s="208"/>
      <c r="I371" s="208"/>
      <c r="J371" s="209"/>
      <c r="K371" s="211"/>
      <c r="L371" s="208"/>
      <c r="M371" s="208"/>
      <c r="N371" s="208"/>
      <c r="O371" s="208"/>
      <c r="P371" s="208"/>
      <c r="Q371" s="208"/>
      <c r="R371" s="208"/>
      <c r="S371" s="212"/>
      <c r="T371" s="208"/>
      <c r="U371" s="208"/>
      <c r="V371" s="208"/>
      <c r="W371" s="208"/>
      <c r="X371" s="208"/>
      <c r="Y371" s="208"/>
      <c r="Z371" s="208"/>
    </row>
    <row r="372">
      <c r="A372" s="208"/>
      <c r="B372" s="207"/>
      <c r="C372" s="209"/>
      <c r="D372" s="210"/>
      <c r="E372" s="210"/>
      <c r="F372" s="210"/>
      <c r="G372" s="210"/>
      <c r="H372" s="208"/>
      <c r="I372" s="208"/>
      <c r="J372" s="209"/>
      <c r="K372" s="211"/>
      <c r="L372" s="208"/>
      <c r="M372" s="208"/>
      <c r="N372" s="208"/>
      <c r="O372" s="208"/>
      <c r="P372" s="208"/>
      <c r="Q372" s="208"/>
      <c r="R372" s="208"/>
      <c r="S372" s="212"/>
      <c r="T372" s="208"/>
      <c r="U372" s="208"/>
      <c r="V372" s="208"/>
      <c r="W372" s="208"/>
      <c r="X372" s="208"/>
      <c r="Y372" s="208"/>
      <c r="Z372" s="208"/>
    </row>
    <row r="373">
      <c r="A373" s="208"/>
      <c r="B373" s="207"/>
      <c r="C373" s="209"/>
      <c r="D373" s="210"/>
      <c r="E373" s="210"/>
      <c r="F373" s="210"/>
      <c r="G373" s="210"/>
      <c r="H373" s="208"/>
      <c r="I373" s="208"/>
      <c r="J373" s="209"/>
      <c r="K373" s="211"/>
      <c r="L373" s="208"/>
      <c r="M373" s="208"/>
      <c r="N373" s="208"/>
      <c r="O373" s="208"/>
      <c r="P373" s="208"/>
      <c r="Q373" s="208"/>
      <c r="R373" s="208"/>
      <c r="S373" s="212"/>
      <c r="T373" s="208"/>
      <c r="U373" s="208"/>
      <c r="V373" s="208"/>
      <c r="W373" s="208"/>
      <c r="X373" s="208"/>
      <c r="Y373" s="208"/>
      <c r="Z373" s="208"/>
    </row>
    <row r="374">
      <c r="A374" s="208"/>
      <c r="B374" s="207"/>
      <c r="C374" s="209"/>
      <c r="D374" s="210"/>
      <c r="E374" s="210"/>
      <c r="F374" s="210"/>
      <c r="G374" s="210"/>
      <c r="H374" s="208"/>
      <c r="I374" s="208"/>
      <c r="J374" s="209"/>
      <c r="K374" s="211"/>
      <c r="L374" s="208"/>
      <c r="M374" s="208"/>
      <c r="N374" s="208"/>
      <c r="O374" s="208"/>
      <c r="P374" s="208"/>
      <c r="Q374" s="208"/>
      <c r="R374" s="208"/>
      <c r="S374" s="212"/>
      <c r="T374" s="208"/>
      <c r="U374" s="208"/>
      <c r="V374" s="208"/>
      <c r="W374" s="208"/>
      <c r="X374" s="208"/>
      <c r="Y374" s="208"/>
      <c r="Z374" s="208"/>
    </row>
    <row r="375">
      <c r="A375" s="208"/>
      <c r="B375" s="207"/>
      <c r="C375" s="209"/>
      <c r="D375" s="210"/>
      <c r="E375" s="210"/>
      <c r="F375" s="210"/>
      <c r="G375" s="210"/>
      <c r="H375" s="208"/>
      <c r="I375" s="208"/>
      <c r="J375" s="209"/>
      <c r="K375" s="211"/>
      <c r="L375" s="208"/>
      <c r="M375" s="208"/>
      <c r="N375" s="208"/>
      <c r="O375" s="208"/>
      <c r="P375" s="208"/>
      <c r="Q375" s="208"/>
      <c r="R375" s="208"/>
      <c r="S375" s="212"/>
      <c r="T375" s="208"/>
      <c r="U375" s="208"/>
      <c r="V375" s="208"/>
      <c r="W375" s="208"/>
      <c r="X375" s="208"/>
      <c r="Y375" s="208"/>
      <c r="Z375" s="208"/>
    </row>
    <row r="376">
      <c r="A376" s="208"/>
      <c r="B376" s="207"/>
      <c r="C376" s="209"/>
      <c r="D376" s="210"/>
      <c r="E376" s="210"/>
      <c r="F376" s="210"/>
      <c r="G376" s="210"/>
      <c r="H376" s="208"/>
      <c r="I376" s="208"/>
      <c r="J376" s="209"/>
      <c r="K376" s="211"/>
      <c r="L376" s="208"/>
      <c r="M376" s="208"/>
      <c r="N376" s="208"/>
      <c r="O376" s="208"/>
      <c r="P376" s="208"/>
      <c r="Q376" s="208"/>
      <c r="R376" s="208"/>
      <c r="S376" s="212"/>
      <c r="T376" s="208"/>
      <c r="U376" s="208"/>
      <c r="V376" s="208"/>
      <c r="W376" s="208"/>
      <c r="X376" s="208"/>
      <c r="Y376" s="208"/>
      <c r="Z376" s="208"/>
    </row>
    <row r="377">
      <c r="A377" s="208"/>
      <c r="B377" s="207"/>
      <c r="C377" s="209"/>
      <c r="D377" s="210"/>
      <c r="E377" s="210"/>
      <c r="F377" s="210"/>
      <c r="G377" s="210"/>
      <c r="H377" s="208"/>
      <c r="I377" s="208"/>
      <c r="J377" s="209"/>
      <c r="K377" s="211"/>
      <c r="L377" s="208"/>
      <c r="M377" s="208"/>
      <c r="N377" s="208"/>
      <c r="O377" s="208"/>
      <c r="P377" s="208"/>
      <c r="Q377" s="208"/>
      <c r="R377" s="208"/>
      <c r="S377" s="212"/>
      <c r="T377" s="208"/>
      <c r="U377" s="208"/>
      <c r="V377" s="208"/>
      <c r="W377" s="208"/>
      <c r="X377" s="208"/>
      <c r="Y377" s="208"/>
      <c r="Z377" s="208"/>
    </row>
    <row r="378">
      <c r="A378" s="208"/>
      <c r="B378" s="207"/>
      <c r="C378" s="209"/>
      <c r="D378" s="210"/>
      <c r="E378" s="210"/>
      <c r="F378" s="210"/>
      <c r="G378" s="210"/>
      <c r="H378" s="208"/>
      <c r="I378" s="208"/>
      <c r="J378" s="209"/>
      <c r="K378" s="211"/>
      <c r="L378" s="208"/>
      <c r="M378" s="208"/>
      <c r="N378" s="208"/>
      <c r="O378" s="208"/>
      <c r="P378" s="208"/>
      <c r="Q378" s="208"/>
      <c r="R378" s="208"/>
      <c r="S378" s="212"/>
      <c r="T378" s="208"/>
      <c r="U378" s="208"/>
      <c r="V378" s="208"/>
      <c r="W378" s="208"/>
      <c r="X378" s="208"/>
      <c r="Y378" s="208"/>
      <c r="Z378" s="208"/>
    </row>
    <row r="379">
      <c r="A379" s="208"/>
      <c r="B379" s="207"/>
      <c r="C379" s="209"/>
      <c r="D379" s="210"/>
      <c r="E379" s="210"/>
      <c r="F379" s="210"/>
      <c r="G379" s="210"/>
      <c r="H379" s="208"/>
      <c r="I379" s="208"/>
      <c r="J379" s="209"/>
      <c r="K379" s="211"/>
      <c r="L379" s="208"/>
      <c r="M379" s="208"/>
      <c r="N379" s="208"/>
      <c r="O379" s="208"/>
      <c r="P379" s="208"/>
      <c r="Q379" s="208"/>
      <c r="R379" s="208"/>
      <c r="S379" s="212"/>
      <c r="T379" s="208"/>
      <c r="U379" s="208"/>
      <c r="V379" s="208"/>
      <c r="W379" s="208"/>
      <c r="X379" s="208"/>
      <c r="Y379" s="208"/>
      <c r="Z379" s="208"/>
    </row>
    <row r="380">
      <c r="A380" s="208"/>
      <c r="B380" s="207"/>
      <c r="C380" s="209"/>
      <c r="D380" s="210"/>
      <c r="E380" s="210"/>
      <c r="F380" s="210"/>
      <c r="G380" s="210"/>
      <c r="H380" s="208"/>
      <c r="I380" s="208"/>
      <c r="J380" s="209"/>
      <c r="K380" s="211"/>
      <c r="L380" s="208"/>
      <c r="M380" s="208"/>
      <c r="N380" s="208"/>
      <c r="O380" s="208"/>
      <c r="P380" s="208"/>
      <c r="Q380" s="208"/>
      <c r="R380" s="208"/>
      <c r="S380" s="212"/>
      <c r="T380" s="208"/>
      <c r="U380" s="208"/>
      <c r="V380" s="208"/>
      <c r="W380" s="208"/>
      <c r="X380" s="208"/>
      <c r="Y380" s="208"/>
      <c r="Z380" s="208"/>
    </row>
    <row r="381">
      <c r="A381" s="208"/>
      <c r="B381" s="207"/>
      <c r="C381" s="209"/>
      <c r="D381" s="210"/>
      <c r="E381" s="210"/>
      <c r="F381" s="210"/>
      <c r="G381" s="210"/>
      <c r="H381" s="208"/>
      <c r="I381" s="208"/>
      <c r="J381" s="209"/>
      <c r="K381" s="211"/>
      <c r="L381" s="208"/>
      <c r="M381" s="208"/>
      <c r="N381" s="208"/>
      <c r="O381" s="208"/>
      <c r="P381" s="208"/>
      <c r="Q381" s="208"/>
      <c r="R381" s="208"/>
      <c r="S381" s="212"/>
      <c r="T381" s="208"/>
      <c r="U381" s="208"/>
      <c r="V381" s="208"/>
      <c r="W381" s="208"/>
      <c r="X381" s="208"/>
      <c r="Y381" s="208"/>
      <c r="Z381" s="208"/>
    </row>
    <row r="382">
      <c r="A382" s="208"/>
      <c r="B382" s="207"/>
      <c r="C382" s="209"/>
      <c r="D382" s="210"/>
      <c r="E382" s="210"/>
      <c r="F382" s="210"/>
      <c r="G382" s="210"/>
      <c r="H382" s="208"/>
      <c r="I382" s="208"/>
      <c r="J382" s="209"/>
      <c r="K382" s="211"/>
      <c r="L382" s="208"/>
      <c r="M382" s="208"/>
      <c r="N382" s="208"/>
      <c r="O382" s="208"/>
      <c r="P382" s="208"/>
      <c r="Q382" s="208"/>
      <c r="R382" s="208"/>
      <c r="S382" s="212"/>
      <c r="T382" s="208"/>
      <c r="U382" s="208"/>
      <c r="V382" s="208"/>
      <c r="W382" s="208"/>
      <c r="X382" s="208"/>
      <c r="Y382" s="208"/>
      <c r="Z382" s="208"/>
    </row>
    <row r="383">
      <c r="A383" s="208"/>
      <c r="B383" s="207"/>
      <c r="C383" s="209"/>
      <c r="D383" s="210"/>
      <c r="E383" s="210"/>
      <c r="F383" s="210"/>
      <c r="G383" s="210"/>
      <c r="H383" s="208"/>
      <c r="I383" s="208"/>
      <c r="J383" s="209"/>
      <c r="K383" s="211"/>
      <c r="L383" s="208"/>
      <c r="M383" s="208"/>
      <c r="N383" s="208"/>
      <c r="O383" s="208"/>
      <c r="P383" s="208"/>
      <c r="Q383" s="208"/>
      <c r="R383" s="208"/>
      <c r="S383" s="212"/>
      <c r="T383" s="208"/>
      <c r="U383" s="208"/>
      <c r="V383" s="208"/>
      <c r="W383" s="208"/>
      <c r="X383" s="208"/>
      <c r="Y383" s="208"/>
      <c r="Z383" s="208"/>
    </row>
    <row r="384">
      <c r="A384" s="208"/>
      <c r="B384" s="207"/>
      <c r="C384" s="209"/>
      <c r="D384" s="210"/>
      <c r="E384" s="210"/>
      <c r="F384" s="210"/>
      <c r="G384" s="210"/>
      <c r="H384" s="208"/>
      <c r="I384" s="208"/>
      <c r="J384" s="209"/>
      <c r="K384" s="211"/>
      <c r="L384" s="208"/>
      <c r="M384" s="208"/>
      <c r="N384" s="208"/>
      <c r="O384" s="208"/>
      <c r="P384" s="208"/>
      <c r="Q384" s="208"/>
      <c r="R384" s="208"/>
      <c r="S384" s="212"/>
      <c r="T384" s="208"/>
      <c r="U384" s="208"/>
      <c r="V384" s="208"/>
      <c r="W384" s="208"/>
      <c r="X384" s="208"/>
      <c r="Y384" s="208"/>
      <c r="Z384" s="208"/>
    </row>
    <row r="385">
      <c r="A385" s="208"/>
      <c r="B385" s="207"/>
      <c r="C385" s="209"/>
      <c r="D385" s="210"/>
      <c r="E385" s="210"/>
      <c r="F385" s="210"/>
      <c r="G385" s="210"/>
      <c r="H385" s="208"/>
      <c r="I385" s="208"/>
      <c r="J385" s="209"/>
      <c r="K385" s="211"/>
      <c r="L385" s="208"/>
      <c r="M385" s="208"/>
      <c r="N385" s="208"/>
      <c r="O385" s="208"/>
      <c r="P385" s="208"/>
      <c r="Q385" s="208"/>
      <c r="R385" s="208"/>
      <c r="S385" s="212"/>
      <c r="T385" s="208"/>
      <c r="U385" s="208"/>
      <c r="V385" s="208"/>
      <c r="W385" s="208"/>
      <c r="X385" s="208"/>
      <c r="Y385" s="208"/>
      <c r="Z385" s="208"/>
    </row>
    <row r="386">
      <c r="A386" s="208"/>
      <c r="B386" s="207"/>
      <c r="C386" s="209"/>
      <c r="D386" s="210"/>
      <c r="E386" s="210"/>
      <c r="F386" s="210"/>
      <c r="G386" s="210"/>
      <c r="H386" s="208"/>
      <c r="I386" s="208"/>
      <c r="J386" s="209"/>
      <c r="K386" s="211"/>
      <c r="L386" s="208"/>
      <c r="M386" s="208"/>
      <c r="N386" s="208"/>
      <c r="O386" s="208"/>
      <c r="P386" s="208"/>
      <c r="Q386" s="208"/>
      <c r="R386" s="208"/>
      <c r="S386" s="212"/>
      <c r="T386" s="208"/>
      <c r="U386" s="208"/>
      <c r="V386" s="208"/>
      <c r="W386" s="208"/>
      <c r="X386" s="208"/>
      <c r="Y386" s="208"/>
      <c r="Z386" s="208"/>
    </row>
    <row r="387">
      <c r="A387" s="208"/>
      <c r="B387" s="207"/>
      <c r="C387" s="209"/>
      <c r="D387" s="210"/>
      <c r="E387" s="210"/>
      <c r="F387" s="210"/>
      <c r="G387" s="210"/>
      <c r="H387" s="208"/>
      <c r="I387" s="208"/>
      <c r="J387" s="209"/>
      <c r="K387" s="211"/>
      <c r="L387" s="208"/>
      <c r="M387" s="208"/>
      <c r="N387" s="208"/>
      <c r="O387" s="208"/>
      <c r="P387" s="208"/>
      <c r="Q387" s="208"/>
      <c r="R387" s="208"/>
      <c r="S387" s="212"/>
      <c r="T387" s="208"/>
      <c r="U387" s="208"/>
      <c r="V387" s="208"/>
      <c r="W387" s="208"/>
      <c r="X387" s="208"/>
      <c r="Y387" s="208"/>
      <c r="Z387" s="208"/>
    </row>
    <row r="388">
      <c r="A388" s="208"/>
      <c r="B388" s="207"/>
      <c r="C388" s="209"/>
      <c r="D388" s="210"/>
      <c r="E388" s="210"/>
      <c r="F388" s="210"/>
      <c r="G388" s="210"/>
      <c r="H388" s="208"/>
      <c r="I388" s="208"/>
      <c r="J388" s="209"/>
      <c r="K388" s="211"/>
      <c r="L388" s="208"/>
      <c r="M388" s="208"/>
      <c r="N388" s="208"/>
      <c r="O388" s="208"/>
      <c r="P388" s="208"/>
      <c r="Q388" s="208"/>
      <c r="R388" s="208"/>
      <c r="S388" s="212"/>
      <c r="T388" s="208"/>
      <c r="U388" s="208"/>
      <c r="V388" s="208"/>
      <c r="W388" s="208"/>
      <c r="X388" s="208"/>
      <c r="Y388" s="208"/>
      <c r="Z388" s="208"/>
    </row>
    <row r="389">
      <c r="A389" s="208"/>
      <c r="B389" s="207"/>
      <c r="C389" s="209"/>
      <c r="D389" s="210"/>
      <c r="E389" s="210"/>
      <c r="F389" s="210"/>
      <c r="G389" s="210"/>
      <c r="H389" s="208"/>
      <c r="I389" s="208"/>
      <c r="J389" s="209"/>
      <c r="K389" s="211"/>
      <c r="L389" s="208"/>
      <c r="M389" s="208"/>
      <c r="N389" s="208"/>
      <c r="O389" s="208"/>
      <c r="P389" s="208"/>
      <c r="Q389" s="208"/>
      <c r="R389" s="208"/>
      <c r="S389" s="212"/>
      <c r="T389" s="208"/>
      <c r="U389" s="208"/>
      <c r="V389" s="208"/>
      <c r="W389" s="208"/>
      <c r="X389" s="208"/>
      <c r="Y389" s="208"/>
      <c r="Z389" s="208"/>
    </row>
    <row r="390">
      <c r="A390" s="208"/>
      <c r="B390" s="207"/>
      <c r="C390" s="209"/>
      <c r="D390" s="210"/>
      <c r="E390" s="210"/>
      <c r="F390" s="210"/>
      <c r="G390" s="210"/>
      <c r="H390" s="208"/>
      <c r="I390" s="208"/>
      <c r="J390" s="209"/>
      <c r="K390" s="211"/>
      <c r="L390" s="208"/>
      <c r="M390" s="208"/>
      <c r="N390" s="208"/>
      <c r="O390" s="208"/>
      <c r="P390" s="208"/>
      <c r="Q390" s="208"/>
      <c r="R390" s="208"/>
      <c r="S390" s="212"/>
      <c r="T390" s="208"/>
      <c r="U390" s="208"/>
      <c r="V390" s="208"/>
      <c r="W390" s="208"/>
      <c r="X390" s="208"/>
      <c r="Y390" s="208"/>
      <c r="Z390" s="208"/>
    </row>
    <row r="391">
      <c r="A391" s="208"/>
      <c r="B391" s="207"/>
      <c r="C391" s="209"/>
      <c r="D391" s="210"/>
      <c r="E391" s="210"/>
      <c r="F391" s="210"/>
      <c r="G391" s="210"/>
      <c r="H391" s="208"/>
      <c r="I391" s="208"/>
      <c r="J391" s="209"/>
      <c r="K391" s="211"/>
      <c r="L391" s="208"/>
      <c r="M391" s="208"/>
      <c r="N391" s="208"/>
      <c r="O391" s="208"/>
      <c r="P391" s="208"/>
      <c r="Q391" s="208"/>
      <c r="R391" s="208"/>
      <c r="S391" s="212"/>
      <c r="T391" s="208"/>
      <c r="U391" s="208"/>
      <c r="V391" s="208"/>
      <c r="W391" s="208"/>
      <c r="X391" s="208"/>
      <c r="Y391" s="208"/>
      <c r="Z391" s="208"/>
    </row>
    <row r="392">
      <c r="A392" s="208"/>
      <c r="B392" s="207"/>
      <c r="C392" s="209"/>
      <c r="D392" s="210"/>
      <c r="E392" s="210"/>
      <c r="F392" s="210"/>
      <c r="G392" s="210"/>
      <c r="H392" s="208"/>
      <c r="I392" s="208"/>
      <c r="J392" s="209"/>
      <c r="K392" s="211"/>
      <c r="L392" s="208"/>
      <c r="M392" s="208"/>
      <c r="N392" s="208"/>
      <c r="O392" s="208"/>
      <c r="P392" s="208"/>
      <c r="Q392" s="208"/>
      <c r="R392" s="208"/>
      <c r="S392" s="212"/>
      <c r="T392" s="208"/>
      <c r="U392" s="208"/>
      <c r="V392" s="208"/>
      <c r="W392" s="208"/>
      <c r="X392" s="208"/>
      <c r="Y392" s="208"/>
      <c r="Z392" s="208"/>
    </row>
    <row r="393">
      <c r="A393" s="208"/>
      <c r="B393" s="207"/>
      <c r="C393" s="209"/>
      <c r="D393" s="210"/>
      <c r="E393" s="210"/>
      <c r="F393" s="210"/>
      <c r="G393" s="210"/>
      <c r="H393" s="208"/>
      <c r="I393" s="208"/>
      <c r="J393" s="209"/>
      <c r="K393" s="211"/>
      <c r="L393" s="208"/>
      <c r="M393" s="208"/>
      <c r="N393" s="208"/>
      <c r="O393" s="208"/>
      <c r="P393" s="208"/>
      <c r="Q393" s="208"/>
      <c r="R393" s="208"/>
      <c r="S393" s="212"/>
      <c r="T393" s="208"/>
      <c r="U393" s="208"/>
      <c r="V393" s="208"/>
      <c r="W393" s="208"/>
      <c r="X393" s="208"/>
      <c r="Y393" s="208"/>
      <c r="Z393" s="208"/>
    </row>
    <row r="394">
      <c r="A394" s="208"/>
      <c r="B394" s="207"/>
      <c r="C394" s="209"/>
      <c r="D394" s="210"/>
      <c r="E394" s="210"/>
      <c r="F394" s="210"/>
      <c r="G394" s="210"/>
      <c r="H394" s="208"/>
      <c r="I394" s="208"/>
      <c r="J394" s="209"/>
      <c r="K394" s="211"/>
      <c r="L394" s="208"/>
      <c r="M394" s="208"/>
      <c r="N394" s="208"/>
      <c r="O394" s="208"/>
      <c r="P394" s="208"/>
      <c r="Q394" s="208"/>
      <c r="R394" s="208"/>
      <c r="S394" s="212"/>
      <c r="T394" s="208"/>
      <c r="U394" s="208"/>
      <c r="V394" s="208"/>
      <c r="W394" s="208"/>
      <c r="X394" s="208"/>
      <c r="Y394" s="208"/>
      <c r="Z394" s="208"/>
    </row>
    <row r="395">
      <c r="A395" s="208"/>
      <c r="B395" s="207"/>
      <c r="C395" s="209"/>
      <c r="D395" s="210"/>
      <c r="E395" s="210"/>
      <c r="F395" s="210"/>
      <c r="G395" s="210"/>
      <c r="H395" s="208"/>
      <c r="I395" s="208"/>
      <c r="J395" s="209"/>
      <c r="K395" s="211"/>
      <c r="L395" s="208"/>
      <c r="M395" s="208"/>
      <c r="N395" s="208"/>
      <c r="O395" s="208"/>
      <c r="P395" s="208"/>
      <c r="Q395" s="208"/>
      <c r="R395" s="208"/>
      <c r="S395" s="212"/>
      <c r="T395" s="208"/>
      <c r="U395" s="208"/>
      <c r="V395" s="208"/>
      <c r="W395" s="208"/>
      <c r="X395" s="208"/>
      <c r="Y395" s="208"/>
      <c r="Z395" s="208"/>
    </row>
    <row r="396">
      <c r="A396" s="208"/>
      <c r="B396" s="207"/>
      <c r="C396" s="209"/>
      <c r="D396" s="210"/>
      <c r="E396" s="210"/>
      <c r="F396" s="210"/>
      <c r="G396" s="210"/>
      <c r="H396" s="208"/>
      <c r="I396" s="208"/>
      <c r="J396" s="209"/>
      <c r="K396" s="211"/>
      <c r="L396" s="208"/>
      <c r="M396" s="208"/>
      <c r="N396" s="208"/>
      <c r="O396" s="208"/>
      <c r="P396" s="208"/>
      <c r="Q396" s="208"/>
      <c r="R396" s="208"/>
      <c r="S396" s="212"/>
      <c r="T396" s="208"/>
      <c r="U396" s="208"/>
      <c r="V396" s="208"/>
      <c r="W396" s="208"/>
      <c r="X396" s="208"/>
      <c r="Y396" s="208"/>
      <c r="Z396" s="208"/>
    </row>
    <row r="397">
      <c r="A397" s="208"/>
      <c r="B397" s="207"/>
      <c r="C397" s="209"/>
      <c r="D397" s="210"/>
      <c r="E397" s="210"/>
      <c r="F397" s="210"/>
      <c r="G397" s="210"/>
      <c r="H397" s="208"/>
      <c r="I397" s="208"/>
      <c r="J397" s="209"/>
      <c r="K397" s="211"/>
      <c r="L397" s="208"/>
      <c r="M397" s="208"/>
      <c r="N397" s="208"/>
      <c r="O397" s="208"/>
      <c r="P397" s="208"/>
      <c r="Q397" s="208"/>
      <c r="R397" s="208"/>
      <c r="S397" s="212"/>
      <c r="T397" s="208"/>
      <c r="U397" s="208"/>
      <c r="V397" s="208"/>
      <c r="W397" s="208"/>
      <c r="X397" s="208"/>
      <c r="Y397" s="208"/>
      <c r="Z397" s="208"/>
    </row>
    <row r="398">
      <c r="A398" s="208"/>
      <c r="B398" s="207"/>
      <c r="C398" s="209"/>
      <c r="D398" s="210"/>
      <c r="E398" s="210"/>
      <c r="F398" s="210"/>
      <c r="G398" s="210"/>
      <c r="H398" s="208"/>
      <c r="I398" s="208"/>
      <c r="J398" s="209"/>
      <c r="K398" s="211"/>
      <c r="L398" s="208"/>
      <c r="M398" s="208"/>
      <c r="N398" s="208"/>
      <c r="O398" s="208"/>
      <c r="P398" s="208"/>
      <c r="Q398" s="208"/>
      <c r="R398" s="208"/>
      <c r="S398" s="212"/>
      <c r="T398" s="208"/>
      <c r="U398" s="208"/>
      <c r="V398" s="208"/>
      <c r="W398" s="208"/>
      <c r="X398" s="208"/>
      <c r="Y398" s="208"/>
      <c r="Z398" s="208"/>
    </row>
    <row r="399">
      <c r="A399" s="208"/>
      <c r="B399" s="207"/>
      <c r="C399" s="209"/>
      <c r="D399" s="210"/>
      <c r="E399" s="210"/>
      <c r="F399" s="210"/>
      <c r="G399" s="210"/>
      <c r="H399" s="208"/>
      <c r="I399" s="208"/>
      <c r="J399" s="209"/>
      <c r="K399" s="211"/>
      <c r="L399" s="208"/>
      <c r="M399" s="208"/>
      <c r="N399" s="208"/>
      <c r="O399" s="208"/>
      <c r="P399" s="208"/>
      <c r="Q399" s="208"/>
      <c r="R399" s="208"/>
      <c r="S399" s="212"/>
      <c r="T399" s="208"/>
      <c r="U399" s="208"/>
      <c r="V399" s="208"/>
      <c r="W399" s="208"/>
      <c r="X399" s="208"/>
      <c r="Y399" s="208"/>
      <c r="Z399" s="208"/>
    </row>
    <row r="400">
      <c r="A400" s="208"/>
      <c r="B400" s="207"/>
      <c r="C400" s="209"/>
      <c r="D400" s="210"/>
      <c r="E400" s="210"/>
      <c r="F400" s="210"/>
      <c r="G400" s="210"/>
      <c r="H400" s="208"/>
      <c r="I400" s="208"/>
      <c r="J400" s="209"/>
      <c r="K400" s="211"/>
      <c r="L400" s="208"/>
      <c r="M400" s="208"/>
      <c r="N400" s="208"/>
      <c r="O400" s="208"/>
      <c r="P400" s="208"/>
      <c r="Q400" s="208"/>
      <c r="R400" s="208"/>
      <c r="S400" s="212"/>
      <c r="T400" s="208"/>
      <c r="U400" s="208"/>
      <c r="V400" s="208"/>
      <c r="W400" s="208"/>
      <c r="X400" s="208"/>
      <c r="Y400" s="208"/>
      <c r="Z400" s="208"/>
    </row>
    <row r="401">
      <c r="A401" s="208"/>
      <c r="B401" s="207"/>
      <c r="C401" s="209"/>
      <c r="D401" s="210"/>
      <c r="E401" s="210"/>
      <c r="F401" s="210"/>
      <c r="G401" s="210"/>
      <c r="H401" s="208"/>
      <c r="I401" s="208"/>
      <c r="J401" s="209"/>
      <c r="K401" s="211"/>
      <c r="L401" s="208"/>
      <c r="M401" s="208"/>
      <c r="N401" s="208"/>
      <c r="O401" s="208"/>
      <c r="P401" s="208"/>
      <c r="Q401" s="208"/>
      <c r="R401" s="208"/>
      <c r="S401" s="212"/>
      <c r="T401" s="208"/>
      <c r="U401" s="208"/>
      <c r="V401" s="208"/>
      <c r="W401" s="208"/>
      <c r="X401" s="208"/>
      <c r="Y401" s="208"/>
      <c r="Z401" s="208"/>
    </row>
    <row r="402">
      <c r="A402" s="208"/>
      <c r="B402" s="207"/>
      <c r="C402" s="209"/>
      <c r="D402" s="210"/>
      <c r="E402" s="210"/>
      <c r="F402" s="210"/>
      <c r="G402" s="210"/>
      <c r="H402" s="208"/>
      <c r="I402" s="208"/>
      <c r="J402" s="209"/>
      <c r="K402" s="211"/>
      <c r="L402" s="208"/>
      <c r="M402" s="208"/>
      <c r="N402" s="208"/>
      <c r="O402" s="208"/>
      <c r="P402" s="208"/>
      <c r="Q402" s="208"/>
      <c r="R402" s="208"/>
      <c r="S402" s="212"/>
      <c r="T402" s="208"/>
      <c r="U402" s="208"/>
      <c r="V402" s="208"/>
      <c r="W402" s="208"/>
      <c r="X402" s="208"/>
      <c r="Y402" s="208"/>
      <c r="Z402" s="208"/>
    </row>
    <row r="403">
      <c r="A403" s="208"/>
      <c r="B403" s="207"/>
      <c r="C403" s="209"/>
      <c r="D403" s="210"/>
      <c r="E403" s="210"/>
      <c r="F403" s="210"/>
      <c r="G403" s="210"/>
      <c r="H403" s="208"/>
      <c r="I403" s="208"/>
      <c r="J403" s="209"/>
      <c r="K403" s="211"/>
      <c r="L403" s="208"/>
      <c r="M403" s="208"/>
      <c r="N403" s="208"/>
      <c r="O403" s="208"/>
      <c r="P403" s="208"/>
      <c r="Q403" s="208"/>
      <c r="R403" s="208"/>
      <c r="S403" s="212"/>
      <c r="T403" s="208"/>
      <c r="U403" s="208"/>
      <c r="V403" s="208"/>
      <c r="W403" s="208"/>
      <c r="X403" s="208"/>
      <c r="Y403" s="208"/>
      <c r="Z403" s="208"/>
    </row>
    <row r="404">
      <c r="A404" s="208"/>
      <c r="B404" s="207"/>
      <c r="C404" s="209"/>
      <c r="D404" s="210"/>
      <c r="E404" s="210"/>
      <c r="F404" s="210"/>
      <c r="G404" s="210"/>
      <c r="H404" s="208"/>
      <c r="I404" s="208"/>
      <c r="J404" s="209"/>
      <c r="K404" s="211"/>
      <c r="L404" s="208"/>
      <c r="M404" s="208"/>
      <c r="N404" s="208"/>
      <c r="O404" s="208"/>
      <c r="P404" s="208"/>
      <c r="Q404" s="208"/>
      <c r="R404" s="208"/>
      <c r="S404" s="212"/>
      <c r="T404" s="208"/>
      <c r="U404" s="208"/>
      <c r="V404" s="208"/>
      <c r="W404" s="208"/>
      <c r="X404" s="208"/>
      <c r="Y404" s="208"/>
      <c r="Z404" s="208"/>
    </row>
    <row r="405">
      <c r="A405" s="208"/>
      <c r="B405" s="207"/>
      <c r="C405" s="209"/>
      <c r="D405" s="210"/>
      <c r="E405" s="210"/>
      <c r="F405" s="210"/>
      <c r="G405" s="210"/>
      <c r="H405" s="208"/>
      <c r="I405" s="208"/>
      <c r="J405" s="209"/>
      <c r="K405" s="211"/>
      <c r="L405" s="208"/>
      <c r="M405" s="208"/>
      <c r="N405" s="208"/>
      <c r="O405" s="208"/>
      <c r="P405" s="208"/>
      <c r="Q405" s="208"/>
      <c r="R405" s="208"/>
      <c r="S405" s="212"/>
      <c r="T405" s="208"/>
      <c r="U405" s="208"/>
      <c r="V405" s="208"/>
      <c r="W405" s="208"/>
      <c r="X405" s="208"/>
      <c r="Y405" s="208"/>
      <c r="Z405" s="208"/>
    </row>
    <row r="406">
      <c r="A406" s="208"/>
      <c r="B406" s="207"/>
      <c r="C406" s="209"/>
      <c r="D406" s="210"/>
      <c r="E406" s="210"/>
      <c r="F406" s="210"/>
      <c r="G406" s="210"/>
      <c r="H406" s="208"/>
      <c r="I406" s="208"/>
      <c r="J406" s="209"/>
      <c r="K406" s="211"/>
      <c r="L406" s="208"/>
      <c r="M406" s="208"/>
      <c r="N406" s="208"/>
      <c r="O406" s="208"/>
      <c r="P406" s="208"/>
      <c r="Q406" s="208"/>
      <c r="R406" s="208"/>
      <c r="S406" s="212"/>
      <c r="T406" s="208"/>
      <c r="U406" s="208"/>
      <c r="V406" s="208"/>
      <c r="W406" s="208"/>
      <c r="X406" s="208"/>
      <c r="Y406" s="208"/>
      <c r="Z406" s="208"/>
    </row>
    <row r="407">
      <c r="A407" s="208"/>
      <c r="B407" s="207"/>
      <c r="C407" s="209"/>
      <c r="D407" s="210"/>
      <c r="E407" s="210"/>
      <c r="F407" s="210"/>
      <c r="G407" s="210"/>
      <c r="H407" s="208"/>
      <c r="I407" s="208"/>
      <c r="J407" s="209"/>
      <c r="K407" s="211"/>
      <c r="L407" s="208"/>
      <c r="M407" s="208"/>
      <c r="N407" s="208"/>
      <c r="O407" s="208"/>
      <c r="P407" s="208"/>
      <c r="Q407" s="208"/>
      <c r="R407" s="208"/>
      <c r="S407" s="212"/>
      <c r="T407" s="208"/>
      <c r="U407" s="208"/>
      <c r="V407" s="208"/>
      <c r="W407" s="208"/>
      <c r="X407" s="208"/>
      <c r="Y407" s="208"/>
      <c r="Z407" s="208"/>
    </row>
    <row r="408">
      <c r="A408" s="208"/>
      <c r="B408" s="207"/>
      <c r="C408" s="209"/>
      <c r="D408" s="210"/>
      <c r="E408" s="210"/>
      <c r="F408" s="210"/>
      <c r="G408" s="210"/>
      <c r="H408" s="208"/>
      <c r="I408" s="208"/>
      <c r="J408" s="209"/>
      <c r="K408" s="211"/>
      <c r="L408" s="208"/>
      <c r="M408" s="208"/>
      <c r="N408" s="208"/>
      <c r="O408" s="208"/>
      <c r="P408" s="208"/>
      <c r="Q408" s="208"/>
      <c r="R408" s="208"/>
      <c r="S408" s="212"/>
      <c r="T408" s="208"/>
      <c r="U408" s="208"/>
      <c r="V408" s="208"/>
      <c r="W408" s="208"/>
      <c r="X408" s="208"/>
      <c r="Y408" s="208"/>
      <c r="Z408" s="208"/>
    </row>
    <row r="409">
      <c r="A409" s="208"/>
      <c r="B409" s="207"/>
      <c r="C409" s="209"/>
      <c r="D409" s="210"/>
      <c r="E409" s="210"/>
      <c r="F409" s="210"/>
      <c r="G409" s="210"/>
      <c r="H409" s="208"/>
      <c r="I409" s="208"/>
      <c r="J409" s="209"/>
      <c r="K409" s="211"/>
      <c r="L409" s="208"/>
      <c r="M409" s="208"/>
      <c r="N409" s="208"/>
      <c r="O409" s="208"/>
      <c r="P409" s="208"/>
      <c r="Q409" s="208"/>
      <c r="R409" s="208"/>
      <c r="S409" s="212"/>
      <c r="T409" s="208"/>
      <c r="U409" s="208"/>
      <c r="V409" s="208"/>
      <c r="W409" s="208"/>
      <c r="X409" s="208"/>
      <c r="Y409" s="208"/>
      <c r="Z409" s="208"/>
    </row>
    <row r="410">
      <c r="A410" s="208"/>
      <c r="B410" s="207"/>
      <c r="C410" s="209"/>
      <c r="D410" s="210"/>
      <c r="E410" s="210"/>
      <c r="F410" s="210"/>
      <c r="G410" s="210"/>
      <c r="H410" s="208"/>
      <c r="I410" s="208"/>
      <c r="J410" s="209"/>
      <c r="K410" s="211"/>
      <c r="L410" s="208"/>
      <c r="M410" s="208"/>
      <c r="N410" s="208"/>
      <c r="O410" s="208"/>
      <c r="P410" s="208"/>
      <c r="Q410" s="208"/>
      <c r="R410" s="208"/>
      <c r="S410" s="212"/>
      <c r="T410" s="208"/>
      <c r="U410" s="208"/>
      <c r="V410" s="208"/>
      <c r="W410" s="208"/>
      <c r="X410" s="208"/>
      <c r="Y410" s="208"/>
      <c r="Z410" s="208"/>
    </row>
    <row r="411">
      <c r="A411" s="208"/>
      <c r="B411" s="207"/>
      <c r="C411" s="209"/>
      <c r="D411" s="210"/>
      <c r="E411" s="210"/>
      <c r="F411" s="210"/>
      <c r="G411" s="210"/>
      <c r="H411" s="208"/>
      <c r="I411" s="208"/>
      <c r="J411" s="209"/>
      <c r="K411" s="211"/>
      <c r="L411" s="208"/>
      <c r="M411" s="208"/>
      <c r="N411" s="208"/>
      <c r="O411" s="208"/>
      <c r="P411" s="208"/>
      <c r="Q411" s="208"/>
      <c r="R411" s="208"/>
      <c r="S411" s="212"/>
      <c r="T411" s="208"/>
      <c r="U411" s="208"/>
      <c r="V411" s="208"/>
      <c r="W411" s="208"/>
      <c r="X411" s="208"/>
      <c r="Y411" s="208"/>
      <c r="Z411" s="208"/>
    </row>
    <row r="412">
      <c r="A412" s="208"/>
      <c r="B412" s="207"/>
      <c r="C412" s="209"/>
      <c r="D412" s="210"/>
      <c r="E412" s="210"/>
      <c r="F412" s="210"/>
      <c r="G412" s="210"/>
      <c r="H412" s="208"/>
      <c r="I412" s="208"/>
      <c r="J412" s="209"/>
      <c r="K412" s="211"/>
      <c r="L412" s="208"/>
      <c r="M412" s="208"/>
      <c r="N412" s="208"/>
      <c r="O412" s="208"/>
      <c r="P412" s="208"/>
      <c r="Q412" s="208"/>
      <c r="R412" s="208"/>
      <c r="S412" s="212"/>
      <c r="T412" s="208"/>
      <c r="U412" s="208"/>
      <c r="V412" s="208"/>
      <c r="W412" s="208"/>
      <c r="X412" s="208"/>
      <c r="Y412" s="208"/>
      <c r="Z412" s="208"/>
    </row>
    <row r="413">
      <c r="A413" s="208"/>
      <c r="B413" s="207"/>
      <c r="C413" s="209"/>
      <c r="D413" s="210"/>
      <c r="E413" s="210"/>
      <c r="F413" s="210"/>
      <c r="G413" s="210"/>
      <c r="H413" s="208"/>
      <c r="I413" s="208"/>
      <c r="J413" s="209"/>
      <c r="K413" s="211"/>
      <c r="L413" s="208"/>
      <c r="M413" s="208"/>
      <c r="N413" s="208"/>
      <c r="O413" s="208"/>
      <c r="P413" s="208"/>
      <c r="Q413" s="208"/>
      <c r="R413" s="208"/>
      <c r="S413" s="212"/>
      <c r="T413" s="208"/>
      <c r="U413" s="208"/>
      <c r="V413" s="208"/>
      <c r="W413" s="208"/>
      <c r="X413" s="208"/>
      <c r="Y413" s="208"/>
      <c r="Z413" s="208"/>
    </row>
    <row r="414">
      <c r="A414" s="208"/>
      <c r="B414" s="207"/>
      <c r="C414" s="209"/>
      <c r="D414" s="210"/>
      <c r="E414" s="210"/>
      <c r="F414" s="210"/>
      <c r="G414" s="210"/>
      <c r="H414" s="208"/>
      <c r="I414" s="208"/>
      <c r="J414" s="209"/>
      <c r="K414" s="211"/>
      <c r="L414" s="208"/>
      <c r="M414" s="208"/>
      <c r="N414" s="208"/>
      <c r="O414" s="208"/>
      <c r="P414" s="208"/>
      <c r="Q414" s="208"/>
      <c r="R414" s="208"/>
      <c r="S414" s="212"/>
      <c r="T414" s="208"/>
      <c r="U414" s="208"/>
      <c r="V414" s="208"/>
      <c r="W414" s="208"/>
      <c r="X414" s="208"/>
      <c r="Y414" s="208"/>
      <c r="Z414" s="208"/>
    </row>
    <row r="415">
      <c r="A415" s="208"/>
      <c r="B415" s="207"/>
      <c r="C415" s="209"/>
      <c r="D415" s="210"/>
      <c r="E415" s="210"/>
      <c r="F415" s="210"/>
      <c r="G415" s="210"/>
      <c r="H415" s="208"/>
      <c r="I415" s="208"/>
      <c r="J415" s="209"/>
      <c r="K415" s="211"/>
      <c r="L415" s="208"/>
      <c r="M415" s="208"/>
      <c r="N415" s="208"/>
      <c r="O415" s="208"/>
      <c r="P415" s="208"/>
      <c r="Q415" s="208"/>
      <c r="R415" s="208"/>
      <c r="S415" s="212"/>
      <c r="T415" s="208"/>
      <c r="U415" s="208"/>
      <c r="V415" s="208"/>
      <c r="W415" s="208"/>
      <c r="X415" s="208"/>
      <c r="Y415" s="208"/>
      <c r="Z415" s="208"/>
    </row>
    <row r="416">
      <c r="A416" s="208"/>
      <c r="B416" s="207"/>
      <c r="C416" s="209"/>
      <c r="D416" s="210"/>
      <c r="E416" s="210"/>
      <c r="F416" s="210"/>
      <c r="G416" s="210"/>
      <c r="H416" s="208"/>
      <c r="I416" s="208"/>
      <c r="J416" s="209"/>
      <c r="K416" s="211"/>
      <c r="L416" s="208"/>
      <c r="M416" s="208"/>
      <c r="N416" s="208"/>
      <c r="O416" s="208"/>
      <c r="P416" s="208"/>
      <c r="Q416" s="208"/>
      <c r="R416" s="208"/>
      <c r="S416" s="212"/>
      <c r="T416" s="208"/>
      <c r="U416" s="208"/>
      <c r="V416" s="208"/>
      <c r="W416" s="208"/>
      <c r="X416" s="208"/>
      <c r="Y416" s="208"/>
      <c r="Z416" s="208"/>
    </row>
    <row r="417">
      <c r="A417" s="208"/>
      <c r="B417" s="207"/>
      <c r="C417" s="209"/>
      <c r="D417" s="210"/>
      <c r="E417" s="210"/>
      <c r="F417" s="210"/>
      <c r="G417" s="210"/>
      <c r="H417" s="208"/>
      <c r="I417" s="208"/>
      <c r="J417" s="209"/>
      <c r="K417" s="211"/>
      <c r="L417" s="208"/>
      <c r="M417" s="208"/>
      <c r="N417" s="208"/>
      <c r="O417" s="208"/>
      <c r="P417" s="208"/>
      <c r="Q417" s="208"/>
      <c r="R417" s="208"/>
      <c r="S417" s="212"/>
      <c r="T417" s="208"/>
      <c r="U417" s="208"/>
      <c r="V417" s="208"/>
      <c r="W417" s="208"/>
      <c r="X417" s="208"/>
      <c r="Y417" s="208"/>
      <c r="Z417" s="208"/>
    </row>
    <row r="418">
      <c r="A418" s="208"/>
      <c r="B418" s="207"/>
      <c r="C418" s="209"/>
      <c r="D418" s="210"/>
      <c r="E418" s="210"/>
      <c r="F418" s="210"/>
      <c r="G418" s="210"/>
      <c r="H418" s="208"/>
      <c r="I418" s="208"/>
      <c r="J418" s="209"/>
      <c r="K418" s="211"/>
      <c r="L418" s="208"/>
      <c r="M418" s="208"/>
      <c r="N418" s="208"/>
      <c r="O418" s="208"/>
      <c r="P418" s="208"/>
      <c r="Q418" s="208"/>
      <c r="R418" s="208"/>
      <c r="S418" s="212"/>
      <c r="T418" s="208"/>
      <c r="U418" s="208"/>
      <c r="V418" s="208"/>
      <c r="W418" s="208"/>
      <c r="X418" s="208"/>
      <c r="Y418" s="208"/>
      <c r="Z418" s="208"/>
    </row>
    <row r="419">
      <c r="A419" s="208"/>
      <c r="B419" s="207"/>
      <c r="C419" s="209"/>
      <c r="D419" s="210"/>
      <c r="E419" s="210"/>
      <c r="F419" s="210"/>
      <c r="G419" s="210"/>
      <c r="H419" s="208"/>
      <c r="I419" s="208"/>
      <c r="J419" s="209"/>
      <c r="K419" s="211"/>
      <c r="L419" s="208"/>
      <c r="M419" s="208"/>
      <c r="N419" s="208"/>
      <c r="O419" s="208"/>
      <c r="P419" s="208"/>
      <c r="Q419" s="208"/>
      <c r="R419" s="208"/>
      <c r="S419" s="212"/>
      <c r="T419" s="208"/>
      <c r="U419" s="208"/>
      <c r="V419" s="208"/>
      <c r="W419" s="208"/>
      <c r="X419" s="208"/>
      <c r="Y419" s="208"/>
      <c r="Z419" s="208"/>
    </row>
    <row r="420">
      <c r="A420" s="208"/>
      <c r="B420" s="207"/>
      <c r="C420" s="209"/>
      <c r="D420" s="210"/>
      <c r="E420" s="210"/>
      <c r="F420" s="210"/>
      <c r="G420" s="210"/>
      <c r="H420" s="208"/>
      <c r="I420" s="208"/>
      <c r="J420" s="209"/>
      <c r="K420" s="211"/>
      <c r="L420" s="208"/>
      <c r="M420" s="208"/>
      <c r="N420" s="208"/>
      <c r="O420" s="208"/>
      <c r="P420" s="208"/>
      <c r="Q420" s="208"/>
      <c r="R420" s="208"/>
      <c r="S420" s="212"/>
      <c r="T420" s="208"/>
      <c r="U420" s="208"/>
      <c r="V420" s="208"/>
      <c r="W420" s="208"/>
      <c r="X420" s="208"/>
      <c r="Y420" s="208"/>
      <c r="Z420" s="208"/>
    </row>
    <row r="421">
      <c r="A421" s="208"/>
      <c r="B421" s="207"/>
      <c r="C421" s="209"/>
      <c r="D421" s="210"/>
      <c r="E421" s="210"/>
      <c r="F421" s="210"/>
      <c r="G421" s="210"/>
      <c r="H421" s="208"/>
      <c r="I421" s="208"/>
      <c r="J421" s="209"/>
      <c r="K421" s="211"/>
      <c r="L421" s="208"/>
      <c r="M421" s="208"/>
      <c r="N421" s="208"/>
      <c r="O421" s="208"/>
      <c r="P421" s="208"/>
      <c r="Q421" s="208"/>
      <c r="R421" s="208"/>
      <c r="S421" s="212"/>
      <c r="T421" s="208"/>
      <c r="U421" s="208"/>
      <c r="V421" s="208"/>
      <c r="W421" s="208"/>
      <c r="X421" s="208"/>
      <c r="Y421" s="208"/>
      <c r="Z421" s="208"/>
    </row>
    <row r="422">
      <c r="A422" s="208"/>
      <c r="B422" s="207"/>
      <c r="C422" s="209"/>
      <c r="D422" s="210"/>
      <c r="E422" s="210"/>
      <c r="F422" s="210"/>
      <c r="G422" s="210"/>
      <c r="H422" s="208"/>
      <c r="I422" s="208"/>
      <c r="J422" s="209"/>
      <c r="K422" s="211"/>
      <c r="L422" s="208"/>
      <c r="M422" s="208"/>
      <c r="N422" s="208"/>
      <c r="O422" s="208"/>
      <c r="P422" s="208"/>
      <c r="Q422" s="208"/>
      <c r="R422" s="208"/>
      <c r="S422" s="212"/>
      <c r="T422" s="208"/>
      <c r="U422" s="208"/>
      <c r="V422" s="208"/>
      <c r="W422" s="208"/>
      <c r="X422" s="208"/>
      <c r="Y422" s="208"/>
      <c r="Z422" s="208"/>
    </row>
    <row r="423">
      <c r="A423" s="208"/>
      <c r="B423" s="207"/>
      <c r="C423" s="209"/>
      <c r="D423" s="210"/>
      <c r="E423" s="210"/>
      <c r="F423" s="210"/>
      <c r="G423" s="210"/>
      <c r="H423" s="208"/>
      <c r="I423" s="208"/>
      <c r="J423" s="209"/>
      <c r="K423" s="211"/>
      <c r="L423" s="208"/>
      <c r="M423" s="208"/>
      <c r="N423" s="208"/>
      <c r="O423" s="208"/>
      <c r="P423" s="208"/>
      <c r="Q423" s="208"/>
      <c r="R423" s="208"/>
      <c r="S423" s="212"/>
      <c r="T423" s="208"/>
      <c r="U423" s="208"/>
      <c r="V423" s="208"/>
      <c r="W423" s="208"/>
      <c r="X423" s="208"/>
      <c r="Y423" s="208"/>
      <c r="Z423" s="208"/>
    </row>
    <row r="424">
      <c r="A424" s="208"/>
      <c r="B424" s="207"/>
      <c r="C424" s="209"/>
      <c r="D424" s="210"/>
      <c r="E424" s="210"/>
      <c r="F424" s="210"/>
      <c r="G424" s="210"/>
      <c r="H424" s="208"/>
      <c r="I424" s="208"/>
      <c r="J424" s="209"/>
      <c r="K424" s="211"/>
      <c r="L424" s="208"/>
      <c r="M424" s="208"/>
      <c r="N424" s="208"/>
      <c r="O424" s="208"/>
      <c r="P424" s="208"/>
      <c r="Q424" s="208"/>
      <c r="R424" s="208"/>
      <c r="S424" s="212"/>
      <c r="T424" s="208"/>
      <c r="U424" s="208"/>
      <c r="V424" s="208"/>
      <c r="W424" s="208"/>
      <c r="X424" s="208"/>
      <c r="Y424" s="208"/>
      <c r="Z424" s="208"/>
    </row>
    <row r="425">
      <c r="A425" s="208"/>
      <c r="B425" s="207"/>
      <c r="C425" s="209"/>
      <c r="D425" s="210"/>
      <c r="E425" s="210"/>
      <c r="F425" s="210"/>
      <c r="G425" s="210"/>
      <c r="H425" s="208"/>
      <c r="I425" s="208"/>
      <c r="J425" s="209"/>
      <c r="K425" s="211"/>
      <c r="L425" s="208"/>
      <c r="M425" s="208"/>
      <c r="N425" s="208"/>
      <c r="O425" s="208"/>
      <c r="P425" s="208"/>
      <c r="Q425" s="208"/>
      <c r="R425" s="208"/>
      <c r="S425" s="212"/>
      <c r="T425" s="208"/>
      <c r="U425" s="208"/>
      <c r="V425" s="208"/>
      <c r="W425" s="208"/>
      <c r="X425" s="208"/>
      <c r="Y425" s="208"/>
      <c r="Z425" s="208"/>
    </row>
    <row r="426">
      <c r="A426" s="208"/>
      <c r="B426" s="207"/>
      <c r="C426" s="209"/>
      <c r="D426" s="210"/>
      <c r="E426" s="210"/>
      <c r="F426" s="210"/>
      <c r="G426" s="210"/>
      <c r="H426" s="208"/>
      <c r="I426" s="208"/>
      <c r="J426" s="209"/>
      <c r="K426" s="211"/>
      <c r="L426" s="208"/>
      <c r="M426" s="208"/>
      <c r="N426" s="208"/>
      <c r="O426" s="208"/>
      <c r="P426" s="208"/>
      <c r="Q426" s="208"/>
      <c r="R426" s="208"/>
      <c r="S426" s="212"/>
      <c r="T426" s="208"/>
      <c r="U426" s="208"/>
      <c r="V426" s="208"/>
      <c r="W426" s="208"/>
      <c r="X426" s="208"/>
      <c r="Y426" s="208"/>
      <c r="Z426" s="208"/>
    </row>
    <row r="427">
      <c r="A427" s="208"/>
      <c r="B427" s="207"/>
      <c r="C427" s="209"/>
      <c r="D427" s="210"/>
      <c r="E427" s="210"/>
      <c r="F427" s="210"/>
      <c r="G427" s="210"/>
      <c r="H427" s="208"/>
      <c r="I427" s="208"/>
      <c r="J427" s="209"/>
      <c r="K427" s="211"/>
      <c r="L427" s="208"/>
      <c r="M427" s="208"/>
      <c r="N427" s="208"/>
      <c r="O427" s="208"/>
      <c r="P427" s="208"/>
      <c r="Q427" s="208"/>
      <c r="R427" s="208"/>
      <c r="S427" s="212"/>
      <c r="T427" s="208"/>
      <c r="U427" s="208"/>
      <c r="V427" s="208"/>
      <c r="W427" s="208"/>
      <c r="X427" s="208"/>
      <c r="Y427" s="208"/>
      <c r="Z427" s="208"/>
    </row>
    <row r="428">
      <c r="A428" s="208"/>
      <c r="B428" s="207"/>
      <c r="C428" s="209"/>
      <c r="D428" s="210"/>
      <c r="E428" s="210"/>
      <c r="F428" s="210"/>
      <c r="G428" s="210"/>
      <c r="H428" s="208"/>
      <c r="I428" s="208"/>
      <c r="J428" s="209"/>
      <c r="K428" s="211"/>
      <c r="L428" s="208"/>
      <c r="M428" s="208"/>
      <c r="N428" s="208"/>
      <c r="O428" s="208"/>
      <c r="P428" s="208"/>
      <c r="Q428" s="208"/>
      <c r="R428" s="208"/>
      <c r="S428" s="212"/>
      <c r="T428" s="208"/>
      <c r="U428" s="208"/>
      <c r="V428" s="208"/>
      <c r="W428" s="208"/>
      <c r="X428" s="208"/>
      <c r="Y428" s="208"/>
      <c r="Z428" s="208"/>
    </row>
    <row r="429">
      <c r="A429" s="208"/>
      <c r="B429" s="207"/>
      <c r="C429" s="209"/>
      <c r="D429" s="210"/>
      <c r="E429" s="210"/>
      <c r="F429" s="210"/>
      <c r="G429" s="210"/>
      <c r="H429" s="208"/>
      <c r="I429" s="208"/>
      <c r="J429" s="209"/>
      <c r="K429" s="211"/>
      <c r="L429" s="208"/>
      <c r="M429" s="208"/>
      <c r="N429" s="208"/>
      <c r="O429" s="208"/>
      <c r="P429" s="208"/>
      <c r="Q429" s="208"/>
      <c r="R429" s="208"/>
      <c r="S429" s="212"/>
      <c r="T429" s="208"/>
      <c r="U429" s="208"/>
      <c r="V429" s="208"/>
      <c r="W429" s="208"/>
      <c r="X429" s="208"/>
      <c r="Y429" s="208"/>
      <c r="Z429" s="208"/>
    </row>
    <row r="430">
      <c r="A430" s="208"/>
      <c r="B430" s="207"/>
      <c r="C430" s="209"/>
      <c r="D430" s="210"/>
      <c r="E430" s="210"/>
      <c r="F430" s="210"/>
      <c r="G430" s="210"/>
      <c r="H430" s="208"/>
      <c r="I430" s="208"/>
      <c r="J430" s="209"/>
      <c r="K430" s="211"/>
      <c r="L430" s="208"/>
      <c r="M430" s="208"/>
      <c r="N430" s="208"/>
      <c r="O430" s="208"/>
      <c r="P430" s="208"/>
      <c r="Q430" s="208"/>
      <c r="R430" s="208"/>
      <c r="S430" s="212"/>
      <c r="T430" s="208"/>
      <c r="U430" s="208"/>
      <c r="V430" s="208"/>
      <c r="W430" s="208"/>
      <c r="X430" s="208"/>
      <c r="Y430" s="208"/>
      <c r="Z430" s="208"/>
    </row>
    <row r="431">
      <c r="A431" s="208"/>
      <c r="B431" s="207"/>
      <c r="C431" s="209"/>
      <c r="D431" s="210"/>
      <c r="E431" s="210"/>
      <c r="F431" s="210"/>
      <c r="G431" s="210"/>
      <c r="H431" s="208"/>
      <c r="I431" s="208"/>
      <c r="J431" s="209"/>
      <c r="K431" s="211"/>
      <c r="L431" s="208"/>
      <c r="M431" s="208"/>
      <c r="N431" s="208"/>
      <c r="O431" s="208"/>
      <c r="P431" s="208"/>
      <c r="Q431" s="208"/>
      <c r="R431" s="208"/>
      <c r="S431" s="212"/>
      <c r="T431" s="208"/>
      <c r="U431" s="208"/>
      <c r="V431" s="208"/>
      <c r="W431" s="208"/>
      <c r="X431" s="208"/>
      <c r="Y431" s="208"/>
      <c r="Z431" s="208"/>
    </row>
    <row r="432">
      <c r="A432" s="208"/>
      <c r="B432" s="207"/>
      <c r="C432" s="209"/>
      <c r="D432" s="210"/>
      <c r="E432" s="210"/>
      <c r="F432" s="210"/>
      <c r="G432" s="210"/>
      <c r="H432" s="208"/>
      <c r="I432" s="208"/>
      <c r="J432" s="209"/>
      <c r="K432" s="211"/>
      <c r="L432" s="208"/>
      <c r="M432" s="208"/>
      <c r="N432" s="208"/>
      <c r="O432" s="208"/>
      <c r="P432" s="208"/>
      <c r="Q432" s="208"/>
      <c r="R432" s="208"/>
      <c r="S432" s="212"/>
      <c r="T432" s="208"/>
      <c r="U432" s="208"/>
      <c r="V432" s="208"/>
      <c r="W432" s="208"/>
      <c r="X432" s="208"/>
      <c r="Y432" s="208"/>
      <c r="Z432" s="208"/>
    </row>
    <row r="433">
      <c r="A433" s="208"/>
      <c r="B433" s="207"/>
      <c r="C433" s="209"/>
      <c r="D433" s="210"/>
      <c r="E433" s="210"/>
      <c r="F433" s="210"/>
      <c r="G433" s="210"/>
      <c r="H433" s="208"/>
      <c r="I433" s="208"/>
      <c r="J433" s="209"/>
      <c r="K433" s="211"/>
      <c r="L433" s="208"/>
      <c r="M433" s="208"/>
      <c r="N433" s="208"/>
      <c r="O433" s="208"/>
      <c r="P433" s="208"/>
      <c r="Q433" s="208"/>
      <c r="R433" s="208"/>
      <c r="S433" s="212"/>
      <c r="T433" s="208"/>
      <c r="U433" s="208"/>
      <c r="V433" s="208"/>
      <c r="W433" s="208"/>
      <c r="X433" s="208"/>
      <c r="Y433" s="208"/>
      <c r="Z433" s="208"/>
    </row>
    <row r="434">
      <c r="A434" s="208"/>
      <c r="B434" s="207"/>
      <c r="C434" s="209"/>
      <c r="D434" s="210"/>
      <c r="E434" s="210"/>
      <c r="F434" s="210"/>
      <c r="G434" s="210"/>
      <c r="H434" s="208"/>
      <c r="I434" s="208"/>
      <c r="J434" s="209"/>
      <c r="K434" s="211"/>
      <c r="L434" s="208"/>
      <c r="M434" s="208"/>
      <c r="N434" s="208"/>
      <c r="O434" s="208"/>
      <c r="P434" s="208"/>
      <c r="Q434" s="208"/>
      <c r="R434" s="208"/>
      <c r="S434" s="212"/>
      <c r="T434" s="208"/>
      <c r="U434" s="208"/>
      <c r="V434" s="208"/>
      <c r="W434" s="208"/>
      <c r="X434" s="208"/>
      <c r="Y434" s="208"/>
      <c r="Z434" s="208"/>
    </row>
    <row r="435">
      <c r="A435" s="208"/>
      <c r="B435" s="207"/>
      <c r="C435" s="209"/>
      <c r="D435" s="210"/>
      <c r="E435" s="210"/>
      <c r="F435" s="210"/>
      <c r="G435" s="210"/>
      <c r="H435" s="208"/>
      <c r="I435" s="208"/>
      <c r="J435" s="209"/>
      <c r="K435" s="211"/>
      <c r="L435" s="208"/>
      <c r="M435" s="208"/>
      <c r="N435" s="208"/>
      <c r="O435" s="208"/>
      <c r="P435" s="208"/>
      <c r="Q435" s="208"/>
      <c r="R435" s="208"/>
      <c r="S435" s="212"/>
      <c r="T435" s="208"/>
      <c r="U435" s="208"/>
      <c r="V435" s="208"/>
      <c r="W435" s="208"/>
      <c r="X435" s="208"/>
      <c r="Y435" s="208"/>
      <c r="Z435" s="208"/>
    </row>
    <row r="436">
      <c r="A436" s="208"/>
      <c r="B436" s="207"/>
      <c r="C436" s="209"/>
      <c r="D436" s="210"/>
      <c r="E436" s="210"/>
      <c r="F436" s="210"/>
      <c r="G436" s="210"/>
      <c r="H436" s="208"/>
      <c r="I436" s="208"/>
      <c r="J436" s="209"/>
      <c r="K436" s="211"/>
      <c r="L436" s="208"/>
      <c r="M436" s="208"/>
      <c r="N436" s="208"/>
      <c r="O436" s="208"/>
      <c r="P436" s="208"/>
      <c r="Q436" s="208"/>
      <c r="R436" s="208"/>
      <c r="S436" s="212"/>
      <c r="T436" s="208"/>
      <c r="U436" s="208"/>
      <c r="V436" s="208"/>
      <c r="W436" s="208"/>
      <c r="X436" s="208"/>
      <c r="Y436" s="208"/>
      <c r="Z436" s="208"/>
    </row>
    <row r="437">
      <c r="A437" s="208"/>
      <c r="B437" s="207"/>
      <c r="C437" s="209"/>
      <c r="D437" s="210"/>
      <c r="E437" s="210"/>
      <c r="F437" s="210"/>
      <c r="G437" s="210"/>
      <c r="H437" s="208"/>
      <c r="I437" s="208"/>
      <c r="J437" s="209"/>
      <c r="K437" s="211"/>
      <c r="L437" s="208"/>
      <c r="M437" s="208"/>
      <c r="N437" s="208"/>
      <c r="O437" s="208"/>
      <c r="P437" s="208"/>
      <c r="Q437" s="208"/>
      <c r="R437" s="208"/>
      <c r="S437" s="212"/>
      <c r="T437" s="208"/>
      <c r="U437" s="208"/>
      <c r="V437" s="208"/>
      <c r="W437" s="208"/>
      <c r="X437" s="208"/>
      <c r="Y437" s="208"/>
      <c r="Z437" s="208"/>
    </row>
    <row r="438">
      <c r="A438" s="208"/>
      <c r="B438" s="207"/>
      <c r="C438" s="209"/>
      <c r="D438" s="210"/>
      <c r="E438" s="210"/>
      <c r="F438" s="210"/>
      <c r="G438" s="210"/>
      <c r="H438" s="208"/>
      <c r="I438" s="208"/>
      <c r="J438" s="209"/>
      <c r="K438" s="211"/>
      <c r="L438" s="208"/>
      <c r="M438" s="208"/>
      <c r="N438" s="208"/>
      <c r="O438" s="208"/>
      <c r="P438" s="208"/>
      <c r="Q438" s="208"/>
      <c r="R438" s="208"/>
      <c r="S438" s="212"/>
      <c r="T438" s="208"/>
      <c r="U438" s="208"/>
      <c r="V438" s="208"/>
      <c r="W438" s="208"/>
      <c r="X438" s="208"/>
      <c r="Y438" s="208"/>
      <c r="Z438" s="208"/>
    </row>
    <row r="439">
      <c r="A439" s="208"/>
      <c r="B439" s="207"/>
      <c r="C439" s="209"/>
      <c r="D439" s="210"/>
      <c r="E439" s="210"/>
      <c r="F439" s="210"/>
      <c r="G439" s="210"/>
      <c r="H439" s="208"/>
      <c r="I439" s="208"/>
      <c r="J439" s="209"/>
      <c r="K439" s="211"/>
      <c r="L439" s="208"/>
      <c r="M439" s="208"/>
      <c r="N439" s="208"/>
      <c r="O439" s="208"/>
      <c r="P439" s="208"/>
      <c r="Q439" s="208"/>
      <c r="R439" s="208"/>
      <c r="S439" s="212"/>
      <c r="T439" s="208"/>
      <c r="U439" s="208"/>
      <c r="V439" s="208"/>
      <c r="W439" s="208"/>
      <c r="X439" s="208"/>
      <c r="Y439" s="208"/>
      <c r="Z439" s="208"/>
    </row>
    <row r="440">
      <c r="A440" s="208"/>
      <c r="B440" s="207"/>
      <c r="C440" s="209"/>
      <c r="D440" s="210"/>
      <c r="E440" s="210"/>
      <c r="F440" s="210"/>
      <c r="G440" s="210"/>
      <c r="H440" s="208"/>
      <c r="I440" s="208"/>
      <c r="J440" s="209"/>
      <c r="K440" s="211"/>
      <c r="L440" s="208"/>
      <c r="M440" s="208"/>
      <c r="N440" s="208"/>
      <c r="O440" s="208"/>
      <c r="P440" s="208"/>
      <c r="Q440" s="208"/>
      <c r="R440" s="208"/>
      <c r="S440" s="212"/>
      <c r="T440" s="208"/>
      <c r="U440" s="208"/>
      <c r="V440" s="208"/>
      <c r="W440" s="208"/>
      <c r="X440" s="208"/>
      <c r="Y440" s="208"/>
      <c r="Z440" s="208"/>
    </row>
    <row r="441">
      <c r="A441" s="208"/>
      <c r="B441" s="207"/>
      <c r="C441" s="209"/>
      <c r="D441" s="210"/>
      <c r="E441" s="210"/>
      <c r="F441" s="210"/>
      <c r="G441" s="210"/>
      <c r="H441" s="208"/>
      <c r="I441" s="208"/>
      <c r="J441" s="209"/>
      <c r="K441" s="211"/>
      <c r="L441" s="208"/>
      <c r="M441" s="208"/>
      <c r="N441" s="208"/>
      <c r="O441" s="208"/>
      <c r="P441" s="208"/>
      <c r="Q441" s="208"/>
      <c r="R441" s="208"/>
      <c r="S441" s="212"/>
      <c r="T441" s="208"/>
      <c r="U441" s="208"/>
      <c r="V441" s="208"/>
      <c r="W441" s="208"/>
      <c r="X441" s="208"/>
      <c r="Y441" s="208"/>
      <c r="Z441" s="208"/>
    </row>
    <row r="442">
      <c r="A442" s="208"/>
      <c r="B442" s="207"/>
      <c r="C442" s="209"/>
      <c r="D442" s="210"/>
      <c r="E442" s="210"/>
      <c r="F442" s="210"/>
      <c r="G442" s="210"/>
      <c r="H442" s="208"/>
      <c r="I442" s="208"/>
      <c r="J442" s="209"/>
      <c r="K442" s="211"/>
      <c r="L442" s="208"/>
      <c r="M442" s="208"/>
      <c r="N442" s="208"/>
      <c r="O442" s="208"/>
      <c r="P442" s="208"/>
      <c r="Q442" s="208"/>
      <c r="R442" s="208"/>
      <c r="S442" s="212"/>
      <c r="T442" s="208"/>
      <c r="U442" s="208"/>
      <c r="V442" s="208"/>
      <c r="W442" s="208"/>
      <c r="X442" s="208"/>
      <c r="Y442" s="208"/>
      <c r="Z442" s="208"/>
    </row>
    <row r="443">
      <c r="A443" s="208"/>
      <c r="B443" s="207"/>
      <c r="C443" s="209"/>
      <c r="D443" s="210"/>
      <c r="E443" s="210"/>
      <c r="F443" s="210"/>
      <c r="G443" s="210"/>
      <c r="H443" s="208"/>
      <c r="I443" s="208"/>
      <c r="J443" s="209"/>
      <c r="K443" s="211"/>
      <c r="L443" s="208"/>
      <c r="M443" s="208"/>
      <c r="N443" s="208"/>
      <c r="O443" s="208"/>
      <c r="P443" s="208"/>
      <c r="Q443" s="208"/>
      <c r="R443" s="208"/>
      <c r="S443" s="212"/>
      <c r="T443" s="208"/>
      <c r="U443" s="208"/>
      <c r="V443" s="208"/>
      <c r="W443" s="208"/>
      <c r="X443" s="208"/>
      <c r="Y443" s="208"/>
      <c r="Z443" s="208"/>
    </row>
    <row r="444">
      <c r="A444" s="208"/>
      <c r="B444" s="207"/>
      <c r="C444" s="209"/>
      <c r="D444" s="210"/>
      <c r="E444" s="210"/>
      <c r="F444" s="210"/>
      <c r="G444" s="210"/>
      <c r="H444" s="208"/>
      <c r="I444" s="208"/>
      <c r="J444" s="209"/>
      <c r="K444" s="211"/>
      <c r="L444" s="208"/>
      <c r="M444" s="208"/>
      <c r="N444" s="208"/>
      <c r="O444" s="208"/>
      <c r="P444" s="208"/>
      <c r="Q444" s="208"/>
      <c r="R444" s="208"/>
      <c r="S444" s="212"/>
      <c r="T444" s="208"/>
      <c r="U444" s="208"/>
      <c r="V444" s="208"/>
      <c r="W444" s="208"/>
      <c r="X444" s="208"/>
      <c r="Y444" s="208"/>
      <c r="Z444" s="208"/>
    </row>
    <row r="445">
      <c r="A445" s="208"/>
      <c r="B445" s="207"/>
      <c r="C445" s="209"/>
      <c r="D445" s="210"/>
      <c r="E445" s="210"/>
      <c r="F445" s="210"/>
      <c r="G445" s="210"/>
      <c r="H445" s="208"/>
      <c r="I445" s="208"/>
      <c r="J445" s="209"/>
      <c r="K445" s="211"/>
      <c r="L445" s="208"/>
      <c r="M445" s="208"/>
      <c r="N445" s="208"/>
      <c r="O445" s="208"/>
      <c r="P445" s="208"/>
      <c r="Q445" s="208"/>
      <c r="R445" s="208"/>
      <c r="S445" s="212"/>
      <c r="T445" s="208"/>
      <c r="U445" s="208"/>
      <c r="V445" s="208"/>
      <c r="W445" s="208"/>
      <c r="X445" s="208"/>
      <c r="Y445" s="208"/>
      <c r="Z445" s="208"/>
    </row>
    <row r="446">
      <c r="A446" s="208"/>
      <c r="B446" s="207"/>
      <c r="C446" s="209"/>
      <c r="D446" s="210"/>
      <c r="E446" s="210"/>
      <c r="F446" s="210"/>
      <c r="G446" s="210"/>
      <c r="H446" s="208"/>
      <c r="I446" s="208"/>
      <c r="J446" s="209"/>
      <c r="K446" s="211"/>
      <c r="L446" s="208"/>
      <c r="M446" s="208"/>
      <c r="N446" s="208"/>
      <c r="O446" s="208"/>
      <c r="P446" s="208"/>
      <c r="Q446" s="208"/>
      <c r="R446" s="208"/>
      <c r="S446" s="212"/>
      <c r="T446" s="208"/>
      <c r="U446" s="208"/>
      <c r="V446" s="208"/>
      <c r="W446" s="208"/>
      <c r="X446" s="208"/>
      <c r="Y446" s="208"/>
      <c r="Z446" s="208"/>
    </row>
    <row r="447">
      <c r="A447" s="208"/>
      <c r="B447" s="207"/>
      <c r="C447" s="209"/>
      <c r="D447" s="210"/>
      <c r="E447" s="210"/>
      <c r="F447" s="210"/>
      <c r="G447" s="210"/>
      <c r="H447" s="208"/>
      <c r="I447" s="208"/>
      <c r="J447" s="209"/>
      <c r="K447" s="211"/>
      <c r="L447" s="208"/>
      <c r="M447" s="208"/>
      <c r="N447" s="208"/>
      <c r="O447" s="208"/>
      <c r="P447" s="208"/>
      <c r="Q447" s="208"/>
      <c r="R447" s="208"/>
      <c r="S447" s="212"/>
      <c r="T447" s="208"/>
      <c r="U447" s="208"/>
      <c r="V447" s="208"/>
      <c r="W447" s="208"/>
      <c r="X447" s="208"/>
      <c r="Y447" s="208"/>
      <c r="Z447" s="208"/>
    </row>
    <row r="448">
      <c r="A448" s="208"/>
      <c r="B448" s="207"/>
      <c r="C448" s="209"/>
      <c r="D448" s="210"/>
      <c r="E448" s="210"/>
      <c r="F448" s="210"/>
      <c r="G448" s="210"/>
      <c r="H448" s="208"/>
      <c r="I448" s="208"/>
      <c r="J448" s="209"/>
      <c r="K448" s="211"/>
      <c r="L448" s="208"/>
      <c r="M448" s="208"/>
      <c r="N448" s="208"/>
      <c r="O448" s="208"/>
      <c r="P448" s="208"/>
      <c r="Q448" s="208"/>
      <c r="R448" s="208"/>
      <c r="S448" s="212"/>
      <c r="T448" s="208"/>
      <c r="U448" s="208"/>
      <c r="V448" s="208"/>
      <c r="W448" s="208"/>
      <c r="X448" s="208"/>
      <c r="Y448" s="208"/>
      <c r="Z448" s="208"/>
    </row>
    <row r="449">
      <c r="A449" s="208"/>
      <c r="B449" s="207"/>
      <c r="C449" s="209"/>
      <c r="D449" s="210"/>
      <c r="E449" s="210"/>
      <c r="F449" s="210"/>
      <c r="G449" s="210"/>
      <c r="H449" s="208"/>
      <c r="I449" s="208"/>
      <c r="J449" s="209"/>
      <c r="K449" s="211"/>
      <c r="L449" s="208"/>
      <c r="M449" s="208"/>
      <c r="N449" s="208"/>
      <c r="O449" s="208"/>
      <c r="P449" s="208"/>
      <c r="Q449" s="208"/>
      <c r="R449" s="208"/>
      <c r="S449" s="212"/>
      <c r="T449" s="208"/>
      <c r="U449" s="208"/>
      <c r="V449" s="208"/>
      <c r="W449" s="208"/>
      <c r="X449" s="208"/>
      <c r="Y449" s="208"/>
      <c r="Z449" s="208"/>
    </row>
    <row r="450">
      <c r="A450" s="208"/>
      <c r="B450" s="207"/>
      <c r="C450" s="209"/>
      <c r="D450" s="210"/>
      <c r="E450" s="210"/>
      <c r="F450" s="210"/>
      <c r="G450" s="210"/>
      <c r="H450" s="208"/>
      <c r="I450" s="208"/>
      <c r="J450" s="209"/>
      <c r="K450" s="211"/>
      <c r="L450" s="208"/>
      <c r="M450" s="208"/>
      <c r="N450" s="208"/>
      <c r="O450" s="208"/>
      <c r="P450" s="208"/>
      <c r="Q450" s="208"/>
      <c r="R450" s="208"/>
      <c r="S450" s="212"/>
      <c r="T450" s="208"/>
      <c r="U450" s="208"/>
      <c r="V450" s="208"/>
      <c r="W450" s="208"/>
      <c r="X450" s="208"/>
      <c r="Y450" s="208"/>
      <c r="Z450" s="208"/>
    </row>
    <row r="451">
      <c r="A451" s="208"/>
      <c r="B451" s="207"/>
      <c r="C451" s="209"/>
      <c r="D451" s="210"/>
      <c r="E451" s="210"/>
      <c r="F451" s="210"/>
      <c r="G451" s="210"/>
      <c r="H451" s="208"/>
      <c r="I451" s="208"/>
      <c r="J451" s="209"/>
      <c r="K451" s="211"/>
      <c r="L451" s="208"/>
      <c r="M451" s="208"/>
      <c r="N451" s="208"/>
      <c r="O451" s="208"/>
      <c r="P451" s="208"/>
      <c r="Q451" s="208"/>
      <c r="R451" s="208"/>
      <c r="S451" s="212"/>
      <c r="T451" s="208"/>
      <c r="U451" s="208"/>
      <c r="V451" s="208"/>
      <c r="W451" s="208"/>
      <c r="X451" s="208"/>
      <c r="Y451" s="208"/>
      <c r="Z451" s="208"/>
    </row>
    <row r="452">
      <c r="A452" s="208"/>
      <c r="B452" s="207"/>
      <c r="C452" s="209"/>
      <c r="D452" s="210"/>
      <c r="E452" s="210"/>
      <c r="F452" s="210"/>
      <c r="G452" s="210"/>
      <c r="H452" s="208"/>
      <c r="I452" s="208"/>
      <c r="J452" s="209"/>
      <c r="K452" s="211"/>
      <c r="L452" s="208"/>
      <c r="M452" s="208"/>
      <c r="N452" s="208"/>
      <c r="O452" s="208"/>
      <c r="P452" s="208"/>
      <c r="Q452" s="208"/>
      <c r="R452" s="208"/>
      <c r="S452" s="212"/>
      <c r="T452" s="208"/>
      <c r="U452" s="208"/>
      <c r="V452" s="208"/>
      <c r="W452" s="208"/>
      <c r="X452" s="208"/>
      <c r="Y452" s="208"/>
      <c r="Z452" s="208"/>
    </row>
    <row r="453">
      <c r="A453" s="208"/>
      <c r="B453" s="207"/>
      <c r="C453" s="209"/>
      <c r="D453" s="210"/>
      <c r="E453" s="210"/>
      <c r="F453" s="210"/>
      <c r="G453" s="210"/>
      <c r="H453" s="208"/>
      <c r="I453" s="208"/>
      <c r="J453" s="209"/>
      <c r="K453" s="211"/>
      <c r="L453" s="208"/>
      <c r="M453" s="208"/>
      <c r="N453" s="208"/>
      <c r="O453" s="208"/>
      <c r="P453" s="208"/>
      <c r="Q453" s="208"/>
      <c r="R453" s="208"/>
      <c r="S453" s="212"/>
      <c r="T453" s="208"/>
      <c r="U453" s="208"/>
      <c r="V453" s="208"/>
      <c r="W453" s="208"/>
      <c r="X453" s="208"/>
      <c r="Y453" s="208"/>
      <c r="Z453" s="208"/>
    </row>
    <row r="454">
      <c r="A454" s="208"/>
      <c r="B454" s="207"/>
      <c r="C454" s="209"/>
      <c r="D454" s="210"/>
      <c r="E454" s="210"/>
      <c r="F454" s="210"/>
      <c r="G454" s="210"/>
      <c r="H454" s="208"/>
      <c r="I454" s="208"/>
      <c r="J454" s="209"/>
      <c r="K454" s="211"/>
      <c r="L454" s="208"/>
      <c r="M454" s="208"/>
      <c r="N454" s="208"/>
      <c r="O454" s="208"/>
      <c r="P454" s="208"/>
      <c r="Q454" s="208"/>
      <c r="R454" s="208"/>
      <c r="S454" s="212"/>
      <c r="T454" s="208"/>
      <c r="U454" s="208"/>
      <c r="V454" s="208"/>
      <c r="W454" s="208"/>
      <c r="X454" s="208"/>
      <c r="Y454" s="208"/>
      <c r="Z454" s="208"/>
    </row>
    <row r="455">
      <c r="A455" s="208"/>
      <c r="B455" s="207"/>
      <c r="C455" s="209"/>
      <c r="D455" s="210"/>
      <c r="E455" s="210"/>
      <c r="F455" s="210"/>
      <c r="G455" s="210"/>
      <c r="H455" s="208"/>
      <c r="I455" s="208"/>
      <c r="J455" s="209"/>
      <c r="K455" s="211"/>
      <c r="L455" s="208"/>
      <c r="M455" s="208"/>
      <c r="N455" s="208"/>
      <c r="O455" s="208"/>
      <c r="P455" s="208"/>
      <c r="Q455" s="208"/>
      <c r="R455" s="208"/>
      <c r="S455" s="212"/>
      <c r="T455" s="208"/>
      <c r="U455" s="208"/>
      <c r="V455" s="208"/>
      <c r="W455" s="208"/>
      <c r="X455" s="208"/>
      <c r="Y455" s="208"/>
      <c r="Z455" s="208"/>
    </row>
    <row r="456">
      <c r="A456" s="208"/>
      <c r="B456" s="207"/>
      <c r="C456" s="209"/>
      <c r="D456" s="210"/>
      <c r="E456" s="210"/>
      <c r="F456" s="210"/>
      <c r="G456" s="210"/>
      <c r="H456" s="208"/>
      <c r="I456" s="208"/>
      <c r="J456" s="209"/>
      <c r="K456" s="211"/>
      <c r="L456" s="208"/>
      <c r="M456" s="208"/>
      <c r="N456" s="208"/>
      <c r="O456" s="208"/>
      <c r="P456" s="208"/>
      <c r="Q456" s="208"/>
      <c r="R456" s="208"/>
      <c r="S456" s="212"/>
      <c r="T456" s="208"/>
      <c r="U456" s="208"/>
      <c r="V456" s="208"/>
      <c r="W456" s="208"/>
      <c r="X456" s="208"/>
      <c r="Y456" s="208"/>
      <c r="Z456" s="208"/>
    </row>
    <row r="457">
      <c r="A457" s="208"/>
      <c r="B457" s="207"/>
      <c r="C457" s="209"/>
      <c r="D457" s="210"/>
      <c r="E457" s="210"/>
      <c r="F457" s="210"/>
      <c r="G457" s="210"/>
      <c r="H457" s="208"/>
      <c r="I457" s="208"/>
      <c r="J457" s="209"/>
      <c r="K457" s="211"/>
      <c r="L457" s="208"/>
      <c r="M457" s="208"/>
      <c r="N457" s="208"/>
      <c r="O457" s="208"/>
      <c r="P457" s="208"/>
      <c r="Q457" s="208"/>
      <c r="R457" s="208"/>
      <c r="S457" s="212"/>
      <c r="T457" s="208"/>
      <c r="U457" s="208"/>
      <c r="V457" s="208"/>
      <c r="W457" s="208"/>
      <c r="X457" s="208"/>
      <c r="Y457" s="208"/>
      <c r="Z457" s="208"/>
    </row>
    <row r="458">
      <c r="A458" s="208"/>
      <c r="B458" s="207"/>
      <c r="C458" s="209"/>
      <c r="D458" s="210"/>
      <c r="E458" s="210"/>
      <c r="F458" s="210"/>
      <c r="G458" s="210"/>
      <c r="H458" s="208"/>
      <c r="I458" s="208"/>
      <c r="J458" s="209"/>
      <c r="K458" s="211"/>
      <c r="L458" s="208"/>
      <c r="M458" s="208"/>
      <c r="N458" s="208"/>
      <c r="O458" s="208"/>
      <c r="P458" s="208"/>
      <c r="Q458" s="208"/>
      <c r="R458" s="208"/>
      <c r="S458" s="212"/>
      <c r="T458" s="208"/>
      <c r="U458" s="208"/>
      <c r="V458" s="208"/>
      <c r="W458" s="208"/>
      <c r="X458" s="208"/>
      <c r="Y458" s="208"/>
      <c r="Z458" s="208"/>
    </row>
    <row r="459">
      <c r="A459" s="208"/>
      <c r="B459" s="207"/>
      <c r="C459" s="209"/>
      <c r="D459" s="210"/>
      <c r="E459" s="210"/>
      <c r="F459" s="210"/>
      <c r="G459" s="210"/>
      <c r="H459" s="208"/>
      <c r="I459" s="208"/>
      <c r="J459" s="209"/>
      <c r="K459" s="211"/>
      <c r="L459" s="208"/>
      <c r="M459" s="208"/>
      <c r="N459" s="208"/>
      <c r="O459" s="208"/>
      <c r="P459" s="208"/>
      <c r="Q459" s="208"/>
      <c r="R459" s="208"/>
      <c r="S459" s="212"/>
      <c r="T459" s="208"/>
      <c r="U459" s="208"/>
      <c r="V459" s="208"/>
      <c r="W459" s="208"/>
      <c r="X459" s="208"/>
      <c r="Y459" s="208"/>
      <c r="Z459" s="208"/>
    </row>
    <row r="460">
      <c r="A460" s="208"/>
      <c r="B460" s="207"/>
      <c r="C460" s="209"/>
      <c r="D460" s="210"/>
      <c r="E460" s="210"/>
      <c r="F460" s="210"/>
      <c r="G460" s="210"/>
      <c r="H460" s="208"/>
      <c r="I460" s="208"/>
      <c r="J460" s="209"/>
      <c r="K460" s="211"/>
      <c r="L460" s="208"/>
      <c r="M460" s="208"/>
      <c r="N460" s="208"/>
      <c r="O460" s="208"/>
      <c r="P460" s="208"/>
      <c r="Q460" s="208"/>
      <c r="R460" s="208"/>
      <c r="S460" s="212"/>
      <c r="T460" s="208"/>
      <c r="U460" s="208"/>
      <c r="V460" s="208"/>
      <c r="W460" s="208"/>
      <c r="X460" s="208"/>
      <c r="Y460" s="208"/>
      <c r="Z460" s="208"/>
    </row>
    <row r="461">
      <c r="A461" s="208"/>
      <c r="B461" s="207"/>
      <c r="C461" s="209"/>
      <c r="D461" s="210"/>
      <c r="E461" s="210"/>
      <c r="F461" s="210"/>
      <c r="G461" s="210"/>
      <c r="H461" s="208"/>
      <c r="I461" s="208"/>
      <c r="J461" s="209"/>
      <c r="K461" s="211"/>
      <c r="L461" s="208"/>
      <c r="M461" s="208"/>
      <c r="N461" s="208"/>
      <c r="O461" s="208"/>
      <c r="P461" s="208"/>
      <c r="Q461" s="208"/>
      <c r="R461" s="208"/>
      <c r="S461" s="212"/>
      <c r="T461" s="208"/>
      <c r="U461" s="208"/>
      <c r="V461" s="208"/>
      <c r="W461" s="208"/>
      <c r="X461" s="208"/>
      <c r="Y461" s="208"/>
      <c r="Z461" s="208"/>
    </row>
    <row r="462">
      <c r="A462" s="208"/>
      <c r="B462" s="207"/>
      <c r="C462" s="209"/>
      <c r="D462" s="210"/>
      <c r="E462" s="210"/>
      <c r="F462" s="210"/>
      <c r="G462" s="210"/>
      <c r="H462" s="208"/>
      <c r="I462" s="208"/>
      <c r="J462" s="209"/>
      <c r="K462" s="211"/>
      <c r="L462" s="208"/>
      <c r="M462" s="208"/>
      <c r="N462" s="208"/>
      <c r="O462" s="208"/>
      <c r="P462" s="208"/>
      <c r="Q462" s="208"/>
      <c r="R462" s="208"/>
      <c r="S462" s="212"/>
      <c r="T462" s="208"/>
      <c r="U462" s="208"/>
      <c r="V462" s="208"/>
      <c r="W462" s="208"/>
      <c r="X462" s="208"/>
      <c r="Y462" s="208"/>
      <c r="Z462" s="208"/>
    </row>
    <row r="463">
      <c r="A463" s="208"/>
      <c r="B463" s="207"/>
      <c r="C463" s="209"/>
      <c r="D463" s="210"/>
      <c r="E463" s="210"/>
      <c r="F463" s="210"/>
      <c r="G463" s="210"/>
      <c r="H463" s="208"/>
      <c r="I463" s="208"/>
      <c r="J463" s="209"/>
      <c r="K463" s="211"/>
      <c r="L463" s="208"/>
      <c r="M463" s="208"/>
      <c r="N463" s="208"/>
      <c r="O463" s="208"/>
      <c r="P463" s="208"/>
      <c r="Q463" s="208"/>
      <c r="R463" s="208"/>
      <c r="S463" s="212"/>
      <c r="T463" s="208"/>
      <c r="U463" s="208"/>
      <c r="V463" s="208"/>
      <c r="W463" s="208"/>
      <c r="X463" s="208"/>
      <c r="Y463" s="208"/>
      <c r="Z463" s="208"/>
    </row>
    <row r="464">
      <c r="A464" s="208"/>
      <c r="B464" s="207"/>
      <c r="C464" s="209"/>
      <c r="D464" s="210"/>
      <c r="E464" s="210"/>
      <c r="F464" s="210"/>
      <c r="G464" s="210"/>
      <c r="H464" s="208"/>
      <c r="I464" s="208"/>
      <c r="J464" s="209"/>
      <c r="K464" s="211"/>
      <c r="L464" s="208"/>
      <c r="M464" s="208"/>
      <c r="N464" s="208"/>
      <c r="O464" s="208"/>
      <c r="P464" s="208"/>
      <c r="Q464" s="208"/>
      <c r="R464" s="208"/>
      <c r="S464" s="212"/>
      <c r="T464" s="208"/>
      <c r="U464" s="208"/>
      <c r="V464" s="208"/>
      <c r="W464" s="208"/>
      <c r="X464" s="208"/>
      <c r="Y464" s="208"/>
      <c r="Z464" s="208"/>
    </row>
    <row r="465">
      <c r="A465" s="208"/>
      <c r="B465" s="207"/>
      <c r="C465" s="209"/>
      <c r="D465" s="210"/>
      <c r="E465" s="210"/>
      <c r="F465" s="210"/>
      <c r="G465" s="210"/>
      <c r="H465" s="208"/>
      <c r="I465" s="208"/>
      <c r="J465" s="209"/>
      <c r="K465" s="211"/>
      <c r="L465" s="208"/>
      <c r="M465" s="208"/>
      <c r="N465" s="208"/>
      <c r="O465" s="208"/>
      <c r="P465" s="208"/>
      <c r="Q465" s="208"/>
      <c r="R465" s="208"/>
      <c r="S465" s="212"/>
      <c r="T465" s="208"/>
      <c r="U465" s="208"/>
      <c r="V465" s="208"/>
      <c r="W465" s="208"/>
      <c r="X465" s="208"/>
      <c r="Y465" s="208"/>
      <c r="Z465" s="208"/>
    </row>
    <row r="466">
      <c r="A466" s="208"/>
      <c r="B466" s="207"/>
      <c r="C466" s="209"/>
      <c r="D466" s="210"/>
      <c r="E466" s="210"/>
      <c r="F466" s="210"/>
      <c r="G466" s="210"/>
      <c r="H466" s="208"/>
      <c r="I466" s="208"/>
      <c r="J466" s="209"/>
      <c r="K466" s="211"/>
      <c r="L466" s="208"/>
      <c r="M466" s="208"/>
      <c r="N466" s="208"/>
      <c r="O466" s="208"/>
      <c r="P466" s="208"/>
      <c r="Q466" s="208"/>
      <c r="R466" s="208"/>
      <c r="S466" s="212"/>
      <c r="T466" s="208"/>
      <c r="U466" s="208"/>
      <c r="V466" s="208"/>
      <c r="W466" s="208"/>
      <c r="X466" s="208"/>
      <c r="Y466" s="208"/>
      <c r="Z466" s="208"/>
    </row>
    <row r="467">
      <c r="A467" s="208"/>
      <c r="B467" s="207"/>
      <c r="C467" s="209"/>
      <c r="D467" s="210"/>
      <c r="E467" s="210"/>
      <c r="F467" s="210"/>
      <c r="G467" s="210"/>
      <c r="H467" s="208"/>
      <c r="I467" s="208"/>
      <c r="J467" s="209"/>
      <c r="K467" s="211"/>
      <c r="L467" s="208"/>
      <c r="M467" s="208"/>
      <c r="N467" s="208"/>
      <c r="O467" s="208"/>
      <c r="P467" s="208"/>
      <c r="Q467" s="208"/>
      <c r="R467" s="208"/>
      <c r="S467" s="212"/>
      <c r="T467" s="208"/>
      <c r="U467" s="208"/>
      <c r="V467" s="208"/>
      <c r="W467" s="208"/>
      <c r="X467" s="208"/>
      <c r="Y467" s="208"/>
      <c r="Z467" s="208"/>
    </row>
    <row r="468">
      <c r="A468" s="208"/>
      <c r="B468" s="207"/>
      <c r="C468" s="209"/>
      <c r="D468" s="210"/>
      <c r="E468" s="210"/>
      <c r="F468" s="210"/>
      <c r="G468" s="210"/>
      <c r="H468" s="208"/>
      <c r="I468" s="208"/>
      <c r="J468" s="209"/>
      <c r="K468" s="211"/>
      <c r="L468" s="208"/>
      <c r="M468" s="208"/>
      <c r="N468" s="208"/>
      <c r="O468" s="208"/>
      <c r="P468" s="208"/>
      <c r="Q468" s="208"/>
      <c r="R468" s="208"/>
      <c r="S468" s="212"/>
      <c r="T468" s="208"/>
      <c r="U468" s="208"/>
      <c r="V468" s="208"/>
      <c r="W468" s="208"/>
      <c r="X468" s="208"/>
      <c r="Y468" s="208"/>
      <c r="Z468" s="208"/>
    </row>
    <row r="469">
      <c r="A469" s="208"/>
      <c r="B469" s="207"/>
      <c r="C469" s="209"/>
      <c r="D469" s="210"/>
      <c r="E469" s="210"/>
      <c r="F469" s="210"/>
      <c r="G469" s="210"/>
      <c r="H469" s="208"/>
      <c r="I469" s="208"/>
      <c r="J469" s="209"/>
      <c r="K469" s="211"/>
      <c r="L469" s="208"/>
      <c r="M469" s="208"/>
      <c r="N469" s="208"/>
      <c r="O469" s="208"/>
      <c r="P469" s="208"/>
      <c r="Q469" s="208"/>
      <c r="R469" s="208"/>
      <c r="S469" s="212"/>
      <c r="T469" s="208"/>
      <c r="U469" s="208"/>
      <c r="V469" s="208"/>
      <c r="W469" s="208"/>
      <c r="X469" s="208"/>
      <c r="Y469" s="208"/>
      <c r="Z469" s="208"/>
    </row>
    <row r="470">
      <c r="A470" s="208"/>
      <c r="B470" s="207"/>
      <c r="C470" s="209"/>
      <c r="D470" s="210"/>
      <c r="E470" s="210"/>
      <c r="F470" s="210"/>
      <c r="G470" s="210"/>
      <c r="H470" s="208"/>
      <c r="I470" s="208"/>
      <c r="J470" s="209"/>
      <c r="K470" s="211"/>
      <c r="L470" s="208"/>
      <c r="M470" s="208"/>
      <c r="N470" s="208"/>
      <c r="O470" s="208"/>
      <c r="P470" s="208"/>
      <c r="Q470" s="208"/>
      <c r="R470" s="208"/>
      <c r="S470" s="212"/>
      <c r="T470" s="208"/>
      <c r="U470" s="208"/>
      <c r="V470" s="208"/>
      <c r="W470" s="208"/>
      <c r="X470" s="208"/>
      <c r="Y470" s="208"/>
      <c r="Z470" s="208"/>
    </row>
    <row r="471">
      <c r="A471" s="208"/>
      <c r="B471" s="207"/>
      <c r="C471" s="209"/>
      <c r="D471" s="210"/>
      <c r="E471" s="210"/>
      <c r="F471" s="210"/>
      <c r="G471" s="210"/>
      <c r="H471" s="208"/>
      <c r="I471" s="208"/>
      <c r="J471" s="209"/>
      <c r="K471" s="211"/>
      <c r="L471" s="208"/>
      <c r="M471" s="208"/>
      <c r="N471" s="208"/>
      <c r="O471" s="208"/>
      <c r="P471" s="208"/>
      <c r="Q471" s="208"/>
      <c r="R471" s="208"/>
      <c r="S471" s="212"/>
      <c r="T471" s="208"/>
      <c r="U471" s="208"/>
      <c r="V471" s="208"/>
      <c r="W471" s="208"/>
      <c r="X471" s="208"/>
      <c r="Y471" s="208"/>
      <c r="Z471" s="208"/>
    </row>
    <row r="472">
      <c r="A472" s="208"/>
      <c r="B472" s="207"/>
      <c r="C472" s="209"/>
      <c r="D472" s="210"/>
      <c r="E472" s="210"/>
      <c r="F472" s="210"/>
      <c r="G472" s="210"/>
      <c r="H472" s="208"/>
      <c r="I472" s="208"/>
      <c r="J472" s="209"/>
      <c r="K472" s="211"/>
      <c r="L472" s="208"/>
      <c r="M472" s="208"/>
      <c r="N472" s="208"/>
      <c r="O472" s="208"/>
      <c r="P472" s="208"/>
      <c r="Q472" s="208"/>
      <c r="R472" s="208"/>
      <c r="S472" s="212"/>
      <c r="T472" s="208"/>
      <c r="U472" s="208"/>
      <c r="V472" s="208"/>
      <c r="W472" s="208"/>
      <c r="X472" s="208"/>
      <c r="Y472" s="208"/>
      <c r="Z472" s="208"/>
    </row>
    <row r="473">
      <c r="A473" s="208"/>
      <c r="B473" s="207"/>
      <c r="C473" s="209"/>
      <c r="D473" s="210"/>
      <c r="E473" s="210"/>
      <c r="F473" s="210"/>
      <c r="G473" s="210"/>
      <c r="H473" s="208"/>
      <c r="I473" s="208"/>
      <c r="J473" s="209"/>
      <c r="K473" s="211"/>
      <c r="L473" s="208"/>
      <c r="M473" s="208"/>
      <c r="N473" s="208"/>
      <c r="O473" s="208"/>
      <c r="P473" s="208"/>
      <c r="Q473" s="208"/>
      <c r="R473" s="208"/>
      <c r="S473" s="212"/>
      <c r="T473" s="208"/>
      <c r="U473" s="208"/>
      <c r="V473" s="208"/>
      <c r="W473" s="208"/>
      <c r="X473" s="208"/>
      <c r="Y473" s="208"/>
      <c r="Z473" s="208"/>
    </row>
    <row r="474">
      <c r="A474" s="208"/>
      <c r="B474" s="207"/>
      <c r="C474" s="209"/>
      <c r="D474" s="210"/>
      <c r="E474" s="210"/>
      <c r="F474" s="210"/>
      <c r="G474" s="210"/>
      <c r="H474" s="208"/>
      <c r="I474" s="208"/>
      <c r="J474" s="209"/>
      <c r="K474" s="211"/>
      <c r="L474" s="208"/>
      <c r="M474" s="208"/>
      <c r="N474" s="208"/>
      <c r="O474" s="208"/>
      <c r="P474" s="208"/>
      <c r="Q474" s="208"/>
      <c r="R474" s="208"/>
      <c r="S474" s="212"/>
      <c r="T474" s="208"/>
      <c r="U474" s="208"/>
      <c r="V474" s="208"/>
      <c r="W474" s="208"/>
      <c r="X474" s="208"/>
      <c r="Y474" s="208"/>
      <c r="Z474" s="208"/>
    </row>
    <row r="475">
      <c r="A475" s="208"/>
      <c r="B475" s="207"/>
      <c r="C475" s="209"/>
      <c r="D475" s="210"/>
      <c r="E475" s="210"/>
      <c r="F475" s="210"/>
      <c r="G475" s="210"/>
      <c r="H475" s="208"/>
      <c r="I475" s="208"/>
      <c r="J475" s="209"/>
      <c r="K475" s="211"/>
      <c r="L475" s="208"/>
      <c r="M475" s="208"/>
      <c r="N475" s="208"/>
      <c r="O475" s="208"/>
      <c r="P475" s="208"/>
      <c r="Q475" s="208"/>
      <c r="R475" s="208"/>
      <c r="S475" s="212"/>
      <c r="T475" s="208"/>
      <c r="U475" s="208"/>
      <c r="V475" s="208"/>
      <c r="W475" s="208"/>
      <c r="X475" s="208"/>
      <c r="Y475" s="208"/>
      <c r="Z475" s="208"/>
    </row>
    <row r="476">
      <c r="A476" s="208"/>
      <c r="B476" s="207"/>
      <c r="C476" s="209"/>
      <c r="D476" s="210"/>
      <c r="E476" s="210"/>
      <c r="F476" s="210"/>
      <c r="G476" s="210"/>
      <c r="H476" s="208"/>
      <c r="I476" s="208"/>
      <c r="J476" s="209"/>
      <c r="K476" s="211"/>
      <c r="L476" s="208"/>
      <c r="M476" s="208"/>
      <c r="N476" s="208"/>
      <c r="O476" s="208"/>
      <c r="P476" s="208"/>
      <c r="Q476" s="208"/>
      <c r="R476" s="208"/>
      <c r="S476" s="212"/>
      <c r="T476" s="208"/>
      <c r="U476" s="208"/>
      <c r="V476" s="208"/>
      <c r="W476" s="208"/>
      <c r="X476" s="208"/>
      <c r="Y476" s="208"/>
      <c r="Z476" s="208"/>
    </row>
    <row r="477">
      <c r="A477" s="208"/>
      <c r="B477" s="207"/>
      <c r="C477" s="209"/>
      <c r="D477" s="210"/>
      <c r="E477" s="210"/>
      <c r="F477" s="210"/>
      <c r="G477" s="210"/>
      <c r="H477" s="208"/>
      <c r="I477" s="208"/>
      <c r="J477" s="209"/>
      <c r="K477" s="211"/>
      <c r="L477" s="208"/>
      <c r="M477" s="208"/>
      <c r="N477" s="208"/>
      <c r="O477" s="208"/>
      <c r="P477" s="208"/>
      <c r="Q477" s="208"/>
      <c r="R477" s="208"/>
      <c r="S477" s="212"/>
      <c r="T477" s="208"/>
      <c r="U477" s="208"/>
      <c r="V477" s="208"/>
      <c r="W477" s="208"/>
      <c r="X477" s="208"/>
      <c r="Y477" s="208"/>
      <c r="Z477" s="208"/>
    </row>
    <row r="478">
      <c r="A478" s="208"/>
      <c r="B478" s="207"/>
      <c r="C478" s="209"/>
      <c r="D478" s="210"/>
      <c r="E478" s="210"/>
      <c r="F478" s="210"/>
      <c r="G478" s="210"/>
      <c r="H478" s="208"/>
      <c r="I478" s="208"/>
      <c r="J478" s="209"/>
      <c r="K478" s="211"/>
      <c r="L478" s="208"/>
      <c r="M478" s="208"/>
      <c r="N478" s="208"/>
      <c r="O478" s="208"/>
      <c r="P478" s="208"/>
      <c r="Q478" s="208"/>
      <c r="R478" s="208"/>
      <c r="S478" s="212"/>
      <c r="T478" s="208"/>
      <c r="U478" s="208"/>
      <c r="V478" s="208"/>
      <c r="W478" s="208"/>
      <c r="X478" s="208"/>
      <c r="Y478" s="208"/>
      <c r="Z478" s="208"/>
    </row>
    <row r="479">
      <c r="A479" s="208"/>
      <c r="B479" s="207"/>
      <c r="C479" s="209"/>
      <c r="D479" s="210"/>
      <c r="E479" s="210"/>
      <c r="F479" s="210"/>
      <c r="G479" s="210"/>
      <c r="H479" s="208"/>
      <c r="I479" s="208"/>
      <c r="J479" s="209"/>
      <c r="K479" s="211"/>
      <c r="L479" s="208"/>
      <c r="M479" s="208"/>
      <c r="N479" s="208"/>
      <c r="O479" s="208"/>
      <c r="P479" s="208"/>
      <c r="Q479" s="208"/>
      <c r="R479" s="208"/>
      <c r="S479" s="212"/>
      <c r="T479" s="208"/>
      <c r="U479" s="208"/>
      <c r="V479" s="208"/>
      <c r="W479" s="208"/>
      <c r="X479" s="208"/>
      <c r="Y479" s="208"/>
      <c r="Z479" s="208"/>
    </row>
    <row r="480">
      <c r="A480" s="208"/>
      <c r="B480" s="207"/>
      <c r="C480" s="209"/>
      <c r="D480" s="210"/>
      <c r="E480" s="210"/>
      <c r="F480" s="210"/>
      <c r="G480" s="210"/>
      <c r="H480" s="208"/>
      <c r="I480" s="208"/>
      <c r="J480" s="209"/>
      <c r="K480" s="211"/>
      <c r="L480" s="208"/>
      <c r="M480" s="208"/>
      <c r="N480" s="208"/>
      <c r="O480" s="208"/>
      <c r="P480" s="208"/>
      <c r="Q480" s="208"/>
      <c r="R480" s="208"/>
      <c r="S480" s="212"/>
      <c r="T480" s="208"/>
      <c r="U480" s="208"/>
      <c r="V480" s="208"/>
      <c r="W480" s="208"/>
      <c r="X480" s="208"/>
      <c r="Y480" s="208"/>
      <c r="Z480" s="208"/>
    </row>
    <row r="481">
      <c r="A481" s="208"/>
      <c r="B481" s="207"/>
      <c r="C481" s="209"/>
      <c r="D481" s="210"/>
      <c r="E481" s="210"/>
      <c r="F481" s="210"/>
      <c r="G481" s="210"/>
      <c r="H481" s="208"/>
      <c r="I481" s="208"/>
      <c r="J481" s="209"/>
      <c r="K481" s="211"/>
      <c r="L481" s="208"/>
      <c r="M481" s="208"/>
      <c r="N481" s="208"/>
      <c r="O481" s="208"/>
      <c r="P481" s="208"/>
      <c r="Q481" s="208"/>
      <c r="R481" s="208"/>
      <c r="S481" s="212"/>
      <c r="T481" s="208"/>
      <c r="U481" s="208"/>
      <c r="V481" s="208"/>
      <c r="W481" s="208"/>
      <c r="X481" s="208"/>
      <c r="Y481" s="208"/>
      <c r="Z481" s="208"/>
    </row>
    <row r="482">
      <c r="A482" s="208"/>
      <c r="B482" s="207"/>
      <c r="C482" s="209"/>
      <c r="D482" s="210"/>
      <c r="E482" s="210"/>
      <c r="F482" s="210"/>
      <c r="G482" s="210"/>
      <c r="H482" s="208"/>
      <c r="I482" s="208"/>
      <c r="J482" s="209"/>
      <c r="K482" s="211"/>
      <c r="L482" s="208"/>
      <c r="M482" s="208"/>
      <c r="N482" s="208"/>
      <c r="O482" s="208"/>
      <c r="P482" s="208"/>
      <c r="Q482" s="208"/>
      <c r="R482" s="208"/>
      <c r="S482" s="212"/>
      <c r="T482" s="208"/>
      <c r="U482" s="208"/>
      <c r="V482" s="208"/>
      <c r="W482" s="208"/>
      <c r="X482" s="208"/>
      <c r="Y482" s="208"/>
      <c r="Z482" s="208"/>
    </row>
    <row r="483">
      <c r="A483" s="208"/>
      <c r="B483" s="207"/>
      <c r="C483" s="209"/>
      <c r="D483" s="210"/>
      <c r="E483" s="210"/>
      <c r="F483" s="210"/>
      <c r="G483" s="210"/>
      <c r="H483" s="208"/>
      <c r="I483" s="208"/>
      <c r="J483" s="209"/>
      <c r="K483" s="211"/>
      <c r="L483" s="208"/>
      <c r="M483" s="208"/>
      <c r="N483" s="208"/>
      <c r="O483" s="208"/>
      <c r="P483" s="208"/>
      <c r="Q483" s="208"/>
      <c r="R483" s="208"/>
      <c r="S483" s="212"/>
      <c r="T483" s="208"/>
      <c r="U483" s="208"/>
      <c r="V483" s="208"/>
      <c r="W483" s="208"/>
      <c r="X483" s="208"/>
      <c r="Y483" s="208"/>
      <c r="Z483" s="208"/>
    </row>
    <row r="484">
      <c r="A484" s="208"/>
      <c r="B484" s="207"/>
      <c r="C484" s="209"/>
      <c r="D484" s="210"/>
      <c r="E484" s="210"/>
      <c r="F484" s="210"/>
      <c r="G484" s="210"/>
      <c r="H484" s="208"/>
      <c r="I484" s="208"/>
      <c r="J484" s="209"/>
      <c r="K484" s="211"/>
      <c r="L484" s="208"/>
      <c r="M484" s="208"/>
      <c r="N484" s="208"/>
      <c r="O484" s="208"/>
      <c r="P484" s="208"/>
      <c r="Q484" s="208"/>
      <c r="R484" s="208"/>
      <c r="S484" s="212"/>
      <c r="T484" s="208"/>
      <c r="U484" s="208"/>
      <c r="V484" s="208"/>
      <c r="W484" s="208"/>
      <c r="X484" s="208"/>
      <c r="Y484" s="208"/>
      <c r="Z484" s="208"/>
    </row>
    <row r="485">
      <c r="A485" s="208"/>
      <c r="B485" s="207"/>
      <c r="C485" s="209"/>
      <c r="D485" s="210"/>
      <c r="E485" s="210"/>
      <c r="F485" s="210"/>
      <c r="G485" s="210"/>
      <c r="H485" s="208"/>
      <c r="I485" s="208"/>
      <c r="J485" s="209"/>
      <c r="K485" s="211"/>
      <c r="L485" s="208"/>
      <c r="M485" s="208"/>
      <c r="N485" s="208"/>
      <c r="O485" s="208"/>
      <c r="P485" s="208"/>
      <c r="Q485" s="208"/>
      <c r="R485" s="208"/>
      <c r="S485" s="212"/>
      <c r="T485" s="208"/>
      <c r="U485" s="208"/>
      <c r="V485" s="208"/>
      <c r="W485" s="208"/>
      <c r="X485" s="208"/>
      <c r="Y485" s="208"/>
      <c r="Z485" s="208"/>
    </row>
    <row r="486">
      <c r="A486" s="208"/>
      <c r="B486" s="207"/>
      <c r="C486" s="209"/>
      <c r="D486" s="210"/>
      <c r="E486" s="210"/>
      <c r="F486" s="210"/>
      <c r="G486" s="210"/>
      <c r="H486" s="208"/>
      <c r="I486" s="208"/>
      <c r="J486" s="209"/>
      <c r="K486" s="211"/>
      <c r="L486" s="208"/>
      <c r="M486" s="208"/>
      <c r="N486" s="208"/>
      <c r="O486" s="208"/>
      <c r="P486" s="208"/>
      <c r="Q486" s="208"/>
      <c r="R486" s="208"/>
      <c r="S486" s="212"/>
      <c r="T486" s="208"/>
      <c r="U486" s="208"/>
      <c r="V486" s="208"/>
      <c r="W486" s="208"/>
      <c r="X486" s="208"/>
      <c r="Y486" s="208"/>
      <c r="Z486" s="208"/>
    </row>
    <row r="487">
      <c r="A487" s="208"/>
      <c r="B487" s="207"/>
      <c r="C487" s="209"/>
      <c r="D487" s="210"/>
      <c r="E487" s="210"/>
      <c r="F487" s="210"/>
      <c r="G487" s="210"/>
      <c r="H487" s="208"/>
      <c r="I487" s="208"/>
      <c r="J487" s="209"/>
      <c r="K487" s="211"/>
      <c r="L487" s="208"/>
      <c r="M487" s="208"/>
      <c r="N487" s="208"/>
      <c r="O487" s="208"/>
      <c r="P487" s="208"/>
      <c r="Q487" s="208"/>
      <c r="R487" s="208"/>
      <c r="S487" s="212"/>
      <c r="T487" s="208"/>
      <c r="U487" s="208"/>
      <c r="V487" s="208"/>
      <c r="W487" s="208"/>
      <c r="X487" s="208"/>
      <c r="Y487" s="208"/>
      <c r="Z487" s="208"/>
    </row>
    <row r="488">
      <c r="A488" s="208"/>
      <c r="B488" s="207"/>
      <c r="C488" s="209"/>
      <c r="D488" s="210"/>
      <c r="E488" s="210"/>
      <c r="F488" s="210"/>
      <c r="G488" s="210"/>
      <c r="H488" s="208"/>
      <c r="I488" s="208"/>
      <c r="J488" s="209"/>
      <c r="K488" s="211"/>
      <c r="L488" s="208"/>
      <c r="M488" s="208"/>
      <c r="N488" s="208"/>
      <c r="O488" s="208"/>
      <c r="P488" s="208"/>
      <c r="Q488" s="208"/>
      <c r="R488" s="208"/>
      <c r="S488" s="212"/>
      <c r="T488" s="208"/>
      <c r="U488" s="208"/>
      <c r="V488" s="208"/>
      <c r="W488" s="208"/>
      <c r="X488" s="208"/>
      <c r="Y488" s="208"/>
      <c r="Z488" s="208"/>
    </row>
    <row r="489">
      <c r="A489" s="208"/>
      <c r="B489" s="207"/>
      <c r="C489" s="209"/>
      <c r="D489" s="210"/>
      <c r="E489" s="210"/>
      <c r="F489" s="210"/>
      <c r="G489" s="210"/>
      <c r="H489" s="208"/>
      <c r="I489" s="208"/>
      <c r="J489" s="209"/>
      <c r="K489" s="211"/>
      <c r="L489" s="208"/>
      <c r="M489" s="208"/>
      <c r="N489" s="208"/>
      <c r="O489" s="208"/>
      <c r="P489" s="208"/>
      <c r="Q489" s="208"/>
      <c r="R489" s="208"/>
      <c r="S489" s="212"/>
      <c r="T489" s="208"/>
      <c r="U489" s="208"/>
      <c r="V489" s="208"/>
      <c r="W489" s="208"/>
      <c r="X489" s="208"/>
      <c r="Y489" s="208"/>
      <c r="Z489" s="208"/>
    </row>
    <row r="490">
      <c r="A490" s="208"/>
      <c r="B490" s="207"/>
      <c r="C490" s="209"/>
      <c r="D490" s="210"/>
      <c r="E490" s="210"/>
      <c r="F490" s="210"/>
      <c r="G490" s="210"/>
      <c r="H490" s="208"/>
      <c r="I490" s="208"/>
      <c r="J490" s="209"/>
      <c r="K490" s="211"/>
      <c r="L490" s="208"/>
      <c r="M490" s="208"/>
      <c r="N490" s="208"/>
      <c r="O490" s="208"/>
      <c r="P490" s="208"/>
      <c r="Q490" s="208"/>
      <c r="R490" s="208"/>
      <c r="S490" s="212"/>
      <c r="T490" s="208"/>
      <c r="U490" s="208"/>
      <c r="V490" s="208"/>
      <c r="W490" s="208"/>
      <c r="X490" s="208"/>
      <c r="Y490" s="208"/>
      <c r="Z490" s="208"/>
    </row>
    <row r="491">
      <c r="A491" s="208"/>
      <c r="B491" s="207"/>
      <c r="C491" s="209"/>
      <c r="D491" s="210"/>
      <c r="E491" s="210"/>
      <c r="F491" s="210"/>
      <c r="G491" s="210"/>
      <c r="H491" s="208"/>
      <c r="I491" s="208"/>
      <c r="J491" s="209"/>
      <c r="K491" s="211"/>
      <c r="L491" s="208"/>
      <c r="M491" s="208"/>
      <c r="N491" s="208"/>
      <c r="O491" s="208"/>
      <c r="P491" s="208"/>
      <c r="Q491" s="208"/>
      <c r="R491" s="208"/>
      <c r="S491" s="212"/>
      <c r="T491" s="208"/>
      <c r="U491" s="208"/>
      <c r="V491" s="208"/>
      <c r="W491" s="208"/>
      <c r="X491" s="208"/>
      <c r="Y491" s="208"/>
      <c r="Z491" s="208"/>
    </row>
    <row r="492">
      <c r="A492" s="208"/>
      <c r="B492" s="207"/>
      <c r="C492" s="209"/>
      <c r="D492" s="210"/>
      <c r="E492" s="210"/>
      <c r="F492" s="210"/>
      <c r="G492" s="210"/>
      <c r="H492" s="208"/>
      <c r="I492" s="208"/>
      <c r="J492" s="209"/>
      <c r="K492" s="211"/>
      <c r="L492" s="208"/>
      <c r="M492" s="208"/>
      <c r="N492" s="208"/>
      <c r="O492" s="208"/>
      <c r="P492" s="208"/>
      <c r="Q492" s="208"/>
      <c r="R492" s="208"/>
      <c r="S492" s="212"/>
      <c r="T492" s="208"/>
      <c r="U492" s="208"/>
      <c r="V492" s="208"/>
      <c r="W492" s="208"/>
      <c r="X492" s="208"/>
      <c r="Y492" s="208"/>
      <c r="Z492" s="208"/>
    </row>
    <row r="493">
      <c r="A493" s="208"/>
      <c r="B493" s="207"/>
      <c r="C493" s="209"/>
      <c r="D493" s="210"/>
      <c r="E493" s="210"/>
      <c r="F493" s="210"/>
      <c r="G493" s="210"/>
      <c r="H493" s="208"/>
      <c r="I493" s="208"/>
      <c r="J493" s="209"/>
      <c r="K493" s="211"/>
      <c r="L493" s="208"/>
      <c r="M493" s="208"/>
      <c r="N493" s="208"/>
      <c r="O493" s="208"/>
      <c r="P493" s="208"/>
      <c r="Q493" s="208"/>
      <c r="R493" s="208"/>
      <c r="S493" s="212"/>
      <c r="T493" s="208"/>
      <c r="U493" s="208"/>
      <c r="V493" s="208"/>
      <c r="W493" s="208"/>
      <c r="X493" s="208"/>
      <c r="Y493" s="208"/>
      <c r="Z493" s="208"/>
    </row>
    <row r="494">
      <c r="A494" s="208"/>
      <c r="B494" s="207"/>
      <c r="C494" s="209"/>
      <c r="D494" s="210"/>
      <c r="E494" s="210"/>
      <c r="F494" s="210"/>
      <c r="G494" s="210"/>
      <c r="H494" s="208"/>
      <c r="I494" s="208"/>
      <c r="J494" s="209"/>
      <c r="K494" s="211"/>
      <c r="L494" s="208"/>
      <c r="M494" s="208"/>
      <c r="N494" s="208"/>
      <c r="O494" s="208"/>
      <c r="P494" s="208"/>
      <c r="Q494" s="208"/>
      <c r="R494" s="208"/>
      <c r="S494" s="212"/>
      <c r="T494" s="208"/>
      <c r="U494" s="208"/>
      <c r="V494" s="208"/>
      <c r="W494" s="208"/>
      <c r="X494" s="208"/>
      <c r="Y494" s="208"/>
      <c r="Z494" s="208"/>
    </row>
    <row r="495">
      <c r="A495" s="208"/>
      <c r="B495" s="207"/>
      <c r="C495" s="209"/>
      <c r="D495" s="210"/>
      <c r="E495" s="210"/>
      <c r="F495" s="210"/>
      <c r="G495" s="210"/>
      <c r="H495" s="208"/>
      <c r="I495" s="208"/>
      <c r="J495" s="209"/>
      <c r="K495" s="211"/>
      <c r="L495" s="208"/>
      <c r="M495" s="208"/>
      <c r="N495" s="208"/>
      <c r="O495" s="208"/>
      <c r="P495" s="208"/>
      <c r="Q495" s="208"/>
      <c r="R495" s="208"/>
      <c r="S495" s="212"/>
      <c r="T495" s="208"/>
      <c r="U495" s="208"/>
      <c r="V495" s="208"/>
      <c r="W495" s="208"/>
      <c r="X495" s="208"/>
      <c r="Y495" s="208"/>
      <c r="Z495" s="208"/>
    </row>
    <row r="496">
      <c r="A496" s="208"/>
      <c r="B496" s="207"/>
      <c r="C496" s="209"/>
      <c r="D496" s="210"/>
      <c r="E496" s="210"/>
      <c r="F496" s="210"/>
      <c r="G496" s="210"/>
      <c r="H496" s="208"/>
      <c r="I496" s="208"/>
      <c r="J496" s="209"/>
      <c r="K496" s="211"/>
      <c r="L496" s="208"/>
      <c r="M496" s="208"/>
      <c r="N496" s="208"/>
      <c r="O496" s="208"/>
      <c r="P496" s="208"/>
      <c r="Q496" s="208"/>
      <c r="R496" s="208"/>
      <c r="S496" s="212"/>
      <c r="T496" s="208"/>
      <c r="U496" s="208"/>
      <c r="V496" s="208"/>
      <c r="W496" s="208"/>
      <c r="X496" s="208"/>
      <c r="Y496" s="208"/>
      <c r="Z496" s="208"/>
    </row>
    <row r="497">
      <c r="A497" s="208"/>
      <c r="B497" s="207"/>
      <c r="C497" s="209"/>
      <c r="D497" s="210"/>
      <c r="E497" s="210"/>
      <c r="F497" s="210"/>
      <c r="G497" s="210"/>
      <c r="H497" s="208"/>
      <c r="I497" s="208"/>
      <c r="J497" s="209"/>
      <c r="K497" s="211"/>
      <c r="L497" s="208"/>
      <c r="M497" s="208"/>
      <c r="N497" s="208"/>
      <c r="O497" s="208"/>
      <c r="P497" s="208"/>
      <c r="Q497" s="208"/>
      <c r="R497" s="208"/>
      <c r="S497" s="212"/>
      <c r="T497" s="208"/>
      <c r="U497" s="208"/>
      <c r="V497" s="208"/>
      <c r="W497" s="208"/>
      <c r="X497" s="208"/>
      <c r="Y497" s="208"/>
      <c r="Z497" s="208"/>
    </row>
    <row r="498">
      <c r="A498" s="208"/>
      <c r="B498" s="207"/>
      <c r="C498" s="209"/>
      <c r="D498" s="210"/>
      <c r="E498" s="210"/>
      <c r="F498" s="210"/>
      <c r="G498" s="210"/>
      <c r="H498" s="208"/>
      <c r="I498" s="208"/>
      <c r="J498" s="209"/>
      <c r="K498" s="211"/>
      <c r="L498" s="208"/>
      <c r="M498" s="208"/>
      <c r="N498" s="208"/>
      <c r="O498" s="208"/>
      <c r="P498" s="208"/>
      <c r="Q498" s="208"/>
      <c r="R498" s="208"/>
      <c r="S498" s="212"/>
      <c r="T498" s="208"/>
      <c r="U498" s="208"/>
      <c r="V498" s="208"/>
      <c r="W498" s="208"/>
      <c r="X498" s="208"/>
      <c r="Y498" s="208"/>
      <c r="Z498" s="208"/>
    </row>
    <row r="499">
      <c r="A499" s="208"/>
      <c r="B499" s="207"/>
      <c r="C499" s="209"/>
      <c r="D499" s="210"/>
      <c r="E499" s="210"/>
      <c r="F499" s="210"/>
      <c r="G499" s="210"/>
      <c r="H499" s="208"/>
      <c r="I499" s="208"/>
      <c r="J499" s="209"/>
      <c r="K499" s="211"/>
      <c r="L499" s="208"/>
      <c r="M499" s="208"/>
      <c r="N499" s="208"/>
      <c r="O499" s="208"/>
      <c r="P499" s="208"/>
      <c r="Q499" s="208"/>
      <c r="R499" s="208"/>
      <c r="S499" s="212"/>
      <c r="T499" s="208"/>
      <c r="U499" s="208"/>
      <c r="V499" s="208"/>
      <c r="W499" s="208"/>
      <c r="X499" s="208"/>
      <c r="Y499" s="208"/>
      <c r="Z499" s="208"/>
    </row>
    <row r="500">
      <c r="A500" s="208"/>
      <c r="B500" s="207"/>
      <c r="C500" s="209"/>
      <c r="D500" s="210"/>
      <c r="E500" s="210"/>
      <c r="F500" s="210"/>
      <c r="G500" s="210"/>
      <c r="H500" s="208"/>
      <c r="I500" s="208"/>
      <c r="J500" s="209"/>
      <c r="K500" s="211"/>
      <c r="L500" s="208"/>
      <c r="M500" s="208"/>
      <c r="N500" s="208"/>
      <c r="O500" s="208"/>
      <c r="P500" s="208"/>
      <c r="Q500" s="208"/>
      <c r="R500" s="208"/>
      <c r="S500" s="212"/>
      <c r="T500" s="208"/>
      <c r="U500" s="208"/>
      <c r="V500" s="208"/>
      <c r="W500" s="208"/>
      <c r="X500" s="208"/>
      <c r="Y500" s="208"/>
      <c r="Z500" s="208"/>
    </row>
    <row r="501">
      <c r="A501" s="208"/>
      <c r="B501" s="207"/>
      <c r="C501" s="209"/>
      <c r="D501" s="210"/>
      <c r="E501" s="210"/>
      <c r="F501" s="210"/>
      <c r="G501" s="210"/>
      <c r="H501" s="208"/>
      <c r="I501" s="208"/>
      <c r="J501" s="209"/>
      <c r="K501" s="211"/>
      <c r="L501" s="208"/>
      <c r="M501" s="208"/>
      <c r="N501" s="208"/>
      <c r="O501" s="208"/>
      <c r="P501" s="208"/>
      <c r="Q501" s="208"/>
      <c r="R501" s="208"/>
      <c r="S501" s="212"/>
      <c r="T501" s="208"/>
      <c r="U501" s="208"/>
      <c r="V501" s="208"/>
      <c r="W501" s="208"/>
      <c r="X501" s="208"/>
      <c r="Y501" s="208"/>
      <c r="Z501" s="208"/>
    </row>
    <row r="502">
      <c r="A502" s="208"/>
      <c r="B502" s="207"/>
      <c r="C502" s="209"/>
      <c r="D502" s="210"/>
      <c r="E502" s="210"/>
      <c r="F502" s="210"/>
      <c r="G502" s="210"/>
      <c r="H502" s="208"/>
      <c r="I502" s="208"/>
      <c r="J502" s="209"/>
      <c r="K502" s="211"/>
      <c r="L502" s="208"/>
      <c r="M502" s="208"/>
      <c r="N502" s="208"/>
      <c r="O502" s="208"/>
      <c r="P502" s="208"/>
      <c r="Q502" s="208"/>
      <c r="R502" s="208"/>
      <c r="S502" s="212"/>
      <c r="T502" s="208"/>
      <c r="U502" s="208"/>
      <c r="V502" s="208"/>
      <c r="W502" s="208"/>
      <c r="X502" s="208"/>
      <c r="Y502" s="208"/>
      <c r="Z502" s="208"/>
    </row>
    <row r="503">
      <c r="A503" s="208"/>
      <c r="B503" s="207"/>
      <c r="C503" s="209"/>
      <c r="D503" s="210"/>
      <c r="E503" s="210"/>
      <c r="F503" s="210"/>
      <c r="G503" s="210"/>
      <c r="H503" s="208"/>
      <c r="I503" s="208"/>
      <c r="J503" s="209"/>
      <c r="K503" s="211"/>
      <c r="L503" s="208"/>
      <c r="M503" s="208"/>
      <c r="N503" s="208"/>
      <c r="O503" s="208"/>
      <c r="P503" s="208"/>
      <c r="Q503" s="208"/>
      <c r="R503" s="208"/>
      <c r="S503" s="212"/>
      <c r="T503" s="208"/>
      <c r="U503" s="208"/>
      <c r="V503" s="208"/>
      <c r="W503" s="208"/>
      <c r="X503" s="208"/>
      <c r="Y503" s="208"/>
      <c r="Z503" s="208"/>
    </row>
    <row r="504">
      <c r="A504" s="208"/>
      <c r="B504" s="207"/>
      <c r="C504" s="209"/>
      <c r="D504" s="210"/>
      <c r="E504" s="210"/>
      <c r="F504" s="210"/>
      <c r="G504" s="210"/>
      <c r="H504" s="208"/>
      <c r="I504" s="208"/>
      <c r="J504" s="209"/>
      <c r="K504" s="211"/>
      <c r="L504" s="208"/>
      <c r="M504" s="208"/>
      <c r="N504" s="208"/>
      <c r="O504" s="208"/>
      <c r="P504" s="208"/>
      <c r="Q504" s="208"/>
      <c r="R504" s="208"/>
      <c r="S504" s="212"/>
      <c r="T504" s="208"/>
      <c r="U504" s="208"/>
      <c r="V504" s="208"/>
      <c r="W504" s="208"/>
      <c r="X504" s="208"/>
      <c r="Y504" s="208"/>
      <c r="Z504" s="208"/>
    </row>
    <row r="505">
      <c r="A505" s="208"/>
      <c r="B505" s="207"/>
      <c r="C505" s="209"/>
      <c r="D505" s="210"/>
      <c r="E505" s="210"/>
      <c r="F505" s="210"/>
      <c r="G505" s="210"/>
      <c r="H505" s="208"/>
      <c r="I505" s="208"/>
      <c r="J505" s="209"/>
      <c r="K505" s="211"/>
      <c r="L505" s="208"/>
      <c r="M505" s="208"/>
      <c r="N505" s="208"/>
      <c r="O505" s="208"/>
      <c r="P505" s="208"/>
      <c r="Q505" s="208"/>
      <c r="R505" s="208"/>
      <c r="S505" s="212"/>
      <c r="T505" s="208"/>
      <c r="U505" s="208"/>
      <c r="V505" s="208"/>
      <c r="W505" s="208"/>
      <c r="X505" s="208"/>
      <c r="Y505" s="208"/>
      <c r="Z505" s="208"/>
    </row>
    <row r="506">
      <c r="A506" s="208"/>
      <c r="B506" s="207"/>
      <c r="C506" s="209"/>
      <c r="D506" s="210"/>
      <c r="E506" s="210"/>
      <c r="F506" s="210"/>
      <c r="G506" s="210"/>
      <c r="H506" s="208"/>
      <c r="I506" s="208"/>
      <c r="J506" s="209"/>
      <c r="K506" s="211"/>
      <c r="L506" s="208"/>
      <c r="M506" s="208"/>
      <c r="N506" s="208"/>
      <c r="O506" s="208"/>
      <c r="P506" s="208"/>
      <c r="Q506" s="208"/>
      <c r="R506" s="208"/>
      <c r="S506" s="212"/>
      <c r="T506" s="208"/>
      <c r="U506" s="208"/>
      <c r="V506" s="208"/>
      <c r="W506" s="208"/>
      <c r="X506" s="208"/>
      <c r="Y506" s="208"/>
      <c r="Z506" s="208"/>
    </row>
    <row r="507">
      <c r="A507" s="208"/>
      <c r="B507" s="207"/>
      <c r="C507" s="209"/>
      <c r="D507" s="210"/>
      <c r="E507" s="210"/>
      <c r="F507" s="210"/>
      <c r="G507" s="210"/>
      <c r="H507" s="208"/>
      <c r="I507" s="208"/>
      <c r="J507" s="209"/>
      <c r="K507" s="211"/>
      <c r="L507" s="208"/>
      <c r="M507" s="208"/>
      <c r="N507" s="208"/>
      <c r="O507" s="208"/>
      <c r="P507" s="208"/>
      <c r="Q507" s="208"/>
      <c r="R507" s="208"/>
      <c r="S507" s="212"/>
      <c r="T507" s="208"/>
      <c r="U507" s="208"/>
      <c r="V507" s="208"/>
      <c r="W507" s="208"/>
      <c r="X507" s="208"/>
      <c r="Y507" s="208"/>
      <c r="Z507" s="208"/>
    </row>
    <row r="508">
      <c r="A508" s="208"/>
      <c r="B508" s="207"/>
      <c r="C508" s="209"/>
      <c r="D508" s="210"/>
      <c r="E508" s="210"/>
      <c r="F508" s="210"/>
      <c r="G508" s="210"/>
      <c r="H508" s="208"/>
      <c r="I508" s="208"/>
      <c r="J508" s="209"/>
      <c r="K508" s="211"/>
      <c r="L508" s="208"/>
      <c r="M508" s="208"/>
      <c r="N508" s="208"/>
      <c r="O508" s="208"/>
      <c r="P508" s="208"/>
      <c r="Q508" s="208"/>
      <c r="R508" s="208"/>
      <c r="S508" s="212"/>
      <c r="T508" s="208"/>
      <c r="U508" s="208"/>
      <c r="V508" s="208"/>
      <c r="W508" s="208"/>
      <c r="X508" s="208"/>
      <c r="Y508" s="208"/>
      <c r="Z508" s="208"/>
    </row>
    <row r="509">
      <c r="A509" s="208"/>
      <c r="B509" s="207"/>
      <c r="C509" s="209"/>
      <c r="D509" s="210"/>
      <c r="E509" s="210"/>
      <c r="F509" s="210"/>
      <c r="G509" s="210"/>
      <c r="H509" s="208"/>
      <c r="I509" s="208"/>
      <c r="J509" s="209"/>
      <c r="K509" s="211"/>
      <c r="L509" s="208"/>
      <c r="M509" s="208"/>
      <c r="N509" s="208"/>
      <c r="O509" s="208"/>
      <c r="P509" s="208"/>
      <c r="Q509" s="208"/>
      <c r="R509" s="208"/>
      <c r="S509" s="212"/>
      <c r="T509" s="208"/>
      <c r="U509" s="208"/>
      <c r="V509" s="208"/>
      <c r="W509" s="208"/>
      <c r="X509" s="208"/>
      <c r="Y509" s="208"/>
      <c r="Z509" s="208"/>
    </row>
    <row r="510">
      <c r="A510" s="208"/>
      <c r="B510" s="207"/>
      <c r="C510" s="209"/>
      <c r="D510" s="210"/>
      <c r="E510" s="210"/>
      <c r="F510" s="210"/>
      <c r="G510" s="210"/>
      <c r="H510" s="208"/>
      <c r="I510" s="208"/>
      <c r="J510" s="209"/>
      <c r="K510" s="211"/>
      <c r="L510" s="208"/>
      <c r="M510" s="208"/>
      <c r="N510" s="208"/>
      <c r="O510" s="208"/>
      <c r="P510" s="208"/>
      <c r="Q510" s="208"/>
      <c r="R510" s="208"/>
      <c r="S510" s="212"/>
      <c r="T510" s="208"/>
      <c r="U510" s="208"/>
      <c r="V510" s="208"/>
      <c r="W510" s="208"/>
      <c r="X510" s="208"/>
      <c r="Y510" s="208"/>
      <c r="Z510" s="208"/>
    </row>
    <row r="511">
      <c r="A511" s="208"/>
      <c r="B511" s="207"/>
      <c r="C511" s="209"/>
      <c r="D511" s="210"/>
      <c r="E511" s="210"/>
      <c r="F511" s="210"/>
      <c r="G511" s="210"/>
      <c r="H511" s="208"/>
      <c r="I511" s="208"/>
      <c r="J511" s="209"/>
      <c r="K511" s="211"/>
      <c r="L511" s="208"/>
      <c r="M511" s="208"/>
      <c r="N511" s="208"/>
      <c r="O511" s="208"/>
      <c r="P511" s="208"/>
      <c r="Q511" s="208"/>
      <c r="R511" s="208"/>
      <c r="S511" s="212"/>
      <c r="T511" s="208"/>
      <c r="U511" s="208"/>
      <c r="V511" s="208"/>
      <c r="W511" s="208"/>
      <c r="X511" s="208"/>
      <c r="Y511" s="208"/>
      <c r="Z511" s="208"/>
    </row>
    <row r="512">
      <c r="A512" s="208"/>
      <c r="B512" s="207"/>
      <c r="C512" s="209"/>
      <c r="D512" s="210"/>
      <c r="E512" s="210"/>
      <c r="F512" s="210"/>
      <c r="G512" s="210"/>
      <c r="H512" s="208"/>
      <c r="I512" s="208"/>
      <c r="J512" s="209"/>
      <c r="K512" s="211"/>
      <c r="L512" s="208"/>
      <c r="M512" s="208"/>
      <c r="N512" s="208"/>
      <c r="O512" s="208"/>
      <c r="P512" s="208"/>
      <c r="Q512" s="208"/>
      <c r="R512" s="208"/>
      <c r="S512" s="212"/>
      <c r="T512" s="208"/>
      <c r="U512" s="208"/>
      <c r="V512" s="208"/>
      <c r="W512" s="208"/>
      <c r="X512" s="208"/>
      <c r="Y512" s="208"/>
      <c r="Z512" s="208"/>
    </row>
    <row r="513">
      <c r="A513" s="208"/>
      <c r="B513" s="207"/>
      <c r="C513" s="209"/>
      <c r="D513" s="210"/>
      <c r="E513" s="210"/>
      <c r="F513" s="210"/>
      <c r="G513" s="210"/>
      <c r="H513" s="208"/>
      <c r="I513" s="208"/>
      <c r="J513" s="209"/>
      <c r="K513" s="211"/>
      <c r="L513" s="208"/>
      <c r="M513" s="208"/>
      <c r="N513" s="208"/>
      <c r="O513" s="208"/>
      <c r="P513" s="208"/>
      <c r="Q513" s="208"/>
      <c r="R513" s="208"/>
      <c r="S513" s="212"/>
      <c r="T513" s="208"/>
      <c r="U513" s="208"/>
      <c r="V513" s="208"/>
      <c r="W513" s="208"/>
      <c r="X513" s="208"/>
      <c r="Y513" s="208"/>
      <c r="Z513" s="208"/>
    </row>
    <row r="514">
      <c r="A514" s="208"/>
      <c r="B514" s="207"/>
      <c r="C514" s="209"/>
      <c r="D514" s="210"/>
      <c r="E514" s="210"/>
      <c r="F514" s="210"/>
      <c r="G514" s="210"/>
      <c r="H514" s="208"/>
      <c r="I514" s="208"/>
      <c r="J514" s="209"/>
      <c r="K514" s="211"/>
      <c r="L514" s="208"/>
      <c r="M514" s="208"/>
      <c r="N514" s="208"/>
      <c r="O514" s="208"/>
      <c r="P514" s="208"/>
      <c r="Q514" s="208"/>
      <c r="R514" s="208"/>
      <c r="S514" s="212"/>
      <c r="T514" s="208"/>
      <c r="U514" s="208"/>
      <c r="V514" s="208"/>
      <c r="W514" s="208"/>
      <c r="X514" s="208"/>
      <c r="Y514" s="208"/>
      <c r="Z514" s="208"/>
    </row>
    <row r="515">
      <c r="A515" s="208"/>
      <c r="B515" s="207"/>
      <c r="C515" s="209"/>
      <c r="D515" s="210"/>
      <c r="E515" s="210"/>
      <c r="F515" s="210"/>
      <c r="G515" s="210"/>
      <c r="H515" s="208"/>
      <c r="I515" s="208"/>
      <c r="J515" s="209"/>
      <c r="K515" s="211"/>
      <c r="L515" s="208"/>
      <c r="M515" s="208"/>
      <c r="N515" s="208"/>
      <c r="O515" s="208"/>
      <c r="P515" s="208"/>
      <c r="Q515" s="208"/>
      <c r="R515" s="208"/>
      <c r="S515" s="212"/>
      <c r="T515" s="208"/>
      <c r="U515" s="208"/>
      <c r="V515" s="208"/>
      <c r="W515" s="208"/>
      <c r="X515" s="208"/>
      <c r="Y515" s="208"/>
      <c r="Z515" s="208"/>
    </row>
    <row r="516">
      <c r="A516" s="208"/>
      <c r="B516" s="207"/>
      <c r="C516" s="209"/>
      <c r="D516" s="210"/>
      <c r="E516" s="210"/>
      <c r="F516" s="210"/>
      <c r="G516" s="210"/>
      <c r="H516" s="208"/>
      <c r="I516" s="208"/>
      <c r="J516" s="209"/>
      <c r="K516" s="211"/>
      <c r="L516" s="208"/>
      <c r="M516" s="208"/>
      <c r="N516" s="208"/>
      <c r="O516" s="208"/>
      <c r="P516" s="208"/>
      <c r="Q516" s="208"/>
      <c r="R516" s="208"/>
      <c r="S516" s="212"/>
      <c r="T516" s="208"/>
      <c r="U516" s="208"/>
      <c r="V516" s="208"/>
      <c r="W516" s="208"/>
      <c r="X516" s="208"/>
      <c r="Y516" s="208"/>
      <c r="Z516" s="208"/>
    </row>
    <row r="517">
      <c r="A517" s="208"/>
      <c r="B517" s="207"/>
      <c r="C517" s="209"/>
      <c r="D517" s="210"/>
      <c r="E517" s="210"/>
      <c r="F517" s="210"/>
      <c r="G517" s="210"/>
      <c r="H517" s="208"/>
      <c r="I517" s="208"/>
      <c r="J517" s="209"/>
      <c r="K517" s="211"/>
      <c r="L517" s="208"/>
      <c r="M517" s="208"/>
      <c r="N517" s="208"/>
      <c r="O517" s="208"/>
      <c r="P517" s="208"/>
      <c r="Q517" s="208"/>
      <c r="R517" s="208"/>
      <c r="S517" s="212"/>
      <c r="T517" s="208"/>
      <c r="U517" s="208"/>
      <c r="V517" s="208"/>
      <c r="W517" s="208"/>
      <c r="X517" s="208"/>
      <c r="Y517" s="208"/>
      <c r="Z517" s="208"/>
    </row>
    <row r="518">
      <c r="A518" s="208"/>
      <c r="B518" s="207"/>
      <c r="C518" s="209"/>
      <c r="D518" s="210"/>
      <c r="E518" s="210"/>
      <c r="F518" s="210"/>
      <c r="G518" s="210"/>
      <c r="H518" s="208"/>
      <c r="I518" s="208"/>
      <c r="J518" s="209"/>
      <c r="K518" s="211"/>
      <c r="L518" s="208"/>
      <c r="M518" s="208"/>
      <c r="N518" s="208"/>
      <c r="O518" s="208"/>
      <c r="P518" s="208"/>
      <c r="Q518" s="208"/>
      <c r="R518" s="208"/>
      <c r="S518" s="212"/>
      <c r="T518" s="208"/>
      <c r="U518" s="208"/>
      <c r="V518" s="208"/>
      <c r="W518" s="208"/>
      <c r="X518" s="208"/>
      <c r="Y518" s="208"/>
      <c r="Z518" s="208"/>
    </row>
    <row r="519">
      <c r="A519" s="208"/>
      <c r="B519" s="207"/>
      <c r="C519" s="209"/>
      <c r="D519" s="210"/>
      <c r="E519" s="210"/>
      <c r="F519" s="210"/>
      <c r="G519" s="210"/>
      <c r="H519" s="208"/>
      <c r="I519" s="208"/>
      <c r="J519" s="209"/>
      <c r="K519" s="211"/>
      <c r="L519" s="208"/>
      <c r="M519" s="208"/>
      <c r="N519" s="208"/>
      <c r="O519" s="208"/>
      <c r="P519" s="208"/>
      <c r="Q519" s="208"/>
      <c r="R519" s="208"/>
      <c r="S519" s="212"/>
      <c r="T519" s="208"/>
      <c r="U519" s="208"/>
      <c r="V519" s="208"/>
      <c r="W519" s="208"/>
      <c r="X519" s="208"/>
      <c r="Y519" s="208"/>
      <c r="Z519" s="208"/>
    </row>
    <row r="520">
      <c r="A520" s="208"/>
      <c r="B520" s="207"/>
      <c r="C520" s="209"/>
      <c r="D520" s="210"/>
      <c r="E520" s="210"/>
      <c r="F520" s="210"/>
      <c r="G520" s="210"/>
      <c r="H520" s="208"/>
      <c r="I520" s="208"/>
      <c r="J520" s="209"/>
      <c r="K520" s="211"/>
      <c r="L520" s="208"/>
      <c r="M520" s="208"/>
      <c r="N520" s="208"/>
      <c r="O520" s="208"/>
      <c r="P520" s="208"/>
      <c r="Q520" s="208"/>
      <c r="R520" s="208"/>
      <c r="S520" s="212"/>
      <c r="T520" s="208"/>
      <c r="U520" s="208"/>
      <c r="V520" s="208"/>
      <c r="W520" s="208"/>
      <c r="X520" s="208"/>
      <c r="Y520" s="208"/>
      <c r="Z520" s="208"/>
    </row>
    <row r="521">
      <c r="A521" s="208"/>
      <c r="B521" s="207"/>
      <c r="C521" s="209"/>
      <c r="D521" s="210"/>
      <c r="E521" s="210"/>
      <c r="F521" s="210"/>
      <c r="G521" s="210"/>
      <c r="H521" s="208"/>
      <c r="I521" s="208"/>
      <c r="J521" s="209"/>
      <c r="K521" s="211"/>
      <c r="L521" s="208"/>
      <c r="M521" s="208"/>
      <c r="N521" s="208"/>
      <c r="O521" s="208"/>
      <c r="P521" s="208"/>
      <c r="Q521" s="208"/>
      <c r="R521" s="208"/>
      <c r="S521" s="212"/>
      <c r="T521" s="208"/>
      <c r="U521" s="208"/>
      <c r="V521" s="208"/>
      <c r="W521" s="208"/>
      <c r="X521" s="208"/>
      <c r="Y521" s="208"/>
      <c r="Z521" s="208"/>
    </row>
    <row r="522">
      <c r="A522" s="208"/>
      <c r="B522" s="207"/>
      <c r="C522" s="209"/>
      <c r="D522" s="210"/>
      <c r="E522" s="210"/>
      <c r="F522" s="210"/>
      <c r="G522" s="210"/>
      <c r="H522" s="208"/>
      <c r="I522" s="208"/>
      <c r="J522" s="209"/>
      <c r="K522" s="211"/>
      <c r="L522" s="208"/>
      <c r="M522" s="208"/>
      <c r="N522" s="208"/>
      <c r="O522" s="208"/>
      <c r="P522" s="208"/>
      <c r="Q522" s="208"/>
      <c r="R522" s="208"/>
      <c r="S522" s="212"/>
      <c r="T522" s="208"/>
      <c r="U522" s="208"/>
      <c r="V522" s="208"/>
      <c r="W522" s="208"/>
      <c r="X522" s="208"/>
      <c r="Y522" s="208"/>
      <c r="Z522" s="208"/>
    </row>
    <row r="523">
      <c r="A523" s="208"/>
      <c r="B523" s="207"/>
      <c r="C523" s="209"/>
      <c r="D523" s="210"/>
      <c r="E523" s="210"/>
      <c r="F523" s="210"/>
      <c r="G523" s="210"/>
      <c r="H523" s="208"/>
      <c r="I523" s="208"/>
      <c r="J523" s="209"/>
      <c r="K523" s="211"/>
      <c r="L523" s="208"/>
      <c r="M523" s="208"/>
      <c r="N523" s="208"/>
      <c r="O523" s="208"/>
      <c r="P523" s="208"/>
      <c r="Q523" s="208"/>
      <c r="R523" s="208"/>
      <c r="S523" s="212"/>
      <c r="T523" s="208"/>
      <c r="U523" s="208"/>
      <c r="V523" s="208"/>
      <c r="W523" s="208"/>
      <c r="X523" s="208"/>
      <c r="Y523" s="208"/>
      <c r="Z523" s="208"/>
    </row>
    <row r="524">
      <c r="A524" s="208"/>
      <c r="B524" s="207"/>
      <c r="C524" s="209"/>
      <c r="D524" s="210"/>
      <c r="E524" s="210"/>
      <c r="F524" s="210"/>
      <c r="G524" s="210"/>
      <c r="H524" s="208"/>
      <c r="I524" s="208"/>
      <c r="J524" s="209"/>
      <c r="K524" s="211"/>
      <c r="L524" s="208"/>
      <c r="M524" s="208"/>
      <c r="N524" s="208"/>
      <c r="O524" s="208"/>
      <c r="P524" s="208"/>
      <c r="Q524" s="208"/>
      <c r="R524" s="208"/>
      <c r="S524" s="212"/>
      <c r="T524" s="208"/>
      <c r="U524" s="208"/>
      <c r="V524" s="208"/>
      <c r="W524" s="208"/>
      <c r="X524" s="208"/>
      <c r="Y524" s="208"/>
      <c r="Z524" s="208"/>
    </row>
    <row r="525">
      <c r="A525" s="208"/>
      <c r="B525" s="207"/>
      <c r="C525" s="209"/>
      <c r="D525" s="210"/>
      <c r="E525" s="210"/>
      <c r="F525" s="210"/>
      <c r="G525" s="210"/>
      <c r="H525" s="208"/>
      <c r="I525" s="208"/>
      <c r="J525" s="209"/>
      <c r="K525" s="211"/>
      <c r="L525" s="208"/>
      <c r="M525" s="208"/>
      <c r="N525" s="208"/>
      <c r="O525" s="208"/>
      <c r="P525" s="208"/>
      <c r="Q525" s="208"/>
      <c r="R525" s="208"/>
      <c r="S525" s="212"/>
      <c r="T525" s="208"/>
      <c r="U525" s="208"/>
      <c r="V525" s="208"/>
      <c r="W525" s="208"/>
      <c r="X525" s="208"/>
      <c r="Y525" s="208"/>
      <c r="Z525" s="208"/>
    </row>
    <row r="526">
      <c r="A526" s="208"/>
      <c r="B526" s="207"/>
      <c r="C526" s="209"/>
      <c r="D526" s="210"/>
      <c r="E526" s="210"/>
      <c r="F526" s="210"/>
      <c r="G526" s="210"/>
      <c r="H526" s="208"/>
      <c r="I526" s="208"/>
      <c r="J526" s="209"/>
      <c r="K526" s="211"/>
      <c r="L526" s="208"/>
      <c r="M526" s="208"/>
      <c r="N526" s="208"/>
      <c r="O526" s="208"/>
      <c r="P526" s="208"/>
      <c r="Q526" s="208"/>
      <c r="R526" s="208"/>
      <c r="S526" s="212"/>
      <c r="T526" s="208"/>
      <c r="U526" s="208"/>
      <c r="V526" s="208"/>
      <c r="W526" s="208"/>
      <c r="X526" s="208"/>
      <c r="Y526" s="208"/>
      <c r="Z526" s="208"/>
    </row>
    <row r="527">
      <c r="A527" s="208"/>
      <c r="B527" s="207"/>
      <c r="C527" s="209"/>
      <c r="D527" s="210"/>
      <c r="E527" s="210"/>
      <c r="F527" s="210"/>
      <c r="G527" s="210"/>
      <c r="H527" s="208"/>
      <c r="I527" s="208"/>
      <c r="J527" s="209"/>
      <c r="K527" s="211"/>
      <c r="L527" s="208"/>
      <c r="M527" s="208"/>
      <c r="N527" s="208"/>
      <c r="O527" s="208"/>
      <c r="P527" s="208"/>
      <c r="Q527" s="208"/>
      <c r="R527" s="208"/>
      <c r="S527" s="212"/>
      <c r="T527" s="208"/>
      <c r="U527" s="208"/>
      <c r="V527" s="208"/>
      <c r="W527" s="208"/>
      <c r="X527" s="208"/>
      <c r="Y527" s="208"/>
      <c r="Z527" s="208"/>
    </row>
    <row r="528">
      <c r="A528" s="208"/>
      <c r="B528" s="207"/>
      <c r="C528" s="209"/>
      <c r="D528" s="210"/>
      <c r="E528" s="210"/>
      <c r="F528" s="210"/>
      <c r="G528" s="210"/>
      <c r="H528" s="208"/>
      <c r="I528" s="208"/>
      <c r="J528" s="209"/>
      <c r="K528" s="211"/>
      <c r="L528" s="208"/>
      <c r="M528" s="208"/>
      <c r="N528" s="208"/>
      <c r="O528" s="208"/>
      <c r="P528" s="208"/>
      <c r="Q528" s="208"/>
      <c r="R528" s="208"/>
      <c r="S528" s="212"/>
      <c r="T528" s="208"/>
      <c r="U528" s="208"/>
      <c r="V528" s="208"/>
      <c r="W528" s="208"/>
      <c r="X528" s="208"/>
      <c r="Y528" s="208"/>
      <c r="Z528" s="208"/>
    </row>
    <row r="529">
      <c r="A529" s="208"/>
      <c r="B529" s="207"/>
      <c r="C529" s="209"/>
      <c r="D529" s="210"/>
      <c r="E529" s="210"/>
      <c r="F529" s="210"/>
      <c r="G529" s="210"/>
      <c r="H529" s="208"/>
      <c r="I529" s="208"/>
      <c r="J529" s="209"/>
      <c r="K529" s="211"/>
      <c r="L529" s="208"/>
      <c r="M529" s="208"/>
      <c r="N529" s="208"/>
      <c r="O529" s="208"/>
      <c r="P529" s="208"/>
      <c r="Q529" s="208"/>
      <c r="R529" s="208"/>
      <c r="S529" s="212"/>
      <c r="T529" s="208"/>
      <c r="U529" s="208"/>
      <c r="V529" s="208"/>
      <c r="W529" s="208"/>
      <c r="X529" s="208"/>
      <c r="Y529" s="208"/>
      <c r="Z529" s="208"/>
    </row>
    <row r="530">
      <c r="A530" s="208"/>
      <c r="B530" s="207"/>
      <c r="C530" s="209"/>
      <c r="D530" s="210"/>
      <c r="E530" s="210"/>
      <c r="F530" s="210"/>
      <c r="G530" s="210"/>
      <c r="H530" s="208"/>
      <c r="I530" s="208"/>
      <c r="J530" s="209"/>
      <c r="K530" s="211"/>
      <c r="L530" s="208"/>
      <c r="M530" s="208"/>
      <c r="N530" s="208"/>
      <c r="O530" s="208"/>
      <c r="P530" s="208"/>
      <c r="Q530" s="208"/>
      <c r="R530" s="208"/>
      <c r="S530" s="212"/>
      <c r="T530" s="208"/>
      <c r="U530" s="208"/>
      <c r="V530" s="208"/>
      <c r="W530" s="208"/>
      <c r="X530" s="208"/>
      <c r="Y530" s="208"/>
      <c r="Z530" s="208"/>
    </row>
    <row r="531">
      <c r="A531" s="208"/>
      <c r="B531" s="207"/>
      <c r="C531" s="209"/>
      <c r="D531" s="210"/>
      <c r="E531" s="210"/>
      <c r="F531" s="210"/>
      <c r="G531" s="210"/>
      <c r="H531" s="208"/>
      <c r="I531" s="208"/>
      <c r="J531" s="209"/>
      <c r="K531" s="211"/>
      <c r="L531" s="208"/>
      <c r="M531" s="208"/>
      <c r="N531" s="208"/>
      <c r="O531" s="208"/>
      <c r="P531" s="208"/>
      <c r="Q531" s="208"/>
      <c r="R531" s="208"/>
      <c r="S531" s="212"/>
      <c r="T531" s="208"/>
      <c r="U531" s="208"/>
      <c r="V531" s="208"/>
      <c r="W531" s="208"/>
      <c r="X531" s="208"/>
      <c r="Y531" s="208"/>
      <c r="Z531" s="208"/>
    </row>
    <row r="532">
      <c r="A532" s="208"/>
      <c r="B532" s="207"/>
      <c r="C532" s="209"/>
      <c r="D532" s="210"/>
      <c r="E532" s="210"/>
      <c r="F532" s="210"/>
      <c r="G532" s="210"/>
      <c r="H532" s="208"/>
      <c r="I532" s="208"/>
      <c r="J532" s="209"/>
      <c r="K532" s="211"/>
      <c r="L532" s="208"/>
      <c r="M532" s="208"/>
      <c r="N532" s="208"/>
      <c r="O532" s="208"/>
      <c r="P532" s="208"/>
      <c r="Q532" s="208"/>
      <c r="R532" s="208"/>
      <c r="S532" s="212"/>
      <c r="T532" s="208"/>
      <c r="U532" s="208"/>
      <c r="V532" s="208"/>
      <c r="W532" s="208"/>
      <c r="X532" s="208"/>
      <c r="Y532" s="208"/>
      <c r="Z532" s="208"/>
    </row>
    <row r="533">
      <c r="A533" s="208"/>
      <c r="B533" s="207"/>
      <c r="C533" s="209"/>
      <c r="D533" s="210"/>
      <c r="E533" s="210"/>
      <c r="F533" s="210"/>
      <c r="G533" s="210"/>
      <c r="H533" s="208"/>
      <c r="I533" s="208"/>
      <c r="J533" s="209"/>
      <c r="K533" s="211"/>
      <c r="L533" s="208"/>
      <c r="M533" s="208"/>
      <c r="N533" s="208"/>
      <c r="O533" s="208"/>
      <c r="P533" s="208"/>
      <c r="Q533" s="208"/>
      <c r="R533" s="208"/>
      <c r="S533" s="212"/>
      <c r="T533" s="208"/>
      <c r="U533" s="208"/>
      <c r="V533" s="208"/>
      <c r="W533" s="208"/>
      <c r="X533" s="208"/>
      <c r="Y533" s="208"/>
      <c r="Z533" s="208"/>
    </row>
    <row r="534">
      <c r="A534" s="208"/>
      <c r="B534" s="207"/>
      <c r="C534" s="209"/>
      <c r="D534" s="210"/>
      <c r="E534" s="210"/>
      <c r="F534" s="210"/>
      <c r="G534" s="210"/>
      <c r="H534" s="208"/>
      <c r="I534" s="208"/>
      <c r="J534" s="209"/>
      <c r="K534" s="211"/>
      <c r="L534" s="208"/>
      <c r="M534" s="208"/>
      <c r="N534" s="208"/>
      <c r="O534" s="208"/>
      <c r="P534" s="208"/>
      <c r="Q534" s="208"/>
      <c r="R534" s="208"/>
      <c r="S534" s="212"/>
      <c r="T534" s="208"/>
      <c r="U534" s="208"/>
      <c r="V534" s="208"/>
      <c r="W534" s="208"/>
      <c r="X534" s="208"/>
      <c r="Y534" s="208"/>
      <c r="Z534" s="208"/>
    </row>
    <row r="535">
      <c r="A535" s="208"/>
      <c r="B535" s="207"/>
      <c r="C535" s="209"/>
      <c r="D535" s="210"/>
      <c r="E535" s="210"/>
      <c r="F535" s="210"/>
      <c r="G535" s="210"/>
      <c r="H535" s="208"/>
      <c r="I535" s="208"/>
      <c r="J535" s="209"/>
      <c r="K535" s="211"/>
      <c r="L535" s="208"/>
      <c r="M535" s="208"/>
      <c r="N535" s="208"/>
      <c r="O535" s="208"/>
      <c r="P535" s="208"/>
      <c r="Q535" s="208"/>
      <c r="R535" s="208"/>
      <c r="S535" s="212"/>
      <c r="T535" s="208"/>
      <c r="U535" s="208"/>
      <c r="V535" s="208"/>
      <c r="W535" s="208"/>
      <c r="X535" s="208"/>
      <c r="Y535" s="208"/>
      <c r="Z535" s="208"/>
    </row>
    <row r="536">
      <c r="A536" s="208"/>
      <c r="B536" s="207"/>
      <c r="C536" s="209"/>
      <c r="D536" s="210"/>
      <c r="E536" s="210"/>
      <c r="F536" s="210"/>
      <c r="G536" s="210"/>
      <c r="H536" s="208"/>
      <c r="I536" s="208"/>
      <c r="J536" s="209"/>
      <c r="K536" s="211"/>
      <c r="L536" s="208"/>
      <c r="M536" s="208"/>
      <c r="N536" s="208"/>
      <c r="O536" s="208"/>
      <c r="P536" s="208"/>
      <c r="Q536" s="208"/>
      <c r="R536" s="208"/>
      <c r="S536" s="212"/>
      <c r="T536" s="208"/>
      <c r="U536" s="208"/>
      <c r="V536" s="208"/>
      <c r="W536" s="208"/>
      <c r="X536" s="208"/>
      <c r="Y536" s="208"/>
      <c r="Z536" s="208"/>
    </row>
    <row r="537">
      <c r="A537" s="208"/>
      <c r="B537" s="207"/>
      <c r="C537" s="209"/>
      <c r="D537" s="210"/>
      <c r="E537" s="210"/>
      <c r="F537" s="210"/>
      <c r="G537" s="210"/>
      <c r="H537" s="208"/>
      <c r="I537" s="208"/>
      <c r="J537" s="209"/>
      <c r="K537" s="211"/>
      <c r="L537" s="208"/>
      <c r="M537" s="208"/>
      <c r="N537" s="208"/>
      <c r="O537" s="208"/>
      <c r="P537" s="208"/>
      <c r="Q537" s="208"/>
      <c r="R537" s="208"/>
      <c r="S537" s="212"/>
      <c r="T537" s="208"/>
      <c r="U537" s="208"/>
      <c r="V537" s="208"/>
      <c r="W537" s="208"/>
      <c r="X537" s="208"/>
      <c r="Y537" s="208"/>
      <c r="Z537" s="208"/>
    </row>
    <row r="538">
      <c r="A538" s="208"/>
      <c r="B538" s="207"/>
      <c r="C538" s="209"/>
      <c r="D538" s="210"/>
      <c r="E538" s="210"/>
      <c r="F538" s="210"/>
      <c r="G538" s="210"/>
      <c r="H538" s="208"/>
      <c r="I538" s="208"/>
      <c r="J538" s="209"/>
      <c r="K538" s="211"/>
      <c r="L538" s="208"/>
      <c r="M538" s="208"/>
      <c r="N538" s="208"/>
      <c r="O538" s="208"/>
      <c r="P538" s="208"/>
      <c r="Q538" s="208"/>
      <c r="R538" s="208"/>
      <c r="S538" s="212"/>
      <c r="T538" s="208"/>
      <c r="U538" s="208"/>
      <c r="V538" s="208"/>
      <c r="W538" s="208"/>
      <c r="X538" s="208"/>
      <c r="Y538" s="208"/>
      <c r="Z538" s="208"/>
    </row>
    <row r="539">
      <c r="A539" s="208"/>
      <c r="B539" s="207"/>
      <c r="C539" s="209"/>
      <c r="D539" s="210"/>
      <c r="E539" s="210"/>
      <c r="F539" s="210"/>
      <c r="G539" s="210"/>
      <c r="H539" s="208"/>
      <c r="I539" s="208"/>
      <c r="J539" s="209"/>
      <c r="K539" s="211"/>
      <c r="L539" s="208"/>
      <c r="M539" s="208"/>
      <c r="N539" s="208"/>
      <c r="O539" s="208"/>
      <c r="P539" s="208"/>
      <c r="Q539" s="208"/>
      <c r="R539" s="208"/>
      <c r="S539" s="212"/>
      <c r="T539" s="208"/>
      <c r="U539" s="208"/>
      <c r="V539" s="208"/>
      <c r="W539" s="208"/>
      <c r="X539" s="208"/>
      <c r="Y539" s="208"/>
      <c r="Z539" s="208"/>
    </row>
    <row r="540">
      <c r="A540" s="208"/>
      <c r="B540" s="207"/>
      <c r="C540" s="209"/>
      <c r="D540" s="210"/>
      <c r="E540" s="210"/>
      <c r="F540" s="210"/>
      <c r="G540" s="210"/>
      <c r="H540" s="208"/>
      <c r="I540" s="208"/>
      <c r="J540" s="209"/>
      <c r="K540" s="211"/>
      <c r="L540" s="208"/>
      <c r="M540" s="208"/>
      <c r="N540" s="208"/>
      <c r="O540" s="208"/>
      <c r="P540" s="208"/>
      <c r="Q540" s="208"/>
      <c r="R540" s="208"/>
      <c r="S540" s="212"/>
      <c r="T540" s="208"/>
      <c r="U540" s="208"/>
      <c r="V540" s="208"/>
      <c r="W540" s="208"/>
      <c r="X540" s="208"/>
      <c r="Y540" s="208"/>
      <c r="Z540" s="208"/>
    </row>
    <row r="541">
      <c r="A541" s="208"/>
      <c r="B541" s="207"/>
      <c r="C541" s="209"/>
      <c r="D541" s="210"/>
      <c r="E541" s="210"/>
      <c r="F541" s="210"/>
      <c r="G541" s="210"/>
      <c r="H541" s="208"/>
      <c r="I541" s="208"/>
      <c r="J541" s="209"/>
      <c r="K541" s="211"/>
      <c r="L541" s="208"/>
      <c r="M541" s="208"/>
      <c r="N541" s="208"/>
      <c r="O541" s="208"/>
      <c r="P541" s="208"/>
      <c r="Q541" s="208"/>
      <c r="R541" s="208"/>
      <c r="S541" s="212"/>
      <c r="T541" s="208"/>
      <c r="U541" s="208"/>
      <c r="V541" s="208"/>
      <c r="W541" s="208"/>
      <c r="X541" s="208"/>
      <c r="Y541" s="208"/>
      <c r="Z541" s="208"/>
    </row>
    <row r="542">
      <c r="A542" s="208"/>
      <c r="B542" s="207"/>
      <c r="C542" s="209"/>
      <c r="D542" s="210"/>
      <c r="E542" s="210"/>
      <c r="F542" s="210"/>
      <c r="G542" s="210"/>
      <c r="H542" s="208"/>
      <c r="I542" s="208"/>
      <c r="J542" s="209"/>
      <c r="K542" s="211"/>
      <c r="L542" s="208"/>
      <c r="M542" s="208"/>
      <c r="N542" s="208"/>
      <c r="O542" s="208"/>
      <c r="P542" s="208"/>
      <c r="Q542" s="208"/>
      <c r="R542" s="208"/>
      <c r="S542" s="212"/>
      <c r="T542" s="208"/>
      <c r="U542" s="208"/>
      <c r="V542" s="208"/>
      <c r="W542" s="208"/>
      <c r="X542" s="208"/>
      <c r="Y542" s="208"/>
      <c r="Z542" s="208"/>
    </row>
    <row r="543">
      <c r="A543" s="208"/>
      <c r="B543" s="207"/>
      <c r="C543" s="209"/>
      <c r="D543" s="210"/>
      <c r="E543" s="210"/>
      <c r="F543" s="210"/>
      <c r="G543" s="210"/>
      <c r="H543" s="208"/>
      <c r="I543" s="208"/>
      <c r="J543" s="209"/>
      <c r="K543" s="211"/>
      <c r="L543" s="208"/>
      <c r="M543" s="208"/>
      <c r="N543" s="208"/>
      <c r="O543" s="208"/>
      <c r="P543" s="208"/>
      <c r="Q543" s="208"/>
      <c r="R543" s="208"/>
      <c r="S543" s="212"/>
      <c r="T543" s="208"/>
      <c r="U543" s="208"/>
      <c r="V543" s="208"/>
      <c r="W543" s="208"/>
      <c r="X543" s="208"/>
      <c r="Y543" s="208"/>
      <c r="Z543" s="208"/>
    </row>
    <row r="544">
      <c r="A544" s="208"/>
      <c r="B544" s="207"/>
      <c r="C544" s="209"/>
      <c r="D544" s="210"/>
      <c r="E544" s="210"/>
      <c r="F544" s="210"/>
      <c r="G544" s="210"/>
      <c r="H544" s="208"/>
      <c r="I544" s="208"/>
      <c r="J544" s="209"/>
      <c r="K544" s="211"/>
      <c r="L544" s="208"/>
      <c r="M544" s="208"/>
      <c r="N544" s="208"/>
      <c r="O544" s="208"/>
      <c r="P544" s="208"/>
      <c r="Q544" s="208"/>
      <c r="R544" s="208"/>
      <c r="S544" s="212"/>
      <c r="T544" s="208"/>
      <c r="U544" s="208"/>
      <c r="V544" s="208"/>
      <c r="W544" s="208"/>
      <c r="X544" s="208"/>
      <c r="Y544" s="208"/>
      <c r="Z544" s="208"/>
    </row>
    <row r="545">
      <c r="A545" s="208"/>
      <c r="B545" s="207"/>
      <c r="C545" s="209"/>
      <c r="D545" s="210"/>
      <c r="E545" s="210"/>
      <c r="F545" s="210"/>
      <c r="G545" s="210"/>
      <c r="H545" s="208"/>
      <c r="I545" s="208"/>
      <c r="J545" s="209"/>
      <c r="K545" s="211"/>
      <c r="L545" s="208"/>
      <c r="M545" s="208"/>
      <c r="N545" s="208"/>
      <c r="O545" s="208"/>
      <c r="P545" s="208"/>
      <c r="Q545" s="208"/>
      <c r="R545" s="208"/>
      <c r="S545" s="212"/>
      <c r="T545" s="208"/>
      <c r="U545" s="208"/>
      <c r="V545" s="208"/>
      <c r="W545" s="208"/>
      <c r="X545" s="208"/>
      <c r="Y545" s="208"/>
      <c r="Z545" s="208"/>
    </row>
    <row r="546">
      <c r="A546" s="208"/>
      <c r="B546" s="207"/>
      <c r="C546" s="209"/>
      <c r="D546" s="210"/>
      <c r="E546" s="210"/>
      <c r="F546" s="210"/>
      <c r="G546" s="210"/>
      <c r="H546" s="208"/>
      <c r="I546" s="208"/>
      <c r="J546" s="209"/>
      <c r="K546" s="211"/>
      <c r="L546" s="208"/>
      <c r="M546" s="208"/>
      <c r="N546" s="208"/>
      <c r="O546" s="208"/>
      <c r="P546" s="208"/>
      <c r="Q546" s="208"/>
      <c r="R546" s="208"/>
      <c r="S546" s="212"/>
      <c r="T546" s="208"/>
      <c r="U546" s="208"/>
      <c r="V546" s="208"/>
      <c r="W546" s="208"/>
      <c r="X546" s="208"/>
      <c r="Y546" s="208"/>
      <c r="Z546" s="208"/>
    </row>
    <row r="547">
      <c r="A547" s="208"/>
      <c r="B547" s="207"/>
      <c r="C547" s="209"/>
      <c r="D547" s="210"/>
      <c r="E547" s="210"/>
      <c r="F547" s="210"/>
      <c r="G547" s="210"/>
      <c r="H547" s="208"/>
      <c r="I547" s="208"/>
      <c r="J547" s="209"/>
      <c r="K547" s="211"/>
      <c r="L547" s="208"/>
      <c r="M547" s="208"/>
      <c r="N547" s="208"/>
      <c r="O547" s="208"/>
      <c r="P547" s="208"/>
      <c r="Q547" s="208"/>
      <c r="R547" s="208"/>
      <c r="S547" s="212"/>
      <c r="T547" s="208"/>
      <c r="U547" s="208"/>
      <c r="V547" s="208"/>
      <c r="W547" s="208"/>
      <c r="X547" s="208"/>
      <c r="Y547" s="208"/>
      <c r="Z547" s="208"/>
    </row>
    <row r="548">
      <c r="A548" s="208"/>
      <c r="B548" s="207"/>
      <c r="C548" s="209"/>
      <c r="D548" s="210"/>
      <c r="E548" s="210"/>
      <c r="F548" s="210"/>
      <c r="G548" s="210"/>
      <c r="H548" s="208"/>
      <c r="I548" s="208"/>
      <c r="J548" s="209"/>
      <c r="K548" s="211"/>
      <c r="L548" s="208"/>
      <c r="M548" s="208"/>
      <c r="N548" s="208"/>
      <c r="O548" s="208"/>
      <c r="P548" s="208"/>
      <c r="Q548" s="208"/>
      <c r="R548" s="208"/>
      <c r="S548" s="212"/>
      <c r="T548" s="208"/>
      <c r="U548" s="208"/>
      <c r="V548" s="208"/>
      <c r="W548" s="208"/>
      <c r="X548" s="208"/>
      <c r="Y548" s="208"/>
      <c r="Z548" s="208"/>
    </row>
    <row r="549">
      <c r="A549" s="208"/>
      <c r="B549" s="207"/>
      <c r="C549" s="209"/>
      <c r="D549" s="210"/>
      <c r="E549" s="210"/>
      <c r="F549" s="210"/>
      <c r="G549" s="210"/>
      <c r="H549" s="208"/>
      <c r="I549" s="208"/>
      <c r="J549" s="209"/>
      <c r="K549" s="211"/>
      <c r="L549" s="208"/>
      <c r="M549" s="208"/>
      <c r="N549" s="208"/>
      <c r="O549" s="208"/>
      <c r="P549" s="208"/>
      <c r="Q549" s="208"/>
      <c r="R549" s="208"/>
      <c r="S549" s="212"/>
      <c r="T549" s="208"/>
      <c r="U549" s="208"/>
      <c r="V549" s="208"/>
      <c r="W549" s="208"/>
      <c r="X549" s="208"/>
      <c r="Y549" s="208"/>
      <c r="Z549" s="208"/>
    </row>
    <row r="550">
      <c r="A550" s="208"/>
      <c r="B550" s="207"/>
      <c r="C550" s="209"/>
      <c r="D550" s="210"/>
      <c r="E550" s="210"/>
      <c r="F550" s="210"/>
      <c r="G550" s="210"/>
      <c r="H550" s="208"/>
      <c r="I550" s="208"/>
      <c r="J550" s="209"/>
      <c r="K550" s="211"/>
      <c r="L550" s="208"/>
      <c r="M550" s="208"/>
      <c r="N550" s="208"/>
      <c r="O550" s="208"/>
      <c r="P550" s="208"/>
      <c r="Q550" s="208"/>
      <c r="R550" s="208"/>
      <c r="S550" s="212"/>
      <c r="T550" s="208"/>
      <c r="U550" s="208"/>
      <c r="V550" s="208"/>
      <c r="W550" s="208"/>
      <c r="X550" s="208"/>
      <c r="Y550" s="208"/>
      <c r="Z550" s="208"/>
    </row>
    <row r="551">
      <c r="A551" s="208"/>
      <c r="B551" s="207"/>
      <c r="C551" s="209"/>
      <c r="D551" s="210"/>
      <c r="E551" s="210"/>
      <c r="F551" s="210"/>
      <c r="G551" s="210"/>
      <c r="H551" s="208"/>
      <c r="I551" s="208"/>
      <c r="J551" s="209"/>
      <c r="K551" s="211"/>
      <c r="L551" s="208"/>
      <c r="M551" s="208"/>
      <c r="N551" s="208"/>
      <c r="O551" s="208"/>
      <c r="P551" s="208"/>
      <c r="Q551" s="208"/>
      <c r="R551" s="208"/>
      <c r="S551" s="212"/>
      <c r="T551" s="208"/>
      <c r="U551" s="208"/>
      <c r="V551" s="208"/>
      <c r="W551" s="208"/>
      <c r="X551" s="208"/>
      <c r="Y551" s="208"/>
      <c r="Z551" s="208"/>
    </row>
    <row r="552">
      <c r="A552" s="208"/>
      <c r="B552" s="207"/>
      <c r="C552" s="209"/>
      <c r="D552" s="210"/>
      <c r="E552" s="210"/>
      <c r="F552" s="210"/>
      <c r="G552" s="210"/>
      <c r="H552" s="208"/>
      <c r="I552" s="208"/>
      <c r="J552" s="209"/>
      <c r="K552" s="211"/>
      <c r="L552" s="208"/>
      <c r="M552" s="208"/>
      <c r="N552" s="208"/>
      <c r="O552" s="208"/>
      <c r="P552" s="208"/>
      <c r="Q552" s="208"/>
      <c r="R552" s="208"/>
      <c r="S552" s="212"/>
      <c r="T552" s="208"/>
      <c r="U552" s="208"/>
      <c r="V552" s="208"/>
      <c r="W552" s="208"/>
      <c r="X552" s="208"/>
      <c r="Y552" s="208"/>
      <c r="Z552" s="208"/>
    </row>
    <row r="553">
      <c r="A553" s="208"/>
      <c r="B553" s="207"/>
      <c r="C553" s="209"/>
      <c r="D553" s="210"/>
      <c r="E553" s="210"/>
      <c r="F553" s="210"/>
      <c r="G553" s="210"/>
      <c r="H553" s="208"/>
      <c r="I553" s="208"/>
      <c r="J553" s="209"/>
      <c r="K553" s="211"/>
      <c r="L553" s="208"/>
      <c r="M553" s="208"/>
      <c r="N553" s="208"/>
      <c r="O553" s="208"/>
      <c r="P553" s="208"/>
      <c r="Q553" s="208"/>
      <c r="R553" s="208"/>
      <c r="S553" s="212"/>
      <c r="T553" s="208"/>
      <c r="U553" s="208"/>
      <c r="V553" s="208"/>
      <c r="W553" s="208"/>
      <c r="X553" s="208"/>
      <c r="Y553" s="208"/>
      <c r="Z553" s="208"/>
    </row>
    <row r="554">
      <c r="A554" s="208"/>
      <c r="B554" s="207"/>
      <c r="C554" s="209"/>
      <c r="D554" s="210"/>
      <c r="E554" s="210"/>
      <c r="F554" s="210"/>
      <c r="G554" s="210"/>
      <c r="H554" s="208"/>
      <c r="I554" s="208"/>
      <c r="J554" s="209"/>
      <c r="K554" s="211"/>
      <c r="L554" s="208"/>
      <c r="M554" s="208"/>
      <c r="N554" s="208"/>
      <c r="O554" s="208"/>
      <c r="P554" s="208"/>
      <c r="Q554" s="208"/>
      <c r="R554" s="208"/>
      <c r="S554" s="212"/>
      <c r="T554" s="208"/>
      <c r="U554" s="208"/>
      <c r="V554" s="208"/>
      <c r="W554" s="208"/>
      <c r="X554" s="208"/>
      <c r="Y554" s="208"/>
      <c r="Z554" s="208"/>
    </row>
    <row r="555">
      <c r="A555" s="208"/>
      <c r="B555" s="207"/>
      <c r="C555" s="209"/>
      <c r="D555" s="210"/>
      <c r="E555" s="210"/>
      <c r="F555" s="210"/>
      <c r="G555" s="210"/>
      <c r="H555" s="208"/>
      <c r="I555" s="208"/>
      <c r="J555" s="209"/>
      <c r="K555" s="211"/>
      <c r="L555" s="208"/>
      <c r="M555" s="208"/>
      <c r="N555" s="208"/>
      <c r="O555" s="208"/>
      <c r="P555" s="208"/>
      <c r="Q555" s="208"/>
      <c r="R555" s="208"/>
      <c r="S555" s="212"/>
      <c r="T555" s="208"/>
      <c r="U555" s="208"/>
      <c r="V555" s="208"/>
      <c r="W555" s="208"/>
      <c r="X555" s="208"/>
      <c r="Y555" s="208"/>
      <c r="Z555" s="208"/>
    </row>
    <row r="556">
      <c r="A556" s="208"/>
      <c r="B556" s="207"/>
      <c r="C556" s="209"/>
      <c r="D556" s="210"/>
      <c r="E556" s="210"/>
      <c r="F556" s="210"/>
      <c r="G556" s="210"/>
      <c r="H556" s="208"/>
      <c r="I556" s="208"/>
      <c r="J556" s="209"/>
      <c r="K556" s="211"/>
      <c r="L556" s="208"/>
      <c r="M556" s="208"/>
      <c r="N556" s="208"/>
      <c r="O556" s="208"/>
      <c r="P556" s="208"/>
      <c r="Q556" s="208"/>
      <c r="R556" s="208"/>
      <c r="S556" s="212"/>
      <c r="T556" s="208"/>
      <c r="U556" s="208"/>
      <c r="V556" s="208"/>
      <c r="W556" s="208"/>
      <c r="X556" s="208"/>
      <c r="Y556" s="208"/>
      <c r="Z556" s="208"/>
    </row>
    <row r="557">
      <c r="A557" s="208"/>
      <c r="B557" s="207"/>
      <c r="C557" s="209"/>
      <c r="D557" s="210"/>
      <c r="E557" s="210"/>
      <c r="F557" s="210"/>
      <c r="G557" s="210"/>
      <c r="H557" s="208"/>
      <c r="I557" s="208"/>
      <c r="J557" s="209"/>
      <c r="K557" s="211"/>
      <c r="L557" s="208"/>
      <c r="M557" s="208"/>
      <c r="N557" s="208"/>
      <c r="O557" s="208"/>
      <c r="P557" s="208"/>
      <c r="Q557" s="208"/>
      <c r="R557" s="208"/>
      <c r="S557" s="212"/>
      <c r="T557" s="208"/>
      <c r="U557" s="208"/>
      <c r="V557" s="208"/>
      <c r="W557" s="208"/>
      <c r="X557" s="208"/>
      <c r="Y557" s="208"/>
      <c r="Z557" s="208"/>
    </row>
    <row r="558">
      <c r="A558" s="208"/>
      <c r="B558" s="207"/>
      <c r="C558" s="209"/>
      <c r="D558" s="210"/>
      <c r="E558" s="210"/>
      <c r="F558" s="210"/>
      <c r="G558" s="210"/>
      <c r="H558" s="208"/>
      <c r="I558" s="208"/>
      <c r="J558" s="209"/>
      <c r="K558" s="211"/>
      <c r="L558" s="208"/>
      <c r="M558" s="208"/>
      <c r="N558" s="208"/>
      <c r="O558" s="208"/>
      <c r="P558" s="208"/>
      <c r="Q558" s="208"/>
      <c r="R558" s="208"/>
      <c r="S558" s="212"/>
      <c r="T558" s="208"/>
      <c r="U558" s="208"/>
      <c r="V558" s="208"/>
      <c r="W558" s="208"/>
      <c r="X558" s="208"/>
      <c r="Y558" s="208"/>
      <c r="Z558" s="208"/>
    </row>
    <row r="559">
      <c r="A559" s="208"/>
      <c r="B559" s="207"/>
      <c r="C559" s="209"/>
      <c r="D559" s="210"/>
      <c r="E559" s="210"/>
      <c r="F559" s="210"/>
      <c r="G559" s="210"/>
      <c r="H559" s="208"/>
      <c r="I559" s="208"/>
      <c r="J559" s="209"/>
      <c r="K559" s="211"/>
      <c r="L559" s="208"/>
      <c r="M559" s="208"/>
      <c r="N559" s="208"/>
      <c r="O559" s="208"/>
      <c r="P559" s="208"/>
      <c r="Q559" s="208"/>
      <c r="R559" s="208"/>
      <c r="S559" s="212"/>
      <c r="T559" s="208"/>
      <c r="U559" s="208"/>
      <c r="V559" s="208"/>
      <c r="W559" s="208"/>
      <c r="X559" s="208"/>
      <c r="Y559" s="208"/>
      <c r="Z559" s="208"/>
    </row>
    <row r="560">
      <c r="A560" s="208"/>
      <c r="B560" s="207"/>
      <c r="C560" s="209"/>
      <c r="D560" s="210"/>
      <c r="E560" s="210"/>
      <c r="F560" s="210"/>
      <c r="G560" s="210"/>
      <c r="H560" s="208"/>
      <c r="I560" s="208"/>
      <c r="J560" s="209"/>
      <c r="K560" s="211"/>
      <c r="L560" s="208"/>
      <c r="M560" s="208"/>
      <c r="N560" s="208"/>
      <c r="O560" s="208"/>
      <c r="P560" s="208"/>
      <c r="Q560" s="208"/>
      <c r="R560" s="208"/>
      <c r="S560" s="212"/>
      <c r="T560" s="208"/>
      <c r="U560" s="208"/>
      <c r="V560" s="208"/>
      <c r="W560" s="208"/>
      <c r="X560" s="208"/>
      <c r="Y560" s="208"/>
      <c r="Z560" s="208"/>
    </row>
    <row r="561">
      <c r="A561" s="208"/>
      <c r="B561" s="207"/>
      <c r="C561" s="209"/>
      <c r="D561" s="210"/>
      <c r="E561" s="210"/>
      <c r="F561" s="210"/>
      <c r="G561" s="210"/>
      <c r="H561" s="208"/>
      <c r="I561" s="208"/>
      <c r="J561" s="209"/>
      <c r="K561" s="211"/>
      <c r="L561" s="208"/>
      <c r="M561" s="208"/>
      <c r="N561" s="208"/>
      <c r="O561" s="208"/>
      <c r="P561" s="208"/>
      <c r="Q561" s="208"/>
      <c r="R561" s="208"/>
      <c r="S561" s="212"/>
      <c r="T561" s="208"/>
      <c r="U561" s="208"/>
      <c r="V561" s="208"/>
      <c r="W561" s="208"/>
      <c r="X561" s="208"/>
      <c r="Y561" s="208"/>
      <c r="Z561" s="208"/>
    </row>
    <row r="562">
      <c r="A562" s="208"/>
      <c r="B562" s="207"/>
      <c r="C562" s="209"/>
      <c r="D562" s="210"/>
      <c r="E562" s="210"/>
      <c r="F562" s="210"/>
      <c r="G562" s="210"/>
      <c r="H562" s="208"/>
      <c r="I562" s="208"/>
      <c r="J562" s="209"/>
      <c r="K562" s="211"/>
      <c r="L562" s="208"/>
      <c r="M562" s="208"/>
      <c r="N562" s="208"/>
      <c r="O562" s="208"/>
      <c r="P562" s="208"/>
      <c r="Q562" s="208"/>
      <c r="R562" s="208"/>
      <c r="S562" s="212"/>
      <c r="T562" s="208"/>
      <c r="U562" s="208"/>
      <c r="V562" s="208"/>
      <c r="W562" s="208"/>
      <c r="X562" s="208"/>
      <c r="Y562" s="208"/>
      <c r="Z562" s="208"/>
    </row>
    <row r="563">
      <c r="A563" s="208"/>
      <c r="B563" s="207"/>
      <c r="C563" s="209"/>
      <c r="D563" s="210"/>
      <c r="E563" s="210"/>
      <c r="F563" s="210"/>
      <c r="G563" s="210"/>
      <c r="H563" s="208"/>
      <c r="I563" s="208"/>
      <c r="J563" s="209"/>
      <c r="K563" s="211"/>
      <c r="L563" s="208"/>
      <c r="M563" s="208"/>
      <c r="N563" s="208"/>
      <c r="O563" s="208"/>
      <c r="P563" s="208"/>
      <c r="Q563" s="208"/>
      <c r="R563" s="208"/>
      <c r="S563" s="212"/>
      <c r="T563" s="208"/>
      <c r="U563" s="208"/>
      <c r="V563" s="208"/>
      <c r="W563" s="208"/>
      <c r="X563" s="208"/>
      <c r="Y563" s="208"/>
      <c r="Z563" s="208"/>
    </row>
    <row r="564">
      <c r="A564" s="208"/>
      <c r="B564" s="207"/>
      <c r="C564" s="209"/>
      <c r="D564" s="210"/>
      <c r="E564" s="210"/>
      <c r="F564" s="210"/>
      <c r="G564" s="210"/>
      <c r="H564" s="208"/>
      <c r="I564" s="208"/>
      <c r="J564" s="209"/>
      <c r="K564" s="211"/>
      <c r="L564" s="208"/>
      <c r="M564" s="208"/>
      <c r="N564" s="208"/>
      <c r="O564" s="208"/>
      <c r="P564" s="208"/>
      <c r="Q564" s="208"/>
      <c r="R564" s="208"/>
      <c r="S564" s="212"/>
      <c r="T564" s="208"/>
      <c r="U564" s="208"/>
      <c r="V564" s="208"/>
      <c r="W564" s="208"/>
      <c r="X564" s="208"/>
      <c r="Y564" s="208"/>
      <c r="Z564" s="208"/>
    </row>
    <row r="565">
      <c r="A565" s="208"/>
      <c r="B565" s="207"/>
      <c r="C565" s="209"/>
      <c r="D565" s="210"/>
      <c r="E565" s="210"/>
      <c r="F565" s="210"/>
      <c r="G565" s="210"/>
      <c r="H565" s="208"/>
      <c r="I565" s="208"/>
      <c r="J565" s="209"/>
      <c r="K565" s="211"/>
      <c r="L565" s="208"/>
      <c r="M565" s="208"/>
      <c r="N565" s="208"/>
      <c r="O565" s="208"/>
      <c r="P565" s="208"/>
      <c r="Q565" s="208"/>
      <c r="R565" s="208"/>
      <c r="S565" s="212"/>
      <c r="T565" s="208"/>
      <c r="U565" s="208"/>
      <c r="V565" s="208"/>
      <c r="W565" s="208"/>
      <c r="X565" s="208"/>
      <c r="Y565" s="208"/>
      <c r="Z565" s="208"/>
    </row>
    <row r="566">
      <c r="A566" s="208"/>
      <c r="B566" s="207"/>
      <c r="C566" s="209"/>
      <c r="D566" s="210"/>
      <c r="E566" s="210"/>
      <c r="F566" s="210"/>
      <c r="G566" s="210"/>
      <c r="H566" s="208"/>
      <c r="I566" s="208"/>
      <c r="J566" s="209"/>
      <c r="K566" s="211"/>
      <c r="L566" s="208"/>
      <c r="M566" s="208"/>
      <c r="N566" s="208"/>
      <c r="O566" s="208"/>
      <c r="P566" s="208"/>
      <c r="Q566" s="208"/>
      <c r="R566" s="208"/>
      <c r="S566" s="212"/>
      <c r="T566" s="208"/>
      <c r="U566" s="208"/>
      <c r="V566" s="208"/>
      <c r="W566" s="208"/>
      <c r="X566" s="208"/>
      <c r="Y566" s="208"/>
      <c r="Z566" s="208"/>
    </row>
    <row r="567">
      <c r="A567" s="208"/>
      <c r="B567" s="207"/>
      <c r="C567" s="209"/>
      <c r="D567" s="210"/>
      <c r="E567" s="210"/>
      <c r="F567" s="210"/>
      <c r="G567" s="210"/>
      <c r="H567" s="208"/>
      <c r="I567" s="208"/>
      <c r="J567" s="209"/>
      <c r="K567" s="211"/>
      <c r="L567" s="208"/>
      <c r="M567" s="208"/>
      <c r="N567" s="208"/>
      <c r="O567" s="208"/>
      <c r="P567" s="208"/>
      <c r="Q567" s="208"/>
      <c r="R567" s="208"/>
      <c r="S567" s="212"/>
      <c r="T567" s="208"/>
      <c r="U567" s="208"/>
      <c r="V567" s="208"/>
      <c r="W567" s="208"/>
      <c r="X567" s="208"/>
      <c r="Y567" s="208"/>
      <c r="Z567" s="208"/>
    </row>
    <row r="568">
      <c r="A568" s="208"/>
      <c r="B568" s="207"/>
      <c r="C568" s="209"/>
      <c r="D568" s="210"/>
      <c r="E568" s="210"/>
      <c r="F568" s="210"/>
      <c r="G568" s="210"/>
      <c r="H568" s="208"/>
      <c r="I568" s="208"/>
      <c r="J568" s="209"/>
      <c r="K568" s="211"/>
      <c r="L568" s="208"/>
      <c r="M568" s="208"/>
      <c r="N568" s="208"/>
      <c r="O568" s="208"/>
      <c r="P568" s="208"/>
      <c r="Q568" s="208"/>
      <c r="R568" s="208"/>
      <c r="S568" s="212"/>
      <c r="T568" s="208"/>
      <c r="U568" s="208"/>
      <c r="V568" s="208"/>
      <c r="W568" s="208"/>
      <c r="X568" s="208"/>
      <c r="Y568" s="208"/>
      <c r="Z568" s="208"/>
    </row>
    <row r="569">
      <c r="A569" s="208"/>
      <c r="B569" s="207"/>
      <c r="C569" s="209"/>
      <c r="D569" s="210"/>
      <c r="E569" s="210"/>
      <c r="F569" s="210"/>
      <c r="G569" s="210"/>
      <c r="H569" s="208"/>
      <c r="I569" s="208"/>
      <c r="J569" s="209"/>
      <c r="K569" s="211"/>
      <c r="L569" s="208"/>
      <c r="M569" s="208"/>
      <c r="N569" s="208"/>
      <c r="O569" s="208"/>
      <c r="P569" s="208"/>
      <c r="Q569" s="208"/>
      <c r="R569" s="208"/>
      <c r="S569" s="212"/>
      <c r="T569" s="208"/>
      <c r="U569" s="208"/>
      <c r="V569" s="208"/>
      <c r="W569" s="208"/>
      <c r="X569" s="208"/>
      <c r="Y569" s="208"/>
      <c r="Z569" s="208"/>
    </row>
    <row r="570">
      <c r="A570" s="208"/>
      <c r="B570" s="207"/>
      <c r="C570" s="209"/>
      <c r="D570" s="210"/>
      <c r="E570" s="210"/>
      <c r="F570" s="210"/>
      <c r="G570" s="210"/>
      <c r="H570" s="208"/>
      <c r="I570" s="208"/>
      <c r="J570" s="209"/>
      <c r="K570" s="211"/>
      <c r="L570" s="208"/>
      <c r="M570" s="208"/>
      <c r="N570" s="208"/>
      <c r="O570" s="208"/>
      <c r="P570" s="208"/>
      <c r="Q570" s="208"/>
      <c r="R570" s="208"/>
      <c r="S570" s="212"/>
      <c r="T570" s="208"/>
      <c r="U570" s="208"/>
      <c r="V570" s="208"/>
      <c r="W570" s="208"/>
      <c r="X570" s="208"/>
      <c r="Y570" s="208"/>
      <c r="Z570" s="208"/>
    </row>
    <row r="571">
      <c r="A571" s="208"/>
      <c r="B571" s="207"/>
      <c r="C571" s="209"/>
      <c r="D571" s="210"/>
      <c r="E571" s="210"/>
      <c r="F571" s="210"/>
      <c r="G571" s="210"/>
      <c r="H571" s="208"/>
      <c r="I571" s="208"/>
      <c r="J571" s="209"/>
      <c r="K571" s="211"/>
      <c r="L571" s="208"/>
      <c r="M571" s="208"/>
      <c r="N571" s="208"/>
      <c r="O571" s="208"/>
      <c r="P571" s="208"/>
      <c r="Q571" s="208"/>
      <c r="R571" s="208"/>
      <c r="S571" s="212"/>
      <c r="T571" s="208"/>
      <c r="U571" s="208"/>
      <c r="V571" s="208"/>
      <c r="W571" s="208"/>
      <c r="X571" s="208"/>
      <c r="Y571" s="208"/>
      <c r="Z571" s="208"/>
    </row>
    <row r="572">
      <c r="A572" s="208"/>
      <c r="B572" s="207"/>
      <c r="C572" s="209"/>
      <c r="D572" s="210"/>
      <c r="E572" s="210"/>
      <c r="F572" s="210"/>
      <c r="G572" s="210"/>
      <c r="H572" s="208"/>
      <c r="I572" s="208"/>
      <c r="J572" s="209"/>
      <c r="K572" s="211"/>
      <c r="L572" s="208"/>
      <c r="M572" s="208"/>
      <c r="N572" s="208"/>
      <c r="O572" s="208"/>
      <c r="P572" s="208"/>
      <c r="Q572" s="208"/>
      <c r="R572" s="208"/>
      <c r="S572" s="212"/>
      <c r="T572" s="208"/>
      <c r="U572" s="208"/>
      <c r="V572" s="208"/>
      <c r="W572" s="208"/>
      <c r="X572" s="208"/>
      <c r="Y572" s="208"/>
      <c r="Z572" s="208"/>
    </row>
    <row r="573">
      <c r="A573" s="208"/>
      <c r="B573" s="207"/>
      <c r="C573" s="209"/>
      <c r="D573" s="210"/>
      <c r="E573" s="210"/>
      <c r="F573" s="210"/>
      <c r="G573" s="210"/>
      <c r="H573" s="208"/>
      <c r="I573" s="208"/>
      <c r="J573" s="209"/>
      <c r="K573" s="211"/>
      <c r="L573" s="208"/>
      <c r="M573" s="208"/>
      <c r="N573" s="208"/>
      <c r="O573" s="208"/>
      <c r="P573" s="208"/>
      <c r="Q573" s="208"/>
      <c r="R573" s="208"/>
      <c r="S573" s="212"/>
      <c r="T573" s="208"/>
      <c r="U573" s="208"/>
      <c r="V573" s="208"/>
      <c r="W573" s="208"/>
      <c r="X573" s="208"/>
      <c r="Y573" s="208"/>
      <c r="Z573" s="208"/>
    </row>
    <row r="574">
      <c r="A574" s="208"/>
      <c r="B574" s="207"/>
      <c r="C574" s="209"/>
      <c r="D574" s="210"/>
      <c r="E574" s="210"/>
      <c r="F574" s="210"/>
      <c r="G574" s="210"/>
      <c r="H574" s="208"/>
      <c r="I574" s="208"/>
      <c r="J574" s="209"/>
      <c r="K574" s="211"/>
      <c r="L574" s="208"/>
      <c r="M574" s="208"/>
      <c r="N574" s="208"/>
      <c r="O574" s="208"/>
      <c r="P574" s="208"/>
      <c r="Q574" s="208"/>
      <c r="R574" s="208"/>
      <c r="S574" s="212"/>
      <c r="T574" s="208"/>
      <c r="U574" s="208"/>
      <c r="V574" s="208"/>
      <c r="W574" s="208"/>
      <c r="X574" s="208"/>
      <c r="Y574" s="208"/>
      <c r="Z574" s="208"/>
    </row>
    <row r="575">
      <c r="A575" s="208"/>
      <c r="B575" s="207"/>
      <c r="C575" s="209"/>
      <c r="D575" s="210"/>
      <c r="E575" s="210"/>
      <c r="F575" s="210"/>
      <c r="G575" s="210"/>
      <c r="H575" s="208"/>
      <c r="I575" s="208"/>
      <c r="J575" s="209"/>
      <c r="K575" s="211"/>
      <c r="L575" s="208"/>
      <c r="M575" s="208"/>
      <c r="N575" s="208"/>
      <c r="O575" s="208"/>
      <c r="P575" s="208"/>
      <c r="Q575" s="208"/>
      <c r="R575" s="208"/>
      <c r="S575" s="212"/>
      <c r="T575" s="208"/>
      <c r="U575" s="208"/>
      <c r="V575" s="208"/>
      <c r="W575" s="208"/>
      <c r="X575" s="208"/>
      <c r="Y575" s="208"/>
      <c r="Z575" s="208"/>
    </row>
    <row r="576">
      <c r="A576" s="208"/>
      <c r="B576" s="207"/>
      <c r="C576" s="209"/>
      <c r="D576" s="210"/>
      <c r="E576" s="210"/>
      <c r="F576" s="210"/>
      <c r="G576" s="210"/>
      <c r="H576" s="208"/>
      <c r="I576" s="208"/>
      <c r="J576" s="209"/>
      <c r="K576" s="211"/>
      <c r="L576" s="208"/>
      <c r="M576" s="208"/>
      <c r="N576" s="208"/>
      <c r="O576" s="208"/>
      <c r="P576" s="208"/>
      <c r="Q576" s="208"/>
      <c r="R576" s="208"/>
      <c r="S576" s="212"/>
      <c r="T576" s="208"/>
      <c r="U576" s="208"/>
      <c r="V576" s="208"/>
      <c r="W576" s="208"/>
      <c r="X576" s="208"/>
      <c r="Y576" s="208"/>
      <c r="Z576" s="208"/>
    </row>
    <row r="577">
      <c r="A577" s="208"/>
      <c r="B577" s="207"/>
      <c r="C577" s="209"/>
      <c r="D577" s="210"/>
      <c r="E577" s="210"/>
      <c r="F577" s="210"/>
      <c r="G577" s="210"/>
      <c r="H577" s="208"/>
      <c r="I577" s="208"/>
      <c r="J577" s="209"/>
      <c r="K577" s="211"/>
      <c r="L577" s="208"/>
      <c r="M577" s="208"/>
      <c r="N577" s="208"/>
      <c r="O577" s="208"/>
      <c r="P577" s="208"/>
      <c r="Q577" s="208"/>
      <c r="R577" s="208"/>
      <c r="S577" s="212"/>
      <c r="T577" s="208"/>
      <c r="U577" s="208"/>
      <c r="V577" s="208"/>
      <c r="W577" s="208"/>
      <c r="X577" s="208"/>
      <c r="Y577" s="208"/>
      <c r="Z577" s="208"/>
    </row>
    <row r="578">
      <c r="A578" s="208"/>
      <c r="B578" s="207"/>
      <c r="C578" s="209"/>
      <c r="D578" s="210"/>
      <c r="E578" s="210"/>
      <c r="F578" s="210"/>
      <c r="G578" s="210"/>
      <c r="H578" s="208"/>
      <c r="I578" s="208"/>
      <c r="J578" s="209"/>
      <c r="K578" s="211"/>
      <c r="L578" s="208"/>
      <c r="M578" s="208"/>
      <c r="N578" s="208"/>
      <c r="O578" s="208"/>
      <c r="P578" s="208"/>
      <c r="Q578" s="208"/>
      <c r="R578" s="208"/>
      <c r="S578" s="212"/>
      <c r="T578" s="208"/>
      <c r="U578" s="208"/>
      <c r="V578" s="208"/>
      <c r="W578" s="208"/>
      <c r="X578" s="208"/>
      <c r="Y578" s="208"/>
      <c r="Z578" s="208"/>
    </row>
    <row r="579">
      <c r="A579" s="208"/>
      <c r="B579" s="207"/>
      <c r="C579" s="209"/>
      <c r="D579" s="210"/>
      <c r="E579" s="210"/>
      <c r="F579" s="210"/>
      <c r="G579" s="210"/>
      <c r="H579" s="208"/>
      <c r="I579" s="208"/>
      <c r="J579" s="209"/>
      <c r="K579" s="211"/>
      <c r="L579" s="208"/>
      <c r="M579" s="208"/>
      <c r="N579" s="208"/>
      <c r="O579" s="208"/>
      <c r="P579" s="208"/>
      <c r="Q579" s="208"/>
      <c r="R579" s="208"/>
      <c r="S579" s="212"/>
      <c r="T579" s="208"/>
      <c r="U579" s="208"/>
      <c r="V579" s="208"/>
      <c r="W579" s="208"/>
      <c r="X579" s="208"/>
      <c r="Y579" s="208"/>
      <c r="Z579" s="208"/>
    </row>
    <row r="580">
      <c r="A580" s="208"/>
      <c r="B580" s="207"/>
      <c r="C580" s="209"/>
      <c r="D580" s="210"/>
      <c r="E580" s="210"/>
      <c r="F580" s="210"/>
      <c r="G580" s="210"/>
      <c r="H580" s="208"/>
      <c r="I580" s="208"/>
      <c r="J580" s="209"/>
      <c r="K580" s="211"/>
      <c r="L580" s="208"/>
      <c r="M580" s="208"/>
      <c r="N580" s="208"/>
      <c r="O580" s="208"/>
      <c r="P580" s="208"/>
      <c r="Q580" s="208"/>
      <c r="R580" s="208"/>
      <c r="S580" s="212"/>
      <c r="T580" s="208"/>
      <c r="U580" s="208"/>
      <c r="V580" s="208"/>
      <c r="W580" s="208"/>
      <c r="X580" s="208"/>
      <c r="Y580" s="208"/>
      <c r="Z580" s="208"/>
    </row>
    <row r="581">
      <c r="A581" s="208"/>
      <c r="B581" s="207"/>
      <c r="C581" s="209"/>
      <c r="D581" s="210"/>
      <c r="E581" s="210"/>
      <c r="F581" s="210"/>
      <c r="G581" s="210"/>
      <c r="H581" s="208"/>
      <c r="I581" s="208"/>
      <c r="J581" s="209"/>
      <c r="K581" s="211"/>
      <c r="L581" s="208"/>
      <c r="M581" s="208"/>
      <c r="N581" s="208"/>
      <c r="O581" s="208"/>
      <c r="P581" s="208"/>
      <c r="Q581" s="208"/>
      <c r="R581" s="208"/>
      <c r="S581" s="212"/>
      <c r="T581" s="208"/>
      <c r="U581" s="208"/>
      <c r="V581" s="208"/>
      <c r="W581" s="208"/>
      <c r="X581" s="208"/>
      <c r="Y581" s="208"/>
      <c r="Z581" s="208"/>
    </row>
    <row r="582">
      <c r="A582" s="208"/>
      <c r="B582" s="207"/>
      <c r="C582" s="209"/>
      <c r="D582" s="210"/>
      <c r="E582" s="210"/>
      <c r="F582" s="210"/>
      <c r="G582" s="210"/>
      <c r="H582" s="208"/>
      <c r="I582" s="208"/>
      <c r="J582" s="209"/>
      <c r="K582" s="211"/>
      <c r="L582" s="208"/>
      <c r="M582" s="208"/>
      <c r="N582" s="208"/>
      <c r="O582" s="208"/>
      <c r="P582" s="208"/>
      <c r="Q582" s="208"/>
      <c r="R582" s="208"/>
      <c r="S582" s="212"/>
      <c r="T582" s="208"/>
      <c r="U582" s="208"/>
      <c r="V582" s="208"/>
      <c r="W582" s="208"/>
      <c r="X582" s="208"/>
      <c r="Y582" s="208"/>
      <c r="Z582" s="208"/>
    </row>
    <row r="583">
      <c r="A583" s="208"/>
      <c r="B583" s="207"/>
      <c r="C583" s="209"/>
      <c r="D583" s="210"/>
      <c r="E583" s="210"/>
      <c r="F583" s="210"/>
      <c r="G583" s="210"/>
      <c r="H583" s="208"/>
      <c r="I583" s="208"/>
      <c r="J583" s="209"/>
      <c r="K583" s="211"/>
      <c r="L583" s="208"/>
      <c r="M583" s="208"/>
      <c r="N583" s="208"/>
      <c r="O583" s="208"/>
      <c r="P583" s="208"/>
      <c r="Q583" s="208"/>
      <c r="R583" s="208"/>
      <c r="S583" s="212"/>
      <c r="T583" s="208"/>
      <c r="U583" s="208"/>
      <c r="V583" s="208"/>
      <c r="W583" s="208"/>
      <c r="X583" s="208"/>
      <c r="Y583" s="208"/>
      <c r="Z583" s="208"/>
    </row>
    <row r="584">
      <c r="A584" s="208"/>
      <c r="B584" s="207"/>
      <c r="C584" s="209"/>
      <c r="D584" s="210"/>
      <c r="E584" s="210"/>
      <c r="F584" s="210"/>
      <c r="G584" s="210"/>
      <c r="H584" s="208"/>
      <c r="I584" s="208"/>
      <c r="J584" s="209"/>
      <c r="K584" s="211"/>
      <c r="L584" s="208"/>
      <c r="M584" s="208"/>
      <c r="N584" s="208"/>
      <c r="O584" s="208"/>
      <c r="P584" s="208"/>
      <c r="Q584" s="208"/>
      <c r="R584" s="208"/>
      <c r="S584" s="212"/>
      <c r="T584" s="208"/>
      <c r="U584" s="208"/>
      <c r="V584" s="208"/>
      <c r="W584" s="208"/>
      <c r="X584" s="208"/>
      <c r="Y584" s="208"/>
      <c r="Z584" s="208"/>
    </row>
    <row r="585">
      <c r="A585" s="208"/>
      <c r="B585" s="207"/>
      <c r="C585" s="209"/>
      <c r="D585" s="210"/>
      <c r="E585" s="210"/>
      <c r="F585" s="210"/>
      <c r="G585" s="210"/>
      <c r="H585" s="208"/>
      <c r="I585" s="208"/>
      <c r="J585" s="209"/>
      <c r="K585" s="211"/>
      <c r="L585" s="208"/>
      <c r="M585" s="208"/>
      <c r="N585" s="208"/>
      <c r="O585" s="208"/>
      <c r="P585" s="208"/>
      <c r="Q585" s="208"/>
      <c r="R585" s="208"/>
      <c r="S585" s="212"/>
      <c r="T585" s="208"/>
      <c r="U585" s="208"/>
      <c r="V585" s="208"/>
      <c r="W585" s="208"/>
      <c r="X585" s="208"/>
      <c r="Y585" s="208"/>
      <c r="Z585" s="208"/>
    </row>
    <row r="586">
      <c r="A586" s="208"/>
      <c r="B586" s="207"/>
      <c r="C586" s="209"/>
      <c r="D586" s="210"/>
      <c r="E586" s="210"/>
      <c r="F586" s="210"/>
      <c r="G586" s="210"/>
      <c r="H586" s="208"/>
      <c r="I586" s="208"/>
      <c r="J586" s="209"/>
      <c r="K586" s="211"/>
      <c r="L586" s="208"/>
      <c r="M586" s="208"/>
      <c r="N586" s="208"/>
      <c r="O586" s="208"/>
      <c r="P586" s="208"/>
      <c r="Q586" s="208"/>
      <c r="R586" s="208"/>
      <c r="S586" s="212"/>
      <c r="T586" s="208"/>
      <c r="U586" s="208"/>
      <c r="V586" s="208"/>
      <c r="W586" s="208"/>
      <c r="X586" s="208"/>
      <c r="Y586" s="208"/>
      <c r="Z586" s="208"/>
    </row>
    <row r="587">
      <c r="A587" s="208"/>
      <c r="B587" s="207"/>
      <c r="C587" s="209"/>
      <c r="D587" s="210"/>
      <c r="E587" s="210"/>
      <c r="F587" s="210"/>
      <c r="G587" s="210"/>
      <c r="H587" s="208"/>
      <c r="I587" s="208"/>
      <c r="J587" s="209"/>
      <c r="K587" s="211"/>
      <c r="L587" s="208"/>
      <c r="M587" s="208"/>
      <c r="N587" s="208"/>
      <c r="O587" s="208"/>
      <c r="P587" s="208"/>
      <c r="Q587" s="208"/>
      <c r="R587" s="208"/>
      <c r="S587" s="212"/>
      <c r="T587" s="208"/>
      <c r="U587" s="208"/>
      <c r="V587" s="208"/>
      <c r="W587" s="208"/>
      <c r="X587" s="208"/>
      <c r="Y587" s="208"/>
      <c r="Z587" s="208"/>
    </row>
    <row r="588">
      <c r="A588" s="208"/>
      <c r="B588" s="207"/>
      <c r="C588" s="209"/>
      <c r="D588" s="210"/>
      <c r="E588" s="210"/>
      <c r="F588" s="210"/>
      <c r="G588" s="210"/>
      <c r="H588" s="208"/>
      <c r="I588" s="208"/>
      <c r="J588" s="209"/>
      <c r="K588" s="211"/>
      <c r="L588" s="208"/>
      <c r="M588" s="208"/>
      <c r="N588" s="208"/>
      <c r="O588" s="208"/>
      <c r="P588" s="208"/>
      <c r="Q588" s="208"/>
      <c r="R588" s="208"/>
      <c r="S588" s="212"/>
      <c r="T588" s="208"/>
      <c r="U588" s="208"/>
      <c r="V588" s="208"/>
      <c r="W588" s="208"/>
      <c r="X588" s="208"/>
      <c r="Y588" s="208"/>
      <c r="Z588" s="208"/>
    </row>
    <row r="589">
      <c r="A589" s="208"/>
      <c r="B589" s="207"/>
      <c r="C589" s="209"/>
      <c r="D589" s="210"/>
      <c r="E589" s="210"/>
      <c r="F589" s="210"/>
      <c r="G589" s="210"/>
      <c r="H589" s="208"/>
      <c r="I589" s="208"/>
      <c r="J589" s="209"/>
      <c r="K589" s="211"/>
      <c r="L589" s="208"/>
      <c r="M589" s="208"/>
      <c r="N589" s="208"/>
      <c r="O589" s="208"/>
      <c r="P589" s="208"/>
      <c r="Q589" s="208"/>
      <c r="R589" s="208"/>
      <c r="S589" s="212"/>
      <c r="T589" s="208"/>
      <c r="U589" s="208"/>
      <c r="V589" s="208"/>
      <c r="W589" s="208"/>
      <c r="X589" s="208"/>
      <c r="Y589" s="208"/>
      <c r="Z589" s="208"/>
    </row>
    <row r="590">
      <c r="A590" s="208"/>
      <c r="B590" s="207"/>
      <c r="C590" s="209"/>
      <c r="D590" s="210"/>
      <c r="E590" s="210"/>
      <c r="F590" s="210"/>
      <c r="G590" s="210"/>
      <c r="H590" s="208"/>
      <c r="I590" s="208"/>
      <c r="J590" s="209"/>
      <c r="K590" s="211"/>
      <c r="L590" s="208"/>
      <c r="M590" s="208"/>
      <c r="N590" s="208"/>
      <c r="O590" s="208"/>
      <c r="P590" s="208"/>
      <c r="Q590" s="208"/>
      <c r="R590" s="208"/>
      <c r="S590" s="212"/>
      <c r="T590" s="208"/>
      <c r="U590" s="208"/>
      <c r="V590" s="208"/>
      <c r="W590" s="208"/>
      <c r="X590" s="208"/>
      <c r="Y590" s="208"/>
      <c r="Z590" s="208"/>
    </row>
    <row r="591">
      <c r="A591" s="208"/>
      <c r="B591" s="207"/>
      <c r="C591" s="209"/>
      <c r="D591" s="210"/>
      <c r="E591" s="210"/>
      <c r="F591" s="210"/>
      <c r="G591" s="210"/>
      <c r="H591" s="208"/>
      <c r="I591" s="208"/>
      <c r="J591" s="209"/>
      <c r="K591" s="211"/>
      <c r="L591" s="208"/>
      <c r="M591" s="208"/>
      <c r="N591" s="208"/>
      <c r="O591" s="208"/>
      <c r="P591" s="208"/>
      <c r="Q591" s="208"/>
      <c r="R591" s="208"/>
      <c r="S591" s="212"/>
      <c r="T591" s="208"/>
      <c r="U591" s="208"/>
      <c r="V591" s="208"/>
      <c r="W591" s="208"/>
      <c r="X591" s="208"/>
      <c r="Y591" s="208"/>
      <c r="Z591" s="208"/>
    </row>
    <row r="592">
      <c r="A592" s="208"/>
      <c r="B592" s="207"/>
      <c r="C592" s="209"/>
      <c r="D592" s="210"/>
      <c r="E592" s="210"/>
      <c r="F592" s="210"/>
      <c r="G592" s="210"/>
      <c r="H592" s="208"/>
      <c r="I592" s="208"/>
      <c r="J592" s="209"/>
      <c r="K592" s="211"/>
      <c r="L592" s="208"/>
      <c r="M592" s="208"/>
      <c r="N592" s="208"/>
      <c r="O592" s="208"/>
      <c r="P592" s="208"/>
      <c r="Q592" s="208"/>
      <c r="R592" s="208"/>
      <c r="S592" s="212"/>
      <c r="T592" s="208"/>
      <c r="U592" s="208"/>
      <c r="V592" s="208"/>
      <c r="W592" s="208"/>
      <c r="X592" s="208"/>
      <c r="Y592" s="208"/>
      <c r="Z592" s="208"/>
    </row>
    <row r="593">
      <c r="A593" s="208"/>
      <c r="B593" s="207"/>
      <c r="C593" s="209"/>
      <c r="D593" s="210"/>
      <c r="E593" s="210"/>
      <c r="F593" s="210"/>
      <c r="G593" s="210"/>
      <c r="H593" s="208"/>
      <c r="I593" s="208"/>
      <c r="J593" s="209"/>
      <c r="K593" s="211"/>
      <c r="L593" s="208"/>
      <c r="M593" s="208"/>
      <c r="N593" s="208"/>
      <c r="O593" s="208"/>
      <c r="P593" s="208"/>
      <c r="Q593" s="208"/>
      <c r="R593" s="208"/>
      <c r="S593" s="212"/>
      <c r="T593" s="208"/>
      <c r="U593" s="208"/>
      <c r="V593" s="208"/>
      <c r="W593" s="208"/>
      <c r="X593" s="208"/>
      <c r="Y593" s="208"/>
      <c r="Z593" s="208"/>
    </row>
    <row r="594">
      <c r="A594" s="208"/>
      <c r="B594" s="207"/>
      <c r="C594" s="209"/>
      <c r="D594" s="210"/>
      <c r="E594" s="210"/>
      <c r="F594" s="210"/>
      <c r="G594" s="210"/>
      <c r="H594" s="208"/>
      <c r="I594" s="208"/>
      <c r="J594" s="209"/>
      <c r="K594" s="211"/>
      <c r="L594" s="208"/>
      <c r="M594" s="208"/>
      <c r="N594" s="208"/>
      <c r="O594" s="208"/>
      <c r="P594" s="208"/>
      <c r="Q594" s="208"/>
      <c r="R594" s="208"/>
      <c r="S594" s="212"/>
      <c r="T594" s="208"/>
      <c r="U594" s="208"/>
      <c r="V594" s="208"/>
      <c r="W594" s="208"/>
      <c r="X594" s="208"/>
      <c r="Y594" s="208"/>
      <c r="Z594" s="208"/>
    </row>
    <row r="595">
      <c r="A595" s="208"/>
      <c r="B595" s="207"/>
      <c r="C595" s="209"/>
      <c r="D595" s="210"/>
      <c r="E595" s="210"/>
      <c r="F595" s="210"/>
      <c r="G595" s="210"/>
      <c r="H595" s="208"/>
      <c r="I595" s="208"/>
      <c r="J595" s="209"/>
      <c r="K595" s="211"/>
      <c r="L595" s="208"/>
      <c r="M595" s="208"/>
      <c r="N595" s="208"/>
      <c r="O595" s="208"/>
      <c r="P595" s="208"/>
      <c r="Q595" s="208"/>
      <c r="R595" s="208"/>
      <c r="S595" s="212"/>
      <c r="T595" s="208"/>
      <c r="U595" s="208"/>
      <c r="V595" s="208"/>
      <c r="W595" s="208"/>
      <c r="X595" s="208"/>
      <c r="Y595" s="208"/>
      <c r="Z595" s="208"/>
    </row>
    <row r="596">
      <c r="A596" s="208"/>
      <c r="B596" s="207"/>
      <c r="C596" s="209"/>
      <c r="D596" s="210"/>
      <c r="E596" s="210"/>
      <c r="F596" s="210"/>
      <c r="G596" s="210"/>
      <c r="H596" s="208"/>
      <c r="I596" s="208"/>
      <c r="J596" s="209"/>
      <c r="K596" s="211"/>
      <c r="L596" s="208"/>
      <c r="M596" s="208"/>
      <c r="N596" s="208"/>
      <c r="O596" s="208"/>
      <c r="P596" s="208"/>
      <c r="Q596" s="208"/>
      <c r="R596" s="208"/>
      <c r="S596" s="212"/>
      <c r="T596" s="208"/>
      <c r="U596" s="208"/>
      <c r="V596" s="208"/>
      <c r="W596" s="208"/>
      <c r="X596" s="208"/>
      <c r="Y596" s="208"/>
      <c r="Z596" s="208"/>
    </row>
    <row r="597">
      <c r="A597" s="208"/>
      <c r="B597" s="207"/>
      <c r="C597" s="209"/>
      <c r="D597" s="210"/>
      <c r="E597" s="210"/>
      <c r="F597" s="210"/>
      <c r="G597" s="210"/>
      <c r="H597" s="208"/>
      <c r="I597" s="208"/>
      <c r="J597" s="209"/>
      <c r="K597" s="211"/>
      <c r="L597" s="208"/>
      <c r="M597" s="208"/>
      <c r="N597" s="208"/>
      <c r="O597" s="208"/>
      <c r="P597" s="208"/>
      <c r="Q597" s="208"/>
      <c r="R597" s="208"/>
      <c r="S597" s="212"/>
      <c r="T597" s="208"/>
      <c r="U597" s="208"/>
      <c r="V597" s="208"/>
      <c r="W597" s="208"/>
      <c r="X597" s="208"/>
      <c r="Y597" s="208"/>
      <c r="Z597" s="208"/>
    </row>
    <row r="598">
      <c r="A598" s="208"/>
      <c r="B598" s="207"/>
      <c r="C598" s="209"/>
      <c r="D598" s="210"/>
      <c r="E598" s="210"/>
      <c r="F598" s="210"/>
      <c r="G598" s="210"/>
      <c r="H598" s="208"/>
      <c r="I598" s="208"/>
      <c r="J598" s="209"/>
      <c r="K598" s="211"/>
      <c r="L598" s="208"/>
      <c r="M598" s="208"/>
      <c r="N598" s="208"/>
      <c r="O598" s="208"/>
      <c r="P598" s="208"/>
      <c r="Q598" s="208"/>
      <c r="R598" s="208"/>
      <c r="S598" s="212"/>
      <c r="T598" s="208"/>
      <c r="U598" s="208"/>
      <c r="V598" s="208"/>
      <c r="W598" s="208"/>
      <c r="X598" s="208"/>
      <c r="Y598" s="208"/>
      <c r="Z598" s="208"/>
    </row>
    <row r="599">
      <c r="A599" s="208"/>
      <c r="B599" s="207"/>
      <c r="C599" s="209"/>
      <c r="D599" s="210"/>
      <c r="E599" s="210"/>
      <c r="F599" s="210"/>
      <c r="G599" s="210"/>
      <c r="H599" s="208"/>
      <c r="I599" s="208"/>
      <c r="J599" s="209"/>
      <c r="K599" s="211"/>
      <c r="L599" s="208"/>
      <c r="M599" s="208"/>
      <c r="N599" s="208"/>
      <c r="O599" s="208"/>
      <c r="P599" s="208"/>
      <c r="Q599" s="208"/>
      <c r="R599" s="208"/>
      <c r="S599" s="212"/>
      <c r="T599" s="208"/>
      <c r="U599" s="208"/>
      <c r="V599" s="208"/>
      <c r="W599" s="208"/>
      <c r="X599" s="208"/>
      <c r="Y599" s="208"/>
      <c r="Z599" s="208"/>
    </row>
    <row r="600">
      <c r="A600" s="208"/>
      <c r="B600" s="207"/>
      <c r="C600" s="209"/>
      <c r="D600" s="210"/>
      <c r="E600" s="210"/>
      <c r="F600" s="210"/>
      <c r="G600" s="210"/>
      <c r="H600" s="208"/>
      <c r="I600" s="208"/>
      <c r="J600" s="209"/>
      <c r="K600" s="211"/>
      <c r="L600" s="208"/>
      <c r="M600" s="208"/>
      <c r="N600" s="208"/>
      <c r="O600" s="208"/>
      <c r="P600" s="208"/>
      <c r="Q600" s="208"/>
      <c r="R600" s="208"/>
      <c r="S600" s="212"/>
      <c r="T600" s="208"/>
      <c r="U600" s="208"/>
      <c r="V600" s="208"/>
      <c r="W600" s="208"/>
      <c r="X600" s="208"/>
      <c r="Y600" s="208"/>
      <c r="Z600" s="208"/>
    </row>
    <row r="601">
      <c r="A601" s="208"/>
      <c r="B601" s="207"/>
      <c r="C601" s="209"/>
      <c r="D601" s="210"/>
      <c r="E601" s="210"/>
      <c r="F601" s="210"/>
      <c r="G601" s="210"/>
      <c r="H601" s="208"/>
      <c r="I601" s="208"/>
      <c r="J601" s="209"/>
      <c r="K601" s="211"/>
      <c r="L601" s="208"/>
      <c r="M601" s="208"/>
      <c r="N601" s="208"/>
      <c r="O601" s="208"/>
      <c r="P601" s="208"/>
      <c r="Q601" s="208"/>
      <c r="R601" s="208"/>
      <c r="S601" s="212"/>
      <c r="T601" s="208"/>
      <c r="U601" s="208"/>
      <c r="V601" s="208"/>
      <c r="W601" s="208"/>
      <c r="X601" s="208"/>
      <c r="Y601" s="208"/>
      <c r="Z601" s="208"/>
    </row>
    <row r="602">
      <c r="A602" s="208"/>
      <c r="B602" s="207"/>
      <c r="C602" s="209"/>
      <c r="D602" s="210"/>
      <c r="E602" s="210"/>
      <c r="F602" s="210"/>
      <c r="G602" s="210"/>
      <c r="H602" s="208"/>
      <c r="I602" s="208"/>
      <c r="J602" s="209"/>
      <c r="K602" s="211"/>
      <c r="L602" s="208"/>
      <c r="M602" s="208"/>
      <c r="N602" s="208"/>
      <c r="O602" s="208"/>
      <c r="P602" s="208"/>
      <c r="Q602" s="208"/>
      <c r="R602" s="208"/>
      <c r="S602" s="212"/>
      <c r="T602" s="208"/>
      <c r="U602" s="208"/>
      <c r="V602" s="208"/>
      <c r="W602" s="208"/>
      <c r="X602" s="208"/>
      <c r="Y602" s="208"/>
      <c r="Z602" s="208"/>
    </row>
    <row r="603">
      <c r="A603" s="208"/>
      <c r="B603" s="207"/>
      <c r="C603" s="209"/>
      <c r="D603" s="210"/>
      <c r="E603" s="210"/>
      <c r="F603" s="210"/>
      <c r="G603" s="210"/>
      <c r="H603" s="208"/>
      <c r="I603" s="208"/>
      <c r="J603" s="209"/>
      <c r="K603" s="211"/>
      <c r="L603" s="208"/>
      <c r="M603" s="208"/>
      <c r="N603" s="208"/>
      <c r="O603" s="208"/>
      <c r="P603" s="208"/>
      <c r="Q603" s="208"/>
      <c r="R603" s="208"/>
      <c r="S603" s="212"/>
      <c r="T603" s="208"/>
      <c r="U603" s="208"/>
      <c r="V603" s="208"/>
      <c r="W603" s="208"/>
      <c r="X603" s="208"/>
      <c r="Y603" s="208"/>
      <c r="Z603" s="208"/>
    </row>
    <row r="604">
      <c r="A604" s="208"/>
      <c r="B604" s="207"/>
      <c r="C604" s="209"/>
      <c r="D604" s="210"/>
      <c r="E604" s="210"/>
      <c r="F604" s="210"/>
      <c r="G604" s="210"/>
      <c r="H604" s="208"/>
      <c r="I604" s="208"/>
      <c r="J604" s="209"/>
      <c r="K604" s="211"/>
      <c r="L604" s="208"/>
      <c r="M604" s="208"/>
      <c r="N604" s="208"/>
      <c r="O604" s="208"/>
      <c r="P604" s="208"/>
      <c r="Q604" s="208"/>
      <c r="R604" s="208"/>
      <c r="S604" s="212"/>
      <c r="T604" s="208"/>
      <c r="U604" s="208"/>
      <c r="V604" s="208"/>
      <c r="W604" s="208"/>
      <c r="X604" s="208"/>
      <c r="Y604" s="208"/>
      <c r="Z604" s="208"/>
    </row>
    <row r="605">
      <c r="A605" s="208"/>
      <c r="B605" s="207"/>
      <c r="C605" s="209"/>
      <c r="D605" s="210"/>
      <c r="E605" s="210"/>
      <c r="F605" s="210"/>
      <c r="G605" s="210"/>
      <c r="H605" s="208"/>
      <c r="I605" s="208"/>
      <c r="J605" s="209"/>
      <c r="K605" s="211"/>
      <c r="L605" s="208"/>
      <c r="M605" s="208"/>
      <c r="N605" s="208"/>
      <c r="O605" s="208"/>
      <c r="P605" s="208"/>
      <c r="Q605" s="208"/>
      <c r="R605" s="208"/>
      <c r="S605" s="212"/>
      <c r="T605" s="208"/>
      <c r="U605" s="208"/>
      <c r="V605" s="208"/>
      <c r="W605" s="208"/>
      <c r="X605" s="208"/>
      <c r="Y605" s="208"/>
      <c r="Z605" s="208"/>
    </row>
    <row r="606">
      <c r="A606" s="208"/>
      <c r="B606" s="207"/>
      <c r="C606" s="209"/>
      <c r="D606" s="210"/>
      <c r="E606" s="210"/>
      <c r="F606" s="210"/>
      <c r="G606" s="210"/>
      <c r="H606" s="208"/>
      <c r="I606" s="208"/>
      <c r="J606" s="209"/>
      <c r="K606" s="211"/>
      <c r="L606" s="208"/>
      <c r="M606" s="208"/>
      <c r="N606" s="208"/>
      <c r="O606" s="208"/>
      <c r="P606" s="208"/>
      <c r="Q606" s="208"/>
      <c r="R606" s="208"/>
      <c r="S606" s="212"/>
      <c r="T606" s="208"/>
      <c r="U606" s="208"/>
      <c r="V606" s="208"/>
      <c r="W606" s="208"/>
      <c r="X606" s="208"/>
      <c r="Y606" s="208"/>
      <c r="Z606" s="208"/>
    </row>
    <row r="607">
      <c r="A607" s="208"/>
      <c r="B607" s="207"/>
      <c r="C607" s="209"/>
      <c r="D607" s="210"/>
      <c r="E607" s="210"/>
      <c r="F607" s="210"/>
      <c r="G607" s="210"/>
      <c r="H607" s="208"/>
      <c r="I607" s="208"/>
      <c r="J607" s="209"/>
      <c r="K607" s="211"/>
      <c r="L607" s="208"/>
      <c r="M607" s="208"/>
      <c r="N607" s="208"/>
      <c r="O607" s="208"/>
      <c r="P607" s="208"/>
      <c r="Q607" s="208"/>
      <c r="R607" s="208"/>
      <c r="S607" s="212"/>
      <c r="T607" s="208"/>
      <c r="U607" s="208"/>
      <c r="V607" s="208"/>
      <c r="W607" s="208"/>
      <c r="X607" s="208"/>
      <c r="Y607" s="208"/>
      <c r="Z607" s="208"/>
    </row>
    <row r="608">
      <c r="A608" s="208"/>
      <c r="B608" s="207"/>
      <c r="C608" s="209"/>
      <c r="D608" s="210"/>
      <c r="E608" s="210"/>
      <c r="F608" s="210"/>
      <c r="G608" s="210"/>
      <c r="H608" s="208"/>
      <c r="I608" s="208"/>
      <c r="J608" s="209"/>
      <c r="K608" s="211"/>
      <c r="L608" s="208"/>
      <c r="M608" s="208"/>
      <c r="N608" s="208"/>
      <c r="O608" s="208"/>
      <c r="P608" s="208"/>
      <c r="Q608" s="208"/>
      <c r="R608" s="208"/>
      <c r="S608" s="212"/>
      <c r="T608" s="208"/>
      <c r="U608" s="208"/>
      <c r="V608" s="208"/>
      <c r="W608" s="208"/>
      <c r="X608" s="208"/>
      <c r="Y608" s="208"/>
      <c r="Z608" s="208"/>
    </row>
    <row r="609">
      <c r="A609" s="208"/>
      <c r="B609" s="207"/>
      <c r="C609" s="209"/>
      <c r="D609" s="210"/>
      <c r="E609" s="210"/>
      <c r="F609" s="210"/>
      <c r="G609" s="210"/>
      <c r="H609" s="208"/>
      <c r="I609" s="208"/>
      <c r="J609" s="209"/>
      <c r="K609" s="211"/>
      <c r="L609" s="208"/>
      <c r="M609" s="208"/>
      <c r="N609" s="208"/>
      <c r="O609" s="208"/>
      <c r="P609" s="208"/>
      <c r="Q609" s="208"/>
      <c r="R609" s="208"/>
      <c r="S609" s="212"/>
      <c r="T609" s="208"/>
      <c r="U609" s="208"/>
      <c r="V609" s="208"/>
      <c r="W609" s="208"/>
      <c r="X609" s="208"/>
      <c r="Y609" s="208"/>
      <c r="Z609" s="208"/>
    </row>
    <row r="610">
      <c r="A610" s="208"/>
      <c r="B610" s="207"/>
      <c r="C610" s="209"/>
      <c r="D610" s="210"/>
      <c r="E610" s="210"/>
      <c r="F610" s="210"/>
      <c r="G610" s="210"/>
      <c r="H610" s="208"/>
      <c r="I610" s="208"/>
      <c r="J610" s="209"/>
      <c r="K610" s="211"/>
      <c r="L610" s="208"/>
      <c r="M610" s="208"/>
      <c r="N610" s="208"/>
      <c r="O610" s="208"/>
      <c r="P610" s="208"/>
      <c r="Q610" s="208"/>
      <c r="R610" s="208"/>
      <c r="S610" s="212"/>
      <c r="T610" s="208"/>
      <c r="U610" s="208"/>
      <c r="V610" s="208"/>
      <c r="W610" s="208"/>
      <c r="X610" s="208"/>
      <c r="Y610" s="208"/>
      <c r="Z610" s="208"/>
    </row>
    <row r="611">
      <c r="A611" s="208"/>
      <c r="B611" s="207"/>
      <c r="C611" s="209"/>
      <c r="D611" s="210"/>
      <c r="E611" s="210"/>
      <c r="F611" s="210"/>
      <c r="G611" s="210"/>
      <c r="H611" s="208"/>
      <c r="I611" s="208"/>
      <c r="J611" s="209"/>
      <c r="K611" s="211"/>
      <c r="L611" s="208"/>
      <c r="M611" s="208"/>
      <c r="N611" s="208"/>
      <c r="O611" s="208"/>
      <c r="P611" s="208"/>
      <c r="Q611" s="208"/>
      <c r="R611" s="208"/>
      <c r="S611" s="212"/>
      <c r="T611" s="208"/>
      <c r="U611" s="208"/>
      <c r="V611" s="208"/>
      <c r="W611" s="208"/>
      <c r="X611" s="208"/>
      <c r="Y611" s="208"/>
      <c r="Z611" s="208"/>
    </row>
    <row r="612">
      <c r="A612" s="208"/>
      <c r="B612" s="207"/>
      <c r="C612" s="209"/>
      <c r="D612" s="210"/>
      <c r="E612" s="210"/>
      <c r="F612" s="210"/>
      <c r="G612" s="210"/>
      <c r="H612" s="208"/>
      <c r="I612" s="208"/>
      <c r="J612" s="209"/>
      <c r="K612" s="211"/>
      <c r="L612" s="208"/>
      <c r="M612" s="208"/>
      <c r="N612" s="208"/>
      <c r="O612" s="208"/>
      <c r="P612" s="208"/>
      <c r="Q612" s="208"/>
      <c r="R612" s="208"/>
      <c r="S612" s="212"/>
      <c r="T612" s="208"/>
      <c r="U612" s="208"/>
      <c r="V612" s="208"/>
      <c r="W612" s="208"/>
      <c r="X612" s="208"/>
      <c r="Y612" s="208"/>
      <c r="Z612" s="208"/>
    </row>
    <row r="613">
      <c r="A613" s="208"/>
      <c r="B613" s="207"/>
      <c r="C613" s="209"/>
      <c r="D613" s="210"/>
      <c r="E613" s="210"/>
      <c r="F613" s="210"/>
      <c r="G613" s="210"/>
      <c r="H613" s="208"/>
      <c r="I613" s="208"/>
      <c r="J613" s="209"/>
      <c r="K613" s="211"/>
      <c r="L613" s="208"/>
      <c r="M613" s="208"/>
      <c r="N613" s="208"/>
      <c r="O613" s="208"/>
      <c r="P613" s="208"/>
      <c r="Q613" s="208"/>
      <c r="R613" s="208"/>
      <c r="S613" s="212"/>
      <c r="T613" s="208"/>
      <c r="U613" s="208"/>
      <c r="V613" s="208"/>
      <c r="W613" s="208"/>
      <c r="X613" s="208"/>
      <c r="Y613" s="208"/>
      <c r="Z613" s="208"/>
    </row>
    <row r="614">
      <c r="A614" s="208"/>
      <c r="B614" s="207"/>
      <c r="C614" s="209"/>
      <c r="D614" s="210"/>
      <c r="E614" s="210"/>
      <c r="F614" s="210"/>
      <c r="G614" s="210"/>
      <c r="H614" s="208"/>
      <c r="I614" s="208"/>
      <c r="J614" s="209"/>
      <c r="K614" s="211"/>
      <c r="L614" s="208"/>
      <c r="M614" s="208"/>
      <c r="N614" s="208"/>
      <c r="O614" s="208"/>
      <c r="P614" s="208"/>
      <c r="Q614" s="208"/>
      <c r="R614" s="208"/>
      <c r="S614" s="212"/>
      <c r="T614" s="208"/>
      <c r="U614" s="208"/>
      <c r="V614" s="208"/>
      <c r="W614" s="208"/>
      <c r="X614" s="208"/>
      <c r="Y614" s="208"/>
      <c r="Z614" s="208"/>
    </row>
    <row r="615">
      <c r="A615" s="208"/>
      <c r="B615" s="207"/>
      <c r="C615" s="209"/>
      <c r="D615" s="210"/>
      <c r="E615" s="210"/>
      <c r="F615" s="210"/>
      <c r="G615" s="210"/>
      <c r="H615" s="208"/>
      <c r="I615" s="208"/>
      <c r="J615" s="209"/>
      <c r="K615" s="211"/>
      <c r="L615" s="208"/>
      <c r="M615" s="208"/>
      <c r="N615" s="208"/>
      <c r="O615" s="208"/>
      <c r="P615" s="208"/>
      <c r="Q615" s="208"/>
      <c r="R615" s="208"/>
      <c r="S615" s="212"/>
      <c r="T615" s="208"/>
      <c r="U615" s="208"/>
      <c r="V615" s="208"/>
      <c r="W615" s="208"/>
      <c r="X615" s="208"/>
      <c r="Y615" s="208"/>
      <c r="Z615" s="208"/>
    </row>
    <row r="616">
      <c r="A616" s="208"/>
      <c r="B616" s="207"/>
      <c r="C616" s="209"/>
      <c r="D616" s="210"/>
      <c r="E616" s="210"/>
      <c r="F616" s="210"/>
      <c r="G616" s="210"/>
      <c r="H616" s="208"/>
      <c r="I616" s="208"/>
      <c r="J616" s="209"/>
      <c r="K616" s="211"/>
      <c r="L616" s="208"/>
      <c r="M616" s="208"/>
      <c r="N616" s="208"/>
      <c r="O616" s="208"/>
      <c r="P616" s="208"/>
      <c r="Q616" s="208"/>
      <c r="R616" s="208"/>
      <c r="S616" s="212"/>
      <c r="T616" s="208"/>
      <c r="U616" s="208"/>
      <c r="V616" s="208"/>
      <c r="W616" s="208"/>
      <c r="X616" s="208"/>
      <c r="Y616" s="208"/>
      <c r="Z616" s="208"/>
    </row>
    <row r="617">
      <c r="A617" s="208"/>
      <c r="B617" s="207"/>
      <c r="C617" s="209"/>
      <c r="D617" s="210"/>
      <c r="E617" s="210"/>
      <c r="F617" s="210"/>
      <c r="G617" s="210"/>
      <c r="H617" s="208"/>
      <c r="I617" s="208"/>
      <c r="J617" s="209"/>
      <c r="K617" s="211"/>
      <c r="L617" s="208"/>
      <c r="M617" s="208"/>
      <c r="N617" s="208"/>
      <c r="O617" s="208"/>
      <c r="P617" s="208"/>
      <c r="Q617" s="208"/>
      <c r="R617" s="208"/>
      <c r="S617" s="212"/>
      <c r="T617" s="208"/>
      <c r="U617" s="208"/>
      <c r="V617" s="208"/>
      <c r="W617" s="208"/>
      <c r="X617" s="208"/>
      <c r="Y617" s="208"/>
      <c r="Z617" s="208"/>
    </row>
    <row r="618">
      <c r="A618" s="208"/>
      <c r="B618" s="207"/>
      <c r="C618" s="209"/>
      <c r="D618" s="210"/>
      <c r="E618" s="210"/>
      <c r="F618" s="210"/>
      <c r="G618" s="210"/>
      <c r="H618" s="208"/>
      <c r="I618" s="208"/>
      <c r="J618" s="209"/>
      <c r="K618" s="211"/>
      <c r="L618" s="208"/>
      <c r="M618" s="208"/>
      <c r="N618" s="208"/>
      <c r="O618" s="208"/>
      <c r="P618" s="208"/>
      <c r="Q618" s="208"/>
      <c r="R618" s="208"/>
      <c r="S618" s="212"/>
      <c r="T618" s="208"/>
      <c r="U618" s="208"/>
      <c r="V618" s="208"/>
      <c r="W618" s="208"/>
      <c r="X618" s="208"/>
      <c r="Y618" s="208"/>
      <c r="Z618" s="208"/>
    </row>
    <row r="619">
      <c r="A619" s="208"/>
      <c r="B619" s="207"/>
      <c r="C619" s="209"/>
      <c r="D619" s="210"/>
      <c r="E619" s="210"/>
      <c r="F619" s="210"/>
      <c r="G619" s="210"/>
      <c r="H619" s="208"/>
      <c r="I619" s="208"/>
      <c r="J619" s="209"/>
      <c r="K619" s="211"/>
      <c r="L619" s="208"/>
      <c r="M619" s="208"/>
      <c r="N619" s="208"/>
      <c r="O619" s="208"/>
      <c r="P619" s="208"/>
      <c r="Q619" s="208"/>
      <c r="R619" s="208"/>
      <c r="S619" s="212"/>
      <c r="T619" s="208"/>
      <c r="U619" s="208"/>
      <c r="V619" s="208"/>
      <c r="W619" s="208"/>
      <c r="X619" s="208"/>
      <c r="Y619" s="208"/>
      <c r="Z619" s="208"/>
    </row>
    <row r="620">
      <c r="A620" s="208"/>
      <c r="B620" s="207"/>
      <c r="C620" s="209"/>
      <c r="D620" s="210"/>
      <c r="E620" s="210"/>
      <c r="F620" s="210"/>
      <c r="G620" s="210"/>
      <c r="H620" s="208"/>
      <c r="I620" s="208"/>
      <c r="J620" s="209"/>
      <c r="K620" s="211"/>
      <c r="L620" s="208"/>
      <c r="M620" s="208"/>
      <c r="N620" s="208"/>
      <c r="O620" s="208"/>
      <c r="P620" s="208"/>
      <c r="Q620" s="208"/>
      <c r="R620" s="208"/>
      <c r="S620" s="212"/>
      <c r="T620" s="208"/>
      <c r="U620" s="208"/>
      <c r="V620" s="208"/>
      <c r="W620" s="208"/>
      <c r="X620" s="208"/>
      <c r="Y620" s="208"/>
      <c r="Z620" s="208"/>
    </row>
    <row r="621">
      <c r="A621" s="208"/>
      <c r="B621" s="207"/>
      <c r="C621" s="209"/>
      <c r="D621" s="210"/>
      <c r="E621" s="210"/>
      <c r="F621" s="210"/>
      <c r="G621" s="210"/>
      <c r="H621" s="208"/>
      <c r="I621" s="208"/>
      <c r="J621" s="209"/>
      <c r="K621" s="211"/>
      <c r="L621" s="208"/>
      <c r="M621" s="208"/>
      <c r="N621" s="208"/>
      <c r="O621" s="208"/>
      <c r="P621" s="208"/>
      <c r="Q621" s="208"/>
      <c r="R621" s="208"/>
      <c r="S621" s="212"/>
      <c r="T621" s="208"/>
      <c r="U621" s="208"/>
      <c r="V621" s="208"/>
      <c r="W621" s="208"/>
      <c r="X621" s="208"/>
      <c r="Y621" s="208"/>
      <c r="Z621" s="208"/>
    </row>
    <row r="622">
      <c r="A622" s="208"/>
      <c r="B622" s="207"/>
      <c r="C622" s="209"/>
      <c r="D622" s="210"/>
      <c r="E622" s="210"/>
      <c r="F622" s="210"/>
      <c r="G622" s="210"/>
      <c r="H622" s="208"/>
      <c r="I622" s="208"/>
      <c r="J622" s="209"/>
      <c r="K622" s="211"/>
      <c r="L622" s="208"/>
      <c r="M622" s="208"/>
      <c r="N622" s="208"/>
      <c r="O622" s="208"/>
      <c r="P622" s="208"/>
      <c r="Q622" s="208"/>
      <c r="R622" s="208"/>
      <c r="S622" s="212"/>
      <c r="T622" s="208"/>
      <c r="U622" s="208"/>
      <c r="V622" s="208"/>
      <c r="W622" s="208"/>
      <c r="X622" s="208"/>
      <c r="Y622" s="208"/>
      <c r="Z622" s="208"/>
    </row>
    <row r="623">
      <c r="A623" s="208"/>
      <c r="B623" s="207"/>
      <c r="C623" s="209"/>
      <c r="D623" s="210"/>
      <c r="E623" s="210"/>
      <c r="F623" s="210"/>
      <c r="G623" s="210"/>
      <c r="H623" s="208"/>
      <c r="I623" s="208"/>
      <c r="J623" s="209"/>
      <c r="K623" s="211"/>
      <c r="L623" s="208"/>
      <c r="M623" s="208"/>
      <c r="N623" s="208"/>
      <c r="O623" s="208"/>
      <c r="P623" s="208"/>
      <c r="Q623" s="208"/>
      <c r="R623" s="208"/>
      <c r="S623" s="212"/>
      <c r="T623" s="208"/>
      <c r="U623" s="208"/>
      <c r="V623" s="208"/>
      <c r="W623" s="208"/>
      <c r="X623" s="208"/>
      <c r="Y623" s="208"/>
      <c r="Z623" s="208"/>
    </row>
    <row r="624">
      <c r="A624" s="208"/>
      <c r="B624" s="207"/>
      <c r="C624" s="209"/>
      <c r="D624" s="210"/>
      <c r="E624" s="210"/>
      <c r="F624" s="210"/>
      <c r="G624" s="210"/>
      <c r="H624" s="208"/>
      <c r="I624" s="208"/>
      <c r="J624" s="209"/>
      <c r="K624" s="211"/>
      <c r="L624" s="208"/>
      <c r="M624" s="208"/>
      <c r="N624" s="208"/>
      <c r="O624" s="208"/>
      <c r="P624" s="208"/>
      <c r="Q624" s="208"/>
      <c r="R624" s="208"/>
      <c r="S624" s="212"/>
      <c r="T624" s="208"/>
      <c r="U624" s="208"/>
      <c r="V624" s="208"/>
      <c r="W624" s="208"/>
      <c r="X624" s="208"/>
      <c r="Y624" s="208"/>
      <c r="Z624" s="208"/>
    </row>
    <row r="625">
      <c r="A625" s="208"/>
      <c r="B625" s="207"/>
      <c r="C625" s="209"/>
      <c r="D625" s="210"/>
      <c r="E625" s="210"/>
      <c r="F625" s="210"/>
      <c r="G625" s="210"/>
      <c r="H625" s="208"/>
      <c r="I625" s="208"/>
      <c r="J625" s="209"/>
      <c r="K625" s="211"/>
      <c r="L625" s="208"/>
      <c r="M625" s="208"/>
      <c r="N625" s="208"/>
      <c r="O625" s="208"/>
      <c r="P625" s="208"/>
      <c r="Q625" s="208"/>
      <c r="R625" s="208"/>
      <c r="S625" s="212"/>
      <c r="T625" s="208"/>
      <c r="U625" s="208"/>
      <c r="V625" s="208"/>
      <c r="W625" s="208"/>
      <c r="X625" s="208"/>
      <c r="Y625" s="208"/>
      <c r="Z625" s="208"/>
    </row>
    <row r="626">
      <c r="A626" s="208"/>
      <c r="B626" s="207"/>
      <c r="C626" s="209"/>
      <c r="D626" s="210"/>
      <c r="E626" s="210"/>
      <c r="F626" s="210"/>
      <c r="G626" s="210"/>
      <c r="H626" s="208"/>
      <c r="I626" s="208"/>
      <c r="J626" s="209"/>
      <c r="K626" s="211"/>
      <c r="L626" s="208"/>
      <c r="M626" s="208"/>
      <c r="N626" s="208"/>
      <c r="O626" s="208"/>
      <c r="P626" s="208"/>
      <c r="Q626" s="208"/>
      <c r="R626" s="208"/>
      <c r="S626" s="212"/>
      <c r="T626" s="208"/>
      <c r="U626" s="208"/>
      <c r="V626" s="208"/>
      <c r="W626" s="208"/>
      <c r="X626" s="208"/>
      <c r="Y626" s="208"/>
      <c r="Z626" s="208"/>
    </row>
    <row r="627">
      <c r="A627" s="208"/>
      <c r="B627" s="207"/>
      <c r="C627" s="209"/>
      <c r="D627" s="210"/>
      <c r="E627" s="210"/>
      <c r="F627" s="210"/>
      <c r="G627" s="210"/>
      <c r="H627" s="208"/>
      <c r="I627" s="208"/>
      <c r="J627" s="209"/>
      <c r="K627" s="211"/>
      <c r="L627" s="208"/>
      <c r="M627" s="208"/>
      <c r="N627" s="208"/>
      <c r="O627" s="208"/>
      <c r="P627" s="208"/>
      <c r="Q627" s="208"/>
      <c r="R627" s="208"/>
      <c r="S627" s="212"/>
      <c r="T627" s="208"/>
      <c r="U627" s="208"/>
      <c r="V627" s="208"/>
      <c r="W627" s="208"/>
      <c r="X627" s="208"/>
      <c r="Y627" s="208"/>
      <c r="Z627" s="208"/>
    </row>
    <row r="628">
      <c r="A628" s="208"/>
      <c r="B628" s="207"/>
      <c r="C628" s="209"/>
      <c r="D628" s="210"/>
      <c r="E628" s="210"/>
      <c r="F628" s="210"/>
      <c r="G628" s="210"/>
      <c r="H628" s="208"/>
      <c r="I628" s="208"/>
      <c r="J628" s="209"/>
      <c r="K628" s="211"/>
      <c r="L628" s="208"/>
      <c r="M628" s="208"/>
      <c r="N628" s="208"/>
      <c r="O628" s="208"/>
      <c r="P628" s="208"/>
      <c r="Q628" s="208"/>
      <c r="R628" s="208"/>
      <c r="S628" s="212"/>
      <c r="T628" s="208"/>
      <c r="U628" s="208"/>
      <c r="V628" s="208"/>
      <c r="W628" s="208"/>
      <c r="X628" s="208"/>
      <c r="Y628" s="208"/>
      <c r="Z628" s="208"/>
    </row>
    <row r="629">
      <c r="A629" s="208"/>
      <c r="B629" s="207"/>
      <c r="C629" s="209"/>
      <c r="D629" s="210"/>
      <c r="E629" s="210"/>
      <c r="F629" s="210"/>
      <c r="G629" s="210"/>
      <c r="H629" s="208"/>
      <c r="I629" s="208"/>
      <c r="J629" s="209"/>
      <c r="K629" s="211"/>
      <c r="L629" s="208"/>
      <c r="M629" s="208"/>
      <c r="N629" s="208"/>
      <c r="O629" s="208"/>
      <c r="P629" s="208"/>
      <c r="Q629" s="208"/>
      <c r="R629" s="208"/>
      <c r="S629" s="212"/>
      <c r="T629" s="208"/>
      <c r="U629" s="208"/>
      <c r="V629" s="208"/>
      <c r="W629" s="208"/>
      <c r="X629" s="208"/>
      <c r="Y629" s="208"/>
      <c r="Z629" s="208"/>
    </row>
    <row r="630">
      <c r="A630" s="208"/>
      <c r="B630" s="207"/>
      <c r="C630" s="209"/>
      <c r="D630" s="210"/>
      <c r="E630" s="210"/>
      <c r="F630" s="210"/>
      <c r="G630" s="210"/>
      <c r="H630" s="208"/>
      <c r="I630" s="208"/>
      <c r="J630" s="209"/>
      <c r="K630" s="211"/>
      <c r="L630" s="208"/>
      <c r="M630" s="208"/>
      <c r="N630" s="208"/>
      <c r="O630" s="208"/>
      <c r="P630" s="208"/>
      <c r="Q630" s="208"/>
      <c r="R630" s="208"/>
      <c r="S630" s="212"/>
      <c r="T630" s="208"/>
      <c r="U630" s="208"/>
      <c r="V630" s="208"/>
      <c r="W630" s="208"/>
      <c r="X630" s="208"/>
      <c r="Y630" s="208"/>
      <c r="Z630" s="208"/>
    </row>
    <row r="631">
      <c r="A631" s="208"/>
      <c r="B631" s="207"/>
      <c r="C631" s="209"/>
      <c r="D631" s="210"/>
      <c r="E631" s="210"/>
      <c r="F631" s="210"/>
      <c r="G631" s="210"/>
      <c r="H631" s="208"/>
      <c r="I631" s="208"/>
      <c r="J631" s="209"/>
      <c r="K631" s="211"/>
      <c r="L631" s="208"/>
      <c r="M631" s="208"/>
      <c r="N631" s="208"/>
      <c r="O631" s="208"/>
      <c r="P631" s="208"/>
      <c r="Q631" s="208"/>
      <c r="R631" s="208"/>
      <c r="S631" s="212"/>
      <c r="T631" s="208"/>
      <c r="U631" s="208"/>
      <c r="V631" s="208"/>
      <c r="W631" s="208"/>
      <c r="X631" s="208"/>
      <c r="Y631" s="208"/>
      <c r="Z631" s="208"/>
    </row>
    <row r="632">
      <c r="A632" s="208"/>
      <c r="B632" s="207"/>
      <c r="C632" s="209"/>
      <c r="D632" s="210"/>
      <c r="E632" s="210"/>
      <c r="F632" s="210"/>
      <c r="G632" s="210"/>
      <c r="H632" s="208"/>
      <c r="I632" s="208"/>
      <c r="J632" s="209"/>
      <c r="K632" s="211"/>
      <c r="L632" s="208"/>
      <c r="M632" s="208"/>
      <c r="N632" s="208"/>
      <c r="O632" s="208"/>
      <c r="P632" s="208"/>
      <c r="Q632" s="208"/>
      <c r="R632" s="208"/>
      <c r="S632" s="212"/>
      <c r="T632" s="208"/>
      <c r="U632" s="208"/>
      <c r="V632" s="208"/>
      <c r="W632" s="208"/>
      <c r="X632" s="208"/>
      <c r="Y632" s="208"/>
      <c r="Z632" s="208"/>
    </row>
    <row r="633">
      <c r="A633" s="208"/>
      <c r="B633" s="207"/>
      <c r="C633" s="209"/>
      <c r="D633" s="210"/>
      <c r="E633" s="210"/>
      <c r="F633" s="210"/>
      <c r="G633" s="210"/>
      <c r="H633" s="208"/>
      <c r="I633" s="208"/>
      <c r="J633" s="209"/>
      <c r="K633" s="211"/>
      <c r="L633" s="208"/>
      <c r="M633" s="208"/>
      <c r="N633" s="208"/>
      <c r="O633" s="208"/>
      <c r="P633" s="208"/>
      <c r="Q633" s="208"/>
      <c r="R633" s="208"/>
      <c r="S633" s="212"/>
      <c r="T633" s="208"/>
      <c r="U633" s="208"/>
      <c r="V633" s="208"/>
      <c r="W633" s="208"/>
      <c r="X633" s="208"/>
      <c r="Y633" s="208"/>
      <c r="Z633" s="208"/>
    </row>
    <row r="634">
      <c r="A634" s="208"/>
      <c r="B634" s="207"/>
      <c r="C634" s="209"/>
      <c r="D634" s="210"/>
      <c r="E634" s="210"/>
      <c r="F634" s="210"/>
      <c r="G634" s="210"/>
      <c r="H634" s="208"/>
      <c r="I634" s="208"/>
      <c r="J634" s="209"/>
      <c r="K634" s="211"/>
      <c r="L634" s="208"/>
      <c r="M634" s="208"/>
      <c r="N634" s="208"/>
      <c r="O634" s="208"/>
      <c r="P634" s="208"/>
      <c r="Q634" s="208"/>
      <c r="R634" s="208"/>
      <c r="S634" s="212"/>
      <c r="T634" s="208"/>
      <c r="U634" s="208"/>
      <c r="V634" s="208"/>
      <c r="W634" s="208"/>
      <c r="X634" s="208"/>
      <c r="Y634" s="208"/>
      <c r="Z634" s="208"/>
    </row>
    <row r="635">
      <c r="A635" s="208"/>
      <c r="B635" s="207"/>
      <c r="C635" s="209"/>
      <c r="D635" s="210"/>
      <c r="E635" s="210"/>
      <c r="F635" s="210"/>
      <c r="G635" s="210"/>
      <c r="H635" s="208"/>
      <c r="I635" s="208"/>
      <c r="J635" s="209"/>
      <c r="K635" s="211"/>
      <c r="L635" s="208"/>
      <c r="M635" s="208"/>
      <c r="N635" s="208"/>
      <c r="O635" s="208"/>
      <c r="P635" s="208"/>
      <c r="Q635" s="208"/>
      <c r="R635" s="208"/>
      <c r="S635" s="212"/>
      <c r="T635" s="208"/>
      <c r="U635" s="208"/>
      <c r="V635" s="208"/>
      <c r="W635" s="208"/>
      <c r="X635" s="208"/>
      <c r="Y635" s="208"/>
      <c r="Z635" s="208"/>
    </row>
    <row r="636">
      <c r="A636" s="208"/>
      <c r="B636" s="207"/>
      <c r="C636" s="209"/>
      <c r="D636" s="210"/>
      <c r="E636" s="210"/>
      <c r="F636" s="210"/>
      <c r="G636" s="210"/>
      <c r="H636" s="208"/>
      <c r="I636" s="208"/>
      <c r="J636" s="209"/>
      <c r="K636" s="211"/>
      <c r="L636" s="208"/>
      <c r="M636" s="208"/>
      <c r="N636" s="208"/>
      <c r="O636" s="208"/>
      <c r="P636" s="208"/>
      <c r="Q636" s="208"/>
      <c r="R636" s="208"/>
      <c r="S636" s="212"/>
      <c r="T636" s="208"/>
      <c r="U636" s="208"/>
      <c r="V636" s="208"/>
      <c r="W636" s="208"/>
      <c r="X636" s="208"/>
      <c r="Y636" s="208"/>
      <c r="Z636" s="208"/>
    </row>
    <row r="637">
      <c r="A637" s="208"/>
      <c r="B637" s="207"/>
      <c r="C637" s="209"/>
      <c r="D637" s="210"/>
      <c r="E637" s="210"/>
      <c r="F637" s="210"/>
      <c r="G637" s="210"/>
      <c r="H637" s="208"/>
      <c r="I637" s="208"/>
      <c r="J637" s="209"/>
      <c r="K637" s="211"/>
      <c r="L637" s="208"/>
      <c r="M637" s="208"/>
      <c r="N637" s="208"/>
      <c r="O637" s="208"/>
      <c r="P637" s="208"/>
      <c r="Q637" s="208"/>
      <c r="R637" s="208"/>
      <c r="S637" s="212"/>
      <c r="T637" s="208"/>
      <c r="U637" s="208"/>
      <c r="V637" s="208"/>
      <c r="W637" s="208"/>
      <c r="X637" s="208"/>
      <c r="Y637" s="208"/>
      <c r="Z637" s="208"/>
    </row>
    <row r="638">
      <c r="A638" s="208"/>
      <c r="B638" s="207"/>
      <c r="C638" s="209"/>
      <c r="D638" s="210"/>
      <c r="E638" s="210"/>
      <c r="F638" s="210"/>
      <c r="G638" s="210"/>
      <c r="H638" s="208"/>
      <c r="I638" s="208"/>
      <c r="J638" s="209"/>
      <c r="K638" s="211"/>
      <c r="L638" s="208"/>
      <c r="M638" s="208"/>
      <c r="N638" s="208"/>
      <c r="O638" s="208"/>
      <c r="P638" s="208"/>
      <c r="Q638" s="208"/>
      <c r="R638" s="208"/>
      <c r="S638" s="212"/>
      <c r="T638" s="208"/>
      <c r="U638" s="208"/>
      <c r="V638" s="208"/>
      <c r="W638" s="208"/>
      <c r="X638" s="208"/>
      <c r="Y638" s="208"/>
      <c r="Z638" s="208"/>
    </row>
    <row r="639">
      <c r="A639" s="208"/>
      <c r="B639" s="207"/>
      <c r="C639" s="209"/>
      <c r="D639" s="210"/>
      <c r="E639" s="210"/>
      <c r="F639" s="210"/>
      <c r="G639" s="210"/>
      <c r="H639" s="208"/>
      <c r="I639" s="208"/>
      <c r="J639" s="209"/>
      <c r="K639" s="211"/>
      <c r="L639" s="208"/>
      <c r="M639" s="208"/>
      <c r="N639" s="208"/>
      <c r="O639" s="208"/>
      <c r="P639" s="208"/>
      <c r="Q639" s="208"/>
      <c r="R639" s="208"/>
      <c r="S639" s="212"/>
      <c r="T639" s="208"/>
      <c r="U639" s="208"/>
      <c r="V639" s="208"/>
      <c r="W639" s="208"/>
      <c r="X639" s="208"/>
      <c r="Y639" s="208"/>
      <c r="Z639" s="208"/>
    </row>
    <row r="640">
      <c r="A640" s="208"/>
      <c r="B640" s="207"/>
      <c r="C640" s="209"/>
      <c r="D640" s="210"/>
      <c r="E640" s="210"/>
      <c r="F640" s="210"/>
      <c r="G640" s="210"/>
      <c r="H640" s="208"/>
      <c r="I640" s="208"/>
      <c r="J640" s="209"/>
      <c r="K640" s="211"/>
      <c r="L640" s="208"/>
      <c r="M640" s="208"/>
      <c r="N640" s="208"/>
      <c r="O640" s="208"/>
      <c r="P640" s="208"/>
      <c r="Q640" s="208"/>
      <c r="R640" s="208"/>
      <c r="S640" s="212"/>
      <c r="T640" s="208"/>
      <c r="U640" s="208"/>
      <c r="V640" s="208"/>
      <c r="W640" s="208"/>
      <c r="X640" s="208"/>
      <c r="Y640" s="208"/>
      <c r="Z640" s="208"/>
    </row>
    <row r="641">
      <c r="A641" s="208"/>
      <c r="B641" s="207"/>
      <c r="C641" s="209"/>
      <c r="D641" s="210"/>
      <c r="E641" s="210"/>
      <c r="F641" s="210"/>
      <c r="G641" s="210"/>
      <c r="H641" s="208"/>
      <c r="I641" s="208"/>
      <c r="J641" s="209"/>
      <c r="K641" s="211"/>
      <c r="L641" s="208"/>
      <c r="M641" s="208"/>
      <c r="N641" s="208"/>
      <c r="O641" s="208"/>
      <c r="P641" s="208"/>
      <c r="Q641" s="208"/>
      <c r="R641" s="208"/>
      <c r="S641" s="212"/>
      <c r="T641" s="208"/>
      <c r="U641" s="208"/>
      <c r="V641" s="208"/>
      <c r="W641" s="208"/>
      <c r="X641" s="208"/>
      <c r="Y641" s="208"/>
      <c r="Z641" s="208"/>
    </row>
    <row r="642">
      <c r="A642" s="208"/>
      <c r="B642" s="207"/>
      <c r="C642" s="209"/>
      <c r="D642" s="210"/>
      <c r="E642" s="210"/>
      <c r="F642" s="210"/>
      <c r="G642" s="210"/>
      <c r="H642" s="208"/>
      <c r="I642" s="208"/>
      <c r="J642" s="209"/>
      <c r="K642" s="211"/>
      <c r="L642" s="208"/>
      <c r="M642" s="208"/>
      <c r="N642" s="208"/>
      <c r="O642" s="208"/>
      <c r="P642" s="208"/>
      <c r="Q642" s="208"/>
      <c r="R642" s="208"/>
      <c r="S642" s="212"/>
      <c r="T642" s="208"/>
      <c r="U642" s="208"/>
      <c r="V642" s="208"/>
      <c r="W642" s="208"/>
      <c r="X642" s="208"/>
      <c r="Y642" s="208"/>
      <c r="Z642" s="208"/>
    </row>
    <row r="643">
      <c r="A643" s="208"/>
      <c r="B643" s="207"/>
      <c r="C643" s="209"/>
      <c r="D643" s="210"/>
      <c r="E643" s="210"/>
      <c r="F643" s="210"/>
      <c r="G643" s="210"/>
      <c r="H643" s="208"/>
      <c r="I643" s="208"/>
      <c r="J643" s="209"/>
      <c r="K643" s="211"/>
      <c r="L643" s="208"/>
      <c r="M643" s="208"/>
      <c r="N643" s="208"/>
      <c r="O643" s="208"/>
      <c r="P643" s="208"/>
      <c r="Q643" s="208"/>
      <c r="R643" s="208"/>
      <c r="S643" s="212"/>
      <c r="T643" s="208"/>
      <c r="U643" s="208"/>
      <c r="V643" s="208"/>
      <c r="W643" s="208"/>
      <c r="X643" s="208"/>
      <c r="Y643" s="208"/>
      <c r="Z643" s="208"/>
    </row>
    <row r="644">
      <c r="A644" s="208"/>
      <c r="B644" s="207"/>
      <c r="C644" s="209"/>
      <c r="D644" s="210"/>
      <c r="E644" s="210"/>
      <c r="F644" s="210"/>
      <c r="G644" s="210"/>
      <c r="H644" s="208"/>
      <c r="I644" s="208"/>
      <c r="J644" s="209"/>
      <c r="K644" s="211"/>
      <c r="L644" s="208"/>
      <c r="M644" s="208"/>
      <c r="N644" s="208"/>
      <c r="O644" s="208"/>
      <c r="P644" s="208"/>
      <c r="Q644" s="208"/>
      <c r="R644" s="208"/>
      <c r="S644" s="212"/>
      <c r="T644" s="208"/>
      <c r="U644" s="208"/>
      <c r="V644" s="208"/>
      <c r="W644" s="208"/>
      <c r="X644" s="208"/>
      <c r="Y644" s="208"/>
      <c r="Z644" s="208"/>
    </row>
    <row r="645">
      <c r="A645" s="208"/>
      <c r="B645" s="207"/>
      <c r="C645" s="209"/>
      <c r="D645" s="210"/>
      <c r="E645" s="210"/>
      <c r="F645" s="210"/>
      <c r="G645" s="210"/>
      <c r="H645" s="208"/>
      <c r="I645" s="208"/>
      <c r="J645" s="209"/>
      <c r="K645" s="211"/>
      <c r="L645" s="208"/>
      <c r="M645" s="208"/>
      <c r="N645" s="208"/>
      <c r="O645" s="208"/>
      <c r="P645" s="208"/>
      <c r="Q645" s="208"/>
      <c r="R645" s="208"/>
      <c r="S645" s="212"/>
      <c r="T645" s="208"/>
      <c r="U645" s="208"/>
      <c r="V645" s="208"/>
      <c r="W645" s="208"/>
      <c r="X645" s="208"/>
      <c r="Y645" s="208"/>
      <c r="Z645" s="208"/>
    </row>
    <row r="646">
      <c r="A646" s="208"/>
      <c r="B646" s="207"/>
      <c r="C646" s="209"/>
      <c r="D646" s="210"/>
      <c r="E646" s="210"/>
      <c r="F646" s="210"/>
      <c r="G646" s="210"/>
      <c r="H646" s="208"/>
      <c r="I646" s="208"/>
      <c r="J646" s="209"/>
      <c r="K646" s="211"/>
      <c r="L646" s="208"/>
      <c r="M646" s="208"/>
      <c r="N646" s="208"/>
      <c r="O646" s="208"/>
      <c r="P646" s="208"/>
      <c r="Q646" s="208"/>
      <c r="R646" s="208"/>
      <c r="S646" s="212"/>
      <c r="T646" s="208"/>
      <c r="U646" s="208"/>
      <c r="V646" s="208"/>
      <c r="W646" s="208"/>
      <c r="X646" s="208"/>
      <c r="Y646" s="208"/>
      <c r="Z646" s="208"/>
    </row>
    <row r="647">
      <c r="A647" s="208"/>
      <c r="B647" s="207"/>
      <c r="C647" s="209"/>
      <c r="D647" s="210"/>
      <c r="E647" s="210"/>
      <c r="F647" s="210"/>
      <c r="G647" s="210"/>
      <c r="H647" s="208"/>
      <c r="I647" s="208"/>
      <c r="J647" s="209"/>
      <c r="K647" s="211"/>
      <c r="L647" s="208"/>
      <c r="M647" s="208"/>
      <c r="N647" s="208"/>
      <c r="O647" s="208"/>
      <c r="P647" s="208"/>
      <c r="Q647" s="208"/>
      <c r="R647" s="208"/>
      <c r="S647" s="212"/>
      <c r="T647" s="208"/>
      <c r="U647" s="208"/>
      <c r="V647" s="208"/>
      <c r="W647" s="208"/>
      <c r="X647" s="208"/>
      <c r="Y647" s="208"/>
      <c r="Z647" s="208"/>
    </row>
    <row r="648">
      <c r="A648" s="208"/>
      <c r="B648" s="207"/>
      <c r="C648" s="209"/>
      <c r="D648" s="210"/>
      <c r="E648" s="210"/>
      <c r="F648" s="210"/>
      <c r="G648" s="210"/>
      <c r="H648" s="208"/>
      <c r="I648" s="208"/>
      <c r="J648" s="209"/>
      <c r="K648" s="211"/>
      <c r="L648" s="208"/>
      <c r="M648" s="208"/>
      <c r="N648" s="208"/>
      <c r="O648" s="208"/>
      <c r="P648" s="208"/>
      <c r="Q648" s="208"/>
      <c r="R648" s="208"/>
      <c r="S648" s="212"/>
      <c r="T648" s="208"/>
      <c r="U648" s="208"/>
      <c r="V648" s="208"/>
      <c r="W648" s="208"/>
      <c r="X648" s="208"/>
      <c r="Y648" s="208"/>
      <c r="Z648" s="208"/>
    </row>
    <row r="649">
      <c r="A649" s="208"/>
      <c r="B649" s="207"/>
      <c r="C649" s="209"/>
      <c r="D649" s="210"/>
      <c r="E649" s="210"/>
      <c r="F649" s="210"/>
      <c r="G649" s="210"/>
      <c r="H649" s="208"/>
      <c r="I649" s="208"/>
      <c r="J649" s="209"/>
      <c r="K649" s="211"/>
      <c r="L649" s="208"/>
      <c r="M649" s="208"/>
      <c r="N649" s="208"/>
      <c r="O649" s="208"/>
      <c r="P649" s="208"/>
      <c r="Q649" s="208"/>
      <c r="R649" s="208"/>
      <c r="S649" s="212"/>
      <c r="T649" s="208"/>
      <c r="U649" s="208"/>
      <c r="V649" s="208"/>
      <c r="W649" s="208"/>
      <c r="X649" s="208"/>
      <c r="Y649" s="208"/>
      <c r="Z649" s="208"/>
    </row>
    <row r="650">
      <c r="A650" s="208"/>
      <c r="B650" s="207"/>
      <c r="C650" s="209"/>
      <c r="D650" s="210"/>
      <c r="E650" s="210"/>
      <c r="F650" s="210"/>
      <c r="G650" s="210"/>
      <c r="H650" s="208"/>
      <c r="I650" s="208"/>
      <c r="J650" s="209"/>
      <c r="K650" s="211"/>
      <c r="L650" s="208"/>
      <c r="M650" s="208"/>
      <c r="N650" s="208"/>
      <c r="O650" s="208"/>
      <c r="P650" s="208"/>
      <c r="Q650" s="208"/>
      <c r="R650" s="208"/>
      <c r="S650" s="212"/>
      <c r="T650" s="208"/>
      <c r="U650" s="208"/>
      <c r="V650" s="208"/>
      <c r="W650" s="208"/>
      <c r="X650" s="208"/>
      <c r="Y650" s="208"/>
      <c r="Z650" s="208"/>
    </row>
    <row r="651">
      <c r="A651" s="208"/>
      <c r="B651" s="207"/>
      <c r="C651" s="209"/>
      <c r="D651" s="210"/>
      <c r="E651" s="210"/>
      <c r="F651" s="210"/>
      <c r="G651" s="210"/>
      <c r="H651" s="208"/>
      <c r="I651" s="208"/>
      <c r="J651" s="209"/>
      <c r="K651" s="211"/>
      <c r="L651" s="208"/>
      <c r="M651" s="208"/>
      <c r="N651" s="208"/>
      <c r="O651" s="208"/>
      <c r="P651" s="208"/>
      <c r="Q651" s="208"/>
      <c r="R651" s="208"/>
      <c r="S651" s="212"/>
      <c r="T651" s="208"/>
      <c r="U651" s="208"/>
      <c r="V651" s="208"/>
      <c r="W651" s="208"/>
      <c r="X651" s="208"/>
      <c r="Y651" s="208"/>
      <c r="Z651" s="208"/>
    </row>
    <row r="652">
      <c r="A652" s="208"/>
      <c r="B652" s="207"/>
      <c r="C652" s="209"/>
      <c r="D652" s="210"/>
      <c r="E652" s="210"/>
      <c r="F652" s="210"/>
      <c r="G652" s="210"/>
      <c r="H652" s="208"/>
      <c r="I652" s="208"/>
      <c r="J652" s="209"/>
      <c r="K652" s="211"/>
      <c r="L652" s="208"/>
      <c r="M652" s="208"/>
      <c r="N652" s="208"/>
      <c r="O652" s="208"/>
      <c r="P652" s="208"/>
      <c r="Q652" s="208"/>
      <c r="R652" s="208"/>
      <c r="S652" s="212"/>
      <c r="T652" s="208"/>
      <c r="U652" s="208"/>
      <c r="V652" s="208"/>
      <c r="W652" s="208"/>
      <c r="X652" s="208"/>
      <c r="Y652" s="208"/>
      <c r="Z652" s="208"/>
    </row>
    <row r="653">
      <c r="A653" s="208"/>
      <c r="B653" s="207"/>
      <c r="C653" s="209"/>
      <c r="D653" s="210"/>
      <c r="E653" s="210"/>
      <c r="F653" s="210"/>
      <c r="G653" s="210"/>
      <c r="H653" s="208"/>
      <c r="I653" s="208"/>
      <c r="J653" s="209"/>
      <c r="K653" s="211"/>
      <c r="L653" s="208"/>
      <c r="M653" s="208"/>
      <c r="N653" s="208"/>
      <c r="O653" s="208"/>
      <c r="P653" s="208"/>
      <c r="Q653" s="208"/>
      <c r="R653" s="208"/>
      <c r="S653" s="212"/>
      <c r="T653" s="208"/>
      <c r="U653" s="208"/>
      <c r="V653" s="208"/>
      <c r="W653" s="208"/>
      <c r="X653" s="208"/>
      <c r="Y653" s="208"/>
      <c r="Z653" s="208"/>
    </row>
    <row r="654">
      <c r="A654" s="208"/>
      <c r="B654" s="207"/>
      <c r="C654" s="209"/>
      <c r="D654" s="210"/>
      <c r="E654" s="210"/>
      <c r="F654" s="210"/>
      <c r="G654" s="210"/>
      <c r="H654" s="208"/>
      <c r="I654" s="208"/>
      <c r="J654" s="209"/>
      <c r="K654" s="211"/>
      <c r="L654" s="208"/>
      <c r="M654" s="208"/>
      <c r="N654" s="208"/>
      <c r="O654" s="208"/>
      <c r="P654" s="208"/>
      <c r="Q654" s="208"/>
      <c r="R654" s="208"/>
      <c r="S654" s="212"/>
      <c r="T654" s="208"/>
      <c r="U654" s="208"/>
      <c r="V654" s="208"/>
      <c r="W654" s="208"/>
      <c r="X654" s="208"/>
      <c r="Y654" s="208"/>
      <c r="Z654" s="208"/>
    </row>
    <row r="655">
      <c r="A655" s="208"/>
      <c r="B655" s="207"/>
      <c r="C655" s="209"/>
      <c r="D655" s="210"/>
      <c r="E655" s="210"/>
      <c r="F655" s="210"/>
      <c r="G655" s="210"/>
      <c r="H655" s="208"/>
      <c r="I655" s="208"/>
      <c r="J655" s="209"/>
      <c r="K655" s="211"/>
      <c r="L655" s="208"/>
      <c r="M655" s="208"/>
      <c r="N655" s="208"/>
      <c r="O655" s="208"/>
      <c r="P655" s="208"/>
      <c r="Q655" s="208"/>
      <c r="R655" s="208"/>
      <c r="S655" s="212"/>
      <c r="T655" s="208"/>
      <c r="U655" s="208"/>
      <c r="V655" s="208"/>
      <c r="W655" s="208"/>
      <c r="X655" s="208"/>
      <c r="Y655" s="208"/>
      <c r="Z655" s="208"/>
    </row>
    <row r="656">
      <c r="A656" s="208"/>
      <c r="B656" s="207"/>
      <c r="C656" s="209"/>
      <c r="D656" s="210"/>
      <c r="E656" s="210"/>
      <c r="F656" s="210"/>
      <c r="G656" s="210"/>
      <c r="H656" s="208"/>
      <c r="I656" s="208"/>
      <c r="J656" s="209"/>
      <c r="K656" s="211"/>
      <c r="L656" s="208"/>
      <c r="M656" s="208"/>
      <c r="N656" s="208"/>
      <c r="O656" s="208"/>
      <c r="P656" s="208"/>
      <c r="Q656" s="208"/>
      <c r="R656" s="208"/>
      <c r="S656" s="212"/>
      <c r="T656" s="208"/>
      <c r="U656" s="208"/>
      <c r="V656" s="208"/>
      <c r="W656" s="208"/>
      <c r="X656" s="208"/>
      <c r="Y656" s="208"/>
      <c r="Z656" s="208"/>
    </row>
    <row r="657">
      <c r="A657" s="208"/>
      <c r="B657" s="207"/>
      <c r="C657" s="209"/>
      <c r="D657" s="210"/>
      <c r="E657" s="210"/>
      <c r="F657" s="210"/>
      <c r="G657" s="210"/>
      <c r="H657" s="208"/>
      <c r="I657" s="208"/>
      <c r="J657" s="209"/>
      <c r="K657" s="211"/>
      <c r="L657" s="208"/>
      <c r="M657" s="208"/>
      <c r="N657" s="208"/>
      <c r="O657" s="208"/>
      <c r="P657" s="208"/>
      <c r="Q657" s="208"/>
      <c r="R657" s="208"/>
      <c r="S657" s="212"/>
      <c r="T657" s="208"/>
      <c r="U657" s="208"/>
      <c r="V657" s="208"/>
      <c r="W657" s="208"/>
      <c r="X657" s="208"/>
      <c r="Y657" s="208"/>
      <c r="Z657" s="208"/>
    </row>
    <row r="658">
      <c r="A658" s="208"/>
      <c r="B658" s="207"/>
      <c r="C658" s="209"/>
      <c r="D658" s="210"/>
      <c r="E658" s="210"/>
      <c r="F658" s="210"/>
      <c r="G658" s="210"/>
      <c r="H658" s="208"/>
      <c r="I658" s="208"/>
      <c r="J658" s="209"/>
      <c r="K658" s="211"/>
      <c r="L658" s="208"/>
      <c r="M658" s="208"/>
      <c r="N658" s="208"/>
      <c r="O658" s="208"/>
      <c r="P658" s="208"/>
      <c r="Q658" s="208"/>
      <c r="R658" s="208"/>
      <c r="S658" s="212"/>
      <c r="T658" s="208"/>
      <c r="U658" s="208"/>
      <c r="V658" s="208"/>
      <c r="W658" s="208"/>
      <c r="X658" s="208"/>
      <c r="Y658" s="208"/>
      <c r="Z658" s="208"/>
    </row>
    <row r="659">
      <c r="A659" s="208"/>
      <c r="B659" s="207"/>
      <c r="C659" s="209"/>
      <c r="D659" s="210"/>
      <c r="E659" s="210"/>
      <c r="F659" s="210"/>
      <c r="G659" s="210"/>
      <c r="H659" s="208"/>
      <c r="I659" s="208"/>
      <c r="J659" s="209"/>
      <c r="K659" s="211"/>
      <c r="L659" s="208"/>
      <c r="M659" s="208"/>
      <c r="N659" s="208"/>
      <c r="O659" s="208"/>
      <c r="P659" s="208"/>
      <c r="Q659" s="208"/>
      <c r="R659" s="208"/>
      <c r="S659" s="212"/>
      <c r="T659" s="208"/>
      <c r="U659" s="208"/>
      <c r="V659" s="208"/>
      <c r="W659" s="208"/>
      <c r="X659" s="208"/>
      <c r="Y659" s="208"/>
      <c r="Z659" s="208"/>
    </row>
    <row r="660">
      <c r="A660" s="208"/>
      <c r="B660" s="207"/>
      <c r="C660" s="209"/>
      <c r="D660" s="210"/>
      <c r="E660" s="210"/>
      <c r="F660" s="210"/>
      <c r="G660" s="210"/>
      <c r="H660" s="208"/>
      <c r="I660" s="208"/>
      <c r="J660" s="209"/>
      <c r="K660" s="211"/>
      <c r="L660" s="208"/>
      <c r="M660" s="208"/>
      <c r="N660" s="208"/>
      <c r="O660" s="208"/>
      <c r="P660" s="208"/>
      <c r="Q660" s="208"/>
      <c r="R660" s="208"/>
      <c r="S660" s="212"/>
      <c r="T660" s="208"/>
      <c r="U660" s="208"/>
      <c r="V660" s="208"/>
      <c r="W660" s="208"/>
      <c r="X660" s="208"/>
      <c r="Y660" s="208"/>
      <c r="Z660" s="208"/>
    </row>
    <row r="661">
      <c r="A661" s="208"/>
      <c r="B661" s="207"/>
      <c r="C661" s="209"/>
      <c r="D661" s="210"/>
      <c r="E661" s="210"/>
      <c r="F661" s="210"/>
      <c r="G661" s="210"/>
      <c r="H661" s="208"/>
      <c r="I661" s="208"/>
      <c r="J661" s="209"/>
      <c r="K661" s="211"/>
      <c r="L661" s="208"/>
      <c r="M661" s="208"/>
      <c r="N661" s="208"/>
      <c r="O661" s="208"/>
      <c r="P661" s="208"/>
      <c r="Q661" s="208"/>
      <c r="R661" s="208"/>
      <c r="S661" s="212"/>
      <c r="T661" s="208"/>
      <c r="U661" s="208"/>
      <c r="V661" s="208"/>
      <c r="W661" s="208"/>
      <c r="X661" s="208"/>
      <c r="Y661" s="208"/>
      <c r="Z661" s="208"/>
    </row>
    <row r="662">
      <c r="A662" s="208"/>
      <c r="B662" s="207"/>
      <c r="C662" s="209"/>
      <c r="D662" s="210"/>
      <c r="E662" s="210"/>
      <c r="F662" s="210"/>
      <c r="G662" s="210"/>
      <c r="H662" s="208"/>
      <c r="I662" s="208"/>
      <c r="J662" s="209"/>
      <c r="K662" s="211"/>
      <c r="L662" s="208"/>
      <c r="M662" s="208"/>
      <c r="N662" s="208"/>
      <c r="O662" s="208"/>
      <c r="P662" s="208"/>
      <c r="Q662" s="208"/>
      <c r="R662" s="208"/>
      <c r="S662" s="212"/>
      <c r="T662" s="208"/>
      <c r="U662" s="208"/>
      <c r="V662" s="208"/>
      <c r="W662" s="208"/>
      <c r="X662" s="208"/>
      <c r="Y662" s="208"/>
      <c r="Z662" s="208"/>
    </row>
    <row r="663">
      <c r="A663" s="208"/>
      <c r="B663" s="207"/>
      <c r="C663" s="209"/>
      <c r="D663" s="210"/>
      <c r="E663" s="210"/>
      <c r="F663" s="210"/>
      <c r="G663" s="210"/>
      <c r="H663" s="208"/>
      <c r="I663" s="208"/>
      <c r="J663" s="209"/>
      <c r="K663" s="211"/>
      <c r="L663" s="208"/>
      <c r="M663" s="208"/>
      <c r="N663" s="208"/>
      <c r="O663" s="208"/>
      <c r="P663" s="208"/>
      <c r="Q663" s="208"/>
      <c r="R663" s="208"/>
      <c r="S663" s="212"/>
      <c r="T663" s="208"/>
      <c r="U663" s="208"/>
      <c r="V663" s="208"/>
      <c r="W663" s="208"/>
      <c r="X663" s="208"/>
      <c r="Y663" s="208"/>
      <c r="Z663" s="208"/>
    </row>
    <row r="664">
      <c r="A664" s="208"/>
      <c r="B664" s="207"/>
      <c r="C664" s="209"/>
      <c r="D664" s="210"/>
      <c r="E664" s="210"/>
      <c r="F664" s="210"/>
      <c r="G664" s="210"/>
      <c r="H664" s="208"/>
      <c r="I664" s="208"/>
      <c r="J664" s="209"/>
      <c r="K664" s="211"/>
      <c r="L664" s="208"/>
      <c r="M664" s="208"/>
      <c r="N664" s="208"/>
      <c r="O664" s="208"/>
      <c r="P664" s="208"/>
      <c r="Q664" s="208"/>
      <c r="R664" s="208"/>
      <c r="S664" s="212"/>
      <c r="T664" s="208"/>
      <c r="U664" s="208"/>
      <c r="V664" s="208"/>
      <c r="W664" s="208"/>
      <c r="X664" s="208"/>
      <c r="Y664" s="208"/>
      <c r="Z664" s="208"/>
    </row>
    <row r="665">
      <c r="A665" s="208"/>
      <c r="B665" s="207"/>
      <c r="C665" s="209"/>
      <c r="D665" s="210"/>
      <c r="E665" s="210"/>
      <c r="F665" s="210"/>
      <c r="G665" s="210"/>
      <c r="H665" s="208"/>
      <c r="I665" s="208"/>
      <c r="J665" s="209"/>
      <c r="K665" s="211"/>
      <c r="L665" s="208"/>
      <c r="M665" s="208"/>
      <c r="N665" s="208"/>
      <c r="O665" s="208"/>
      <c r="P665" s="208"/>
      <c r="Q665" s="208"/>
      <c r="R665" s="208"/>
      <c r="S665" s="212"/>
      <c r="T665" s="208"/>
      <c r="U665" s="208"/>
      <c r="V665" s="208"/>
      <c r="W665" s="208"/>
      <c r="X665" s="208"/>
      <c r="Y665" s="208"/>
      <c r="Z665" s="208"/>
    </row>
    <row r="666">
      <c r="A666" s="208"/>
      <c r="B666" s="207"/>
      <c r="C666" s="209"/>
      <c r="D666" s="210"/>
      <c r="E666" s="210"/>
      <c r="F666" s="210"/>
      <c r="G666" s="210"/>
      <c r="H666" s="208"/>
      <c r="I666" s="208"/>
      <c r="J666" s="209"/>
      <c r="K666" s="211"/>
      <c r="L666" s="208"/>
      <c r="M666" s="208"/>
      <c r="N666" s="208"/>
      <c r="O666" s="208"/>
      <c r="P666" s="208"/>
      <c r="Q666" s="208"/>
      <c r="R666" s="208"/>
      <c r="S666" s="212"/>
      <c r="T666" s="208"/>
      <c r="U666" s="208"/>
      <c r="V666" s="208"/>
      <c r="W666" s="208"/>
      <c r="X666" s="208"/>
      <c r="Y666" s="208"/>
      <c r="Z666" s="208"/>
    </row>
    <row r="667">
      <c r="A667" s="208"/>
      <c r="B667" s="207"/>
      <c r="C667" s="209"/>
      <c r="D667" s="210"/>
      <c r="E667" s="210"/>
      <c r="F667" s="210"/>
      <c r="G667" s="210"/>
      <c r="H667" s="208"/>
      <c r="I667" s="208"/>
      <c r="J667" s="209"/>
      <c r="K667" s="211"/>
      <c r="L667" s="208"/>
      <c r="M667" s="208"/>
      <c r="N667" s="208"/>
      <c r="O667" s="208"/>
      <c r="P667" s="208"/>
      <c r="Q667" s="208"/>
      <c r="R667" s="208"/>
      <c r="S667" s="212"/>
      <c r="T667" s="208"/>
      <c r="U667" s="208"/>
      <c r="V667" s="208"/>
      <c r="W667" s="208"/>
      <c r="X667" s="208"/>
      <c r="Y667" s="208"/>
      <c r="Z667" s="208"/>
    </row>
    <row r="668">
      <c r="A668" s="208"/>
      <c r="B668" s="207"/>
      <c r="C668" s="209"/>
      <c r="D668" s="210"/>
      <c r="E668" s="210"/>
      <c r="F668" s="210"/>
      <c r="G668" s="210"/>
      <c r="H668" s="208"/>
      <c r="I668" s="208"/>
      <c r="J668" s="209"/>
      <c r="K668" s="211"/>
      <c r="L668" s="208"/>
      <c r="M668" s="208"/>
      <c r="N668" s="208"/>
      <c r="O668" s="208"/>
      <c r="P668" s="208"/>
      <c r="Q668" s="208"/>
      <c r="R668" s="208"/>
      <c r="S668" s="212"/>
      <c r="T668" s="208"/>
      <c r="U668" s="208"/>
      <c r="V668" s="208"/>
      <c r="W668" s="208"/>
      <c r="X668" s="208"/>
      <c r="Y668" s="208"/>
      <c r="Z668" s="208"/>
    </row>
    <row r="669">
      <c r="A669" s="208"/>
      <c r="B669" s="207"/>
      <c r="C669" s="209"/>
      <c r="D669" s="210"/>
      <c r="E669" s="210"/>
      <c r="F669" s="210"/>
      <c r="G669" s="210"/>
      <c r="H669" s="208"/>
      <c r="I669" s="208"/>
      <c r="J669" s="209"/>
      <c r="K669" s="211"/>
      <c r="L669" s="208"/>
      <c r="M669" s="208"/>
      <c r="N669" s="208"/>
      <c r="O669" s="208"/>
      <c r="P669" s="208"/>
      <c r="Q669" s="208"/>
      <c r="R669" s="208"/>
      <c r="S669" s="212"/>
      <c r="T669" s="208"/>
      <c r="U669" s="208"/>
      <c r="V669" s="208"/>
      <c r="W669" s="208"/>
      <c r="X669" s="208"/>
      <c r="Y669" s="208"/>
      <c r="Z669" s="208"/>
    </row>
    <row r="670">
      <c r="A670" s="208"/>
      <c r="B670" s="207"/>
      <c r="C670" s="209"/>
      <c r="D670" s="210"/>
      <c r="E670" s="210"/>
      <c r="F670" s="210"/>
      <c r="G670" s="210"/>
      <c r="H670" s="208"/>
      <c r="I670" s="208"/>
      <c r="J670" s="209"/>
      <c r="K670" s="211"/>
      <c r="L670" s="208"/>
      <c r="M670" s="208"/>
      <c r="N670" s="208"/>
      <c r="O670" s="208"/>
      <c r="P670" s="208"/>
      <c r="Q670" s="208"/>
      <c r="R670" s="208"/>
      <c r="S670" s="212"/>
      <c r="T670" s="208"/>
      <c r="U670" s="208"/>
      <c r="V670" s="208"/>
      <c r="W670" s="208"/>
      <c r="X670" s="208"/>
      <c r="Y670" s="208"/>
      <c r="Z670" s="208"/>
    </row>
    <row r="671">
      <c r="A671" s="208"/>
      <c r="B671" s="207"/>
      <c r="C671" s="209"/>
      <c r="D671" s="210"/>
      <c r="E671" s="210"/>
      <c r="F671" s="210"/>
      <c r="G671" s="210"/>
      <c r="H671" s="208"/>
      <c r="I671" s="208"/>
      <c r="J671" s="209"/>
      <c r="K671" s="211"/>
      <c r="L671" s="208"/>
      <c r="M671" s="208"/>
      <c r="N671" s="208"/>
      <c r="O671" s="208"/>
      <c r="P671" s="208"/>
      <c r="Q671" s="208"/>
      <c r="R671" s="208"/>
      <c r="S671" s="212"/>
      <c r="T671" s="208"/>
      <c r="U671" s="208"/>
      <c r="V671" s="208"/>
      <c r="W671" s="208"/>
      <c r="X671" s="208"/>
      <c r="Y671" s="208"/>
      <c r="Z671" s="208"/>
    </row>
    <row r="672">
      <c r="A672" s="208"/>
      <c r="B672" s="207"/>
      <c r="C672" s="209"/>
      <c r="D672" s="210"/>
      <c r="E672" s="210"/>
      <c r="F672" s="210"/>
      <c r="G672" s="210"/>
      <c r="H672" s="208"/>
      <c r="I672" s="208"/>
      <c r="J672" s="209"/>
      <c r="K672" s="211"/>
      <c r="L672" s="208"/>
      <c r="M672" s="208"/>
      <c r="N672" s="208"/>
      <c r="O672" s="208"/>
      <c r="P672" s="208"/>
      <c r="Q672" s="208"/>
      <c r="R672" s="208"/>
      <c r="S672" s="212"/>
      <c r="T672" s="208"/>
      <c r="U672" s="208"/>
      <c r="V672" s="208"/>
      <c r="W672" s="208"/>
      <c r="X672" s="208"/>
      <c r="Y672" s="208"/>
      <c r="Z672" s="208"/>
    </row>
    <row r="673">
      <c r="A673" s="208"/>
      <c r="B673" s="207"/>
      <c r="C673" s="209"/>
      <c r="D673" s="210"/>
      <c r="E673" s="210"/>
      <c r="F673" s="210"/>
      <c r="G673" s="210"/>
      <c r="H673" s="208"/>
      <c r="I673" s="208"/>
      <c r="J673" s="209"/>
      <c r="K673" s="211"/>
      <c r="L673" s="208"/>
      <c r="M673" s="208"/>
      <c r="N673" s="208"/>
      <c r="O673" s="208"/>
      <c r="P673" s="208"/>
      <c r="Q673" s="208"/>
      <c r="R673" s="208"/>
      <c r="S673" s="212"/>
      <c r="T673" s="208"/>
      <c r="U673" s="208"/>
      <c r="V673" s="208"/>
      <c r="W673" s="208"/>
      <c r="X673" s="208"/>
      <c r="Y673" s="208"/>
      <c r="Z673" s="208"/>
    </row>
    <row r="674">
      <c r="A674" s="208"/>
      <c r="B674" s="207"/>
      <c r="C674" s="209"/>
      <c r="D674" s="210"/>
      <c r="E674" s="210"/>
      <c r="F674" s="210"/>
      <c r="G674" s="210"/>
      <c r="H674" s="208"/>
      <c r="I674" s="208"/>
      <c r="J674" s="209"/>
      <c r="K674" s="211"/>
      <c r="L674" s="208"/>
      <c r="M674" s="208"/>
      <c r="N674" s="208"/>
      <c r="O674" s="208"/>
      <c r="P674" s="208"/>
      <c r="Q674" s="208"/>
      <c r="R674" s="208"/>
      <c r="S674" s="212"/>
      <c r="T674" s="208"/>
      <c r="U674" s="208"/>
      <c r="V674" s="208"/>
      <c r="W674" s="208"/>
      <c r="X674" s="208"/>
      <c r="Y674" s="208"/>
      <c r="Z674" s="208"/>
    </row>
    <row r="675">
      <c r="A675" s="208"/>
      <c r="B675" s="207"/>
      <c r="C675" s="209"/>
      <c r="D675" s="210"/>
      <c r="E675" s="210"/>
      <c r="F675" s="210"/>
      <c r="G675" s="210"/>
      <c r="H675" s="208"/>
      <c r="I675" s="208"/>
      <c r="J675" s="209"/>
      <c r="K675" s="211"/>
      <c r="L675" s="208"/>
      <c r="M675" s="208"/>
      <c r="N675" s="208"/>
      <c r="O675" s="208"/>
      <c r="P675" s="208"/>
      <c r="Q675" s="208"/>
      <c r="R675" s="208"/>
      <c r="S675" s="212"/>
      <c r="T675" s="208"/>
      <c r="U675" s="208"/>
      <c r="V675" s="208"/>
      <c r="W675" s="208"/>
      <c r="X675" s="208"/>
      <c r="Y675" s="208"/>
      <c r="Z675" s="208"/>
    </row>
    <row r="676">
      <c r="A676" s="208"/>
      <c r="B676" s="207"/>
      <c r="C676" s="209"/>
      <c r="D676" s="210"/>
      <c r="E676" s="210"/>
      <c r="F676" s="210"/>
      <c r="G676" s="210"/>
      <c r="H676" s="208"/>
      <c r="I676" s="208"/>
      <c r="J676" s="209"/>
      <c r="K676" s="211"/>
      <c r="L676" s="208"/>
      <c r="M676" s="208"/>
      <c r="N676" s="208"/>
      <c r="O676" s="208"/>
      <c r="P676" s="208"/>
      <c r="Q676" s="208"/>
      <c r="R676" s="208"/>
      <c r="S676" s="212"/>
      <c r="T676" s="208"/>
      <c r="U676" s="208"/>
      <c r="V676" s="208"/>
      <c r="W676" s="208"/>
      <c r="X676" s="208"/>
      <c r="Y676" s="208"/>
      <c r="Z676" s="208"/>
    </row>
    <row r="677">
      <c r="A677" s="208"/>
      <c r="B677" s="207"/>
      <c r="C677" s="209"/>
      <c r="D677" s="210"/>
      <c r="E677" s="210"/>
      <c r="F677" s="210"/>
      <c r="G677" s="210"/>
      <c r="H677" s="208"/>
      <c r="I677" s="208"/>
      <c r="J677" s="209"/>
      <c r="K677" s="211"/>
      <c r="L677" s="208"/>
      <c r="M677" s="208"/>
      <c r="N677" s="208"/>
      <c r="O677" s="208"/>
      <c r="P677" s="208"/>
      <c r="Q677" s="208"/>
      <c r="R677" s="208"/>
      <c r="S677" s="212"/>
      <c r="T677" s="208"/>
      <c r="U677" s="208"/>
      <c r="V677" s="208"/>
      <c r="W677" s="208"/>
      <c r="X677" s="208"/>
      <c r="Y677" s="208"/>
      <c r="Z677" s="208"/>
    </row>
    <row r="678">
      <c r="A678" s="208"/>
      <c r="B678" s="207"/>
      <c r="C678" s="209"/>
      <c r="D678" s="210"/>
      <c r="E678" s="210"/>
      <c r="F678" s="210"/>
      <c r="G678" s="210"/>
      <c r="H678" s="208"/>
      <c r="I678" s="208"/>
      <c r="J678" s="209"/>
      <c r="K678" s="211"/>
      <c r="L678" s="208"/>
      <c r="M678" s="208"/>
      <c r="N678" s="208"/>
      <c r="O678" s="208"/>
      <c r="P678" s="208"/>
      <c r="Q678" s="208"/>
      <c r="R678" s="208"/>
      <c r="S678" s="212"/>
      <c r="T678" s="208"/>
      <c r="U678" s="208"/>
      <c r="V678" s="208"/>
      <c r="W678" s="208"/>
      <c r="X678" s="208"/>
      <c r="Y678" s="208"/>
      <c r="Z678" s="208"/>
    </row>
    <row r="679">
      <c r="A679" s="208"/>
      <c r="B679" s="207"/>
      <c r="C679" s="209"/>
      <c r="D679" s="210"/>
      <c r="E679" s="210"/>
      <c r="F679" s="210"/>
      <c r="G679" s="210"/>
      <c r="H679" s="208"/>
      <c r="I679" s="208"/>
      <c r="J679" s="209"/>
      <c r="K679" s="211"/>
      <c r="L679" s="208"/>
      <c r="M679" s="208"/>
      <c r="N679" s="208"/>
      <c r="O679" s="208"/>
      <c r="P679" s="208"/>
      <c r="Q679" s="208"/>
      <c r="R679" s="208"/>
      <c r="S679" s="212"/>
      <c r="T679" s="208"/>
      <c r="U679" s="208"/>
      <c r="V679" s="208"/>
      <c r="W679" s="208"/>
      <c r="X679" s="208"/>
      <c r="Y679" s="208"/>
      <c r="Z679" s="208"/>
    </row>
    <row r="680">
      <c r="A680" s="208"/>
      <c r="B680" s="207"/>
      <c r="C680" s="209"/>
      <c r="D680" s="210"/>
      <c r="E680" s="210"/>
      <c r="F680" s="210"/>
      <c r="G680" s="210"/>
      <c r="H680" s="208"/>
      <c r="I680" s="208"/>
      <c r="J680" s="209"/>
      <c r="K680" s="211"/>
      <c r="L680" s="208"/>
      <c r="M680" s="208"/>
      <c r="N680" s="208"/>
      <c r="O680" s="208"/>
      <c r="P680" s="208"/>
      <c r="Q680" s="208"/>
      <c r="R680" s="208"/>
      <c r="S680" s="212"/>
      <c r="T680" s="208"/>
      <c r="U680" s="208"/>
      <c r="V680" s="208"/>
      <c r="W680" s="208"/>
      <c r="X680" s="208"/>
      <c r="Y680" s="208"/>
      <c r="Z680" s="208"/>
    </row>
    <row r="681">
      <c r="A681" s="208"/>
      <c r="B681" s="207"/>
      <c r="C681" s="209"/>
      <c r="D681" s="210"/>
      <c r="E681" s="210"/>
      <c r="F681" s="210"/>
      <c r="G681" s="210"/>
      <c r="H681" s="208"/>
      <c r="I681" s="208"/>
      <c r="J681" s="209"/>
      <c r="K681" s="211"/>
      <c r="L681" s="208"/>
      <c r="M681" s="208"/>
      <c r="N681" s="208"/>
      <c r="O681" s="208"/>
      <c r="P681" s="208"/>
      <c r="Q681" s="208"/>
      <c r="R681" s="208"/>
      <c r="S681" s="212"/>
      <c r="T681" s="208"/>
      <c r="U681" s="208"/>
      <c r="V681" s="208"/>
      <c r="W681" s="208"/>
      <c r="X681" s="208"/>
      <c r="Y681" s="208"/>
      <c r="Z681" s="208"/>
    </row>
    <row r="682">
      <c r="A682" s="208"/>
      <c r="B682" s="207"/>
      <c r="C682" s="209"/>
      <c r="D682" s="210"/>
      <c r="E682" s="210"/>
      <c r="F682" s="210"/>
      <c r="G682" s="210"/>
      <c r="H682" s="208"/>
      <c r="I682" s="208"/>
      <c r="J682" s="209"/>
      <c r="K682" s="211"/>
      <c r="L682" s="208"/>
      <c r="M682" s="208"/>
      <c r="N682" s="208"/>
      <c r="O682" s="208"/>
      <c r="P682" s="208"/>
      <c r="Q682" s="208"/>
      <c r="R682" s="208"/>
      <c r="S682" s="212"/>
      <c r="T682" s="208"/>
      <c r="U682" s="208"/>
      <c r="V682" s="208"/>
      <c r="W682" s="208"/>
      <c r="X682" s="208"/>
      <c r="Y682" s="208"/>
      <c r="Z682" s="208"/>
    </row>
    <row r="683">
      <c r="A683" s="208"/>
      <c r="B683" s="207"/>
      <c r="C683" s="209"/>
      <c r="D683" s="210"/>
      <c r="E683" s="210"/>
      <c r="F683" s="210"/>
      <c r="G683" s="210"/>
      <c r="H683" s="208"/>
      <c r="I683" s="208"/>
      <c r="J683" s="209"/>
      <c r="K683" s="211"/>
      <c r="L683" s="208"/>
      <c r="M683" s="208"/>
      <c r="N683" s="208"/>
      <c r="O683" s="208"/>
      <c r="P683" s="208"/>
      <c r="Q683" s="208"/>
      <c r="R683" s="208"/>
      <c r="S683" s="212"/>
      <c r="T683" s="208"/>
      <c r="U683" s="208"/>
      <c r="V683" s="208"/>
      <c r="W683" s="208"/>
      <c r="X683" s="208"/>
      <c r="Y683" s="208"/>
      <c r="Z683" s="208"/>
    </row>
    <row r="684">
      <c r="A684" s="208"/>
      <c r="B684" s="207"/>
      <c r="C684" s="209"/>
      <c r="D684" s="210"/>
      <c r="E684" s="210"/>
      <c r="F684" s="210"/>
      <c r="G684" s="210"/>
      <c r="H684" s="208"/>
      <c r="I684" s="208"/>
      <c r="J684" s="209"/>
      <c r="K684" s="211"/>
      <c r="L684" s="208"/>
      <c r="M684" s="208"/>
      <c r="N684" s="208"/>
      <c r="O684" s="208"/>
      <c r="P684" s="208"/>
      <c r="Q684" s="208"/>
      <c r="R684" s="208"/>
      <c r="S684" s="212"/>
      <c r="T684" s="208"/>
      <c r="U684" s="208"/>
      <c r="V684" s="208"/>
      <c r="W684" s="208"/>
      <c r="X684" s="208"/>
      <c r="Y684" s="208"/>
      <c r="Z684" s="208"/>
    </row>
    <row r="685">
      <c r="A685" s="208"/>
      <c r="B685" s="207"/>
      <c r="C685" s="209"/>
      <c r="D685" s="210"/>
      <c r="E685" s="210"/>
      <c r="F685" s="210"/>
      <c r="G685" s="210"/>
      <c r="H685" s="208"/>
      <c r="I685" s="208"/>
      <c r="J685" s="209"/>
      <c r="K685" s="211"/>
      <c r="L685" s="208"/>
      <c r="M685" s="208"/>
      <c r="N685" s="208"/>
      <c r="O685" s="208"/>
      <c r="P685" s="208"/>
      <c r="Q685" s="208"/>
      <c r="R685" s="208"/>
      <c r="S685" s="212"/>
      <c r="T685" s="208"/>
      <c r="U685" s="208"/>
      <c r="V685" s="208"/>
      <c r="W685" s="208"/>
      <c r="X685" s="208"/>
      <c r="Y685" s="208"/>
      <c r="Z685" s="208"/>
    </row>
    <row r="686">
      <c r="A686" s="208"/>
      <c r="B686" s="207"/>
      <c r="C686" s="209"/>
      <c r="D686" s="210"/>
      <c r="E686" s="210"/>
      <c r="F686" s="210"/>
      <c r="G686" s="210"/>
      <c r="H686" s="208"/>
      <c r="I686" s="208"/>
      <c r="J686" s="209"/>
      <c r="K686" s="211"/>
      <c r="L686" s="208"/>
      <c r="M686" s="208"/>
      <c r="N686" s="208"/>
      <c r="O686" s="208"/>
      <c r="P686" s="208"/>
      <c r="Q686" s="208"/>
      <c r="R686" s="208"/>
      <c r="S686" s="212"/>
      <c r="T686" s="208"/>
      <c r="U686" s="208"/>
      <c r="V686" s="208"/>
      <c r="W686" s="208"/>
      <c r="X686" s="208"/>
      <c r="Y686" s="208"/>
      <c r="Z686" s="208"/>
    </row>
    <row r="687">
      <c r="A687" s="208"/>
      <c r="B687" s="207"/>
      <c r="C687" s="209"/>
      <c r="D687" s="210"/>
      <c r="E687" s="210"/>
      <c r="F687" s="210"/>
      <c r="G687" s="210"/>
      <c r="H687" s="208"/>
      <c r="I687" s="208"/>
      <c r="J687" s="209"/>
      <c r="K687" s="211"/>
      <c r="L687" s="208"/>
      <c r="M687" s="208"/>
      <c r="N687" s="208"/>
      <c r="O687" s="208"/>
      <c r="P687" s="208"/>
      <c r="Q687" s="208"/>
      <c r="R687" s="208"/>
      <c r="S687" s="212"/>
      <c r="T687" s="208"/>
      <c r="U687" s="208"/>
      <c r="V687" s="208"/>
      <c r="W687" s="208"/>
      <c r="X687" s="208"/>
      <c r="Y687" s="208"/>
      <c r="Z687" s="208"/>
    </row>
    <row r="688">
      <c r="A688" s="208"/>
      <c r="B688" s="207"/>
      <c r="C688" s="209"/>
      <c r="D688" s="210"/>
      <c r="E688" s="210"/>
      <c r="F688" s="210"/>
      <c r="G688" s="210"/>
      <c r="H688" s="208"/>
      <c r="I688" s="208"/>
      <c r="J688" s="209"/>
      <c r="K688" s="211"/>
      <c r="L688" s="208"/>
      <c r="M688" s="208"/>
      <c r="N688" s="208"/>
      <c r="O688" s="208"/>
      <c r="P688" s="208"/>
      <c r="Q688" s="208"/>
      <c r="R688" s="208"/>
      <c r="S688" s="212"/>
      <c r="T688" s="208"/>
      <c r="U688" s="208"/>
      <c r="V688" s="208"/>
      <c r="W688" s="208"/>
      <c r="X688" s="208"/>
      <c r="Y688" s="208"/>
      <c r="Z688" s="208"/>
    </row>
    <row r="689">
      <c r="A689" s="208"/>
      <c r="B689" s="207"/>
      <c r="C689" s="209"/>
      <c r="D689" s="210"/>
      <c r="E689" s="210"/>
      <c r="F689" s="210"/>
      <c r="G689" s="210"/>
      <c r="H689" s="208"/>
      <c r="I689" s="208"/>
      <c r="J689" s="209"/>
      <c r="K689" s="211"/>
      <c r="L689" s="208"/>
      <c r="M689" s="208"/>
      <c r="N689" s="208"/>
      <c r="O689" s="208"/>
      <c r="P689" s="208"/>
      <c r="Q689" s="208"/>
      <c r="R689" s="208"/>
      <c r="S689" s="212"/>
      <c r="T689" s="208"/>
      <c r="U689" s="208"/>
      <c r="V689" s="208"/>
      <c r="W689" s="208"/>
      <c r="X689" s="208"/>
      <c r="Y689" s="208"/>
      <c r="Z689" s="208"/>
    </row>
    <row r="690">
      <c r="A690" s="208"/>
      <c r="B690" s="207"/>
      <c r="C690" s="209"/>
      <c r="D690" s="210"/>
      <c r="E690" s="210"/>
      <c r="F690" s="210"/>
      <c r="G690" s="210"/>
      <c r="H690" s="208"/>
      <c r="I690" s="208"/>
      <c r="J690" s="209"/>
      <c r="K690" s="211"/>
      <c r="L690" s="208"/>
      <c r="M690" s="208"/>
      <c r="N690" s="208"/>
      <c r="O690" s="208"/>
      <c r="P690" s="208"/>
      <c r="Q690" s="208"/>
      <c r="R690" s="208"/>
      <c r="S690" s="212"/>
      <c r="T690" s="208"/>
      <c r="U690" s="208"/>
      <c r="V690" s="208"/>
      <c r="W690" s="208"/>
      <c r="X690" s="208"/>
      <c r="Y690" s="208"/>
      <c r="Z690" s="208"/>
    </row>
    <row r="691">
      <c r="A691" s="208"/>
      <c r="B691" s="207"/>
      <c r="C691" s="209"/>
      <c r="D691" s="210"/>
      <c r="E691" s="210"/>
      <c r="F691" s="210"/>
      <c r="G691" s="210"/>
      <c r="H691" s="208"/>
      <c r="I691" s="208"/>
      <c r="J691" s="209"/>
      <c r="K691" s="211"/>
      <c r="L691" s="208"/>
      <c r="M691" s="208"/>
      <c r="N691" s="208"/>
      <c r="O691" s="208"/>
      <c r="P691" s="208"/>
      <c r="Q691" s="208"/>
      <c r="R691" s="208"/>
      <c r="S691" s="212"/>
      <c r="T691" s="208"/>
      <c r="U691" s="208"/>
      <c r="V691" s="208"/>
      <c r="W691" s="208"/>
      <c r="X691" s="208"/>
      <c r="Y691" s="208"/>
      <c r="Z691" s="208"/>
    </row>
    <row r="692">
      <c r="A692" s="208"/>
      <c r="B692" s="207"/>
      <c r="C692" s="209"/>
      <c r="D692" s="210"/>
      <c r="E692" s="210"/>
      <c r="F692" s="210"/>
      <c r="G692" s="210"/>
      <c r="H692" s="208"/>
      <c r="I692" s="208"/>
      <c r="J692" s="209"/>
      <c r="K692" s="211"/>
      <c r="L692" s="208"/>
      <c r="M692" s="208"/>
      <c r="N692" s="208"/>
      <c r="O692" s="208"/>
      <c r="P692" s="208"/>
      <c r="Q692" s="208"/>
      <c r="R692" s="208"/>
      <c r="S692" s="212"/>
      <c r="T692" s="208"/>
      <c r="U692" s="208"/>
      <c r="V692" s="208"/>
      <c r="W692" s="208"/>
      <c r="X692" s="208"/>
      <c r="Y692" s="208"/>
      <c r="Z692" s="208"/>
    </row>
    <row r="693">
      <c r="A693" s="208"/>
      <c r="B693" s="207"/>
      <c r="C693" s="209"/>
      <c r="D693" s="210"/>
      <c r="E693" s="210"/>
      <c r="F693" s="210"/>
      <c r="G693" s="210"/>
      <c r="H693" s="208"/>
      <c r="I693" s="208"/>
      <c r="J693" s="209"/>
      <c r="K693" s="211"/>
      <c r="L693" s="208"/>
      <c r="M693" s="208"/>
      <c r="N693" s="208"/>
      <c r="O693" s="208"/>
      <c r="P693" s="208"/>
      <c r="Q693" s="208"/>
      <c r="R693" s="208"/>
      <c r="S693" s="212"/>
      <c r="T693" s="208"/>
      <c r="U693" s="208"/>
      <c r="V693" s="208"/>
      <c r="W693" s="208"/>
      <c r="X693" s="208"/>
      <c r="Y693" s="208"/>
      <c r="Z693" s="208"/>
    </row>
    <row r="694">
      <c r="A694" s="208"/>
      <c r="B694" s="207"/>
      <c r="C694" s="209"/>
      <c r="D694" s="210"/>
      <c r="E694" s="210"/>
      <c r="F694" s="210"/>
      <c r="G694" s="210"/>
      <c r="H694" s="208"/>
      <c r="I694" s="208"/>
      <c r="J694" s="209"/>
      <c r="K694" s="211"/>
      <c r="L694" s="208"/>
      <c r="M694" s="208"/>
      <c r="N694" s="208"/>
      <c r="O694" s="208"/>
      <c r="P694" s="208"/>
      <c r="Q694" s="208"/>
      <c r="R694" s="208"/>
      <c r="S694" s="212"/>
      <c r="T694" s="208"/>
      <c r="U694" s="208"/>
      <c r="V694" s="208"/>
      <c r="W694" s="208"/>
      <c r="X694" s="208"/>
      <c r="Y694" s="208"/>
      <c r="Z694" s="208"/>
    </row>
    <row r="695">
      <c r="A695" s="208"/>
      <c r="B695" s="207"/>
      <c r="C695" s="209"/>
      <c r="D695" s="210"/>
      <c r="E695" s="210"/>
      <c r="F695" s="210"/>
      <c r="G695" s="210"/>
      <c r="H695" s="208"/>
      <c r="I695" s="208"/>
      <c r="J695" s="209"/>
      <c r="K695" s="211"/>
      <c r="L695" s="208"/>
      <c r="M695" s="208"/>
      <c r="N695" s="208"/>
      <c r="O695" s="208"/>
      <c r="P695" s="208"/>
      <c r="Q695" s="208"/>
      <c r="R695" s="208"/>
      <c r="S695" s="212"/>
      <c r="T695" s="208"/>
      <c r="U695" s="208"/>
      <c r="V695" s="208"/>
      <c r="W695" s="208"/>
      <c r="X695" s="208"/>
      <c r="Y695" s="208"/>
      <c r="Z695" s="208"/>
    </row>
    <row r="696">
      <c r="A696" s="208"/>
      <c r="B696" s="207"/>
      <c r="C696" s="209"/>
      <c r="D696" s="210"/>
      <c r="E696" s="210"/>
      <c r="F696" s="210"/>
      <c r="G696" s="210"/>
      <c r="H696" s="208"/>
      <c r="I696" s="208"/>
      <c r="J696" s="209"/>
      <c r="K696" s="211"/>
      <c r="L696" s="208"/>
      <c r="M696" s="208"/>
      <c r="N696" s="208"/>
      <c r="O696" s="208"/>
      <c r="P696" s="208"/>
      <c r="Q696" s="208"/>
      <c r="R696" s="208"/>
      <c r="S696" s="212"/>
      <c r="T696" s="208"/>
      <c r="U696" s="208"/>
      <c r="V696" s="208"/>
      <c r="W696" s="208"/>
      <c r="X696" s="208"/>
      <c r="Y696" s="208"/>
      <c r="Z696" s="208"/>
    </row>
    <row r="697">
      <c r="A697" s="208"/>
      <c r="B697" s="207"/>
      <c r="C697" s="209"/>
      <c r="D697" s="210"/>
      <c r="E697" s="210"/>
      <c r="F697" s="210"/>
      <c r="G697" s="210"/>
      <c r="H697" s="208"/>
      <c r="I697" s="208"/>
      <c r="J697" s="209"/>
      <c r="K697" s="211"/>
      <c r="L697" s="208"/>
      <c r="M697" s="208"/>
      <c r="N697" s="208"/>
      <c r="O697" s="208"/>
      <c r="P697" s="208"/>
      <c r="Q697" s="208"/>
      <c r="R697" s="208"/>
      <c r="S697" s="212"/>
      <c r="T697" s="208"/>
      <c r="U697" s="208"/>
      <c r="V697" s="208"/>
      <c r="W697" s="208"/>
      <c r="X697" s="208"/>
      <c r="Y697" s="208"/>
      <c r="Z697" s="208"/>
    </row>
    <row r="698">
      <c r="A698" s="208"/>
      <c r="B698" s="207"/>
      <c r="C698" s="209"/>
      <c r="D698" s="210"/>
      <c r="E698" s="210"/>
      <c r="F698" s="210"/>
      <c r="G698" s="210"/>
      <c r="H698" s="208"/>
      <c r="I698" s="208"/>
      <c r="J698" s="209"/>
      <c r="K698" s="211"/>
      <c r="L698" s="208"/>
      <c r="M698" s="208"/>
      <c r="N698" s="208"/>
      <c r="O698" s="208"/>
      <c r="P698" s="208"/>
      <c r="Q698" s="208"/>
      <c r="R698" s="208"/>
      <c r="S698" s="212"/>
      <c r="T698" s="208"/>
      <c r="U698" s="208"/>
      <c r="V698" s="208"/>
      <c r="W698" s="208"/>
      <c r="X698" s="208"/>
      <c r="Y698" s="208"/>
      <c r="Z698" s="208"/>
    </row>
    <row r="699">
      <c r="A699" s="208"/>
      <c r="B699" s="207"/>
      <c r="C699" s="209"/>
      <c r="D699" s="210"/>
      <c r="E699" s="210"/>
      <c r="F699" s="210"/>
      <c r="G699" s="210"/>
      <c r="H699" s="208"/>
      <c r="I699" s="208"/>
      <c r="J699" s="209"/>
      <c r="K699" s="211"/>
      <c r="L699" s="208"/>
      <c r="M699" s="208"/>
      <c r="N699" s="208"/>
      <c r="O699" s="208"/>
      <c r="P699" s="208"/>
      <c r="Q699" s="208"/>
      <c r="R699" s="208"/>
      <c r="S699" s="212"/>
      <c r="T699" s="208"/>
      <c r="U699" s="208"/>
      <c r="V699" s="208"/>
      <c r="W699" s="208"/>
      <c r="X699" s="208"/>
      <c r="Y699" s="208"/>
      <c r="Z699" s="208"/>
    </row>
    <row r="700">
      <c r="A700" s="208"/>
      <c r="B700" s="207"/>
      <c r="C700" s="209"/>
      <c r="D700" s="210"/>
      <c r="E700" s="210"/>
      <c r="F700" s="210"/>
      <c r="G700" s="210"/>
      <c r="H700" s="208"/>
      <c r="I700" s="208"/>
      <c r="J700" s="209"/>
      <c r="K700" s="211"/>
      <c r="L700" s="208"/>
      <c r="M700" s="208"/>
      <c r="N700" s="208"/>
      <c r="O700" s="208"/>
      <c r="P700" s="208"/>
      <c r="Q700" s="208"/>
      <c r="R700" s="208"/>
      <c r="S700" s="212"/>
      <c r="T700" s="208"/>
      <c r="U700" s="208"/>
      <c r="V700" s="208"/>
      <c r="W700" s="208"/>
      <c r="X700" s="208"/>
      <c r="Y700" s="208"/>
      <c r="Z700" s="208"/>
    </row>
    <row r="701">
      <c r="A701" s="208"/>
      <c r="B701" s="207"/>
      <c r="C701" s="209"/>
      <c r="D701" s="210"/>
      <c r="E701" s="210"/>
      <c r="F701" s="210"/>
      <c r="G701" s="210"/>
      <c r="H701" s="208"/>
      <c r="I701" s="208"/>
      <c r="J701" s="209"/>
      <c r="K701" s="211"/>
      <c r="L701" s="208"/>
      <c r="M701" s="208"/>
      <c r="N701" s="208"/>
      <c r="O701" s="208"/>
      <c r="P701" s="208"/>
      <c r="Q701" s="208"/>
      <c r="R701" s="208"/>
      <c r="S701" s="212"/>
      <c r="T701" s="208"/>
      <c r="U701" s="208"/>
      <c r="V701" s="208"/>
      <c r="W701" s="208"/>
      <c r="X701" s="208"/>
      <c r="Y701" s="208"/>
      <c r="Z701" s="208"/>
    </row>
    <row r="702">
      <c r="A702" s="208"/>
      <c r="B702" s="207"/>
      <c r="C702" s="209"/>
      <c r="D702" s="210"/>
      <c r="E702" s="210"/>
      <c r="F702" s="210"/>
      <c r="G702" s="210"/>
      <c r="H702" s="208"/>
      <c r="I702" s="208"/>
      <c r="J702" s="209"/>
      <c r="K702" s="211"/>
      <c r="L702" s="208"/>
      <c r="M702" s="208"/>
      <c r="N702" s="208"/>
      <c r="O702" s="208"/>
      <c r="P702" s="208"/>
      <c r="Q702" s="208"/>
      <c r="R702" s="208"/>
      <c r="S702" s="212"/>
      <c r="T702" s="208"/>
      <c r="U702" s="208"/>
      <c r="V702" s="208"/>
      <c r="W702" s="208"/>
      <c r="X702" s="208"/>
      <c r="Y702" s="208"/>
      <c r="Z702" s="208"/>
    </row>
    <row r="703">
      <c r="A703" s="208"/>
      <c r="B703" s="207"/>
      <c r="C703" s="209"/>
      <c r="D703" s="210"/>
      <c r="E703" s="210"/>
      <c r="F703" s="210"/>
      <c r="G703" s="210"/>
      <c r="H703" s="208"/>
      <c r="I703" s="208"/>
      <c r="J703" s="209"/>
      <c r="K703" s="211"/>
      <c r="L703" s="208"/>
      <c r="M703" s="208"/>
      <c r="N703" s="208"/>
      <c r="O703" s="208"/>
      <c r="P703" s="208"/>
      <c r="Q703" s="208"/>
      <c r="R703" s="208"/>
      <c r="S703" s="212"/>
      <c r="T703" s="208"/>
      <c r="U703" s="208"/>
      <c r="V703" s="208"/>
      <c r="W703" s="208"/>
      <c r="X703" s="208"/>
      <c r="Y703" s="208"/>
      <c r="Z703" s="208"/>
    </row>
    <row r="704">
      <c r="A704" s="208"/>
      <c r="B704" s="207"/>
      <c r="C704" s="209"/>
      <c r="D704" s="210"/>
      <c r="E704" s="210"/>
      <c r="F704" s="210"/>
      <c r="G704" s="210"/>
      <c r="H704" s="208"/>
      <c r="I704" s="208"/>
      <c r="J704" s="209"/>
      <c r="K704" s="211"/>
      <c r="L704" s="208"/>
      <c r="M704" s="208"/>
      <c r="N704" s="208"/>
      <c r="O704" s="208"/>
      <c r="P704" s="208"/>
      <c r="Q704" s="208"/>
      <c r="R704" s="208"/>
      <c r="S704" s="212"/>
      <c r="T704" s="208"/>
      <c r="U704" s="208"/>
      <c r="V704" s="208"/>
      <c r="W704" s="208"/>
      <c r="X704" s="208"/>
      <c r="Y704" s="208"/>
      <c r="Z704" s="208"/>
    </row>
    <row r="705">
      <c r="A705" s="208"/>
      <c r="B705" s="207"/>
      <c r="C705" s="209"/>
      <c r="D705" s="210"/>
      <c r="E705" s="210"/>
      <c r="F705" s="210"/>
      <c r="G705" s="210"/>
      <c r="H705" s="208"/>
      <c r="I705" s="208"/>
      <c r="J705" s="209"/>
      <c r="K705" s="211"/>
      <c r="L705" s="208"/>
      <c r="M705" s="208"/>
      <c r="N705" s="208"/>
      <c r="O705" s="208"/>
      <c r="P705" s="208"/>
      <c r="Q705" s="208"/>
      <c r="R705" s="208"/>
      <c r="S705" s="212"/>
      <c r="T705" s="208"/>
      <c r="U705" s="208"/>
      <c r="V705" s="208"/>
      <c r="W705" s="208"/>
      <c r="X705" s="208"/>
      <c r="Y705" s="208"/>
      <c r="Z705" s="208"/>
    </row>
    <row r="706">
      <c r="A706" s="208"/>
      <c r="B706" s="207"/>
      <c r="C706" s="209"/>
      <c r="D706" s="210"/>
      <c r="E706" s="210"/>
      <c r="F706" s="210"/>
      <c r="G706" s="210"/>
      <c r="H706" s="208"/>
      <c r="I706" s="208"/>
      <c r="J706" s="209"/>
      <c r="K706" s="211"/>
      <c r="L706" s="208"/>
      <c r="M706" s="208"/>
      <c r="N706" s="208"/>
      <c r="O706" s="208"/>
      <c r="P706" s="208"/>
      <c r="Q706" s="208"/>
      <c r="R706" s="208"/>
      <c r="S706" s="212"/>
      <c r="T706" s="208"/>
      <c r="U706" s="208"/>
      <c r="V706" s="208"/>
      <c r="W706" s="208"/>
      <c r="X706" s="208"/>
      <c r="Y706" s="208"/>
      <c r="Z706" s="208"/>
    </row>
    <row r="707">
      <c r="A707" s="208"/>
      <c r="B707" s="207"/>
      <c r="C707" s="209"/>
      <c r="D707" s="210"/>
      <c r="E707" s="210"/>
      <c r="F707" s="210"/>
      <c r="G707" s="210"/>
      <c r="H707" s="208"/>
      <c r="I707" s="208"/>
      <c r="J707" s="209"/>
      <c r="K707" s="211"/>
      <c r="L707" s="208"/>
      <c r="M707" s="208"/>
      <c r="N707" s="208"/>
      <c r="O707" s="208"/>
      <c r="P707" s="208"/>
      <c r="Q707" s="208"/>
      <c r="R707" s="208"/>
      <c r="S707" s="212"/>
      <c r="T707" s="208"/>
      <c r="U707" s="208"/>
      <c r="V707" s="208"/>
      <c r="W707" s="208"/>
      <c r="X707" s="208"/>
      <c r="Y707" s="208"/>
      <c r="Z707" s="208"/>
    </row>
    <row r="708">
      <c r="A708" s="208"/>
      <c r="B708" s="207"/>
      <c r="C708" s="209"/>
      <c r="D708" s="210"/>
      <c r="E708" s="210"/>
      <c r="F708" s="210"/>
      <c r="G708" s="210"/>
      <c r="H708" s="208"/>
      <c r="I708" s="208"/>
      <c r="J708" s="209"/>
      <c r="K708" s="211"/>
      <c r="L708" s="208"/>
      <c r="M708" s="208"/>
      <c r="N708" s="208"/>
      <c r="O708" s="208"/>
      <c r="P708" s="208"/>
      <c r="Q708" s="208"/>
      <c r="R708" s="208"/>
      <c r="S708" s="212"/>
      <c r="T708" s="208"/>
      <c r="U708" s="208"/>
      <c r="V708" s="208"/>
      <c r="W708" s="208"/>
      <c r="X708" s="208"/>
      <c r="Y708" s="208"/>
      <c r="Z708" s="208"/>
    </row>
    <row r="709">
      <c r="A709" s="208"/>
      <c r="B709" s="207"/>
      <c r="C709" s="209"/>
      <c r="D709" s="210"/>
      <c r="E709" s="210"/>
      <c r="F709" s="210"/>
      <c r="G709" s="210"/>
      <c r="H709" s="208"/>
      <c r="I709" s="208"/>
      <c r="J709" s="209"/>
      <c r="K709" s="211"/>
      <c r="L709" s="208"/>
      <c r="M709" s="208"/>
      <c r="N709" s="208"/>
      <c r="O709" s="208"/>
      <c r="P709" s="208"/>
      <c r="Q709" s="208"/>
      <c r="R709" s="208"/>
      <c r="S709" s="212"/>
      <c r="T709" s="208"/>
      <c r="U709" s="208"/>
      <c r="V709" s="208"/>
      <c r="W709" s="208"/>
      <c r="X709" s="208"/>
      <c r="Y709" s="208"/>
      <c r="Z709" s="208"/>
    </row>
    <row r="710">
      <c r="A710" s="208"/>
      <c r="B710" s="207"/>
      <c r="C710" s="209"/>
      <c r="D710" s="210"/>
      <c r="E710" s="210"/>
      <c r="F710" s="210"/>
      <c r="G710" s="210"/>
      <c r="H710" s="208"/>
      <c r="I710" s="208"/>
      <c r="J710" s="209"/>
      <c r="K710" s="211"/>
      <c r="L710" s="208"/>
      <c r="M710" s="208"/>
      <c r="N710" s="208"/>
      <c r="O710" s="208"/>
      <c r="P710" s="208"/>
      <c r="Q710" s="208"/>
      <c r="R710" s="208"/>
      <c r="S710" s="212"/>
      <c r="T710" s="208"/>
      <c r="U710" s="208"/>
      <c r="V710" s="208"/>
      <c r="W710" s="208"/>
      <c r="X710" s="208"/>
      <c r="Y710" s="208"/>
      <c r="Z710" s="208"/>
    </row>
    <row r="711">
      <c r="A711" s="208"/>
      <c r="B711" s="207"/>
      <c r="C711" s="209"/>
      <c r="D711" s="210"/>
      <c r="E711" s="210"/>
      <c r="F711" s="210"/>
      <c r="G711" s="210"/>
      <c r="H711" s="208"/>
      <c r="I711" s="208"/>
      <c r="J711" s="209"/>
      <c r="K711" s="211"/>
      <c r="L711" s="208"/>
      <c r="M711" s="208"/>
      <c r="N711" s="208"/>
      <c r="O711" s="208"/>
      <c r="P711" s="208"/>
      <c r="Q711" s="208"/>
      <c r="R711" s="208"/>
      <c r="S711" s="212"/>
      <c r="T711" s="208"/>
      <c r="U711" s="208"/>
      <c r="V711" s="208"/>
      <c r="W711" s="208"/>
      <c r="X711" s="208"/>
      <c r="Y711" s="208"/>
      <c r="Z711" s="208"/>
    </row>
    <row r="712">
      <c r="A712" s="208"/>
      <c r="B712" s="207"/>
      <c r="C712" s="209"/>
      <c r="D712" s="210"/>
      <c r="E712" s="210"/>
      <c r="F712" s="210"/>
      <c r="G712" s="210"/>
      <c r="H712" s="208"/>
      <c r="I712" s="208"/>
      <c r="J712" s="209"/>
      <c r="K712" s="211"/>
      <c r="L712" s="208"/>
      <c r="M712" s="208"/>
      <c r="N712" s="208"/>
      <c r="O712" s="208"/>
      <c r="P712" s="208"/>
      <c r="Q712" s="208"/>
      <c r="R712" s="208"/>
      <c r="S712" s="212"/>
      <c r="T712" s="208"/>
      <c r="U712" s="208"/>
      <c r="V712" s="208"/>
      <c r="W712" s="208"/>
      <c r="X712" s="208"/>
      <c r="Y712" s="208"/>
      <c r="Z712" s="208"/>
    </row>
    <row r="713">
      <c r="A713" s="208"/>
      <c r="B713" s="207"/>
      <c r="C713" s="209"/>
      <c r="D713" s="210"/>
      <c r="E713" s="210"/>
      <c r="F713" s="210"/>
      <c r="G713" s="210"/>
      <c r="H713" s="208"/>
      <c r="I713" s="208"/>
      <c r="J713" s="209"/>
      <c r="K713" s="211"/>
      <c r="L713" s="208"/>
      <c r="M713" s="208"/>
      <c r="N713" s="208"/>
      <c r="O713" s="208"/>
      <c r="P713" s="208"/>
      <c r="Q713" s="208"/>
      <c r="R713" s="208"/>
      <c r="S713" s="212"/>
      <c r="T713" s="208"/>
      <c r="U713" s="208"/>
      <c r="V713" s="208"/>
      <c r="W713" s="208"/>
      <c r="X713" s="208"/>
      <c r="Y713" s="208"/>
      <c r="Z713" s="208"/>
    </row>
    <row r="714">
      <c r="A714" s="208"/>
      <c r="B714" s="207"/>
      <c r="C714" s="209"/>
      <c r="D714" s="210"/>
      <c r="E714" s="210"/>
      <c r="F714" s="210"/>
      <c r="G714" s="210"/>
      <c r="H714" s="208"/>
      <c r="I714" s="208"/>
      <c r="J714" s="209"/>
      <c r="K714" s="211"/>
      <c r="L714" s="208"/>
      <c r="M714" s="208"/>
      <c r="N714" s="208"/>
      <c r="O714" s="208"/>
      <c r="P714" s="208"/>
      <c r="Q714" s="208"/>
      <c r="R714" s="208"/>
      <c r="S714" s="212"/>
      <c r="T714" s="208"/>
      <c r="U714" s="208"/>
      <c r="V714" s="208"/>
      <c r="W714" s="208"/>
      <c r="X714" s="208"/>
      <c r="Y714" s="208"/>
      <c r="Z714" s="208"/>
    </row>
    <row r="715">
      <c r="A715" s="208"/>
      <c r="B715" s="207"/>
      <c r="C715" s="209"/>
      <c r="D715" s="210"/>
      <c r="E715" s="210"/>
      <c r="F715" s="210"/>
      <c r="G715" s="210"/>
      <c r="H715" s="208"/>
      <c r="I715" s="208"/>
      <c r="J715" s="209"/>
      <c r="K715" s="211"/>
      <c r="L715" s="208"/>
      <c r="M715" s="208"/>
      <c r="N715" s="208"/>
      <c r="O715" s="208"/>
      <c r="P715" s="208"/>
      <c r="Q715" s="208"/>
      <c r="R715" s="208"/>
      <c r="S715" s="212"/>
      <c r="T715" s="208"/>
      <c r="U715" s="208"/>
      <c r="V715" s="208"/>
      <c r="W715" s="208"/>
      <c r="X715" s="208"/>
      <c r="Y715" s="208"/>
      <c r="Z715" s="208"/>
    </row>
    <row r="716">
      <c r="A716" s="208"/>
      <c r="B716" s="207"/>
      <c r="C716" s="209"/>
      <c r="D716" s="210"/>
      <c r="E716" s="210"/>
      <c r="F716" s="210"/>
      <c r="G716" s="210"/>
      <c r="H716" s="208"/>
      <c r="I716" s="208"/>
      <c r="J716" s="209"/>
      <c r="K716" s="211"/>
      <c r="L716" s="208"/>
      <c r="M716" s="208"/>
      <c r="N716" s="208"/>
      <c r="O716" s="208"/>
      <c r="P716" s="208"/>
      <c r="Q716" s="208"/>
      <c r="R716" s="208"/>
      <c r="S716" s="212"/>
      <c r="T716" s="208"/>
      <c r="U716" s="208"/>
      <c r="V716" s="208"/>
      <c r="W716" s="208"/>
      <c r="X716" s="208"/>
      <c r="Y716" s="208"/>
      <c r="Z716" s="208"/>
    </row>
    <row r="717">
      <c r="A717" s="208"/>
      <c r="B717" s="207"/>
      <c r="C717" s="209"/>
      <c r="D717" s="210"/>
      <c r="E717" s="210"/>
      <c r="F717" s="210"/>
      <c r="G717" s="210"/>
      <c r="H717" s="208"/>
      <c r="I717" s="208"/>
      <c r="J717" s="209"/>
      <c r="K717" s="211"/>
      <c r="L717" s="208"/>
      <c r="M717" s="208"/>
      <c r="N717" s="208"/>
      <c r="O717" s="208"/>
      <c r="P717" s="208"/>
      <c r="Q717" s="208"/>
      <c r="R717" s="208"/>
      <c r="S717" s="212"/>
      <c r="T717" s="208"/>
      <c r="U717" s="208"/>
      <c r="V717" s="208"/>
      <c r="W717" s="208"/>
      <c r="X717" s="208"/>
      <c r="Y717" s="208"/>
      <c r="Z717" s="208"/>
    </row>
    <row r="718">
      <c r="A718" s="208"/>
      <c r="B718" s="207"/>
      <c r="C718" s="209"/>
      <c r="D718" s="210"/>
      <c r="E718" s="210"/>
      <c r="F718" s="210"/>
      <c r="G718" s="210"/>
      <c r="H718" s="208"/>
      <c r="I718" s="208"/>
      <c r="J718" s="209"/>
      <c r="K718" s="211"/>
      <c r="L718" s="208"/>
      <c r="M718" s="208"/>
      <c r="N718" s="208"/>
      <c r="O718" s="208"/>
      <c r="P718" s="208"/>
      <c r="Q718" s="208"/>
      <c r="R718" s="208"/>
      <c r="S718" s="212"/>
      <c r="T718" s="208"/>
      <c r="U718" s="208"/>
      <c r="V718" s="208"/>
      <c r="W718" s="208"/>
      <c r="X718" s="208"/>
      <c r="Y718" s="208"/>
      <c r="Z718" s="208"/>
    </row>
    <row r="719">
      <c r="A719" s="208"/>
      <c r="B719" s="207"/>
      <c r="C719" s="209"/>
      <c r="D719" s="210"/>
      <c r="E719" s="210"/>
      <c r="F719" s="210"/>
      <c r="G719" s="210"/>
      <c r="H719" s="208"/>
      <c r="I719" s="208"/>
      <c r="J719" s="209"/>
      <c r="K719" s="211"/>
      <c r="L719" s="208"/>
      <c r="M719" s="208"/>
      <c r="N719" s="208"/>
      <c r="O719" s="208"/>
      <c r="P719" s="208"/>
      <c r="Q719" s="208"/>
      <c r="R719" s="208"/>
      <c r="S719" s="212"/>
      <c r="T719" s="208"/>
      <c r="U719" s="208"/>
      <c r="V719" s="208"/>
      <c r="W719" s="208"/>
      <c r="X719" s="208"/>
      <c r="Y719" s="208"/>
      <c r="Z719" s="208"/>
    </row>
    <row r="720">
      <c r="A720" s="208"/>
      <c r="B720" s="207"/>
      <c r="C720" s="209"/>
      <c r="D720" s="210"/>
      <c r="E720" s="210"/>
      <c r="F720" s="210"/>
      <c r="G720" s="210"/>
      <c r="H720" s="208"/>
      <c r="I720" s="208"/>
      <c r="J720" s="209"/>
      <c r="K720" s="211"/>
      <c r="L720" s="208"/>
      <c r="M720" s="208"/>
      <c r="N720" s="208"/>
      <c r="O720" s="208"/>
      <c r="P720" s="208"/>
      <c r="Q720" s="208"/>
      <c r="R720" s="208"/>
      <c r="S720" s="212"/>
      <c r="T720" s="208"/>
      <c r="U720" s="208"/>
      <c r="V720" s="208"/>
      <c r="W720" s="208"/>
      <c r="X720" s="208"/>
      <c r="Y720" s="208"/>
      <c r="Z720" s="208"/>
    </row>
    <row r="721">
      <c r="A721" s="208"/>
      <c r="B721" s="207"/>
      <c r="C721" s="209"/>
      <c r="D721" s="210"/>
      <c r="E721" s="210"/>
      <c r="F721" s="210"/>
      <c r="G721" s="210"/>
      <c r="H721" s="208"/>
      <c r="I721" s="208"/>
      <c r="J721" s="209"/>
      <c r="K721" s="211"/>
      <c r="L721" s="208"/>
      <c r="M721" s="208"/>
      <c r="N721" s="208"/>
      <c r="O721" s="208"/>
      <c r="P721" s="208"/>
      <c r="Q721" s="208"/>
      <c r="R721" s="208"/>
      <c r="S721" s="212"/>
      <c r="T721" s="208"/>
      <c r="U721" s="208"/>
      <c r="V721" s="208"/>
      <c r="W721" s="208"/>
      <c r="X721" s="208"/>
      <c r="Y721" s="208"/>
      <c r="Z721" s="208"/>
    </row>
    <row r="722">
      <c r="A722" s="208"/>
      <c r="B722" s="207"/>
      <c r="C722" s="209"/>
      <c r="D722" s="210"/>
      <c r="E722" s="210"/>
      <c r="F722" s="210"/>
      <c r="G722" s="210"/>
      <c r="H722" s="208"/>
      <c r="I722" s="208"/>
      <c r="J722" s="209"/>
      <c r="K722" s="211"/>
      <c r="L722" s="208"/>
      <c r="M722" s="208"/>
      <c r="N722" s="208"/>
      <c r="O722" s="208"/>
      <c r="P722" s="208"/>
      <c r="Q722" s="208"/>
      <c r="R722" s="208"/>
      <c r="S722" s="212"/>
      <c r="T722" s="208"/>
      <c r="U722" s="208"/>
      <c r="V722" s="208"/>
      <c r="W722" s="208"/>
      <c r="X722" s="208"/>
      <c r="Y722" s="208"/>
      <c r="Z722" s="208"/>
    </row>
    <row r="723">
      <c r="A723" s="208"/>
      <c r="B723" s="207"/>
      <c r="C723" s="209"/>
      <c r="D723" s="210"/>
      <c r="E723" s="210"/>
      <c r="F723" s="210"/>
      <c r="G723" s="210"/>
      <c r="H723" s="208"/>
      <c r="I723" s="208"/>
      <c r="J723" s="209"/>
      <c r="K723" s="211"/>
      <c r="L723" s="208"/>
      <c r="M723" s="208"/>
      <c r="N723" s="208"/>
      <c r="O723" s="208"/>
      <c r="P723" s="208"/>
      <c r="Q723" s="208"/>
      <c r="R723" s="208"/>
      <c r="S723" s="212"/>
      <c r="T723" s="208"/>
      <c r="U723" s="208"/>
      <c r="V723" s="208"/>
      <c r="W723" s="208"/>
      <c r="X723" s="208"/>
      <c r="Y723" s="208"/>
      <c r="Z723" s="208"/>
    </row>
    <row r="724">
      <c r="A724" s="208"/>
      <c r="B724" s="207"/>
      <c r="C724" s="209"/>
      <c r="D724" s="210"/>
      <c r="E724" s="210"/>
      <c r="F724" s="210"/>
      <c r="G724" s="210"/>
      <c r="H724" s="208"/>
      <c r="I724" s="208"/>
      <c r="J724" s="209"/>
      <c r="K724" s="211"/>
      <c r="L724" s="208"/>
      <c r="M724" s="208"/>
      <c r="N724" s="208"/>
      <c r="O724" s="208"/>
      <c r="P724" s="208"/>
      <c r="Q724" s="208"/>
      <c r="R724" s="208"/>
      <c r="S724" s="212"/>
      <c r="T724" s="208"/>
      <c r="U724" s="208"/>
      <c r="V724" s="208"/>
      <c r="W724" s="208"/>
      <c r="X724" s="208"/>
      <c r="Y724" s="208"/>
      <c r="Z724" s="208"/>
    </row>
    <row r="725">
      <c r="A725" s="208"/>
      <c r="B725" s="207"/>
      <c r="C725" s="209"/>
      <c r="D725" s="210"/>
      <c r="E725" s="210"/>
      <c r="F725" s="210"/>
      <c r="G725" s="210"/>
      <c r="H725" s="208"/>
      <c r="I725" s="208"/>
      <c r="J725" s="209"/>
      <c r="K725" s="211"/>
      <c r="L725" s="208"/>
      <c r="M725" s="208"/>
      <c r="N725" s="208"/>
      <c r="O725" s="208"/>
      <c r="P725" s="208"/>
      <c r="Q725" s="208"/>
      <c r="R725" s="208"/>
      <c r="S725" s="212"/>
      <c r="T725" s="208"/>
      <c r="U725" s="208"/>
      <c r="V725" s="208"/>
      <c r="W725" s="208"/>
      <c r="X725" s="208"/>
      <c r="Y725" s="208"/>
      <c r="Z725" s="208"/>
    </row>
    <row r="726">
      <c r="A726" s="208"/>
      <c r="B726" s="207"/>
      <c r="C726" s="209"/>
      <c r="D726" s="210"/>
      <c r="E726" s="210"/>
      <c r="F726" s="210"/>
      <c r="G726" s="210"/>
      <c r="H726" s="208"/>
      <c r="I726" s="208"/>
      <c r="J726" s="209"/>
      <c r="K726" s="211"/>
      <c r="L726" s="208"/>
      <c r="M726" s="208"/>
      <c r="N726" s="208"/>
      <c r="O726" s="208"/>
      <c r="P726" s="208"/>
      <c r="Q726" s="208"/>
      <c r="R726" s="208"/>
      <c r="S726" s="212"/>
      <c r="T726" s="208"/>
      <c r="U726" s="208"/>
      <c r="V726" s="208"/>
      <c r="W726" s="208"/>
      <c r="X726" s="208"/>
      <c r="Y726" s="208"/>
      <c r="Z726" s="208"/>
    </row>
    <row r="727">
      <c r="A727" s="208"/>
      <c r="B727" s="207"/>
      <c r="C727" s="209"/>
      <c r="D727" s="210"/>
      <c r="E727" s="210"/>
      <c r="F727" s="210"/>
      <c r="G727" s="210"/>
      <c r="H727" s="208"/>
      <c r="I727" s="208"/>
      <c r="J727" s="209"/>
      <c r="K727" s="211"/>
      <c r="L727" s="208"/>
      <c r="M727" s="208"/>
      <c r="N727" s="208"/>
      <c r="O727" s="208"/>
      <c r="P727" s="208"/>
      <c r="Q727" s="208"/>
      <c r="R727" s="208"/>
      <c r="S727" s="212"/>
      <c r="T727" s="208"/>
      <c r="U727" s="208"/>
      <c r="V727" s="208"/>
      <c r="W727" s="208"/>
      <c r="X727" s="208"/>
      <c r="Y727" s="208"/>
      <c r="Z727" s="208"/>
    </row>
    <row r="728">
      <c r="A728" s="208"/>
      <c r="B728" s="207"/>
      <c r="C728" s="209"/>
      <c r="D728" s="210"/>
      <c r="E728" s="210"/>
      <c r="F728" s="210"/>
      <c r="G728" s="210"/>
      <c r="H728" s="208"/>
      <c r="I728" s="208"/>
      <c r="J728" s="209"/>
      <c r="K728" s="211"/>
      <c r="L728" s="208"/>
      <c r="M728" s="208"/>
      <c r="N728" s="208"/>
      <c r="O728" s="208"/>
      <c r="P728" s="208"/>
      <c r="Q728" s="208"/>
      <c r="R728" s="208"/>
      <c r="S728" s="212"/>
      <c r="T728" s="208"/>
      <c r="U728" s="208"/>
      <c r="V728" s="208"/>
      <c r="W728" s="208"/>
      <c r="X728" s="208"/>
      <c r="Y728" s="208"/>
      <c r="Z728" s="208"/>
    </row>
    <row r="729">
      <c r="A729" s="208"/>
      <c r="B729" s="207"/>
      <c r="C729" s="209"/>
      <c r="D729" s="210"/>
      <c r="E729" s="210"/>
      <c r="F729" s="210"/>
      <c r="G729" s="210"/>
      <c r="H729" s="208"/>
      <c r="I729" s="208"/>
      <c r="J729" s="209"/>
      <c r="K729" s="211"/>
      <c r="L729" s="208"/>
      <c r="M729" s="208"/>
      <c r="N729" s="208"/>
      <c r="O729" s="208"/>
      <c r="P729" s="208"/>
      <c r="Q729" s="208"/>
      <c r="R729" s="208"/>
      <c r="S729" s="212"/>
      <c r="T729" s="208"/>
      <c r="U729" s="208"/>
      <c r="V729" s="208"/>
      <c r="W729" s="208"/>
      <c r="X729" s="208"/>
      <c r="Y729" s="208"/>
      <c r="Z729" s="208"/>
    </row>
    <row r="730">
      <c r="A730" s="208"/>
      <c r="B730" s="207"/>
      <c r="C730" s="209"/>
      <c r="D730" s="210"/>
      <c r="E730" s="210"/>
      <c r="F730" s="210"/>
      <c r="G730" s="210"/>
      <c r="H730" s="208"/>
      <c r="I730" s="208"/>
      <c r="J730" s="209"/>
      <c r="K730" s="211"/>
      <c r="L730" s="208"/>
      <c r="M730" s="208"/>
      <c r="N730" s="208"/>
      <c r="O730" s="208"/>
      <c r="P730" s="208"/>
      <c r="Q730" s="208"/>
      <c r="R730" s="208"/>
      <c r="S730" s="212"/>
      <c r="T730" s="208"/>
      <c r="U730" s="208"/>
      <c r="V730" s="208"/>
      <c r="W730" s="208"/>
      <c r="X730" s="208"/>
      <c r="Y730" s="208"/>
      <c r="Z730" s="208"/>
    </row>
    <row r="731">
      <c r="A731" s="208"/>
      <c r="B731" s="207"/>
      <c r="C731" s="209"/>
      <c r="D731" s="210"/>
      <c r="E731" s="210"/>
      <c r="F731" s="210"/>
      <c r="G731" s="210"/>
      <c r="H731" s="208"/>
      <c r="I731" s="208"/>
      <c r="J731" s="209"/>
      <c r="K731" s="211"/>
      <c r="L731" s="208"/>
      <c r="M731" s="208"/>
      <c r="N731" s="208"/>
      <c r="O731" s="208"/>
      <c r="P731" s="208"/>
      <c r="Q731" s="208"/>
      <c r="R731" s="208"/>
      <c r="S731" s="212"/>
      <c r="T731" s="208"/>
      <c r="U731" s="208"/>
      <c r="V731" s="208"/>
      <c r="W731" s="208"/>
      <c r="X731" s="208"/>
      <c r="Y731" s="208"/>
      <c r="Z731" s="208"/>
    </row>
    <row r="732">
      <c r="A732" s="208"/>
      <c r="B732" s="207"/>
      <c r="C732" s="209"/>
      <c r="D732" s="210"/>
      <c r="E732" s="210"/>
      <c r="F732" s="210"/>
      <c r="G732" s="210"/>
      <c r="H732" s="208"/>
      <c r="I732" s="208"/>
      <c r="J732" s="209"/>
      <c r="K732" s="211"/>
      <c r="L732" s="208"/>
      <c r="M732" s="208"/>
      <c r="N732" s="208"/>
      <c r="O732" s="208"/>
      <c r="P732" s="208"/>
      <c r="Q732" s="208"/>
      <c r="R732" s="208"/>
      <c r="S732" s="212"/>
      <c r="T732" s="208"/>
      <c r="U732" s="208"/>
      <c r="V732" s="208"/>
      <c r="W732" s="208"/>
      <c r="X732" s="208"/>
      <c r="Y732" s="208"/>
      <c r="Z732" s="208"/>
    </row>
    <row r="733">
      <c r="A733" s="208"/>
      <c r="B733" s="207"/>
      <c r="C733" s="209"/>
      <c r="D733" s="210"/>
      <c r="E733" s="210"/>
      <c r="F733" s="210"/>
      <c r="G733" s="210"/>
      <c r="H733" s="208"/>
      <c r="I733" s="208"/>
      <c r="J733" s="209"/>
      <c r="K733" s="211"/>
      <c r="L733" s="208"/>
      <c r="M733" s="208"/>
      <c r="N733" s="208"/>
      <c r="O733" s="208"/>
      <c r="P733" s="208"/>
      <c r="Q733" s="208"/>
      <c r="R733" s="208"/>
      <c r="S733" s="212"/>
      <c r="T733" s="208"/>
      <c r="U733" s="208"/>
      <c r="V733" s="208"/>
      <c r="W733" s="208"/>
      <c r="X733" s="208"/>
      <c r="Y733" s="208"/>
      <c r="Z733" s="208"/>
    </row>
    <row r="734">
      <c r="A734" s="208"/>
      <c r="B734" s="207"/>
      <c r="C734" s="209"/>
      <c r="D734" s="210"/>
      <c r="E734" s="210"/>
      <c r="F734" s="210"/>
      <c r="G734" s="210"/>
      <c r="H734" s="208"/>
      <c r="I734" s="208"/>
      <c r="J734" s="209"/>
      <c r="K734" s="211"/>
      <c r="L734" s="208"/>
      <c r="M734" s="208"/>
      <c r="N734" s="208"/>
      <c r="O734" s="208"/>
      <c r="P734" s="208"/>
      <c r="Q734" s="208"/>
      <c r="R734" s="208"/>
      <c r="S734" s="212"/>
      <c r="T734" s="208"/>
      <c r="U734" s="208"/>
      <c r="V734" s="208"/>
      <c r="W734" s="208"/>
      <c r="X734" s="208"/>
      <c r="Y734" s="208"/>
      <c r="Z734" s="208"/>
    </row>
    <row r="735">
      <c r="A735" s="208"/>
      <c r="B735" s="207"/>
      <c r="C735" s="209"/>
      <c r="D735" s="210"/>
      <c r="E735" s="210"/>
      <c r="F735" s="210"/>
      <c r="G735" s="210"/>
      <c r="H735" s="208"/>
      <c r="I735" s="208"/>
      <c r="J735" s="209"/>
      <c r="K735" s="211"/>
      <c r="L735" s="208"/>
      <c r="M735" s="208"/>
      <c r="N735" s="208"/>
      <c r="O735" s="208"/>
      <c r="P735" s="208"/>
      <c r="Q735" s="208"/>
      <c r="R735" s="208"/>
      <c r="S735" s="212"/>
      <c r="T735" s="208"/>
      <c r="U735" s="208"/>
      <c r="V735" s="208"/>
      <c r="W735" s="208"/>
      <c r="X735" s="208"/>
      <c r="Y735" s="208"/>
      <c r="Z735" s="208"/>
    </row>
    <row r="736">
      <c r="A736" s="208"/>
      <c r="B736" s="207"/>
      <c r="C736" s="209"/>
      <c r="D736" s="210"/>
      <c r="E736" s="210"/>
      <c r="F736" s="210"/>
      <c r="G736" s="210"/>
      <c r="H736" s="208"/>
      <c r="I736" s="208"/>
      <c r="J736" s="209"/>
      <c r="K736" s="211"/>
      <c r="L736" s="208"/>
      <c r="M736" s="208"/>
      <c r="N736" s="208"/>
      <c r="O736" s="208"/>
      <c r="P736" s="208"/>
      <c r="Q736" s="208"/>
      <c r="R736" s="208"/>
      <c r="S736" s="212"/>
      <c r="T736" s="208"/>
      <c r="U736" s="208"/>
      <c r="V736" s="208"/>
      <c r="W736" s="208"/>
      <c r="X736" s="208"/>
      <c r="Y736" s="208"/>
      <c r="Z736" s="208"/>
    </row>
    <row r="737">
      <c r="A737" s="208"/>
      <c r="B737" s="207"/>
      <c r="C737" s="209"/>
      <c r="D737" s="210"/>
      <c r="E737" s="210"/>
      <c r="F737" s="210"/>
      <c r="G737" s="210"/>
      <c r="H737" s="208"/>
      <c r="I737" s="208"/>
      <c r="J737" s="209"/>
      <c r="K737" s="211"/>
      <c r="L737" s="208"/>
      <c r="M737" s="208"/>
      <c r="N737" s="208"/>
      <c r="O737" s="208"/>
      <c r="P737" s="208"/>
      <c r="Q737" s="208"/>
      <c r="R737" s="208"/>
      <c r="S737" s="212"/>
      <c r="T737" s="208"/>
      <c r="U737" s="208"/>
      <c r="V737" s="208"/>
      <c r="W737" s="208"/>
      <c r="X737" s="208"/>
      <c r="Y737" s="208"/>
      <c r="Z737" s="208"/>
    </row>
    <row r="738">
      <c r="A738" s="208"/>
      <c r="B738" s="207"/>
      <c r="C738" s="209"/>
      <c r="D738" s="210"/>
      <c r="E738" s="210"/>
      <c r="F738" s="210"/>
      <c r="G738" s="210"/>
      <c r="H738" s="208"/>
      <c r="I738" s="208"/>
      <c r="J738" s="209"/>
      <c r="K738" s="211"/>
      <c r="L738" s="208"/>
      <c r="M738" s="208"/>
      <c r="N738" s="208"/>
      <c r="O738" s="208"/>
      <c r="P738" s="208"/>
      <c r="Q738" s="208"/>
      <c r="R738" s="208"/>
      <c r="S738" s="212"/>
      <c r="T738" s="208"/>
      <c r="U738" s="208"/>
      <c r="V738" s="208"/>
      <c r="W738" s="208"/>
      <c r="X738" s="208"/>
      <c r="Y738" s="208"/>
      <c r="Z738" s="208"/>
    </row>
    <row r="739">
      <c r="A739" s="208"/>
      <c r="B739" s="207"/>
      <c r="C739" s="209"/>
      <c r="D739" s="210"/>
      <c r="E739" s="210"/>
      <c r="F739" s="210"/>
      <c r="G739" s="210"/>
      <c r="H739" s="208"/>
      <c r="I739" s="208"/>
      <c r="J739" s="209"/>
      <c r="K739" s="211"/>
      <c r="L739" s="208"/>
      <c r="M739" s="208"/>
      <c r="N739" s="208"/>
      <c r="O739" s="208"/>
      <c r="P739" s="208"/>
      <c r="Q739" s="208"/>
      <c r="R739" s="208"/>
      <c r="S739" s="212"/>
      <c r="T739" s="208"/>
      <c r="U739" s="208"/>
      <c r="V739" s="208"/>
      <c r="W739" s="208"/>
      <c r="X739" s="208"/>
      <c r="Y739" s="208"/>
      <c r="Z739" s="208"/>
    </row>
    <row r="740">
      <c r="A740" s="208"/>
      <c r="B740" s="207"/>
      <c r="C740" s="209"/>
      <c r="D740" s="210"/>
      <c r="E740" s="210"/>
      <c r="F740" s="210"/>
      <c r="G740" s="210"/>
      <c r="H740" s="208"/>
      <c r="I740" s="208"/>
      <c r="J740" s="209"/>
      <c r="K740" s="211"/>
      <c r="L740" s="208"/>
      <c r="M740" s="208"/>
      <c r="N740" s="208"/>
      <c r="O740" s="208"/>
      <c r="P740" s="208"/>
      <c r="Q740" s="208"/>
      <c r="R740" s="208"/>
      <c r="S740" s="212"/>
      <c r="T740" s="208"/>
      <c r="U740" s="208"/>
      <c r="V740" s="208"/>
      <c r="W740" s="208"/>
      <c r="X740" s="208"/>
      <c r="Y740" s="208"/>
      <c r="Z740" s="208"/>
    </row>
    <row r="741">
      <c r="A741" s="208"/>
      <c r="B741" s="207"/>
      <c r="C741" s="209"/>
      <c r="D741" s="210"/>
      <c r="E741" s="210"/>
      <c r="F741" s="210"/>
      <c r="G741" s="210"/>
      <c r="H741" s="208"/>
      <c r="I741" s="208"/>
      <c r="J741" s="209"/>
      <c r="K741" s="211"/>
      <c r="L741" s="208"/>
      <c r="M741" s="208"/>
      <c r="N741" s="208"/>
      <c r="O741" s="208"/>
      <c r="P741" s="208"/>
      <c r="Q741" s="208"/>
      <c r="R741" s="208"/>
      <c r="S741" s="212"/>
      <c r="T741" s="208"/>
      <c r="U741" s="208"/>
      <c r="V741" s="208"/>
      <c r="W741" s="208"/>
      <c r="X741" s="208"/>
      <c r="Y741" s="208"/>
      <c r="Z741" s="208"/>
    </row>
    <row r="742">
      <c r="A742" s="208"/>
      <c r="B742" s="207"/>
      <c r="C742" s="209"/>
      <c r="D742" s="210"/>
      <c r="E742" s="210"/>
      <c r="F742" s="210"/>
      <c r="G742" s="210"/>
      <c r="H742" s="208"/>
      <c r="I742" s="208"/>
      <c r="J742" s="209"/>
      <c r="K742" s="211"/>
      <c r="L742" s="208"/>
      <c r="M742" s="208"/>
      <c r="N742" s="208"/>
      <c r="O742" s="208"/>
      <c r="P742" s="208"/>
      <c r="Q742" s="208"/>
      <c r="R742" s="208"/>
      <c r="S742" s="212"/>
      <c r="T742" s="208"/>
      <c r="U742" s="208"/>
      <c r="V742" s="208"/>
      <c r="W742" s="208"/>
      <c r="X742" s="208"/>
      <c r="Y742" s="208"/>
      <c r="Z742" s="208"/>
    </row>
    <row r="743">
      <c r="A743" s="208"/>
      <c r="B743" s="207"/>
      <c r="C743" s="209"/>
      <c r="D743" s="210"/>
      <c r="E743" s="210"/>
      <c r="F743" s="210"/>
      <c r="G743" s="210"/>
      <c r="H743" s="208"/>
      <c r="I743" s="208"/>
      <c r="J743" s="209"/>
      <c r="K743" s="211"/>
      <c r="L743" s="208"/>
      <c r="M743" s="208"/>
      <c r="N743" s="208"/>
      <c r="O743" s="208"/>
      <c r="P743" s="208"/>
      <c r="Q743" s="208"/>
      <c r="R743" s="208"/>
      <c r="S743" s="212"/>
      <c r="T743" s="208"/>
      <c r="U743" s="208"/>
      <c r="V743" s="208"/>
      <c r="W743" s="208"/>
      <c r="X743" s="208"/>
      <c r="Y743" s="208"/>
      <c r="Z743" s="208"/>
    </row>
    <row r="744">
      <c r="A744" s="208"/>
      <c r="B744" s="207"/>
      <c r="C744" s="209"/>
      <c r="D744" s="210"/>
      <c r="E744" s="210"/>
      <c r="F744" s="210"/>
      <c r="G744" s="210"/>
      <c r="H744" s="208"/>
      <c r="I744" s="208"/>
      <c r="J744" s="209"/>
      <c r="K744" s="211"/>
      <c r="L744" s="208"/>
      <c r="M744" s="208"/>
      <c r="N744" s="208"/>
      <c r="O744" s="208"/>
      <c r="P744" s="208"/>
      <c r="Q744" s="208"/>
      <c r="R744" s="208"/>
      <c r="S744" s="212"/>
      <c r="T744" s="208"/>
      <c r="U744" s="208"/>
      <c r="V744" s="208"/>
      <c r="W744" s="208"/>
      <c r="X744" s="208"/>
      <c r="Y744" s="208"/>
      <c r="Z744" s="208"/>
    </row>
    <row r="745">
      <c r="A745" s="208"/>
      <c r="B745" s="207"/>
      <c r="C745" s="209"/>
      <c r="D745" s="210"/>
      <c r="E745" s="210"/>
      <c r="F745" s="210"/>
      <c r="G745" s="210"/>
      <c r="H745" s="208"/>
      <c r="I745" s="208"/>
      <c r="J745" s="209"/>
      <c r="K745" s="211"/>
      <c r="L745" s="208"/>
      <c r="M745" s="208"/>
      <c r="N745" s="208"/>
      <c r="O745" s="208"/>
      <c r="P745" s="208"/>
      <c r="Q745" s="208"/>
      <c r="R745" s="208"/>
      <c r="S745" s="212"/>
      <c r="T745" s="208"/>
      <c r="U745" s="208"/>
      <c r="V745" s="208"/>
      <c r="W745" s="208"/>
      <c r="X745" s="208"/>
      <c r="Y745" s="208"/>
      <c r="Z745" s="208"/>
    </row>
    <row r="746">
      <c r="A746" s="208"/>
      <c r="B746" s="207"/>
      <c r="C746" s="209"/>
      <c r="D746" s="210"/>
      <c r="E746" s="210"/>
      <c r="F746" s="210"/>
      <c r="G746" s="210"/>
      <c r="H746" s="208"/>
      <c r="I746" s="208"/>
      <c r="J746" s="209"/>
      <c r="K746" s="211"/>
      <c r="L746" s="208"/>
      <c r="M746" s="208"/>
      <c r="N746" s="208"/>
      <c r="O746" s="208"/>
      <c r="P746" s="208"/>
      <c r="Q746" s="208"/>
      <c r="R746" s="208"/>
      <c r="S746" s="212"/>
      <c r="T746" s="208"/>
      <c r="U746" s="208"/>
      <c r="V746" s="208"/>
      <c r="W746" s="208"/>
      <c r="X746" s="208"/>
      <c r="Y746" s="208"/>
      <c r="Z746" s="208"/>
    </row>
    <row r="747">
      <c r="A747" s="208"/>
      <c r="B747" s="207"/>
      <c r="C747" s="209"/>
      <c r="D747" s="210"/>
      <c r="E747" s="210"/>
      <c r="F747" s="210"/>
      <c r="G747" s="210"/>
      <c r="H747" s="208"/>
      <c r="I747" s="208"/>
      <c r="J747" s="209"/>
      <c r="K747" s="211"/>
      <c r="L747" s="208"/>
      <c r="M747" s="208"/>
      <c r="N747" s="208"/>
      <c r="O747" s="208"/>
      <c r="P747" s="208"/>
      <c r="Q747" s="208"/>
      <c r="R747" s="208"/>
      <c r="S747" s="212"/>
      <c r="T747" s="208"/>
      <c r="U747" s="208"/>
      <c r="V747" s="208"/>
      <c r="W747" s="208"/>
      <c r="X747" s="208"/>
      <c r="Y747" s="208"/>
      <c r="Z747" s="208"/>
    </row>
    <row r="748">
      <c r="A748" s="208"/>
      <c r="B748" s="207"/>
      <c r="C748" s="209"/>
      <c r="D748" s="210"/>
      <c r="E748" s="210"/>
      <c r="F748" s="210"/>
      <c r="G748" s="210"/>
      <c r="H748" s="208"/>
      <c r="I748" s="208"/>
      <c r="J748" s="209"/>
      <c r="K748" s="211"/>
      <c r="L748" s="208"/>
      <c r="M748" s="208"/>
      <c r="N748" s="208"/>
      <c r="O748" s="208"/>
      <c r="P748" s="208"/>
      <c r="Q748" s="208"/>
      <c r="R748" s="208"/>
      <c r="S748" s="212"/>
      <c r="T748" s="208"/>
      <c r="U748" s="208"/>
      <c r="V748" s="208"/>
      <c r="W748" s="208"/>
      <c r="X748" s="208"/>
      <c r="Y748" s="208"/>
      <c r="Z748" s="208"/>
    </row>
    <row r="749">
      <c r="A749" s="208"/>
      <c r="B749" s="207"/>
      <c r="C749" s="209"/>
      <c r="D749" s="210"/>
      <c r="E749" s="210"/>
      <c r="F749" s="210"/>
      <c r="G749" s="210"/>
      <c r="H749" s="208"/>
      <c r="I749" s="208"/>
      <c r="J749" s="209"/>
      <c r="K749" s="211"/>
      <c r="L749" s="208"/>
      <c r="M749" s="208"/>
      <c r="N749" s="208"/>
      <c r="O749" s="208"/>
      <c r="P749" s="208"/>
      <c r="Q749" s="208"/>
      <c r="R749" s="208"/>
      <c r="S749" s="212"/>
      <c r="T749" s="208"/>
      <c r="U749" s="208"/>
      <c r="V749" s="208"/>
      <c r="W749" s="208"/>
      <c r="X749" s="208"/>
      <c r="Y749" s="208"/>
      <c r="Z749" s="208"/>
    </row>
    <row r="750">
      <c r="A750" s="208"/>
      <c r="B750" s="207"/>
      <c r="C750" s="209"/>
      <c r="D750" s="210"/>
      <c r="E750" s="210"/>
      <c r="F750" s="210"/>
      <c r="G750" s="210"/>
      <c r="H750" s="208"/>
      <c r="I750" s="208"/>
      <c r="J750" s="209"/>
      <c r="K750" s="211"/>
      <c r="L750" s="208"/>
      <c r="M750" s="208"/>
      <c r="N750" s="208"/>
      <c r="O750" s="208"/>
      <c r="P750" s="208"/>
      <c r="Q750" s="208"/>
      <c r="R750" s="208"/>
      <c r="S750" s="212"/>
      <c r="T750" s="208"/>
      <c r="U750" s="208"/>
      <c r="V750" s="208"/>
      <c r="W750" s="208"/>
      <c r="X750" s="208"/>
      <c r="Y750" s="208"/>
      <c r="Z750" s="208"/>
    </row>
    <row r="751">
      <c r="A751" s="208"/>
      <c r="B751" s="207"/>
      <c r="C751" s="209"/>
      <c r="D751" s="210"/>
      <c r="E751" s="210"/>
      <c r="F751" s="210"/>
      <c r="G751" s="210"/>
      <c r="H751" s="208"/>
      <c r="I751" s="208"/>
      <c r="J751" s="209"/>
      <c r="K751" s="211"/>
      <c r="L751" s="208"/>
      <c r="M751" s="208"/>
      <c r="N751" s="208"/>
      <c r="O751" s="208"/>
      <c r="P751" s="208"/>
      <c r="Q751" s="208"/>
      <c r="R751" s="208"/>
      <c r="S751" s="212"/>
      <c r="T751" s="208"/>
      <c r="U751" s="208"/>
      <c r="V751" s="208"/>
      <c r="W751" s="208"/>
      <c r="X751" s="208"/>
      <c r="Y751" s="208"/>
      <c r="Z751" s="208"/>
    </row>
    <row r="752">
      <c r="A752" s="208"/>
      <c r="B752" s="207"/>
      <c r="C752" s="209"/>
      <c r="D752" s="210"/>
      <c r="E752" s="210"/>
      <c r="F752" s="210"/>
      <c r="G752" s="210"/>
      <c r="H752" s="208"/>
      <c r="I752" s="208"/>
      <c r="J752" s="209"/>
      <c r="K752" s="211"/>
      <c r="L752" s="208"/>
      <c r="M752" s="208"/>
      <c r="N752" s="208"/>
      <c r="O752" s="208"/>
      <c r="P752" s="208"/>
      <c r="Q752" s="208"/>
      <c r="R752" s="208"/>
      <c r="S752" s="212"/>
      <c r="T752" s="208"/>
      <c r="U752" s="208"/>
      <c r="V752" s="208"/>
      <c r="W752" s="208"/>
      <c r="X752" s="208"/>
      <c r="Y752" s="208"/>
      <c r="Z752" s="208"/>
    </row>
    <row r="753">
      <c r="A753" s="208"/>
      <c r="B753" s="207"/>
      <c r="C753" s="209"/>
      <c r="D753" s="210"/>
      <c r="E753" s="210"/>
      <c r="F753" s="210"/>
      <c r="G753" s="210"/>
      <c r="H753" s="208"/>
      <c r="I753" s="208"/>
      <c r="J753" s="209"/>
      <c r="K753" s="211"/>
      <c r="L753" s="208"/>
      <c r="M753" s="208"/>
      <c r="N753" s="208"/>
      <c r="O753" s="208"/>
      <c r="P753" s="208"/>
      <c r="Q753" s="208"/>
      <c r="R753" s="208"/>
      <c r="S753" s="212"/>
      <c r="T753" s="208"/>
      <c r="U753" s="208"/>
      <c r="V753" s="208"/>
      <c r="W753" s="208"/>
      <c r="X753" s="208"/>
      <c r="Y753" s="208"/>
      <c r="Z753" s="208"/>
    </row>
    <row r="754">
      <c r="A754" s="208"/>
      <c r="B754" s="207"/>
      <c r="C754" s="209"/>
      <c r="D754" s="210"/>
      <c r="E754" s="210"/>
      <c r="F754" s="210"/>
      <c r="G754" s="210"/>
      <c r="H754" s="208"/>
      <c r="I754" s="208"/>
      <c r="J754" s="209"/>
      <c r="K754" s="211"/>
      <c r="L754" s="208"/>
      <c r="M754" s="208"/>
      <c r="N754" s="208"/>
      <c r="O754" s="208"/>
      <c r="P754" s="208"/>
      <c r="Q754" s="208"/>
      <c r="R754" s="208"/>
      <c r="S754" s="212"/>
      <c r="T754" s="208"/>
      <c r="U754" s="208"/>
      <c r="V754" s="208"/>
      <c r="W754" s="208"/>
      <c r="X754" s="208"/>
      <c r="Y754" s="208"/>
      <c r="Z754" s="208"/>
    </row>
    <row r="755">
      <c r="A755" s="208"/>
      <c r="B755" s="207"/>
      <c r="C755" s="209"/>
      <c r="D755" s="210"/>
      <c r="E755" s="210"/>
      <c r="F755" s="210"/>
      <c r="G755" s="210"/>
      <c r="H755" s="208"/>
      <c r="I755" s="208"/>
      <c r="J755" s="209"/>
      <c r="K755" s="211"/>
      <c r="L755" s="208"/>
      <c r="M755" s="208"/>
      <c r="N755" s="208"/>
      <c r="O755" s="208"/>
      <c r="P755" s="208"/>
      <c r="Q755" s="208"/>
      <c r="R755" s="208"/>
      <c r="S755" s="212"/>
      <c r="T755" s="208"/>
      <c r="U755" s="208"/>
      <c r="V755" s="208"/>
      <c r="W755" s="208"/>
      <c r="X755" s="208"/>
      <c r="Y755" s="208"/>
      <c r="Z755" s="208"/>
    </row>
    <row r="756">
      <c r="A756" s="208"/>
      <c r="B756" s="207"/>
      <c r="C756" s="209"/>
      <c r="D756" s="210"/>
      <c r="E756" s="210"/>
      <c r="F756" s="210"/>
      <c r="G756" s="210"/>
      <c r="H756" s="208"/>
      <c r="I756" s="208"/>
      <c r="J756" s="209"/>
      <c r="K756" s="211"/>
      <c r="L756" s="208"/>
      <c r="M756" s="208"/>
      <c r="N756" s="208"/>
      <c r="O756" s="208"/>
      <c r="P756" s="208"/>
      <c r="Q756" s="208"/>
      <c r="R756" s="208"/>
      <c r="S756" s="212"/>
      <c r="T756" s="208"/>
      <c r="U756" s="208"/>
      <c r="V756" s="208"/>
      <c r="W756" s="208"/>
      <c r="X756" s="208"/>
      <c r="Y756" s="208"/>
      <c r="Z756" s="208"/>
    </row>
    <row r="757">
      <c r="A757" s="208"/>
      <c r="B757" s="207"/>
      <c r="C757" s="209"/>
      <c r="D757" s="210"/>
      <c r="E757" s="210"/>
      <c r="F757" s="210"/>
      <c r="G757" s="210"/>
      <c r="H757" s="208"/>
      <c r="I757" s="208"/>
      <c r="J757" s="209"/>
      <c r="K757" s="211"/>
      <c r="L757" s="208"/>
      <c r="M757" s="208"/>
      <c r="N757" s="208"/>
      <c r="O757" s="208"/>
      <c r="P757" s="208"/>
      <c r="Q757" s="208"/>
      <c r="R757" s="208"/>
      <c r="S757" s="212"/>
      <c r="T757" s="208"/>
      <c r="U757" s="208"/>
      <c r="V757" s="208"/>
      <c r="W757" s="208"/>
      <c r="X757" s="208"/>
      <c r="Y757" s="208"/>
      <c r="Z757" s="208"/>
    </row>
    <row r="758">
      <c r="A758" s="208"/>
      <c r="B758" s="207"/>
      <c r="C758" s="209"/>
      <c r="D758" s="210"/>
      <c r="E758" s="210"/>
      <c r="F758" s="210"/>
      <c r="G758" s="210"/>
      <c r="H758" s="208"/>
      <c r="I758" s="208"/>
      <c r="J758" s="209"/>
      <c r="K758" s="211"/>
      <c r="L758" s="208"/>
      <c r="M758" s="208"/>
      <c r="N758" s="208"/>
      <c r="O758" s="208"/>
      <c r="P758" s="208"/>
      <c r="Q758" s="208"/>
      <c r="R758" s="208"/>
      <c r="S758" s="212"/>
      <c r="T758" s="208"/>
      <c r="U758" s="208"/>
      <c r="V758" s="208"/>
      <c r="W758" s="208"/>
      <c r="X758" s="208"/>
      <c r="Y758" s="208"/>
      <c r="Z758" s="208"/>
    </row>
    <row r="759">
      <c r="A759" s="208"/>
      <c r="B759" s="207"/>
      <c r="C759" s="209"/>
      <c r="D759" s="210"/>
      <c r="E759" s="210"/>
      <c r="F759" s="210"/>
      <c r="G759" s="210"/>
      <c r="H759" s="208"/>
      <c r="I759" s="208"/>
      <c r="J759" s="209"/>
      <c r="K759" s="211"/>
      <c r="L759" s="208"/>
      <c r="M759" s="208"/>
      <c r="N759" s="208"/>
      <c r="O759" s="208"/>
      <c r="P759" s="208"/>
      <c r="Q759" s="208"/>
      <c r="R759" s="208"/>
      <c r="S759" s="212"/>
      <c r="T759" s="208"/>
      <c r="U759" s="208"/>
      <c r="V759" s="208"/>
      <c r="W759" s="208"/>
      <c r="X759" s="208"/>
      <c r="Y759" s="208"/>
      <c r="Z759" s="208"/>
    </row>
    <row r="760">
      <c r="A760" s="208"/>
      <c r="B760" s="207"/>
      <c r="C760" s="209"/>
      <c r="D760" s="210"/>
      <c r="E760" s="210"/>
      <c r="F760" s="210"/>
      <c r="G760" s="210"/>
      <c r="H760" s="208"/>
      <c r="I760" s="208"/>
      <c r="J760" s="209"/>
      <c r="K760" s="211"/>
      <c r="L760" s="208"/>
      <c r="M760" s="208"/>
      <c r="N760" s="208"/>
      <c r="O760" s="208"/>
      <c r="P760" s="208"/>
      <c r="Q760" s="208"/>
      <c r="R760" s="208"/>
      <c r="S760" s="212"/>
      <c r="T760" s="208"/>
      <c r="U760" s="208"/>
      <c r="V760" s="208"/>
      <c r="W760" s="208"/>
      <c r="X760" s="208"/>
      <c r="Y760" s="208"/>
      <c r="Z760" s="208"/>
    </row>
    <row r="761">
      <c r="A761" s="208"/>
      <c r="B761" s="207"/>
      <c r="C761" s="209"/>
      <c r="D761" s="210"/>
      <c r="E761" s="210"/>
      <c r="F761" s="210"/>
      <c r="G761" s="210"/>
      <c r="H761" s="208"/>
      <c r="I761" s="208"/>
      <c r="J761" s="209"/>
      <c r="K761" s="211"/>
      <c r="L761" s="208"/>
      <c r="M761" s="208"/>
      <c r="N761" s="208"/>
      <c r="O761" s="208"/>
      <c r="P761" s="208"/>
      <c r="Q761" s="208"/>
      <c r="R761" s="208"/>
      <c r="S761" s="212"/>
      <c r="T761" s="208"/>
      <c r="U761" s="208"/>
      <c r="V761" s="208"/>
      <c r="W761" s="208"/>
      <c r="X761" s="208"/>
      <c r="Y761" s="208"/>
      <c r="Z761" s="208"/>
    </row>
    <row r="762">
      <c r="A762" s="208"/>
      <c r="B762" s="207"/>
      <c r="C762" s="209"/>
      <c r="D762" s="210"/>
      <c r="E762" s="210"/>
      <c r="F762" s="210"/>
      <c r="G762" s="210"/>
      <c r="H762" s="208"/>
      <c r="I762" s="208"/>
      <c r="J762" s="209"/>
      <c r="K762" s="211"/>
      <c r="L762" s="208"/>
      <c r="M762" s="208"/>
      <c r="N762" s="208"/>
      <c r="O762" s="208"/>
      <c r="P762" s="208"/>
      <c r="Q762" s="208"/>
      <c r="R762" s="208"/>
      <c r="S762" s="212"/>
      <c r="T762" s="208"/>
      <c r="U762" s="208"/>
      <c r="V762" s="208"/>
      <c r="W762" s="208"/>
      <c r="X762" s="208"/>
      <c r="Y762" s="208"/>
      <c r="Z762" s="208"/>
    </row>
    <row r="763">
      <c r="A763" s="208"/>
      <c r="B763" s="207"/>
      <c r="C763" s="209"/>
      <c r="D763" s="210"/>
      <c r="E763" s="210"/>
      <c r="F763" s="210"/>
      <c r="G763" s="210"/>
      <c r="H763" s="208"/>
      <c r="I763" s="208"/>
      <c r="J763" s="209"/>
      <c r="K763" s="211"/>
      <c r="L763" s="208"/>
      <c r="M763" s="208"/>
      <c r="N763" s="208"/>
      <c r="O763" s="208"/>
      <c r="P763" s="208"/>
      <c r="Q763" s="208"/>
      <c r="R763" s="208"/>
      <c r="S763" s="212"/>
      <c r="T763" s="208"/>
      <c r="U763" s="208"/>
      <c r="V763" s="208"/>
      <c r="W763" s="208"/>
      <c r="X763" s="208"/>
      <c r="Y763" s="208"/>
      <c r="Z763" s="208"/>
    </row>
    <row r="764">
      <c r="A764" s="208"/>
      <c r="B764" s="207"/>
      <c r="C764" s="209"/>
      <c r="D764" s="210"/>
      <c r="E764" s="210"/>
      <c r="F764" s="210"/>
      <c r="G764" s="210"/>
      <c r="H764" s="208"/>
      <c r="I764" s="208"/>
      <c r="J764" s="209"/>
      <c r="K764" s="211"/>
      <c r="L764" s="208"/>
      <c r="M764" s="208"/>
      <c r="N764" s="208"/>
      <c r="O764" s="208"/>
      <c r="P764" s="208"/>
      <c r="Q764" s="208"/>
      <c r="R764" s="208"/>
      <c r="S764" s="212"/>
      <c r="T764" s="208"/>
      <c r="U764" s="208"/>
      <c r="V764" s="208"/>
      <c r="W764" s="208"/>
      <c r="X764" s="208"/>
      <c r="Y764" s="208"/>
      <c r="Z764" s="208"/>
    </row>
    <row r="765">
      <c r="A765" s="208"/>
      <c r="B765" s="207"/>
      <c r="C765" s="209"/>
      <c r="D765" s="210"/>
      <c r="E765" s="210"/>
      <c r="F765" s="210"/>
      <c r="G765" s="210"/>
      <c r="H765" s="208"/>
      <c r="I765" s="208"/>
      <c r="J765" s="209"/>
      <c r="K765" s="211"/>
      <c r="L765" s="208"/>
      <c r="M765" s="208"/>
      <c r="N765" s="208"/>
      <c r="O765" s="208"/>
      <c r="P765" s="208"/>
      <c r="Q765" s="208"/>
      <c r="R765" s="208"/>
      <c r="S765" s="212"/>
      <c r="T765" s="208"/>
      <c r="U765" s="208"/>
      <c r="V765" s="208"/>
      <c r="W765" s="208"/>
      <c r="X765" s="208"/>
      <c r="Y765" s="208"/>
      <c r="Z765" s="208"/>
    </row>
    <row r="766">
      <c r="A766" s="208"/>
      <c r="B766" s="207"/>
      <c r="C766" s="209"/>
      <c r="D766" s="210"/>
      <c r="E766" s="210"/>
      <c r="F766" s="210"/>
      <c r="G766" s="210"/>
      <c r="H766" s="208"/>
      <c r="I766" s="208"/>
      <c r="J766" s="209"/>
      <c r="K766" s="211"/>
      <c r="L766" s="208"/>
      <c r="M766" s="208"/>
      <c r="N766" s="208"/>
      <c r="O766" s="208"/>
      <c r="P766" s="208"/>
      <c r="Q766" s="208"/>
      <c r="R766" s="208"/>
      <c r="S766" s="212"/>
      <c r="T766" s="208"/>
      <c r="U766" s="208"/>
      <c r="V766" s="208"/>
      <c r="W766" s="208"/>
      <c r="X766" s="208"/>
      <c r="Y766" s="208"/>
      <c r="Z766" s="208"/>
    </row>
    <row r="767">
      <c r="A767" s="208"/>
      <c r="B767" s="207"/>
      <c r="C767" s="209"/>
      <c r="D767" s="210"/>
      <c r="E767" s="210"/>
      <c r="F767" s="210"/>
      <c r="G767" s="210"/>
      <c r="H767" s="208"/>
      <c r="I767" s="208"/>
      <c r="J767" s="209"/>
      <c r="K767" s="211"/>
      <c r="L767" s="208"/>
      <c r="M767" s="208"/>
      <c r="N767" s="208"/>
      <c r="O767" s="208"/>
      <c r="P767" s="208"/>
      <c r="Q767" s="208"/>
      <c r="R767" s="208"/>
      <c r="S767" s="212"/>
      <c r="T767" s="208"/>
      <c r="U767" s="208"/>
      <c r="V767" s="208"/>
      <c r="W767" s="208"/>
      <c r="X767" s="208"/>
      <c r="Y767" s="208"/>
      <c r="Z767" s="208"/>
    </row>
    <row r="768">
      <c r="A768" s="208"/>
      <c r="B768" s="207"/>
      <c r="C768" s="209"/>
      <c r="D768" s="210"/>
      <c r="E768" s="210"/>
      <c r="F768" s="210"/>
      <c r="G768" s="210"/>
      <c r="H768" s="208"/>
      <c r="I768" s="208"/>
      <c r="J768" s="209"/>
      <c r="K768" s="211"/>
      <c r="L768" s="208"/>
      <c r="M768" s="208"/>
      <c r="N768" s="208"/>
      <c r="O768" s="208"/>
      <c r="P768" s="208"/>
      <c r="Q768" s="208"/>
      <c r="R768" s="208"/>
      <c r="S768" s="212"/>
      <c r="T768" s="208"/>
      <c r="U768" s="208"/>
      <c r="V768" s="208"/>
      <c r="W768" s="208"/>
      <c r="X768" s="208"/>
      <c r="Y768" s="208"/>
      <c r="Z768" s="208"/>
    </row>
    <row r="769">
      <c r="A769" s="208"/>
      <c r="B769" s="207"/>
      <c r="C769" s="209"/>
      <c r="D769" s="210"/>
      <c r="E769" s="210"/>
      <c r="F769" s="210"/>
      <c r="G769" s="210"/>
      <c r="H769" s="208"/>
      <c r="I769" s="208"/>
      <c r="J769" s="209"/>
      <c r="K769" s="211"/>
      <c r="L769" s="208"/>
      <c r="M769" s="208"/>
      <c r="N769" s="208"/>
      <c r="O769" s="208"/>
      <c r="P769" s="208"/>
      <c r="Q769" s="208"/>
      <c r="R769" s="208"/>
      <c r="S769" s="212"/>
      <c r="T769" s="208"/>
      <c r="U769" s="208"/>
      <c r="V769" s="208"/>
      <c r="W769" s="208"/>
      <c r="X769" s="208"/>
      <c r="Y769" s="208"/>
      <c r="Z769" s="208"/>
    </row>
    <row r="770">
      <c r="A770" s="208"/>
      <c r="B770" s="207"/>
      <c r="C770" s="209"/>
      <c r="D770" s="210"/>
      <c r="E770" s="210"/>
      <c r="F770" s="210"/>
      <c r="G770" s="210"/>
      <c r="H770" s="208"/>
      <c r="I770" s="208"/>
      <c r="J770" s="209"/>
      <c r="K770" s="211"/>
      <c r="L770" s="208"/>
      <c r="M770" s="208"/>
      <c r="N770" s="208"/>
      <c r="O770" s="208"/>
      <c r="P770" s="208"/>
      <c r="Q770" s="208"/>
      <c r="R770" s="208"/>
      <c r="S770" s="212"/>
      <c r="T770" s="208"/>
      <c r="U770" s="208"/>
      <c r="V770" s="208"/>
      <c r="W770" s="208"/>
      <c r="X770" s="208"/>
      <c r="Y770" s="208"/>
      <c r="Z770" s="208"/>
    </row>
    <row r="771">
      <c r="A771" s="208"/>
      <c r="B771" s="207"/>
      <c r="C771" s="209"/>
      <c r="D771" s="210"/>
      <c r="E771" s="210"/>
      <c r="F771" s="210"/>
      <c r="G771" s="210"/>
      <c r="H771" s="208"/>
      <c r="I771" s="208"/>
      <c r="J771" s="209"/>
      <c r="K771" s="211"/>
      <c r="L771" s="208"/>
      <c r="M771" s="208"/>
      <c r="N771" s="208"/>
      <c r="O771" s="208"/>
      <c r="P771" s="208"/>
      <c r="Q771" s="208"/>
      <c r="R771" s="208"/>
      <c r="S771" s="212"/>
      <c r="T771" s="208"/>
      <c r="U771" s="208"/>
      <c r="V771" s="208"/>
      <c r="W771" s="208"/>
      <c r="X771" s="208"/>
      <c r="Y771" s="208"/>
      <c r="Z771" s="208"/>
    </row>
    <row r="772">
      <c r="A772" s="208"/>
      <c r="B772" s="207"/>
      <c r="C772" s="209"/>
      <c r="D772" s="210"/>
      <c r="E772" s="210"/>
      <c r="F772" s="210"/>
      <c r="G772" s="210"/>
      <c r="H772" s="208"/>
      <c r="I772" s="208"/>
      <c r="J772" s="209"/>
      <c r="K772" s="211"/>
      <c r="L772" s="208"/>
      <c r="M772" s="208"/>
      <c r="N772" s="208"/>
      <c r="O772" s="208"/>
      <c r="P772" s="208"/>
      <c r="Q772" s="208"/>
      <c r="R772" s="208"/>
      <c r="S772" s="212"/>
      <c r="T772" s="208"/>
      <c r="U772" s="208"/>
      <c r="V772" s="208"/>
      <c r="W772" s="208"/>
      <c r="X772" s="208"/>
      <c r="Y772" s="208"/>
      <c r="Z772" s="208"/>
    </row>
    <row r="773">
      <c r="A773" s="208"/>
      <c r="B773" s="207"/>
      <c r="C773" s="209"/>
      <c r="D773" s="210"/>
      <c r="E773" s="210"/>
      <c r="F773" s="210"/>
      <c r="G773" s="210"/>
      <c r="H773" s="208"/>
      <c r="I773" s="208"/>
      <c r="J773" s="209"/>
      <c r="K773" s="211"/>
      <c r="L773" s="208"/>
      <c r="M773" s="208"/>
      <c r="N773" s="208"/>
      <c r="O773" s="208"/>
      <c r="P773" s="208"/>
      <c r="Q773" s="208"/>
      <c r="R773" s="208"/>
      <c r="S773" s="212"/>
      <c r="T773" s="208"/>
      <c r="U773" s="208"/>
      <c r="V773" s="208"/>
      <c r="W773" s="208"/>
      <c r="X773" s="208"/>
      <c r="Y773" s="208"/>
      <c r="Z773" s="208"/>
    </row>
    <row r="774">
      <c r="A774" s="208"/>
      <c r="B774" s="207"/>
      <c r="C774" s="209"/>
      <c r="D774" s="210"/>
      <c r="E774" s="210"/>
      <c r="F774" s="210"/>
      <c r="G774" s="210"/>
      <c r="H774" s="208"/>
      <c r="I774" s="208"/>
      <c r="J774" s="209"/>
      <c r="K774" s="211"/>
      <c r="L774" s="208"/>
      <c r="M774" s="208"/>
      <c r="N774" s="208"/>
      <c r="O774" s="208"/>
      <c r="P774" s="208"/>
      <c r="Q774" s="208"/>
      <c r="R774" s="208"/>
      <c r="S774" s="212"/>
      <c r="T774" s="208"/>
      <c r="U774" s="208"/>
      <c r="V774" s="208"/>
      <c r="W774" s="208"/>
      <c r="X774" s="208"/>
      <c r="Y774" s="208"/>
      <c r="Z774" s="208"/>
    </row>
    <row r="775">
      <c r="A775" s="208"/>
      <c r="B775" s="207"/>
      <c r="C775" s="209"/>
      <c r="D775" s="210"/>
      <c r="E775" s="210"/>
      <c r="F775" s="210"/>
      <c r="G775" s="210"/>
      <c r="H775" s="208"/>
      <c r="I775" s="208"/>
      <c r="J775" s="209"/>
      <c r="K775" s="211"/>
      <c r="L775" s="208"/>
      <c r="M775" s="208"/>
      <c r="N775" s="208"/>
      <c r="O775" s="208"/>
      <c r="P775" s="208"/>
      <c r="Q775" s="208"/>
      <c r="R775" s="208"/>
      <c r="S775" s="212"/>
      <c r="T775" s="208"/>
      <c r="U775" s="208"/>
      <c r="V775" s="208"/>
      <c r="W775" s="208"/>
      <c r="X775" s="208"/>
      <c r="Y775" s="208"/>
      <c r="Z775" s="208"/>
    </row>
    <row r="776">
      <c r="A776" s="208"/>
      <c r="B776" s="207"/>
      <c r="C776" s="209"/>
      <c r="D776" s="210"/>
      <c r="E776" s="210"/>
      <c r="F776" s="210"/>
      <c r="G776" s="210"/>
      <c r="H776" s="208"/>
      <c r="I776" s="208"/>
      <c r="J776" s="209"/>
      <c r="K776" s="211"/>
      <c r="L776" s="208"/>
      <c r="M776" s="208"/>
      <c r="N776" s="208"/>
      <c r="O776" s="208"/>
      <c r="P776" s="208"/>
      <c r="Q776" s="208"/>
      <c r="R776" s="208"/>
      <c r="S776" s="212"/>
      <c r="T776" s="208"/>
      <c r="U776" s="208"/>
      <c r="V776" s="208"/>
      <c r="W776" s="208"/>
      <c r="X776" s="208"/>
      <c r="Y776" s="208"/>
      <c r="Z776" s="208"/>
    </row>
    <row r="777">
      <c r="A777" s="208"/>
      <c r="B777" s="207"/>
      <c r="C777" s="209"/>
      <c r="D777" s="210"/>
      <c r="E777" s="210"/>
      <c r="F777" s="210"/>
      <c r="G777" s="210"/>
      <c r="H777" s="208"/>
      <c r="I777" s="208"/>
      <c r="J777" s="209"/>
      <c r="K777" s="211"/>
      <c r="L777" s="208"/>
      <c r="M777" s="208"/>
      <c r="N777" s="208"/>
      <c r="O777" s="208"/>
      <c r="P777" s="208"/>
      <c r="Q777" s="208"/>
      <c r="R777" s="208"/>
      <c r="S777" s="212"/>
      <c r="T777" s="208"/>
      <c r="U777" s="208"/>
      <c r="V777" s="208"/>
      <c r="W777" s="208"/>
      <c r="X777" s="208"/>
      <c r="Y777" s="208"/>
      <c r="Z777" s="208"/>
    </row>
    <row r="778">
      <c r="A778" s="208"/>
      <c r="B778" s="207"/>
      <c r="C778" s="209"/>
      <c r="D778" s="210"/>
      <c r="E778" s="210"/>
      <c r="F778" s="210"/>
      <c r="G778" s="210"/>
      <c r="H778" s="208"/>
      <c r="I778" s="208"/>
      <c r="J778" s="209"/>
      <c r="K778" s="211"/>
      <c r="L778" s="208"/>
      <c r="M778" s="208"/>
      <c r="N778" s="208"/>
      <c r="O778" s="208"/>
      <c r="P778" s="208"/>
      <c r="Q778" s="208"/>
      <c r="R778" s="208"/>
      <c r="S778" s="212"/>
      <c r="T778" s="208"/>
      <c r="U778" s="208"/>
      <c r="V778" s="208"/>
      <c r="W778" s="208"/>
      <c r="X778" s="208"/>
      <c r="Y778" s="208"/>
      <c r="Z778" s="208"/>
    </row>
    <row r="779">
      <c r="A779" s="208"/>
      <c r="B779" s="207"/>
      <c r="C779" s="209"/>
      <c r="D779" s="210"/>
      <c r="E779" s="210"/>
      <c r="F779" s="210"/>
      <c r="G779" s="210"/>
      <c r="H779" s="208"/>
      <c r="I779" s="208"/>
      <c r="J779" s="209"/>
      <c r="K779" s="211"/>
      <c r="L779" s="208"/>
      <c r="M779" s="208"/>
      <c r="N779" s="208"/>
      <c r="O779" s="208"/>
      <c r="P779" s="208"/>
      <c r="Q779" s="208"/>
      <c r="R779" s="208"/>
      <c r="S779" s="212"/>
      <c r="T779" s="208"/>
      <c r="U779" s="208"/>
      <c r="V779" s="208"/>
      <c r="W779" s="208"/>
      <c r="X779" s="208"/>
      <c r="Y779" s="208"/>
      <c r="Z779" s="208"/>
    </row>
    <row r="780">
      <c r="A780" s="208"/>
      <c r="B780" s="207"/>
      <c r="C780" s="209"/>
      <c r="D780" s="210"/>
      <c r="E780" s="210"/>
      <c r="F780" s="210"/>
      <c r="G780" s="210"/>
      <c r="H780" s="208"/>
      <c r="I780" s="208"/>
      <c r="J780" s="209"/>
      <c r="K780" s="211"/>
      <c r="L780" s="208"/>
      <c r="M780" s="208"/>
      <c r="N780" s="208"/>
      <c r="O780" s="208"/>
      <c r="P780" s="208"/>
      <c r="Q780" s="208"/>
      <c r="R780" s="208"/>
      <c r="S780" s="212"/>
      <c r="T780" s="208"/>
      <c r="U780" s="208"/>
      <c r="V780" s="208"/>
      <c r="W780" s="208"/>
      <c r="X780" s="208"/>
      <c r="Y780" s="208"/>
      <c r="Z780" s="208"/>
    </row>
    <row r="781">
      <c r="A781" s="208"/>
      <c r="B781" s="207"/>
      <c r="C781" s="209"/>
      <c r="D781" s="210"/>
      <c r="E781" s="210"/>
      <c r="F781" s="210"/>
      <c r="G781" s="210"/>
      <c r="H781" s="208"/>
      <c r="I781" s="208"/>
      <c r="J781" s="209"/>
      <c r="K781" s="211"/>
      <c r="L781" s="208"/>
      <c r="M781" s="208"/>
      <c r="N781" s="208"/>
      <c r="O781" s="208"/>
      <c r="P781" s="208"/>
      <c r="Q781" s="208"/>
      <c r="R781" s="208"/>
      <c r="S781" s="212"/>
      <c r="T781" s="208"/>
      <c r="U781" s="208"/>
      <c r="V781" s="208"/>
      <c r="W781" s="208"/>
      <c r="X781" s="208"/>
      <c r="Y781" s="208"/>
      <c r="Z781" s="208"/>
    </row>
    <row r="782">
      <c r="A782" s="208"/>
      <c r="B782" s="207"/>
      <c r="C782" s="209"/>
      <c r="D782" s="210"/>
      <c r="E782" s="210"/>
      <c r="F782" s="210"/>
      <c r="G782" s="210"/>
      <c r="H782" s="208"/>
      <c r="I782" s="208"/>
      <c r="J782" s="209"/>
      <c r="K782" s="211"/>
      <c r="L782" s="208"/>
      <c r="M782" s="208"/>
      <c r="N782" s="208"/>
      <c r="O782" s="208"/>
      <c r="P782" s="208"/>
      <c r="Q782" s="208"/>
      <c r="R782" s="208"/>
      <c r="S782" s="212"/>
      <c r="T782" s="208"/>
      <c r="U782" s="208"/>
      <c r="V782" s="208"/>
      <c r="W782" s="208"/>
      <c r="X782" s="208"/>
      <c r="Y782" s="208"/>
      <c r="Z782" s="208"/>
    </row>
    <row r="783">
      <c r="A783" s="208"/>
      <c r="B783" s="207"/>
      <c r="C783" s="209"/>
      <c r="D783" s="210"/>
      <c r="E783" s="210"/>
      <c r="F783" s="210"/>
      <c r="G783" s="210"/>
      <c r="H783" s="208"/>
      <c r="I783" s="208"/>
      <c r="J783" s="209"/>
      <c r="K783" s="211"/>
      <c r="L783" s="208"/>
      <c r="M783" s="208"/>
      <c r="N783" s="208"/>
      <c r="O783" s="208"/>
      <c r="P783" s="208"/>
      <c r="Q783" s="208"/>
      <c r="R783" s="208"/>
      <c r="S783" s="212"/>
      <c r="T783" s="208"/>
      <c r="U783" s="208"/>
      <c r="V783" s="208"/>
      <c r="W783" s="208"/>
      <c r="X783" s="208"/>
      <c r="Y783" s="208"/>
      <c r="Z783" s="208"/>
    </row>
    <row r="784">
      <c r="A784" s="208"/>
      <c r="B784" s="207"/>
      <c r="C784" s="209"/>
      <c r="D784" s="210"/>
      <c r="E784" s="210"/>
      <c r="F784" s="210"/>
      <c r="G784" s="210"/>
      <c r="H784" s="208"/>
      <c r="I784" s="208"/>
      <c r="J784" s="209"/>
      <c r="K784" s="211"/>
      <c r="L784" s="208"/>
      <c r="M784" s="208"/>
      <c r="N784" s="208"/>
      <c r="O784" s="208"/>
      <c r="P784" s="208"/>
      <c r="Q784" s="208"/>
      <c r="R784" s="208"/>
      <c r="S784" s="212"/>
      <c r="T784" s="208"/>
      <c r="U784" s="208"/>
      <c r="V784" s="208"/>
      <c r="W784" s="208"/>
      <c r="X784" s="208"/>
      <c r="Y784" s="208"/>
      <c r="Z784" s="208"/>
    </row>
    <row r="785">
      <c r="A785" s="208"/>
      <c r="B785" s="207"/>
      <c r="C785" s="209"/>
      <c r="D785" s="210"/>
      <c r="E785" s="210"/>
      <c r="F785" s="210"/>
      <c r="G785" s="210"/>
      <c r="H785" s="208"/>
      <c r="I785" s="208"/>
      <c r="J785" s="209"/>
      <c r="K785" s="211"/>
      <c r="L785" s="208"/>
      <c r="M785" s="208"/>
      <c r="N785" s="208"/>
      <c r="O785" s="208"/>
      <c r="P785" s="208"/>
      <c r="Q785" s="208"/>
      <c r="R785" s="208"/>
      <c r="S785" s="212"/>
      <c r="T785" s="208"/>
      <c r="U785" s="208"/>
      <c r="V785" s="208"/>
      <c r="W785" s="208"/>
      <c r="X785" s="208"/>
      <c r="Y785" s="208"/>
      <c r="Z785" s="208"/>
    </row>
    <row r="786">
      <c r="A786" s="208"/>
      <c r="B786" s="207"/>
      <c r="C786" s="209"/>
      <c r="D786" s="210"/>
      <c r="E786" s="210"/>
      <c r="F786" s="210"/>
      <c r="G786" s="210"/>
      <c r="H786" s="208"/>
      <c r="I786" s="208"/>
      <c r="J786" s="209"/>
      <c r="K786" s="211"/>
      <c r="L786" s="208"/>
      <c r="M786" s="208"/>
      <c r="N786" s="208"/>
      <c r="O786" s="208"/>
      <c r="P786" s="208"/>
      <c r="Q786" s="208"/>
      <c r="R786" s="208"/>
      <c r="S786" s="212"/>
      <c r="T786" s="208"/>
      <c r="U786" s="208"/>
      <c r="V786" s="208"/>
      <c r="W786" s="208"/>
      <c r="X786" s="208"/>
      <c r="Y786" s="208"/>
      <c r="Z786" s="208"/>
    </row>
    <row r="787">
      <c r="A787" s="208"/>
      <c r="B787" s="207"/>
      <c r="C787" s="209"/>
      <c r="D787" s="210"/>
      <c r="E787" s="210"/>
      <c r="F787" s="210"/>
      <c r="G787" s="210"/>
      <c r="H787" s="208"/>
      <c r="I787" s="208"/>
      <c r="J787" s="209"/>
      <c r="K787" s="211"/>
      <c r="L787" s="208"/>
      <c r="M787" s="208"/>
      <c r="N787" s="208"/>
      <c r="O787" s="208"/>
      <c r="P787" s="208"/>
      <c r="Q787" s="208"/>
      <c r="R787" s="208"/>
      <c r="S787" s="212"/>
      <c r="T787" s="208"/>
      <c r="U787" s="208"/>
      <c r="V787" s="208"/>
      <c r="W787" s="208"/>
      <c r="X787" s="208"/>
      <c r="Y787" s="208"/>
      <c r="Z787" s="208"/>
    </row>
    <row r="788">
      <c r="A788" s="208"/>
      <c r="B788" s="207"/>
      <c r="C788" s="209"/>
      <c r="D788" s="210"/>
      <c r="E788" s="210"/>
      <c r="F788" s="210"/>
      <c r="G788" s="210"/>
      <c r="H788" s="208"/>
      <c r="I788" s="208"/>
      <c r="J788" s="209"/>
      <c r="K788" s="211"/>
      <c r="L788" s="208"/>
      <c r="M788" s="208"/>
      <c r="N788" s="208"/>
      <c r="O788" s="208"/>
      <c r="P788" s="208"/>
      <c r="Q788" s="208"/>
      <c r="R788" s="208"/>
      <c r="S788" s="212"/>
      <c r="T788" s="208"/>
      <c r="U788" s="208"/>
      <c r="V788" s="208"/>
      <c r="W788" s="208"/>
      <c r="X788" s="208"/>
      <c r="Y788" s="208"/>
      <c r="Z788" s="208"/>
    </row>
    <row r="789">
      <c r="A789" s="208"/>
      <c r="B789" s="207"/>
      <c r="C789" s="209"/>
      <c r="D789" s="210"/>
      <c r="E789" s="210"/>
      <c r="F789" s="210"/>
      <c r="G789" s="210"/>
      <c r="H789" s="208"/>
      <c r="I789" s="208"/>
      <c r="J789" s="209"/>
      <c r="K789" s="211"/>
      <c r="L789" s="208"/>
      <c r="M789" s="208"/>
      <c r="N789" s="208"/>
      <c r="O789" s="208"/>
      <c r="P789" s="208"/>
      <c r="Q789" s="208"/>
      <c r="R789" s="208"/>
      <c r="S789" s="212"/>
      <c r="T789" s="208"/>
      <c r="U789" s="208"/>
      <c r="V789" s="208"/>
      <c r="W789" s="208"/>
      <c r="X789" s="208"/>
      <c r="Y789" s="208"/>
      <c r="Z789" s="208"/>
    </row>
    <row r="790">
      <c r="A790" s="208"/>
      <c r="B790" s="207"/>
      <c r="C790" s="209"/>
      <c r="D790" s="210"/>
      <c r="E790" s="210"/>
      <c r="F790" s="210"/>
      <c r="G790" s="210"/>
      <c r="H790" s="208"/>
      <c r="I790" s="208"/>
      <c r="J790" s="209"/>
      <c r="K790" s="211"/>
      <c r="L790" s="208"/>
      <c r="M790" s="208"/>
      <c r="N790" s="208"/>
      <c r="O790" s="208"/>
      <c r="P790" s="208"/>
      <c r="Q790" s="208"/>
      <c r="R790" s="208"/>
      <c r="S790" s="212"/>
      <c r="T790" s="208"/>
      <c r="U790" s="208"/>
      <c r="V790" s="208"/>
      <c r="W790" s="208"/>
      <c r="X790" s="208"/>
      <c r="Y790" s="208"/>
      <c r="Z790" s="208"/>
    </row>
    <row r="791">
      <c r="A791" s="208"/>
      <c r="B791" s="207"/>
      <c r="C791" s="209"/>
      <c r="D791" s="210"/>
      <c r="E791" s="210"/>
      <c r="F791" s="210"/>
      <c r="G791" s="210"/>
      <c r="H791" s="208"/>
      <c r="I791" s="208"/>
      <c r="J791" s="209"/>
      <c r="K791" s="211"/>
      <c r="L791" s="208"/>
      <c r="M791" s="208"/>
      <c r="N791" s="208"/>
      <c r="O791" s="208"/>
      <c r="P791" s="208"/>
      <c r="Q791" s="208"/>
      <c r="R791" s="208"/>
      <c r="S791" s="212"/>
      <c r="T791" s="208"/>
      <c r="U791" s="208"/>
      <c r="V791" s="208"/>
      <c r="W791" s="208"/>
      <c r="X791" s="208"/>
      <c r="Y791" s="208"/>
      <c r="Z791" s="208"/>
    </row>
    <row r="792">
      <c r="A792" s="208"/>
      <c r="B792" s="207"/>
      <c r="C792" s="209"/>
      <c r="D792" s="210"/>
      <c r="E792" s="210"/>
      <c r="F792" s="210"/>
      <c r="G792" s="210"/>
      <c r="H792" s="208"/>
      <c r="I792" s="208"/>
      <c r="J792" s="209"/>
      <c r="K792" s="211"/>
      <c r="L792" s="208"/>
      <c r="M792" s="208"/>
      <c r="N792" s="208"/>
      <c r="O792" s="208"/>
      <c r="P792" s="208"/>
      <c r="Q792" s="208"/>
      <c r="R792" s="208"/>
      <c r="S792" s="212"/>
      <c r="T792" s="208"/>
      <c r="U792" s="208"/>
      <c r="V792" s="208"/>
      <c r="W792" s="208"/>
      <c r="X792" s="208"/>
      <c r="Y792" s="208"/>
      <c r="Z792" s="208"/>
    </row>
    <row r="793">
      <c r="A793" s="208"/>
      <c r="B793" s="207"/>
      <c r="C793" s="209"/>
      <c r="D793" s="210"/>
      <c r="E793" s="210"/>
      <c r="F793" s="210"/>
      <c r="G793" s="210"/>
      <c r="H793" s="208"/>
      <c r="I793" s="208"/>
      <c r="J793" s="209"/>
      <c r="K793" s="211"/>
      <c r="L793" s="208"/>
      <c r="M793" s="208"/>
      <c r="N793" s="208"/>
      <c r="O793" s="208"/>
      <c r="P793" s="208"/>
      <c r="Q793" s="208"/>
      <c r="R793" s="208"/>
      <c r="S793" s="212"/>
      <c r="T793" s="208"/>
      <c r="U793" s="208"/>
      <c r="V793" s="208"/>
      <c r="W793" s="208"/>
      <c r="X793" s="208"/>
      <c r="Y793" s="208"/>
      <c r="Z793" s="208"/>
    </row>
    <row r="794">
      <c r="A794" s="208"/>
      <c r="B794" s="207"/>
      <c r="C794" s="209"/>
      <c r="D794" s="210"/>
      <c r="E794" s="210"/>
      <c r="F794" s="210"/>
      <c r="G794" s="210"/>
      <c r="H794" s="208"/>
      <c r="I794" s="208"/>
      <c r="J794" s="209"/>
      <c r="K794" s="211"/>
      <c r="L794" s="208"/>
      <c r="M794" s="208"/>
      <c r="N794" s="208"/>
      <c r="O794" s="208"/>
      <c r="P794" s="208"/>
      <c r="Q794" s="208"/>
      <c r="R794" s="208"/>
      <c r="S794" s="212"/>
      <c r="T794" s="208"/>
      <c r="U794" s="208"/>
      <c r="V794" s="208"/>
      <c r="W794" s="208"/>
      <c r="X794" s="208"/>
      <c r="Y794" s="208"/>
      <c r="Z794" s="208"/>
    </row>
    <row r="795">
      <c r="A795" s="208"/>
      <c r="B795" s="207"/>
      <c r="C795" s="209"/>
      <c r="D795" s="210"/>
      <c r="E795" s="210"/>
      <c r="F795" s="210"/>
      <c r="G795" s="210"/>
      <c r="H795" s="208"/>
      <c r="I795" s="208"/>
      <c r="J795" s="209"/>
      <c r="K795" s="211"/>
      <c r="L795" s="208"/>
      <c r="M795" s="208"/>
      <c r="N795" s="208"/>
      <c r="O795" s="208"/>
      <c r="P795" s="208"/>
      <c r="Q795" s="208"/>
      <c r="R795" s="208"/>
      <c r="S795" s="212"/>
      <c r="T795" s="208"/>
      <c r="U795" s="208"/>
      <c r="V795" s="208"/>
      <c r="W795" s="208"/>
      <c r="X795" s="208"/>
      <c r="Y795" s="208"/>
      <c r="Z795" s="208"/>
    </row>
    <row r="796">
      <c r="A796" s="208"/>
      <c r="B796" s="207"/>
      <c r="C796" s="209"/>
      <c r="D796" s="210"/>
      <c r="E796" s="210"/>
      <c r="F796" s="210"/>
      <c r="G796" s="210"/>
      <c r="H796" s="208"/>
      <c r="I796" s="208"/>
      <c r="J796" s="209"/>
      <c r="K796" s="211"/>
      <c r="L796" s="208"/>
      <c r="M796" s="208"/>
      <c r="N796" s="208"/>
      <c r="O796" s="208"/>
      <c r="P796" s="208"/>
      <c r="Q796" s="208"/>
      <c r="R796" s="208"/>
      <c r="S796" s="212"/>
      <c r="T796" s="208"/>
      <c r="U796" s="208"/>
      <c r="V796" s="208"/>
      <c r="W796" s="208"/>
      <c r="X796" s="208"/>
      <c r="Y796" s="208"/>
      <c r="Z796" s="208"/>
    </row>
    <row r="797">
      <c r="A797" s="208"/>
      <c r="B797" s="207"/>
      <c r="C797" s="209"/>
      <c r="D797" s="210"/>
      <c r="E797" s="210"/>
      <c r="F797" s="210"/>
      <c r="G797" s="210"/>
      <c r="H797" s="208"/>
      <c r="I797" s="208"/>
      <c r="J797" s="209"/>
      <c r="K797" s="211"/>
      <c r="L797" s="208"/>
      <c r="M797" s="208"/>
      <c r="N797" s="208"/>
      <c r="O797" s="208"/>
      <c r="P797" s="208"/>
      <c r="Q797" s="208"/>
      <c r="R797" s="208"/>
      <c r="S797" s="212"/>
      <c r="T797" s="208"/>
      <c r="U797" s="208"/>
      <c r="V797" s="208"/>
      <c r="W797" s="208"/>
      <c r="X797" s="208"/>
      <c r="Y797" s="208"/>
      <c r="Z797" s="208"/>
    </row>
    <row r="798">
      <c r="A798" s="208"/>
      <c r="B798" s="207"/>
      <c r="C798" s="209"/>
      <c r="D798" s="210"/>
      <c r="E798" s="210"/>
      <c r="F798" s="210"/>
      <c r="G798" s="210"/>
      <c r="H798" s="208"/>
      <c r="I798" s="208"/>
      <c r="J798" s="209"/>
      <c r="K798" s="211"/>
      <c r="L798" s="208"/>
      <c r="M798" s="208"/>
      <c r="N798" s="208"/>
      <c r="O798" s="208"/>
      <c r="P798" s="208"/>
      <c r="Q798" s="208"/>
      <c r="R798" s="208"/>
      <c r="S798" s="212"/>
      <c r="T798" s="208"/>
      <c r="U798" s="208"/>
      <c r="V798" s="208"/>
      <c r="W798" s="208"/>
      <c r="X798" s="208"/>
      <c r="Y798" s="208"/>
      <c r="Z798" s="208"/>
    </row>
    <row r="799">
      <c r="A799" s="208"/>
      <c r="B799" s="207"/>
      <c r="C799" s="209"/>
      <c r="D799" s="210"/>
      <c r="E799" s="210"/>
      <c r="F799" s="210"/>
      <c r="G799" s="210"/>
      <c r="H799" s="208"/>
      <c r="I799" s="208"/>
      <c r="J799" s="209"/>
      <c r="K799" s="211"/>
      <c r="L799" s="208"/>
      <c r="M799" s="208"/>
      <c r="N799" s="208"/>
      <c r="O799" s="208"/>
      <c r="P799" s="208"/>
      <c r="Q799" s="208"/>
      <c r="R799" s="208"/>
      <c r="S799" s="212"/>
      <c r="T799" s="208"/>
      <c r="U799" s="208"/>
      <c r="V799" s="208"/>
      <c r="W799" s="208"/>
      <c r="X799" s="208"/>
      <c r="Y799" s="208"/>
      <c r="Z799" s="208"/>
    </row>
    <row r="800">
      <c r="A800" s="208"/>
      <c r="B800" s="207"/>
      <c r="C800" s="209"/>
      <c r="D800" s="210"/>
      <c r="E800" s="210"/>
      <c r="F800" s="210"/>
      <c r="G800" s="210"/>
      <c r="H800" s="208"/>
      <c r="I800" s="208"/>
      <c r="J800" s="209"/>
      <c r="K800" s="211"/>
      <c r="L800" s="208"/>
      <c r="M800" s="208"/>
      <c r="N800" s="208"/>
      <c r="O800" s="208"/>
      <c r="P800" s="208"/>
      <c r="Q800" s="208"/>
      <c r="R800" s="208"/>
      <c r="S800" s="212"/>
      <c r="T800" s="208"/>
      <c r="U800" s="208"/>
      <c r="V800" s="208"/>
      <c r="W800" s="208"/>
      <c r="X800" s="208"/>
      <c r="Y800" s="208"/>
      <c r="Z800" s="208"/>
    </row>
    <row r="801">
      <c r="A801" s="208"/>
      <c r="B801" s="207"/>
      <c r="C801" s="209"/>
      <c r="D801" s="210"/>
      <c r="E801" s="210"/>
      <c r="F801" s="210"/>
      <c r="G801" s="210"/>
      <c r="H801" s="208"/>
      <c r="I801" s="208"/>
      <c r="J801" s="209"/>
      <c r="K801" s="211"/>
      <c r="L801" s="208"/>
      <c r="M801" s="208"/>
      <c r="N801" s="208"/>
      <c r="O801" s="208"/>
      <c r="P801" s="208"/>
      <c r="Q801" s="208"/>
      <c r="R801" s="208"/>
      <c r="S801" s="212"/>
      <c r="T801" s="208"/>
      <c r="U801" s="208"/>
      <c r="V801" s="208"/>
      <c r="W801" s="208"/>
      <c r="X801" s="208"/>
      <c r="Y801" s="208"/>
      <c r="Z801" s="208"/>
    </row>
    <row r="802">
      <c r="A802" s="208"/>
      <c r="B802" s="207"/>
      <c r="C802" s="209"/>
      <c r="D802" s="210"/>
      <c r="E802" s="210"/>
      <c r="F802" s="210"/>
      <c r="G802" s="210"/>
      <c r="H802" s="208"/>
      <c r="I802" s="208"/>
      <c r="J802" s="209"/>
      <c r="K802" s="211"/>
      <c r="L802" s="208"/>
      <c r="M802" s="208"/>
      <c r="N802" s="208"/>
      <c r="O802" s="208"/>
      <c r="P802" s="208"/>
      <c r="Q802" s="208"/>
      <c r="R802" s="208"/>
      <c r="S802" s="212"/>
      <c r="T802" s="208"/>
      <c r="U802" s="208"/>
      <c r="V802" s="208"/>
      <c r="W802" s="208"/>
      <c r="X802" s="208"/>
      <c r="Y802" s="208"/>
      <c r="Z802" s="208"/>
    </row>
    <row r="803">
      <c r="A803" s="208"/>
      <c r="B803" s="207"/>
      <c r="C803" s="209"/>
      <c r="D803" s="210"/>
      <c r="E803" s="210"/>
      <c r="F803" s="210"/>
      <c r="G803" s="210"/>
      <c r="H803" s="208"/>
      <c r="I803" s="208"/>
      <c r="J803" s="209"/>
      <c r="K803" s="211"/>
      <c r="L803" s="208"/>
      <c r="M803" s="208"/>
      <c r="N803" s="208"/>
      <c r="O803" s="208"/>
      <c r="P803" s="208"/>
      <c r="Q803" s="208"/>
      <c r="R803" s="208"/>
      <c r="S803" s="212"/>
      <c r="T803" s="208"/>
      <c r="U803" s="208"/>
      <c r="V803" s="208"/>
      <c r="W803" s="208"/>
      <c r="X803" s="208"/>
      <c r="Y803" s="208"/>
      <c r="Z803" s="208"/>
    </row>
    <row r="804">
      <c r="A804" s="208"/>
      <c r="B804" s="207"/>
      <c r="C804" s="209"/>
      <c r="D804" s="210"/>
      <c r="E804" s="210"/>
      <c r="F804" s="210"/>
      <c r="G804" s="210"/>
      <c r="H804" s="208"/>
      <c r="I804" s="208"/>
      <c r="J804" s="209"/>
      <c r="K804" s="211"/>
      <c r="L804" s="208"/>
      <c r="M804" s="208"/>
      <c r="N804" s="208"/>
      <c r="O804" s="208"/>
      <c r="P804" s="208"/>
      <c r="Q804" s="208"/>
      <c r="R804" s="208"/>
      <c r="S804" s="212"/>
      <c r="T804" s="208"/>
      <c r="U804" s="208"/>
      <c r="V804" s="208"/>
      <c r="W804" s="208"/>
      <c r="X804" s="208"/>
      <c r="Y804" s="208"/>
      <c r="Z804" s="208"/>
    </row>
    <row r="805">
      <c r="A805" s="208"/>
      <c r="B805" s="207"/>
      <c r="C805" s="209"/>
      <c r="D805" s="210"/>
      <c r="E805" s="210"/>
      <c r="F805" s="210"/>
      <c r="G805" s="210"/>
      <c r="H805" s="208"/>
      <c r="I805" s="208"/>
      <c r="J805" s="209"/>
      <c r="K805" s="211"/>
      <c r="L805" s="208"/>
      <c r="M805" s="208"/>
      <c r="N805" s="208"/>
      <c r="O805" s="208"/>
      <c r="P805" s="208"/>
      <c r="Q805" s="208"/>
      <c r="R805" s="208"/>
      <c r="S805" s="212"/>
      <c r="T805" s="208"/>
      <c r="U805" s="208"/>
      <c r="V805" s="208"/>
      <c r="W805" s="208"/>
      <c r="X805" s="208"/>
      <c r="Y805" s="208"/>
      <c r="Z805" s="208"/>
    </row>
    <row r="806">
      <c r="A806" s="208"/>
      <c r="B806" s="207"/>
      <c r="C806" s="209"/>
      <c r="D806" s="210"/>
      <c r="E806" s="210"/>
      <c r="F806" s="210"/>
      <c r="G806" s="210"/>
      <c r="H806" s="208"/>
      <c r="I806" s="208"/>
      <c r="J806" s="209"/>
      <c r="K806" s="211"/>
      <c r="L806" s="208"/>
      <c r="M806" s="208"/>
      <c r="N806" s="208"/>
      <c r="O806" s="208"/>
      <c r="P806" s="208"/>
      <c r="Q806" s="208"/>
      <c r="R806" s="208"/>
      <c r="S806" s="212"/>
      <c r="T806" s="208"/>
      <c r="U806" s="208"/>
      <c r="V806" s="208"/>
      <c r="W806" s="208"/>
      <c r="X806" s="208"/>
      <c r="Y806" s="208"/>
      <c r="Z806" s="208"/>
    </row>
    <row r="807">
      <c r="A807" s="208"/>
      <c r="B807" s="207"/>
      <c r="C807" s="209"/>
      <c r="D807" s="210"/>
      <c r="E807" s="210"/>
      <c r="F807" s="210"/>
      <c r="G807" s="210"/>
      <c r="H807" s="208"/>
      <c r="I807" s="208"/>
      <c r="J807" s="209"/>
      <c r="K807" s="211"/>
      <c r="L807" s="208"/>
      <c r="M807" s="208"/>
      <c r="N807" s="208"/>
      <c r="O807" s="208"/>
      <c r="P807" s="208"/>
      <c r="Q807" s="208"/>
      <c r="R807" s="208"/>
      <c r="S807" s="212"/>
      <c r="T807" s="208"/>
      <c r="U807" s="208"/>
      <c r="V807" s="208"/>
      <c r="W807" s="208"/>
      <c r="X807" s="208"/>
      <c r="Y807" s="208"/>
      <c r="Z807" s="208"/>
    </row>
    <row r="808">
      <c r="A808" s="208"/>
      <c r="B808" s="207"/>
      <c r="C808" s="209"/>
      <c r="D808" s="210"/>
      <c r="E808" s="210"/>
      <c r="F808" s="210"/>
      <c r="G808" s="210"/>
      <c r="H808" s="208"/>
      <c r="I808" s="208"/>
      <c r="J808" s="209"/>
      <c r="K808" s="211"/>
      <c r="L808" s="208"/>
      <c r="M808" s="208"/>
      <c r="N808" s="208"/>
      <c r="O808" s="208"/>
      <c r="P808" s="208"/>
      <c r="Q808" s="208"/>
      <c r="R808" s="208"/>
      <c r="S808" s="212"/>
      <c r="T808" s="208"/>
      <c r="U808" s="208"/>
      <c r="V808" s="208"/>
      <c r="W808" s="208"/>
      <c r="X808" s="208"/>
      <c r="Y808" s="208"/>
      <c r="Z808" s="208"/>
    </row>
    <row r="809">
      <c r="A809" s="208"/>
      <c r="B809" s="207"/>
      <c r="C809" s="209"/>
      <c r="D809" s="210"/>
      <c r="E809" s="210"/>
      <c r="F809" s="210"/>
      <c r="G809" s="210"/>
      <c r="H809" s="208"/>
      <c r="I809" s="208"/>
      <c r="J809" s="209"/>
      <c r="K809" s="211"/>
      <c r="L809" s="208"/>
      <c r="M809" s="208"/>
      <c r="N809" s="208"/>
      <c r="O809" s="208"/>
      <c r="P809" s="208"/>
      <c r="Q809" s="208"/>
      <c r="R809" s="208"/>
      <c r="S809" s="212"/>
      <c r="T809" s="208"/>
      <c r="U809" s="208"/>
      <c r="V809" s="208"/>
      <c r="W809" s="208"/>
      <c r="X809" s="208"/>
      <c r="Y809" s="208"/>
      <c r="Z809" s="208"/>
    </row>
    <row r="810">
      <c r="A810" s="208"/>
      <c r="B810" s="207"/>
      <c r="C810" s="209"/>
      <c r="D810" s="210"/>
      <c r="E810" s="210"/>
      <c r="F810" s="210"/>
      <c r="G810" s="210"/>
      <c r="H810" s="208"/>
      <c r="I810" s="208"/>
      <c r="J810" s="209"/>
      <c r="K810" s="211"/>
      <c r="L810" s="208"/>
      <c r="M810" s="208"/>
      <c r="N810" s="208"/>
      <c r="O810" s="208"/>
      <c r="P810" s="208"/>
      <c r="Q810" s="208"/>
      <c r="R810" s="208"/>
      <c r="S810" s="212"/>
      <c r="T810" s="208"/>
      <c r="U810" s="208"/>
      <c r="V810" s="208"/>
      <c r="W810" s="208"/>
      <c r="X810" s="208"/>
      <c r="Y810" s="208"/>
      <c r="Z810" s="208"/>
    </row>
    <row r="811">
      <c r="A811" s="208"/>
      <c r="B811" s="207"/>
      <c r="C811" s="209"/>
      <c r="D811" s="210"/>
      <c r="E811" s="210"/>
      <c r="F811" s="210"/>
      <c r="G811" s="210"/>
      <c r="H811" s="208"/>
      <c r="I811" s="208"/>
      <c r="J811" s="209"/>
      <c r="K811" s="211"/>
      <c r="L811" s="208"/>
      <c r="M811" s="208"/>
      <c r="N811" s="208"/>
      <c r="O811" s="208"/>
      <c r="P811" s="208"/>
      <c r="Q811" s="208"/>
      <c r="R811" s="208"/>
      <c r="S811" s="212"/>
      <c r="T811" s="208"/>
      <c r="U811" s="208"/>
      <c r="V811" s="208"/>
      <c r="W811" s="208"/>
      <c r="X811" s="208"/>
      <c r="Y811" s="208"/>
      <c r="Z811" s="208"/>
    </row>
    <row r="812">
      <c r="A812" s="208"/>
      <c r="B812" s="207"/>
      <c r="C812" s="209"/>
      <c r="D812" s="210"/>
      <c r="E812" s="210"/>
      <c r="F812" s="210"/>
      <c r="G812" s="210"/>
      <c r="H812" s="208"/>
      <c r="I812" s="208"/>
      <c r="J812" s="209"/>
      <c r="K812" s="211"/>
      <c r="L812" s="208"/>
      <c r="M812" s="208"/>
      <c r="N812" s="208"/>
      <c r="O812" s="208"/>
      <c r="P812" s="208"/>
      <c r="Q812" s="208"/>
      <c r="R812" s="208"/>
      <c r="S812" s="212"/>
      <c r="T812" s="208"/>
      <c r="U812" s="208"/>
      <c r="V812" s="208"/>
      <c r="W812" s="208"/>
      <c r="X812" s="208"/>
      <c r="Y812" s="208"/>
      <c r="Z812" s="208"/>
    </row>
    <row r="813">
      <c r="A813" s="208"/>
      <c r="B813" s="207"/>
      <c r="C813" s="209"/>
      <c r="D813" s="210"/>
      <c r="E813" s="210"/>
      <c r="F813" s="210"/>
      <c r="G813" s="210"/>
      <c r="H813" s="208"/>
      <c r="I813" s="208"/>
      <c r="J813" s="209"/>
      <c r="K813" s="211"/>
      <c r="L813" s="208"/>
      <c r="M813" s="208"/>
      <c r="N813" s="208"/>
      <c r="O813" s="208"/>
      <c r="P813" s="208"/>
      <c r="Q813" s="208"/>
      <c r="R813" s="208"/>
      <c r="S813" s="212"/>
      <c r="T813" s="208"/>
      <c r="U813" s="208"/>
      <c r="V813" s="208"/>
      <c r="W813" s="208"/>
      <c r="X813" s="208"/>
      <c r="Y813" s="208"/>
      <c r="Z813" s="208"/>
    </row>
    <row r="814">
      <c r="A814" s="208"/>
      <c r="B814" s="207"/>
      <c r="C814" s="209"/>
      <c r="D814" s="210"/>
      <c r="E814" s="210"/>
      <c r="F814" s="210"/>
      <c r="G814" s="210"/>
      <c r="H814" s="208"/>
      <c r="I814" s="208"/>
      <c r="J814" s="209"/>
      <c r="K814" s="211"/>
      <c r="L814" s="208"/>
      <c r="M814" s="208"/>
      <c r="N814" s="208"/>
      <c r="O814" s="208"/>
      <c r="P814" s="208"/>
      <c r="Q814" s="208"/>
      <c r="R814" s="208"/>
      <c r="S814" s="212"/>
      <c r="T814" s="208"/>
      <c r="U814" s="208"/>
      <c r="V814" s="208"/>
      <c r="W814" s="208"/>
      <c r="X814" s="208"/>
      <c r="Y814" s="208"/>
      <c r="Z814" s="208"/>
    </row>
    <row r="815">
      <c r="A815" s="208"/>
      <c r="B815" s="207"/>
      <c r="C815" s="209"/>
      <c r="D815" s="210"/>
      <c r="E815" s="210"/>
      <c r="F815" s="210"/>
      <c r="G815" s="210"/>
      <c r="H815" s="208"/>
      <c r="I815" s="208"/>
      <c r="J815" s="209"/>
      <c r="K815" s="211"/>
      <c r="L815" s="208"/>
      <c r="M815" s="208"/>
      <c r="N815" s="208"/>
      <c r="O815" s="208"/>
      <c r="P815" s="208"/>
      <c r="Q815" s="208"/>
      <c r="R815" s="208"/>
      <c r="S815" s="212"/>
      <c r="T815" s="208"/>
      <c r="U815" s="208"/>
      <c r="V815" s="208"/>
      <c r="W815" s="208"/>
      <c r="X815" s="208"/>
      <c r="Y815" s="208"/>
      <c r="Z815" s="208"/>
    </row>
    <row r="816">
      <c r="A816" s="208"/>
      <c r="B816" s="207"/>
      <c r="C816" s="209"/>
      <c r="D816" s="210"/>
      <c r="E816" s="210"/>
      <c r="F816" s="210"/>
      <c r="G816" s="210"/>
      <c r="H816" s="208"/>
      <c r="I816" s="208"/>
      <c r="J816" s="209"/>
      <c r="K816" s="211"/>
      <c r="L816" s="208"/>
      <c r="M816" s="208"/>
      <c r="N816" s="208"/>
      <c r="O816" s="208"/>
      <c r="P816" s="208"/>
      <c r="Q816" s="208"/>
      <c r="R816" s="208"/>
      <c r="S816" s="212"/>
      <c r="T816" s="208"/>
      <c r="U816" s="208"/>
      <c r="V816" s="208"/>
      <c r="W816" s="208"/>
      <c r="X816" s="208"/>
      <c r="Y816" s="208"/>
      <c r="Z816" s="208"/>
    </row>
    <row r="817">
      <c r="A817" s="208"/>
      <c r="B817" s="207"/>
      <c r="C817" s="209"/>
      <c r="D817" s="210"/>
      <c r="E817" s="210"/>
      <c r="F817" s="210"/>
      <c r="G817" s="210"/>
      <c r="H817" s="208"/>
      <c r="I817" s="208"/>
      <c r="J817" s="209"/>
      <c r="K817" s="211"/>
      <c r="L817" s="208"/>
      <c r="M817" s="208"/>
      <c r="N817" s="208"/>
      <c r="O817" s="208"/>
      <c r="P817" s="208"/>
      <c r="Q817" s="208"/>
      <c r="R817" s="208"/>
      <c r="S817" s="212"/>
      <c r="T817" s="208"/>
      <c r="U817" s="208"/>
      <c r="V817" s="208"/>
      <c r="W817" s="208"/>
      <c r="X817" s="208"/>
      <c r="Y817" s="208"/>
      <c r="Z817" s="208"/>
    </row>
    <row r="818">
      <c r="A818" s="208"/>
      <c r="B818" s="207"/>
      <c r="C818" s="209"/>
      <c r="D818" s="210"/>
      <c r="E818" s="210"/>
      <c r="F818" s="210"/>
      <c r="G818" s="210"/>
      <c r="H818" s="208"/>
      <c r="I818" s="208"/>
      <c r="J818" s="209"/>
      <c r="K818" s="211"/>
      <c r="L818" s="208"/>
      <c r="M818" s="208"/>
      <c r="N818" s="208"/>
      <c r="O818" s="208"/>
      <c r="P818" s="208"/>
      <c r="Q818" s="208"/>
      <c r="R818" s="208"/>
      <c r="S818" s="212"/>
      <c r="T818" s="208"/>
      <c r="U818" s="208"/>
      <c r="V818" s="208"/>
      <c r="W818" s="208"/>
      <c r="X818" s="208"/>
      <c r="Y818" s="208"/>
      <c r="Z818" s="208"/>
    </row>
    <row r="819">
      <c r="A819" s="208"/>
      <c r="B819" s="207"/>
      <c r="C819" s="209"/>
      <c r="D819" s="210"/>
      <c r="E819" s="210"/>
      <c r="F819" s="210"/>
      <c r="G819" s="210"/>
      <c r="H819" s="208"/>
      <c r="I819" s="208"/>
      <c r="J819" s="209"/>
      <c r="K819" s="211"/>
      <c r="L819" s="208"/>
      <c r="M819" s="208"/>
      <c r="N819" s="208"/>
      <c r="O819" s="208"/>
      <c r="P819" s="208"/>
      <c r="Q819" s="208"/>
      <c r="R819" s="208"/>
      <c r="S819" s="212"/>
      <c r="T819" s="208"/>
      <c r="U819" s="208"/>
      <c r="V819" s="208"/>
      <c r="W819" s="208"/>
      <c r="X819" s="208"/>
      <c r="Y819" s="208"/>
      <c r="Z819" s="208"/>
    </row>
    <row r="820">
      <c r="A820" s="208"/>
      <c r="B820" s="207"/>
      <c r="C820" s="209"/>
      <c r="D820" s="210"/>
      <c r="E820" s="210"/>
      <c r="F820" s="210"/>
      <c r="G820" s="210"/>
      <c r="H820" s="208"/>
      <c r="I820" s="208"/>
      <c r="J820" s="209"/>
      <c r="K820" s="211"/>
      <c r="L820" s="208"/>
      <c r="M820" s="208"/>
      <c r="N820" s="208"/>
      <c r="O820" s="208"/>
      <c r="P820" s="208"/>
      <c r="Q820" s="208"/>
      <c r="R820" s="208"/>
      <c r="S820" s="212"/>
      <c r="T820" s="208"/>
      <c r="U820" s="208"/>
      <c r="V820" s="208"/>
      <c r="W820" s="208"/>
      <c r="X820" s="208"/>
      <c r="Y820" s="208"/>
      <c r="Z820" s="208"/>
    </row>
    <row r="821">
      <c r="A821" s="208"/>
      <c r="B821" s="207"/>
      <c r="C821" s="209"/>
      <c r="D821" s="210"/>
      <c r="E821" s="210"/>
      <c r="F821" s="210"/>
      <c r="G821" s="210"/>
      <c r="H821" s="208"/>
      <c r="I821" s="208"/>
      <c r="J821" s="209"/>
      <c r="K821" s="211"/>
      <c r="L821" s="208"/>
      <c r="M821" s="208"/>
      <c r="N821" s="208"/>
      <c r="O821" s="208"/>
      <c r="P821" s="208"/>
      <c r="Q821" s="208"/>
      <c r="R821" s="208"/>
      <c r="S821" s="212"/>
      <c r="T821" s="208"/>
      <c r="U821" s="208"/>
      <c r="V821" s="208"/>
      <c r="W821" s="208"/>
      <c r="X821" s="208"/>
      <c r="Y821" s="208"/>
      <c r="Z821" s="208"/>
    </row>
    <row r="822">
      <c r="A822" s="208"/>
      <c r="B822" s="207"/>
      <c r="C822" s="209"/>
      <c r="D822" s="210"/>
      <c r="E822" s="210"/>
      <c r="F822" s="210"/>
      <c r="G822" s="210"/>
      <c r="H822" s="208"/>
      <c r="I822" s="208"/>
      <c r="J822" s="209"/>
      <c r="K822" s="211"/>
      <c r="L822" s="208"/>
      <c r="M822" s="208"/>
      <c r="N822" s="208"/>
      <c r="O822" s="208"/>
      <c r="P822" s="208"/>
      <c r="Q822" s="208"/>
      <c r="R822" s="208"/>
      <c r="S822" s="212"/>
      <c r="T822" s="208"/>
      <c r="U822" s="208"/>
      <c r="V822" s="208"/>
      <c r="W822" s="208"/>
      <c r="X822" s="208"/>
      <c r="Y822" s="208"/>
      <c r="Z822" s="208"/>
    </row>
    <row r="823">
      <c r="A823" s="208"/>
      <c r="B823" s="207"/>
      <c r="C823" s="209"/>
      <c r="D823" s="210"/>
      <c r="E823" s="210"/>
      <c r="F823" s="210"/>
      <c r="G823" s="210"/>
      <c r="H823" s="208"/>
      <c r="I823" s="208"/>
      <c r="J823" s="209"/>
      <c r="K823" s="211"/>
      <c r="L823" s="208"/>
      <c r="M823" s="208"/>
      <c r="N823" s="208"/>
      <c r="O823" s="208"/>
      <c r="P823" s="208"/>
      <c r="Q823" s="208"/>
      <c r="R823" s="208"/>
      <c r="S823" s="212"/>
      <c r="T823" s="208"/>
      <c r="U823" s="208"/>
      <c r="V823" s="208"/>
      <c r="W823" s="208"/>
      <c r="X823" s="208"/>
      <c r="Y823" s="208"/>
      <c r="Z823" s="208"/>
    </row>
    <row r="824">
      <c r="A824" s="208"/>
      <c r="B824" s="207"/>
      <c r="C824" s="209"/>
      <c r="D824" s="210"/>
      <c r="E824" s="210"/>
      <c r="F824" s="210"/>
      <c r="G824" s="210"/>
      <c r="H824" s="208"/>
      <c r="I824" s="208"/>
      <c r="J824" s="209"/>
      <c r="K824" s="211"/>
      <c r="L824" s="208"/>
      <c r="M824" s="208"/>
      <c r="N824" s="208"/>
      <c r="O824" s="208"/>
      <c r="P824" s="208"/>
      <c r="Q824" s="208"/>
      <c r="R824" s="208"/>
      <c r="S824" s="212"/>
      <c r="T824" s="208"/>
      <c r="U824" s="208"/>
      <c r="V824" s="208"/>
      <c r="W824" s="208"/>
      <c r="X824" s="208"/>
      <c r="Y824" s="208"/>
      <c r="Z824" s="208"/>
    </row>
    <row r="825">
      <c r="A825" s="208"/>
      <c r="B825" s="207"/>
      <c r="C825" s="209"/>
      <c r="D825" s="210"/>
      <c r="E825" s="210"/>
      <c r="F825" s="210"/>
      <c r="G825" s="210"/>
      <c r="H825" s="208"/>
      <c r="I825" s="208"/>
      <c r="J825" s="209"/>
      <c r="K825" s="211"/>
      <c r="L825" s="208"/>
      <c r="M825" s="208"/>
      <c r="N825" s="208"/>
      <c r="O825" s="208"/>
      <c r="P825" s="208"/>
      <c r="Q825" s="208"/>
      <c r="R825" s="208"/>
      <c r="S825" s="212"/>
      <c r="T825" s="208"/>
      <c r="U825" s="208"/>
      <c r="V825" s="208"/>
      <c r="W825" s="208"/>
      <c r="X825" s="208"/>
      <c r="Y825" s="208"/>
      <c r="Z825" s="208"/>
    </row>
    <row r="826">
      <c r="A826" s="208"/>
      <c r="B826" s="207"/>
      <c r="C826" s="209"/>
      <c r="D826" s="210"/>
      <c r="E826" s="210"/>
      <c r="F826" s="210"/>
      <c r="G826" s="210"/>
      <c r="H826" s="208"/>
      <c r="I826" s="208"/>
      <c r="J826" s="209"/>
      <c r="K826" s="211"/>
      <c r="L826" s="208"/>
      <c r="M826" s="208"/>
      <c r="N826" s="208"/>
      <c r="O826" s="208"/>
      <c r="P826" s="208"/>
      <c r="Q826" s="208"/>
      <c r="R826" s="208"/>
      <c r="S826" s="212"/>
      <c r="T826" s="208"/>
      <c r="U826" s="208"/>
      <c r="V826" s="208"/>
      <c r="W826" s="208"/>
      <c r="X826" s="208"/>
      <c r="Y826" s="208"/>
      <c r="Z826" s="208"/>
    </row>
    <row r="827">
      <c r="A827" s="208"/>
      <c r="B827" s="207"/>
      <c r="C827" s="209"/>
      <c r="D827" s="210"/>
      <c r="E827" s="210"/>
      <c r="F827" s="210"/>
      <c r="G827" s="210"/>
      <c r="H827" s="208"/>
      <c r="I827" s="208"/>
      <c r="J827" s="209"/>
      <c r="K827" s="211"/>
      <c r="L827" s="208"/>
      <c r="M827" s="208"/>
      <c r="N827" s="208"/>
      <c r="O827" s="208"/>
      <c r="P827" s="208"/>
      <c r="Q827" s="208"/>
      <c r="R827" s="208"/>
      <c r="S827" s="212"/>
      <c r="T827" s="208"/>
      <c r="U827" s="208"/>
      <c r="V827" s="208"/>
      <c r="W827" s="208"/>
      <c r="X827" s="208"/>
      <c r="Y827" s="208"/>
      <c r="Z827" s="208"/>
    </row>
    <row r="828">
      <c r="A828" s="208"/>
      <c r="B828" s="207"/>
      <c r="C828" s="209"/>
      <c r="D828" s="210"/>
      <c r="E828" s="210"/>
      <c r="F828" s="210"/>
      <c r="G828" s="210"/>
      <c r="H828" s="208"/>
      <c r="I828" s="208"/>
      <c r="J828" s="209"/>
      <c r="K828" s="211"/>
      <c r="L828" s="208"/>
      <c r="M828" s="208"/>
      <c r="N828" s="208"/>
      <c r="O828" s="208"/>
      <c r="P828" s="208"/>
      <c r="Q828" s="208"/>
      <c r="R828" s="208"/>
      <c r="S828" s="212"/>
      <c r="T828" s="208"/>
      <c r="U828" s="208"/>
      <c r="V828" s="208"/>
      <c r="W828" s="208"/>
      <c r="X828" s="208"/>
      <c r="Y828" s="208"/>
      <c r="Z828" s="208"/>
    </row>
    <row r="829">
      <c r="A829" s="208"/>
      <c r="B829" s="207"/>
      <c r="C829" s="209"/>
      <c r="D829" s="210"/>
      <c r="E829" s="210"/>
      <c r="F829" s="210"/>
      <c r="G829" s="210"/>
      <c r="H829" s="208"/>
      <c r="I829" s="208"/>
      <c r="J829" s="209"/>
      <c r="K829" s="211"/>
      <c r="L829" s="208"/>
      <c r="M829" s="208"/>
      <c r="N829" s="208"/>
      <c r="O829" s="208"/>
      <c r="P829" s="208"/>
      <c r="Q829" s="208"/>
      <c r="R829" s="208"/>
      <c r="S829" s="212"/>
      <c r="T829" s="208"/>
      <c r="U829" s="208"/>
      <c r="V829" s="208"/>
      <c r="W829" s="208"/>
      <c r="X829" s="208"/>
      <c r="Y829" s="208"/>
      <c r="Z829" s="208"/>
    </row>
    <row r="830">
      <c r="A830" s="208"/>
      <c r="B830" s="207"/>
      <c r="C830" s="209"/>
      <c r="D830" s="210"/>
      <c r="E830" s="210"/>
      <c r="F830" s="210"/>
      <c r="G830" s="210"/>
      <c r="H830" s="208"/>
      <c r="I830" s="208"/>
      <c r="J830" s="209"/>
      <c r="K830" s="211"/>
      <c r="L830" s="208"/>
      <c r="M830" s="208"/>
      <c r="N830" s="208"/>
      <c r="O830" s="208"/>
      <c r="P830" s="208"/>
      <c r="Q830" s="208"/>
      <c r="R830" s="208"/>
      <c r="S830" s="212"/>
      <c r="T830" s="208"/>
      <c r="U830" s="208"/>
      <c r="V830" s="208"/>
      <c r="W830" s="208"/>
      <c r="X830" s="208"/>
      <c r="Y830" s="208"/>
      <c r="Z830" s="208"/>
    </row>
    <row r="831">
      <c r="A831" s="208"/>
      <c r="B831" s="207"/>
      <c r="C831" s="209"/>
      <c r="D831" s="210"/>
      <c r="E831" s="210"/>
      <c r="F831" s="210"/>
      <c r="G831" s="210"/>
      <c r="H831" s="208"/>
      <c r="I831" s="208"/>
      <c r="J831" s="209"/>
      <c r="K831" s="211"/>
      <c r="L831" s="208"/>
      <c r="M831" s="208"/>
      <c r="N831" s="208"/>
      <c r="O831" s="208"/>
      <c r="P831" s="208"/>
      <c r="Q831" s="208"/>
      <c r="R831" s="208"/>
      <c r="S831" s="212"/>
      <c r="T831" s="208"/>
      <c r="U831" s="208"/>
      <c r="V831" s="208"/>
      <c r="W831" s="208"/>
      <c r="X831" s="208"/>
      <c r="Y831" s="208"/>
      <c r="Z831" s="208"/>
    </row>
    <row r="832">
      <c r="A832" s="208"/>
      <c r="B832" s="207"/>
      <c r="C832" s="209"/>
      <c r="D832" s="210"/>
      <c r="E832" s="210"/>
      <c r="F832" s="210"/>
      <c r="G832" s="210"/>
      <c r="H832" s="208"/>
      <c r="I832" s="208"/>
      <c r="J832" s="209"/>
      <c r="K832" s="211"/>
      <c r="L832" s="208"/>
      <c r="M832" s="208"/>
      <c r="N832" s="208"/>
      <c r="O832" s="208"/>
      <c r="P832" s="208"/>
      <c r="Q832" s="208"/>
      <c r="R832" s="208"/>
      <c r="S832" s="212"/>
      <c r="T832" s="208"/>
      <c r="U832" s="208"/>
      <c r="V832" s="208"/>
      <c r="W832" s="208"/>
      <c r="X832" s="208"/>
      <c r="Y832" s="208"/>
      <c r="Z832" s="208"/>
    </row>
    <row r="833">
      <c r="A833" s="208"/>
      <c r="B833" s="207"/>
      <c r="C833" s="209"/>
      <c r="D833" s="210"/>
      <c r="E833" s="210"/>
      <c r="F833" s="210"/>
      <c r="G833" s="210"/>
      <c r="H833" s="208"/>
      <c r="I833" s="208"/>
      <c r="J833" s="209"/>
      <c r="K833" s="211"/>
      <c r="L833" s="208"/>
      <c r="M833" s="208"/>
      <c r="N833" s="208"/>
      <c r="O833" s="208"/>
      <c r="P833" s="208"/>
      <c r="Q833" s="208"/>
      <c r="R833" s="208"/>
      <c r="S833" s="212"/>
      <c r="T833" s="208"/>
      <c r="U833" s="208"/>
      <c r="V833" s="208"/>
      <c r="W833" s="208"/>
      <c r="X833" s="208"/>
      <c r="Y833" s="208"/>
      <c r="Z833" s="208"/>
    </row>
    <row r="834">
      <c r="A834" s="208"/>
      <c r="B834" s="207"/>
      <c r="C834" s="209"/>
      <c r="D834" s="210"/>
      <c r="E834" s="210"/>
      <c r="F834" s="210"/>
      <c r="G834" s="210"/>
      <c r="H834" s="208"/>
      <c r="I834" s="208"/>
      <c r="J834" s="209"/>
      <c r="K834" s="211"/>
      <c r="L834" s="208"/>
      <c r="M834" s="208"/>
      <c r="N834" s="208"/>
      <c r="O834" s="208"/>
      <c r="P834" s="208"/>
      <c r="Q834" s="208"/>
      <c r="R834" s="208"/>
      <c r="S834" s="212"/>
      <c r="T834" s="208"/>
      <c r="U834" s="208"/>
      <c r="V834" s="208"/>
      <c r="W834" s="208"/>
      <c r="X834" s="208"/>
      <c r="Y834" s="208"/>
      <c r="Z834" s="208"/>
    </row>
    <row r="835">
      <c r="A835" s="208"/>
      <c r="B835" s="207"/>
      <c r="C835" s="209"/>
      <c r="D835" s="210"/>
      <c r="E835" s="210"/>
      <c r="F835" s="210"/>
      <c r="G835" s="210"/>
      <c r="H835" s="208"/>
      <c r="I835" s="208"/>
      <c r="J835" s="209"/>
      <c r="K835" s="211"/>
      <c r="L835" s="208"/>
      <c r="M835" s="208"/>
      <c r="N835" s="208"/>
      <c r="O835" s="208"/>
      <c r="P835" s="208"/>
      <c r="Q835" s="208"/>
      <c r="R835" s="208"/>
      <c r="S835" s="212"/>
      <c r="T835" s="208"/>
      <c r="U835" s="208"/>
      <c r="V835" s="208"/>
      <c r="W835" s="208"/>
      <c r="X835" s="208"/>
      <c r="Y835" s="208"/>
      <c r="Z835" s="208"/>
    </row>
    <row r="836">
      <c r="A836" s="208"/>
      <c r="B836" s="207"/>
      <c r="C836" s="209"/>
      <c r="D836" s="210"/>
      <c r="E836" s="210"/>
      <c r="F836" s="210"/>
      <c r="G836" s="210"/>
      <c r="H836" s="208"/>
      <c r="I836" s="208"/>
      <c r="J836" s="209"/>
      <c r="K836" s="211"/>
      <c r="L836" s="208"/>
      <c r="M836" s="208"/>
      <c r="N836" s="208"/>
      <c r="O836" s="208"/>
      <c r="P836" s="208"/>
      <c r="Q836" s="208"/>
      <c r="R836" s="208"/>
      <c r="S836" s="212"/>
      <c r="T836" s="208"/>
      <c r="U836" s="208"/>
      <c r="V836" s="208"/>
      <c r="W836" s="208"/>
      <c r="X836" s="208"/>
      <c r="Y836" s="208"/>
      <c r="Z836" s="208"/>
    </row>
    <row r="837">
      <c r="A837" s="208"/>
      <c r="B837" s="207"/>
      <c r="C837" s="209"/>
      <c r="D837" s="210"/>
      <c r="E837" s="210"/>
      <c r="F837" s="210"/>
      <c r="G837" s="210"/>
      <c r="H837" s="208"/>
      <c r="I837" s="208"/>
      <c r="J837" s="209"/>
      <c r="K837" s="211"/>
      <c r="L837" s="208"/>
      <c r="M837" s="208"/>
      <c r="N837" s="208"/>
      <c r="O837" s="208"/>
      <c r="P837" s="208"/>
      <c r="Q837" s="208"/>
      <c r="R837" s="208"/>
      <c r="S837" s="212"/>
      <c r="T837" s="208"/>
      <c r="U837" s="208"/>
      <c r="V837" s="208"/>
      <c r="W837" s="208"/>
      <c r="X837" s="208"/>
      <c r="Y837" s="208"/>
      <c r="Z837" s="208"/>
    </row>
    <row r="838">
      <c r="A838" s="208"/>
      <c r="B838" s="207"/>
      <c r="C838" s="209"/>
      <c r="D838" s="210"/>
      <c r="E838" s="210"/>
      <c r="F838" s="210"/>
      <c r="G838" s="210"/>
      <c r="H838" s="208"/>
      <c r="I838" s="208"/>
      <c r="J838" s="209"/>
      <c r="K838" s="211"/>
      <c r="L838" s="208"/>
      <c r="M838" s="208"/>
      <c r="N838" s="208"/>
      <c r="O838" s="208"/>
      <c r="P838" s="208"/>
      <c r="Q838" s="208"/>
      <c r="R838" s="208"/>
      <c r="S838" s="212"/>
      <c r="T838" s="208"/>
      <c r="U838" s="208"/>
      <c r="V838" s="208"/>
      <c r="W838" s="208"/>
      <c r="X838" s="208"/>
      <c r="Y838" s="208"/>
      <c r="Z838" s="208"/>
    </row>
    <row r="839">
      <c r="A839" s="208"/>
      <c r="B839" s="207"/>
      <c r="C839" s="209"/>
      <c r="D839" s="210"/>
      <c r="E839" s="210"/>
      <c r="F839" s="210"/>
      <c r="G839" s="210"/>
      <c r="H839" s="208"/>
      <c r="I839" s="208"/>
      <c r="J839" s="209"/>
      <c r="K839" s="211"/>
      <c r="L839" s="208"/>
      <c r="M839" s="208"/>
      <c r="N839" s="208"/>
      <c r="O839" s="208"/>
      <c r="P839" s="208"/>
      <c r="Q839" s="208"/>
      <c r="R839" s="208"/>
      <c r="S839" s="212"/>
      <c r="T839" s="208"/>
      <c r="U839" s="208"/>
      <c r="V839" s="208"/>
      <c r="W839" s="208"/>
      <c r="X839" s="208"/>
      <c r="Y839" s="208"/>
      <c r="Z839" s="208"/>
    </row>
    <row r="840">
      <c r="A840" s="208"/>
      <c r="B840" s="207"/>
      <c r="C840" s="209"/>
      <c r="D840" s="210"/>
      <c r="E840" s="210"/>
      <c r="F840" s="210"/>
      <c r="G840" s="210"/>
      <c r="H840" s="208"/>
      <c r="I840" s="208"/>
      <c r="J840" s="209"/>
      <c r="K840" s="211"/>
      <c r="L840" s="208"/>
      <c r="M840" s="208"/>
      <c r="N840" s="208"/>
      <c r="O840" s="208"/>
      <c r="P840" s="208"/>
      <c r="Q840" s="208"/>
      <c r="R840" s="208"/>
      <c r="S840" s="212"/>
      <c r="T840" s="208"/>
      <c r="U840" s="208"/>
      <c r="V840" s="208"/>
      <c r="W840" s="208"/>
      <c r="X840" s="208"/>
      <c r="Y840" s="208"/>
      <c r="Z840" s="208"/>
    </row>
    <row r="841">
      <c r="A841" s="208"/>
      <c r="B841" s="207"/>
      <c r="C841" s="209"/>
      <c r="D841" s="210"/>
      <c r="E841" s="210"/>
      <c r="F841" s="210"/>
      <c r="G841" s="210"/>
      <c r="H841" s="208"/>
      <c r="I841" s="208"/>
      <c r="J841" s="209"/>
      <c r="K841" s="211"/>
      <c r="L841" s="208"/>
      <c r="M841" s="208"/>
      <c r="N841" s="208"/>
      <c r="O841" s="208"/>
      <c r="P841" s="208"/>
      <c r="Q841" s="208"/>
      <c r="R841" s="208"/>
      <c r="S841" s="212"/>
      <c r="T841" s="208"/>
      <c r="U841" s="208"/>
      <c r="V841" s="208"/>
      <c r="W841" s="208"/>
      <c r="X841" s="208"/>
      <c r="Y841" s="208"/>
      <c r="Z841" s="208"/>
    </row>
    <row r="842">
      <c r="A842" s="208"/>
      <c r="B842" s="207"/>
      <c r="C842" s="209"/>
      <c r="D842" s="210"/>
      <c r="E842" s="210"/>
      <c r="F842" s="210"/>
      <c r="G842" s="210"/>
      <c r="H842" s="208"/>
      <c r="I842" s="208"/>
      <c r="J842" s="209"/>
      <c r="K842" s="211"/>
      <c r="L842" s="208"/>
      <c r="M842" s="208"/>
      <c r="N842" s="208"/>
      <c r="O842" s="208"/>
      <c r="P842" s="208"/>
      <c r="Q842" s="208"/>
      <c r="R842" s="208"/>
      <c r="S842" s="212"/>
      <c r="T842" s="208"/>
      <c r="U842" s="208"/>
      <c r="V842" s="208"/>
      <c r="W842" s="208"/>
      <c r="X842" s="208"/>
      <c r="Y842" s="208"/>
      <c r="Z842" s="208"/>
    </row>
    <row r="843">
      <c r="A843" s="208"/>
      <c r="B843" s="207"/>
      <c r="C843" s="209"/>
      <c r="D843" s="210"/>
      <c r="E843" s="210"/>
      <c r="F843" s="210"/>
      <c r="G843" s="210"/>
      <c r="H843" s="208"/>
      <c r="I843" s="208"/>
      <c r="J843" s="209"/>
      <c r="K843" s="211"/>
      <c r="L843" s="208"/>
      <c r="M843" s="208"/>
      <c r="N843" s="208"/>
      <c r="O843" s="208"/>
      <c r="P843" s="208"/>
      <c r="Q843" s="208"/>
      <c r="R843" s="208"/>
      <c r="S843" s="212"/>
      <c r="T843" s="208"/>
      <c r="U843" s="208"/>
      <c r="V843" s="208"/>
      <c r="W843" s="208"/>
      <c r="X843" s="208"/>
      <c r="Y843" s="208"/>
      <c r="Z843" s="208"/>
    </row>
    <row r="844">
      <c r="A844" s="208"/>
      <c r="B844" s="207"/>
      <c r="C844" s="209"/>
      <c r="D844" s="210"/>
      <c r="E844" s="210"/>
      <c r="F844" s="210"/>
      <c r="G844" s="210"/>
      <c r="H844" s="208"/>
      <c r="I844" s="208"/>
      <c r="J844" s="209"/>
      <c r="K844" s="211"/>
      <c r="L844" s="208"/>
      <c r="M844" s="208"/>
      <c r="N844" s="208"/>
      <c r="O844" s="208"/>
      <c r="P844" s="208"/>
      <c r="Q844" s="208"/>
      <c r="R844" s="208"/>
      <c r="S844" s="212"/>
      <c r="T844" s="208"/>
      <c r="U844" s="208"/>
      <c r="V844" s="208"/>
      <c r="W844" s="208"/>
      <c r="X844" s="208"/>
      <c r="Y844" s="208"/>
      <c r="Z844" s="208"/>
    </row>
    <row r="845">
      <c r="A845" s="208"/>
      <c r="B845" s="207"/>
      <c r="C845" s="209"/>
      <c r="D845" s="210"/>
      <c r="E845" s="210"/>
      <c r="F845" s="210"/>
      <c r="G845" s="210"/>
      <c r="H845" s="208"/>
      <c r="I845" s="208"/>
      <c r="J845" s="209"/>
      <c r="K845" s="211"/>
      <c r="L845" s="208"/>
      <c r="M845" s="208"/>
      <c r="N845" s="208"/>
      <c r="O845" s="208"/>
      <c r="P845" s="208"/>
      <c r="Q845" s="208"/>
      <c r="R845" s="208"/>
      <c r="S845" s="212"/>
      <c r="T845" s="208"/>
      <c r="U845" s="208"/>
      <c r="V845" s="208"/>
      <c r="W845" s="208"/>
      <c r="X845" s="208"/>
      <c r="Y845" s="208"/>
      <c r="Z845" s="208"/>
    </row>
    <row r="846">
      <c r="A846" s="208"/>
      <c r="B846" s="207"/>
      <c r="C846" s="209"/>
      <c r="D846" s="210"/>
      <c r="E846" s="210"/>
      <c r="F846" s="210"/>
      <c r="G846" s="210"/>
      <c r="H846" s="208"/>
      <c r="I846" s="208"/>
      <c r="J846" s="209"/>
      <c r="K846" s="211"/>
      <c r="L846" s="208"/>
      <c r="M846" s="208"/>
      <c r="N846" s="208"/>
      <c r="O846" s="208"/>
      <c r="P846" s="208"/>
      <c r="Q846" s="208"/>
      <c r="R846" s="208"/>
      <c r="S846" s="212"/>
      <c r="T846" s="208"/>
      <c r="U846" s="208"/>
      <c r="V846" s="208"/>
      <c r="W846" s="208"/>
      <c r="X846" s="208"/>
      <c r="Y846" s="208"/>
      <c r="Z846" s="208"/>
    </row>
    <row r="847">
      <c r="A847" s="208"/>
      <c r="B847" s="207"/>
      <c r="C847" s="209"/>
      <c r="D847" s="210"/>
      <c r="E847" s="210"/>
      <c r="F847" s="210"/>
      <c r="G847" s="210"/>
      <c r="H847" s="208"/>
      <c r="I847" s="208"/>
      <c r="J847" s="209"/>
      <c r="K847" s="211"/>
      <c r="L847" s="208"/>
      <c r="M847" s="208"/>
      <c r="N847" s="208"/>
      <c r="O847" s="208"/>
      <c r="P847" s="208"/>
      <c r="Q847" s="208"/>
      <c r="R847" s="208"/>
      <c r="S847" s="212"/>
      <c r="T847" s="208"/>
      <c r="U847" s="208"/>
      <c r="V847" s="208"/>
      <c r="W847" s="208"/>
      <c r="X847" s="208"/>
      <c r="Y847" s="208"/>
      <c r="Z847" s="208"/>
    </row>
    <row r="848">
      <c r="A848" s="208"/>
      <c r="B848" s="207"/>
      <c r="C848" s="209"/>
      <c r="D848" s="210"/>
      <c r="E848" s="210"/>
      <c r="F848" s="210"/>
      <c r="G848" s="210"/>
      <c r="H848" s="208"/>
      <c r="I848" s="208"/>
      <c r="J848" s="209"/>
      <c r="K848" s="211"/>
      <c r="L848" s="208"/>
      <c r="M848" s="208"/>
      <c r="N848" s="208"/>
      <c r="O848" s="208"/>
      <c r="P848" s="208"/>
      <c r="Q848" s="208"/>
      <c r="R848" s="208"/>
      <c r="S848" s="212"/>
      <c r="T848" s="208"/>
      <c r="U848" s="208"/>
      <c r="V848" s="208"/>
      <c r="W848" s="208"/>
      <c r="X848" s="208"/>
      <c r="Y848" s="208"/>
      <c r="Z848" s="208"/>
    </row>
    <row r="849">
      <c r="A849" s="208"/>
      <c r="B849" s="207"/>
      <c r="C849" s="209"/>
      <c r="D849" s="210"/>
      <c r="E849" s="210"/>
      <c r="F849" s="210"/>
      <c r="G849" s="210"/>
      <c r="H849" s="208"/>
      <c r="I849" s="208"/>
      <c r="J849" s="209"/>
      <c r="K849" s="211"/>
      <c r="L849" s="208"/>
      <c r="M849" s="208"/>
      <c r="N849" s="208"/>
      <c r="O849" s="208"/>
      <c r="P849" s="208"/>
      <c r="Q849" s="208"/>
      <c r="R849" s="208"/>
      <c r="S849" s="212"/>
      <c r="T849" s="208"/>
      <c r="U849" s="208"/>
      <c r="V849" s="208"/>
      <c r="W849" s="208"/>
      <c r="X849" s="208"/>
      <c r="Y849" s="208"/>
      <c r="Z849" s="208"/>
    </row>
    <row r="850">
      <c r="A850" s="208"/>
      <c r="B850" s="207"/>
      <c r="C850" s="209"/>
      <c r="D850" s="210"/>
      <c r="E850" s="210"/>
      <c r="F850" s="210"/>
      <c r="G850" s="210"/>
      <c r="H850" s="208"/>
      <c r="I850" s="208"/>
      <c r="J850" s="209"/>
      <c r="K850" s="211"/>
      <c r="L850" s="208"/>
      <c r="M850" s="208"/>
      <c r="N850" s="208"/>
      <c r="O850" s="208"/>
      <c r="P850" s="208"/>
      <c r="Q850" s="208"/>
      <c r="R850" s="208"/>
      <c r="S850" s="212"/>
      <c r="T850" s="208"/>
      <c r="U850" s="208"/>
      <c r="V850" s="208"/>
      <c r="W850" s="208"/>
      <c r="X850" s="208"/>
      <c r="Y850" s="208"/>
      <c r="Z850" s="208"/>
    </row>
    <row r="851">
      <c r="A851" s="208"/>
      <c r="B851" s="207"/>
      <c r="C851" s="209"/>
      <c r="D851" s="210"/>
      <c r="E851" s="210"/>
      <c r="F851" s="210"/>
      <c r="G851" s="210"/>
      <c r="H851" s="208"/>
      <c r="I851" s="208"/>
      <c r="J851" s="209"/>
      <c r="K851" s="211"/>
      <c r="L851" s="208"/>
      <c r="M851" s="208"/>
      <c r="N851" s="208"/>
      <c r="O851" s="208"/>
      <c r="P851" s="208"/>
      <c r="Q851" s="208"/>
      <c r="R851" s="208"/>
      <c r="S851" s="212"/>
      <c r="T851" s="208"/>
      <c r="U851" s="208"/>
      <c r="V851" s="208"/>
      <c r="W851" s="208"/>
      <c r="X851" s="208"/>
      <c r="Y851" s="208"/>
      <c r="Z851" s="208"/>
    </row>
    <row r="852">
      <c r="A852" s="208"/>
      <c r="B852" s="207"/>
      <c r="C852" s="209"/>
      <c r="D852" s="210"/>
      <c r="E852" s="210"/>
      <c r="F852" s="210"/>
      <c r="G852" s="210"/>
      <c r="H852" s="208"/>
      <c r="I852" s="208"/>
      <c r="J852" s="209"/>
      <c r="K852" s="211"/>
      <c r="L852" s="208"/>
      <c r="M852" s="208"/>
      <c r="N852" s="208"/>
      <c r="O852" s="208"/>
      <c r="P852" s="208"/>
      <c r="Q852" s="208"/>
      <c r="R852" s="208"/>
      <c r="S852" s="212"/>
      <c r="T852" s="208"/>
      <c r="U852" s="208"/>
      <c r="V852" s="208"/>
      <c r="W852" s="208"/>
      <c r="X852" s="208"/>
      <c r="Y852" s="208"/>
      <c r="Z852" s="208"/>
    </row>
    <row r="853">
      <c r="A853" s="208"/>
      <c r="B853" s="207"/>
      <c r="C853" s="209"/>
      <c r="D853" s="210"/>
      <c r="E853" s="210"/>
      <c r="F853" s="210"/>
      <c r="G853" s="210"/>
      <c r="H853" s="208"/>
      <c r="I853" s="208"/>
      <c r="J853" s="209"/>
      <c r="K853" s="211"/>
      <c r="L853" s="208"/>
      <c r="M853" s="208"/>
      <c r="N853" s="208"/>
      <c r="O853" s="208"/>
      <c r="P853" s="208"/>
      <c r="Q853" s="208"/>
      <c r="R853" s="208"/>
      <c r="S853" s="212"/>
      <c r="T853" s="208"/>
      <c r="U853" s="208"/>
      <c r="V853" s="208"/>
      <c r="W853" s="208"/>
      <c r="X853" s="208"/>
      <c r="Y853" s="208"/>
      <c r="Z853" s="208"/>
    </row>
    <row r="854">
      <c r="A854" s="208"/>
      <c r="B854" s="207"/>
      <c r="C854" s="209"/>
      <c r="D854" s="210"/>
      <c r="E854" s="210"/>
      <c r="F854" s="210"/>
      <c r="G854" s="210"/>
      <c r="H854" s="208"/>
      <c r="I854" s="208"/>
      <c r="J854" s="209"/>
      <c r="K854" s="211"/>
      <c r="L854" s="208"/>
      <c r="M854" s="208"/>
      <c r="N854" s="208"/>
      <c r="O854" s="208"/>
      <c r="P854" s="208"/>
      <c r="Q854" s="208"/>
      <c r="R854" s="208"/>
      <c r="S854" s="212"/>
      <c r="T854" s="208"/>
      <c r="U854" s="208"/>
      <c r="V854" s="208"/>
      <c r="W854" s="208"/>
      <c r="X854" s="208"/>
      <c r="Y854" s="208"/>
      <c r="Z854" s="208"/>
    </row>
    <row r="855">
      <c r="A855" s="208"/>
      <c r="B855" s="207"/>
      <c r="C855" s="209"/>
      <c r="D855" s="210"/>
      <c r="E855" s="210"/>
      <c r="F855" s="210"/>
      <c r="G855" s="210"/>
      <c r="H855" s="208"/>
      <c r="I855" s="208"/>
      <c r="J855" s="209"/>
      <c r="K855" s="211"/>
      <c r="L855" s="208"/>
      <c r="M855" s="208"/>
      <c r="N855" s="208"/>
      <c r="O855" s="208"/>
      <c r="P855" s="208"/>
      <c r="Q855" s="208"/>
      <c r="R855" s="208"/>
      <c r="S855" s="212"/>
      <c r="T855" s="208"/>
      <c r="U855" s="208"/>
      <c r="V855" s="208"/>
      <c r="W855" s="208"/>
      <c r="X855" s="208"/>
      <c r="Y855" s="208"/>
      <c r="Z855" s="208"/>
    </row>
    <row r="856">
      <c r="A856" s="208"/>
      <c r="B856" s="207"/>
      <c r="C856" s="209"/>
      <c r="D856" s="210"/>
      <c r="E856" s="210"/>
      <c r="F856" s="210"/>
      <c r="G856" s="210"/>
      <c r="H856" s="208"/>
      <c r="I856" s="208"/>
      <c r="J856" s="209"/>
      <c r="K856" s="211"/>
      <c r="L856" s="208"/>
      <c r="M856" s="208"/>
      <c r="N856" s="208"/>
      <c r="O856" s="208"/>
      <c r="P856" s="208"/>
      <c r="Q856" s="208"/>
      <c r="R856" s="208"/>
      <c r="S856" s="212"/>
      <c r="T856" s="208"/>
      <c r="U856" s="208"/>
      <c r="V856" s="208"/>
      <c r="W856" s="208"/>
      <c r="X856" s="208"/>
      <c r="Y856" s="208"/>
      <c r="Z856" s="208"/>
    </row>
    <row r="857">
      <c r="A857" s="208"/>
      <c r="B857" s="207"/>
      <c r="C857" s="209"/>
      <c r="D857" s="210"/>
      <c r="E857" s="210"/>
      <c r="F857" s="210"/>
      <c r="G857" s="210"/>
      <c r="H857" s="208"/>
      <c r="I857" s="208"/>
      <c r="J857" s="209"/>
      <c r="K857" s="211"/>
      <c r="L857" s="208"/>
      <c r="M857" s="208"/>
      <c r="N857" s="208"/>
      <c r="O857" s="208"/>
      <c r="P857" s="208"/>
      <c r="Q857" s="208"/>
      <c r="R857" s="208"/>
      <c r="S857" s="212"/>
      <c r="T857" s="208"/>
      <c r="U857" s="208"/>
      <c r="V857" s="208"/>
      <c r="W857" s="208"/>
      <c r="X857" s="208"/>
      <c r="Y857" s="208"/>
      <c r="Z857" s="208"/>
    </row>
    <row r="858">
      <c r="A858" s="208"/>
      <c r="B858" s="207"/>
      <c r="C858" s="209"/>
      <c r="D858" s="210"/>
      <c r="E858" s="210"/>
      <c r="F858" s="210"/>
      <c r="G858" s="210"/>
      <c r="H858" s="208"/>
      <c r="I858" s="208"/>
      <c r="J858" s="209"/>
      <c r="K858" s="211"/>
      <c r="L858" s="208"/>
      <c r="M858" s="208"/>
      <c r="N858" s="208"/>
      <c r="O858" s="208"/>
      <c r="P858" s="208"/>
      <c r="Q858" s="208"/>
      <c r="R858" s="208"/>
      <c r="S858" s="212"/>
      <c r="T858" s="208"/>
      <c r="U858" s="208"/>
      <c r="V858" s="208"/>
      <c r="W858" s="208"/>
      <c r="X858" s="208"/>
      <c r="Y858" s="208"/>
      <c r="Z858" s="208"/>
    </row>
    <row r="859">
      <c r="A859" s="208"/>
      <c r="B859" s="207"/>
      <c r="C859" s="209"/>
      <c r="D859" s="210"/>
      <c r="E859" s="210"/>
      <c r="F859" s="210"/>
      <c r="G859" s="210"/>
      <c r="H859" s="208"/>
      <c r="I859" s="208"/>
      <c r="J859" s="209"/>
      <c r="K859" s="211"/>
      <c r="L859" s="208"/>
      <c r="M859" s="208"/>
      <c r="N859" s="208"/>
      <c r="O859" s="208"/>
      <c r="P859" s="208"/>
      <c r="Q859" s="208"/>
      <c r="R859" s="208"/>
      <c r="S859" s="212"/>
      <c r="T859" s="208"/>
      <c r="U859" s="208"/>
      <c r="V859" s="208"/>
      <c r="W859" s="208"/>
      <c r="X859" s="208"/>
      <c r="Y859" s="208"/>
      <c r="Z859" s="208"/>
    </row>
    <row r="860">
      <c r="A860" s="208"/>
      <c r="B860" s="207"/>
      <c r="C860" s="209"/>
      <c r="D860" s="210"/>
      <c r="E860" s="210"/>
      <c r="F860" s="210"/>
      <c r="G860" s="210"/>
      <c r="H860" s="208"/>
      <c r="I860" s="208"/>
      <c r="J860" s="209"/>
      <c r="K860" s="211"/>
      <c r="L860" s="208"/>
      <c r="M860" s="208"/>
      <c r="N860" s="208"/>
      <c r="O860" s="208"/>
      <c r="P860" s="208"/>
      <c r="Q860" s="208"/>
      <c r="R860" s="208"/>
      <c r="S860" s="212"/>
      <c r="T860" s="208"/>
      <c r="U860" s="208"/>
      <c r="V860" s="208"/>
      <c r="W860" s="208"/>
      <c r="X860" s="208"/>
      <c r="Y860" s="208"/>
      <c r="Z860" s="208"/>
    </row>
    <row r="861">
      <c r="A861" s="208"/>
      <c r="B861" s="207"/>
      <c r="C861" s="209"/>
      <c r="D861" s="210"/>
      <c r="E861" s="210"/>
      <c r="F861" s="210"/>
      <c r="G861" s="210"/>
      <c r="H861" s="208"/>
      <c r="I861" s="208"/>
      <c r="J861" s="209"/>
      <c r="K861" s="211"/>
      <c r="L861" s="208"/>
      <c r="M861" s="208"/>
      <c r="N861" s="208"/>
      <c r="O861" s="208"/>
      <c r="P861" s="208"/>
      <c r="Q861" s="208"/>
      <c r="R861" s="208"/>
      <c r="S861" s="212"/>
      <c r="T861" s="208"/>
      <c r="U861" s="208"/>
      <c r="V861" s="208"/>
      <c r="W861" s="208"/>
      <c r="X861" s="208"/>
      <c r="Y861" s="208"/>
      <c r="Z861" s="208"/>
    </row>
    <row r="862">
      <c r="A862" s="208"/>
      <c r="B862" s="207"/>
      <c r="C862" s="209"/>
      <c r="D862" s="210"/>
      <c r="E862" s="210"/>
      <c r="F862" s="210"/>
      <c r="G862" s="210"/>
      <c r="H862" s="208"/>
      <c r="I862" s="208"/>
      <c r="J862" s="209"/>
      <c r="K862" s="211"/>
      <c r="L862" s="208"/>
      <c r="M862" s="208"/>
      <c r="N862" s="208"/>
      <c r="O862" s="208"/>
      <c r="P862" s="208"/>
      <c r="Q862" s="208"/>
      <c r="R862" s="208"/>
      <c r="S862" s="212"/>
      <c r="T862" s="208"/>
      <c r="U862" s="208"/>
      <c r="V862" s="208"/>
      <c r="W862" s="208"/>
      <c r="X862" s="208"/>
      <c r="Y862" s="208"/>
      <c r="Z862" s="208"/>
    </row>
    <row r="863">
      <c r="A863" s="208"/>
      <c r="B863" s="207"/>
      <c r="C863" s="209"/>
      <c r="D863" s="210"/>
      <c r="E863" s="210"/>
      <c r="F863" s="210"/>
      <c r="G863" s="210"/>
      <c r="H863" s="208"/>
      <c r="I863" s="208"/>
      <c r="J863" s="209"/>
      <c r="K863" s="211"/>
      <c r="L863" s="208"/>
      <c r="M863" s="208"/>
      <c r="N863" s="208"/>
      <c r="O863" s="208"/>
      <c r="P863" s="208"/>
      <c r="Q863" s="208"/>
      <c r="R863" s="208"/>
      <c r="S863" s="212"/>
      <c r="T863" s="208"/>
      <c r="U863" s="208"/>
      <c r="V863" s="208"/>
      <c r="W863" s="208"/>
      <c r="X863" s="208"/>
      <c r="Y863" s="208"/>
      <c r="Z863" s="208"/>
    </row>
    <row r="864">
      <c r="A864" s="208"/>
      <c r="B864" s="207"/>
      <c r="C864" s="209"/>
      <c r="D864" s="210"/>
      <c r="E864" s="210"/>
      <c r="F864" s="210"/>
      <c r="G864" s="210"/>
      <c r="H864" s="208"/>
      <c r="I864" s="208"/>
      <c r="J864" s="209"/>
      <c r="K864" s="211"/>
      <c r="L864" s="208"/>
      <c r="M864" s="208"/>
      <c r="N864" s="208"/>
      <c r="O864" s="208"/>
      <c r="P864" s="208"/>
      <c r="Q864" s="208"/>
      <c r="R864" s="208"/>
      <c r="S864" s="212"/>
      <c r="T864" s="208"/>
      <c r="U864" s="208"/>
      <c r="V864" s="208"/>
      <c r="W864" s="208"/>
      <c r="X864" s="208"/>
      <c r="Y864" s="208"/>
      <c r="Z864" s="208"/>
    </row>
    <row r="865">
      <c r="A865" s="208"/>
      <c r="B865" s="207"/>
      <c r="C865" s="209"/>
      <c r="D865" s="210"/>
      <c r="E865" s="210"/>
      <c r="F865" s="210"/>
      <c r="G865" s="210"/>
      <c r="H865" s="208"/>
      <c r="I865" s="208"/>
      <c r="J865" s="209"/>
      <c r="K865" s="211"/>
      <c r="L865" s="208"/>
      <c r="M865" s="208"/>
      <c r="N865" s="208"/>
      <c r="O865" s="208"/>
      <c r="P865" s="208"/>
      <c r="Q865" s="208"/>
      <c r="R865" s="208"/>
      <c r="S865" s="212"/>
      <c r="T865" s="208"/>
      <c r="U865" s="208"/>
      <c r="V865" s="208"/>
      <c r="W865" s="208"/>
      <c r="X865" s="208"/>
      <c r="Y865" s="208"/>
      <c r="Z865" s="208"/>
    </row>
    <row r="866">
      <c r="A866" s="208"/>
      <c r="B866" s="207"/>
      <c r="C866" s="209"/>
      <c r="D866" s="210"/>
      <c r="E866" s="210"/>
      <c r="F866" s="210"/>
      <c r="G866" s="210"/>
      <c r="H866" s="208"/>
      <c r="I866" s="208"/>
      <c r="J866" s="209"/>
      <c r="K866" s="211"/>
      <c r="L866" s="208"/>
      <c r="M866" s="208"/>
      <c r="N866" s="208"/>
      <c r="O866" s="208"/>
      <c r="P866" s="208"/>
      <c r="Q866" s="208"/>
      <c r="R866" s="208"/>
      <c r="S866" s="212"/>
      <c r="T866" s="208"/>
      <c r="U866" s="208"/>
      <c r="V866" s="208"/>
      <c r="W866" s="208"/>
      <c r="X866" s="208"/>
      <c r="Y866" s="208"/>
      <c r="Z866" s="208"/>
    </row>
    <row r="867">
      <c r="A867" s="208"/>
      <c r="B867" s="207"/>
      <c r="C867" s="209"/>
      <c r="D867" s="210"/>
      <c r="E867" s="210"/>
      <c r="F867" s="210"/>
      <c r="G867" s="210"/>
      <c r="H867" s="208"/>
      <c r="I867" s="208"/>
      <c r="J867" s="209"/>
      <c r="K867" s="211"/>
      <c r="L867" s="208"/>
      <c r="M867" s="208"/>
      <c r="N867" s="208"/>
      <c r="O867" s="208"/>
      <c r="P867" s="208"/>
      <c r="Q867" s="208"/>
      <c r="R867" s="208"/>
      <c r="S867" s="212"/>
      <c r="T867" s="208"/>
      <c r="U867" s="208"/>
      <c r="V867" s="208"/>
      <c r="W867" s="208"/>
      <c r="X867" s="208"/>
      <c r="Y867" s="208"/>
      <c r="Z867" s="208"/>
    </row>
    <row r="868">
      <c r="A868" s="208"/>
      <c r="B868" s="207"/>
      <c r="C868" s="209"/>
      <c r="D868" s="210"/>
      <c r="E868" s="210"/>
      <c r="F868" s="210"/>
      <c r="G868" s="210"/>
      <c r="H868" s="208"/>
      <c r="I868" s="208"/>
      <c r="J868" s="209"/>
      <c r="K868" s="211"/>
      <c r="L868" s="208"/>
      <c r="M868" s="208"/>
      <c r="N868" s="208"/>
      <c r="O868" s="208"/>
      <c r="P868" s="208"/>
      <c r="Q868" s="208"/>
      <c r="R868" s="208"/>
      <c r="S868" s="212"/>
      <c r="T868" s="208"/>
      <c r="U868" s="208"/>
      <c r="V868" s="208"/>
      <c r="W868" s="208"/>
      <c r="X868" s="208"/>
      <c r="Y868" s="208"/>
      <c r="Z868" s="208"/>
    </row>
    <row r="869">
      <c r="A869" s="208"/>
      <c r="B869" s="207"/>
      <c r="C869" s="209"/>
      <c r="D869" s="210"/>
      <c r="E869" s="210"/>
      <c r="F869" s="210"/>
      <c r="G869" s="210"/>
      <c r="H869" s="208"/>
      <c r="I869" s="208"/>
      <c r="J869" s="209"/>
      <c r="K869" s="211"/>
      <c r="L869" s="208"/>
      <c r="M869" s="208"/>
      <c r="N869" s="208"/>
      <c r="O869" s="208"/>
      <c r="P869" s="208"/>
      <c r="Q869" s="208"/>
      <c r="R869" s="208"/>
      <c r="S869" s="212"/>
      <c r="T869" s="208"/>
      <c r="U869" s="208"/>
      <c r="V869" s="208"/>
      <c r="W869" s="208"/>
      <c r="X869" s="208"/>
      <c r="Y869" s="208"/>
      <c r="Z869" s="208"/>
    </row>
    <row r="870">
      <c r="A870" s="208"/>
      <c r="B870" s="207"/>
      <c r="C870" s="209"/>
      <c r="D870" s="210"/>
      <c r="E870" s="210"/>
      <c r="F870" s="210"/>
      <c r="G870" s="210"/>
      <c r="H870" s="208"/>
      <c r="I870" s="208"/>
      <c r="J870" s="209"/>
      <c r="K870" s="211"/>
      <c r="L870" s="208"/>
      <c r="M870" s="208"/>
      <c r="N870" s="208"/>
      <c r="O870" s="208"/>
      <c r="P870" s="208"/>
      <c r="Q870" s="208"/>
      <c r="R870" s="208"/>
      <c r="S870" s="212"/>
      <c r="T870" s="208"/>
      <c r="U870" s="208"/>
      <c r="V870" s="208"/>
      <c r="W870" s="208"/>
      <c r="X870" s="208"/>
      <c r="Y870" s="208"/>
      <c r="Z870" s="208"/>
    </row>
    <row r="871">
      <c r="A871" s="208"/>
      <c r="B871" s="207"/>
      <c r="C871" s="209"/>
      <c r="D871" s="210"/>
      <c r="E871" s="210"/>
      <c r="F871" s="210"/>
      <c r="G871" s="210"/>
      <c r="H871" s="208"/>
      <c r="I871" s="208"/>
      <c r="J871" s="209"/>
      <c r="K871" s="211"/>
      <c r="L871" s="208"/>
      <c r="M871" s="208"/>
      <c r="N871" s="208"/>
      <c r="O871" s="208"/>
      <c r="P871" s="208"/>
      <c r="Q871" s="208"/>
      <c r="R871" s="208"/>
      <c r="S871" s="212"/>
      <c r="T871" s="208"/>
      <c r="U871" s="208"/>
      <c r="V871" s="208"/>
      <c r="W871" s="208"/>
      <c r="X871" s="208"/>
      <c r="Y871" s="208"/>
      <c r="Z871" s="208"/>
    </row>
    <row r="872">
      <c r="A872" s="208"/>
      <c r="B872" s="207"/>
      <c r="C872" s="209"/>
      <c r="D872" s="210"/>
      <c r="E872" s="210"/>
      <c r="F872" s="210"/>
      <c r="G872" s="210"/>
      <c r="H872" s="208"/>
      <c r="I872" s="208"/>
      <c r="J872" s="209"/>
      <c r="K872" s="211"/>
      <c r="L872" s="208"/>
      <c r="M872" s="208"/>
      <c r="N872" s="208"/>
      <c r="O872" s="208"/>
      <c r="P872" s="208"/>
      <c r="Q872" s="208"/>
      <c r="R872" s="208"/>
      <c r="S872" s="212"/>
      <c r="T872" s="208"/>
      <c r="U872" s="208"/>
      <c r="V872" s="208"/>
      <c r="W872" s="208"/>
      <c r="X872" s="208"/>
      <c r="Y872" s="208"/>
      <c r="Z872" s="208"/>
    </row>
    <row r="873">
      <c r="A873" s="208"/>
      <c r="B873" s="207"/>
      <c r="C873" s="209"/>
      <c r="D873" s="210"/>
      <c r="E873" s="210"/>
      <c r="F873" s="210"/>
      <c r="G873" s="210"/>
      <c r="H873" s="208"/>
      <c r="I873" s="208"/>
      <c r="J873" s="209"/>
      <c r="K873" s="211"/>
      <c r="L873" s="208"/>
      <c r="M873" s="208"/>
      <c r="N873" s="208"/>
      <c r="O873" s="208"/>
      <c r="P873" s="208"/>
      <c r="Q873" s="208"/>
      <c r="R873" s="208"/>
      <c r="S873" s="212"/>
      <c r="T873" s="208"/>
      <c r="U873" s="208"/>
      <c r="V873" s="208"/>
      <c r="W873" s="208"/>
      <c r="X873" s="208"/>
      <c r="Y873" s="208"/>
      <c r="Z873" s="208"/>
    </row>
    <row r="874">
      <c r="A874" s="208"/>
      <c r="B874" s="207"/>
      <c r="C874" s="209"/>
      <c r="D874" s="210"/>
      <c r="E874" s="210"/>
      <c r="F874" s="210"/>
      <c r="G874" s="210"/>
      <c r="H874" s="208"/>
      <c r="I874" s="208"/>
      <c r="J874" s="209"/>
      <c r="K874" s="211"/>
      <c r="L874" s="208"/>
      <c r="M874" s="208"/>
      <c r="N874" s="208"/>
      <c r="O874" s="208"/>
      <c r="P874" s="208"/>
      <c r="Q874" s="208"/>
      <c r="R874" s="208"/>
      <c r="S874" s="212"/>
      <c r="T874" s="208"/>
      <c r="U874" s="208"/>
      <c r="V874" s="208"/>
      <c r="W874" s="208"/>
      <c r="X874" s="208"/>
      <c r="Y874" s="208"/>
      <c r="Z874" s="208"/>
    </row>
    <row r="875">
      <c r="A875" s="208"/>
      <c r="B875" s="207"/>
      <c r="C875" s="209"/>
      <c r="D875" s="210"/>
      <c r="E875" s="210"/>
      <c r="F875" s="210"/>
      <c r="G875" s="210"/>
      <c r="H875" s="208"/>
      <c r="I875" s="208"/>
      <c r="J875" s="209"/>
      <c r="K875" s="211"/>
      <c r="L875" s="208"/>
      <c r="M875" s="208"/>
      <c r="N875" s="208"/>
      <c r="O875" s="208"/>
      <c r="P875" s="208"/>
      <c r="Q875" s="208"/>
      <c r="R875" s="208"/>
      <c r="S875" s="212"/>
      <c r="T875" s="208"/>
      <c r="U875" s="208"/>
      <c r="V875" s="208"/>
      <c r="W875" s="208"/>
      <c r="X875" s="208"/>
      <c r="Y875" s="208"/>
      <c r="Z875" s="208"/>
    </row>
    <row r="876">
      <c r="A876" s="208"/>
      <c r="B876" s="207"/>
      <c r="C876" s="209"/>
      <c r="D876" s="210"/>
      <c r="E876" s="210"/>
      <c r="F876" s="210"/>
      <c r="G876" s="210"/>
      <c r="H876" s="208"/>
      <c r="I876" s="208"/>
      <c r="J876" s="209"/>
      <c r="K876" s="211"/>
      <c r="L876" s="208"/>
      <c r="M876" s="208"/>
      <c r="N876" s="208"/>
      <c r="O876" s="208"/>
      <c r="P876" s="208"/>
      <c r="Q876" s="208"/>
      <c r="R876" s="208"/>
      <c r="S876" s="212"/>
      <c r="T876" s="208"/>
      <c r="U876" s="208"/>
      <c r="V876" s="208"/>
      <c r="W876" s="208"/>
      <c r="X876" s="208"/>
      <c r="Y876" s="208"/>
      <c r="Z876" s="208"/>
    </row>
    <row r="877">
      <c r="A877" s="208"/>
      <c r="B877" s="207"/>
      <c r="C877" s="209"/>
      <c r="D877" s="210"/>
      <c r="E877" s="210"/>
      <c r="F877" s="210"/>
      <c r="G877" s="210"/>
      <c r="H877" s="208"/>
      <c r="I877" s="208"/>
      <c r="J877" s="209"/>
      <c r="K877" s="211"/>
      <c r="L877" s="208"/>
      <c r="M877" s="208"/>
      <c r="N877" s="208"/>
      <c r="O877" s="208"/>
      <c r="P877" s="208"/>
      <c r="Q877" s="208"/>
      <c r="R877" s="208"/>
      <c r="S877" s="212"/>
      <c r="T877" s="208"/>
      <c r="U877" s="208"/>
      <c r="V877" s="208"/>
      <c r="W877" s="208"/>
      <c r="X877" s="208"/>
      <c r="Y877" s="208"/>
      <c r="Z877" s="208"/>
    </row>
    <row r="878">
      <c r="A878" s="208"/>
      <c r="B878" s="207"/>
      <c r="C878" s="209"/>
      <c r="D878" s="210"/>
      <c r="E878" s="210"/>
      <c r="F878" s="210"/>
      <c r="G878" s="210"/>
      <c r="H878" s="208"/>
      <c r="I878" s="208"/>
      <c r="J878" s="209"/>
      <c r="K878" s="211"/>
      <c r="L878" s="208"/>
      <c r="M878" s="208"/>
      <c r="N878" s="208"/>
      <c r="O878" s="208"/>
      <c r="P878" s="208"/>
      <c r="Q878" s="208"/>
      <c r="R878" s="208"/>
      <c r="S878" s="212"/>
      <c r="T878" s="208"/>
      <c r="U878" s="208"/>
      <c r="V878" s="208"/>
      <c r="W878" s="208"/>
      <c r="X878" s="208"/>
      <c r="Y878" s="208"/>
      <c r="Z878" s="208"/>
    </row>
    <row r="879">
      <c r="A879" s="208"/>
      <c r="B879" s="207"/>
      <c r="C879" s="209"/>
      <c r="D879" s="210"/>
      <c r="E879" s="210"/>
      <c r="F879" s="210"/>
      <c r="G879" s="210"/>
      <c r="H879" s="208"/>
      <c r="I879" s="208"/>
      <c r="J879" s="209"/>
      <c r="K879" s="211"/>
      <c r="L879" s="208"/>
      <c r="M879" s="208"/>
      <c r="N879" s="208"/>
      <c r="O879" s="208"/>
      <c r="P879" s="208"/>
      <c r="Q879" s="208"/>
      <c r="R879" s="208"/>
      <c r="S879" s="212"/>
      <c r="T879" s="208"/>
      <c r="U879" s="208"/>
      <c r="V879" s="208"/>
      <c r="W879" s="208"/>
      <c r="X879" s="208"/>
      <c r="Y879" s="208"/>
      <c r="Z879" s="208"/>
    </row>
    <row r="880">
      <c r="A880" s="208"/>
      <c r="B880" s="207"/>
      <c r="C880" s="209"/>
      <c r="D880" s="210"/>
      <c r="E880" s="210"/>
      <c r="F880" s="210"/>
      <c r="G880" s="210"/>
      <c r="H880" s="208"/>
      <c r="I880" s="208"/>
      <c r="J880" s="209"/>
      <c r="K880" s="211"/>
      <c r="L880" s="208"/>
      <c r="M880" s="208"/>
      <c r="N880" s="208"/>
      <c r="O880" s="208"/>
      <c r="P880" s="208"/>
      <c r="Q880" s="208"/>
      <c r="R880" s="208"/>
      <c r="S880" s="212"/>
      <c r="T880" s="208"/>
      <c r="U880" s="208"/>
      <c r="V880" s="208"/>
      <c r="W880" s="208"/>
      <c r="X880" s="208"/>
      <c r="Y880" s="208"/>
      <c r="Z880" s="208"/>
    </row>
    <row r="881">
      <c r="A881" s="208"/>
      <c r="B881" s="207"/>
      <c r="C881" s="209"/>
      <c r="D881" s="210"/>
      <c r="E881" s="210"/>
      <c r="F881" s="210"/>
      <c r="G881" s="210"/>
      <c r="H881" s="208"/>
      <c r="I881" s="208"/>
      <c r="J881" s="209"/>
      <c r="K881" s="211"/>
      <c r="L881" s="208"/>
      <c r="M881" s="208"/>
      <c r="N881" s="208"/>
      <c r="O881" s="208"/>
      <c r="P881" s="208"/>
      <c r="Q881" s="208"/>
      <c r="R881" s="208"/>
      <c r="S881" s="212"/>
      <c r="T881" s="208"/>
      <c r="U881" s="208"/>
      <c r="V881" s="208"/>
      <c r="W881" s="208"/>
      <c r="X881" s="208"/>
      <c r="Y881" s="208"/>
      <c r="Z881" s="208"/>
    </row>
    <row r="882">
      <c r="A882" s="208"/>
      <c r="B882" s="207"/>
      <c r="C882" s="209"/>
      <c r="D882" s="210"/>
      <c r="E882" s="210"/>
      <c r="F882" s="210"/>
      <c r="G882" s="210"/>
      <c r="H882" s="208"/>
      <c r="I882" s="208"/>
      <c r="J882" s="209"/>
      <c r="K882" s="211"/>
      <c r="L882" s="208"/>
      <c r="M882" s="208"/>
      <c r="N882" s="208"/>
      <c r="O882" s="208"/>
      <c r="P882" s="208"/>
      <c r="Q882" s="208"/>
      <c r="R882" s="208"/>
      <c r="S882" s="212"/>
      <c r="T882" s="208"/>
      <c r="U882" s="208"/>
      <c r="V882" s="208"/>
      <c r="W882" s="208"/>
      <c r="X882" s="208"/>
      <c r="Y882" s="208"/>
      <c r="Z882" s="208"/>
    </row>
    <row r="883">
      <c r="A883" s="208"/>
      <c r="B883" s="207"/>
      <c r="C883" s="209"/>
      <c r="D883" s="210"/>
      <c r="E883" s="210"/>
      <c r="F883" s="210"/>
      <c r="G883" s="210"/>
      <c r="H883" s="208"/>
      <c r="I883" s="208"/>
      <c r="J883" s="209"/>
      <c r="K883" s="211"/>
      <c r="L883" s="208"/>
      <c r="M883" s="208"/>
      <c r="N883" s="208"/>
      <c r="O883" s="208"/>
      <c r="P883" s="208"/>
      <c r="Q883" s="208"/>
      <c r="R883" s="208"/>
      <c r="S883" s="212"/>
      <c r="T883" s="208"/>
      <c r="U883" s="208"/>
      <c r="V883" s="208"/>
      <c r="W883" s="208"/>
      <c r="X883" s="208"/>
      <c r="Y883" s="208"/>
      <c r="Z883" s="208"/>
    </row>
    <row r="884">
      <c r="A884" s="208"/>
      <c r="B884" s="207"/>
      <c r="C884" s="209"/>
      <c r="D884" s="210"/>
      <c r="E884" s="210"/>
      <c r="F884" s="210"/>
      <c r="G884" s="210"/>
      <c r="H884" s="208"/>
      <c r="I884" s="208"/>
      <c r="J884" s="209"/>
      <c r="K884" s="211"/>
      <c r="L884" s="208"/>
      <c r="M884" s="208"/>
      <c r="N884" s="208"/>
      <c r="O884" s="208"/>
      <c r="P884" s="208"/>
      <c r="Q884" s="208"/>
      <c r="R884" s="208"/>
      <c r="S884" s="212"/>
      <c r="T884" s="208"/>
      <c r="U884" s="208"/>
      <c r="V884" s="208"/>
      <c r="W884" s="208"/>
      <c r="X884" s="208"/>
      <c r="Y884" s="208"/>
      <c r="Z884" s="208"/>
    </row>
    <row r="885">
      <c r="A885" s="208"/>
      <c r="B885" s="207"/>
      <c r="C885" s="209"/>
      <c r="D885" s="210"/>
      <c r="E885" s="210"/>
      <c r="F885" s="210"/>
      <c r="G885" s="210"/>
      <c r="H885" s="208"/>
      <c r="I885" s="208"/>
      <c r="J885" s="209"/>
      <c r="K885" s="211"/>
      <c r="L885" s="208"/>
      <c r="M885" s="208"/>
      <c r="N885" s="208"/>
      <c r="O885" s="208"/>
      <c r="P885" s="208"/>
      <c r="Q885" s="208"/>
      <c r="R885" s="208"/>
      <c r="S885" s="212"/>
      <c r="T885" s="208"/>
      <c r="U885" s="208"/>
      <c r="V885" s="208"/>
      <c r="W885" s="208"/>
      <c r="X885" s="208"/>
      <c r="Y885" s="208"/>
      <c r="Z885" s="208"/>
    </row>
    <row r="886">
      <c r="A886" s="208"/>
      <c r="B886" s="207"/>
      <c r="C886" s="209"/>
      <c r="D886" s="210"/>
      <c r="E886" s="210"/>
      <c r="F886" s="210"/>
      <c r="G886" s="210"/>
      <c r="H886" s="208"/>
      <c r="I886" s="208"/>
      <c r="J886" s="209"/>
      <c r="K886" s="211"/>
      <c r="L886" s="208"/>
      <c r="M886" s="208"/>
      <c r="N886" s="208"/>
      <c r="O886" s="208"/>
      <c r="P886" s="208"/>
      <c r="Q886" s="208"/>
      <c r="R886" s="208"/>
      <c r="S886" s="212"/>
      <c r="T886" s="208"/>
      <c r="U886" s="208"/>
      <c r="V886" s="208"/>
      <c r="W886" s="208"/>
      <c r="X886" s="208"/>
      <c r="Y886" s="208"/>
      <c r="Z886" s="208"/>
    </row>
    <row r="887">
      <c r="A887" s="208"/>
      <c r="B887" s="207"/>
      <c r="C887" s="209"/>
      <c r="D887" s="210"/>
      <c r="E887" s="210"/>
      <c r="F887" s="210"/>
      <c r="G887" s="210"/>
      <c r="H887" s="208"/>
      <c r="I887" s="208"/>
      <c r="J887" s="209"/>
      <c r="K887" s="211"/>
      <c r="L887" s="208"/>
      <c r="M887" s="208"/>
      <c r="N887" s="208"/>
      <c r="O887" s="208"/>
      <c r="P887" s="208"/>
      <c r="Q887" s="208"/>
      <c r="R887" s="208"/>
      <c r="S887" s="212"/>
      <c r="T887" s="208"/>
      <c r="U887" s="208"/>
      <c r="V887" s="208"/>
      <c r="W887" s="208"/>
      <c r="X887" s="208"/>
      <c r="Y887" s="208"/>
      <c r="Z887" s="208"/>
    </row>
    <row r="888">
      <c r="A888" s="208"/>
      <c r="B888" s="207"/>
      <c r="C888" s="209"/>
      <c r="D888" s="210"/>
      <c r="E888" s="210"/>
      <c r="F888" s="210"/>
      <c r="G888" s="210"/>
      <c r="H888" s="208"/>
      <c r="I888" s="208"/>
      <c r="J888" s="209"/>
      <c r="K888" s="211"/>
      <c r="L888" s="208"/>
      <c r="M888" s="208"/>
      <c r="N888" s="208"/>
      <c r="O888" s="208"/>
      <c r="P888" s="208"/>
      <c r="Q888" s="208"/>
      <c r="R888" s="208"/>
      <c r="S888" s="212"/>
      <c r="T888" s="208"/>
      <c r="U888" s="208"/>
      <c r="V888" s="208"/>
      <c r="W888" s="208"/>
      <c r="X888" s="208"/>
      <c r="Y888" s="208"/>
      <c r="Z888" s="208"/>
    </row>
    <row r="889">
      <c r="A889" s="208"/>
      <c r="B889" s="207"/>
      <c r="C889" s="209"/>
      <c r="D889" s="210"/>
      <c r="E889" s="210"/>
      <c r="F889" s="210"/>
      <c r="G889" s="210"/>
      <c r="H889" s="208"/>
      <c r="I889" s="208"/>
      <c r="J889" s="209"/>
      <c r="K889" s="211"/>
      <c r="L889" s="208"/>
      <c r="M889" s="208"/>
      <c r="N889" s="208"/>
      <c r="O889" s="208"/>
      <c r="P889" s="208"/>
      <c r="Q889" s="208"/>
      <c r="R889" s="208"/>
      <c r="S889" s="212"/>
      <c r="T889" s="208"/>
      <c r="U889" s="208"/>
      <c r="V889" s="208"/>
      <c r="W889" s="208"/>
      <c r="X889" s="208"/>
      <c r="Y889" s="208"/>
      <c r="Z889" s="208"/>
    </row>
    <row r="890">
      <c r="A890" s="208"/>
      <c r="B890" s="207"/>
      <c r="C890" s="209"/>
      <c r="D890" s="210"/>
      <c r="E890" s="210"/>
      <c r="F890" s="210"/>
      <c r="G890" s="210"/>
      <c r="H890" s="208"/>
      <c r="I890" s="208"/>
      <c r="J890" s="209"/>
      <c r="K890" s="211"/>
      <c r="L890" s="208"/>
      <c r="M890" s="208"/>
      <c r="N890" s="208"/>
      <c r="O890" s="208"/>
      <c r="P890" s="208"/>
      <c r="Q890" s="208"/>
      <c r="R890" s="208"/>
      <c r="S890" s="212"/>
      <c r="T890" s="208"/>
      <c r="U890" s="208"/>
      <c r="V890" s="208"/>
      <c r="W890" s="208"/>
      <c r="X890" s="208"/>
      <c r="Y890" s="208"/>
      <c r="Z890" s="208"/>
    </row>
    <row r="891">
      <c r="A891" s="208"/>
      <c r="B891" s="207"/>
      <c r="C891" s="209"/>
      <c r="D891" s="210"/>
      <c r="E891" s="210"/>
      <c r="F891" s="210"/>
      <c r="G891" s="210"/>
      <c r="H891" s="208"/>
      <c r="I891" s="208"/>
      <c r="J891" s="209"/>
      <c r="K891" s="211"/>
      <c r="L891" s="208"/>
      <c r="M891" s="208"/>
      <c r="N891" s="208"/>
      <c r="O891" s="208"/>
      <c r="P891" s="208"/>
      <c r="Q891" s="208"/>
      <c r="R891" s="208"/>
      <c r="S891" s="212"/>
      <c r="T891" s="208"/>
      <c r="U891" s="208"/>
      <c r="V891" s="208"/>
      <c r="W891" s="208"/>
      <c r="X891" s="208"/>
      <c r="Y891" s="208"/>
      <c r="Z891" s="208"/>
    </row>
    <row r="892">
      <c r="A892" s="208"/>
      <c r="B892" s="207"/>
      <c r="C892" s="209"/>
      <c r="D892" s="210"/>
      <c r="E892" s="210"/>
      <c r="F892" s="210"/>
      <c r="G892" s="210"/>
      <c r="H892" s="208"/>
      <c r="I892" s="208"/>
      <c r="J892" s="209"/>
      <c r="K892" s="211"/>
      <c r="L892" s="208"/>
      <c r="M892" s="208"/>
      <c r="N892" s="208"/>
      <c r="O892" s="208"/>
      <c r="P892" s="208"/>
      <c r="Q892" s="208"/>
      <c r="R892" s="208"/>
      <c r="S892" s="212"/>
      <c r="T892" s="208"/>
      <c r="U892" s="208"/>
      <c r="V892" s="208"/>
      <c r="W892" s="208"/>
      <c r="X892" s="208"/>
      <c r="Y892" s="208"/>
      <c r="Z892" s="208"/>
    </row>
    <row r="893">
      <c r="A893" s="208"/>
      <c r="B893" s="207"/>
      <c r="C893" s="209"/>
      <c r="D893" s="210"/>
      <c r="E893" s="210"/>
      <c r="F893" s="210"/>
      <c r="G893" s="210"/>
      <c r="H893" s="208"/>
      <c r="I893" s="208"/>
      <c r="J893" s="209"/>
      <c r="K893" s="211"/>
      <c r="L893" s="208"/>
      <c r="M893" s="208"/>
      <c r="N893" s="208"/>
      <c r="O893" s="208"/>
      <c r="P893" s="208"/>
      <c r="Q893" s="208"/>
      <c r="R893" s="208"/>
      <c r="S893" s="212"/>
      <c r="T893" s="208"/>
      <c r="U893" s="208"/>
      <c r="V893" s="208"/>
      <c r="W893" s="208"/>
      <c r="X893" s="208"/>
      <c r="Y893" s="208"/>
      <c r="Z893" s="208"/>
    </row>
    <row r="894">
      <c r="A894" s="208"/>
      <c r="B894" s="207"/>
      <c r="C894" s="209"/>
      <c r="D894" s="210"/>
      <c r="E894" s="210"/>
      <c r="F894" s="210"/>
      <c r="G894" s="210"/>
      <c r="H894" s="208"/>
      <c r="I894" s="208"/>
      <c r="J894" s="209"/>
      <c r="K894" s="211"/>
      <c r="L894" s="208"/>
      <c r="M894" s="208"/>
      <c r="N894" s="208"/>
      <c r="O894" s="208"/>
      <c r="P894" s="208"/>
      <c r="Q894" s="208"/>
      <c r="R894" s="208"/>
      <c r="S894" s="212"/>
      <c r="T894" s="208"/>
      <c r="U894" s="208"/>
      <c r="V894" s="208"/>
      <c r="W894" s="208"/>
      <c r="X894" s="208"/>
      <c r="Y894" s="208"/>
      <c r="Z894" s="208"/>
    </row>
    <row r="895">
      <c r="A895" s="208"/>
      <c r="B895" s="207"/>
      <c r="C895" s="209"/>
      <c r="D895" s="210"/>
      <c r="E895" s="210"/>
      <c r="F895" s="210"/>
      <c r="G895" s="210"/>
      <c r="H895" s="208"/>
      <c r="I895" s="208"/>
      <c r="J895" s="209"/>
      <c r="K895" s="211"/>
      <c r="L895" s="208"/>
      <c r="M895" s="208"/>
      <c r="N895" s="208"/>
      <c r="O895" s="208"/>
      <c r="P895" s="208"/>
      <c r="Q895" s="208"/>
      <c r="R895" s="208"/>
      <c r="S895" s="212"/>
      <c r="T895" s="208"/>
      <c r="U895" s="208"/>
      <c r="V895" s="208"/>
      <c r="W895" s="208"/>
      <c r="X895" s="208"/>
      <c r="Y895" s="208"/>
      <c r="Z895" s="208"/>
    </row>
    <row r="896">
      <c r="A896" s="208"/>
      <c r="B896" s="207"/>
      <c r="C896" s="209"/>
      <c r="D896" s="210"/>
      <c r="E896" s="210"/>
      <c r="F896" s="210"/>
      <c r="G896" s="210"/>
      <c r="H896" s="208"/>
      <c r="I896" s="208"/>
      <c r="J896" s="209"/>
      <c r="K896" s="211"/>
      <c r="L896" s="208"/>
      <c r="M896" s="208"/>
      <c r="N896" s="208"/>
      <c r="O896" s="208"/>
      <c r="P896" s="208"/>
      <c r="Q896" s="208"/>
      <c r="R896" s="208"/>
      <c r="S896" s="212"/>
      <c r="T896" s="208"/>
      <c r="U896" s="208"/>
      <c r="V896" s="208"/>
      <c r="W896" s="208"/>
      <c r="X896" s="208"/>
      <c r="Y896" s="208"/>
      <c r="Z896" s="208"/>
    </row>
    <row r="897">
      <c r="A897" s="208"/>
      <c r="B897" s="207"/>
      <c r="C897" s="209"/>
      <c r="D897" s="210"/>
      <c r="E897" s="210"/>
      <c r="F897" s="210"/>
      <c r="G897" s="210"/>
      <c r="H897" s="208"/>
      <c r="I897" s="208"/>
      <c r="J897" s="209"/>
      <c r="K897" s="211"/>
      <c r="L897" s="208"/>
      <c r="M897" s="208"/>
      <c r="N897" s="208"/>
      <c r="O897" s="208"/>
      <c r="P897" s="208"/>
      <c r="Q897" s="208"/>
      <c r="R897" s="208"/>
      <c r="S897" s="212"/>
      <c r="T897" s="208"/>
      <c r="U897" s="208"/>
      <c r="V897" s="208"/>
      <c r="W897" s="208"/>
      <c r="X897" s="208"/>
      <c r="Y897" s="208"/>
      <c r="Z897" s="208"/>
    </row>
    <row r="898">
      <c r="A898" s="208"/>
      <c r="B898" s="207"/>
      <c r="C898" s="209"/>
      <c r="D898" s="210"/>
      <c r="E898" s="210"/>
      <c r="F898" s="210"/>
      <c r="G898" s="210"/>
      <c r="H898" s="208"/>
      <c r="I898" s="208"/>
      <c r="J898" s="209"/>
      <c r="K898" s="211"/>
      <c r="L898" s="208"/>
      <c r="M898" s="208"/>
      <c r="N898" s="208"/>
      <c r="O898" s="208"/>
      <c r="P898" s="208"/>
      <c r="Q898" s="208"/>
      <c r="R898" s="208"/>
      <c r="S898" s="212"/>
      <c r="T898" s="208"/>
      <c r="U898" s="208"/>
      <c r="V898" s="208"/>
      <c r="W898" s="208"/>
      <c r="X898" s="208"/>
      <c r="Y898" s="208"/>
      <c r="Z898" s="208"/>
    </row>
    <row r="899">
      <c r="A899" s="208"/>
      <c r="B899" s="207"/>
      <c r="C899" s="209"/>
      <c r="D899" s="210"/>
      <c r="E899" s="210"/>
      <c r="F899" s="210"/>
      <c r="G899" s="210"/>
      <c r="H899" s="208"/>
      <c r="I899" s="208"/>
      <c r="J899" s="209"/>
      <c r="K899" s="211"/>
      <c r="L899" s="208"/>
      <c r="M899" s="208"/>
      <c r="N899" s="208"/>
      <c r="O899" s="208"/>
      <c r="P899" s="208"/>
      <c r="Q899" s="208"/>
      <c r="R899" s="208"/>
      <c r="S899" s="212"/>
      <c r="T899" s="208"/>
      <c r="U899" s="208"/>
      <c r="V899" s="208"/>
      <c r="W899" s="208"/>
      <c r="X899" s="208"/>
      <c r="Y899" s="208"/>
      <c r="Z899" s="208"/>
    </row>
    <row r="900">
      <c r="A900" s="208"/>
      <c r="B900" s="207"/>
      <c r="C900" s="209"/>
      <c r="D900" s="210"/>
      <c r="E900" s="210"/>
      <c r="F900" s="210"/>
      <c r="G900" s="210"/>
      <c r="H900" s="208"/>
      <c r="I900" s="208"/>
      <c r="J900" s="209"/>
      <c r="K900" s="211"/>
      <c r="L900" s="208"/>
      <c r="M900" s="208"/>
      <c r="N900" s="208"/>
      <c r="O900" s="208"/>
      <c r="P900" s="208"/>
      <c r="Q900" s="208"/>
      <c r="R900" s="208"/>
      <c r="S900" s="212"/>
      <c r="T900" s="208"/>
      <c r="U900" s="208"/>
      <c r="V900" s="208"/>
      <c r="W900" s="208"/>
      <c r="X900" s="208"/>
      <c r="Y900" s="208"/>
      <c r="Z900" s="208"/>
    </row>
    <row r="901">
      <c r="A901" s="208"/>
      <c r="B901" s="207"/>
      <c r="C901" s="209"/>
      <c r="D901" s="210"/>
      <c r="E901" s="210"/>
      <c r="F901" s="210"/>
      <c r="G901" s="210"/>
      <c r="H901" s="208"/>
      <c r="I901" s="208"/>
      <c r="J901" s="209"/>
      <c r="K901" s="211"/>
      <c r="L901" s="208"/>
      <c r="M901" s="208"/>
      <c r="N901" s="208"/>
      <c r="O901" s="208"/>
      <c r="P901" s="208"/>
      <c r="Q901" s="208"/>
      <c r="R901" s="208"/>
      <c r="S901" s="212"/>
      <c r="T901" s="208"/>
      <c r="U901" s="208"/>
      <c r="V901" s="208"/>
      <c r="W901" s="208"/>
      <c r="X901" s="208"/>
      <c r="Y901" s="208"/>
      <c r="Z901" s="208"/>
    </row>
    <row r="902">
      <c r="A902" s="208"/>
      <c r="B902" s="207"/>
      <c r="C902" s="209"/>
      <c r="D902" s="210"/>
      <c r="E902" s="210"/>
      <c r="F902" s="210"/>
      <c r="G902" s="210"/>
      <c r="H902" s="208"/>
      <c r="I902" s="208"/>
      <c r="J902" s="209"/>
      <c r="K902" s="211"/>
      <c r="L902" s="208"/>
      <c r="M902" s="208"/>
      <c r="N902" s="208"/>
      <c r="O902" s="208"/>
      <c r="P902" s="208"/>
      <c r="Q902" s="208"/>
      <c r="R902" s="208"/>
      <c r="S902" s="212"/>
      <c r="T902" s="208"/>
      <c r="U902" s="208"/>
      <c r="V902" s="208"/>
      <c r="W902" s="208"/>
      <c r="X902" s="208"/>
      <c r="Y902" s="208"/>
      <c r="Z902" s="208"/>
    </row>
    <row r="903">
      <c r="A903" s="208"/>
      <c r="B903" s="207"/>
      <c r="C903" s="209"/>
      <c r="D903" s="210"/>
      <c r="E903" s="210"/>
      <c r="F903" s="210"/>
      <c r="G903" s="210"/>
      <c r="H903" s="208"/>
      <c r="I903" s="208"/>
      <c r="J903" s="209"/>
      <c r="K903" s="211"/>
      <c r="L903" s="208"/>
      <c r="M903" s="208"/>
      <c r="N903" s="208"/>
      <c r="O903" s="208"/>
      <c r="P903" s="208"/>
      <c r="Q903" s="208"/>
      <c r="R903" s="208"/>
      <c r="S903" s="212"/>
      <c r="T903" s="208"/>
      <c r="U903" s="208"/>
      <c r="V903" s="208"/>
      <c r="W903" s="208"/>
      <c r="X903" s="208"/>
      <c r="Y903" s="208"/>
      <c r="Z903" s="208"/>
    </row>
    <row r="904">
      <c r="A904" s="208"/>
      <c r="B904" s="207"/>
      <c r="C904" s="209"/>
      <c r="D904" s="210"/>
      <c r="E904" s="210"/>
      <c r="F904" s="210"/>
      <c r="G904" s="210"/>
      <c r="H904" s="208"/>
      <c r="I904" s="208"/>
      <c r="J904" s="209"/>
      <c r="K904" s="211"/>
      <c r="L904" s="208"/>
      <c r="M904" s="208"/>
      <c r="N904" s="208"/>
      <c r="O904" s="208"/>
      <c r="P904" s="208"/>
      <c r="Q904" s="208"/>
      <c r="R904" s="208"/>
      <c r="S904" s="212"/>
      <c r="T904" s="208"/>
      <c r="U904" s="208"/>
      <c r="V904" s="208"/>
      <c r="W904" s="208"/>
      <c r="X904" s="208"/>
      <c r="Y904" s="208"/>
      <c r="Z904" s="208"/>
    </row>
    <row r="905">
      <c r="A905" s="208"/>
      <c r="B905" s="207"/>
      <c r="C905" s="209"/>
      <c r="D905" s="210"/>
      <c r="E905" s="210"/>
      <c r="F905" s="210"/>
      <c r="G905" s="210"/>
      <c r="H905" s="208"/>
      <c r="I905" s="208"/>
      <c r="J905" s="209"/>
      <c r="K905" s="211"/>
      <c r="L905" s="208"/>
      <c r="M905" s="208"/>
      <c r="N905" s="208"/>
      <c r="O905" s="208"/>
      <c r="P905" s="208"/>
      <c r="Q905" s="208"/>
      <c r="R905" s="208"/>
      <c r="S905" s="212"/>
      <c r="T905" s="208"/>
      <c r="U905" s="208"/>
      <c r="V905" s="208"/>
      <c r="W905" s="208"/>
      <c r="X905" s="208"/>
      <c r="Y905" s="208"/>
      <c r="Z905" s="208"/>
    </row>
    <row r="906">
      <c r="A906" s="208"/>
      <c r="B906" s="207"/>
      <c r="C906" s="209"/>
      <c r="D906" s="210"/>
      <c r="E906" s="210"/>
      <c r="F906" s="210"/>
      <c r="G906" s="210"/>
      <c r="H906" s="208"/>
      <c r="I906" s="208"/>
      <c r="J906" s="209"/>
      <c r="K906" s="211"/>
      <c r="L906" s="208"/>
      <c r="M906" s="208"/>
      <c r="N906" s="208"/>
      <c r="O906" s="208"/>
      <c r="P906" s="208"/>
      <c r="Q906" s="208"/>
      <c r="R906" s="208"/>
      <c r="S906" s="212"/>
      <c r="T906" s="208"/>
      <c r="U906" s="208"/>
      <c r="V906" s="208"/>
      <c r="W906" s="208"/>
      <c r="X906" s="208"/>
      <c r="Y906" s="208"/>
      <c r="Z906" s="208"/>
    </row>
    <row r="907">
      <c r="A907" s="208"/>
      <c r="B907" s="207"/>
      <c r="C907" s="209"/>
      <c r="D907" s="210"/>
      <c r="E907" s="210"/>
      <c r="F907" s="210"/>
      <c r="G907" s="210"/>
      <c r="H907" s="208"/>
      <c r="I907" s="208"/>
      <c r="J907" s="209"/>
      <c r="K907" s="211"/>
      <c r="L907" s="208"/>
      <c r="M907" s="208"/>
      <c r="N907" s="208"/>
      <c r="O907" s="208"/>
      <c r="P907" s="208"/>
      <c r="Q907" s="208"/>
      <c r="R907" s="208"/>
      <c r="S907" s="212"/>
      <c r="T907" s="208"/>
      <c r="U907" s="208"/>
      <c r="V907" s="208"/>
      <c r="W907" s="208"/>
      <c r="X907" s="208"/>
      <c r="Y907" s="208"/>
      <c r="Z907" s="208"/>
    </row>
    <row r="908">
      <c r="A908" s="208"/>
      <c r="B908" s="207"/>
      <c r="C908" s="209"/>
      <c r="D908" s="210"/>
      <c r="E908" s="210"/>
      <c r="F908" s="210"/>
      <c r="G908" s="210"/>
      <c r="H908" s="208"/>
      <c r="I908" s="208"/>
      <c r="J908" s="209"/>
      <c r="K908" s="211"/>
      <c r="L908" s="208"/>
      <c r="M908" s="208"/>
      <c r="N908" s="208"/>
      <c r="O908" s="208"/>
      <c r="P908" s="208"/>
      <c r="Q908" s="208"/>
      <c r="R908" s="208"/>
      <c r="S908" s="212"/>
      <c r="T908" s="208"/>
      <c r="U908" s="208"/>
      <c r="V908" s="208"/>
      <c r="W908" s="208"/>
      <c r="X908" s="208"/>
      <c r="Y908" s="208"/>
      <c r="Z908" s="208"/>
    </row>
    <row r="909">
      <c r="A909" s="208"/>
      <c r="B909" s="207"/>
      <c r="C909" s="209"/>
      <c r="D909" s="210"/>
      <c r="E909" s="210"/>
      <c r="F909" s="210"/>
      <c r="G909" s="210"/>
      <c r="H909" s="208"/>
      <c r="I909" s="208"/>
      <c r="J909" s="209"/>
      <c r="K909" s="211"/>
      <c r="L909" s="208"/>
      <c r="M909" s="208"/>
      <c r="N909" s="208"/>
      <c r="O909" s="208"/>
      <c r="P909" s="208"/>
      <c r="Q909" s="208"/>
      <c r="R909" s="208"/>
      <c r="S909" s="212"/>
      <c r="T909" s="208"/>
      <c r="U909" s="208"/>
      <c r="V909" s="208"/>
      <c r="W909" s="208"/>
      <c r="X909" s="208"/>
      <c r="Y909" s="208"/>
      <c r="Z909" s="208"/>
    </row>
    <row r="910">
      <c r="A910" s="208"/>
      <c r="B910" s="207"/>
      <c r="C910" s="209"/>
      <c r="D910" s="210"/>
      <c r="E910" s="210"/>
      <c r="F910" s="210"/>
      <c r="G910" s="210"/>
      <c r="H910" s="208"/>
      <c r="I910" s="208"/>
      <c r="J910" s="209"/>
      <c r="K910" s="211"/>
      <c r="L910" s="208"/>
      <c r="M910" s="208"/>
      <c r="N910" s="208"/>
      <c r="O910" s="208"/>
      <c r="P910" s="208"/>
      <c r="Q910" s="208"/>
      <c r="R910" s="208"/>
      <c r="S910" s="212"/>
      <c r="T910" s="208"/>
      <c r="U910" s="208"/>
      <c r="V910" s="208"/>
      <c r="W910" s="208"/>
      <c r="X910" s="208"/>
      <c r="Y910" s="208"/>
      <c r="Z910" s="208"/>
    </row>
    <row r="911">
      <c r="A911" s="208"/>
      <c r="B911" s="207"/>
      <c r="C911" s="209"/>
      <c r="D911" s="210"/>
      <c r="E911" s="210"/>
      <c r="F911" s="210"/>
      <c r="G911" s="210"/>
      <c r="H911" s="208"/>
      <c r="I911" s="208"/>
      <c r="J911" s="209"/>
      <c r="K911" s="211"/>
      <c r="L911" s="208"/>
      <c r="M911" s="208"/>
      <c r="N911" s="208"/>
      <c r="O911" s="208"/>
      <c r="P911" s="208"/>
      <c r="Q911" s="208"/>
      <c r="R911" s="208"/>
      <c r="S911" s="212"/>
      <c r="T911" s="208"/>
      <c r="U911" s="208"/>
      <c r="V911" s="208"/>
      <c r="W911" s="208"/>
      <c r="X911" s="208"/>
      <c r="Y911" s="208"/>
      <c r="Z911" s="208"/>
    </row>
    <row r="912">
      <c r="A912" s="208"/>
      <c r="B912" s="207"/>
      <c r="C912" s="209"/>
      <c r="D912" s="210"/>
      <c r="E912" s="210"/>
      <c r="F912" s="210"/>
      <c r="G912" s="210"/>
      <c r="H912" s="208"/>
      <c r="I912" s="208"/>
      <c r="J912" s="209"/>
      <c r="K912" s="211"/>
      <c r="L912" s="208"/>
      <c r="M912" s="208"/>
      <c r="N912" s="208"/>
      <c r="O912" s="208"/>
      <c r="P912" s="208"/>
      <c r="Q912" s="208"/>
      <c r="R912" s="208"/>
      <c r="S912" s="212"/>
      <c r="T912" s="208"/>
      <c r="U912" s="208"/>
      <c r="V912" s="208"/>
      <c r="W912" s="208"/>
      <c r="X912" s="208"/>
      <c r="Y912" s="208"/>
      <c r="Z912" s="208"/>
    </row>
    <row r="913">
      <c r="A913" s="208"/>
      <c r="B913" s="207"/>
      <c r="C913" s="209"/>
      <c r="D913" s="210"/>
      <c r="E913" s="210"/>
      <c r="F913" s="210"/>
      <c r="G913" s="210"/>
      <c r="H913" s="208"/>
      <c r="I913" s="208"/>
      <c r="J913" s="209"/>
      <c r="K913" s="211"/>
      <c r="L913" s="208"/>
      <c r="M913" s="208"/>
      <c r="N913" s="208"/>
      <c r="O913" s="208"/>
      <c r="P913" s="208"/>
      <c r="Q913" s="208"/>
      <c r="R913" s="208"/>
      <c r="S913" s="212"/>
      <c r="T913" s="208"/>
      <c r="U913" s="208"/>
      <c r="V913" s="208"/>
      <c r="W913" s="208"/>
      <c r="X913" s="208"/>
      <c r="Y913" s="208"/>
      <c r="Z913" s="208"/>
    </row>
    <row r="914">
      <c r="A914" s="208"/>
      <c r="B914" s="207"/>
      <c r="C914" s="209"/>
      <c r="D914" s="210"/>
      <c r="E914" s="210"/>
      <c r="F914" s="210"/>
      <c r="G914" s="210"/>
      <c r="H914" s="208"/>
      <c r="I914" s="208"/>
      <c r="J914" s="209"/>
      <c r="K914" s="211"/>
      <c r="L914" s="208"/>
      <c r="M914" s="208"/>
      <c r="N914" s="208"/>
      <c r="O914" s="208"/>
      <c r="P914" s="208"/>
      <c r="Q914" s="208"/>
      <c r="R914" s="208"/>
      <c r="S914" s="212"/>
      <c r="T914" s="208"/>
      <c r="U914" s="208"/>
      <c r="V914" s="208"/>
      <c r="W914" s="208"/>
      <c r="X914" s="208"/>
      <c r="Y914" s="208"/>
      <c r="Z914" s="208"/>
    </row>
    <row r="915">
      <c r="A915" s="208"/>
      <c r="B915" s="207"/>
      <c r="C915" s="209"/>
      <c r="D915" s="210"/>
      <c r="E915" s="210"/>
      <c r="F915" s="210"/>
      <c r="G915" s="210"/>
      <c r="H915" s="208"/>
      <c r="I915" s="208"/>
      <c r="J915" s="209"/>
      <c r="K915" s="211"/>
      <c r="L915" s="208"/>
      <c r="M915" s="208"/>
      <c r="N915" s="208"/>
      <c r="O915" s="208"/>
      <c r="P915" s="208"/>
      <c r="Q915" s="208"/>
      <c r="R915" s="208"/>
      <c r="S915" s="212"/>
      <c r="T915" s="208"/>
      <c r="U915" s="208"/>
      <c r="V915" s="208"/>
      <c r="W915" s="208"/>
      <c r="X915" s="208"/>
      <c r="Y915" s="208"/>
      <c r="Z915" s="208"/>
    </row>
    <row r="916">
      <c r="A916" s="208"/>
      <c r="B916" s="207"/>
      <c r="C916" s="209"/>
      <c r="D916" s="210"/>
      <c r="E916" s="210"/>
      <c r="F916" s="210"/>
      <c r="G916" s="210"/>
      <c r="H916" s="208"/>
      <c r="I916" s="208"/>
      <c r="J916" s="209"/>
      <c r="K916" s="211"/>
      <c r="L916" s="208"/>
      <c r="M916" s="208"/>
      <c r="N916" s="208"/>
      <c r="O916" s="208"/>
      <c r="P916" s="208"/>
      <c r="Q916" s="208"/>
      <c r="R916" s="208"/>
      <c r="S916" s="212"/>
      <c r="T916" s="208"/>
      <c r="U916" s="208"/>
      <c r="V916" s="208"/>
      <c r="W916" s="208"/>
      <c r="X916" s="208"/>
      <c r="Y916" s="208"/>
      <c r="Z916" s="208"/>
    </row>
    <row r="917">
      <c r="A917" s="208"/>
      <c r="B917" s="207"/>
      <c r="C917" s="209"/>
      <c r="D917" s="210"/>
      <c r="E917" s="210"/>
      <c r="F917" s="210"/>
      <c r="G917" s="210"/>
      <c r="H917" s="208"/>
      <c r="I917" s="208"/>
      <c r="J917" s="209"/>
      <c r="K917" s="211"/>
      <c r="L917" s="208"/>
      <c r="M917" s="208"/>
      <c r="N917" s="208"/>
      <c r="O917" s="208"/>
      <c r="P917" s="208"/>
      <c r="Q917" s="208"/>
      <c r="R917" s="208"/>
      <c r="S917" s="212"/>
      <c r="T917" s="208"/>
      <c r="U917" s="208"/>
      <c r="V917" s="208"/>
      <c r="W917" s="208"/>
      <c r="X917" s="208"/>
      <c r="Y917" s="208"/>
      <c r="Z917" s="208"/>
    </row>
    <row r="918">
      <c r="A918" s="208"/>
      <c r="B918" s="207"/>
      <c r="C918" s="209"/>
      <c r="D918" s="210"/>
      <c r="E918" s="210"/>
      <c r="F918" s="210"/>
      <c r="G918" s="210"/>
      <c r="H918" s="208"/>
      <c r="I918" s="208"/>
      <c r="J918" s="209"/>
      <c r="K918" s="211"/>
      <c r="L918" s="208"/>
      <c r="M918" s="208"/>
      <c r="N918" s="208"/>
      <c r="O918" s="208"/>
      <c r="P918" s="208"/>
      <c r="Q918" s="208"/>
      <c r="R918" s="208"/>
      <c r="S918" s="212"/>
      <c r="T918" s="208"/>
      <c r="U918" s="208"/>
      <c r="V918" s="208"/>
      <c r="W918" s="208"/>
      <c r="X918" s="208"/>
      <c r="Y918" s="208"/>
      <c r="Z918" s="208"/>
    </row>
    <row r="919">
      <c r="A919" s="208"/>
      <c r="B919" s="207"/>
      <c r="C919" s="209"/>
      <c r="D919" s="210"/>
      <c r="E919" s="210"/>
      <c r="F919" s="210"/>
      <c r="G919" s="210"/>
      <c r="H919" s="208"/>
      <c r="I919" s="208"/>
      <c r="J919" s="209"/>
      <c r="K919" s="211"/>
      <c r="L919" s="208"/>
      <c r="M919" s="208"/>
      <c r="N919" s="208"/>
      <c r="O919" s="208"/>
      <c r="P919" s="208"/>
      <c r="Q919" s="208"/>
      <c r="R919" s="208"/>
      <c r="S919" s="212"/>
      <c r="T919" s="208"/>
      <c r="U919" s="208"/>
      <c r="V919" s="208"/>
      <c r="W919" s="208"/>
      <c r="X919" s="208"/>
      <c r="Y919" s="208"/>
      <c r="Z919" s="208"/>
    </row>
    <row r="920">
      <c r="A920" s="208"/>
      <c r="B920" s="207"/>
      <c r="C920" s="209"/>
      <c r="D920" s="210"/>
      <c r="E920" s="210"/>
      <c r="F920" s="210"/>
      <c r="G920" s="210"/>
      <c r="H920" s="208"/>
      <c r="I920" s="208"/>
      <c r="J920" s="209"/>
      <c r="K920" s="211"/>
      <c r="L920" s="208"/>
      <c r="M920" s="208"/>
      <c r="N920" s="208"/>
      <c r="O920" s="208"/>
      <c r="P920" s="208"/>
      <c r="Q920" s="208"/>
      <c r="R920" s="208"/>
      <c r="S920" s="212"/>
      <c r="T920" s="208"/>
      <c r="U920" s="208"/>
      <c r="V920" s="208"/>
      <c r="W920" s="208"/>
      <c r="X920" s="208"/>
      <c r="Y920" s="208"/>
      <c r="Z920" s="208"/>
    </row>
    <row r="921">
      <c r="A921" s="208"/>
      <c r="B921" s="207"/>
      <c r="C921" s="209"/>
      <c r="D921" s="210"/>
      <c r="E921" s="210"/>
      <c r="F921" s="210"/>
      <c r="G921" s="210"/>
      <c r="H921" s="208"/>
      <c r="I921" s="208"/>
      <c r="J921" s="209"/>
      <c r="K921" s="211"/>
      <c r="L921" s="208"/>
      <c r="M921" s="208"/>
      <c r="N921" s="208"/>
      <c r="O921" s="208"/>
      <c r="P921" s="208"/>
      <c r="Q921" s="208"/>
      <c r="R921" s="208"/>
      <c r="S921" s="212"/>
      <c r="T921" s="208"/>
      <c r="U921" s="208"/>
      <c r="V921" s="208"/>
      <c r="W921" s="208"/>
      <c r="X921" s="208"/>
      <c r="Y921" s="208"/>
      <c r="Z921" s="208"/>
    </row>
    <row r="922">
      <c r="A922" s="208"/>
      <c r="B922" s="207"/>
      <c r="C922" s="209"/>
      <c r="D922" s="210"/>
      <c r="E922" s="210"/>
      <c r="F922" s="210"/>
      <c r="G922" s="210"/>
      <c r="H922" s="208"/>
      <c r="I922" s="208"/>
      <c r="J922" s="209"/>
      <c r="K922" s="211"/>
      <c r="L922" s="208"/>
      <c r="M922" s="208"/>
      <c r="N922" s="208"/>
      <c r="O922" s="208"/>
      <c r="P922" s="208"/>
      <c r="Q922" s="208"/>
      <c r="R922" s="208"/>
      <c r="S922" s="212"/>
      <c r="T922" s="208"/>
      <c r="U922" s="208"/>
      <c r="V922" s="208"/>
      <c r="W922" s="208"/>
      <c r="X922" s="208"/>
      <c r="Y922" s="208"/>
      <c r="Z922" s="208"/>
    </row>
    <row r="923">
      <c r="A923" s="208"/>
      <c r="B923" s="207"/>
      <c r="C923" s="209"/>
      <c r="D923" s="210"/>
      <c r="E923" s="210"/>
      <c r="F923" s="210"/>
      <c r="G923" s="210"/>
      <c r="H923" s="208"/>
      <c r="I923" s="208"/>
      <c r="J923" s="209"/>
      <c r="K923" s="211"/>
      <c r="L923" s="208"/>
      <c r="M923" s="208"/>
      <c r="N923" s="208"/>
      <c r="O923" s="208"/>
      <c r="P923" s="208"/>
      <c r="Q923" s="208"/>
      <c r="R923" s="208"/>
      <c r="S923" s="212"/>
      <c r="T923" s="208"/>
      <c r="U923" s="208"/>
      <c r="V923" s="208"/>
      <c r="W923" s="208"/>
      <c r="X923" s="208"/>
      <c r="Y923" s="208"/>
      <c r="Z923" s="208"/>
    </row>
    <row r="924">
      <c r="A924" s="208"/>
      <c r="B924" s="207"/>
      <c r="C924" s="209"/>
      <c r="D924" s="210"/>
      <c r="E924" s="210"/>
      <c r="F924" s="210"/>
      <c r="G924" s="210"/>
      <c r="H924" s="208"/>
      <c r="I924" s="208"/>
      <c r="J924" s="209"/>
      <c r="K924" s="211"/>
      <c r="L924" s="208"/>
      <c r="M924" s="208"/>
      <c r="N924" s="208"/>
      <c r="O924" s="208"/>
      <c r="P924" s="208"/>
      <c r="Q924" s="208"/>
      <c r="R924" s="208"/>
      <c r="S924" s="212"/>
      <c r="T924" s="208"/>
      <c r="U924" s="208"/>
      <c r="V924" s="208"/>
      <c r="W924" s="208"/>
      <c r="X924" s="208"/>
      <c r="Y924" s="208"/>
      <c r="Z924" s="208"/>
    </row>
    <row r="925">
      <c r="A925" s="208"/>
      <c r="B925" s="207"/>
      <c r="C925" s="209"/>
      <c r="D925" s="210"/>
      <c r="E925" s="210"/>
      <c r="F925" s="210"/>
      <c r="G925" s="210"/>
      <c r="H925" s="208"/>
      <c r="I925" s="208"/>
      <c r="J925" s="209"/>
      <c r="K925" s="211"/>
      <c r="L925" s="208"/>
      <c r="M925" s="208"/>
      <c r="N925" s="208"/>
      <c r="O925" s="208"/>
      <c r="P925" s="208"/>
      <c r="Q925" s="208"/>
      <c r="R925" s="208"/>
      <c r="S925" s="212"/>
      <c r="T925" s="208"/>
      <c r="U925" s="208"/>
      <c r="V925" s="208"/>
      <c r="W925" s="208"/>
      <c r="X925" s="208"/>
      <c r="Y925" s="208"/>
      <c r="Z925" s="208"/>
    </row>
    <row r="926">
      <c r="A926" s="208"/>
      <c r="B926" s="207"/>
      <c r="C926" s="209"/>
      <c r="D926" s="210"/>
      <c r="E926" s="210"/>
      <c r="F926" s="210"/>
      <c r="G926" s="210"/>
      <c r="H926" s="208"/>
      <c r="I926" s="208"/>
      <c r="J926" s="209"/>
      <c r="K926" s="211"/>
      <c r="L926" s="208"/>
      <c r="M926" s="208"/>
      <c r="N926" s="208"/>
      <c r="O926" s="208"/>
      <c r="P926" s="208"/>
      <c r="Q926" s="208"/>
      <c r="R926" s="208"/>
      <c r="S926" s="212"/>
      <c r="T926" s="208"/>
      <c r="U926" s="208"/>
      <c r="V926" s="208"/>
      <c r="W926" s="208"/>
      <c r="X926" s="208"/>
      <c r="Y926" s="208"/>
      <c r="Z926" s="208"/>
    </row>
    <row r="927">
      <c r="A927" s="208"/>
      <c r="B927" s="207"/>
      <c r="C927" s="209"/>
      <c r="D927" s="210"/>
      <c r="E927" s="210"/>
      <c r="F927" s="210"/>
      <c r="G927" s="210"/>
      <c r="H927" s="208"/>
      <c r="I927" s="208"/>
      <c r="J927" s="209"/>
      <c r="K927" s="211"/>
      <c r="L927" s="208"/>
      <c r="M927" s="208"/>
      <c r="N927" s="208"/>
      <c r="O927" s="208"/>
      <c r="P927" s="208"/>
      <c r="Q927" s="208"/>
      <c r="R927" s="208"/>
      <c r="S927" s="212"/>
      <c r="T927" s="208"/>
      <c r="U927" s="208"/>
      <c r="V927" s="208"/>
      <c r="W927" s="208"/>
      <c r="X927" s="208"/>
      <c r="Y927" s="208"/>
      <c r="Z927" s="208"/>
    </row>
    <row r="928">
      <c r="A928" s="208"/>
      <c r="B928" s="207"/>
      <c r="C928" s="209"/>
      <c r="D928" s="210"/>
      <c r="E928" s="210"/>
      <c r="F928" s="210"/>
      <c r="G928" s="210"/>
      <c r="H928" s="208"/>
      <c r="I928" s="208"/>
      <c r="J928" s="209"/>
      <c r="K928" s="211"/>
      <c r="L928" s="208"/>
      <c r="M928" s="208"/>
      <c r="N928" s="208"/>
      <c r="O928" s="208"/>
      <c r="P928" s="208"/>
      <c r="Q928" s="208"/>
      <c r="R928" s="208"/>
      <c r="S928" s="212"/>
      <c r="T928" s="208"/>
      <c r="U928" s="208"/>
      <c r="V928" s="208"/>
      <c r="W928" s="208"/>
      <c r="X928" s="208"/>
      <c r="Y928" s="208"/>
      <c r="Z928" s="208"/>
    </row>
    <row r="929">
      <c r="A929" s="208"/>
      <c r="B929" s="207"/>
      <c r="C929" s="209"/>
      <c r="D929" s="210"/>
      <c r="E929" s="210"/>
      <c r="F929" s="210"/>
      <c r="G929" s="210"/>
      <c r="H929" s="208"/>
      <c r="I929" s="208"/>
      <c r="J929" s="209"/>
      <c r="K929" s="211"/>
      <c r="L929" s="208"/>
      <c r="M929" s="208"/>
      <c r="N929" s="208"/>
      <c r="O929" s="208"/>
      <c r="P929" s="208"/>
      <c r="Q929" s="208"/>
      <c r="R929" s="208"/>
      <c r="S929" s="212"/>
      <c r="T929" s="208"/>
      <c r="U929" s="208"/>
      <c r="V929" s="208"/>
      <c r="W929" s="208"/>
      <c r="X929" s="208"/>
      <c r="Y929" s="208"/>
      <c r="Z929" s="208"/>
    </row>
    <row r="930">
      <c r="A930" s="208"/>
      <c r="B930" s="207"/>
      <c r="C930" s="209"/>
      <c r="D930" s="210"/>
      <c r="E930" s="210"/>
      <c r="F930" s="210"/>
      <c r="G930" s="210"/>
      <c r="H930" s="208"/>
      <c r="I930" s="208"/>
      <c r="J930" s="209"/>
      <c r="K930" s="211"/>
      <c r="L930" s="208"/>
      <c r="M930" s="208"/>
      <c r="N930" s="208"/>
      <c r="O930" s="208"/>
      <c r="P930" s="208"/>
      <c r="Q930" s="208"/>
      <c r="R930" s="208"/>
      <c r="S930" s="212"/>
      <c r="T930" s="208"/>
      <c r="U930" s="208"/>
      <c r="V930" s="208"/>
      <c r="W930" s="208"/>
      <c r="X930" s="208"/>
      <c r="Y930" s="208"/>
      <c r="Z930" s="208"/>
    </row>
    <row r="931">
      <c r="A931" s="208"/>
      <c r="B931" s="207"/>
      <c r="C931" s="209"/>
      <c r="D931" s="210"/>
      <c r="E931" s="210"/>
      <c r="F931" s="210"/>
      <c r="G931" s="210"/>
      <c r="H931" s="208"/>
      <c r="I931" s="208"/>
      <c r="J931" s="209"/>
      <c r="K931" s="211"/>
      <c r="L931" s="208"/>
      <c r="M931" s="208"/>
      <c r="N931" s="208"/>
      <c r="O931" s="208"/>
      <c r="P931" s="208"/>
      <c r="Q931" s="208"/>
      <c r="R931" s="208"/>
      <c r="S931" s="212"/>
      <c r="T931" s="208"/>
      <c r="U931" s="208"/>
      <c r="V931" s="208"/>
      <c r="W931" s="208"/>
      <c r="X931" s="208"/>
      <c r="Y931" s="208"/>
      <c r="Z931" s="208"/>
    </row>
    <row r="932">
      <c r="A932" s="208"/>
      <c r="B932" s="207"/>
      <c r="C932" s="209"/>
      <c r="D932" s="210"/>
      <c r="E932" s="210"/>
      <c r="F932" s="210"/>
      <c r="G932" s="210"/>
      <c r="H932" s="208"/>
      <c r="I932" s="208"/>
      <c r="J932" s="209"/>
      <c r="K932" s="211"/>
      <c r="L932" s="208"/>
      <c r="M932" s="208"/>
      <c r="N932" s="208"/>
      <c r="O932" s="208"/>
      <c r="P932" s="208"/>
      <c r="Q932" s="208"/>
      <c r="R932" s="208"/>
      <c r="S932" s="212"/>
      <c r="T932" s="208"/>
      <c r="U932" s="208"/>
      <c r="V932" s="208"/>
      <c r="W932" s="208"/>
      <c r="X932" s="208"/>
      <c r="Y932" s="208"/>
      <c r="Z932" s="208"/>
    </row>
    <row r="933">
      <c r="A933" s="208"/>
      <c r="B933" s="207"/>
      <c r="C933" s="209"/>
      <c r="D933" s="210"/>
      <c r="E933" s="210"/>
      <c r="F933" s="210"/>
      <c r="G933" s="210"/>
      <c r="H933" s="208"/>
      <c r="I933" s="208"/>
      <c r="J933" s="209"/>
      <c r="K933" s="211"/>
      <c r="L933" s="208"/>
      <c r="M933" s="208"/>
      <c r="N933" s="208"/>
      <c r="O933" s="208"/>
      <c r="P933" s="208"/>
      <c r="Q933" s="208"/>
      <c r="R933" s="208"/>
      <c r="S933" s="212"/>
      <c r="T933" s="208"/>
      <c r="U933" s="208"/>
      <c r="V933" s="208"/>
      <c r="W933" s="208"/>
      <c r="X933" s="208"/>
      <c r="Y933" s="208"/>
      <c r="Z933" s="208"/>
    </row>
    <row r="934">
      <c r="A934" s="208"/>
      <c r="B934" s="207"/>
      <c r="C934" s="209"/>
      <c r="D934" s="210"/>
      <c r="E934" s="210"/>
      <c r="F934" s="210"/>
      <c r="G934" s="210"/>
      <c r="H934" s="208"/>
      <c r="I934" s="208"/>
      <c r="J934" s="209"/>
      <c r="K934" s="211"/>
      <c r="L934" s="208"/>
      <c r="M934" s="208"/>
      <c r="N934" s="208"/>
      <c r="O934" s="208"/>
      <c r="P934" s="208"/>
      <c r="Q934" s="208"/>
      <c r="R934" s="208"/>
      <c r="S934" s="212"/>
      <c r="T934" s="208"/>
      <c r="U934" s="208"/>
      <c r="V934" s="208"/>
      <c r="W934" s="208"/>
      <c r="X934" s="208"/>
      <c r="Y934" s="208"/>
      <c r="Z934" s="208"/>
    </row>
    <row r="935">
      <c r="A935" s="208"/>
      <c r="B935" s="207"/>
      <c r="C935" s="209"/>
      <c r="D935" s="210"/>
      <c r="E935" s="210"/>
      <c r="F935" s="210"/>
      <c r="G935" s="210"/>
      <c r="H935" s="208"/>
      <c r="I935" s="208"/>
      <c r="J935" s="209"/>
      <c r="K935" s="211"/>
      <c r="L935" s="208"/>
      <c r="M935" s="208"/>
      <c r="N935" s="208"/>
      <c r="O935" s="208"/>
      <c r="P935" s="208"/>
      <c r="Q935" s="208"/>
      <c r="R935" s="208"/>
      <c r="S935" s="212"/>
      <c r="T935" s="208"/>
      <c r="U935" s="208"/>
      <c r="V935" s="208"/>
      <c r="W935" s="208"/>
      <c r="X935" s="208"/>
      <c r="Y935" s="208"/>
      <c r="Z935" s="208"/>
    </row>
    <row r="936">
      <c r="A936" s="208"/>
      <c r="B936" s="207"/>
      <c r="C936" s="209"/>
      <c r="D936" s="210"/>
      <c r="E936" s="210"/>
      <c r="F936" s="210"/>
      <c r="G936" s="210"/>
      <c r="H936" s="208"/>
      <c r="I936" s="208"/>
      <c r="J936" s="209"/>
      <c r="K936" s="211"/>
      <c r="L936" s="208"/>
      <c r="M936" s="208"/>
      <c r="N936" s="208"/>
      <c r="O936" s="208"/>
      <c r="P936" s="208"/>
      <c r="Q936" s="208"/>
      <c r="R936" s="208"/>
      <c r="S936" s="212"/>
      <c r="T936" s="208"/>
      <c r="U936" s="208"/>
      <c r="V936" s="208"/>
      <c r="W936" s="208"/>
      <c r="X936" s="208"/>
      <c r="Y936" s="208"/>
      <c r="Z936" s="208"/>
    </row>
    <row r="937">
      <c r="A937" s="208"/>
      <c r="B937" s="207"/>
      <c r="C937" s="209"/>
      <c r="D937" s="210"/>
      <c r="E937" s="210"/>
      <c r="F937" s="210"/>
      <c r="G937" s="210"/>
      <c r="H937" s="208"/>
      <c r="I937" s="208"/>
      <c r="J937" s="209"/>
      <c r="K937" s="211"/>
      <c r="L937" s="208"/>
      <c r="M937" s="208"/>
      <c r="N937" s="208"/>
      <c r="O937" s="208"/>
      <c r="P937" s="208"/>
      <c r="Q937" s="208"/>
      <c r="R937" s="208"/>
      <c r="S937" s="212"/>
      <c r="T937" s="208"/>
      <c r="U937" s="208"/>
      <c r="V937" s="208"/>
      <c r="W937" s="208"/>
      <c r="X937" s="208"/>
      <c r="Y937" s="208"/>
      <c r="Z937" s="208"/>
    </row>
    <row r="938">
      <c r="A938" s="208"/>
      <c r="B938" s="207"/>
      <c r="C938" s="209"/>
      <c r="D938" s="210"/>
      <c r="E938" s="210"/>
      <c r="F938" s="210"/>
      <c r="G938" s="210"/>
      <c r="H938" s="208"/>
      <c r="I938" s="208"/>
      <c r="J938" s="209"/>
      <c r="K938" s="211"/>
      <c r="L938" s="208"/>
      <c r="M938" s="208"/>
      <c r="N938" s="208"/>
      <c r="O938" s="208"/>
      <c r="P938" s="208"/>
      <c r="Q938" s="208"/>
      <c r="R938" s="208"/>
      <c r="S938" s="212"/>
      <c r="T938" s="208"/>
      <c r="U938" s="208"/>
      <c r="V938" s="208"/>
      <c r="W938" s="208"/>
      <c r="X938" s="208"/>
      <c r="Y938" s="208"/>
      <c r="Z938" s="208"/>
    </row>
    <row r="939">
      <c r="A939" s="208"/>
      <c r="B939" s="207"/>
      <c r="C939" s="209"/>
      <c r="D939" s="210"/>
      <c r="E939" s="210"/>
      <c r="F939" s="210"/>
      <c r="G939" s="210"/>
      <c r="H939" s="208"/>
      <c r="I939" s="208"/>
      <c r="J939" s="209"/>
      <c r="K939" s="211"/>
      <c r="L939" s="208"/>
      <c r="M939" s="208"/>
      <c r="N939" s="208"/>
      <c r="O939" s="208"/>
      <c r="P939" s="208"/>
      <c r="Q939" s="208"/>
      <c r="R939" s="208"/>
      <c r="S939" s="212"/>
      <c r="T939" s="208"/>
      <c r="U939" s="208"/>
      <c r="V939" s="208"/>
      <c r="W939" s="208"/>
      <c r="X939" s="208"/>
      <c r="Y939" s="208"/>
      <c r="Z939" s="208"/>
    </row>
    <row r="940">
      <c r="A940" s="208"/>
      <c r="B940" s="207"/>
      <c r="C940" s="209"/>
      <c r="D940" s="210"/>
      <c r="E940" s="210"/>
      <c r="F940" s="210"/>
      <c r="G940" s="210"/>
      <c r="H940" s="208"/>
      <c r="I940" s="208"/>
      <c r="J940" s="209"/>
      <c r="K940" s="211"/>
      <c r="L940" s="208"/>
      <c r="M940" s="208"/>
      <c r="N940" s="208"/>
      <c r="O940" s="208"/>
      <c r="P940" s="208"/>
      <c r="Q940" s="208"/>
      <c r="R940" s="208"/>
      <c r="S940" s="212"/>
      <c r="T940" s="208"/>
      <c r="U940" s="208"/>
      <c r="V940" s="208"/>
      <c r="W940" s="208"/>
      <c r="X940" s="208"/>
      <c r="Y940" s="208"/>
      <c r="Z940" s="208"/>
    </row>
    <row r="941">
      <c r="A941" s="208"/>
      <c r="B941" s="207"/>
      <c r="C941" s="209"/>
      <c r="D941" s="210"/>
      <c r="E941" s="210"/>
      <c r="F941" s="210"/>
      <c r="G941" s="210"/>
      <c r="H941" s="208"/>
      <c r="I941" s="208"/>
      <c r="J941" s="209"/>
      <c r="K941" s="211"/>
      <c r="L941" s="208"/>
      <c r="M941" s="208"/>
      <c r="N941" s="208"/>
      <c r="O941" s="208"/>
      <c r="P941" s="208"/>
      <c r="Q941" s="208"/>
      <c r="R941" s="208"/>
      <c r="S941" s="212"/>
      <c r="T941" s="208"/>
      <c r="U941" s="208"/>
      <c r="V941" s="208"/>
      <c r="W941" s="208"/>
      <c r="X941" s="208"/>
      <c r="Y941" s="208"/>
      <c r="Z941" s="208"/>
    </row>
    <row r="942">
      <c r="A942" s="208"/>
      <c r="B942" s="207"/>
      <c r="C942" s="209"/>
      <c r="D942" s="210"/>
      <c r="E942" s="210"/>
      <c r="F942" s="210"/>
      <c r="G942" s="210"/>
      <c r="H942" s="208"/>
      <c r="I942" s="208"/>
      <c r="J942" s="209"/>
      <c r="K942" s="211"/>
      <c r="L942" s="208"/>
      <c r="M942" s="208"/>
      <c r="N942" s="208"/>
      <c r="O942" s="208"/>
      <c r="P942" s="208"/>
      <c r="Q942" s="208"/>
      <c r="R942" s="208"/>
      <c r="S942" s="212"/>
      <c r="T942" s="208"/>
      <c r="U942" s="208"/>
      <c r="V942" s="208"/>
      <c r="W942" s="208"/>
      <c r="X942" s="208"/>
      <c r="Y942" s="208"/>
      <c r="Z942" s="208"/>
    </row>
    <row r="943">
      <c r="A943" s="208"/>
      <c r="B943" s="207"/>
      <c r="C943" s="209"/>
      <c r="D943" s="210"/>
      <c r="E943" s="210"/>
      <c r="F943" s="210"/>
      <c r="G943" s="210"/>
      <c r="H943" s="208"/>
      <c r="I943" s="208"/>
      <c r="J943" s="209"/>
      <c r="K943" s="211"/>
      <c r="L943" s="208"/>
      <c r="M943" s="208"/>
      <c r="N943" s="208"/>
      <c r="O943" s="208"/>
      <c r="P943" s="208"/>
      <c r="Q943" s="208"/>
      <c r="R943" s="208"/>
      <c r="S943" s="212"/>
      <c r="T943" s="208"/>
      <c r="U943" s="208"/>
      <c r="V943" s="208"/>
      <c r="W943" s="208"/>
      <c r="X943" s="208"/>
      <c r="Y943" s="208"/>
      <c r="Z943" s="208"/>
    </row>
    <row r="944">
      <c r="A944" s="208"/>
      <c r="B944" s="207"/>
      <c r="C944" s="209"/>
      <c r="D944" s="210"/>
      <c r="E944" s="210"/>
      <c r="F944" s="210"/>
      <c r="G944" s="210"/>
      <c r="H944" s="208"/>
      <c r="I944" s="208"/>
      <c r="J944" s="209"/>
      <c r="K944" s="211"/>
      <c r="L944" s="208"/>
      <c r="M944" s="208"/>
      <c r="N944" s="208"/>
      <c r="O944" s="208"/>
      <c r="P944" s="208"/>
      <c r="Q944" s="208"/>
      <c r="R944" s="208"/>
      <c r="S944" s="212"/>
      <c r="T944" s="208"/>
      <c r="U944" s="208"/>
      <c r="V944" s="208"/>
      <c r="W944" s="208"/>
      <c r="X944" s="208"/>
      <c r="Y944" s="208"/>
      <c r="Z944" s="208"/>
    </row>
    <row r="945">
      <c r="A945" s="208"/>
      <c r="B945" s="207"/>
      <c r="C945" s="209"/>
      <c r="D945" s="210"/>
      <c r="E945" s="210"/>
      <c r="F945" s="210"/>
      <c r="G945" s="210"/>
      <c r="H945" s="208"/>
      <c r="I945" s="208"/>
      <c r="J945" s="209"/>
      <c r="K945" s="211"/>
      <c r="L945" s="208"/>
      <c r="M945" s="208"/>
      <c r="N945" s="208"/>
      <c r="O945" s="208"/>
      <c r="P945" s="208"/>
      <c r="Q945" s="208"/>
      <c r="R945" s="208"/>
      <c r="S945" s="212"/>
      <c r="T945" s="208"/>
      <c r="U945" s="208"/>
      <c r="V945" s="208"/>
      <c r="W945" s="208"/>
      <c r="X945" s="208"/>
      <c r="Y945" s="208"/>
      <c r="Z945" s="208"/>
    </row>
    <row r="946">
      <c r="A946" s="208"/>
      <c r="B946" s="207"/>
      <c r="C946" s="209"/>
      <c r="D946" s="210"/>
      <c r="E946" s="210"/>
      <c r="F946" s="210"/>
      <c r="G946" s="210"/>
      <c r="H946" s="208"/>
      <c r="I946" s="208"/>
      <c r="J946" s="209"/>
      <c r="K946" s="211"/>
      <c r="L946" s="208"/>
      <c r="M946" s="208"/>
      <c r="N946" s="208"/>
      <c r="O946" s="208"/>
      <c r="P946" s="208"/>
      <c r="Q946" s="208"/>
      <c r="R946" s="208"/>
      <c r="S946" s="212"/>
      <c r="T946" s="208"/>
      <c r="U946" s="208"/>
      <c r="V946" s="208"/>
      <c r="W946" s="208"/>
      <c r="X946" s="208"/>
      <c r="Y946" s="208"/>
      <c r="Z946" s="208"/>
    </row>
    <row r="947">
      <c r="A947" s="208"/>
      <c r="B947" s="207"/>
      <c r="C947" s="209"/>
      <c r="D947" s="210"/>
      <c r="E947" s="210"/>
      <c r="F947" s="210"/>
      <c r="G947" s="210"/>
      <c r="H947" s="208"/>
      <c r="I947" s="208"/>
      <c r="J947" s="209"/>
      <c r="K947" s="211"/>
      <c r="L947" s="208"/>
      <c r="M947" s="208"/>
      <c r="N947" s="208"/>
      <c r="O947" s="208"/>
      <c r="P947" s="208"/>
      <c r="Q947" s="208"/>
      <c r="R947" s="208"/>
      <c r="S947" s="212"/>
      <c r="T947" s="208"/>
      <c r="U947" s="208"/>
      <c r="V947" s="208"/>
      <c r="W947" s="208"/>
      <c r="X947" s="208"/>
      <c r="Y947" s="208"/>
      <c r="Z947" s="208"/>
    </row>
    <row r="948">
      <c r="A948" s="208"/>
      <c r="B948" s="207"/>
      <c r="C948" s="209"/>
      <c r="D948" s="210"/>
      <c r="E948" s="210"/>
      <c r="F948" s="210"/>
      <c r="G948" s="210"/>
      <c r="H948" s="208"/>
      <c r="I948" s="208"/>
      <c r="J948" s="209"/>
      <c r="K948" s="211"/>
      <c r="L948" s="208"/>
      <c r="M948" s="208"/>
      <c r="N948" s="208"/>
      <c r="O948" s="208"/>
      <c r="P948" s="208"/>
      <c r="Q948" s="208"/>
      <c r="R948" s="208"/>
      <c r="S948" s="212"/>
      <c r="T948" s="208"/>
      <c r="U948" s="208"/>
      <c r="V948" s="208"/>
      <c r="W948" s="208"/>
      <c r="X948" s="208"/>
      <c r="Y948" s="208"/>
      <c r="Z948" s="208"/>
    </row>
    <row r="949">
      <c r="A949" s="208"/>
      <c r="B949" s="207"/>
      <c r="C949" s="209"/>
      <c r="D949" s="210"/>
      <c r="E949" s="210"/>
      <c r="F949" s="210"/>
      <c r="G949" s="210"/>
      <c r="H949" s="208"/>
      <c r="I949" s="208"/>
      <c r="J949" s="209"/>
      <c r="K949" s="211"/>
      <c r="L949" s="208"/>
      <c r="M949" s="208"/>
      <c r="N949" s="208"/>
      <c r="O949" s="208"/>
      <c r="P949" s="208"/>
      <c r="Q949" s="208"/>
      <c r="R949" s="208"/>
      <c r="S949" s="212"/>
      <c r="T949" s="208"/>
      <c r="U949" s="208"/>
      <c r="V949" s="208"/>
      <c r="W949" s="208"/>
      <c r="X949" s="208"/>
      <c r="Y949" s="208"/>
      <c r="Z949" s="208"/>
    </row>
    <row r="950">
      <c r="A950" s="208"/>
      <c r="B950" s="207"/>
      <c r="C950" s="209"/>
      <c r="D950" s="210"/>
      <c r="E950" s="210"/>
      <c r="F950" s="210"/>
      <c r="G950" s="210"/>
      <c r="H950" s="208"/>
      <c r="I950" s="208"/>
      <c r="J950" s="209"/>
      <c r="K950" s="211"/>
      <c r="L950" s="208"/>
      <c r="M950" s="208"/>
      <c r="N950" s="208"/>
      <c r="O950" s="208"/>
      <c r="P950" s="208"/>
      <c r="Q950" s="208"/>
      <c r="R950" s="208"/>
      <c r="S950" s="212"/>
      <c r="T950" s="208"/>
      <c r="U950" s="208"/>
      <c r="V950" s="208"/>
      <c r="W950" s="208"/>
      <c r="X950" s="208"/>
      <c r="Y950" s="208"/>
      <c r="Z950" s="208"/>
    </row>
    <row r="951">
      <c r="A951" s="208"/>
      <c r="B951" s="207"/>
      <c r="C951" s="209"/>
      <c r="D951" s="210"/>
      <c r="E951" s="210"/>
      <c r="F951" s="210"/>
      <c r="G951" s="210"/>
      <c r="H951" s="208"/>
      <c r="I951" s="208"/>
      <c r="J951" s="209"/>
      <c r="K951" s="211"/>
      <c r="L951" s="208"/>
      <c r="M951" s="208"/>
      <c r="N951" s="208"/>
      <c r="O951" s="208"/>
      <c r="P951" s="208"/>
      <c r="Q951" s="208"/>
      <c r="R951" s="208"/>
      <c r="S951" s="212"/>
      <c r="T951" s="208"/>
      <c r="U951" s="208"/>
      <c r="V951" s="208"/>
      <c r="W951" s="208"/>
      <c r="X951" s="208"/>
      <c r="Y951" s="208"/>
      <c r="Z951" s="208"/>
    </row>
    <row r="952">
      <c r="A952" s="208"/>
      <c r="B952" s="207"/>
      <c r="C952" s="209"/>
      <c r="D952" s="210"/>
      <c r="E952" s="210"/>
      <c r="F952" s="210"/>
      <c r="G952" s="210"/>
      <c r="H952" s="208"/>
      <c r="I952" s="208"/>
      <c r="J952" s="209"/>
      <c r="K952" s="211"/>
      <c r="L952" s="208"/>
      <c r="M952" s="208"/>
      <c r="N952" s="208"/>
      <c r="O952" s="208"/>
      <c r="P952" s="208"/>
      <c r="Q952" s="208"/>
      <c r="R952" s="208"/>
      <c r="S952" s="212"/>
      <c r="T952" s="208"/>
      <c r="U952" s="208"/>
      <c r="V952" s="208"/>
      <c r="W952" s="208"/>
      <c r="X952" s="208"/>
      <c r="Y952" s="208"/>
      <c r="Z952" s="208"/>
    </row>
    <row r="953">
      <c r="A953" s="208"/>
      <c r="B953" s="207"/>
      <c r="C953" s="209"/>
      <c r="D953" s="210"/>
      <c r="E953" s="210"/>
      <c r="F953" s="210"/>
      <c r="G953" s="210"/>
      <c r="H953" s="208"/>
      <c r="I953" s="208"/>
      <c r="J953" s="209"/>
      <c r="K953" s="211"/>
      <c r="L953" s="208"/>
      <c r="M953" s="208"/>
      <c r="N953" s="208"/>
      <c r="O953" s="208"/>
      <c r="P953" s="208"/>
      <c r="Q953" s="208"/>
      <c r="R953" s="208"/>
      <c r="S953" s="212"/>
      <c r="T953" s="208"/>
      <c r="U953" s="208"/>
      <c r="V953" s="208"/>
      <c r="W953" s="208"/>
      <c r="X953" s="208"/>
      <c r="Y953" s="208"/>
      <c r="Z953" s="208"/>
    </row>
    <row r="954">
      <c r="A954" s="208"/>
      <c r="B954" s="207"/>
      <c r="C954" s="209"/>
      <c r="D954" s="210"/>
      <c r="E954" s="210"/>
      <c r="F954" s="210"/>
      <c r="G954" s="210"/>
      <c r="H954" s="208"/>
      <c r="I954" s="208"/>
      <c r="J954" s="209"/>
      <c r="K954" s="211"/>
      <c r="L954" s="208"/>
      <c r="M954" s="208"/>
      <c r="N954" s="208"/>
      <c r="O954" s="208"/>
      <c r="P954" s="208"/>
      <c r="Q954" s="208"/>
      <c r="R954" s="208"/>
      <c r="S954" s="212"/>
      <c r="T954" s="208"/>
      <c r="U954" s="208"/>
      <c r="V954" s="208"/>
      <c r="W954" s="208"/>
      <c r="X954" s="208"/>
      <c r="Y954" s="208"/>
      <c r="Z954" s="208"/>
    </row>
    <row r="955">
      <c r="A955" s="208"/>
      <c r="B955" s="207"/>
      <c r="C955" s="209"/>
      <c r="D955" s="210"/>
      <c r="E955" s="210"/>
      <c r="F955" s="210"/>
      <c r="G955" s="210"/>
      <c r="H955" s="208"/>
      <c r="I955" s="208"/>
      <c r="J955" s="209"/>
      <c r="K955" s="211"/>
      <c r="L955" s="208"/>
      <c r="M955" s="208"/>
      <c r="N955" s="208"/>
      <c r="O955" s="208"/>
      <c r="P955" s="208"/>
      <c r="Q955" s="208"/>
      <c r="R955" s="208"/>
      <c r="S955" s="212"/>
      <c r="T955" s="208"/>
      <c r="U955" s="208"/>
      <c r="V955" s="208"/>
      <c r="W955" s="208"/>
      <c r="X955" s="208"/>
      <c r="Y955" s="208"/>
      <c r="Z955" s="208"/>
    </row>
    <row r="956">
      <c r="A956" s="208"/>
      <c r="B956" s="207"/>
      <c r="C956" s="209"/>
      <c r="D956" s="210"/>
      <c r="E956" s="210"/>
      <c r="F956" s="210"/>
      <c r="G956" s="210"/>
      <c r="H956" s="208"/>
      <c r="I956" s="208"/>
      <c r="J956" s="209"/>
      <c r="K956" s="211"/>
      <c r="L956" s="208"/>
      <c r="M956" s="208"/>
      <c r="N956" s="208"/>
      <c r="O956" s="208"/>
      <c r="P956" s="208"/>
      <c r="Q956" s="208"/>
      <c r="R956" s="208"/>
      <c r="S956" s="212"/>
      <c r="T956" s="208"/>
      <c r="U956" s="208"/>
      <c r="V956" s="208"/>
      <c r="W956" s="208"/>
      <c r="X956" s="208"/>
      <c r="Y956" s="208"/>
      <c r="Z956" s="208"/>
    </row>
    <row r="957">
      <c r="A957" s="208"/>
      <c r="B957" s="207"/>
      <c r="C957" s="209"/>
      <c r="D957" s="210"/>
      <c r="E957" s="210"/>
      <c r="F957" s="210"/>
      <c r="G957" s="210"/>
      <c r="H957" s="208"/>
      <c r="I957" s="208"/>
      <c r="J957" s="209"/>
      <c r="K957" s="211"/>
      <c r="L957" s="208"/>
      <c r="M957" s="208"/>
      <c r="N957" s="208"/>
      <c r="O957" s="208"/>
      <c r="P957" s="208"/>
      <c r="Q957" s="208"/>
      <c r="R957" s="208"/>
      <c r="S957" s="212"/>
      <c r="T957" s="208"/>
      <c r="U957" s="208"/>
      <c r="V957" s="208"/>
      <c r="W957" s="208"/>
      <c r="X957" s="208"/>
      <c r="Y957" s="208"/>
      <c r="Z957" s="208"/>
    </row>
    <row r="958">
      <c r="A958" s="208"/>
      <c r="B958" s="207"/>
      <c r="C958" s="209"/>
      <c r="D958" s="210"/>
      <c r="E958" s="210"/>
      <c r="F958" s="210"/>
      <c r="G958" s="210"/>
      <c r="H958" s="208"/>
      <c r="I958" s="208"/>
      <c r="J958" s="209"/>
      <c r="K958" s="211"/>
      <c r="L958" s="208"/>
      <c r="M958" s="208"/>
      <c r="N958" s="208"/>
      <c r="O958" s="208"/>
      <c r="P958" s="208"/>
      <c r="Q958" s="208"/>
      <c r="R958" s="208"/>
      <c r="S958" s="212"/>
      <c r="T958" s="208"/>
      <c r="U958" s="208"/>
      <c r="V958" s="208"/>
      <c r="W958" s="208"/>
      <c r="X958" s="208"/>
      <c r="Y958" s="208"/>
      <c r="Z958" s="208"/>
    </row>
    <row r="959">
      <c r="A959" s="208"/>
      <c r="B959" s="207"/>
      <c r="C959" s="209"/>
      <c r="D959" s="210"/>
      <c r="E959" s="210"/>
      <c r="F959" s="210"/>
      <c r="G959" s="210"/>
      <c r="H959" s="208"/>
      <c r="I959" s="208"/>
      <c r="J959" s="209"/>
      <c r="K959" s="211"/>
      <c r="L959" s="208"/>
      <c r="M959" s="208"/>
      <c r="N959" s="208"/>
      <c r="O959" s="208"/>
      <c r="P959" s="208"/>
      <c r="Q959" s="208"/>
      <c r="R959" s="208"/>
      <c r="S959" s="212"/>
      <c r="T959" s="208"/>
      <c r="U959" s="208"/>
      <c r="V959" s="208"/>
      <c r="W959" s="208"/>
      <c r="X959" s="208"/>
      <c r="Y959" s="208"/>
      <c r="Z959" s="208"/>
    </row>
    <row r="960">
      <c r="A960" s="208"/>
      <c r="B960" s="207"/>
      <c r="C960" s="209"/>
      <c r="D960" s="210"/>
      <c r="E960" s="210"/>
      <c r="F960" s="210"/>
      <c r="G960" s="210"/>
      <c r="H960" s="208"/>
      <c r="I960" s="208"/>
      <c r="J960" s="209"/>
      <c r="K960" s="211"/>
      <c r="L960" s="208"/>
      <c r="M960" s="208"/>
      <c r="N960" s="208"/>
      <c r="O960" s="208"/>
      <c r="P960" s="208"/>
      <c r="Q960" s="208"/>
      <c r="R960" s="208"/>
      <c r="S960" s="212"/>
      <c r="T960" s="208"/>
      <c r="U960" s="208"/>
      <c r="V960" s="208"/>
      <c r="W960" s="208"/>
      <c r="X960" s="208"/>
      <c r="Y960" s="208"/>
      <c r="Z960" s="208"/>
    </row>
    <row r="961">
      <c r="A961" s="208"/>
      <c r="B961" s="207"/>
      <c r="C961" s="209"/>
      <c r="D961" s="210"/>
      <c r="E961" s="210"/>
      <c r="F961" s="210"/>
      <c r="G961" s="210"/>
      <c r="H961" s="208"/>
      <c r="I961" s="208"/>
      <c r="J961" s="209"/>
      <c r="K961" s="211"/>
      <c r="L961" s="208"/>
      <c r="M961" s="208"/>
      <c r="N961" s="208"/>
      <c r="O961" s="208"/>
      <c r="P961" s="208"/>
      <c r="Q961" s="208"/>
      <c r="R961" s="208"/>
      <c r="S961" s="212"/>
      <c r="T961" s="208"/>
      <c r="U961" s="208"/>
      <c r="V961" s="208"/>
      <c r="W961" s="208"/>
      <c r="X961" s="208"/>
      <c r="Y961" s="208"/>
      <c r="Z961" s="208"/>
    </row>
    <row r="962">
      <c r="A962" s="208"/>
      <c r="B962" s="207"/>
      <c r="C962" s="209"/>
      <c r="D962" s="210"/>
      <c r="E962" s="210"/>
      <c r="F962" s="210"/>
      <c r="G962" s="210"/>
      <c r="H962" s="208"/>
      <c r="I962" s="208"/>
      <c r="J962" s="209"/>
      <c r="K962" s="211"/>
      <c r="L962" s="208"/>
      <c r="M962" s="208"/>
      <c r="N962" s="208"/>
      <c r="O962" s="208"/>
      <c r="P962" s="208"/>
      <c r="Q962" s="208"/>
      <c r="R962" s="208"/>
      <c r="S962" s="212"/>
      <c r="T962" s="208"/>
      <c r="U962" s="208"/>
      <c r="V962" s="208"/>
      <c r="W962" s="208"/>
      <c r="X962" s="208"/>
      <c r="Y962" s="208"/>
      <c r="Z962" s="208"/>
    </row>
    <row r="963">
      <c r="A963" s="208"/>
      <c r="B963" s="207"/>
      <c r="C963" s="209"/>
      <c r="D963" s="210"/>
      <c r="E963" s="210"/>
      <c r="F963" s="210"/>
      <c r="G963" s="210"/>
      <c r="H963" s="208"/>
      <c r="I963" s="208"/>
      <c r="J963" s="209"/>
      <c r="K963" s="211"/>
      <c r="L963" s="208"/>
      <c r="M963" s="208"/>
      <c r="N963" s="208"/>
      <c r="O963" s="208"/>
      <c r="P963" s="208"/>
      <c r="Q963" s="208"/>
      <c r="R963" s="208"/>
      <c r="S963" s="212"/>
      <c r="T963" s="208"/>
      <c r="U963" s="208"/>
      <c r="V963" s="208"/>
      <c r="W963" s="208"/>
      <c r="X963" s="208"/>
      <c r="Y963" s="208"/>
      <c r="Z963" s="208"/>
    </row>
    <row r="964">
      <c r="A964" s="208"/>
      <c r="B964" s="207"/>
      <c r="C964" s="209"/>
      <c r="D964" s="210"/>
      <c r="E964" s="210"/>
      <c r="F964" s="210"/>
      <c r="G964" s="210"/>
      <c r="H964" s="208"/>
      <c r="I964" s="208"/>
      <c r="J964" s="209"/>
      <c r="K964" s="211"/>
      <c r="L964" s="208"/>
      <c r="M964" s="208"/>
      <c r="N964" s="208"/>
      <c r="O964" s="208"/>
      <c r="P964" s="208"/>
      <c r="Q964" s="208"/>
      <c r="R964" s="208"/>
      <c r="S964" s="212"/>
      <c r="T964" s="208"/>
      <c r="U964" s="208"/>
      <c r="V964" s="208"/>
      <c r="W964" s="208"/>
      <c r="X964" s="208"/>
      <c r="Y964" s="208"/>
      <c r="Z964" s="208"/>
    </row>
    <row r="965">
      <c r="A965" s="208"/>
      <c r="B965" s="207"/>
      <c r="C965" s="209"/>
      <c r="D965" s="210"/>
      <c r="E965" s="210"/>
      <c r="F965" s="210"/>
      <c r="G965" s="210"/>
      <c r="H965" s="208"/>
      <c r="I965" s="208"/>
      <c r="J965" s="209"/>
      <c r="K965" s="211"/>
      <c r="L965" s="208"/>
      <c r="M965" s="208"/>
      <c r="N965" s="208"/>
      <c r="O965" s="208"/>
      <c r="P965" s="208"/>
      <c r="Q965" s="208"/>
      <c r="R965" s="208"/>
      <c r="S965" s="212"/>
      <c r="T965" s="208"/>
      <c r="U965" s="208"/>
      <c r="V965" s="208"/>
      <c r="W965" s="208"/>
      <c r="X965" s="208"/>
      <c r="Y965" s="208"/>
      <c r="Z965" s="208"/>
    </row>
    <row r="966">
      <c r="A966" s="208"/>
      <c r="B966" s="207"/>
      <c r="C966" s="209"/>
      <c r="D966" s="210"/>
      <c r="E966" s="210"/>
      <c r="F966" s="210"/>
      <c r="G966" s="210"/>
      <c r="H966" s="208"/>
      <c r="I966" s="208"/>
      <c r="J966" s="209"/>
      <c r="K966" s="211"/>
      <c r="L966" s="208"/>
      <c r="M966" s="208"/>
      <c r="N966" s="208"/>
      <c r="O966" s="208"/>
      <c r="P966" s="208"/>
      <c r="Q966" s="208"/>
      <c r="R966" s="208"/>
      <c r="S966" s="212"/>
      <c r="T966" s="208"/>
      <c r="U966" s="208"/>
      <c r="V966" s="208"/>
      <c r="W966" s="208"/>
      <c r="X966" s="208"/>
      <c r="Y966" s="208"/>
      <c r="Z966" s="208"/>
    </row>
    <row r="967">
      <c r="A967" s="208"/>
      <c r="B967" s="207"/>
      <c r="C967" s="209"/>
      <c r="D967" s="210"/>
      <c r="E967" s="210"/>
      <c r="F967" s="210"/>
      <c r="G967" s="210"/>
      <c r="H967" s="208"/>
      <c r="I967" s="208"/>
      <c r="J967" s="209"/>
      <c r="K967" s="211"/>
      <c r="L967" s="208"/>
      <c r="M967" s="208"/>
      <c r="N967" s="208"/>
      <c r="O967" s="208"/>
      <c r="P967" s="208"/>
      <c r="Q967" s="208"/>
      <c r="R967" s="208"/>
      <c r="S967" s="212"/>
      <c r="T967" s="208"/>
      <c r="U967" s="208"/>
      <c r="V967" s="208"/>
      <c r="W967" s="208"/>
      <c r="X967" s="208"/>
      <c r="Y967" s="208"/>
      <c r="Z967" s="208"/>
    </row>
    <row r="968">
      <c r="A968" s="208"/>
      <c r="B968" s="207"/>
      <c r="C968" s="209"/>
      <c r="D968" s="210"/>
      <c r="E968" s="210"/>
      <c r="F968" s="210"/>
      <c r="G968" s="210"/>
      <c r="H968" s="208"/>
      <c r="I968" s="208"/>
      <c r="J968" s="209"/>
      <c r="K968" s="211"/>
      <c r="L968" s="208"/>
      <c r="M968" s="208"/>
      <c r="N968" s="208"/>
      <c r="O968" s="208"/>
      <c r="P968" s="208"/>
      <c r="Q968" s="208"/>
      <c r="R968" s="208"/>
      <c r="S968" s="212"/>
      <c r="T968" s="208"/>
      <c r="U968" s="208"/>
      <c r="V968" s="208"/>
      <c r="W968" s="208"/>
      <c r="X968" s="208"/>
      <c r="Y968" s="208"/>
      <c r="Z968" s="208"/>
    </row>
    <row r="969">
      <c r="A969" s="208"/>
      <c r="B969" s="207"/>
      <c r="C969" s="209"/>
      <c r="D969" s="210"/>
      <c r="E969" s="210"/>
      <c r="F969" s="210"/>
      <c r="G969" s="210"/>
      <c r="H969" s="208"/>
      <c r="I969" s="208"/>
      <c r="J969" s="209"/>
      <c r="K969" s="211"/>
      <c r="L969" s="208"/>
      <c r="M969" s="208"/>
      <c r="N969" s="208"/>
      <c r="O969" s="208"/>
      <c r="P969" s="208"/>
      <c r="Q969" s="208"/>
      <c r="R969" s="208"/>
      <c r="S969" s="212"/>
      <c r="T969" s="208"/>
      <c r="U969" s="208"/>
      <c r="V969" s="208"/>
      <c r="W969" s="208"/>
      <c r="X969" s="208"/>
      <c r="Y969" s="208"/>
      <c r="Z969" s="208"/>
    </row>
    <row r="970">
      <c r="A970" s="208"/>
      <c r="B970" s="207"/>
      <c r="C970" s="209"/>
      <c r="D970" s="210"/>
      <c r="E970" s="210"/>
      <c r="F970" s="210"/>
      <c r="G970" s="210"/>
      <c r="H970" s="208"/>
      <c r="I970" s="208"/>
      <c r="J970" s="209"/>
      <c r="K970" s="211"/>
      <c r="L970" s="208"/>
      <c r="M970" s="208"/>
      <c r="N970" s="208"/>
      <c r="O970" s="208"/>
      <c r="P970" s="208"/>
      <c r="Q970" s="208"/>
      <c r="R970" s="208"/>
      <c r="S970" s="212"/>
      <c r="T970" s="208"/>
      <c r="U970" s="208"/>
      <c r="V970" s="208"/>
      <c r="W970" s="208"/>
      <c r="X970" s="208"/>
      <c r="Y970" s="208"/>
      <c r="Z970" s="208"/>
    </row>
    <row r="971">
      <c r="A971" s="208"/>
      <c r="B971" s="207"/>
      <c r="C971" s="209"/>
      <c r="D971" s="210"/>
      <c r="E971" s="210"/>
      <c r="F971" s="210"/>
      <c r="G971" s="210"/>
      <c r="H971" s="208"/>
      <c r="I971" s="208"/>
      <c r="J971" s="209"/>
      <c r="K971" s="211"/>
      <c r="L971" s="208"/>
      <c r="M971" s="208"/>
      <c r="N971" s="208"/>
      <c r="O971" s="208"/>
      <c r="P971" s="208"/>
      <c r="Q971" s="208"/>
      <c r="R971" s="208"/>
      <c r="S971" s="212"/>
      <c r="T971" s="208"/>
      <c r="U971" s="208"/>
      <c r="V971" s="208"/>
      <c r="W971" s="208"/>
      <c r="X971" s="208"/>
      <c r="Y971" s="208"/>
      <c r="Z971" s="208"/>
    </row>
    <row r="972">
      <c r="A972" s="208"/>
      <c r="B972" s="207"/>
      <c r="C972" s="209"/>
      <c r="D972" s="210"/>
      <c r="E972" s="210"/>
      <c r="F972" s="210"/>
      <c r="G972" s="210"/>
      <c r="H972" s="208"/>
      <c r="I972" s="208"/>
      <c r="J972" s="209"/>
      <c r="K972" s="211"/>
      <c r="L972" s="208"/>
      <c r="M972" s="208"/>
      <c r="N972" s="208"/>
      <c r="O972" s="208"/>
      <c r="P972" s="208"/>
      <c r="Q972" s="208"/>
      <c r="R972" s="208"/>
      <c r="S972" s="212"/>
      <c r="T972" s="208"/>
      <c r="U972" s="208"/>
      <c r="V972" s="208"/>
      <c r="W972" s="208"/>
      <c r="X972" s="208"/>
      <c r="Y972" s="208"/>
      <c r="Z972" s="208"/>
    </row>
    <row r="973">
      <c r="A973" s="208"/>
      <c r="B973" s="207"/>
      <c r="C973" s="209"/>
      <c r="D973" s="210"/>
      <c r="E973" s="210"/>
      <c r="F973" s="210"/>
      <c r="G973" s="210"/>
      <c r="H973" s="208"/>
      <c r="I973" s="208"/>
      <c r="J973" s="209"/>
      <c r="K973" s="211"/>
      <c r="L973" s="208"/>
      <c r="M973" s="208"/>
      <c r="N973" s="208"/>
      <c r="O973" s="208"/>
      <c r="P973" s="208"/>
      <c r="Q973" s="208"/>
      <c r="R973" s="208"/>
      <c r="S973" s="212"/>
      <c r="T973" s="208"/>
      <c r="U973" s="208"/>
      <c r="V973" s="208"/>
      <c r="W973" s="208"/>
      <c r="X973" s="208"/>
      <c r="Y973" s="208"/>
      <c r="Z973" s="208"/>
    </row>
    <row r="974">
      <c r="A974" s="208"/>
      <c r="B974" s="207"/>
      <c r="C974" s="209"/>
      <c r="D974" s="210"/>
      <c r="E974" s="210"/>
      <c r="F974" s="210"/>
      <c r="G974" s="210"/>
      <c r="H974" s="208"/>
      <c r="I974" s="208"/>
      <c r="J974" s="209"/>
      <c r="K974" s="211"/>
      <c r="L974" s="208"/>
      <c r="M974" s="208"/>
      <c r="N974" s="208"/>
      <c r="O974" s="208"/>
      <c r="P974" s="208"/>
      <c r="Q974" s="208"/>
      <c r="R974" s="208"/>
      <c r="S974" s="212"/>
      <c r="T974" s="208"/>
      <c r="U974" s="208"/>
      <c r="V974" s="208"/>
      <c r="W974" s="208"/>
      <c r="X974" s="208"/>
      <c r="Y974" s="208"/>
      <c r="Z974" s="208"/>
    </row>
    <row r="975">
      <c r="A975" s="208"/>
      <c r="B975" s="207"/>
      <c r="C975" s="209"/>
      <c r="D975" s="210"/>
      <c r="E975" s="210"/>
      <c r="F975" s="210"/>
      <c r="G975" s="210"/>
      <c r="H975" s="208"/>
      <c r="I975" s="208"/>
      <c r="J975" s="209"/>
      <c r="K975" s="211"/>
      <c r="L975" s="208"/>
      <c r="M975" s="208"/>
      <c r="N975" s="208"/>
      <c r="O975" s="208"/>
      <c r="P975" s="208"/>
      <c r="Q975" s="208"/>
      <c r="R975" s="208"/>
      <c r="S975" s="212"/>
      <c r="T975" s="208"/>
      <c r="U975" s="208"/>
      <c r="V975" s="208"/>
      <c r="W975" s="208"/>
      <c r="X975" s="208"/>
      <c r="Y975" s="208"/>
      <c r="Z975" s="208"/>
    </row>
    <row r="976">
      <c r="A976" s="208"/>
      <c r="B976" s="207"/>
      <c r="C976" s="209"/>
      <c r="D976" s="210"/>
      <c r="E976" s="210"/>
      <c r="F976" s="210"/>
      <c r="G976" s="210"/>
      <c r="H976" s="208"/>
      <c r="I976" s="208"/>
      <c r="J976" s="209"/>
      <c r="K976" s="211"/>
      <c r="L976" s="208"/>
      <c r="M976" s="208"/>
      <c r="N976" s="208"/>
      <c r="O976" s="208"/>
      <c r="P976" s="208"/>
      <c r="Q976" s="208"/>
      <c r="R976" s="208"/>
      <c r="S976" s="212"/>
      <c r="T976" s="208"/>
      <c r="U976" s="208"/>
      <c r="V976" s="208"/>
      <c r="W976" s="208"/>
      <c r="X976" s="208"/>
      <c r="Y976" s="208"/>
      <c r="Z976" s="208"/>
    </row>
    <row r="977">
      <c r="A977" s="208"/>
      <c r="B977" s="207"/>
      <c r="C977" s="209"/>
      <c r="D977" s="210"/>
      <c r="E977" s="210"/>
      <c r="F977" s="210"/>
      <c r="G977" s="210"/>
      <c r="H977" s="208"/>
      <c r="I977" s="208"/>
      <c r="J977" s="209"/>
      <c r="K977" s="211"/>
      <c r="L977" s="208"/>
      <c r="M977" s="208"/>
      <c r="N977" s="208"/>
      <c r="O977" s="208"/>
      <c r="P977" s="208"/>
      <c r="Q977" s="208"/>
      <c r="R977" s="208"/>
      <c r="S977" s="212"/>
      <c r="T977" s="208"/>
      <c r="U977" s="208"/>
      <c r="V977" s="208"/>
      <c r="W977" s="208"/>
      <c r="X977" s="208"/>
      <c r="Y977" s="208"/>
      <c r="Z977" s="208"/>
    </row>
    <row r="978">
      <c r="A978" s="208"/>
      <c r="B978" s="207"/>
      <c r="C978" s="209"/>
      <c r="D978" s="210"/>
      <c r="E978" s="210"/>
      <c r="F978" s="210"/>
      <c r="G978" s="210"/>
      <c r="H978" s="208"/>
      <c r="I978" s="208"/>
      <c r="J978" s="209"/>
      <c r="K978" s="211"/>
      <c r="L978" s="208"/>
      <c r="M978" s="208"/>
      <c r="N978" s="208"/>
      <c r="O978" s="208"/>
      <c r="P978" s="208"/>
      <c r="Q978" s="208"/>
      <c r="R978" s="208"/>
      <c r="S978" s="212"/>
      <c r="T978" s="208"/>
      <c r="U978" s="208"/>
      <c r="V978" s="208"/>
      <c r="W978" s="208"/>
      <c r="X978" s="208"/>
      <c r="Y978" s="208"/>
      <c r="Z978" s="208"/>
    </row>
    <row r="979">
      <c r="A979" s="208"/>
      <c r="B979" s="207"/>
      <c r="C979" s="209"/>
      <c r="D979" s="210"/>
      <c r="E979" s="210"/>
      <c r="F979" s="210"/>
      <c r="G979" s="210"/>
      <c r="H979" s="208"/>
      <c r="I979" s="208"/>
      <c r="J979" s="209"/>
      <c r="K979" s="211"/>
      <c r="L979" s="208"/>
      <c r="M979" s="208"/>
      <c r="N979" s="208"/>
      <c r="O979" s="208"/>
      <c r="P979" s="208"/>
      <c r="Q979" s="208"/>
      <c r="R979" s="208"/>
      <c r="S979" s="212"/>
      <c r="T979" s="208"/>
      <c r="U979" s="208"/>
      <c r="V979" s="208"/>
      <c r="W979" s="208"/>
      <c r="X979" s="208"/>
      <c r="Y979" s="208"/>
      <c r="Z979" s="208"/>
    </row>
    <row r="980">
      <c r="A980" s="208"/>
      <c r="B980" s="207"/>
      <c r="C980" s="209"/>
      <c r="D980" s="210"/>
      <c r="E980" s="210"/>
      <c r="F980" s="210"/>
      <c r="G980" s="210"/>
      <c r="H980" s="208"/>
      <c r="I980" s="208"/>
      <c r="J980" s="209"/>
      <c r="K980" s="211"/>
      <c r="L980" s="208"/>
      <c r="M980" s="208"/>
      <c r="N980" s="208"/>
      <c r="O980" s="208"/>
      <c r="P980" s="208"/>
      <c r="Q980" s="208"/>
      <c r="R980" s="208"/>
      <c r="S980" s="212"/>
      <c r="T980" s="208"/>
      <c r="U980" s="208"/>
      <c r="V980" s="208"/>
      <c r="W980" s="208"/>
      <c r="X980" s="208"/>
      <c r="Y980" s="208"/>
      <c r="Z980" s="208"/>
    </row>
    <row r="981">
      <c r="A981" s="208"/>
      <c r="B981" s="207"/>
      <c r="C981" s="209"/>
      <c r="D981" s="210"/>
      <c r="E981" s="210"/>
      <c r="F981" s="210"/>
      <c r="G981" s="210"/>
      <c r="H981" s="208"/>
      <c r="I981" s="208"/>
      <c r="J981" s="209"/>
      <c r="K981" s="211"/>
      <c r="L981" s="208"/>
      <c r="M981" s="208"/>
      <c r="N981" s="208"/>
      <c r="O981" s="208"/>
      <c r="P981" s="208"/>
      <c r="Q981" s="208"/>
      <c r="R981" s="208"/>
      <c r="S981" s="212"/>
      <c r="T981" s="208"/>
      <c r="U981" s="208"/>
      <c r="V981" s="208"/>
      <c r="W981" s="208"/>
      <c r="X981" s="208"/>
      <c r="Y981" s="208"/>
      <c r="Z981" s="208"/>
    </row>
    <row r="982">
      <c r="A982" s="208"/>
      <c r="B982" s="207"/>
      <c r="C982" s="209"/>
      <c r="D982" s="210"/>
      <c r="E982" s="210"/>
      <c r="F982" s="210"/>
      <c r="G982" s="210"/>
      <c r="H982" s="208"/>
      <c r="I982" s="208"/>
      <c r="J982" s="209"/>
      <c r="K982" s="211"/>
      <c r="L982" s="208"/>
      <c r="M982" s="208"/>
      <c r="N982" s="208"/>
      <c r="O982" s="208"/>
      <c r="P982" s="208"/>
      <c r="Q982" s="208"/>
      <c r="R982" s="208"/>
      <c r="S982" s="212"/>
      <c r="T982" s="208"/>
      <c r="U982" s="208"/>
      <c r="V982" s="208"/>
      <c r="W982" s="208"/>
      <c r="X982" s="208"/>
      <c r="Y982" s="208"/>
      <c r="Z982" s="208"/>
    </row>
    <row r="983">
      <c r="A983" s="208"/>
      <c r="B983" s="207"/>
      <c r="C983" s="209"/>
      <c r="D983" s="210"/>
      <c r="E983" s="210"/>
      <c r="F983" s="210"/>
      <c r="G983" s="210"/>
      <c r="H983" s="208"/>
      <c r="I983" s="208"/>
      <c r="J983" s="209"/>
      <c r="K983" s="211"/>
      <c r="L983" s="208"/>
      <c r="M983" s="208"/>
      <c r="N983" s="208"/>
      <c r="O983" s="208"/>
      <c r="P983" s="208"/>
      <c r="Q983" s="208"/>
      <c r="R983" s="208"/>
      <c r="S983" s="212"/>
      <c r="T983" s="208"/>
      <c r="U983" s="208"/>
      <c r="V983" s="208"/>
      <c r="W983" s="208"/>
      <c r="X983" s="208"/>
      <c r="Y983" s="208"/>
      <c r="Z983" s="208"/>
    </row>
    <row r="984">
      <c r="A984" s="208"/>
      <c r="B984" s="207"/>
      <c r="C984" s="209"/>
      <c r="D984" s="210"/>
      <c r="E984" s="210"/>
      <c r="F984" s="210"/>
      <c r="G984" s="210"/>
      <c r="H984" s="208"/>
      <c r="I984" s="208"/>
      <c r="J984" s="209"/>
      <c r="K984" s="211"/>
      <c r="L984" s="208"/>
      <c r="M984" s="208"/>
      <c r="N984" s="208"/>
      <c r="O984" s="208"/>
      <c r="P984" s="208"/>
      <c r="Q984" s="208"/>
      <c r="R984" s="208"/>
      <c r="S984" s="212"/>
      <c r="T984" s="208"/>
      <c r="U984" s="208"/>
      <c r="V984" s="208"/>
      <c r="W984" s="208"/>
      <c r="X984" s="208"/>
      <c r="Y984" s="208"/>
      <c r="Z984" s="208"/>
    </row>
    <row r="985">
      <c r="A985" s="208"/>
      <c r="B985" s="207"/>
      <c r="C985" s="209"/>
      <c r="D985" s="210"/>
      <c r="E985" s="210"/>
      <c r="F985" s="210"/>
      <c r="G985" s="210"/>
      <c r="H985" s="208"/>
      <c r="I985" s="208"/>
      <c r="J985" s="209"/>
      <c r="K985" s="211"/>
      <c r="L985" s="208"/>
      <c r="M985" s="208"/>
      <c r="N985" s="208"/>
      <c r="O985" s="208"/>
      <c r="P985" s="208"/>
      <c r="Q985" s="208"/>
      <c r="R985" s="208"/>
      <c r="S985" s="212"/>
      <c r="T985" s="208"/>
      <c r="U985" s="208"/>
      <c r="V985" s="208"/>
      <c r="W985" s="208"/>
      <c r="X985" s="208"/>
      <c r="Y985" s="208"/>
      <c r="Z985" s="208"/>
    </row>
    <row r="986">
      <c r="A986" s="208"/>
      <c r="B986" s="207"/>
      <c r="C986" s="209"/>
      <c r="D986" s="210"/>
      <c r="E986" s="210"/>
      <c r="F986" s="210"/>
      <c r="G986" s="210"/>
      <c r="H986" s="208"/>
      <c r="I986" s="208"/>
      <c r="J986" s="209"/>
      <c r="K986" s="211"/>
      <c r="L986" s="208"/>
      <c r="M986" s="208"/>
      <c r="N986" s="208"/>
      <c r="O986" s="208"/>
      <c r="P986" s="208"/>
      <c r="Q986" s="208"/>
      <c r="R986" s="208"/>
      <c r="S986" s="212"/>
      <c r="T986" s="208"/>
      <c r="U986" s="208"/>
      <c r="V986" s="208"/>
      <c r="W986" s="208"/>
      <c r="X986" s="208"/>
      <c r="Y986" s="208"/>
      <c r="Z986" s="208"/>
    </row>
    <row r="987">
      <c r="A987" s="208"/>
      <c r="B987" s="207"/>
      <c r="C987" s="209"/>
      <c r="D987" s="210"/>
      <c r="E987" s="210"/>
      <c r="F987" s="210"/>
      <c r="G987" s="210"/>
      <c r="H987" s="208"/>
      <c r="I987" s="208"/>
      <c r="J987" s="209"/>
      <c r="K987" s="211"/>
      <c r="L987" s="208"/>
      <c r="M987" s="208"/>
      <c r="N987" s="208"/>
      <c r="O987" s="208"/>
      <c r="P987" s="208"/>
      <c r="Q987" s="208"/>
      <c r="R987" s="208"/>
      <c r="S987" s="212"/>
      <c r="T987" s="208"/>
      <c r="U987" s="208"/>
      <c r="V987" s="208"/>
      <c r="W987" s="208"/>
      <c r="X987" s="208"/>
      <c r="Y987" s="208"/>
      <c r="Z987" s="208"/>
    </row>
    <row r="988">
      <c r="A988" s="208"/>
      <c r="B988" s="207"/>
      <c r="C988" s="209"/>
      <c r="D988" s="210"/>
      <c r="E988" s="210"/>
      <c r="F988" s="210"/>
      <c r="G988" s="210"/>
      <c r="H988" s="208"/>
      <c r="I988" s="208"/>
      <c r="J988" s="209"/>
      <c r="K988" s="211"/>
      <c r="L988" s="208"/>
      <c r="M988" s="208"/>
      <c r="N988" s="208"/>
      <c r="O988" s="208"/>
      <c r="P988" s="208"/>
      <c r="Q988" s="208"/>
      <c r="R988" s="208"/>
      <c r="S988" s="212"/>
      <c r="T988" s="208"/>
      <c r="U988" s="208"/>
      <c r="V988" s="208"/>
      <c r="W988" s="208"/>
      <c r="X988" s="208"/>
      <c r="Y988" s="208"/>
      <c r="Z988" s="208"/>
    </row>
    <row r="989">
      <c r="A989" s="208"/>
      <c r="B989" s="207"/>
      <c r="C989" s="209"/>
      <c r="D989" s="210"/>
      <c r="E989" s="210"/>
      <c r="F989" s="210"/>
      <c r="G989" s="210"/>
      <c r="H989" s="208"/>
      <c r="I989" s="208"/>
      <c r="J989" s="209"/>
      <c r="K989" s="211"/>
      <c r="L989" s="208"/>
      <c r="M989" s="208"/>
      <c r="N989" s="208"/>
      <c r="O989" s="208"/>
      <c r="P989" s="208"/>
      <c r="Q989" s="208"/>
      <c r="R989" s="208"/>
      <c r="S989" s="212"/>
      <c r="T989" s="208"/>
      <c r="U989" s="208"/>
      <c r="V989" s="208"/>
      <c r="W989" s="208"/>
      <c r="X989" s="208"/>
      <c r="Y989" s="208"/>
      <c r="Z989" s="208"/>
    </row>
    <row r="990">
      <c r="A990" s="208"/>
      <c r="B990" s="207"/>
      <c r="C990" s="209"/>
      <c r="D990" s="210"/>
      <c r="E990" s="210"/>
      <c r="F990" s="210"/>
      <c r="G990" s="210"/>
      <c r="H990" s="208"/>
      <c r="I990" s="208"/>
      <c r="J990" s="209"/>
      <c r="K990" s="211"/>
      <c r="L990" s="208"/>
      <c r="M990" s="208"/>
      <c r="N990" s="208"/>
      <c r="O990" s="208"/>
      <c r="P990" s="208"/>
      <c r="Q990" s="208"/>
      <c r="R990" s="208"/>
      <c r="S990" s="212"/>
      <c r="T990" s="208"/>
      <c r="U990" s="208"/>
      <c r="V990" s="208"/>
      <c r="W990" s="208"/>
      <c r="X990" s="208"/>
      <c r="Y990" s="208"/>
      <c r="Z990" s="208"/>
    </row>
    <row r="991">
      <c r="A991" s="208"/>
      <c r="B991" s="207"/>
      <c r="C991" s="209"/>
      <c r="D991" s="210"/>
      <c r="E991" s="210"/>
      <c r="F991" s="210"/>
      <c r="G991" s="210"/>
      <c r="H991" s="208"/>
      <c r="I991" s="208"/>
      <c r="J991" s="209"/>
      <c r="K991" s="211"/>
      <c r="L991" s="208"/>
      <c r="M991" s="208"/>
      <c r="N991" s="208"/>
      <c r="O991" s="208"/>
      <c r="P991" s="208"/>
      <c r="Q991" s="208"/>
      <c r="R991" s="208"/>
      <c r="S991" s="212"/>
      <c r="T991" s="208"/>
      <c r="U991" s="208"/>
      <c r="V991" s="208"/>
      <c r="W991" s="208"/>
      <c r="X991" s="208"/>
      <c r="Y991" s="208"/>
      <c r="Z991" s="208"/>
    </row>
    <row r="992">
      <c r="A992" s="208"/>
      <c r="B992" s="207"/>
      <c r="C992" s="209"/>
      <c r="D992" s="210"/>
      <c r="E992" s="210"/>
      <c r="F992" s="210"/>
      <c r="G992" s="210"/>
      <c r="H992" s="208"/>
      <c r="I992" s="208"/>
      <c r="J992" s="209"/>
      <c r="K992" s="211"/>
      <c r="L992" s="208"/>
      <c r="M992" s="208"/>
      <c r="N992" s="208"/>
      <c r="O992" s="208"/>
      <c r="P992" s="208"/>
      <c r="Q992" s="208"/>
      <c r="R992" s="208"/>
      <c r="S992" s="212"/>
      <c r="T992" s="208"/>
      <c r="U992" s="208"/>
      <c r="V992" s="208"/>
      <c r="W992" s="208"/>
      <c r="X992" s="208"/>
      <c r="Y992" s="208"/>
      <c r="Z992" s="208"/>
    </row>
    <row r="993">
      <c r="A993" s="208"/>
      <c r="B993" s="207"/>
      <c r="C993" s="209"/>
      <c r="D993" s="210"/>
      <c r="E993" s="210"/>
      <c r="F993" s="210"/>
      <c r="G993" s="210"/>
      <c r="H993" s="208"/>
      <c r="I993" s="208"/>
      <c r="J993" s="209"/>
      <c r="K993" s="211"/>
      <c r="L993" s="208"/>
      <c r="M993" s="208"/>
      <c r="N993" s="208"/>
      <c r="O993" s="208"/>
      <c r="P993" s="208"/>
      <c r="Q993" s="208"/>
      <c r="R993" s="208"/>
      <c r="S993" s="212"/>
      <c r="T993" s="208"/>
      <c r="U993" s="208"/>
      <c r="V993" s="208"/>
      <c r="W993" s="208"/>
      <c r="X993" s="208"/>
      <c r="Y993" s="208"/>
      <c r="Z993" s="208"/>
    </row>
    <row r="994">
      <c r="A994" s="208"/>
      <c r="B994" s="207"/>
      <c r="C994" s="209"/>
      <c r="D994" s="210"/>
      <c r="E994" s="210"/>
      <c r="F994" s="210"/>
      <c r="G994" s="210"/>
      <c r="H994" s="208"/>
      <c r="I994" s="208"/>
      <c r="J994" s="209"/>
      <c r="K994" s="211"/>
      <c r="L994" s="208"/>
      <c r="M994" s="208"/>
      <c r="N994" s="208"/>
      <c r="O994" s="208"/>
      <c r="P994" s="208"/>
      <c r="Q994" s="208"/>
      <c r="R994" s="208"/>
      <c r="S994" s="212"/>
      <c r="T994" s="208"/>
      <c r="U994" s="208"/>
      <c r="V994" s="208"/>
      <c r="W994" s="208"/>
      <c r="X994" s="208"/>
      <c r="Y994" s="208"/>
      <c r="Z994" s="208"/>
    </row>
    <row r="995">
      <c r="A995" s="208"/>
      <c r="B995" s="207"/>
      <c r="C995" s="209"/>
      <c r="D995" s="210"/>
      <c r="E995" s="210"/>
      <c r="F995" s="210"/>
      <c r="G995" s="210"/>
      <c r="H995" s="208"/>
      <c r="I995" s="208"/>
      <c r="J995" s="209"/>
      <c r="K995" s="211"/>
      <c r="L995" s="208"/>
      <c r="M995" s="208"/>
      <c r="N995" s="208"/>
      <c r="O995" s="208"/>
      <c r="P995" s="208"/>
      <c r="Q995" s="208"/>
      <c r="R995" s="208"/>
      <c r="S995" s="212"/>
      <c r="T995" s="208"/>
      <c r="U995" s="208"/>
      <c r="V995" s="208"/>
      <c r="W995" s="208"/>
      <c r="X995" s="208"/>
      <c r="Y995" s="208"/>
      <c r="Z995" s="208"/>
    </row>
    <row r="996">
      <c r="A996" s="208"/>
      <c r="B996" s="207"/>
      <c r="C996" s="209"/>
      <c r="D996" s="210"/>
      <c r="E996" s="210"/>
      <c r="F996" s="210"/>
      <c r="G996" s="210"/>
      <c r="H996" s="208"/>
      <c r="I996" s="208"/>
      <c r="J996" s="209"/>
      <c r="K996" s="211"/>
      <c r="L996" s="208"/>
      <c r="M996" s="208"/>
      <c r="N996" s="208"/>
      <c r="O996" s="208"/>
      <c r="P996" s="208"/>
      <c r="Q996" s="208"/>
      <c r="R996" s="208"/>
      <c r="S996" s="212"/>
      <c r="T996" s="208"/>
      <c r="U996" s="208"/>
      <c r="V996" s="208"/>
      <c r="W996" s="208"/>
      <c r="X996" s="208"/>
      <c r="Y996" s="208"/>
      <c r="Z996" s="208"/>
    </row>
    <row r="997">
      <c r="A997" s="208"/>
      <c r="B997" s="207"/>
      <c r="C997" s="209"/>
      <c r="D997" s="210"/>
      <c r="E997" s="210"/>
      <c r="F997" s="210"/>
      <c r="G997" s="210"/>
      <c r="H997" s="208"/>
      <c r="I997" s="208"/>
      <c r="J997" s="209"/>
      <c r="K997" s="211"/>
      <c r="L997" s="208"/>
      <c r="M997" s="208"/>
      <c r="N997" s="208"/>
      <c r="O997" s="208"/>
      <c r="P997" s="208"/>
      <c r="Q997" s="208"/>
      <c r="R997" s="208"/>
      <c r="S997" s="212"/>
      <c r="T997" s="208"/>
      <c r="U997" s="208"/>
      <c r="V997" s="208"/>
      <c r="W997" s="208"/>
      <c r="X997" s="208"/>
      <c r="Y997" s="208"/>
      <c r="Z997" s="208"/>
    </row>
    <row r="998">
      <c r="A998" s="208"/>
      <c r="B998" s="207"/>
      <c r="C998" s="209"/>
      <c r="D998" s="210"/>
      <c r="E998" s="210"/>
      <c r="F998" s="210"/>
      <c r="G998" s="210"/>
      <c r="H998" s="208"/>
      <c r="I998" s="208"/>
      <c r="J998" s="209"/>
      <c r="K998" s="211"/>
      <c r="L998" s="208"/>
      <c r="M998" s="208"/>
      <c r="N998" s="208"/>
      <c r="O998" s="208"/>
      <c r="P998" s="208"/>
      <c r="Q998" s="208"/>
      <c r="R998" s="208"/>
      <c r="S998" s="212"/>
      <c r="T998" s="208"/>
      <c r="U998" s="208"/>
      <c r="V998" s="208"/>
      <c r="W998" s="208"/>
      <c r="X998" s="208"/>
      <c r="Y998" s="208"/>
      <c r="Z998" s="208"/>
    </row>
    <row r="999">
      <c r="A999" s="208"/>
      <c r="B999" s="207"/>
      <c r="C999" s="209"/>
      <c r="D999" s="210"/>
      <c r="E999" s="210"/>
      <c r="F999" s="210"/>
      <c r="G999" s="210"/>
      <c r="H999" s="208"/>
      <c r="I999" s="208"/>
      <c r="J999" s="209"/>
      <c r="K999" s="211"/>
      <c r="L999" s="208"/>
      <c r="M999" s="208"/>
      <c r="N999" s="208"/>
      <c r="O999" s="208"/>
      <c r="P999" s="208"/>
      <c r="Q999" s="208"/>
      <c r="R999" s="208"/>
      <c r="S999" s="212"/>
      <c r="T999" s="208"/>
      <c r="U999" s="208"/>
      <c r="V999" s="208"/>
      <c r="W999" s="208"/>
      <c r="X999" s="208"/>
      <c r="Y999" s="208"/>
      <c r="Z999" s="208"/>
    </row>
    <row r="1000">
      <c r="A1000" s="208"/>
      <c r="B1000" s="207"/>
      <c r="C1000" s="209"/>
      <c r="D1000" s="210"/>
      <c r="E1000" s="210"/>
      <c r="F1000" s="210"/>
      <c r="G1000" s="210"/>
      <c r="H1000" s="208"/>
      <c r="I1000" s="208"/>
      <c r="J1000" s="209"/>
      <c r="K1000" s="211"/>
      <c r="L1000" s="208"/>
      <c r="M1000" s="208"/>
      <c r="N1000" s="208"/>
      <c r="O1000" s="208"/>
      <c r="P1000" s="208"/>
      <c r="Q1000" s="208"/>
      <c r="R1000" s="208"/>
      <c r="S1000" s="212"/>
      <c r="T1000" s="208"/>
      <c r="U1000" s="208"/>
      <c r="V1000" s="208"/>
      <c r="W1000" s="208"/>
      <c r="X1000" s="208"/>
      <c r="Y1000" s="208"/>
      <c r="Z1000" s="208"/>
    </row>
  </sheetData>
  <autoFilter ref="$A$1:$S$45"/>
  <conditionalFormatting sqref="A1:A1000">
    <cfRule type="containsText" dxfId="2" priority="1" operator="containsText" text="В аренде">
      <formula>NOT(ISERROR(SEARCH(("В аренде"),(A1))))</formula>
    </cfRule>
  </conditionalFormatting>
  <conditionalFormatting sqref="A1:A1000">
    <cfRule type="containsText" dxfId="13" priority="2" operator="containsText" text="ДОМА">
      <formula>NOT(ISERROR(SEARCH(("ДОМА"),(A1))))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1.22" defaultRowHeight="15.75"/>
  <cols>
    <col customWidth="1" min="1" max="1" width="27.67"/>
    <col customWidth="1" min="3" max="3" width="10.0"/>
    <col customWidth="1" hidden="1" min="4" max="4" width="33.67"/>
    <col customWidth="1" hidden="1" min="5" max="5" width="33.0"/>
    <col customWidth="1" hidden="1" min="6" max="6" width="31.56"/>
    <col customWidth="1" min="7" max="7" width="43.89"/>
    <col customWidth="1" min="9" max="9" width="16.44"/>
  </cols>
  <sheetData>
    <row r="1">
      <c r="A1" s="213" t="s">
        <v>2131</v>
      </c>
      <c r="B1" s="214" t="s">
        <v>2132</v>
      </c>
      <c r="C1" s="215"/>
      <c r="D1" s="214" t="s">
        <v>2133</v>
      </c>
      <c r="E1" s="216"/>
      <c r="F1" s="180"/>
      <c r="G1" s="188" t="s">
        <v>2134</v>
      </c>
      <c r="H1" s="217" t="s">
        <v>2135</v>
      </c>
      <c r="I1" s="218"/>
      <c r="J1" s="218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</row>
    <row r="2">
      <c r="A2" s="220"/>
      <c r="B2" s="192">
        <f>'Календарь бронирования'!H3</f>
        <v>0.15</v>
      </c>
      <c r="C2" s="221" t="s">
        <v>2136</v>
      </c>
      <c r="D2" s="222" t="s">
        <v>2137</v>
      </c>
      <c r="E2" s="222" t="s">
        <v>2138</v>
      </c>
      <c r="F2" s="223" t="s">
        <v>2139</v>
      </c>
      <c r="G2" s="224">
        <f>'Календарь бронирования'!G3</f>
        <v>10</v>
      </c>
      <c r="H2" s="225"/>
      <c r="I2" s="226" t="s">
        <v>2140</v>
      </c>
      <c r="J2" s="218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>
      <c r="A3" s="227" t="s">
        <v>2141</v>
      </c>
      <c r="B3" s="228">
        <v>590.0</v>
      </c>
      <c r="C3" s="229">
        <f t="shared" ref="C3:C7" si="1">MROUND(B3*(1-$B$2), 1)</f>
        <v>502</v>
      </c>
      <c r="D3" s="230" t="str">
        <f t="shared" ref="D3:D7" si="2">TEXT(MROUND($C3*(1-0.15)*7, 1), "#,##0") &amp; " (в день: " &amp; TEXT(MROUND($C3*(1-0.15), 1), "#,##0") &amp; "; Скидка за срок: 15%)"
</f>
        <v>2 987 (в день: 427; Скидка за срок: 15%)</v>
      </c>
      <c r="E3" s="230" t="str">
        <f t="shared" ref="E3:E7" si="3">TEXT(MROUND($C3*(1-0.25)*14, 1), "#,##0") &amp; " (в день: " &amp; TEXT(MROUND($C3*(1-0.25), 1), "#,##0") &amp; "; Скидка за срок: 25%)"
</f>
        <v>5 271 (в день: 377; Скидка за срок: 25%)</v>
      </c>
      <c r="F3" s="231" t="str">
        <f t="shared" ref="F3:F5" si="4">TEXT(MROUND($C3*(1-0.45)*30, 1), "#,##0") &amp; " (в день: " &amp; TEXT(MROUND($C3*(1-0.45), 1), "#,##0") &amp; "; Скидка за срок: 45%)"
</f>
        <v>8 283 (в день: 276; Скидка за срок: 45%)</v>
      </c>
      <c r="G3" s="232" t="str">
        <f>IF($G$2&lt;=5,
  TEXT(ROUND(C3*$G$2, 0), "#0") &amp; " (Скидка за срок 0%, " &amp; TEXT(ROUND(C3, 0), "#0") &amp; " в день)",
  IF($G$2&lt;=13,
    TEXT(ROUND(C3*$G$2*(1-(0.05 + (($G$2-6)*0.01))), 0), "#0") &amp; " (Скидка за срок " &amp; TEXT(5 + (($G$2-6)*1), "0") &amp; "%, " &amp; TEXT(ROUND(C3*(1-(0.05 + (($G$2-6)*0.01))), 0), "#0") &amp; " в день)",
    IF($G$2&lt;=30,
      TEXT(ROUND(C3*$G$2*(1-MIN(0.45, (0.25 + (($G$2-13)*0.015)))), 0), "#0") &amp; " (Скидка за срок " &amp; TEXT(MIN(45, 25 + (($G$2-13)*1.5)), "0") &amp; "%, " &amp; TEXT(ROUND(C3*(1-MIN(0.45, (0.25 + (($G$2-13)*0.015)))), 0), "#0") &amp; " в день)",
      TEXT(ROUND(C3*$G$2*0.55, 0), "#0") &amp; " (Скидка за срок 45%, " &amp; TEXT(ROUND(C3*0.55, 0), "#0") &amp; " в день)"
    )
  )
)
</f>
        <v>4568 (Скидка за срок 9%, 457 в день)</v>
      </c>
      <c r="H3" s="217">
        <v>7000.0</v>
      </c>
      <c r="I3" s="218" t="str">
        <f t="shared" ref="I3:I7" si="5">"от " &amp; MID(F3, SEARCH("в день: ", F3) + LEN("в день: "), SEARCH("; Скидка за срок", F3) - SEARCH("в день: ", F3) - LEN("в день: ")) &amp; " бат в сутки"
</f>
        <v>от 276 бат в сутки</v>
      </c>
      <c r="J3" s="218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>
      <c r="A4" s="227" t="s">
        <v>2142</v>
      </c>
      <c r="B4" s="228">
        <v>890.0</v>
      </c>
      <c r="C4" s="229">
        <f t="shared" si="1"/>
        <v>757</v>
      </c>
      <c r="D4" s="230" t="str">
        <f t="shared" si="2"/>
        <v>4 504 (в день: 643; Скидка за срок: 15%)</v>
      </c>
      <c r="E4" s="230" t="str">
        <f t="shared" si="3"/>
        <v>7 949 (в день: 568; Скидка за срок: 25%)</v>
      </c>
      <c r="F4" s="231" t="str">
        <f t="shared" si="4"/>
        <v>12 491 (в день: 416; Скидка за срок: 45%)</v>
      </c>
      <c r="G4" s="232" t="str">
        <f t="shared" ref="G4:G7" si="6">IF($G$2&lt;=3,
  TEXT(ROUND(C4*$G$2, 0), "#0") &amp; " (Скидка за срок 0%, " &amp; TEXT(ROUND(C4, 0), "#0") &amp; " в день)",
  IF($G$2&lt;=6,
    TEXT(ROUND(C4*$G$2*0.9, 0), "#0") &amp; " (Скидка за срок 10%, " &amp; TEXT(ROUND(C4*0.9, 0), "#0") &amp; " в день)",
    IF($G$2&lt;=13,
      TEXT(ROUND(C4*$G$2*(1-(0.1 + (($G$2-6)*0.01))), 0), "#0") &amp; " (Скидка за срок " &amp; TEXT(10 + (($G$2-6)*1), "0") &amp; "%, " &amp; TEXT(ROUND(C4*(1-(0.1 + (($G$2-6)*0.01))), 0), "#0") &amp; " в день)",
      IF($G$2&lt;=30,
        TEXT(ROUND(C4*$G$2*(1-MIN(0.45, (0.25 + (($G$2-13)*0.015)))), 0), "#0") &amp; " (Скидка за срок " &amp; TEXT(MIN(45, 25 + (($G$2-13)*1.5)), "0") &amp; "%, " &amp; TEXT(ROUND(C4*(1-MIN(0.45, (0.25 + (($G$2-13)*0.015)))), 0), "#0") &amp; " в день)",
        TEXT(ROUND(C4*$G$2*0.55, 0), "#0") &amp; " (Скидка за срок 45%, " &amp; TEXT(ROUND(C4*0.55, 0), "#0") &amp; " в день)"
      )
    )
  )
)
</f>
        <v>6510 (Скидка за срок 14%, 651 в день)</v>
      </c>
      <c r="H4" s="217">
        <v>15000.0</v>
      </c>
      <c r="I4" s="218" t="str">
        <f t="shared" si="5"/>
        <v>от 416 бат в сутки</v>
      </c>
      <c r="J4" s="218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>
      <c r="A5" s="227" t="s">
        <v>2143</v>
      </c>
      <c r="B5" s="228">
        <v>890.0</v>
      </c>
      <c r="C5" s="229">
        <f t="shared" si="1"/>
        <v>757</v>
      </c>
      <c r="D5" s="230" t="str">
        <f t="shared" si="2"/>
        <v>4 504 (в день: 643; Скидка за срок: 15%)</v>
      </c>
      <c r="E5" s="230" t="str">
        <f t="shared" si="3"/>
        <v>7 949 (в день: 568; Скидка за срок: 25%)</v>
      </c>
      <c r="F5" s="231" t="str">
        <f t="shared" si="4"/>
        <v>12 491 (в день: 416; Скидка за срок: 45%)</v>
      </c>
      <c r="G5" s="232" t="str">
        <f t="shared" si="6"/>
        <v>6510 (Скидка за срок 14%, 651 в день)</v>
      </c>
      <c r="H5" s="217">
        <v>15000.0</v>
      </c>
      <c r="I5" s="218" t="str">
        <f t="shared" si="5"/>
        <v>от 416 бат в сутки</v>
      </c>
      <c r="J5" s="218"/>
      <c r="K5" s="219"/>
      <c r="L5" s="219"/>
      <c r="M5" s="233" t="s">
        <v>2144</v>
      </c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>
      <c r="A6" s="227" t="s">
        <v>2145</v>
      </c>
      <c r="B6" s="228">
        <v>1090.0</v>
      </c>
      <c r="C6" s="229">
        <f t="shared" si="1"/>
        <v>927</v>
      </c>
      <c r="D6" s="230" t="str">
        <f t="shared" si="2"/>
        <v>5 516 (в день: 788; Скидка за срок: 15%)</v>
      </c>
      <c r="E6" s="230" t="str">
        <f t="shared" si="3"/>
        <v>9 734 (в день: 695; Скидка за срок: 25%)</v>
      </c>
      <c r="F6" s="231" t="str">
        <f t="shared" ref="F6:F7" si="7">TEXT(MROUND($C6*(1-0.5)*30, 1), "#,##0") &amp; " (в день: " &amp; TEXT(MROUND($C6*(1-0.5), 1), "#,##0") &amp; "; Скидка за срок: 50%)"
</f>
        <v>13 905 (в день: 464; Скидка за срок: 50%)</v>
      </c>
      <c r="G6" s="232" t="str">
        <f t="shared" si="6"/>
        <v>7972 (Скидка за срок 14%, 797 в день)</v>
      </c>
      <c r="H6" s="217">
        <v>15000.0</v>
      </c>
      <c r="I6" s="218" t="str">
        <f t="shared" si="5"/>
        <v>от 464 бат в сутки</v>
      </c>
      <c r="J6" s="218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>
      <c r="A7" s="234" t="s">
        <v>2146</v>
      </c>
      <c r="B7" s="228">
        <v>1185.0</v>
      </c>
      <c r="C7" s="229">
        <f t="shared" si="1"/>
        <v>1007</v>
      </c>
      <c r="D7" s="230" t="str">
        <f t="shared" si="2"/>
        <v>5 992 (в день: 856; Скидка за срок: 15%)</v>
      </c>
      <c r="E7" s="230" t="str">
        <f t="shared" si="3"/>
        <v>10 574 (в день: 755; Скидка за срок: 25%)</v>
      </c>
      <c r="F7" s="231" t="str">
        <f t="shared" si="7"/>
        <v>15 105 (в день: 504; Скидка за срок: 50%)</v>
      </c>
      <c r="G7" s="232" t="str">
        <f t="shared" si="6"/>
        <v>8660 (Скидка за срок 14%, 866 в день)</v>
      </c>
      <c r="H7" s="217">
        <v>20000.0</v>
      </c>
      <c r="I7" s="218" t="str">
        <f t="shared" si="5"/>
        <v>от 504 бат в сутки</v>
      </c>
      <c r="J7" s="218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>
      <c r="A8" s="213" t="s">
        <v>2147</v>
      </c>
      <c r="B8" s="214" t="s">
        <v>2132</v>
      </c>
      <c r="C8" s="215"/>
      <c r="D8" s="214" t="s">
        <v>2133</v>
      </c>
      <c r="E8" s="216"/>
      <c r="F8" s="180"/>
      <c r="G8" s="188" t="s">
        <v>2134</v>
      </c>
      <c r="H8" s="235" t="s">
        <v>2135</v>
      </c>
      <c r="I8" s="218"/>
      <c r="J8" s="218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>
      <c r="A9" s="220"/>
      <c r="B9" s="192">
        <f>'Календарь бронирования'!I3</f>
        <v>0.15</v>
      </c>
      <c r="C9" s="221" t="s">
        <v>2136</v>
      </c>
      <c r="D9" s="222" t="s">
        <v>2137</v>
      </c>
      <c r="E9" s="222" t="s">
        <v>2138</v>
      </c>
      <c r="F9" s="223" t="s">
        <v>2139</v>
      </c>
      <c r="G9" s="224">
        <f>'Календарь бронирования'!G3</f>
        <v>10</v>
      </c>
      <c r="H9" s="225"/>
      <c r="I9" s="226" t="s">
        <v>2140</v>
      </c>
      <c r="J9" s="218"/>
      <c r="K9" s="219"/>
      <c r="L9" s="233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>
      <c r="A10" s="227" t="s">
        <v>2148</v>
      </c>
      <c r="B10" s="228">
        <v>1798.0</v>
      </c>
      <c r="C10" s="229">
        <f t="shared" ref="C10:C14" si="8">MROUND(B10*(1-$B$9), 1)</f>
        <v>1528</v>
      </c>
      <c r="D10" s="230" t="str">
        <f t="shared" ref="D10:D11" si="9">TEXT(MROUND($C10*(1-0.15)*7, 1), "#,##0") &amp; " (в день: " &amp; TEXT(MROUND($C10*(1-0.15), 1), "#,##0") &amp; "; Скидка за срок: 15%)"
</f>
        <v>9 092 (в день: 1 299; Скидка за срок: 15%)</v>
      </c>
      <c r="E10" s="230" t="str">
        <f t="shared" ref="E10:E11" si="10">TEXT(MROUND($C10*(1-0.25)*14, 1), "#,##0") &amp; " (в день: " &amp; TEXT(MROUND($C10*(1-0.25), 1), "#,##0") &amp; "; Скидка за срок: 25%)"
</f>
        <v>16 044 (в день: 1 146; Скидка за срок: 25%)</v>
      </c>
      <c r="F10" s="231" t="str">
        <f t="shared" ref="F10:F11" si="11">TEXT(MROUND($C10*(1-0.5)*30, 1), "#,##0") &amp; " (в день: " &amp; TEXT(MROUND($C10*(1-0.5), 1), "#,##0") &amp; "; Скидка за срок: 50%)"
</f>
        <v>22 920 (в день: 764; Скидка за срок: 50%)</v>
      </c>
      <c r="G10" s="232" t="str">
        <f t="shared" ref="G10:G14" si="12">IF($G$9&lt;=5,
  TEXT(ROUND(C10*$G$9, 0), "#0") &amp; "  (Скидка за срок 0%, " &amp; TEXT(ROUND(C10, 0), "#0") &amp; " в день)",
  IF($G$9=6,
    TEXT(ROUND(C10*$G$9*0.9, 0), "#0") &amp; "  (Скидка за срок 10%, " &amp; TEXT(ROUND(C10*0.9, 0), "#0") &amp; " в день)",
    IF($G$9&lt;=13,
      TEXT(ROUND(C10*$G$9*(1-(0.11 + (($G$9-7)*0.01))), 0), "#0") &amp; "  (Скидка за срок " &amp; TEXT(11 + (($G$9-7)*1), "0") &amp; "%, " &amp; TEXT(ROUND(C10*(1-(0.11 + (($G$9-7)*0.01))), 0), "#0") &amp; " в день)",
      IF($G$9&lt;=30,
        TEXT(ROUND(C10*$G$9*(1-(0.18 + (($G$9-14)*0.02))), 0), "#0") &amp; "  (Скидка за срок " &amp; TEXT(18 + (($G$9-14)*2), "0") &amp; "%, " &amp; TEXT(ROUND(C10*(1-(0.18 + (($G$9-14)*0.02))), 0), "#0") &amp; " в день)",
        TEXT(ROUND(C10*$G$9*0.5, 0), "#0") &amp; "  (Скидка за срок 50%, " &amp; TEXT(ROUND(C10*0.5, 0), "#0") &amp; " в день)"
      )
    )
  )
)</f>
        <v>13141  (Скидка за срок 14%, 1314 в день)</v>
      </c>
      <c r="H10" s="217">
        <v>20000.0</v>
      </c>
      <c r="I10" s="218" t="str">
        <f t="shared" ref="I10:I14" si="13">"от " &amp; MID(F10, SEARCH("в день: ", F10) + LEN("в день: "), SEARCH("; Скидка за срок", F10) - SEARCH("в день: ", F10) - LEN("в день: ")) &amp; " бат в сутки"
</f>
        <v>от 764 бат в сутки</v>
      </c>
      <c r="J10" s="218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>
      <c r="A11" s="227" t="s">
        <v>2149</v>
      </c>
      <c r="B11" s="228">
        <v>1798.0</v>
      </c>
      <c r="C11" s="229">
        <f t="shared" si="8"/>
        <v>1528</v>
      </c>
      <c r="D11" s="230" t="str">
        <f t="shared" si="9"/>
        <v>9 092 (в день: 1 299; Скидка за срок: 15%)</v>
      </c>
      <c r="E11" s="230" t="str">
        <f t="shared" si="10"/>
        <v>16 044 (в день: 1 146; Скидка за срок: 25%)</v>
      </c>
      <c r="F11" s="231" t="str">
        <f t="shared" si="11"/>
        <v>22 920 (в день: 764; Скидка за срок: 50%)</v>
      </c>
      <c r="G11" s="232" t="str">
        <f t="shared" si="12"/>
        <v>13141  (Скидка за срок 14%, 1314 в день)</v>
      </c>
      <c r="H11" s="217">
        <v>20000.0</v>
      </c>
      <c r="I11" s="218" t="str">
        <f t="shared" si="13"/>
        <v>от 764 бат в сутки</v>
      </c>
      <c r="J11" s="218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>
      <c r="A12" s="227" t="s">
        <v>2150</v>
      </c>
      <c r="B12" s="228">
        <v>1798.0</v>
      </c>
      <c r="C12" s="229">
        <f t="shared" si="8"/>
        <v>1528</v>
      </c>
      <c r="D12" s="230"/>
      <c r="E12" s="230"/>
      <c r="F12" s="231"/>
      <c r="G12" s="232" t="str">
        <f t="shared" si="12"/>
        <v>13141  (Скидка за срок 14%, 1314 в день)</v>
      </c>
      <c r="H12" s="217">
        <v>20000.0</v>
      </c>
      <c r="I12" s="218" t="str">
        <f t="shared" si="13"/>
        <v>#VALUE!</v>
      </c>
      <c r="J12" s="218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>
      <c r="A13" s="227" t="s">
        <v>2151</v>
      </c>
      <c r="B13" s="228">
        <v>1798.0</v>
      </c>
      <c r="C13" s="229">
        <f t="shared" si="8"/>
        <v>1528</v>
      </c>
      <c r="D13" s="230" t="str">
        <f t="shared" ref="D13:D14" si="14">TEXT(MROUND($C13*(1-0.15)*7, 1), "#,##0") &amp; " (в день: " &amp; TEXT(MROUND($C13*(1-0.15), 1), "#,##0") &amp; "; Скидка за срок: 15%)"
</f>
        <v>9 092 (в день: 1 299; Скидка за срок: 15%)</v>
      </c>
      <c r="E13" s="230" t="str">
        <f t="shared" ref="E13:E14" si="15">TEXT(MROUND($C13*(1-0.25)*14, 1), "#,##0") &amp; " (в день: " &amp; TEXT(MROUND($C13*(1-0.25), 1), "#,##0") &amp; "; Скидка за срок: 25%)"
</f>
        <v>16 044 (в день: 1 146; Скидка за срок: 25%)</v>
      </c>
      <c r="F13" s="231" t="str">
        <f t="shared" ref="F13:F14" si="16">TEXT(MROUND($C13*(1-0.5)*30, 1), "#,##0") &amp; " (в день: " &amp; TEXT(MROUND($C13*(1-0.5), 1), "#,##0") &amp; "; Скидка за срок: 50%)"
</f>
        <v>22 920 (в день: 764; Скидка за срок: 50%)</v>
      </c>
      <c r="G13" s="232" t="str">
        <f t="shared" si="12"/>
        <v>13141  (Скидка за срок 14%, 1314 в день)</v>
      </c>
      <c r="H13" s="217">
        <v>20000.0</v>
      </c>
      <c r="I13" s="218" t="str">
        <f t="shared" si="13"/>
        <v>от 764 бат в сутки</v>
      </c>
      <c r="J13" s="218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>
      <c r="A14" s="236" t="s">
        <v>2152</v>
      </c>
      <c r="B14" s="237">
        <v>2298.0</v>
      </c>
      <c r="C14" s="238">
        <f t="shared" si="8"/>
        <v>1953</v>
      </c>
      <c r="D14" s="239" t="str">
        <f t="shared" si="14"/>
        <v>11 620 (в день: 1 660; Скидка за срок: 15%)</v>
      </c>
      <c r="E14" s="239" t="str">
        <f t="shared" si="15"/>
        <v>20 507 (в день: 1 465; Скидка за срок: 25%)</v>
      </c>
      <c r="F14" s="240" t="str">
        <f t="shared" si="16"/>
        <v>29 295 (в день: 977; Скидка за срок: 50%)</v>
      </c>
      <c r="G14" s="224" t="str">
        <f t="shared" si="12"/>
        <v>16796  (Скидка за срок 14%, 1680 в день)</v>
      </c>
      <c r="H14" s="241">
        <v>25000.0</v>
      </c>
      <c r="I14" s="186" t="str">
        <f t="shared" si="13"/>
        <v>от 977 бат в сутки</v>
      </c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>
      <c r="A15" s="242"/>
      <c r="B15" s="219"/>
      <c r="C15" s="219"/>
      <c r="D15" s="230"/>
      <c r="E15" s="219"/>
      <c r="F15" s="219"/>
      <c r="G15" s="219"/>
      <c r="H15" s="22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>
      <c r="A16" s="226"/>
      <c r="B16" s="218"/>
      <c r="C16" s="218"/>
      <c r="D16" s="230"/>
      <c r="E16" s="218"/>
      <c r="F16" s="218"/>
      <c r="G16" s="219"/>
      <c r="H16" s="22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>
      <c r="A17" s="218"/>
      <c r="B17" s="218"/>
      <c r="C17" s="218"/>
      <c r="D17" s="230"/>
      <c r="E17" s="218"/>
      <c r="F17" s="218"/>
      <c r="G17" s="219"/>
      <c r="H17" s="243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>
      <c r="A18" s="179" t="s">
        <v>2113</v>
      </c>
      <c r="B18" s="214" t="s">
        <v>2132</v>
      </c>
      <c r="C18" s="215"/>
      <c r="D18" s="214" t="s">
        <v>2133</v>
      </c>
      <c r="E18" s="216"/>
      <c r="F18" s="180"/>
      <c r="G18" s="188" t="s">
        <v>2134</v>
      </c>
      <c r="H18" s="217" t="s">
        <v>2135</v>
      </c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>
      <c r="A19" s="220"/>
      <c r="B19" s="192">
        <f>'Календарь бронирования'!J3</f>
        <v>0.25</v>
      </c>
      <c r="C19" s="221" t="s">
        <v>2136</v>
      </c>
      <c r="D19" s="244" t="s">
        <v>2137</v>
      </c>
      <c r="E19" s="222" t="s">
        <v>2138</v>
      </c>
      <c r="F19" s="223" t="s">
        <v>2139</v>
      </c>
      <c r="G19" s="224">
        <f>'Календарь бронирования'!G3</f>
        <v>10</v>
      </c>
      <c r="H19" s="225"/>
      <c r="I19" s="233" t="s">
        <v>2140</v>
      </c>
      <c r="J19" s="219"/>
      <c r="K19" s="218"/>
      <c r="L19" s="218"/>
      <c r="M19" s="218"/>
      <c r="N19" s="218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>
      <c r="A20" s="245" t="s">
        <v>2153</v>
      </c>
      <c r="B20" s="228">
        <v>249.0</v>
      </c>
      <c r="C20" s="229">
        <f t="shared" ref="C20:C30" si="17">MROUND(B20*(1-$B$19), 1)</f>
        <v>187</v>
      </c>
      <c r="D20" s="230" t="str">
        <f t="shared" ref="D20:D30" si="18">TEXT(MROUND($C20*(1-0.05)*7, 1), "#,##0") &amp; " (в день: " &amp; TEXT(MROUND($C20*(1-0.05), 1), "#,##0") &amp; "; Скидка за срок: 5%)"
</f>
        <v>1 244 (в день: 178; Скидка за срок: 5%)</v>
      </c>
      <c r="E20" s="230" t="str">
        <f t="shared" ref="E20:E30" si="19">TEXT(MROUND(C20*(1-0.15)*14, 1), "#,##0") &amp; " (в день: " &amp; TEXT(MROUND(C20*(1-0.15), 1), "#,##0") &amp; "; Скидка за срок: 15%)"
</f>
        <v>2 225 (в день: 159; Скидка за срок: 15%)</v>
      </c>
      <c r="F20" s="246" t="str">
        <f t="shared" ref="F20:F30" si="20">TEXT(MROUND(C20*(1-0.35)*30, 1), "#,##0") &amp; " (в день: " &amp; TEXT(MROUND(C20*(1-0.35), 1), "#,##0") &amp; "; Скидка за срок: 35%)"
</f>
        <v>3 647 (в день: 122; Скидка за срок: 35%)</v>
      </c>
      <c r="G20" s="247" t="str">
        <f t="shared" ref="G20:G30" si="21">IF($G$19&lt;=5,
  TEXT(ROUND(C20*$G$19, 0), "#0") &amp; "  (Скидка за срок 0%, " &amp; TEXT(ROUND(C20, 0), "#0") &amp; " в день)",
  IF($G$19=6,
    TEXT(ROUND(C20*$G$19*0.95, 0), "#0") &amp; "  (Скидка за срок 5%, " &amp; TEXT(ROUND(C20*0.95, 0), "#0") &amp; " в день)",
    IF($G$19&lt;=13,
      TEXT(ROUND(C20*$G$19*(1-(0.06 + (($G$19-7)*0.01))), 0), "#0") &amp; "  (Скидка за срок " &amp; TEXT(6 + (($G$19-7)*1), "0") &amp; "%, " &amp; TEXT(ROUND(C20*(1-(0.06 + (($G$19-7)*0.01))), 0), "#0") &amp; " в день)",
      IF($G$19&lt;=30,
        TEXT(ROUND(C20*$G$19*(1-(0.18 + (($G$19-14)*0.010625))), 0), "#0") &amp; "  (Скидка за срок " &amp; TEXT(18 + ROUND(($G$19-14)*1.0625, 0), "0") &amp; "%, " &amp; TEXT(ROUND(C20*(1-(0.18 + (($G$19-14)*0.010625))), 0), "#0") &amp; " в день)",
        TEXT(ROUND(C20*$G$19*0.65, 0), "#0") &amp; "  (Скидка за срок 35%, " &amp; TEXT(ROUND(C20*0.65, 0), "#0") &amp; " в день)"
      )
    )
  )
)
</f>
        <v>1702  (Скидка за срок 9%, 170 в день)</v>
      </c>
      <c r="H20" s="248">
        <v>2000.0</v>
      </c>
      <c r="I20" s="218" t="str">
        <f t="shared" ref="I20:I30" si="22">"от " &amp; MID(F20, SEARCH("в день: ", F20) + LEN("в день: "), SEARCH("; Скидка за срок", F20) - SEARCH("в день: ", F20) - LEN("в день: ")) &amp; " бат в сутки"
</f>
        <v>от 122 бат в сутки</v>
      </c>
      <c r="J20" s="219"/>
      <c r="K20" s="218"/>
      <c r="L20" s="218"/>
      <c r="M20" s="218"/>
      <c r="N20" s="218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>
      <c r="A21" s="245" t="s">
        <v>2154</v>
      </c>
      <c r="B21" s="228">
        <v>349.0</v>
      </c>
      <c r="C21" s="229">
        <f t="shared" si="17"/>
        <v>262</v>
      </c>
      <c r="D21" s="230" t="str">
        <f t="shared" si="18"/>
        <v>1 742 (в день: 249; Скидка за срок: 5%)</v>
      </c>
      <c r="E21" s="230" t="str">
        <f t="shared" si="19"/>
        <v>3 118 (в день: 223; Скидка за срок: 15%)</v>
      </c>
      <c r="F21" s="246" t="str">
        <f t="shared" si="20"/>
        <v>5 109 (в день: 170; Скидка за срок: 35%)</v>
      </c>
      <c r="G21" s="247" t="str">
        <f t="shared" si="21"/>
        <v>2384  (Скидка за срок 9%, 238 в день)</v>
      </c>
      <c r="H21" s="249">
        <v>3000.0</v>
      </c>
      <c r="I21" s="218" t="str">
        <f t="shared" si="22"/>
        <v>от 170 бат в сутки</v>
      </c>
      <c r="J21" s="219"/>
      <c r="K21" s="218"/>
      <c r="L21" s="218"/>
      <c r="M21" s="218"/>
      <c r="N21" s="218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>
      <c r="A22" s="245" t="s">
        <v>2155</v>
      </c>
      <c r="B22" s="228">
        <v>449.0</v>
      </c>
      <c r="C22" s="229">
        <f t="shared" si="17"/>
        <v>337</v>
      </c>
      <c r="D22" s="230" t="str">
        <f t="shared" si="18"/>
        <v>2 241 (в день: 320; Скидка за срок: 5%)</v>
      </c>
      <c r="E22" s="230" t="str">
        <f t="shared" si="19"/>
        <v>4 010 (в день: 286; Скидка за срок: 15%)</v>
      </c>
      <c r="F22" s="246" t="str">
        <f t="shared" si="20"/>
        <v>6 572 (в день: 219; Скидка за срок: 35%)</v>
      </c>
      <c r="G22" s="247" t="str">
        <f t="shared" si="21"/>
        <v>3067  (Скидка за срок 9%, 307 в день)</v>
      </c>
      <c r="H22" s="249">
        <v>3000.0</v>
      </c>
      <c r="I22" s="218" t="str">
        <f t="shared" si="22"/>
        <v>от 219 бат в сутки</v>
      </c>
      <c r="J22" s="219"/>
      <c r="K22" s="218"/>
      <c r="L22" s="218"/>
      <c r="M22" s="218"/>
      <c r="N22" s="218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>
      <c r="A23" s="245" t="s">
        <v>2156</v>
      </c>
      <c r="B23" s="228">
        <v>449.0</v>
      </c>
      <c r="C23" s="229">
        <f t="shared" si="17"/>
        <v>337</v>
      </c>
      <c r="D23" s="230" t="str">
        <f t="shared" si="18"/>
        <v>2 241 (в день: 320; Скидка за срок: 5%)</v>
      </c>
      <c r="E23" s="230" t="str">
        <f t="shared" si="19"/>
        <v>4 010 (в день: 286; Скидка за срок: 15%)</v>
      </c>
      <c r="F23" s="246" t="str">
        <f t="shared" si="20"/>
        <v>6 572 (в день: 219; Скидка за срок: 35%)</v>
      </c>
      <c r="G23" s="247" t="str">
        <f t="shared" si="21"/>
        <v>3067  (Скидка за срок 9%, 307 в день)</v>
      </c>
      <c r="H23" s="249">
        <v>3000.0</v>
      </c>
      <c r="I23" s="218" t="str">
        <f t="shared" si="22"/>
        <v>от 219 бат в сутки</v>
      </c>
      <c r="J23" s="219"/>
      <c r="K23" s="218"/>
      <c r="L23" s="218"/>
      <c r="M23" s="218"/>
      <c r="N23" s="218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>
      <c r="A24" s="245" t="s">
        <v>2157</v>
      </c>
      <c r="B24" s="228">
        <v>498.0</v>
      </c>
      <c r="C24" s="229">
        <f t="shared" si="17"/>
        <v>374</v>
      </c>
      <c r="D24" s="230" t="str">
        <f t="shared" si="18"/>
        <v>2 487 (в день: 355; Скидка за срок: 5%)</v>
      </c>
      <c r="E24" s="230" t="str">
        <f t="shared" si="19"/>
        <v>4 451 (в день: 318; Скидка за срок: 15%)</v>
      </c>
      <c r="F24" s="246" t="str">
        <f t="shared" si="20"/>
        <v>7 293 (в день: 243; Скидка за срок: 35%)</v>
      </c>
      <c r="G24" s="247" t="str">
        <f t="shared" si="21"/>
        <v>3403  (Скидка за срок 9%, 340 в день)</v>
      </c>
      <c r="H24" s="249">
        <v>5000.0</v>
      </c>
      <c r="I24" s="218" t="str">
        <f t="shared" si="22"/>
        <v>от 243 бат в сутки</v>
      </c>
      <c r="J24" s="219"/>
      <c r="K24" s="218"/>
      <c r="L24" s="218"/>
      <c r="M24" s="218"/>
      <c r="N24" s="218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>
      <c r="A25" s="245" t="s">
        <v>2158</v>
      </c>
      <c r="B25" s="228">
        <v>498.0</v>
      </c>
      <c r="C25" s="229">
        <f t="shared" si="17"/>
        <v>374</v>
      </c>
      <c r="D25" s="230" t="str">
        <f t="shared" si="18"/>
        <v>2 487 (в день: 355; Скидка за срок: 5%)</v>
      </c>
      <c r="E25" s="230" t="str">
        <f t="shared" si="19"/>
        <v>4 451 (в день: 318; Скидка за срок: 15%)</v>
      </c>
      <c r="F25" s="246" t="str">
        <f t="shared" si="20"/>
        <v>7 293 (в день: 243; Скидка за срок: 35%)</v>
      </c>
      <c r="G25" s="247" t="str">
        <f t="shared" si="21"/>
        <v>3403  (Скидка за срок 9%, 340 в день)</v>
      </c>
      <c r="H25" s="249">
        <v>5000.0</v>
      </c>
      <c r="I25" s="218" t="str">
        <f t="shared" si="22"/>
        <v>от 243 бат в сутки</v>
      </c>
      <c r="J25" s="219"/>
      <c r="K25" s="218"/>
      <c r="L25" s="218"/>
      <c r="M25" s="218"/>
      <c r="N25" s="218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>
      <c r="A26" s="245" t="s">
        <v>2159</v>
      </c>
      <c r="B26" s="228">
        <v>690.0</v>
      </c>
      <c r="C26" s="229">
        <f t="shared" si="17"/>
        <v>518</v>
      </c>
      <c r="D26" s="230" t="str">
        <f t="shared" si="18"/>
        <v>3 445 (в день: 492; Скидка за срок: 5%)</v>
      </c>
      <c r="E26" s="230" t="str">
        <f t="shared" si="19"/>
        <v>6 164 (в день: 440; Скидка за срок: 15%)</v>
      </c>
      <c r="F26" s="246" t="str">
        <f t="shared" si="20"/>
        <v>10 101 (в день: 337; Скидка за срок: 35%)</v>
      </c>
      <c r="G26" s="247" t="str">
        <f t="shared" si="21"/>
        <v>4714  (Скидка за срок 9%, 471 в день)</v>
      </c>
      <c r="H26" s="249">
        <v>5000.0</v>
      </c>
      <c r="I26" s="218" t="str">
        <f t="shared" si="22"/>
        <v>от 337 бат в сутки</v>
      </c>
      <c r="J26" s="219"/>
      <c r="K26" s="218"/>
      <c r="L26" s="218"/>
      <c r="M26" s="218"/>
      <c r="N26" s="218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>
      <c r="A27" s="227" t="s">
        <v>2160</v>
      </c>
      <c r="B27" s="228">
        <v>790.0</v>
      </c>
      <c r="C27" s="229">
        <f t="shared" si="17"/>
        <v>593</v>
      </c>
      <c r="D27" s="230" t="str">
        <f t="shared" si="18"/>
        <v>3 943 (в день: 563; Скидка за срок: 5%)</v>
      </c>
      <c r="E27" s="230" t="str">
        <f t="shared" si="19"/>
        <v>7 057 (в день: 504; Скидка за срок: 15%)</v>
      </c>
      <c r="F27" s="246" t="str">
        <f t="shared" si="20"/>
        <v>11 564 (в день: 385; Скидка за срок: 35%)</v>
      </c>
      <c r="G27" s="247" t="str">
        <f t="shared" si="21"/>
        <v>5396  (Скидка за срок 9%, 540 в день)</v>
      </c>
      <c r="H27" s="249">
        <v>5000.0</v>
      </c>
      <c r="I27" s="218" t="str">
        <f t="shared" si="22"/>
        <v>от 385 бат в сутки</v>
      </c>
      <c r="J27" s="219"/>
      <c r="K27" s="218"/>
      <c r="L27" s="218"/>
      <c r="M27" s="218"/>
      <c r="N27" s="218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>
      <c r="A28" s="227" t="s">
        <v>2161</v>
      </c>
      <c r="B28" s="228">
        <v>939.0</v>
      </c>
      <c r="C28" s="229">
        <f t="shared" si="17"/>
        <v>704</v>
      </c>
      <c r="D28" s="230" t="str">
        <f t="shared" si="18"/>
        <v>4 682 (в день: 669; Скидка за срок: 5%)</v>
      </c>
      <c r="E28" s="230" t="str">
        <f t="shared" si="19"/>
        <v>8 378 (в день: 598; Скидка за срок: 15%)</v>
      </c>
      <c r="F28" s="246" t="str">
        <f t="shared" si="20"/>
        <v>13 728 (в день: 458; Скидка за срок: 35%)</v>
      </c>
      <c r="G28" s="247" t="str">
        <f t="shared" si="21"/>
        <v>6406  (Скидка за срок 9%, 641 в день)</v>
      </c>
      <c r="H28" s="249">
        <v>7000.0</v>
      </c>
      <c r="I28" s="218" t="str">
        <f t="shared" si="22"/>
        <v>от 458 бат в сутки</v>
      </c>
      <c r="J28" s="219"/>
      <c r="K28" s="218"/>
      <c r="L28" s="218"/>
      <c r="M28" s="218"/>
      <c r="N28" s="218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>
      <c r="A29" s="245" t="s">
        <v>2162</v>
      </c>
      <c r="B29" s="228">
        <v>998.0</v>
      </c>
      <c r="C29" s="229">
        <f t="shared" si="17"/>
        <v>749</v>
      </c>
      <c r="D29" s="230" t="str">
        <f t="shared" si="18"/>
        <v>4 981 (в день: 712; Скидка за срок: 5%)</v>
      </c>
      <c r="E29" s="230" t="str">
        <f t="shared" si="19"/>
        <v>8 913 (в день: 637; Скидка за срок: 15%)</v>
      </c>
      <c r="F29" s="246" t="str">
        <f t="shared" si="20"/>
        <v>14 606 (в день: 487; Скидка за срок: 35%)</v>
      </c>
      <c r="G29" s="247" t="str">
        <f t="shared" si="21"/>
        <v>6816  (Скидка за срок 9%, 682 в день)</v>
      </c>
      <c r="H29" s="249">
        <v>7000.0</v>
      </c>
      <c r="I29" s="218" t="str">
        <f t="shared" si="22"/>
        <v>от 487 бат в сутки</v>
      </c>
      <c r="J29" s="219"/>
      <c r="K29" s="218"/>
      <c r="L29" s="218"/>
      <c r="M29" s="218"/>
      <c r="N29" s="218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>
      <c r="A30" s="234" t="s">
        <v>2163</v>
      </c>
      <c r="B30" s="221">
        <v>2788.0</v>
      </c>
      <c r="C30" s="243">
        <f t="shared" si="17"/>
        <v>2091</v>
      </c>
      <c r="D30" s="244" t="str">
        <f t="shared" si="18"/>
        <v>13 905 (в день: 1 986; Скидка за срок: 5%)</v>
      </c>
      <c r="E30" s="244" t="str">
        <f t="shared" si="19"/>
        <v>24 883 (в день: 1 777; Скидка за срок: 15%)</v>
      </c>
      <c r="F30" s="250" t="str">
        <f t="shared" si="20"/>
        <v>40 775 (в день: 1 359; Скидка за срок: 35%)</v>
      </c>
      <c r="G30" s="251" t="str">
        <f t="shared" si="21"/>
        <v>19028  (Скидка за срок 9%, 1903 в день)</v>
      </c>
      <c r="H30" s="252">
        <v>25000.0</v>
      </c>
      <c r="I30" s="253" t="str">
        <f t="shared" si="22"/>
        <v>от 1 359 бат в сутки</v>
      </c>
      <c r="J30" s="254"/>
      <c r="K30" s="253"/>
      <c r="L30" s="253"/>
      <c r="M30" s="253"/>
      <c r="N30" s="253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</row>
    <row r="31">
      <c r="A31" s="227"/>
      <c r="B31" s="228"/>
      <c r="C31" s="229"/>
      <c r="D31" s="230"/>
      <c r="E31" s="230"/>
      <c r="F31" s="230"/>
      <c r="G31" s="233"/>
      <c r="H31" s="228"/>
      <c r="I31" s="218"/>
      <c r="J31" s="219"/>
      <c r="K31" s="218"/>
      <c r="L31" s="218"/>
      <c r="M31" s="218"/>
      <c r="N31" s="218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>
      <c r="A32" s="189"/>
      <c r="B32" s="189"/>
      <c r="C32" s="219"/>
      <c r="D32" s="218"/>
      <c r="E32" s="218"/>
      <c r="F32" s="218"/>
      <c r="G32" s="219"/>
      <c r="H32" s="22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>
      <c r="A33" s="189"/>
      <c r="B33" s="189"/>
      <c r="C33" s="218"/>
      <c r="D33" s="218"/>
      <c r="E33" s="218"/>
      <c r="F33" s="218"/>
      <c r="G33" s="219"/>
      <c r="H33" s="22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>
      <c r="A34" s="242"/>
      <c r="B34" s="219"/>
      <c r="C34" s="229"/>
      <c r="D34" s="219"/>
      <c r="E34" s="219"/>
      <c r="F34" s="219"/>
      <c r="G34" s="219"/>
      <c r="H34" s="22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>
      <c r="A35" s="242"/>
      <c r="B35" s="219"/>
      <c r="C35" s="229"/>
      <c r="D35" s="219"/>
      <c r="E35" s="219"/>
      <c r="F35" s="219"/>
      <c r="G35" s="219"/>
      <c r="H35" s="22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>
      <c r="A36" s="242"/>
      <c r="B36" s="219"/>
      <c r="C36" s="229"/>
      <c r="D36" s="219"/>
      <c r="E36" s="219"/>
      <c r="F36" s="219"/>
      <c r="G36" s="219"/>
      <c r="H36" s="22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>
      <c r="A37" s="242"/>
      <c r="B37" s="219"/>
      <c r="C37" s="229"/>
      <c r="D37" s="219"/>
      <c r="E37" s="219"/>
      <c r="F37" s="219"/>
      <c r="G37" s="219"/>
      <c r="H37" s="22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>
      <c r="A38" s="242"/>
      <c r="B38" s="219"/>
      <c r="C38" s="229"/>
      <c r="D38" s="219"/>
      <c r="E38" s="219"/>
      <c r="F38" s="219"/>
      <c r="G38" s="219"/>
      <c r="H38" s="22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>
      <c r="A39" s="242"/>
      <c r="B39" s="219"/>
      <c r="C39" s="229"/>
      <c r="D39" s="219"/>
      <c r="E39" s="219"/>
      <c r="F39" s="219"/>
      <c r="G39" s="219"/>
      <c r="H39" s="22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>
      <c r="A40" s="242"/>
      <c r="B40" s="219"/>
      <c r="C40" s="229"/>
      <c r="D40" s="219"/>
      <c r="E40" s="219"/>
      <c r="F40" s="219"/>
      <c r="G40" s="219"/>
      <c r="H40" s="22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>
      <c r="A41" s="242"/>
      <c r="B41" s="219"/>
      <c r="C41" s="229"/>
      <c r="D41" s="219"/>
      <c r="E41" s="219"/>
      <c r="F41" s="219"/>
      <c r="G41" s="219"/>
      <c r="H41" s="22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>
      <c r="A42" s="242"/>
      <c r="B42" s="219"/>
      <c r="C42" s="229"/>
      <c r="D42" s="219"/>
      <c r="E42" s="219"/>
      <c r="F42" s="219"/>
      <c r="G42" s="219"/>
      <c r="H42" s="22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>
      <c r="A43" s="242"/>
      <c r="B43" s="219"/>
      <c r="C43" s="229"/>
      <c r="D43" s="219"/>
      <c r="E43" s="219"/>
      <c r="F43" s="219"/>
      <c r="G43" s="219"/>
      <c r="H43" s="22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>
      <c r="A44" s="242"/>
      <c r="B44" s="219"/>
      <c r="C44" s="229"/>
      <c r="D44" s="219"/>
      <c r="E44" s="219"/>
      <c r="F44" s="219"/>
      <c r="G44" s="219"/>
      <c r="H44" s="22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>
      <c r="A45" s="242"/>
      <c r="B45" s="219"/>
      <c r="C45" s="229"/>
      <c r="D45" s="219"/>
      <c r="E45" s="219"/>
      <c r="F45" s="219"/>
      <c r="G45" s="219"/>
      <c r="H45" s="22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>
      <c r="A46" s="242"/>
      <c r="B46" s="219"/>
      <c r="C46" s="229"/>
      <c r="D46" s="219"/>
      <c r="E46" s="219"/>
      <c r="F46" s="219"/>
      <c r="G46" s="219"/>
      <c r="H46" s="22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>
      <c r="A47" s="242"/>
      <c r="B47" s="219"/>
      <c r="C47" s="229"/>
      <c r="D47" s="219"/>
      <c r="E47" s="219"/>
      <c r="F47" s="219"/>
      <c r="G47" s="219"/>
      <c r="H47" s="22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>
      <c r="A48" s="242"/>
      <c r="B48" s="219"/>
      <c r="C48" s="229"/>
      <c r="D48" s="219"/>
      <c r="E48" s="219"/>
      <c r="F48" s="219"/>
      <c r="G48" s="219"/>
      <c r="H48" s="22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>
      <c r="A49" s="242"/>
      <c r="B49" s="219"/>
      <c r="C49" s="229"/>
      <c r="D49" s="219"/>
      <c r="E49" s="219"/>
      <c r="F49" s="219"/>
      <c r="G49" s="219"/>
      <c r="H49" s="22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>
      <c r="A50" s="242"/>
      <c r="B50" s="219"/>
      <c r="C50" s="229"/>
      <c r="D50" s="219"/>
      <c r="E50" s="219"/>
      <c r="F50" s="219"/>
      <c r="G50" s="219"/>
      <c r="H50" s="22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>
      <c r="A51" s="242"/>
      <c r="B51" s="219"/>
      <c r="C51" s="229"/>
      <c r="D51" s="219"/>
      <c r="E51" s="219"/>
      <c r="F51" s="219"/>
      <c r="G51" s="219"/>
      <c r="H51" s="22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>
      <c r="A52" s="242"/>
      <c r="B52" s="219"/>
      <c r="C52" s="229"/>
      <c r="D52" s="219"/>
      <c r="E52" s="219"/>
      <c r="F52" s="219"/>
      <c r="G52" s="219"/>
      <c r="H52" s="22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>
      <c r="A53" s="242"/>
      <c r="B53" s="219"/>
      <c r="C53" s="229"/>
      <c r="D53" s="219"/>
      <c r="E53" s="219"/>
      <c r="F53" s="219"/>
      <c r="G53" s="219"/>
      <c r="H53" s="22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>
      <c r="A54" s="242"/>
      <c r="B54" s="219"/>
      <c r="C54" s="229"/>
      <c r="D54" s="219"/>
      <c r="E54" s="219"/>
      <c r="F54" s="219"/>
      <c r="G54" s="219"/>
      <c r="H54" s="22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>
      <c r="A55" s="242"/>
      <c r="B55" s="219"/>
      <c r="C55" s="229"/>
      <c r="D55" s="219"/>
      <c r="E55" s="219"/>
      <c r="F55" s="219"/>
      <c r="G55" s="219"/>
      <c r="H55" s="22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>
      <c r="A56" s="242"/>
      <c r="B56" s="219"/>
      <c r="C56" s="229"/>
      <c r="D56" s="219"/>
      <c r="E56" s="219"/>
      <c r="F56" s="219"/>
      <c r="G56" s="219"/>
      <c r="H56" s="22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>
      <c r="A57" s="242"/>
      <c r="B57" s="219"/>
      <c r="C57" s="229"/>
      <c r="D57" s="219"/>
      <c r="E57" s="219"/>
      <c r="F57" s="219"/>
      <c r="G57" s="219"/>
      <c r="H57" s="22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>
      <c r="A58" s="242"/>
      <c r="B58" s="219"/>
      <c r="C58" s="229"/>
      <c r="D58" s="219"/>
      <c r="E58" s="219"/>
      <c r="F58" s="219"/>
      <c r="G58" s="219"/>
      <c r="H58" s="22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>
      <c r="A59" s="242"/>
      <c r="B59" s="219"/>
      <c r="C59" s="229"/>
      <c r="D59" s="219"/>
      <c r="E59" s="219"/>
      <c r="F59" s="219"/>
      <c r="G59" s="219"/>
      <c r="H59" s="22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>
      <c r="A60" s="242"/>
      <c r="B60" s="219"/>
      <c r="C60" s="229"/>
      <c r="D60" s="219"/>
      <c r="E60" s="219"/>
      <c r="F60" s="219"/>
      <c r="G60" s="219"/>
      <c r="H60" s="22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>
      <c r="A61" s="242"/>
      <c r="B61" s="219"/>
      <c r="C61" s="229"/>
      <c r="D61" s="219"/>
      <c r="E61" s="219"/>
      <c r="F61" s="219"/>
      <c r="G61" s="219"/>
      <c r="H61" s="22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>
      <c r="A62" s="242"/>
      <c r="B62" s="219"/>
      <c r="C62" s="229"/>
      <c r="D62" s="219"/>
      <c r="E62" s="219"/>
      <c r="F62" s="219"/>
      <c r="G62" s="219"/>
      <c r="H62" s="22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>
      <c r="A63" s="242"/>
      <c r="B63" s="219"/>
      <c r="C63" s="229"/>
      <c r="D63" s="219"/>
      <c r="E63" s="219"/>
      <c r="F63" s="219"/>
      <c r="G63" s="219"/>
      <c r="H63" s="22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>
      <c r="A64" s="242"/>
      <c r="B64" s="219"/>
      <c r="C64" s="229"/>
      <c r="D64" s="219"/>
      <c r="E64" s="219"/>
      <c r="F64" s="219"/>
      <c r="G64" s="219"/>
      <c r="H64" s="22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>
      <c r="A65" s="242"/>
      <c r="B65" s="219"/>
      <c r="C65" s="229"/>
      <c r="D65" s="219"/>
      <c r="E65" s="219"/>
      <c r="F65" s="219"/>
      <c r="G65" s="219"/>
      <c r="H65" s="22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>
      <c r="A66" s="242"/>
      <c r="B66" s="219"/>
      <c r="C66" s="229"/>
      <c r="D66" s="219"/>
      <c r="E66" s="219"/>
      <c r="F66" s="219"/>
      <c r="G66" s="219"/>
      <c r="H66" s="22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>
      <c r="A67" s="242"/>
      <c r="B67" s="219"/>
      <c r="C67" s="229"/>
      <c r="D67" s="219"/>
      <c r="E67" s="219"/>
      <c r="F67" s="219"/>
      <c r="G67" s="219"/>
      <c r="H67" s="22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>
      <c r="A68" s="242"/>
      <c r="B68" s="219"/>
      <c r="C68" s="229"/>
      <c r="D68" s="219"/>
      <c r="E68" s="219"/>
      <c r="F68" s="219"/>
      <c r="G68" s="219"/>
      <c r="H68" s="22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>
      <c r="A69" s="242"/>
      <c r="B69" s="219"/>
      <c r="C69" s="229"/>
      <c r="D69" s="219"/>
      <c r="E69" s="219"/>
      <c r="F69" s="219"/>
      <c r="G69" s="219"/>
      <c r="H69" s="22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>
      <c r="A70" s="242"/>
      <c r="B70" s="219"/>
      <c r="C70" s="229"/>
      <c r="D70" s="219"/>
      <c r="E70" s="219"/>
      <c r="F70" s="219"/>
      <c r="G70" s="219"/>
      <c r="H70" s="22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>
      <c r="A71" s="242"/>
      <c r="B71" s="219"/>
      <c r="C71" s="229"/>
      <c r="D71" s="219"/>
      <c r="E71" s="219"/>
      <c r="F71" s="219"/>
      <c r="G71" s="219"/>
      <c r="H71" s="22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>
      <c r="A72" s="242"/>
      <c r="B72" s="219"/>
      <c r="C72" s="229"/>
      <c r="D72" s="219"/>
      <c r="E72" s="219"/>
      <c r="F72" s="219"/>
      <c r="G72" s="219"/>
      <c r="H72" s="22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>
      <c r="A73" s="242"/>
      <c r="B73" s="219"/>
      <c r="C73" s="229"/>
      <c r="D73" s="219"/>
      <c r="E73" s="219"/>
      <c r="F73" s="219"/>
      <c r="G73" s="219"/>
      <c r="H73" s="22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>
      <c r="A74" s="242"/>
      <c r="B74" s="219"/>
      <c r="C74" s="229"/>
      <c r="D74" s="219"/>
      <c r="E74" s="219"/>
      <c r="F74" s="219"/>
      <c r="G74" s="219"/>
      <c r="H74" s="22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>
      <c r="A75" s="242"/>
      <c r="B75" s="219"/>
      <c r="C75" s="229"/>
      <c r="D75" s="219"/>
      <c r="E75" s="219"/>
      <c r="F75" s="219"/>
      <c r="G75" s="219"/>
      <c r="H75" s="22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>
      <c r="A76" s="242"/>
      <c r="B76" s="219"/>
      <c r="C76" s="229"/>
      <c r="D76" s="219"/>
      <c r="E76" s="219"/>
      <c r="F76" s="219"/>
      <c r="G76" s="219"/>
      <c r="H76" s="22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>
      <c r="A77" s="242"/>
      <c r="B77" s="219"/>
      <c r="C77" s="229"/>
      <c r="D77" s="219"/>
      <c r="E77" s="219"/>
      <c r="F77" s="219"/>
      <c r="G77" s="219"/>
      <c r="H77" s="22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>
      <c r="A78" s="242"/>
      <c r="B78" s="219"/>
      <c r="C78" s="229"/>
      <c r="D78" s="219"/>
      <c r="E78" s="219"/>
      <c r="F78" s="219"/>
      <c r="G78" s="219"/>
      <c r="H78" s="22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>
      <c r="A79" s="242"/>
      <c r="B79" s="219"/>
      <c r="C79" s="229"/>
      <c r="D79" s="219"/>
      <c r="E79" s="219"/>
      <c r="F79" s="219"/>
      <c r="G79" s="219"/>
      <c r="H79" s="22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>
      <c r="A80" s="242"/>
      <c r="B80" s="219"/>
      <c r="C80" s="229"/>
      <c r="D80" s="219"/>
      <c r="E80" s="219"/>
      <c r="F80" s="219"/>
      <c r="G80" s="219"/>
      <c r="H80" s="22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>
      <c r="A81" s="242"/>
      <c r="B81" s="219"/>
      <c r="C81" s="229"/>
      <c r="D81" s="219"/>
      <c r="E81" s="219"/>
      <c r="F81" s="219"/>
      <c r="G81" s="219"/>
      <c r="H81" s="22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>
      <c r="A82" s="242"/>
      <c r="B82" s="219"/>
      <c r="C82" s="229"/>
      <c r="D82" s="219"/>
      <c r="E82" s="219"/>
      <c r="F82" s="219"/>
      <c r="G82" s="219"/>
      <c r="H82" s="22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>
      <c r="A83" s="242"/>
      <c r="B83" s="219"/>
      <c r="C83" s="229"/>
      <c r="D83" s="219"/>
      <c r="E83" s="219"/>
      <c r="F83" s="219"/>
      <c r="G83" s="219"/>
      <c r="H83" s="22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>
      <c r="A84" s="242"/>
      <c r="B84" s="219"/>
      <c r="C84" s="229"/>
      <c r="D84" s="219"/>
      <c r="E84" s="219"/>
      <c r="F84" s="219"/>
      <c r="G84" s="219"/>
      <c r="H84" s="22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>
      <c r="A85" s="242"/>
      <c r="B85" s="219"/>
      <c r="C85" s="229"/>
      <c r="D85" s="219"/>
      <c r="E85" s="219"/>
      <c r="F85" s="219"/>
      <c r="G85" s="219"/>
      <c r="H85" s="22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>
      <c r="A86" s="242"/>
      <c r="B86" s="219"/>
      <c r="C86" s="229"/>
      <c r="D86" s="219"/>
      <c r="E86" s="219"/>
      <c r="F86" s="219"/>
      <c r="G86" s="219"/>
      <c r="H86" s="22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>
      <c r="A87" s="242"/>
      <c r="B87" s="219"/>
      <c r="C87" s="229"/>
      <c r="D87" s="219"/>
      <c r="E87" s="219"/>
      <c r="F87" s="219"/>
      <c r="G87" s="219"/>
      <c r="H87" s="22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>
      <c r="A88" s="242"/>
      <c r="B88" s="219"/>
      <c r="C88" s="229"/>
      <c r="D88" s="219"/>
      <c r="E88" s="219"/>
      <c r="F88" s="219"/>
      <c r="G88" s="219"/>
      <c r="H88" s="22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>
      <c r="A89" s="242"/>
      <c r="B89" s="219"/>
      <c r="C89" s="229"/>
      <c r="D89" s="219"/>
      <c r="E89" s="219"/>
      <c r="F89" s="219"/>
      <c r="G89" s="219"/>
      <c r="H89" s="22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>
      <c r="A90" s="242"/>
      <c r="B90" s="219"/>
      <c r="C90" s="229"/>
      <c r="D90" s="219"/>
      <c r="E90" s="219"/>
      <c r="F90" s="219"/>
      <c r="G90" s="219"/>
      <c r="H90" s="22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>
      <c r="A91" s="242"/>
      <c r="B91" s="219"/>
      <c r="C91" s="229"/>
      <c r="D91" s="219"/>
      <c r="E91" s="219"/>
      <c r="F91" s="219"/>
      <c r="G91" s="219"/>
      <c r="H91" s="22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>
      <c r="A92" s="242"/>
      <c r="B92" s="219"/>
      <c r="C92" s="229"/>
      <c r="D92" s="219"/>
      <c r="E92" s="219"/>
      <c r="F92" s="219"/>
      <c r="G92" s="219"/>
      <c r="H92" s="22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>
      <c r="A93" s="242"/>
      <c r="B93" s="219"/>
      <c r="C93" s="229"/>
      <c r="D93" s="219"/>
      <c r="E93" s="219"/>
      <c r="F93" s="219"/>
      <c r="G93" s="219"/>
      <c r="H93" s="22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>
      <c r="A94" s="242"/>
      <c r="B94" s="219"/>
      <c r="C94" s="229"/>
      <c r="D94" s="219"/>
      <c r="E94" s="219"/>
      <c r="F94" s="219"/>
      <c r="G94" s="219"/>
      <c r="H94" s="22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>
      <c r="A95" s="242"/>
      <c r="B95" s="219"/>
      <c r="C95" s="229"/>
      <c r="D95" s="219"/>
      <c r="E95" s="219"/>
      <c r="F95" s="219"/>
      <c r="G95" s="219"/>
      <c r="H95" s="22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>
      <c r="A96" s="242"/>
      <c r="B96" s="219"/>
      <c r="C96" s="229"/>
      <c r="D96" s="219"/>
      <c r="E96" s="219"/>
      <c r="F96" s="219"/>
      <c r="G96" s="219"/>
      <c r="H96" s="22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>
      <c r="A97" s="242"/>
      <c r="B97" s="219"/>
      <c r="C97" s="229"/>
      <c r="D97" s="219"/>
      <c r="E97" s="219"/>
      <c r="F97" s="219"/>
      <c r="G97" s="219"/>
      <c r="H97" s="22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>
      <c r="A98" s="242"/>
      <c r="B98" s="219"/>
      <c r="C98" s="229"/>
      <c r="D98" s="219"/>
      <c r="E98" s="219"/>
      <c r="F98" s="219"/>
      <c r="G98" s="219"/>
      <c r="H98" s="22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>
      <c r="A99" s="242"/>
      <c r="B99" s="219"/>
      <c r="C99" s="229"/>
      <c r="D99" s="219"/>
      <c r="E99" s="219"/>
      <c r="F99" s="219"/>
      <c r="G99" s="219"/>
      <c r="H99" s="22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>
      <c r="A100" s="242"/>
      <c r="B100" s="219"/>
      <c r="C100" s="229"/>
      <c r="D100" s="219"/>
      <c r="E100" s="219"/>
      <c r="F100" s="219"/>
      <c r="G100" s="219"/>
      <c r="H100" s="22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>
      <c r="A101" s="242"/>
      <c r="B101" s="219"/>
      <c r="C101" s="229"/>
      <c r="D101" s="219"/>
      <c r="E101" s="219"/>
      <c r="F101" s="219"/>
      <c r="G101" s="219"/>
      <c r="H101" s="22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>
      <c r="A102" s="242"/>
      <c r="B102" s="219"/>
      <c r="C102" s="229"/>
      <c r="D102" s="219"/>
      <c r="E102" s="219"/>
      <c r="F102" s="219"/>
      <c r="G102" s="219"/>
      <c r="H102" s="22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>
      <c r="A103" s="242"/>
      <c r="B103" s="219"/>
      <c r="C103" s="229"/>
      <c r="D103" s="219"/>
      <c r="E103" s="219"/>
      <c r="F103" s="219"/>
      <c r="G103" s="219"/>
      <c r="H103" s="22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>
      <c r="A104" s="242"/>
      <c r="B104" s="219"/>
      <c r="C104" s="229"/>
      <c r="D104" s="219"/>
      <c r="E104" s="219"/>
      <c r="F104" s="219"/>
      <c r="G104" s="219"/>
      <c r="H104" s="22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>
      <c r="A105" s="242"/>
      <c r="B105" s="219"/>
      <c r="C105" s="229"/>
      <c r="D105" s="219"/>
      <c r="E105" s="219"/>
      <c r="F105" s="219"/>
      <c r="G105" s="219"/>
      <c r="H105" s="22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>
      <c r="A106" s="242"/>
      <c r="B106" s="219"/>
      <c r="C106" s="229"/>
      <c r="D106" s="219"/>
      <c r="E106" s="219"/>
      <c r="F106" s="219"/>
      <c r="G106" s="219"/>
      <c r="H106" s="22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>
      <c r="A107" s="242"/>
      <c r="B107" s="219"/>
      <c r="C107" s="229"/>
      <c r="D107" s="219"/>
      <c r="E107" s="219"/>
      <c r="F107" s="219"/>
      <c r="G107" s="219"/>
      <c r="H107" s="22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>
      <c r="A108" s="242"/>
      <c r="B108" s="219"/>
      <c r="C108" s="229"/>
      <c r="D108" s="219"/>
      <c r="E108" s="219"/>
      <c r="F108" s="219"/>
      <c r="G108" s="219"/>
      <c r="H108" s="22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>
      <c r="A109" s="242"/>
      <c r="B109" s="219"/>
      <c r="C109" s="229"/>
      <c r="D109" s="219"/>
      <c r="E109" s="219"/>
      <c r="F109" s="219"/>
      <c r="G109" s="219"/>
      <c r="H109" s="22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>
      <c r="A110" s="242"/>
      <c r="B110" s="219"/>
      <c r="C110" s="229"/>
      <c r="D110" s="219"/>
      <c r="E110" s="219"/>
      <c r="F110" s="219"/>
      <c r="G110" s="219"/>
      <c r="H110" s="22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>
      <c r="A111" s="242"/>
      <c r="B111" s="219"/>
      <c r="C111" s="229"/>
      <c r="D111" s="219"/>
      <c r="E111" s="219"/>
      <c r="F111" s="219"/>
      <c r="G111" s="219"/>
      <c r="H111" s="22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>
      <c r="A112" s="242"/>
      <c r="B112" s="219"/>
      <c r="C112" s="229"/>
      <c r="D112" s="219"/>
      <c r="E112" s="219"/>
      <c r="F112" s="219"/>
      <c r="G112" s="219"/>
      <c r="H112" s="22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>
      <c r="A113" s="242"/>
      <c r="B113" s="219"/>
      <c r="C113" s="229"/>
      <c r="D113" s="219"/>
      <c r="E113" s="219"/>
      <c r="F113" s="219"/>
      <c r="G113" s="219"/>
      <c r="H113" s="22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>
      <c r="A114" s="242"/>
      <c r="B114" s="219"/>
      <c r="C114" s="229"/>
      <c r="D114" s="219"/>
      <c r="E114" s="219"/>
      <c r="F114" s="219"/>
      <c r="G114" s="219"/>
      <c r="H114" s="22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>
      <c r="A115" s="242"/>
      <c r="B115" s="219"/>
      <c r="C115" s="229"/>
      <c r="D115" s="219"/>
      <c r="E115" s="219"/>
      <c r="F115" s="219"/>
      <c r="G115" s="219"/>
      <c r="H115" s="22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>
      <c r="A116" s="242"/>
      <c r="B116" s="219"/>
      <c r="C116" s="229"/>
      <c r="D116" s="219"/>
      <c r="E116" s="219"/>
      <c r="F116" s="219"/>
      <c r="G116" s="219"/>
      <c r="H116" s="22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>
      <c r="A117" s="242"/>
      <c r="B117" s="219"/>
      <c r="C117" s="229"/>
      <c r="D117" s="219"/>
      <c r="E117" s="219"/>
      <c r="F117" s="219"/>
      <c r="G117" s="219"/>
      <c r="H117" s="22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>
      <c r="A118" s="242"/>
      <c r="B118" s="219"/>
      <c r="C118" s="229"/>
      <c r="D118" s="219"/>
      <c r="E118" s="219"/>
      <c r="F118" s="219"/>
      <c r="G118" s="219"/>
      <c r="H118" s="22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>
      <c r="A119" s="242"/>
      <c r="B119" s="219"/>
      <c r="C119" s="229"/>
      <c r="D119" s="219"/>
      <c r="E119" s="219"/>
      <c r="F119" s="219"/>
      <c r="G119" s="219"/>
      <c r="H119" s="22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>
      <c r="A120" s="242"/>
      <c r="B120" s="219"/>
      <c r="C120" s="229"/>
      <c r="D120" s="219"/>
      <c r="E120" s="219"/>
      <c r="F120" s="219"/>
      <c r="G120" s="219"/>
      <c r="H120" s="22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>
      <c r="A121" s="242"/>
      <c r="B121" s="219"/>
      <c r="C121" s="229"/>
      <c r="D121" s="219"/>
      <c r="E121" s="219"/>
      <c r="F121" s="219"/>
      <c r="G121" s="219"/>
      <c r="H121" s="22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>
      <c r="A122" s="242"/>
      <c r="B122" s="219"/>
      <c r="C122" s="229"/>
      <c r="D122" s="219"/>
      <c r="E122" s="219"/>
      <c r="F122" s="219"/>
      <c r="G122" s="219"/>
      <c r="H122" s="22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>
      <c r="A123" s="242"/>
      <c r="B123" s="219"/>
      <c r="C123" s="229"/>
      <c r="D123" s="219"/>
      <c r="E123" s="219"/>
      <c r="F123" s="219"/>
      <c r="G123" s="219"/>
      <c r="H123" s="22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>
      <c r="A124" s="242"/>
      <c r="B124" s="219"/>
      <c r="C124" s="229"/>
      <c r="D124" s="219"/>
      <c r="E124" s="219"/>
      <c r="F124" s="219"/>
      <c r="G124" s="219"/>
      <c r="H124" s="22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>
      <c r="A125" s="242"/>
      <c r="B125" s="219"/>
      <c r="C125" s="229"/>
      <c r="D125" s="219"/>
      <c r="E125" s="219"/>
      <c r="F125" s="219"/>
      <c r="G125" s="219"/>
      <c r="H125" s="22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>
      <c r="A126" s="242"/>
      <c r="B126" s="219"/>
      <c r="C126" s="229"/>
      <c r="D126" s="219"/>
      <c r="E126" s="219"/>
      <c r="F126" s="219"/>
      <c r="G126" s="219"/>
      <c r="H126" s="22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>
      <c r="A127" s="242"/>
      <c r="B127" s="219"/>
      <c r="C127" s="229"/>
      <c r="D127" s="219"/>
      <c r="E127" s="219"/>
      <c r="F127" s="219"/>
      <c r="G127" s="219"/>
      <c r="H127" s="22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>
      <c r="A128" s="242"/>
      <c r="B128" s="219"/>
      <c r="C128" s="229"/>
      <c r="D128" s="219"/>
      <c r="E128" s="219"/>
      <c r="F128" s="219"/>
      <c r="G128" s="219"/>
      <c r="H128" s="22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>
      <c r="A129" s="242"/>
      <c r="B129" s="219"/>
      <c r="C129" s="229"/>
      <c r="D129" s="219"/>
      <c r="E129" s="219"/>
      <c r="F129" s="219"/>
      <c r="G129" s="219"/>
      <c r="H129" s="22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>
      <c r="A130" s="242"/>
      <c r="B130" s="219"/>
      <c r="C130" s="229"/>
      <c r="D130" s="219"/>
      <c r="E130" s="219"/>
      <c r="F130" s="219"/>
      <c r="G130" s="219"/>
      <c r="H130" s="22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>
      <c r="A131" s="242"/>
      <c r="B131" s="219"/>
      <c r="C131" s="229"/>
      <c r="D131" s="219"/>
      <c r="E131" s="219"/>
      <c r="F131" s="219"/>
      <c r="G131" s="219"/>
      <c r="H131" s="22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>
      <c r="A132" s="242"/>
      <c r="B132" s="219"/>
      <c r="C132" s="229"/>
      <c r="D132" s="219"/>
      <c r="E132" s="219"/>
      <c r="F132" s="219"/>
      <c r="G132" s="219"/>
      <c r="H132" s="22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>
      <c r="A133" s="242"/>
      <c r="B133" s="219"/>
      <c r="C133" s="229"/>
      <c r="D133" s="219"/>
      <c r="E133" s="219"/>
      <c r="F133" s="219"/>
      <c r="G133" s="219"/>
      <c r="H133" s="22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>
      <c r="A134" s="242"/>
      <c r="B134" s="219"/>
      <c r="C134" s="229"/>
      <c r="D134" s="219"/>
      <c r="E134" s="219"/>
      <c r="F134" s="219"/>
      <c r="G134" s="219"/>
      <c r="H134" s="22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>
      <c r="A135" s="242"/>
      <c r="B135" s="219"/>
      <c r="C135" s="229"/>
      <c r="D135" s="219"/>
      <c r="E135" s="219"/>
      <c r="F135" s="219"/>
      <c r="G135" s="219"/>
      <c r="H135" s="22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>
      <c r="A136" s="242"/>
      <c r="B136" s="219"/>
      <c r="C136" s="229"/>
      <c r="D136" s="219"/>
      <c r="E136" s="219"/>
      <c r="F136" s="219"/>
      <c r="G136" s="219"/>
      <c r="H136" s="22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>
      <c r="A137" s="242"/>
      <c r="B137" s="219"/>
      <c r="C137" s="229"/>
      <c r="D137" s="219"/>
      <c r="E137" s="219"/>
      <c r="F137" s="219"/>
      <c r="G137" s="219"/>
      <c r="H137" s="22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>
      <c r="A138" s="242"/>
      <c r="B138" s="219"/>
      <c r="C138" s="229"/>
      <c r="D138" s="219"/>
      <c r="E138" s="219"/>
      <c r="F138" s="219"/>
      <c r="G138" s="219"/>
      <c r="H138" s="22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>
      <c r="A139" s="242"/>
      <c r="B139" s="219"/>
      <c r="C139" s="229"/>
      <c r="D139" s="219"/>
      <c r="E139" s="219"/>
      <c r="F139" s="219"/>
      <c r="G139" s="219"/>
      <c r="H139" s="22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>
      <c r="A140" s="242"/>
      <c r="B140" s="219"/>
      <c r="C140" s="229"/>
      <c r="D140" s="219"/>
      <c r="E140" s="219"/>
      <c r="F140" s="219"/>
      <c r="G140" s="219"/>
      <c r="H140" s="22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>
      <c r="A141" s="242"/>
      <c r="B141" s="219"/>
      <c r="C141" s="229"/>
      <c r="D141" s="219"/>
      <c r="E141" s="219"/>
      <c r="F141" s="219"/>
      <c r="G141" s="219"/>
      <c r="H141" s="22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>
      <c r="A142" s="242"/>
      <c r="B142" s="219"/>
      <c r="C142" s="229"/>
      <c r="D142" s="219"/>
      <c r="E142" s="219"/>
      <c r="F142" s="219"/>
      <c r="G142" s="219"/>
      <c r="H142" s="22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>
      <c r="A143" s="242"/>
      <c r="B143" s="219"/>
      <c r="C143" s="229"/>
      <c r="D143" s="219"/>
      <c r="E143" s="219"/>
      <c r="F143" s="219"/>
      <c r="G143" s="219"/>
      <c r="H143" s="22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>
      <c r="A144" s="242"/>
      <c r="B144" s="219"/>
      <c r="C144" s="229"/>
      <c r="D144" s="219"/>
      <c r="E144" s="219"/>
      <c r="F144" s="219"/>
      <c r="G144" s="219"/>
      <c r="H144" s="22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>
      <c r="A145" s="242"/>
      <c r="B145" s="219"/>
      <c r="C145" s="229"/>
      <c r="D145" s="219"/>
      <c r="E145" s="219"/>
      <c r="F145" s="219"/>
      <c r="G145" s="219"/>
      <c r="H145" s="22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>
      <c r="A146" s="242"/>
      <c r="B146" s="219"/>
      <c r="C146" s="229"/>
      <c r="D146" s="219"/>
      <c r="E146" s="219"/>
      <c r="F146" s="219"/>
      <c r="G146" s="219"/>
      <c r="H146" s="22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>
      <c r="A147" s="242"/>
      <c r="B147" s="219"/>
      <c r="C147" s="229"/>
      <c r="D147" s="219"/>
      <c r="E147" s="219"/>
      <c r="F147" s="219"/>
      <c r="G147" s="219"/>
      <c r="H147" s="22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>
      <c r="A148" s="242"/>
      <c r="B148" s="219"/>
      <c r="C148" s="229"/>
      <c r="D148" s="219"/>
      <c r="E148" s="219"/>
      <c r="F148" s="219"/>
      <c r="G148" s="219"/>
      <c r="H148" s="22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>
      <c r="A149" s="242"/>
      <c r="B149" s="219"/>
      <c r="C149" s="229"/>
      <c r="D149" s="219"/>
      <c r="E149" s="219"/>
      <c r="F149" s="219"/>
      <c r="G149" s="219"/>
      <c r="H149" s="22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>
      <c r="A150" s="242"/>
      <c r="B150" s="219"/>
      <c r="C150" s="229"/>
      <c r="D150" s="219"/>
      <c r="E150" s="219"/>
      <c r="F150" s="219"/>
      <c r="G150" s="219"/>
      <c r="H150" s="22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>
      <c r="A151" s="242"/>
      <c r="B151" s="219"/>
      <c r="C151" s="229"/>
      <c r="D151" s="219"/>
      <c r="E151" s="219"/>
      <c r="F151" s="219"/>
      <c r="G151" s="219"/>
      <c r="H151" s="22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>
      <c r="A152" s="242"/>
      <c r="B152" s="219"/>
      <c r="C152" s="229"/>
      <c r="D152" s="219"/>
      <c r="E152" s="219"/>
      <c r="F152" s="219"/>
      <c r="G152" s="219"/>
      <c r="H152" s="22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>
      <c r="A153" s="242"/>
      <c r="B153" s="219"/>
      <c r="C153" s="229"/>
      <c r="D153" s="219"/>
      <c r="E153" s="219"/>
      <c r="F153" s="219"/>
      <c r="G153" s="219"/>
      <c r="H153" s="22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>
      <c r="A154" s="242"/>
      <c r="B154" s="219"/>
      <c r="C154" s="229"/>
      <c r="D154" s="219"/>
      <c r="E154" s="219"/>
      <c r="F154" s="219"/>
      <c r="G154" s="219"/>
      <c r="H154" s="22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>
      <c r="A155" s="242"/>
      <c r="B155" s="219"/>
      <c r="C155" s="229"/>
      <c r="D155" s="219"/>
      <c r="E155" s="219"/>
      <c r="F155" s="219"/>
      <c r="G155" s="219"/>
      <c r="H155" s="22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>
      <c r="A156" s="242"/>
      <c r="B156" s="219"/>
      <c r="C156" s="229"/>
      <c r="D156" s="219"/>
      <c r="E156" s="219"/>
      <c r="F156" s="219"/>
      <c r="G156" s="219"/>
      <c r="H156" s="22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>
      <c r="A157" s="242"/>
      <c r="B157" s="219"/>
      <c r="C157" s="229"/>
      <c r="D157" s="219"/>
      <c r="E157" s="219"/>
      <c r="F157" s="219"/>
      <c r="G157" s="219"/>
      <c r="H157" s="22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>
      <c r="A158" s="242"/>
      <c r="B158" s="219"/>
      <c r="C158" s="229"/>
      <c r="D158" s="219"/>
      <c r="E158" s="219"/>
      <c r="F158" s="219"/>
      <c r="G158" s="219"/>
      <c r="H158" s="22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>
      <c r="A159" s="242"/>
      <c r="B159" s="219"/>
      <c r="C159" s="229"/>
      <c r="D159" s="219"/>
      <c r="E159" s="219"/>
      <c r="F159" s="219"/>
      <c r="G159" s="219"/>
      <c r="H159" s="22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>
      <c r="A160" s="242"/>
      <c r="B160" s="219"/>
      <c r="C160" s="229"/>
      <c r="D160" s="219"/>
      <c r="E160" s="219"/>
      <c r="F160" s="219"/>
      <c r="G160" s="219"/>
      <c r="H160" s="22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>
      <c r="A161" s="242"/>
      <c r="B161" s="219"/>
      <c r="C161" s="229"/>
      <c r="D161" s="219"/>
      <c r="E161" s="219"/>
      <c r="F161" s="219"/>
      <c r="G161" s="219"/>
      <c r="H161" s="22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>
      <c r="A162" s="242"/>
      <c r="B162" s="219"/>
      <c r="C162" s="229"/>
      <c r="D162" s="219"/>
      <c r="E162" s="219"/>
      <c r="F162" s="219"/>
      <c r="G162" s="219"/>
      <c r="H162" s="22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>
      <c r="A163" s="242"/>
      <c r="B163" s="219"/>
      <c r="C163" s="229"/>
      <c r="D163" s="219"/>
      <c r="E163" s="219"/>
      <c r="F163" s="219"/>
      <c r="G163" s="219"/>
      <c r="H163" s="22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>
      <c r="A164" s="242"/>
      <c r="B164" s="219"/>
      <c r="C164" s="229"/>
      <c r="D164" s="219"/>
      <c r="E164" s="219"/>
      <c r="F164" s="219"/>
      <c r="G164" s="219"/>
      <c r="H164" s="22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>
      <c r="A165" s="242"/>
      <c r="B165" s="219"/>
      <c r="C165" s="229"/>
      <c r="D165" s="219"/>
      <c r="E165" s="219"/>
      <c r="F165" s="219"/>
      <c r="G165" s="219"/>
      <c r="H165" s="22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>
      <c r="A166" s="242"/>
      <c r="B166" s="219"/>
      <c r="C166" s="229"/>
      <c r="D166" s="219"/>
      <c r="E166" s="219"/>
      <c r="F166" s="219"/>
      <c r="G166" s="219"/>
      <c r="H166" s="22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>
      <c r="A167" s="242"/>
      <c r="B167" s="219"/>
      <c r="C167" s="229"/>
      <c r="D167" s="219"/>
      <c r="E167" s="219"/>
      <c r="F167" s="219"/>
      <c r="G167" s="219"/>
      <c r="H167" s="22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>
      <c r="A168" s="242"/>
      <c r="B168" s="219"/>
      <c r="C168" s="229"/>
      <c r="D168" s="219"/>
      <c r="E168" s="219"/>
      <c r="F168" s="219"/>
      <c r="G168" s="219"/>
      <c r="H168" s="22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>
      <c r="A169" s="242"/>
      <c r="B169" s="219"/>
      <c r="C169" s="229"/>
      <c r="D169" s="219"/>
      <c r="E169" s="219"/>
      <c r="F169" s="219"/>
      <c r="G169" s="219"/>
      <c r="H169" s="22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>
      <c r="A170" s="242"/>
      <c r="B170" s="219"/>
      <c r="C170" s="229"/>
      <c r="D170" s="219"/>
      <c r="E170" s="219"/>
      <c r="F170" s="219"/>
      <c r="G170" s="219"/>
      <c r="H170" s="22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>
      <c r="A171" s="242"/>
      <c r="B171" s="219"/>
      <c r="C171" s="229"/>
      <c r="D171" s="219"/>
      <c r="E171" s="219"/>
      <c r="F171" s="219"/>
      <c r="G171" s="219"/>
      <c r="H171" s="22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>
      <c r="A172" s="242"/>
      <c r="B172" s="219"/>
      <c r="C172" s="229"/>
      <c r="D172" s="219"/>
      <c r="E172" s="219"/>
      <c r="F172" s="219"/>
      <c r="G172" s="219"/>
      <c r="H172" s="22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>
      <c r="A173" s="242"/>
      <c r="B173" s="219"/>
      <c r="C173" s="229"/>
      <c r="D173" s="219"/>
      <c r="E173" s="219"/>
      <c r="F173" s="219"/>
      <c r="G173" s="219"/>
      <c r="H173" s="22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>
      <c r="A174" s="242"/>
      <c r="B174" s="219"/>
      <c r="C174" s="229"/>
      <c r="D174" s="219"/>
      <c r="E174" s="219"/>
      <c r="F174" s="219"/>
      <c r="G174" s="219"/>
      <c r="H174" s="22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>
      <c r="A175" s="242"/>
      <c r="B175" s="219"/>
      <c r="C175" s="229"/>
      <c r="D175" s="219"/>
      <c r="E175" s="219"/>
      <c r="F175" s="219"/>
      <c r="G175" s="219"/>
      <c r="H175" s="22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>
      <c r="A176" s="242"/>
      <c r="B176" s="219"/>
      <c r="C176" s="229"/>
      <c r="D176" s="219"/>
      <c r="E176" s="219"/>
      <c r="F176" s="219"/>
      <c r="G176" s="219"/>
      <c r="H176" s="22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>
      <c r="A177" s="242"/>
      <c r="B177" s="219"/>
      <c r="C177" s="229"/>
      <c r="D177" s="219"/>
      <c r="E177" s="219"/>
      <c r="F177" s="219"/>
      <c r="G177" s="219"/>
      <c r="H177" s="22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>
      <c r="A178" s="242"/>
      <c r="B178" s="219"/>
      <c r="C178" s="229"/>
      <c r="D178" s="219"/>
      <c r="E178" s="219"/>
      <c r="F178" s="219"/>
      <c r="G178" s="219"/>
      <c r="H178" s="22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>
      <c r="A179" s="242"/>
      <c r="B179" s="219"/>
      <c r="C179" s="229"/>
      <c r="D179" s="219"/>
      <c r="E179" s="219"/>
      <c r="F179" s="219"/>
      <c r="G179" s="219"/>
      <c r="H179" s="22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>
      <c r="A180" s="242"/>
      <c r="B180" s="219"/>
      <c r="C180" s="229"/>
      <c r="D180" s="219"/>
      <c r="E180" s="219"/>
      <c r="F180" s="219"/>
      <c r="G180" s="219"/>
      <c r="H180" s="22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>
      <c r="A181" s="242"/>
      <c r="B181" s="219"/>
      <c r="C181" s="229"/>
      <c r="D181" s="219"/>
      <c r="E181" s="219"/>
      <c r="F181" s="219"/>
      <c r="G181" s="219"/>
      <c r="H181" s="22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>
      <c r="A182" s="242"/>
      <c r="B182" s="219"/>
      <c r="C182" s="229"/>
      <c r="D182" s="219"/>
      <c r="E182" s="219"/>
      <c r="F182" s="219"/>
      <c r="G182" s="219"/>
      <c r="H182" s="22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>
      <c r="A183" s="242"/>
      <c r="B183" s="219"/>
      <c r="C183" s="229"/>
      <c r="D183" s="219"/>
      <c r="E183" s="219"/>
      <c r="F183" s="219"/>
      <c r="G183" s="219"/>
      <c r="H183" s="22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>
      <c r="A184" s="242"/>
      <c r="B184" s="219"/>
      <c r="C184" s="229"/>
      <c r="D184" s="219"/>
      <c r="E184" s="219"/>
      <c r="F184" s="219"/>
      <c r="G184" s="219"/>
      <c r="H184" s="22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>
      <c r="A185" s="242"/>
      <c r="B185" s="219"/>
      <c r="C185" s="229"/>
      <c r="D185" s="219"/>
      <c r="E185" s="219"/>
      <c r="F185" s="219"/>
      <c r="G185" s="219"/>
      <c r="H185" s="22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>
      <c r="A186" s="242"/>
      <c r="B186" s="219"/>
      <c r="C186" s="229"/>
      <c r="D186" s="219"/>
      <c r="E186" s="219"/>
      <c r="F186" s="219"/>
      <c r="G186" s="219"/>
      <c r="H186" s="22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>
      <c r="A187" s="242"/>
      <c r="B187" s="219"/>
      <c r="C187" s="229"/>
      <c r="D187" s="219"/>
      <c r="E187" s="219"/>
      <c r="F187" s="219"/>
      <c r="G187" s="219"/>
      <c r="H187" s="22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>
      <c r="A188" s="242"/>
      <c r="B188" s="219"/>
      <c r="C188" s="229"/>
      <c r="D188" s="219"/>
      <c r="E188" s="219"/>
      <c r="F188" s="219"/>
      <c r="G188" s="219"/>
      <c r="H188" s="22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>
      <c r="A189" s="242"/>
      <c r="B189" s="219"/>
      <c r="C189" s="229"/>
      <c r="D189" s="219"/>
      <c r="E189" s="219"/>
      <c r="F189" s="219"/>
      <c r="G189" s="219"/>
      <c r="H189" s="22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>
      <c r="A190" s="242"/>
      <c r="B190" s="219"/>
      <c r="C190" s="229"/>
      <c r="D190" s="219"/>
      <c r="E190" s="219"/>
      <c r="F190" s="219"/>
      <c r="G190" s="219"/>
      <c r="H190" s="22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>
      <c r="A191" s="242"/>
      <c r="B191" s="219"/>
      <c r="C191" s="229"/>
      <c r="D191" s="219"/>
      <c r="E191" s="219"/>
      <c r="F191" s="219"/>
      <c r="G191" s="219"/>
      <c r="H191" s="22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>
      <c r="A192" s="242"/>
      <c r="B192" s="219"/>
      <c r="C192" s="229"/>
      <c r="D192" s="219"/>
      <c r="E192" s="219"/>
      <c r="F192" s="219"/>
      <c r="G192" s="219"/>
      <c r="H192" s="22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>
      <c r="A193" s="242"/>
      <c r="B193" s="219"/>
      <c r="C193" s="229"/>
      <c r="D193" s="219"/>
      <c r="E193" s="219"/>
      <c r="F193" s="219"/>
      <c r="G193" s="219"/>
      <c r="H193" s="22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>
      <c r="A194" s="242"/>
      <c r="B194" s="219"/>
      <c r="C194" s="229"/>
      <c r="D194" s="219"/>
      <c r="E194" s="219"/>
      <c r="F194" s="219"/>
      <c r="G194" s="219"/>
      <c r="H194" s="22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>
      <c r="A195" s="242"/>
      <c r="B195" s="219"/>
      <c r="C195" s="229"/>
      <c r="D195" s="219"/>
      <c r="E195" s="219"/>
      <c r="F195" s="219"/>
      <c r="G195" s="219"/>
      <c r="H195" s="22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>
      <c r="A196" s="242"/>
      <c r="B196" s="219"/>
      <c r="C196" s="229"/>
      <c r="D196" s="219"/>
      <c r="E196" s="219"/>
      <c r="F196" s="219"/>
      <c r="G196" s="219"/>
      <c r="H196" s="22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>
      <c r="A197" s="242"/>
      <c r="B197" s="219"/>
      <c r="C197" s="229"/>
      <c r="D197" s="219"/>
      <c r="E197" s="219"/>
      <c r="F197" s="219"/>
      <c r="G197" s="219"/>
      <c r="H197" s="22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>
      <c r="A198" s="242"/>
      <c r="B198" s="219"/>
      <c r="C198" s="229"/>
      <c r="D198" s="219"/>
      <c r="E198" s="219"/>
      <c r="F198" s="219"/>
      <c r="G198" s="219"/>
      <c r="H198" s="22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>
      <c r="A199" s="242"/>
      <c r="B199" s="219"/>
      <c r="C199" s="229"/>
      <c r="D199" s="219"/>
      <c r="E199" s="219"/>
      <c r="F199" s="219"/>
      <c r="G199" s="219"/>
      <c r="H199" s="22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>
      <c r="A200" s="242"/>
      <c r="B200" s="219"/>
      <c r="C200" s="229"/>
      <c r="D200" s="219"/>
      <c r="E200" s="219"/>
      <c r="F200" s="219"/>
      <c r="G200" s="219"/>
      <c r="H200" s="22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>
      <c r="A201" s="242"/>
      <c r="B201" s="219"/>
      <c r="C201" s="229"/>
      <c r="D201" s="219"/>
      <c r="E201" s="219"/>
      <c r="F201" s="219"/>
      <c r="G201" s="219"/>
      <c r="H201" s="22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>
      <c r="A202" s="242"/>
      <c r="B202" s="219"/>
      <c r="C202" s="229"/>
      <c r="D202" s="219"/>
      <c r="E202" s="219"/>
      <c r="F202" s="219"/>
      <c r="G202" s="219"/>
      <c r="H202" s="22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>
      <c r="A203" s="242"/>
      <c r="B203" s="219"/>
      <c r="C203" s="229"/>
      <c r="D203" s="219"/>
      <c r="E203" s="219"/>
      <c r="F203" s="219"/>
      <c r="G203" s="219"/>
      <c r="H203" s="22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>
      <c r="A204" s="242"/>
      <c r="B204" s="219"/>
      <c r="C204" s="229"/>
      <c r="D204" s="219"/>
      <c r="E204" s="219"/>
      <c r="F204" s="219"/>
      <c r="G204" s="219"/>
      <c r="H204" s="22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>
      <c r="A205" s="242"/>
      <c r="B205" s="219"/>
      <c r="C205" s="229"/>
      <c r="D205" s="219"/>
      <c r="E205" s="219"/>
      <c r="F205" s="219"/>
      <c r="G205" s="219"/>
      <c r="H205" s="22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>
      <c r="A206" s="242"/>
      <c r="B206" s="219"/>
      <c r="C206" s="229"/>
      <c r="D206" s="219"/>
      <c r="E206" s="219"/>
      <c r="F206" s="219"/>
      <c r="G206" s="219"/>
      <c r="H206" s="22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>
      <c r="A207" s="242"/>
      <c r="B207" s="219"/>
      <c r="C207" s="229"/>
      <c r="D207" s="219"/>
      <c r="E207" s="219"/>
      <c r="F207" s="219"/>
      <c r="G207" s="219"/>
      <c r="H207" s="22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>
      <c r="A208" s="242"/>
      <c r="B208" s="219"/>
      <c r="C208" s="229"/>
      <c r="D208" s="219"/>
      <c r="E208" s="219"/>
      <c r="F208" s="219"/>
      <c r="G208" s="219"/>
      <c r="H208" s="22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>
      <c r="A209" s="242"/>
      <c r="B209" s="219"/>
      <c r="C209" s="229"/>
      <c r="D209" s="219"/>
      <c r="E209" s="219"/>
      <c r="F209" s="219"/>
      <c r="G209" s="219"/>
      <c r="H209" s="22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>
      <c r="A210" s="242"/>
      <c r="B210" s="219"/>
      <c r="C210" s="229"/>
      <c r="D210" s="219"/>
      <c r="E210" s="219"/>
      <c r="F210" s="219"/>
      <c r="G210" s="219"/>
      <c r="H210" s="22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>
      <c r="A211" s="242"/>
      <c r="B211" s="219"/>
      <c r="C211" s="229"/>
      <c r="D211" s="219"/>
      <c r="E211" s="219"/>
      <c r="F211" s="219"/>
      <c r="G211" s="219"/>
      <c r="H211" s="22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>
      <c r="A212" s="242"/>
      <c r="B212" s="219"/>
      <c r="C212" s="229"/>
      <c r="D212" s="219"/>
      <c r="E212" s="219"/>
      <c r="F212" s="219"/>
      <c r="G212" s="219"/>
      <c r="H212" s="22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>
      <c r="A213" s="242"/>
      <c r="B213" s="219"/>
      <c r="C213" s="229"/>
      <c r="D213" s="219"/>
      <c r="E213" s="219"/>
      <c r="F213" s="219"/>
      <c r="G213" s="219"/>
      <c r="H213" s="22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>
      <c r="A214" s="242"/>
      <c r="B214" s="219"/>
      <c r="C214" s="229"/>
      <c r="D214" s="219"/>
      <c r="E214" s="219"/>
      <c r="F214" s="219"/>
      <c r="G214" s="219"/>
      <c r="H214" s="22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>
      <c r="A215" s="242"/>
      <c r="B215" s="219"/>
      <c r="C215" s="229"/>
      <c r="D215" s="219"/>
      <c r="E215" s="219"/>
      <c r="F215" s="219"/>
      <c r="G215" s="219"/>
      <c r="H215" s="22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>
      <c r="A216" s="242"/>
      <c r="B216" s="219"/>
      <c r="C216" s="229"/>
      <c r="D216" s="219"/>
      <c r="E216" s="219"/>
      <c r="F216" s="219"/>
      <c r="G216" s="219"/>
      <c r="H216" s="22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>
      <c r="A217" s="242"/>
      <c r="B217" s="219"/>
      <c r="C217" s="229"/>
      <c r="D217" s="219"/>
      <c r="E217" s="219"/>
      <c r="F217" s="219"/>
      <c r="G217" s="219"/>
      <c r="H217" s="22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>
      <c r="A218" s="242"/>
      <c r="B218" s="219"/>
      <c r="C218" s="229"/>
      <c r="D218" s="219"/>
      <c r="E218" s="219"/>
      <c r="F218" s="219"/>
      <c r="G218" s="219"/>
      <c r="H218" s="22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>
      <c r="A219" s="242"/>
      <c r="B219" s="219"/>
      <c r="C219" s="229"/>
      <c r="D219" s="219"/>
      <c r="E219" s="219"/>
      <c r="F219" s="219"/>
      <c r="G219" s="219"/>
      <c r="H219" s="22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>
      <c r="A220" s="242"/>
      <c r="B220" s="219"/>
      <c r="C220" s="229"/>
      <c r="D220" s="219"/>
      <c r="E220" s="219"/>
      <c r="F220" s="219"/>
      <c r="G220" s="219"/>
      <c r="H220" s="22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>
      <c r="A221" s="242"/>
      <c r="B221" s="219"/>
      <c r="C221" s="229"/>
      <c r="D221" s="219"/>
      <c r="E221" s="219"/>
      <c r="F221" s="219"/>
      <c r="G221" s="219"/>
      <c r="H221" s="22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</row>
    <row r="222">
      <c r="A222" s="242"/>
      <c r="B222" s="219"/>
      <c r="C222" s="229"/>
      <c r="D222" s="219"/>
      <c r="E222" s="219"/>
      <c r="F222" s="219"/>
      <c r="G222" s="219"/>
      <c r="H222" s="22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</row>
    <row r="223">
      <c r="A223" s="242"/>
      <c r="B223" s="219"/>
      <c r="C223" s="229"/>
      <c r="D223" s="219"/>
      <c r="E223" s="219"/>
      <c r="F223" s="219"/>
      <c r="G223" s="219"/>
      <c r="H223" s="22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</row>
    <row r="224">
      <c r="A224" s="242"/>
      <c r="B224" s="219"/>
      <c r="C224" s="229"/>
      <c r="D224" s="219"/>
      <c r="E224" s="219"/>
      <c r="F224" s="219"/>
      <c r="G224" s="219"/>
      <c r="H224" s="22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</row>
    <row r="225">
      <c r="A225" s="242"/>
      <c r="B225" s="219"/>
      <c r="C225" s="229"/>
      <c r="D225" s="219"/>
      <c r="E225" s="219"/>
      <c r="F225" s="219"/>
      <c r="G225" s="219"/>
      <c r="H225" s="22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</row>
    <row r="226">
      <c r="A226" s="242"/>
      <c r="B226" s="219"/>
      <c r="C226" s="229"/>
      <c r="D226" s="219"/>
      <c r="E226" s="219"/>
      <c r="F226" s="219"/>
      <c r="G226" s="219"/>
      <c r="H226" s="22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</row>
    <row r="227">
      <c r="A227" s="242"/>
      <c r="B227" s="219"/>
      <c r="C227" s="229"/>
      <c r="D227" s="219"/>
      <c r="E227" s="219"/>
      <c r="F227" s="219"/>
      <c r="G227" s="219"/>
      <c r="H227" s="22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</row>
    <row r="228">
      <c r="A228" s="242"/>
      <c r="B228" s="219"/>
      <c r="C228" s="229"/>
      <c r="D228" s="219"/>
      <c r="E228" s="219"/>
      <c r="F228" s="219"/>
      <c r="G228" s="219"/>
      <c r="H228" s="22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</row>
    <row r="229">
      <c r="A229" s="242"/>
      <c r="B229" s="219"/>
      <c r="C229" s="229"/>
      <c r="D229" s="219"/>
      <c r="E229" s="219"/>
      <c r="F229" s="219"/>
      <c r="G229" s="219"/>
      <c r="H229" s="22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</row>
    <row r="230">
      <c r="A230" s="242"/>
      <c r="B230" s="219"/>
      <c r="C230" s="229"/>
      <c r="D230" s="219"/>
      <c r="E230" s="219"/>
      <c r="F230" s="219"/>
      <c r="G230" s="219"/>
      <c r="H230" s="22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</row>
    <row r="231">
      <c r="A231" s="242"/>
      <c r="B231" s="219"/>
      <c r="C231" s="229"/>
      <c r="D231" s="219"/>
      <c r="E231" s="219"/>
      <c r="F231" s="219"/>
      <c r="G231" s="219"/>
      <c r="H231" s="22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</row>
    <row r="232">
      <c r="A232" s="242"/>
      <c r="B232" s="219"/>
      <c r="C232" s="229"/>
      <c r="D232" s="219"/>
      <c r="E232" s="219"/>
      <c r="F232" s="219"/>
      <c r="G232" s="219"/>
      <c r="H232" s="22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</row>
    <row r="233">
      <c r="A233" s="242"/>
      <c r="B233" s="219"/>
      <c r="C233" s="229"/>
      <c r="D233" s="219"/>
      <c r="E233" s="219"/>
      <c r="F233" s="219"/>
      <c r="G233" s="219"/>
      <c r="H233" s="22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</row>
    <row r="234">
      <c r="A234" s="242"/>
      <c r="B234" s="219"/>
      <c r="C234" s="229"/>
      <c r="D234" s="219"/>
      <c r="E234" s="219"/>
      <c r="F234" s="219"/>
      <c r="G234" s="219"/>
      <c r="H234" s="22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</row>
    <row r="235">
      <c r="A235" s="242"/>
      <c r="B235" s="219"/>
      <c r="C235" s="229"/>
      <c r="D235" s="219"/>
      <c r="E235" s="219"/>
      <c r="F235" s="219"/>
      <c r="G235" s="219"/>
      <c r="H235" s="22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</row>
    <row r="236">
      <c r="A236" s="242"/>
      <c r="B236" s="219"/>
      <c r="C236" s="229"/>
      <c r="D236" s="219"/>
      <c r="E236" s="219"/>
      <c r="F236" s="219"/>
      <c r="G236" s="219"/>
      <c r="H236" s="22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</row>
    <row r="237">
      <c r="A237" s="242"/>
      <c r="B237" s="219"/>
      <c r="C237" s="229"/>
      <c r="D237" s="219"/>
      <c r="E237" s="219"/>
      <c r="F237" s="219"/>
      <c r="G237" s="219"/>
      <c r="H237" s="22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</row>
    <row r="238">
      <c r="A238" s="242"/>
      <c r="B238" s="219"/>
      <c r="C238" s="229"/>
      <c r="D238" s="219"/>
      <c r="E238" s="219"/>
      <c r="F238" s="219"/>
      <c r="G238" s="219"/>
      <c r="H238" s="22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</row>
    <row r="239">
      <c r="A239" s="242"/>
      <c r="B239" s="219"/>
      <c r="C239" s="229"/>
      <c r="D239" s="219"/>
      <c r="E239" s="219"/>
      <c r="F239" s="219"/>
      <c r="G239" s="219"/>
      <c r="H239" s="22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</row>
    <row r="240">
      <c r="A240" s="242"/>
      <c r="B240" s="219"/>
      <c r="C240" s="229"/>
      <c r="D240" s="219"/>
      <c r="E240" s="219"/>
      <c r="F240" s="219"/>
      <c r="G240" s="219"/>
      <c r="H240" s="22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</row>
    <row r="241">
      <c r="A241" s="242"/>
      <c r="B241" s="219"/>
      <c r="C241" s="229"/>
      <c r="D241" s="219"/>
      <c r="E241" s="219"/>
      <c r="F241" s="219"/>
      <c r="G241" s="219"/>
      <c r="H241" s="22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</row>
    <row r="242">
      <c r="A242" s="242"/>
      <c r="B242" s="219"/>
      <c r="C242" s="229"/>
      <c r="D242" s="219"/>
      <c r="E242" s="219"/>
      <c r="F242" s="219"/>
      <c r="G242" s="219"/>
      <c r="H242" s="22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</row>
    <row r="243">
      <c r="A243" s="242"/>
      <c r="B243" s="219"/>
      <c r="C243" s="229"/>
      <c r="D243" s="219"/>
      <c r="E243" s="219"/>
      <c r="F243" s="219"/>
      <c r="G243" s="219"/>
      <c r="H243" s="22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</row>
    <row r="244">
      <c r="A244" s="242"/>
      <c r="B244" s="219"/>
      <c r="C244" s="229"/>
      <c r="D244" s="219"/>
      <c r="E244" s="219"/>
      <c r="F244" s="219"/>
      <c r="G244" s="219"/>
      <c r="H244" s="22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</row>
    <row r="245">
      <c r="A245" s="242"/>
      <c r="B245" s="219"/>
      <c r="C245" s="229"/>
      <c r="D245" s="219"/>
      <c r="E245" s="219"/>
      <c r="F245" s="219"/>
      <c r="G245" s="219"/>
      <c r="H245" s="22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</row>
    <row r="246">
      <c r="A246" s="242"/>
      <c r="B246" s="219"/>
      <c r="C246" s="229"/>
      <c r="D246" s="219"/>
      <c r="E246" s="219"/>
      <c r="F246" s="219"/>
      <c r="G246" s="219"/>
      <c r="H246" s="22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</row>
    <row r="247">
      <c r="A247" s="242"/>
      <c r="B247" s="219"/>
      <c r="C247" s="229"/>
      <c r="D247" s="219"/>
      <c r="E247" s="219"/>
      <c r="F247" s="219"/>
      <c r="G247" s="219"/>
      <c r="H247" s="22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</row>
    <row r="248">
      <c r="A248" s="242"/>
      <c r="B248" s="219"/>
      <c r="C248" s="229"/>
      <c r="D248" s="219"/>
      <c r="E248" s="219"/>
      <c r="F248" s="219"/>
      <c r="G248" s="219"/>
      <c r="H248" s="22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</row>
    <row r="249">
      <c r="A249" s="242"/>
      <c r="B249" s="219"/>
      <c r="C249" s="229"/>
      <c r="D249" s="219"/>
      <c r="E249" s="219"/>
      <c r="F249" s="219"/>
      <c r="G249" s="219"/>
      <c r="H249" s="22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</row>
    <row r="250">
      <c r="A250" s="242"/>
      <c r="B250" s="219"/>
      <c r="C250" s="229"/>
      <c r="D250" s="219"/>
      <c r="E250" s="219"/>
      <c r="F250" s="219"/>
      <c r="G250" s="219"/>
      <c r="H250" s="22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</row>
    <row r="251">
      <c r="A251" s="242"/>
      <c r="B251" s="219"/>
      <c r="C251" s="229"/>
      <c r="D251" s="219"/>
      <c r="E251" s="219"/>
      <c r="F251" s="219"/>
      <c r="G251" s="219"/>
      <c r="H251" s="22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</row>
    <row r="252">
      <c r="A252" s="242"/>
      <c r="B252" s="219"/>
      <c r="C252" s="229"/>
      <c r="D252" s="219"/>
      <c r="E252" s="219"/>
      <c r="F252" s="219"/>
      <c r="G252" s="219"/>
      <c r="H252" s="22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</row>
    <row r="253">
      <c r="A253" s="242"/>
      <c r="B253" s="219"/>
      <c r="C253" s="229"/>
      <c r="D253" s="219"/>
      <c r="E253" s="219"/>
      <c r="F253" s="219"/>
      <c r="G253" s="219"/>
      <c r="H253" s="22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</row>
    <row r="254">
      <c r="A254" s="242"/>
      <c r="B254" s="219"/>
      <c r="C254" s="229"/>
      <c r="D254" s="219"/>
      <c r="E254" s="219"/>
      <c r="F254" s="219"/>
      <c r="G254" s="219"/>
      <c r="H254" s="22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</row>
    <row r="255">
      <c r="A255" s="242"/>
      <c r="B255" s="219"/>
      <c r="C255" s="229"/>
      <c r="D255" s="219"/>
      <c r="E255" s="219"/>
      <c r="F255" s="219"/>
      <c r="G255" s="219"/>
      <c r="H255" s="22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</row>
    <row r="256">
      <c r="A256" s="242"/>
      <c r="B256" s="219"/>
      <c r="C256" s="229"/>
      <c r="D256" s="219"/>
      <c r="E256" s="219"/>
      <c r="F256" s="219"/>
      <c r="G256" s="219"/>
      <c r="H256" s="22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</row>
    <row r="257">
      <c r="A257" s="242"/>
      <c r="B257" s="219"/>
      <c r="C257" s="229"/>
      <c r="D257" s="219"/>
      <c r="E257" s="219"/>
      <c r="F257" s="219"/>
      <c r="G257" s="219"/>
      <c r="H257" s="22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</row>
    <row r="258">
      <c r="A258" s="242"/>
      <c r="B258" s="219"/>
      <c r="C258" s="229"/>
      <c r="D258" s="219"/>
      <c r="E258" s="219"/>
      <c r="F258" s="219"/>
      <c r="G258" s="219"/>
      <c r="H258" s="22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</row>
    <row r="259">
      <c r="A259" s="242"/>
      <c r="B259" s="219"/>
      <c r="C259" s="229"/>
      <c r="D259" s="219"/>
      <c r="E259" s="219"/>
      <c r="F259" s="219"/>
      <c r="G259" s="219"/>
      <c r="H259" s="229"/>
      <c r="I259" s="219"/>
      <c r="J259" s="219"/>
      <c r="K259" s="219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</row>
    <row r="260">
      <c r="A260" s="242"/>
      <c r="B260" s="219"/>
      <c r="C260" s="229"/>
      <c r="D260" s="219"/>
      <c r="E260" s="219"/>
      <c r="F260" s="219"/>
      <c r="G260" s="219"/>
      <c r="H260" s="229"/>
      <c r="I260" s="219"/>
      <c r="J260" s="219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</row>
    <row r="261">
      <c r="A261" s="242"/>
      <c r="B261" s="219"/>
      <c r="C261" s="229"/>
      <c r="D261" s="219"/>
      <c r="E261" s="219"/>
      <c r="F261" s="219"/>
      <c r="G261" s="219"/>
      <c r="H261" s="22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</row>
    <row r="262">
      <c r="A262" s="242"/>
      <c r="B262" s="219"/>
      <c r="C262" s="229"/>
      <c r="D262" s="219"/>
      <c r="E262" s="219"/>
      <c r="F262" s="219"/>
      <c r="G262" s="219"/>
      <c r="H262" s="22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</row>
    <row r="263">
      <c r="A263" s="242"/>
      <c r="B263" s="219"/>
      <c r="C263" s="229"/>
      <c r="D263" s="219"/>
      <c r="E263" s="219"/>
      <c r="F263" s="219"/>
      <c r="G263" s="219"/>
      <c r="H263" s="22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</row>
    <row r="264">
      <c r="A264" s="242"/>
      <c r="B264" s="219"/>
      <c r="C264" s="229"/>
      <c r="D264" s="219"/>
      <c r="E264" s="219"/>
      <c r="F264" s="219"/>
      <c r="G264" s="219"/>
      <c r="H264" s="22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</row>
    <row r="265">
      <c r="A265" s="242"/>
      <c r="B265" s="219"/>
      <c r="C265" s="229"/>
      <c r="D265" s="219"/>
      <c r="E265" s="219"/>
      <c r="F265" s="219"/>
      <c r="G265" s="219"/>
      <c r="H265" s="22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</row>
    <row r="266">
      <c r="A266" s="242"/>
      <c r="B266" s="219"/>
      <c r="C266" s="229"/>
      <c r="D266" s="219"/>
      <c r="E266" s="219"/>
      <c r="F266" s="219"/>
      <c r="G266" s="219"/>
      <c r="H266" s="22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</row>
    <row r="267">
      <c r="A267" s="242"/>
      <c r="B267" s="219"/>
      <c r="C267" s="229"/>
      <c r="D267" s="219"/>
      <c r="E267" s="219"/>
      <c r="F267" s="219"/>
      <c r="G267" s="219"/>
      <c r="H267" s="22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</row>
    <row r="268">
      <c r="A268" s="242"/>
      <c r="B268" s="219"/>
      <c r="C268" s="229"/>
      <c r="D268" s="219"/>
      <c r="E268" s="219"/>
      <c r="F268" s="219"/>
      <c r="G268" s="219"/>
      <c r="H268" s="22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</row>
    <row r="269">
      <c r="A269" s="242"/>
      <c r="B269" s="219"/>
      <c r="C269" s="229"/>
      <c r="D269" s="219"/>
      <c r="E269" s="219"/>
      <c r="F269" s="219"/>
      <c r="G269" s="219"/>
      <c r="H269" s="22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</row>
    <row r="270">
      <c r="A270" s="242"/>
      <c r="B270" s="219"/>
      <c r="C270" s="229"/>
      <c r="D270" s="219"/>
      <c r="E270" s="219"/>
      <c r="F270" s="219"/>
      <c r="G270" s="219"/>
      <c r="H270" s="22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</row>
    <row r="271">
      <c r="A271" s="242"/>
      <c r="B271" s="219"/>
      <c r="C271" s="229"/>
      <c r="D271" s="219"/>
      <c r="E271" s="219"/>
      <c r="F271" s="219"/>
      <c r="G271" s="219"/>
      <c r="H271" s="229"/>
      <c r="I271" s="219"/>
      <c r="J271" s="219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</row>
    <row r="272">
      <c r="A272" s="242"/>
      <c r="B272" s="219"/>
      <c r="C272" s="229"/>
      <c r="D272" s="219"/>
      <c r="E272" s="219"/>
      <c r="F272" s="219"/>
      <c r="G272" s="219"/>
      <c r="H272" s="229"/>
      <c r="I272" s="219"/>
      <c r="J272" s="219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</row>
    <row r="273">
      <c r="A273" s="242"/>
      <c r="B273" s="219"/>
      <c r="C273" s="229"/>
      <c r="D273" s="219"/>
      <c r="E273" s="219"/>
      <c r="F273" s="219"/>
      <c r="G273" s="219"/>
      <c r="H273" s="229"/>
      <c r="I273" s="219"/>
      <c r="J273" s="219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</row>
    <row r="274">
      <c r="A274" s="242"/>
      <c r="B274" s="219"/>
      <c r="C274" s="229"/>
      <c r="D274" s="219"/>
      <c r="E274" s="219"/>
      <c r="F274" s="219"/>
      <c r="G274" s="219"/>
      <c r="H274" s="229"/>
      <c r="I274" s="219"/>
      <c r="J274" s="219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</row>
    <row r="275">
      <c r="A275" s="242"/>
      <c r="B275" s="219"/>
      <c r="C275" s="229"/>
      <c r="D275" s="219"/>
      <c r="E275" s="219"/>
      <c r="F275" s="219"/>
      <c r="G275" s="219"/>
      <c r="H275" s="22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</row>
    <row r="276">
      <c r="A276" s="242"/>
      <c r="B276" s="219"/>
      <c r="C276" s="229"/>
      <c r="D276" s="219"/>
      <c r="E276" s="219"/>
      <c r="F276" s="219"/>
      <c r="G276" s="219"/>
      <c r="H276" s="229"/>
      <c r="I276" s="219"/>
      <c r="J276" s="219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</row>
    <row r="277">
      <c r="A277" s="242"/>
      <c r="B277" s="219"/>
      <c r="C277" s="229"/>
      <c r="D277" s="219"/>
      <c r="E277" s="219"/>
      <c r="F277" s="219"/>
      <c r="G277" s="219"/>
      <c r="H277" s="22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</row>
    <row r="278">
      <c r="A278" s="242"/>
      <c r="B278" s="219"/>
      <c r="C278" s="229"/>
      <c r="D278" s="219"/>
      <c r="E278" s="219"/>
      <c r="F278" s="219"/>
      <c r="G278" s="219"/>
      <c r="H278" s="22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</row>
    <row r="279">
      <c r="A279" s="242"/>
      <c r="B279" s="219"/>
      <c r="C279" s="229"/>
      <c r="D279" s="219"/>
      <c r="E279" s="219"/>
      <c r="F279" s="219"/>
      <c r="G279" s="219"/>
      <c r="H279" s="229"/>
      <c r="I279" s="219"/>
      <c r="J279" s="219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</row>
    <row r="280">
      <c r="A280" s="242"/>
      <c r="B280" s="219"/>
      <c r="C280" s="229"/>
      <c r="D280" s="219"/>
      <c r="E280" s="219"/>
      <c r="F280" s="219"/>
      <c r="G280" s="219"/>
      <c r="H280" s="229"/>
      <c r="I280" s="219"/>
      <c r="J280" s="219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</row>
    <row r="281">
      <c r="A281" s="242"/>
      <c r="B281" s="219"/>
      <c r="C281" s="229"/>
      <c r="D281" s="219"/>
      <c r="E281" s="219"/>
      <c r="F281" s="219"/>
      <c r="G281" s="219"/>
      <c r="H281" s="229"/>
      <c r="I281" s="219"/>
      <c r="J281" s="219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</row>
    <row r="282">
      <c r="A282" s="242"/>
      <c r="B282" s="219"/>
      <c r="C282" s="229"/>
      <c r="D282" s="219"/>
      <c r="E282" s="219"/>
      <c r="F282" s="219"/>
      <c r="G282" s="219"/>
      <c r="H282" s="229"/>
      <c r="I282" s="219"/>
      <c r="J282" s="219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</row>
    <row r="283">
      <c r="A283" s="242"/>
      <c r="B283" s="219"/>
      <c r="C283" s="229"/>
      <c r="D283" s="219"/>
      <c r="E283" s="219"/>
      <c r="F283" s="219"/>
      <c r="G283" s="219"/>
      <c r="H283" s="229"/>
      <c r="I283" s="219"/>
      <c r="J283" s="219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</row>
    <row r="284">
      <c r="A284" s="242"/>
      <c r="B284" s="219"/>
      <c r="C284" s="229"/>
      <c r="D284" s="219"/>
      <c r="E284" s="219"/>
      <c r="F284" s="219"/>
      <c r="G284" s="219"/>
      <c r="H284" s="229"/>
      <c r="I284" s="219"/>
      <c r="J284" s="219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</row>
    <row r="285">
      <c r="A285" s="242"/>
      <c r="B285" s="219"/>
      <c r="C285" s="229"/>
      <c r="D285" s="219"/>
      <c r="E285" s="219"/>
      <c r="F285" s="219"/>
      <c r="G285" s="219"/>
      <c r="H285" s="229"/>
      <c r="I285" s="219"/>
      <c r="J285" s="219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</row>
    <row r="286">
      <c r="A286" s="242"/>
      <c r="B286" s="219"/>
      <c r="C286" s="229"/>
      <c r="D286" s="219"/>
      <c r="E286" s="219"/>
      <c r="F286" s="219"/>
      <c r="G286" s="219"/>
      <c r="H286" s="229"/>
      <c r="I286" s="219"/>
      <c r="J286" s="219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</row>
    <row r="287">
      <c r="A287" s="242"/>
      <c r="B287" s="219"/>
      <c r="C287" s="229"/>
      <c r="D287" s="219"/>
      <c r="E287" s="219"/>
      <c r="F287" s="219"/>
      <c r="G287" s="219"/>
      <c r="H287" s="229"/>
      <c r="I287" s="219"/>
      <c r="J287" s="219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</row>
    <row r="288">
      <c r="A288" s="242"/>
      <c r="B288" s="219"/>
      <c r="C288" s="229"/>
      <c r="D288" s="219"/>
      <c r="E288" s="219"/>
      <c r="F288" s="219"/>
      <c r="G288" s="219"/>
      <c r="H288" s="229"/>
      <c r="I288" s="219"/>
      <c r="J288" s="219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</row>
    <row r="289">
      <c r="A289" s="242"/>
      <c r="B289" s="219"/>
      <c r="C289" s="229"/>
      <c r="D289" s="219"/>
      <c r="E289" s="219"/>
      <c r="F289" s="219"/>
      <c r="G289" s="219"/>
      <c r="H289" s="229"/>
      <c r="I289" s="219"/>
      <c r="J289" s="219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</row>
    <row r="290">
      <c r="A290" s="242"/>
      <c r="B290" s="219"/>
      <c r="C290" s="229"/>
      <c r="D290" s="219"/>
      <c r="E290" s="219"/>
      <c r="F290" s="219"/>
      <c r="G290" s="219"/>
      <c r="H290" s="22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</row>
    <row r="291">
      <c r="A291" s="242"/>
      <c r="B291" s="219"/>
      <c r="C291" s="229"/>
      <c r="D291" s="219"/>
      <c r="E291" s="219"/>
      <c r="F291" s="219"/>
      <c r="G291" s="219"/>
      <c r="H291" s="22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</row>
    <row r="292">
      <c r="A292" s="242"/>
      <c r="B292" s="219"/>
      <c r="C292" s="229"/>
      <c r="D292" s="219"/>
      <c r="E292" s="219"/>
      <c r="F292" s="219"/>
      <c r="G292" s="219"/>
      <c r="H292" s="229"/>
      <c r="I292" s="219"/>
      <c r="J292" s="219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</row>
    <row r="293">
      <c r="A293" s="242"/>
      <c r="B293" s="219"/>
      <c r="C293" s="229"/>
      <c r="D293" s="219"/>
      <c r="E293" s="219"/>
      <c r="F293" s="219"/>
      <c r="G293" s="219"/>
      <c r="H293" s="22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</row>
    <row r="294">
      <c r="A294" s="242"/>
      <c r="B294" s="219"/>
      <c r="C294" s="229"/>
      <c r="D294" s="219"/>
      <c r="E294" s="219"/>
      <c r="F294" s="219"/>
      <c r="G294" s="219"/>
      <c r="H294" s="229"/>
      <c r="I294" s="219"/>
      <c r="J294" s="219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</row>
    <row r="295">
      <c r="A295" s="242"/>
      <c r="B295" s="219"/>
      <c r="C295" s="229"/>
      <c r="D295" s="219"/>
      <c r="E295" s="219"/>
      <c r="F295" s="219"/>
      <c r="G295" s="219"/>
      <c r="H295" s="229"/>
      <c r="I295" s="219"/>
      <c r="J295" s="219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</row>
    <row r="296">
      <c r="A296" s="242"/>
      <c r="B296" s="219"/>
      <c r="C296" s="229"/>
      <c r="D296" s="219"/>
      <c r="E296" s="219"/>
      <c r="F296" s="219"/>
      <c r="G296" s="219"/>
      <c r="H296" s="229"/>
      <c r="I296" s="219"/>
      <c r="J296" s="219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</row>
    <row r="297">
      <c r="A297" s="242"/>
      <c r="B297" s="219"/>
      <c r="C297" s="229"/>
      <c r="D297" s="219"/>
      <c r="E297" s="219"/>
      <c r="F297" s="219"/>
      <c r="G297" s="219"/>
      <c r="H297" s="229"/>
      <c r="I297" s="219"/>
      <c r="J297" s="219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</row>
    <row r="298">
      <c r="A298" s="242"/>
      <c r="B298" s="219"/>
      <c r="C298" s="229"/>
      <c r="D298" s="219"/>
      <c r="E298" s="219"/>
      <c r="F298" s="219"/>
      <c r="G298" s="219"/>
      <c r="H298" s="229"/>
      <c r="I298" s="219"/>
      <c r="J298" s="219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</row>
    <row r="299">
      <c r="A299" s="242"/>
      <c r="B299" s="219"/>
      <c r="C299" s="229"/>
      <c r="D299" s="219"/>
      <c r="E299" s="219"/>
      <c r="F299" s="219"/>
      <c r="G299" s="219"/>
      <c r="H299" s="229"/>
      <c r="I299" s="219"/>
      <c r="J299" s="219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</row>
    <row r="300">
      <c r="A300" s="242"/>
      <c r="B300" s="219"/>
      <c r="C300" s="229"/>
      <c r="D300" s="219"/>
      <c r="E300" s="219"/>
      <c r="F300" s="219"/>
      <c r="G300" s="219"/>
      <c r="H300" s="229"/>
      <c r="I300" s="219"/>
      <c r="J300" s="219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</row>
    <row r="301">
      <c r="A301" s="242"/>
      <c r="B301" s="219"/>
      <c r="C301" s="229"/>
      <c r="D301" s="219"/>
      <c r="E301" s="219"/>
      <c r="F301" s="219"/>
      <c r="G301" s="219"/>
      <c r="H301" s="229"/>
      <c r="I301" s="219"/>
      <c r="J301" s="219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</row>
    <row r="302">
      <c r="A302" s="242"/>
      <c r="B302" s="219"/>
      <c r="C302" s="229"/>
      <c r="D302" s="219"/>
      <c r="E302" s="219"/>
      <c r="F302" s="219"/>
      <c r="G302" s="219"/>
      <c r="H302" s="229"/>
      <c r="I302" s="219"/>
      <c r="J302" s="219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</row>
    <row r="303">
      <c r="A303" s="242"/>
      <c r="B303" s="219"/>
      <c r="C303" s="229"/>
      <c r="D303" s="219"/>
      <c r="E303" s="219"/>
      <c r="F303" s="219"/>
      <c r="G303" s="219"/>
      <c r="H303" s="229"/>
      <c r="I303" s="219"/>
      <c r="J303" s="219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</row>
    <row r="304">
      <c r="A304" s="242"/>
      <c r="B304" s="219"/>
      <c r="C304" s="229"/>
      <c r="D304" s="219"/>
      <c r="E304" s="219"/>
      <c r="F304" s="219"/>
      <c r="G304" s="219"/>
      <c r="H304" s="229"/>
      <c r="I304" s="219"/>
      <c r="J304" s="219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</row>
    <row r="305">
      <c r="A305" s="242"/>
      <c r="B305" s="219"/>
      <c r="C305" s="229"/>
      <c r="D305" s="219"/>
      <c r="E305" s="219"/>
      <c r="F305" s="219"/>
      <c r="G305" s="219"/>
      <c r="H305" s="229"/>
      <c r="I305" s="219"/>
      <c r="J305" s="219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</row>
    <row r="306">
      <c r="A306" s="242"/>
      <c r="B306" s="219"/>
      <c r="C306" s="229"/>
      <c r="D306" s="219"/>
      <c r="E306" s="219"/>
      <c r="F306" s="219"/>
      <c r="G306" s="219"/>
      <c r="H306" s="229"/>
      <c r="I306" s="219"/>
      <c r="J306" s="219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</row>
    <row r="307">
      <c r="A307" s="242"/>
      <c r="B307" s="219"/>
      <c r="C307" s="229"/>
      <c r="D307" s="219"/>
      <c r="E307" s="219"/>
      <c r="F307" s="219"/>
      <c r="G307" s="219"/>
      <c r="H307" s="229"/>
      <c r="I307" s="219"/>
      <c r="J307" s="219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</row>
    <row r="308">
      <c r="A308" s="242"/>
      <c r="B308" s="219"/>
      <c r="C308" s="229"/>
      <c r="D308" s="219"/>
      <c r="E308" s="219"/>
      <c r="F308" s="219"/>
      <c r="G308" s="219"/>
      <c r="H308" s="229"/>
      <c r="I308" s="219"/>
      <c r="J308" s="219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</row>
    <row r="309">
      <c r="A309" s="242"/>
      <c r="B309" s="219"/>
      <c r="C309" s="229"/>
      <c r="D309" s="219"/>
      <c r="E309" s="219"/>
      <c r="F309" s="219"/>
      <c r="G309" s="219"/>
      <c r="H309" s="229"/>
      <c r="I309" s="219"/>
      <c r="J309" s="219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</row>
    <row r="310">
      <c r="A310" s="242"/>
      <c r="B310" s="219"/>
      <c r="C310" s="229"/>
      <c r="D310" s="219"/>
      <c r="E310" s="219"/>
      <c r="F310" s="219"/>
      <c r="G310" s="219"/>
      <c r="H310" s="229"/>
      <c r="I310" s="219"/>
      <c r="J310" s="219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</row>
    <row r="311">
      <c r="A311" s="242"/>
      <c r="B311" s="219"/>
      <c r="C311" s="229"/>
      <c r="D311" s="219"/>
      <c r="E311" s="219"/>
      <c r="F311" s="219"/>
      <c r="G311" s="219"/>
      <c r="H311" s="229"/>
      <c r="I311" s="219"/>
      <c r="J311" s="219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</row>
    <row r="312">
      <c r="A312" s="242"/>
      <c r="B312" s="219"/>
      <c r="C312" s="229"/>
      <c r="D312" s="219"/>
      <c r="E312" s="219"/>
      <c r="F312" s="219"/>
      <c r="G312" s="219"/>
      <c r="H312" s="229"/>
      <c r="I312" s="219"/>
      <c r="J312" s="219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</row>
    <row r="313">
      <c r="A313" s="242"/>
      <c r="B313" s="219"/>
      <c r="C313" s="229"/>
      <c r="D313" s="219"/>
      <c r="E313" s="219"/>
      <c r="F313" s="219"/>
      <c r="G313" s="219"/>
      <c r="H313" s="22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</row>
    <row r="314">
      <c r="A314" s="242"/>
      <c r="B314" s="219"/>
      <c r="C314" s="229"/>
      <c r="D314" s="219"/>
      <c r="E314" s="219"/>
      <c r="F314" s="219"/>
      <c r="G314" s="219"/>
      <c r="H314" s="22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</row>
    <row r="315">
      <c r="A315" s="242"/>
      <c r="B315" s="219"/>
      <c r="C315" s="229"/>
      <c r="D315" s="219"/>
      <c r="E315" s="219"/>
      <c r="F315" s="219"/>
      <c r="G315" s="219"/>
      <c r="H315" s="22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</row>
    <row r="316">
      <c r="A316" s="242"/>
      <c r="B316" s="219"/>
      <c r="C316" s="229"/>
      <c r="D316" s="219"/>
      <c r="E316" s="219"/>
      <c r="F316" s="219"/>
      <c r="G316" s="219"/>
      <c r="H316" s="22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</row>
    <row r="317">
      <c r="A317" s="242"/>
      <c r="B317" s="219"/>
      <c r="C317" s="229"/>
      <c r="D317" s="219"/>
      <c r="E317" s="219"/>
      <c r="F317" s="219"/>
      <c r="G317" s="219"/>
      <c r="H317" s="22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</row>
    <row r="318">
      <c r="A318" s="242"/>
      <c r="B318" s="219"/>
      <c r="C318" s="229"/>
      <c r="D318" s="219"/>
      <c r="E318" s="219"/>
      <c r="F318" s="219"/>
      <c r="G318" s="219"/>
      <c r="H318" s="22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</row>
    <row r="319">
      <c r="A319" s="242"/>
      <c r="B319" s="219"/>
      <c r="C319" s="229"/>
      <c r="D319" s="219"/>
      <c r="E319" s="219"/>
      <c r="F319" s="219"/>
      <c r="G319" s="219"/>
      <c r="H319" s="22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</row>
    <row r="320">
      <c r="A320" s="242"/>
      <c r="B320" s="219"/>
      <c r="C320" s="229"/>
      <c r="D320" s="219"/>
      <c r="E320" s="219"/>
      <c r="F320" s="219"/>
      <c r="G320" s="219"/>
      <c r="H320" s="22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</row>
    <row r="321">
      <c r="A321" s="242"/>
      <c r="B321" s="219"/>
      <c r="C321" s="229"/>
      <c r="D321" s="219"/>
      <c r="E321" s="219"/>
      <c r="F321" s="219"/>
      <c r="G321" s="219"/>
      <c r="H321" s="22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</row>
    <row r="322">
      <c r="A322" s="242"/>
      <c r="B322" s="219"/>
      <c r="C322" s="229"/>
      <c r="D322" s="219"/>
      <c r="E322" s="219"/>
      <c r="F322" s="219"/>
      <c r="G322" s="219"/>
      <c r="H322" s="22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</row>
    <row r="323">
      <c r="A323" s="242"/>
      <c r="B323" s="219"/>
      <c r="C323" s="229"/>
      <c r="D323" s="219"/>
      <c r="E323" s="219"/>
      <c r="F323" s="219"/>
      <c r="G323" s="219"/>
      <c r="H323" s="22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</row>
    <row r="324">
      <c r="A324" s="242"/>
      <c r="B324" s="219"/>
      <c r="C324" s="229"/>
      <c r="D324" s="219"/>
      <c r="E324" s="219"/>
      <c r="F324" s="219"/>
      <c r="G324" s="219"/>
      <c r="H324" s="22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</row>
    <row r="325">
      <c r="A325" s="242"/>
      <c r="B325" s="219"/>
      <c r="C325" s="229"/>
      <c r="D325" s="219"/>
      <c r="E325" s="219"/>
      <c r="F325" s="219"/>
      <c r="G325" s="219"/>
      <c r="H325" s="22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</row>
    <row r="326">
      <c r="A326" s="242"/>
      <c r="B326" s="219"/>
      <c r="C326" s="229"/>
      <c r="D326" s="219"/>
      <c r="E326" s="219"/>
      <c r="F326" s="219"/>
      <c r="G326" s="219"/>
      <c r="H326" s="229"/>
      <c r="I326" s="219"/>
      <c r="J326" s="219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</row>
    <row r="327">
      <c r="A327" s="242"/>
      <c r="B327" s="219"/>
      <c r="C327" s="229"/>
      <c r="D327" s="219"/>
      <c r="E327" s="219"/>
      <c r="F327" s="219"/>
      <c r="G327" s="219"/>
      <c r="H327" s="229"/>
      <c r="I327" s="219"/>
      <c r="J327" s="219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</row>
    <row r="328">
      <c r="A328" s="242"/>
      <c r="B328" s="219"/>
      <c r="C328" s="229"/>
      <c r="D328" s="219"/>
      <c r="E328" s="219"/>
      <c r="F328" s="219"/>
      <c r="G328" s="219"/>
      <c r="H328" s="22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</row>
    <row r="329">
      <c r="A329" s="242"/>
      <c r="B329" s="219"/>
      <c r="C329" s="229"/>
      <c r="D329" s="219"/>
      <c r="E329" s="219"/>
      <c r="F329" s="219"/>
      <c r="G329" s="219"/>
      <c r="H329" s="22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</row>
    <row r="330">
      <c r="A330" s="242"/>
      <c r="B330" s="219"/>
      <c r="C330" s="229"/>
      <c r="D330" s="219"/>
      <c r="E330" s="219"/>
      <c r="F330" s="219"/>
      <c r="G330" s="219"/>
      <c r="H330" s="22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</row>
    <row r="331">
      <c r="A331" s="242"/>
      <c r="B331" s="219"/>
      <c r="C331" s="229"/>
      <c r="D331" s="219"/>
      <c r="E331" s="219"/>
      <c r="F331" s="219"/>
      <c r="G331" s="219"/>
      <c r="H331" s="22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</row>
    <row r="332">
      <c r="A332" s="242"/>
      <c r="B332" s="219"/>
      <c r="C332" s="229"/>
      <c r="D332" s="219"/>
      <c r="E332" s="219"/>
      <c r="F332" s="219"/>
      <c r="G332" s="219"/>
      <c r="H332" s="22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</row>
    <row r="333">
      <c r="A333" s="242"/>
      <c r="B333" s="219"/>
      <c r="C333" s="229"/>
      <c r="D333" s="219"/>
      <c r="E333" s="219"/>
      <c r="F333" s="219"/>
      <c r="G333" s="219"/>
      <c r="H333" s="22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</row>
    <row r="334">
      <c r="A334" s="242"/>
      <c r="B334" s="219"/>
      <c r="C334" s="229"/>
      <c r="D334" s="219"/>
      <c r="E334" s="219"/>
      <c r="F334" s="219"/>
      <c r="G334" s="219"/>
      <c r="H334" s="22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</row>
    <row r="335">
      <c r="A335" s="242"/>
      <c r="B335" s="219"/>
      <c r="C335" s="229"/>
      <c r="D335" s="219"/>
      <c r="E335" s="219"/>
      <c r="F335" s="219"/>
      <c r="G335" s="219"/>
      <c r="H335" s="22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</row>
    <row r="336">
      <c r="A336" s="242"/>
      <c r="B336" s="219"/>
      <c r="C336" s="229"/>
      <c r="D336" s="219"/>
      <c r="E336" s="219"/>
      <c r="F336" s="219"/>
      <c r="G336" s="219"/>
      <c r="H336" s="22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</row>
    <row r="337">
      <c r="A337" s="242"/>
      <c r="B337" s="219"/>
      <c r="C337" s="229"/>
      <c r="D337" s="219"/>
      <c r="E337" s="219"/>
      <c r="F337" s="219"/>
      <c r="G337" s="219"/>
      <c r="H337" s="22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</row>
    <row r="338">
      <c r="A338" s="242"/>
      <c r="B338" s="219"/>
      <c r="C338" s="229"/>
      <c r="D338" s="219"/>
      <c r="E338" s="219"/>
      <c r="F338" s="219"/>
      <c r="G338" s="219"/>
      <c r="H338" s="22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</row>
    <row r="339">
      <c r="A339" s="242"/>
      <c r="B339" s="219"/>
      <c r="C339" s="229"/>
      <c r="D339" s="219"/>
      <c r="E339" s="219"/>
      <c r="F339" s="219"/>
      <c r="G339" s="219"/>
      <c r="H339" s="22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</row>
    <row r="340">
      <c r="A340" s="242"/>
      <c r="B340" s="219"/>
      <c r="C340" s="229"/>
      <c r="D340" s="219"/>
      <c r="E340" s="219"/>
      <c r="F340" s="219"/>
      <c r="G340" s="219"/>
      <c r="H340" s="22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</row>
    <row r="341">
      <c r="A341" s="242"/>
      <c r="B341" s="219"/>
      <c r="C341" s="229"/>
      <c r="D341" s="219"/>
      <c r="E341" s="219"/>
      <c r="F341" s="219"/>
      <c r="G341" s="219"/>
      <c r="H341" s="22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</row>
    <row r="342">
      <c r="A342" s="242"/>
      <c r="B342" s="219"/>
      <c r="C342" s="229"/>
      <c r="D342" s="219"/>
      <c r="E342" s="219"/>
      <c r="F342" s="219"/>
      <c r="G342" s="219"/>
      <c r="H342" s="22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</row>
    <row r="343">
      <c r="A343" s="242"/>
      <c r="B343" s="219"/>
      <c r="C343" s="229"/>
      <c r="D343" s="219"/>
      <c r="E343" s="219"/>
      <c r="F343" s="219"/>
      <c r="G343" s="219"/>
      <c r="H343" s="22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</row>
    <row r="344">
      <c r="A344" s="242"/>
      <c r="B344" s="219"/>
      <c r="C344" s="229"/>
      <c r="D344" s="219"/>
      <c r="E344" s="219"/>
      <c r="F344" s="219"/>
      <c r="G344" s="219"/>
      <c r="H344" s="229"/>
      <c r="I344" s="219"/>
      <c r="J344" s="219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</row>
    <row r="345">
      <c r="A345" s="242"/>
      <c r="B345" s="219"/>
      <c r="C345" s="229"/>
      <c r="D345" s="219"/>
      <c r="E345" s="219"/>
      <c r="F345" s="219"/>
      <c r="G345" s="219"/>
      <c r="H345" s="22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</row>
    <row r="346">
      <c r="A346" s="242"/>
      <c r="B346" s="219"/>
      <c r="C346" s="229"/>
      <c r="D346" s="219"/>
      <c r="E346" s="219"/>
      <c r="F346" s="219"/>
      <c r="G346" s="219"/>
      <c r="H346" s="22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</row>
    <row r="347">
      <c r="A347" s="242"/>
      <c r="B347" s="219"/>
      <c r="C347" s="229"/>
      <c r="D347" s="219"/>
      <c r="E347" s="219"/>
      <c r="F347" s="219"/>
      <c r="G347" s="219"/>
      <c r="H347" s="229"/>
      <c r="I347" s="219"/>
      <c r="J347" s="219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</row>
    <row r="348">
      <c r="A348" s="242"/>
      <c r="B348" s="219"/>
      <c r="C348" s="229"/>
      <c r="D348" s="219"/>
      <c r="E348" s="219"/>
      <c r="F348" s="219"/>
      <c r="G348" s="219"/>
      <c r="H348" s="229"/>
      <c r="I348" s="219"/>
      <c r="J348" s="219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</row>
    <row r="349">
      <c r="A349" s="242"/>
      <c r="B349" s="219"/>
      <c r="C349" s="229"/>
      <c r="D349" s="219"/>
      <c r="E349" s="219"/>
      <c r="F349" s="219"/>
      <c r="G349" s="219"/>
      <c r="H349" s="22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</row>
    <row r="350">
      <c r="A350" s="242"/>
      <c r="B350" s="219"/>
      <c r="C350" s="229"/>
      <c r="D350" s="219"/>
      <c r="E350" s="219"/>
      <c r="F350" s="219"/>
      <c r="G350" s="219"/>
      <c r="H350" s="229"/>
      <c r="I350" s="219"/>
      <c r="J350" s="219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</row>
    <row r="351">
      <c r="A351" s="242"/>
      <c r="B351" s="219"/>
      <c r="C351" s="229"/>
      <c r="D351" s="219"/>
      <c r="E351" s="219"/>
      <c r="F351" s="219"/>
      <c r="G351" s="219"/>
      <c r="H351" s="229"/>
      <c r="I351" s="219"/>
      <c r="J351" s="219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</row>
    <row r="352">
      <c r="A352" s="242"/>
      <c r="B352" s="219"/>
      <c r="C352" s="229"/>
      <c r="D352" s="219"/>
      <c r="E352" s="219"/>
      <c r="F352" s="219"/>
      <c r="G352" s="219"/>
      <c r="H352" s="229"/>
      <c r="I352" s="219"/>
      <c r="J352" s="219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</row>
    <row r="353">
      <c r="A353" s="242"/>
      <c r="B353" s="219"/>
      <c r="C353" s="229"/>
      <c r="D353" s="219"/>
      <c r="E353" s="219"/>
      <c r="F353" s="219"/>
      <c r="G353" s="219"/>
      <c r="H353" s="229"/>
      <c r="I353" s="219"/>
      <c r="J353" s="219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</row>
    <row r="354">
      <c r="A354" s="242"/>
      <c r="B354" s="219"/>
      <c r="C354" s="229"/>
      <c r="D354" s="219"/>
      <c r="E354" s="219"/>
      <c r="F354" s="219"/>
      <c r="G354" s="219"/>
      <c r="H354" s="22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</row>
    <row r="355">
      <c r="A355" s="242"/>
      <c r="B355" s="219"/>
      <c r="C355" s="229"/>
      <c r="D355" s="219"/>
      <c r="E355" s="219"/>
      <c r="F355" s="219"/>
      <c r="G355" s="219"/>
      <c r="H355" s="22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</row>
    <row r="356">
      <c r="A356" s="242"/>
      <c r="B356" s="219"/>
      <c r="C356" s="229"/>
      <c r="D356" s="219"/>
      <c r="E356" s="219"/>
      <c r="F356" s="219"/>
      <c r="G356" s="219"/>
      <c r="H356" s="22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</row>
    <row r="357">
      <c r="A357" s="242"/>
      <c r="B357" s="219"/>
      <c r="C357" s="229"/>
      <c r="D357" s="219"/>
      <c r="E357" s="219"/>
      <c r="F357" s="219"/>
      <c r="G357" s="219"/>
      <c r="H357" s="22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</row>
    <row r="358">
      <c r="A358" s="242"/>
      <c r="B358" s="219"/>
      <c r="C358" s="229"/>
      <c r="D358" s="219"/>
      <c r="E358" s="219"/>
      <c r="F358" s="219"/>
      <c r="G358" s="219"/>
      <c r="H358" s="22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</row>
    <row r="359">
      <c r="A359" s="242"/>
      <c r="B359" s="219"/>
      <c r="C359" s="229"/>
      <c r="D359" s="219"/>
      <c r="E359" s="219"/>
      <c r="F359" s="219"/>
      <c r="G359" s="219"/>
      <c r="H359" s="22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</row>
    <row r="360">
      <c r="A360" s="242"/>
      <c r="B360" s="219"/>
      <c r="C360" s="229"/>
      <c r="D360" s="219"/>
      <c r="E360" s="219"/>
      <c r="F360" s="219"/>
      <c r="G360" s="219"/>
      <c r="H360" s="22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</row>
    <row r="361">
      <c r="A361" s="242"/>
      <c r="B361" s="219"/>
      <c r="C361" s="229"/>
      <c r="D361" s="219"/>
      <c r="E361" s="219"/>
      <c r="F361" s="219"/>
      <c r="G361" s="219"/>
      <c r="H361" s="22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</row>
    <row r="362">
      <c r="A362" s="242"/>
      <c r="B362" s="219"/>
      <c r="C362" s="229"/>
      <c r="D362" s="219"/>
      <c r="E362" s="219"/>
      <c r="F362" s="219"/>
      <c r="G362" s="219"/>
      <c r="H362" s="22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</row>
    <row r="363">
      <c r="A363" s="242"/>
      <c r="B363" s="219"/>
      <c r="C363" s="229"/>
      <c r="D363" s="219"/>
      <c r="E363" s="219"/>
      <c r="F363" s="219"/>
      <c r="G363" s="219"/>
      <c r="H363" s="22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</row>
    <row r="364">
      <c r="A364" s="242"/>
      <c r="B364" s="219"/>
      <c r="C364" s="229"/>
      <c r="D364" s="219"/>
      <c r="E364" s="219"/>
      <c r="F364" s="219"/>
      <c r="G364" s="219"/>
      <c r="H364" s="22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</row>
    <row r="365">
      <c r="A365" s="242"/>
      <c r="B365" s="219"/>
      <c r="C365" s="229"/>
      <c r="D365" s="219"/>
      <c r="E365" s="219"/>
      <c r="F365" s="219"/>
      <c r="G365" s="219"/>
      <c r="H365" s="22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</row>
    <row r="366">
      <c r="A366" s="242"/>
      <c r="B366" s="219"/>
      <c r="C366" s="229"/>
      <c r="D366" s="219"/>
      <c r="E366" s="219"/>
      <c r="F366" s="219"/>
      <c r="G366" s="219"/>
      <c r="H366" s="22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</row>
    <row r="367">
      <c r="A367" s="242"/>
      <c r="B367" s="219"/>
      <c r="C367" s="229"/>
      <c r="D367" s="219"/>
      <c r="E367" s="219"/>
      <c r="F367" s="219"/>
      <c r="G367" s="219"/>
      <c r="H367" s="22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</row>
    <row r="368">
      <c r="A368" s="242"/>
      <c r="B368" s="219"/>
      <c r="C368" s="229"/>
      <c r="D368" s="219"/>
      <c r="E368" s="219"/>
      <c r="F368" s="219"/>
      <c r="G368" s="219"/>
      <c r="H368" s="22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</row>
    <row r="369">
      <c r="A369" s="242"/>
      <c r="B369" s="219"/>
      <c r="C369" s="229"/>
      <c r="D369" s="219"/>
      <c r="E369" s="219"/>
      <c r="F369" s="219"/>
      <c r="G369" s="219"/>
      <c r="H369" s="22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</row>
    <row r="370">
      <c r="A370" s="242"/>
      <c r="B370" s="219"/>
      <c r="C370" s="229"/>
      <c r="D370" s="219"/>
      <c r="E370" s="219"/>
      <c r="F370" s="219"/>
      <c r="G370" s="219"/>
      <c r="H370" s="22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</row>
    <row r="371">
      <c r="A371" s="242"/>
      <c r="B371" s="219"/>
      <c r="C371" s="229"/>
      <c r="D371" s="219"/>
      <c r="E371" s="219"/>
      <c r="F371" s="219"/>
      <c r="G371" s="219"/>
      <c r="H371" s="22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</row>
    <row r="372">
      <c r="A372" s="242"/>
      <c r="B372" s="219"/>
      <c r="C372" s="229"/>
      <c r="D372" s="219"/>
      <c r="E372" s="219"/>
      <c r="F372" s="219"/>
      <c r="G372" s="219"/>
      <c r="H372" s="22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</row>
    <row r="373">
      <c r="A373" s="242"/>
      <c r="B373" s="219"/>
      <c r="C373" s="229"/>
      <c r="D373" s="219"/>
      <c r="E373" s="219"/>
      <c r="F373" s="219"/>
      <c r="G373" s="219"/>
      <c r="H373" s="22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</row>
    <row r="374">
      <c r="A374" s="242"/>
      <c r="B374" s="219"/>
      <c r="C374" s="229"/>
      <c r="D374" s="219"/>
      <c r="E374" s="219"/>
      <c r="F374" s="219"/>
      <c r="G374" s="219"/>
      <c r="H374" s="22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</row>
    <row r="375">
      <c r="A375" s="242"/>
      <c r="B375" s="219"/>
      <c r="C375" s="229"/>
      <c r="D375" s="219"/>
      <c r="E375" s="219"/>
      <c r="F375" s="219"/>
      <c r="G375" s="219"/>
      <c r="H375" s="22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</row>
    <row r="376">
      <c r="A376" s="242"/>
      <c r="B376" s="219"/>
      <c r="C376" s="229"/>
      <c r="D376" s="219"/>
      <c r="E376" s="219"/>
      <c r="F376" s="219"/>
      <c r="G376" s="219"/>
      <c r="H376" s="22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</row>
    <row r="377">
      <c r="A377" s="242"/>
      <c r="B377" s="219"/>
      <c r="C377" s="229"/>
      <c r="D377" s="219"/>
      <c r="E377" s="219"/>
      <c r="F377" s="219"/>
      <c r="G377" s="219"/>
      <c r="H377" s="22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</row>
    <row r="378">
      <c r="A378" s="242"/>
      <c r="B378" s="219"/>
      <c r="C378" s="229"/>
      <c r="D378" s="219"/>
      <c r="E378" s="219"/>
      <c r="F378" s="219"/>
      <c r="G378" s="219"/>
      <c r="H378" s="22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</row>
    <row r="379">
      <c r="A379" s="242"/>
      <c r="B379" s="219"/>
      <c r="C379" s="229"/>
      <c r="D379" s="219"/>
      <c r="E379" s="219"/>
      <c r="F379" s="219"/>
      <c r="G379" s="219"/>
      <c r="H379" s="22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</row>
    <row r="380">
      <c r="A380" s="242"/>
      <c r="B380" s="219"/>
      <c r="C380" s="229"/>
      <c r="D380" s="219"/>
      <c r="E380" s="219"/>
      <c r="F380" s="219"/>
      <c r="G380" s="219"/>
      <c r="H380" s="22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</row>
    <row r="381">
      <c r="A381" s="242"/>
      <c r="B381" s="219"/>
      <c r="C381" s="229"/>
      <c r="D381" s="219"/>
      <c r="E381" s="219"/>
      <c r="F381" s="219"/>
      <c r="G381" s="219"/>
      <c r="H381" s="22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</row>
    <row r="382">
      <c r="A382" s="242"/>
      <c r="B382" s="219"/>
      <c r="C382" s="229"/>
      <c r="D382" s="219"/>
      <c r="E382" s="219"/>
      <c r="F382" s="219"/>
      <c r="G382" s="219"/>
      <c r="H382" s="22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</row>
    <row r="383">
      <c r="A383" s="242"/>
      <c r="B383" s="219"/>
      <c r="C383" s="229"/>
      <c r="D383" s="219"/>
      <c r="E383" s="219"/>
      <c r="F383" s="219"/>
      <c r="G383" s="219"/>
      <c r="H383" s="22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</row>
    <row r="384">
      <c r="A384" s="242"/>
      <c r="B384" s="219"/>
      <c r="C384" s="229"/>
      <c r="D384" s="219"/>
      <c r="E384" s="219"/>
      <c r="F384" s="219"/>
      <c r="G384" s="219"/>
      <c r="H384" s="22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</row>
    <row r="385">
      <c r="A385" s="242"/>
      <c r="B385" s="219"/>
      <c r="C385" s="229"/>
      <c r="D385" s="219"/>
      <c r="E385" s="219"/>
      <c r="F385" s="219"/>
      <c r="G385" s="219"/>
      <c r="H385" s="22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</row>
    <row r="386">
      <c r="A386" s="242"/>
      <c r="B386" s="219"/>
      <c r="C386" s="229"/>
      <c r="D386" s="219"/>
      <c r="E386" s="219"/>
      <c r="F386" s="219"/>
      <c r="G386" s="219"/>
      <c r="H386" s="22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</row>
    <row r="387">
      <c r="A387" s="242"/>
      <c r="B387" s="219"/>
      <c r="C387" s="229"/>
      <c r="D387" s="219"/>
      <c r="E387" s="219"/>
      <c r="F387" s="219"/>
      <c r="G387" s="219"/>
      <c r="H387" s="22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</row>
    <row r="388">
      <c r="A388" s="242"/>
      <c r="B388" s="219"/>
      <c r="C388" s="229"/>
      <c r="D388" s="219"/>
      <c r="E388" s="219"/>
      <c r="F388" s="219"/>
      <c r="G388" s="219"/>
      <c r="H388" s="22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</row>
    <row r="389">
      <c r="A389" s="242"/>
      <c r="B389" s="219"/>
      <c r="C389" s="229"/>
      <c r="D389" s="219"/>
      <c r="E389" s="219"/>
      <c r="F389" s="219"/>
      <c r="G389" s="219"/>
      <c r="H389" s="22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</row>
    <row r="390">
      <c r="A390" s="242"/>
      <c r="B390" s="219"/>
      <c r="C390" s="229"/>
      <c r="D390" s="219"/>
      <c r="E390" s="219"/>
      <c r="F390" s="219"/>
      <c r="G390" s="219"/>
      <c r="H390" s="22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</row>
    <row r="391">
      <c r="A391" s="242"/>
      <c r="B391" s="219"/>
      <c r="C391" s="229"/>
      <c r="D391" s="219"/>
      <c r="E391" s="219"/>
      <c r="F391" s="219"/>
      <c r="G391" s="219"/>
      <c r="H391" s="22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</row>
    <row r="392">
      <c r="A392" s="242"/>
      <c r="B392" s="219"/>
      <c r="C392" s="229"/>
      <c r="D392" s="219"/>
      <c r="E392" s="219"/>
      <c r="F392" s="219"/>
      <c r="G392" s="219"/>
      <c r="H392" s="22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</row>
    <row r="393">
      <c r="A393" s="242"/>
      <c r="B393" s="219"/>
      <c r="C393" s="229"/>
      <c r="D393" s="219"/>
      <c r="E393" s="219"/>
      <c r="F393" s="219"/>
      <c r="G393" s="219"/>
      <c r="H393" s="22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</row>
    <row r="394">
      <c r="A394" s="242"/>
      <c r="B394" s="219"/>
      <c r="C394" s="229"/>
      <c r="D394" s="219"/>
      <c r="E394" s="219"/>
      <c r="F394" s="219"/>
      <c r="G394" s="219"/>
      <c r="H394" s="22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</row>
    <row r="395">
      <c r="A395" s="242"/>
      <c r="B395" s="219"/>
      <c r="C395" s="229"/>
      <c r="D395" s="219"/>
      <c r="E395" s="219"/>
      <c r="F395" s="219"/>
      <c r="G395" s="219"/>
      <c r="H395" s="22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</row>
    <row r="396">
      <c r="A396" s="242"/>
      <c r="B396" s="219"/>
      <c r="C396" s="229"/>
      <c r="D396" s="219"/>
      <c r="E396" s="219"/>
      <c r="F396" s="219"/>
      <c r="G396" s="219"/>
      <c r="H396" s="22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</row>
    <row r="397">
      <c r="A397" s="242"/>
      <c r="B397" s="219"/>
      <c r="C397" s="229"/>
      <c r="D397" s="219"/>
      <c r="E397" s="219"/>
      <c r="F397" s="219"/>
      <c r="G397" s="219"/>
      <c r="H397" s="22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</row>
    <row r="398">
      <c r="A398" s="242"/>
      <c r="B398" s="219"/>
      <c r="C398" s="229"/>
      <c r="D398" s="219"/>
      <c r="E398" s="219"/>
      <c r="F398" s="219"/>
      <c r="G398" s="219"/>
      <c r="H398" s="22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</row>
    <row r="399">
      <c r="A399" s="242"/>
      <c r="B399" s="219"/>
      <c r="C399" s="229"/>
      <c r="D399" s="219"/>
      <c r="E399" s="219"/>
      <c r="F399" s="219"/>
      <c r="G399" s="219"/>
      <c r="H399" s="22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</row>
    <row r="400">
      <c r="A400" s="242"/>
      <c r="B400" s="219"/>
      <c r="C400" s="229"/>
      <c r="D400" s="219"/>
      <c r="E400" s="219"/>
      <c r="F400" s="219"/>
      <c r="G400" s="219"/>
      <c r="H400" s="22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</row>
    <row r="401">
      <c r="A401" s="242"/>
      <c r="B401" s="219"/>
      <c r="C401" s="229"/>
      <c r="D401" s="219"/>
      <c r="E401" s="219"/>
      <c r="F401" s="219"/>
      <c r="G401" s="219"/>
      <c r="H401" s="22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</row>
    <row r="402">
      <c r="A402" s="242"/>
      <c r="B402" s="219"/>
      <c r="C402" s="229"/>
      <c r="D402" s="219"/>
      <c r="E402" s="219"/>
      <c r="F402" s="219"/>
      <c r="G402" s="219"/>
      <c r="H402" s="22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</row>
    <row r="403">
      <c r="A403" s="242"/>
      <c r="B403" s="219"/>
      <c r="C403" s="229"/>
      <c r="D403" s="219"/>
      <c r="E403" s="219"/>
      <c r="F403" s="219"/>
      <c r="G403" s="219"/>
      <c r="H403" s="22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</row>
    <row r="404">
      <c r="A404" s="242"/>
      <c r="B404" s="219"/>
      <c r="C404" s="229"/>
      <c r="D404" s="219"/>
      <c r="E404" s="219"/>
      <c r="F404" s="219"/>
      <c r="G404" s="219"/>
      <c r="H404" s="22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</row>
    <row r="405">
      <c r="A405" s="242"/>
      <c r="B405" s="219"/>
      <c r="C405" s="229"/>
      <c r="D405" s="219"/>
      <c r="E405" s="219"/>
      <c r="F405" s="219"/>
      <c r="G405" s="219"/>
      <c r="H405" s="22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</row>
    <row r="406">
      <c r="A406" s="242"/>
      <c r="B406" s="219"/>
      <c r="C406" s="229"/>
      <c r="D406" s="219"/>
      <c r="E406" s="219"/>
      <c r="F406" s="219"/>
      <c r="G406" s="219"/>
      <c r="H406" s="22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</row>
    <row r="407">
      <c r="A407" s="242"/>
      <c r="B407" s="219"/>
      <c r="C407" s="229"/>
      <c r="D407" s="219"/>
      <c r="E407" s="219"/>
      <c r="F407" s="219"/>
      <c r="G407" s="219"/>
      <c r="H407" s="22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</row>
    <row r="408">
      <c r="A408" s="242"/>
      <c r="B408" s="219"/>
      <c r="C408" s="229"/>
      <c r="D408" s="219"/>
      <c r="E408" s="219"/>
      <c r="F408" s="219"/>
      <c r="G408" s="219"/>
      <c r="H408" s="22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</row>
    <row r="409">
      <c r="A409" s="242"/>
      <c r="B409" s="219"/>
      <c r="C409" s="229"/>
      <c r="D409" s="219"/>
      <c r="E409" s="219"/>
      <c r="F409" s="219"/>
      <c r="G409" s="219"/>
      <c r="H409" s="22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</row>
    <row r="410">
      <c r="A410" s="242"/>
      <c r="B410" s="219"/>
      <c r="C410" s="229"/>
      <c r="D410" s="219"/>
      <c r="E410" s="219"/>
      <c r="F410" s="219"/>
      <c r="G410" s="219"/>
      <c r="H410" s="22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</row>
    <row r="411">
      <c r="A411" s="242"/>
      <c r="B411" s="219"/>
      <c r="C411" s="229"/>
      <c r="D411" s="219"/>
      <c r="E411" s="219"/>
      <c r="F411" s="219"/>
      <c r="G411" s="219"/>
      <c r="H411" s="22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</row>
    <row r="412">
      <c r="A412" s="242"/>
      <c r="B412" s="219"/>
      <c r="C412" s="229"/>
      <c r="D412" s="219"/>
      <c r="E412" s="219"/>
      <c r="F412" s="219"/>
      <c r="G412" s="219"/>
      <c r="H412" s="22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</row>
    <row r="413">
      <c r="A413" s="242"/>
      <c r="B413" s="219"/>
      <c r="C413" s="229"/>
      <c r="D413" s="219"/>
      <c r="E413" s="219"/>
      <c r="F413" s="219"/>
      <c r="G413" s="219"/>
      <c r="H413" s="22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</row>
    <row r="414">
      <c r="A414" s="242"/>
      <c r="B414" s="219"/>
      <c r="C414" s="229"/>
      <c r="D414" s="219"/>
      <c r="E414" s="219"/>
      <c r="F414" s="219"/>
      <c r="G414" s="219"/>
      <c r="H414" s="22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</row>
    <row r="415">
      <c r="A415" s="242"/>
      <c r="B415" s="219"/>
      <c r="C415" s="229"/>
      <c r="D415" s="219"/>
      <c r="E415" s="219"/>
      <c r="F415" s="219"/>
      <c r="G415" s="219"/>
      <c r="H415" s="22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</row>
    <row r="416">
      <c r="A416" s="242"/>
      <c r="B416" s="219"/>
      <c r="C416" s="229"/>
      <c r="D416" s="219"/>
      <c r="E416" s="219"/>
      <c r="F416" s="219"/>
      <c r="G416" s="219"/>
      <c r="H416" s="22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</row>
    <row r="417">
      <c r="A417" s="242"/>
      <c r="B417" s="219"/>
      <c r="C417" s="229"/>
      <c r="D417" s="219"/>
      <c r="E417" s="219"/>
      <c r="F417" s="219"/>
      <c r="G417" s="219"/>
      <c r="H417" s="22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</row>
    <row r="418">
      <c r="A418" s="242"/>
      <c r="B418" s="219"/>
      <c r="C418" s="229"/>
      <c r="D418" s="219"/>
      <c r="E418" s="219"/>
      <c r="F418" s="219"/>
      <c r="G418" s="219"/>
      <c r="H418" s="22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</row>
    <row r="419">
      <c r="A419" s="242"/>
      <c r="B419" s="219"/>
      <c r="C419" s="229"/>
      <c r="D419" s="219"/>
      <c r="E419" s="219"/>
      <c r="F419" s="219"/>
      <c r="G419" s="219"/>
      <c r="H419" s="22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</row>
    <row r="420">
      <c r="A420" s="242"/>
      <c r="B420" s="219"/>
      <c r="C420" s="229"/>
      <c r="D420" s="219"/>
      <c r="E420" s="219"/>
      <c r="F420" s="219"/>
      <c r="G420" s="219"/>
      <c r="H420" s="22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</row>
    <row r="421">
      <c r="A421" s="242"/>
      <c r="B421" s="219"/>
      <c r="C421" s="229"/>
      <c r="D421" s="219"/>
      <c r="E421" s="219"/>
      <c r="F421" s="219"/>
      <c r="G421" s="219"/>
      <c r="H421" s="22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</row>
    <row r="422">
      <c r="A422" s="242"/>
      <c r="B422" s="219"/>
      <c r="C422" s="229"/>
      <c r="D422" s="219"/>
      <c r="E422" s="219"/>
      <c r="F422" s="219"/>
      <c r="G422" s="219"/>
      <c r="H422" s="22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</row>
    <row r="423">
      <c r="A423" s="242"/>
      <c r="B423" s="219"/>
      <c r="C423" s="229"/>
      <c r="D423" s="219"/>
      <c r="E423" s="219"/>
      <c r="F423" s="219"/>
      <c r="G423" s="219"/>
      <c r="H423" s="22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</row>
    <row r="424">
      <c r="A424" s="242"/>
      <c r="B424" s="219"/>
      <c r="C424" s="229"/>
      <c r="D424" s="219"/>
      <c r="E424" s="219"/>
      <c r="F424" s="219"/>
      <c r="G424" s="219"/>
      <c r="H424" s="22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</row>
    <row r="425">
      <c r="A425" s="242"/>
      <c r="B425" s="219"/>
      <c r="C425" s="229"/>
      <c r="D425" s="219"/>
      <c r="E425" s="219"/>
      <c r="F425" s="219"/>
      <c r="G425" s="219"/>
      <c r="H425" s="22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</row>
    <row r="426">
      <c r="A426" s="242"/>
      <c r="B426" s="219"/>
      <c r="C426" s="229"/>
      <c r="D426" s="219"/>
      <c r="E426" s="219"/>
      <c r="F426" s="219"/>
      <c r="G426" s="219"/>
      <c r="H426" s="22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</row>
    <row r="427">
      <c r="A427" s="242"/>
      <c r="B427" s="219"/>
      <c r="C427" s="229"/>
      <c r="D427" s="219"/>
      <c r="E427" s="219"/>
      <c r="F427" s="219"/>
      <c r="G427" s="219"/>
      <c r="H427" s="22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</row>
    <row r="428">
      <c r="A428" s="242"/>
      <c r="B428" s="219"/>
      <c r="C428" s="229"/>
      <c r="D428" s="219"/>
      <c r="E428" s="219"/>
      <c r="F428" s="219"/>
      <c r="G428" s="219"/>
      <c r="H428" s="22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</row>
    <row r="429">
      <c r="A429" s="242"/>
      <c r="B429" s="219"/>
      <c r="C429" s="229"/>
      <c r="D429" s="219"/>
      <c r="E429" s="219"/>
      <c r="F429" s="219"/>
      <c r="G429" s="219"/>
      <c r="H429" s="22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</row>
    <row r="430">
      <c r="A430" s="242"/>
      <c r="B430" s="219"/>
      <c r="C430" s="229"/>
      <c r="D430" s="219"/>
      <c r="E430" s="219"/>
      <c r="F430" s="219"/>
      <c r="G430" s="219"/>
      <c r="H430" s="22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</row>
    <row r="431">
      <c r="A431" s="242"/>
      <c r="B431" s="219"/>
      <c r="C431" s="229"/>
      <c r="D431" s="219"/>
      <c r="E431" s="219"/>
      <c r="F431" s="219"/>
      <c r="G431" s="219"/>
      <c r="H431" s="22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</row>
    <row r="432">
      <c r="A432" s="242"/>
      <c r="B432" s="219"/>
      <c r="C432" s="229"/>
      <c r="D432" s="219"/>
      <c r="E432" s="219"/>
      <c r="F432" s="219"/>
      <c r="G432" s="219"/>
      <c r="H432" s="22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</row>
    <row r="433">
      <c r="A433" s="242"/>
      <c r="B433" s="219"/>
      <c r="C433" s="229"/>
      <c r="D433" s="219"/>
      <c r="E433" s="219"/>
      <c r="F433" s="219"/>
      <c r="G433" s="219"/>
      <c r="H433" s="22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</row>
    <row r="434">
      <c r="A434" s="242"/>
      <c r="B434" s="219"/>
      <c r="C434" s="229"/>
      <c r="D434" s="219"/>
      <c r="E434" s="219"/>
      <c r="F434" s="219"/>
      <c r="G434" s="219"/>
      <c r="H434" s="22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</row>
    <row r="435">
      <c r="A435" s="242"/>
      <c r="B435" s="219"/>
      <c r="C435" s="229"/>
      <c r="D435" s="219"/>
      <c r="E435" s="219"/>
      <c r="F435" s="219"/>
      <c r="G435" s="219"/>
      <c r="H435" s="22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</row>
    <row r="436">
      <c r="A436" s="242"/>
      <c r="B436" s="219"/>
      <c r="C436" s="229"/>
      <c r="D436" s="219"/>
      <c r="E436" s="219"/>
      <c r="F436" s="219"/>
      <c r="G436" s="219"/>
      <c r="H436" s="22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</row>
    <row r="437">
      <c r="A437" s="242"/>
      <c r="B437" s="219"/>
      <c r="C437" s="229"/>
      <c r="D437" s="219"/>
      <c r="E437" s="219"/>
      <c r="F437" s="219"/>
      <c r="G437" s="219"/>
      <c r="H437" s="22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</row>
    <row r="438">
      <c r="A438" s="242"/>
      <c r="B438" s="219"/>
      <c r="C438" s="229"/>
      <c r="D438" s="219"/>
      <c r="E438" s="219"/>
      <c r="F438" s="219"/>
      <c r="G438" s="219"/>
      <c r="H438" s="22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</row>
    <row r="439">
      <c r="A439" s="242"/>
      <c r="B439" s="219"/>
      <c r="C439" s="229"/>
      <c r="D439" s="219"/>
      <c r="E439" s="219"/>
      <c r="F439" s="219"/>
      <c r="G439" s="219"/>
      <c r="H439" s="22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</row>
    <row r="440">
      <c r="A440" s="242"/>
      <c r="B440" s="219"/>
      <c r="C440" s="229"/>
      <c r="D440" s="219"/>
      <c r="E440" s="219"/>
      <c r="F440" s="219"/>
      <c r="G440" s="219"/>
      <c r="H440" s="22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</row>
    <row r="441">
      <c r="A441" s="242"/>
      <c r="B441" s="219"/>
      <c r="C441" s="229"/>
      <c r="D441" s="219"/>
      <c r="E441" s="219"/>
      <c r="F441" s="219"/>
      <c r="G441" s="219"/>
      <c r="H441" s="22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</row>
    <row r="442">
      <c r="A442" s="242"/>
      <c r="B442" s="219"/>
      <c r="C442" s="229"/>
      <c r="D442" s="219"/>
      <c r="E442" s="219"/>
      <c r="F442" s="219"/>
      <c r="G442" s="219"/>
      <c r="H442" s="22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</row>
    <row r="443">
      <c r="A443" s="242"/>
      <c r="B443" s="219"/>
      <c r="C443" s="229"/>
      <c r="D443" s="219"/>
      <c r="E443" s="219"/>
      <c r="F443" s="219"/>
      <c r="G443" s="219"/>
      <c r="H443" s="22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</row>
    <row r="444">
      <c r="A444" s="242"/>
      <c r="B444" s="219"/>
      <c r="C444" s="229"/>
      <c r="D444" s="219"/>
      <c r="E444" s="219"/>
      <c r="F444" s="219"/>
      <c r="G444" s="219"/>
      <c r="H444" s="22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</row>
    <row r="445">
      <c r="A445" s="242"/>
      <c r="B445" s="219"/>
      <c r="C445" s="229"/>
      <c r="D445" s="219"/>
      <c r="E445" s="219"/>
      <c r="F445" s="219"/>
      <c r="G445" s="219"/>
      <c r="H445" s="22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</row>
    <row r="446">
      <c r="A446" s="242"/>
      <c r="B446" s="219"/>
      <c r="C446" s="229"/>
      <c r="D446" s="219"/>
      <c r="E446" s="219"/>
      <c r="F446" s="219"/>
      <c r="G446" s="219"/>
      <c r="H446" s="22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</row>
    <row r="447">
      <c r="A447" s="242"/>
      <c r="B447" s="219"/>
      <c r="C447" s="229"/>
      <c r="D447" s="219"/>
      <c r="E447" s="219"/>
      <c r="F447" s="219"/>
      <c r="G447" s="219"/>
      <c r="H447" s="22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</row>
    <row r="448">
      <c r="A448" s="242"/>
      <c r="B448" s="219"/>
      <c r="C448" s="229"/>
      <c r="D448" s="219"/>
      <c r="E448" s="219"/>
      <c r="F448" s="219"/>
      <c r="G448" s="219"/>
      <c r="H448" s="22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</row>
    <row r="449">
      <c r="A449" s="242"/>
      <c r="B449" s="219"/>
      <c r="C449" s="229"/>
      <c r="D449" s="219"/>
      <c r="E449" s="219"/>
      <c r="F449" s="219"/>
      <c r="G449" s="219"/>
      <c r="H449" s="22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</row>
    <row r="450">
      <c r="A450" s="242"/>
      <c r="B450" s="219"/>
      <c r="C450" s="229"/>
      <c r="D450" s="219"/>
      <c r="E450" s="219"/>
      <c r="F450" s="219"/>
      <c r="G450" s="219"/>
      <c r="H450" s="22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</row>
    <row r="451">
      <c r="A451" s="242"/>
      <c r="B451" s="219"/>
      <c r="C451" s="229"/>
      <c r="D451" s="219"/>
      <c r="E451" s="219"/>
      <c r="F451" s="219"/>
      <c r="G451" s="219"/>
      <c r="H451" s="22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</row>
    <row r="452">
      <c r="A452" s="242"/>
      <c r="B452" s="219"/>
      <c r="C452" s="229"/>
      <c r="D452" s="219"/>
      <c r="E452" s="219"/>
      <c r="F452" s="219"/>
      <c r="G452" s="219"/>
      <c r="H452" s="22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</row>
    <row r="453">
      <c r="A453" s="242"/>
      <c r="B453" s="219"/>
      <c r="C453" s="229"/>
      <c r="D453" s="219"/>
      <c r="E453" s="219"/>
      <c r="F453" s="219"/>
      <c r="G453" s="219"/>
      <c r="H453" s="22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</row>
    <row r="454">
      <c r="A454" s="242"/>
      <c r="B454" s="219"/>
      <c r="C454" s="229"/>
      <c r="D454" s="219"/>
      <c r="E454" s="219"/>
      <c r="F454" s="219"/>
      <c r="G454" s="219"/>
      <c r="H454" s="22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</row>
    <row r="455">
      <c r="A455" s="242"/>
      <c r="B455" s="219"/>
      <c r="C455" s="229"/>
      <c r="D455" s="219"/>
      <c r="E455" s="219"/>
      <c r="F455" s="219"/>
      <c r="G455" s="219"/>
      <c r="H455" s="22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</row>
    <row r="456">
      <c r="A456" s="242"/>
      <c r="B456" s="219"/>
      <c r="C456" s="229"/>
      <c r="D456" s="219"/>
      <c r="E456" s="219"/>
      <c r="F456" s="219"/>
      <c r="G456" s="219"/>
      <c r="H456" s="22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</row>
    <row r="457">
      <c r="A457" s="242"/>
      <c r="B457" s="219"/>
      <c r="C457" s="229"/>
      <c r="D457" s="219"/>
      <c r="E457" s="219"/>
      <c r="F457" s="219"/>
      <c r="G457" s="219"/>
      <c r="H457" s="22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</row>
    <row r="458">
      <c r="A458" s="242"/>
      <c r="B458" s="219"/>
      <c r="C458" s="229"/>
      <c r="D458" s="219"/>
      <c r="E458" s="219"/>
      <c r="F458" s="219"/>
      <c r="G458" s="219"/>
      <c r="H458" s="22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</row>
    <row r="459">
      <c r="A459" s="242"/>
      <c r="B459" s="219"/>
      <c r="C459" s="229"/>
      <c r="D459" s="219"/>
      <c r="E459" s="219"/>
      <c r="F459" s="219"/>
      <c r="G459" s="219"/>
      <c r="H459" s="229"/>
      <c r="I459" s="219"/>
      <c r="J459" s="219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</row>
    <row r="460">
      <c r="A460" s="242"/>
      <c r="B460" s="219"/>
      <c r="C460" s="229"/>
      <c r="D460" s="219"/>
      <c r="E460" s="219"/>
      <c r="F460" s="219"/>
      <c r="G460" s="219"/>
      <c r="H460" s="229"/>
      <c r="I460" s="219"/>
      <c r="J460" s="219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</row>
    <row r="461">
      <c r="A461" s="242"/>
      <c r="B461" s="219"/>
      <c r="C461" s="229"/>
      <c r="D461" s="219"/>
      <c r="E461" s="219"/>
      <c r="F461" s="219"/>
      <c r="G461" s="219"/>
      <c r="H461" s="229"/>
      <c r="I461" s="219"/>
      <c r="J461" s="219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</row>
    <row r="462">
      <c r="A462" s="242"/>
      <c r="B462" s="219"/>
      <c r="C462" s="229"/>
      <c r="D462" s="219"/>
      <c r="E462" s="219"/>
      <c r="F462" s="219"/>
      <c r="G462" s="219"/>
      <c r="H462" s="22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</row>
    <row r="463">
      <c r="A463" s="242"/>
      <c r="B463" s="219"/>
      <c r="C463" s="229"/>
      <c r="D463" s="219"/>
      <c r="E463" s="219"/>
      <c r="F463" s="219"/>
      <c r="G463" s="219"/>
      <c r="H463" s="22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</row>
    <row r="464">
      <c r="A464" s="242"/>
      <c r="B464" s="219"/>
      <c r="C464" s="229"/>
      <c r="D464" s="219"/>
      <c r="E464" s="219"/>
      <c r="F464" s="219"/>
      <c r="G464" s="219"/>
      <c r="H464" s="22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</row>
    <row r="465">
      <c r="A465" s="242"/>
      <c r="B465" s="219"/>
      <c r="C465" s="229"/>
      <c r="D465" s="219"/>
      <c r="E465" s="219"/>
      <c r="F465" s="219"/>
      <c r="G465" s="219"/>
      <c r="H465" s="22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</row>
    <row r="466">
      <c r="A466" s="242"/>
      <c r="B466" s="219"/>
      <c r="C466" s="229"/>
      <c r="D466" s="219"/>
      <c r="E466" s="219"/>
      <c r="F466" s="219"/>
      <c r="G466" s="219"/>
      <c r="H466" s="22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</row>
    <row r="467">
      <c r="A467" s="242"/>
      <c r="B467" s="219"/>
      <c r="C467" s="229"/>
      <c r="D467" s="219"/>
      <c r="E467" s="219"/>
      <c r="F467" s="219"/>
      <c r="G467" s="219"/>
      <c r="H467" s="22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</row>
    <row r="468">
      <c r="A468" s="242"/>
      <c r="B468" s="219"/>
      <c r="C468" s="229"/>
      <c r="D468" s="219"/>
      <c r="E468" s="219"/>
      <c r="F468" s="219"/>
      <c r="G468" s="219"/>
      <c r="H468" s="22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</row>
    <row r="469">
      <c r="A469" s="242"/>
      <c r="B469" s="219"/>
      <c r="C469" s="229"/>
      <c r="D469" s="219"/>
      <c r="E469" s="219"/>
      <c r="F469" s="219"/>
      <c r="G469" s="219"/>
      <c r="H469" s="22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</row>
    <row r="470">
      <c r="A470" s="242"/>
      <c r="B470" s="219"/>
      <c r="C470" s="229"/>
      <c r="D470" s="219"/>
      <c r="E470" s="219"/>
      <c r="F470" s="219"/>
      <c r="G470" s="219"/>
      <c r="H470" s="22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</row>
    <row r="471">
      <c r="A471" s="242"/>
      <c r="B471" s="219"/>
      <c r="C471" s="229"/>
      <c r="D471" s="219"/>
      <c r="E471" s="219"/>
      <c r="F471" s="219"/>
      <c r="G471" s="219"/>
      <c r="H471" s="22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</row>
    <row r="472">
      <c r="A472" s="242"/>
      <c r="B472" s="219"/>
      <c r="C472" s="229"/>
      <c r="D472" s="219"/>
      <c r="E472" s="219"/>
      <c r="F472" s="219"/>
      <c r="G472" s="219"/>
      <c r="H472" s="22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</row>
    <row r="473">
      <c r="A473" s="242"/>
      <c r="B473" s="219"/>
      <c r="C473" s="229"/>
      <c r="D473" s="219"/>
      <c r="E473" s="219"/>
      <c r="F473" s="219"/>
      <c r="G473" s="219"/>
      <c r="H473" s="22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</row>
    <row r="474">
      <c r="A474" s="242"/>
      <c r="B474" s="219"/>
      <c r="C474" s="229"/>
      <c r="D474" s="219"/>
      <c r="E474" s="219"/>
      <c r="F474" s="219"/>
      <c r="G474" s="219"/>
      <c r="H474" s="22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</row>
    <row r="475">
      <c r="A475" s="242"/>
      <c r="B475" s="219"/>
      <c r="C475" s="229"/>
      <c r="D475" s="219"/>
      <c r="E475" s="219"/>
      <c r="F475" s="219"/>
      <c r="G475" s="219"/>
      <c r="H475" s="22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</row>
    <row r="476">
      <c r="A476" s="242"/>
      <c r="B476" s="219"/>
      <c r="C476" s="229"/>
      <c r="D476" s="219"/>
      <c r="E476" s="219"/>
      <c r="F476" s="219"/>
      <c r="G476" s="219"/>
      <c r="H476" s="22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</row>
    <row r="477">
      <c r="A477" s="242"/>
      <c r="B477" s="219"/>
      <c r="C477" s="229"/>
      <c r="D477" s="219"/>
      <c r="E477" s="219"/>
      <c r="F477" s="219"/>
      <c r="G477" s="219"/>
      <c r="H477" s="22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</row>
    <row r="478">
      <c r="A478" s="242"/>
      <c r="B478" s="219"/>
      <c r="C478" s="229"/>
      <c r="D478" s="219"/>
      <c r="E478" s="219"/>
      <c r="F478" s="219"/>
      <c r="G478" s="219"/>
      <c r="H478" s="22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</row>
    <row r="479">
      <c r="A479" s="242"/>
      <c r="B479" s="219"/>
      <c r="C479" s="229"/>
      <c r="D479" s="219"/>
      <c r="E479" s="219"/>
      <c r="F479" s="219"/>
      <c r="G479" s="219"/>
      <c r="H479" s="229"/>
      <c r="I479" s="219"/>
      <c r="J479" s="219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</row>
    <row r="480">
      <c r="A480" s="242"/>
      <c r="B480" s="219"/>
      <c r="C480" s="229"/>
      <c r="D480" s="219"/>
      <c r="E480" s="219"/>
      <c r="F480" s="219"/>
      <c r="G480" s="219"/>
      <c r="H480" s="229"/>
      <c r="I480" s="219"/>
      <c r="J480" s="219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</row>
    <row r="481">
      <c r="A481" s="242"/>
      <c r="B481" s="219"/>
      <c r="C481" s="229"/>
      <c r="D481" s="219"/>
      <c r="E481" s="219"/>
      <c r="F481" s="219"/>
      <c r="G481" s="219"/>
      <c r="H481" s="229"/>
      <c r="I481" s="219"/>
      <c r="J481" s="219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</row>
    <row r="482">
      <c r="A482" s="242"/>
      <c r="B482" s="219"/>
      <c r="C482" s="229"/>
      <c r="D482" s="219"/>
      <c r="E482" s="219"/>
      <c r="F482" s="219"/>
      <c r="G482" s="219"/>
      <c r="H482" s="229"/>
      <c r="I482" s="219"/>
      <c r="J482" s="219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</row>
    <row r="483">
      <c r="A483" s="242"/>
      <c r="B483" s="219"/>
      <c r="C483" s="229"/>
      <c r="D483" s="219"/>
      <c r="E483" s="219"/>
      <c r="F483" s="219"/>
      <c r="G483" s="219"/>
      <c r="H483" s="229"/>
      <c r="I483" s="219"/>
      <c r="J483" s="219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</row>
    <row r="484">
      <c r="A484" s="242"/>
      <c r="B484" s="219"/>
      <c r="C484" s="229"/>
      <c r="D484" s="219"/>
      <c r="E484" s="219"/>
      <c r="F484" s="219"/>
      <c r="G484" s="219"/>
      <c r="H484" s="229"/>
      <c r="I484" s="219"/>
      <c r="J484" s="219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</row>
    <row r="485">
      <c r="A485" s="242"/>
      <c r="B485" s="219"/>
      <c r="C485" s="229"/>
      <c r="D485" s="219"/>
      <c r="E485" s="219"/>
      <c r="F485" s="219"/>
      <c r="G485" s="219"/>
      <c r="H485" s="229"/>
      <c r="I485" s="219"/>
      <c r="J485" s="219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</row>
    <row r="486">
      <c r="A486" s="242"/>
      <c r="B486" s="219"/>
      <c r="C486" s="229"/>
      <c r="D486" s="219"/>
      <c r="E486" s="219"/>
      <c r="F486" s="219"/>
      <c r="G486" s="219"/>
      <c r="H486" s="229"/>
      <c r="I486" s="219"/>
      <c r="J486" s="219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</row>
    <row r="487">
      <c r="A487" s="242"/>
      <c r="B487" s="219"/>
      <c r="C487" s="229"/>
      <c r="D487" s="219"/>
      <c r="E487" s="219"/>
      <c r="F487" s="219"/>
      <c r="G487" s="219"/>
      <c r="H487" s="229"/>
      <c r="I487" s="219"/>
      <c r="J487" s="219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</row>
    <row r="488">
      <c r="A488" s="242"/>
      <c r="B488" s="219"/>
      <c r="C488" s="229"/>
      <c r="D488" s="219"/>
      <c r="E488" s="219"/>
      <c r="F488" s="219"/>
      <c r="G488" s="219"/>
      <c r="H488" s="229"/>
      <c r="I488" s="219"/>
      <c r="J488" s="219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</row>
    <row r="489">
      <c r="A489" s="242"/>
      <c r="B489" s="219"/>
      <c r="C489" s="229"/>
      <c r="D489" s="219"/>
      <c r="E489" s="219"/>
      <c r="F489" s="219"/>
      <c r="G489" s="219"/>
      <c r="H489" s="229"/>
      <c r="I489" s="219"/>
      <c r="J489" s="219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</row>
    <row r="490">
      <c r="A490" s="242"/>
      <c r="B490" s="219"/>
      <c r="C490" s="229"/>
      <c r="D490" s="219"/>
      <c r="E490" s="219"/>
      <c r="F490" s="219"/>
      <c r="G490" s="219"/>
      <c r="H490" s="229"/>
      <c r="I490" s="219"/>
      <c r="J490" s="219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</row>
    <row r="491">
      <c r="A491" s="242"/>
      <c r="B491" s="219"/>
      <c r="C491" s="229"/>
      <c r="D491" s="219"/>
      <c r="E491" s="219"/>
      <c r="F491" s="219"/>
      <c r="G491" s="219"/>
      <c r="H491" s="229"/>
      <c r="I491" s="219"/>
      <c r="J491" s="219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</row>
    <row r="492">
      <c r="A492" s="242"/>
      <c r="B492" s="219"/>
      <c r="C492" s="229"/>
      <c r="D492" s="219"/>
      <c r="E492" s="219"/>
      <c r="F492" s="219"/>
      <c r="G492" s="219"/>
      <c r="H492" s="229"/>
      <c r="I492" s="219"/>
      <c r="J492" s="219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</row>
    <row r="493">
      <c r="A493" s="242"/>
      <c r="B493" s="219"/>
      <c r="C493" s="229"/>
      <c r="D493" s="219"/>
      <c r="E493" s="219"/>
      <c r="F493" s="219"/>
      <c r="G493" s="219"/>
      <c r="H493" s="229"/>
      <c r="I493" s="219"/>
      <c r="J493" s="219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</row>
    <row r="494">
      <c r="A494" s="242"/>
      <c r="B494" s="219"/>
      <c r="C494" s="229"/>
      <c r="D494" s="219"/>
      <c r="E494" s="219"/>
      <c r="F494" s="219"/>
      <c r="G494" s="219"/>
      <c r="H494" s="229"/>
      <c r="I494" s="219"/>
      <c r="J494" s="219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</row>
    <row r="495">
      <c r="A495" s="242"/>
      <c r="B495" s="219"/>
      <c r="C495" s="229"/>
      <c r="D495" s="219"/>
      <c r="E495" s="219"/>
      <c r="F495" s="219"/>
      <c r="G495" s="219"/>
      <c r="H495" s="22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</row>
    <row r="496">
      <c r="A496" s="242"/>
      <c r="B496" s="219"/>
      <c r="C496" s="229"/>
      <c r="D496" s="219"/>
      <c r="E496" s="219"/>
      <c r="F496" s="219"/>
      <c r="G496" s="219"/>
      <c r="H496" s="229"/>
      <c r="I496" s="219"/>
      <c r="J496" s="219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</row>
    <row r="497">
      <c r="A497" s="242"/>
      <c r="B497" s="219"/>
      <c r="C497" s="229"/>
      <c r="D497" s="219"/>
      <c r="E497" s="219"/>
      <c r="F497" s="219"/>
      <c r="G497" s="219"/>
      <c r="H497" s="229"/>
      <c r="I497" s="219"/>
      <c r="J497" s="219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</row>
    <row r="498">
      <c r="A498" s="242"/>
      <c r="B498" s="219"/>
      <c r="C498" s="229"/>
      <c r="D498" s="219"/>
      <c r="E498" s="219"/>
      <c r="F498" s="219"/>
      <c r="G498" s="219"/>
      <c r="H498" s="229"/>
      <c r="I498" s="219"/>
      <c r="J498" s="219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</row>
    <row r="499">
      <c r="A499" s="242"/>
      <c r="B499" s="219"/>
      <c r="C499" s="229"/>
      <c r="D499" s="219"/>
      <c r="E499" s="219"/>
      <c r="F499" s="219"/>
      <c r="G499" s="219"/>
      <c r="H499" s="229"/>
      <c r="I499" s="219"/>
      <c r="J499" s="219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</row>
    <row r="500">
      <c r="A500" s="242"/>
      <c r="B500" s="219"/>
      <c r="C500" s="229"/>
      <c r="D500" s="219"/>
      <c r="E500" s="219"/>
      <c r="F500" s="219"/>
      <c r="G500" s="219"/>
      <c r="H500" s="22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</row>
    <row r="501">
      <c r="A501" s="242"/>
      <c r="B501" s="219"/>
      <c r="C501" s="229"/>
      <c r="D501" s="219"/>
      <c r="E501" s="219"/>
      <c r="F501" s="219"/>
      <c r="G501" s="219"/>
      <c r="H501" s="229"/>
      <c r="I501" s="219"/>
      <c r="J501" s="219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</row>
    <row r="502">
      <c r="A502" s="242"/>
      <c r="B502" s="219"/>
      <c r="C502" s="229"/>
      <c r="D502" s="219"/>
      <c r="E502" s="219"/>
      <c r="F502" s="219"/>
      <c r="G502" s="219"/>
      <c r="H502" s="229"/>
      <c r="I502" s="219"/>
      <c r="J502" s="219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</row>
    <row r="503">
      <c r="A503" s="242"/>
      <c r="B503" s="219"/>
      <c r="C503" s="229"/>
      <c r="D503" s="219"/>
      <c r="E503" s="219"/>
      <c r="F503" s="219"/>
      <c r="G503" s="219"/>
      <c r="H503" s="229"/>
      <c r="I503" s="219"/>
      <c r="J503" s="219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</row>
    <row r="504">
      <c r="A504" s="242"/>
      <c r="B504" s="219"/>
      <c r="C504" s="229"/>
      <c r="D504" s="219"/>
      <c r="E504" s="219"/>
      <c r="F504" s="219"/>
      <c r="G504" s="219"/>
      <c r="H504" s="229"/>
      <c r="I504" s="219"/>
      <c r="J504" s="219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</row>
    <row r="505">
      <c r="A505" s="242"/>
      <c r="B505" s="219"/>
      <c r="C505" s="229"/>
      <c r="D505" s="219"/>
      <c r="E505" s="219"/>
      <c r="F505" s="219"/>
      <c r="G505" s="219"/>
      <c r="H505" s="22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</row>
    <row r="506">
      <c r="A506" s="242"/>
      <c r="B506" s="219"/>
      <c r="C506" s="229"/>
      <c r="D506" s="219"/>
      <c r="E506" s="219"/>
      <c r="F506" s="219"/>
      <c r="G506" s="219"/>
      <c r="H506" s="229"/>
      <c r="I506" s="219"/>
      <c r="J506" s="219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</row>
    <row r="507">
      <c r="A507" s="242"/>
      <c r="B507" s="219"/>
      <c r="C507" s="229"/>
      <c r="D507" s="219"/>
      <c r="E507" s="219"/>
      <c r="F507" s="219"/>
      <c r="G507" s="219"/>
      <c r="H507" s="229"/>
      <c r="I507" s="219"/>
      <c r="J507" s="219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</row>
    <row r="508">
      <c r="A508" s="242"/>
      <c r="B508" s="219"/>
      <c r="C508" s="229"/>
      <c r="D508" s="219"/>
      <c r="E508" s="219"/>
      <c r="F508" s="219"/>
      <c r="G508" s="219"/>
      <c r="H508" s="229"/>
      <c r="I508" s="219"/>
      <c r="J508" s="219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</row>
    <row r="509">
      <c r="A509" s="242"/>
      <c r="B509" s="219"/>
      <c r="C509" s="229"/>
      <c r="D509" s="219"/>
      <c r="E509" s="219"/>
      <c r="F509" s="219"/>
      <c r="G509" s="219"/>
      <c r="H509" s="229"/>
      <c r="I509" s="219"/>
      <c r="J509" s="219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</row>
    <row r="510">
      <c r="A510" s="242"/>
      <c r="B510" s="219"/>
      <c r="C510" s="229"/>
      <c r="D510" s="219"/>
      <c r="E510" s="219"/>
      <c r="F510" s="219"/>
      <c r="G510" s="219"/>
      <c r="H510" s="22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</row>
    <row r="511">
      <c r="A511" s="242"/>
      <c r="B511" s="219"/>
      <c r="C511" s="229"/>
      <c r="D511" s="219"/>
      <c r="E511" s="219"/>
      <c r="F511" s="219"/>
      <c r="G511" s="219"/>
      <c r="H511" s="229"/>
      <c r="I511" s="219"/>
      <c r="J511" s="219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</row>
    <row r="512">
      <c r="A512" s="242"/>
      <c r="B512" s="219"/>
      <c r="C512" s="229"/>
      <c r="D512" s="219"/>
      <c r="E512" s="219"/>
      <c r="F512" s="219"/>
      <c r="G512" s="219"/>
      <c r="H512" s="229"/>
      <c r="I512" s="219"/>
      <c r="J512" s="219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</row>
    <row r="513">
      <c r="A513" s="242"/>
      <c r="B513" s="219"/>
      <c r="C513" s="229"/>
      <c r="D513" s="219"/>
      <c r="E513" s="219"/>
      <c r="F513" s="219"/>
      <c r="G513" s="219"/>
      <c r="H513" s="229"/>
      <c r="I513" s="219"/>
      <c r="J513" s="219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</row>
    <row r="514">
      <c r="A514" s="242"/>
      <c r="B514" s="219"/>
      <c r="C514" s="229"/>
      <c r="D514" s="219"/>
      <c r="E514" s="219"/>
      <c r="F514" s="219"/>
      <c r="G514" s="219"/>
      <c r="H514" s="229"/>
      <c r="I514" s="219"/>
      <c r="J514" s="219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</row>
    <row r="515">
      <c r="A515" s="242"/>
      <c r="B515" s="219"/>
      <c r="C515" s="229"/>
      <c r="D515" s="219"/>
      <c r="E515" s="219"/>
      <c r="F515" s="219"/>
      <c r="G515" s="219"/>
      <c r="H515" s="229"/>
      <c r="I515" s="219"/>
      <c r="J515" s="219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</row>
    <row r="516">
      <c r="A516" s="242"/>
      <c r="B516" s="219"/>
      <c r="C516" s="229"/>
      <c r="D516" s="219"/>
      <c r="E516" s="219"/>
      <c r="F516" s="219"/>
      <c r="G516" s="219"/>
      <c r="H516" s="229"/>
      <c r="I516" s="219"/>
      <c r="J516" s="219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</row>
    <row r="517">
      <c r="A517" s="242"/>
      <c r="B517" s="219"/>
      <c r="C517" s="229"/>
      <c r="D517" s="219"/>
      <c r="E517" s="219"/>
      <c r="F517" s="219"/>
      <c r="G517" s="219"/>
      <c r="H517" s="22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</row>
    <row r="518">
      <c r="A518" s="242"/>
      <c r="B518" s="219"/>
      <c r="C518" s="229"/>
      <c r="D518" s="219"/>
      <c r="E518" s="219"/>
      <c r="F518" s="219"/>
      <c r="G518" s="219"/>
      <c r="H518" s="229"/>
      <c r="I518" s="219"/>
      <c r="J518" s="219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</row>
    <row r="519">
      <c r="A519" s="242"/>
      <c r="B519" s="219"/>
      <c r="C519" s="229"/>
      <c r="D519" s="219"/>
      <c r="E519" s="219"/>
      <c r="F519" s="219"/>
      <c r="G519" s="219"/>
      <c r="H519" s="229"/>
      <c r="I519" s="219"/>
      <c r="J519" s="219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</row>
    <row r="520">
      <c r="A520" s="242"/>
      <c r="B520" s="219"/>
      <c r="C520" s="229"/>
      <c r="D520" s="219"/>
      <c r="E520" s="219"/>
      <c r="F520" s="219"/>
      <c r="G520" s="219"/>
      <c r="H520" s="229"/>
      <c r="I520" s="219"/>
      <c r="J520" s="219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</row>
    <row r="521">
      <c r="A521" s="242"/>
      <c r="B521" s="219"/>
      <c r="C521" s="229"/>
      <c r="D521" s="219"/>
      <c r="E521" s="219"/>
      <c r="F521" s="219"/>
      <c r="G521" s="219"/>
      <c r="H521" s="229"/>
      <c r="I521" s="219"/>
      <c r="J521" s="219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</row>
    <row r="522">
      <c r="A522" s="242"/>
      <c r="B522" s="219"/>
      <c r="C522" s="229"/>
      <c r="D522" s="219"/>
      <c r="E522" s="219"/>
      <c r="F522" s="219"/>
      <c r="G522" s="219"/>
      <c r="H522" s="229"/>
      <c r="I522" s="219"/>
      <c r="J522" s="219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</row>
    <row r="523">
      <c r="A523" s="242"/>
      <c r="B523" s="219"/>
      <c r="C523" s="229"/>
      <c r="D523" s="219"/>
      <c r="E523" s="219"/>
      <c r="F523" s="219"/>
      <c r="G523" s="219"/>
      <c r="H523" s="229"/>
      <c r="I523" s="219"/>
      <c r="J523" s="219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</row>
    <row r="524">
      <c r="A524" s="242"/>
      <c r="B524" s="219"/>
      <c r="C524" s="229"/>
      <c r="D524" s="219"/>
      <c r="E524" s="219"/>
      <c r="F524" s="219"/>
      <c r="G524" s="219"/>
      <c r="H524" s="229"/>
      <c r="I524" s="219"/>
      <c r="J524" s="219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</row>
    <row r="525">
      <c r="A525" s="242"/>
      <c r="B525" s="219"/>
      <c r="C525" s="229"/>
      <c r="D525" s="219"/>
      <c r="E525" s="219"/>
      <c r="F525" s="219"/>
      <c r="G525" s="219"/>
      <c r="H525" s="229"/>
      <c r="I525" s="219"/>
      <c r="J525" s="219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</row>
    <row r="526">
      <c r="A526" s="242"/>
      <c r="B526" s="219"/>
      <c r="C526" s="229"/>
      <c r="D526" s="219"/>
      <c r="E526" s="219"/>
      <c r="F526" s="219"/>
      <c r="G526" s="219"/>
      <c r="H526" s="229"/>
      <c r="I526" s="219"/>
      <c r="J526" s="219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</row>
    <row r="527">
      <c r="A527" s="242"/>
      <c r="B527" s="219"/>
      <c r="C527" s="229"/>
      <c r="D527" s="219"/>
      <c r="E527" s="219"/>
      <c r="F527" s="219"/>
      <c r="G527" s="219"/>
      <c r="H527" s="229"/>
      <c r="I527" s="219"/>
      <c r="J527" s="219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</row>
    <row r="528">
      <c r="A528" s="242"/>
      <c r="B528" s="219"/>
      <c r="C528" s="229"/>
      <c r="D528" s="219"/>
      <c r="E528" s="219"/>
      <c r="F528" s="219"/>
      <c r="G528" s="219"/>
      <c r="H528" s="22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</row>
    <row r="529">
      <c r="A529" s="242"/>
      <c r="B529" s="219"/>
      <c r="C529" s="229"/>
      <c r="D529" s="219"/>
      <c r="E529" s="219"/>
      <c r="F529" s="219"/>
      <c r="G529" s="219"/>
      <c r="H529" s="229"/>
      <c r="I529" s="219"/>
      <c r="J529" s="219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</row>
    <row r="530">
      <c r="A530" s="242"/>
      <c r="B530" s="219"/>
      <c r="C530" s="229"/>
      <c r="D530" s="219"/>
      <c r="E530" s="219"/>
      <c r="F530" s="219"/>
      <c r="G530" s="219"/>
      <c r="H530" s="229"/>
      <c r="I530" s="219"/>
      <c r="J530" s="219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</row>
    <row r="531">
      <c r="A531" s="242"/>
      <c r="B531" s="219"/>
      <c r="C531" s="229"/>
      <c r="D531" s="219"/>
      <c r="E531" s="219"/>
      <c r="F531" s="219"/>
      <c r="G531" s="219"/>
      <c r="H531" s="229"/>
      <c r="I531" s="219"/>
      <c r="J531" s="219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</row>
    <row r="532">
      <c r="A532" s="242"/>
      <c r="B532" s="219"/>
      <c r="C532" s="229"/>
      <c r="D532" s="219"/>
      <c r="E532" s="219"/>
      <c r="F532" s="219"/>
      <c r="G532" s="219"/>
      <c r="H532" s="229"/>
      <c r="I532" s="219"/>
      <c r="J532" s="219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</row>
    <row r="533">
      <c r="A533" s="242"/>
      <c r="B533" s="219"/>
      <c r="C533" s="229"/>
      <c r="D533" s="219"/>
      <c r="E533" s="219"/>
      <c r="F533" s="219"/>
      <c r="G533" s="219"/>
      <c r="H533" s="229"/>
      <c r="I533" s="219"/>
      <c r="J533" s="219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</row>
    <row r="534">
      <c r="A534" s="242"/>
      <c r="B534" s="219"/>
      <c r="C534" s="229"/>
      <c r="D534" s="219"/>
      <c r="E534" s="219"/>
      <c r="F534" s="219"/>
      <c r="G534" s="219"/>
      <c r="H534" s="229"/>
      <c r="I534" s="219"/>
      <c r="J534" s="219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</row>
    <row r="535">
      <c r="A535" s="242"/>
      <c r="B535" s="219"/>
      <c r="C535" s="229"/>
      <c r="D535" s="219"/>
      <c r="E535" s="219"/>
      <c r="F535" s="219"/>
      <c r="G535" s="219"/>
      <c r="H535" s="229"/>
      <c r="I535" s="219"/>
      <c r="J535" s="219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</row>
    <row r="536">
      <c r="A536" s="242"/>
      <c r="B536" s="219"/>
      <c r="C536" s="229"/>
      <c r="D536" s="219"/>
      <c r="E536" s="219"/>
      <c r="F536" s="219"/>
      <c r="G536" s="219"/>
      <c r="H536" s="22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</row>
    <row r="537">
      <c r="A537" s="242"/>
      <c r="B537" s="219"/>
      <c r="C537" s="229"/>
      <c r="D537" s="219"/>
      <c r="E537" s="219"/>
      <c r="F537" s="219"/>
      <c r="G537" s="219"/>
      <c r="H537" s="229"/>
      <c r="I537" s="219"/>
      <c r="J537" s="219"/>
      <c r="K537" s="219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</row>
    <row r="538">
      <c r="A538" s="242"/>
      <c r="B538" s="219"/>
      <c r="C538" s="229"/>
      <c r="D538" s="219"/>
      <c r="E538" s="219"/>
      <c r="F538" s="219"/>
      <c r="G538" s="219"/>
      <c r="H538" s="229"/>
      <c r="I538" s="219"/>
      <c r="J538" s="219"/>
      <c r="K538" s="219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</row>
    <row r="539">
      <c r="A539" s="242"/>
      <c r="B539" s="219"/>
      <c r="C539" s="229"/>
      <c r="D539" s="219"/>
      <c r="E539" s="219"/>
      <c r="F539" s="219"/>
      <c r="G539" s="219"/>
      <c r="H539" s="229"/>
      <c r="I539" s="219"/>
      <c r="J539" s="219"/>
      <c r="K539" s="219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</row>
    <row r="540">
      <c r="A540" s="242"/>
      <c r="B540" s="219"/>
      <c r="C540" s="229"/>
      <c r="D540" s="219"/>
      <c r="E540" s="219"/>
      <c r="F540" s="219"/>
      <c r="G540" s="219"/>
      <c r="H540" s="229"/>
      <c r="I540" s="219"/>
      <c r="J540" s="219"/>
      <c r="K540" s="219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</row>
    <row r="541">
      <c r="A541" s="242"/>
      <c r="B541" s="219"/>
      <c r="C541" s="229"/>
      <c r="D541" s="219"/>
      <c r="E541" s="219"/>
      <c r="F541" s="219"/>
      <c r="G541" s="219"/>
      <c r="H541" s="229"/>
      <c r="I541" s="219"/>
      <c r="J541" s="219"/>
      <c r="K541" s="219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</row>
    <row r="542">
      <c r="A542" s="242"/>
      <c r="B542" s="219"/>
      <c r="C542" s="229"/>
      <c r="D542" s="219"/>
      <c r="E542" s="219"/>
      <c r="F542" s="219"/>
      <c r="G542" s="219"/>
      <c r="H542" s="229"/>
      <c r="I542" s="219"/>
      <c r="J542" s="219"/>
      <c r="K542" s="219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</row>
    <row r="543">
      <c r="A543" s="242"/>
      <c r="B543" s="219"/>
      <c r="C543" s="229"/>
      <c r="D543" s="219"/>
      <c r="E543" s="219"/>
      <c r="F543" s="219"/>
      <c r="G543" s="219"/>
      <c r="H543" s="22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</row>
    <row r="544">
      <c r="A544" s="242"/>
      <c r="B544" s="219"/>
      <c r="C544" s="229"/>
      <c r="D544" s="219"/>
      <c r="E544" s="219"/>
      <c r="F544" s="219"/>
      <c r="G544" s="219"/>
      <c r="H544" s="22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</row>
    <row r="545">
      <c r="A545" s="242"/>
      <c r="B545" s="219"/>
      <c r="C545" s="229"/>
      <c r="D545" s="219"/>
      <c r="E545" s="219"/>
      <c r="F545" s="219"/>
      <c r="G545" s="219"/>
      <c r="H545" s="22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</row>
    <row r="546">
      <c r="A546" s="242"/>
      <c r="B546" s="219"/>
      <c r="C546" s="229"/>
      <c r="D546" s="219"/>
      <c r="E546" s="219"/>
      <c r="F546" s="219"/>
      <c r="G546" s="219"/>
      <c r="H546" s="22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</row>
    <row r="547">
      <c r="A547" s="242"/>
      <c r="B547" s="219"/>
      <c r="C547" s="229"/>
      <c r="D547" s="219"/>
      <c r="E547" s="219"/>
      <c r="F547" s="219"/>
      <c r="G547" s="219"/>
      <c r="H547" s="22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</row>
    <row r="548">
      <c r="A548" s="242"/>
      <c r="B548" s="219"/>
      <c r="C548" s="229"/>
      <c r="D548" s="219"/>
      <c r="E548" s="219"/>
      <c r="F548" s="219"/>
      <c r="G548" s="219"/>
      <c r="H548" s="22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</row>
    <row r="549">
      <c r="A549" s="242"/>
      <c r="B549" s="219"/>
      <c r="C549" s="229"/>
      <c r="D549" s="219"/>
      <c r="E549" s="219"/>
      <c r="F549" s="219"/>
      <c r="G549" s="219"/>
      <c r="H549" s="22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</row>
    <row r="550">
      <c r="A550" s="242"/>
      <c r="B550" s="219"/>
      <c r="C550" s="229"/>
      <c r="D550" s="219"/>
      <c r="E550" s="219"/>
      <c r="F550" s="219"/>
      <c r="G550" s="219"/>
      <c r="H550" s="22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</row>
    <row r="551">
      <c r="A551" s="242"/>
      <c r="B551" s="219"/>
      <c r="C551" s="229"/>
      <c r="D551" s="219"/>
      <c r="E551" s="219"/>
      <c r="F551" s="219"/>
      <c r="G551" s="219"/>
      <c r="H551" s="22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</row>
    <row r="552">
      <c r="A552" s="242"/>
      <c r="B552" s="219"/>
      <c r="C552" s="229"/>
      <c r="D552" s="219"/>
      <c r="E552" s="219"/>
      <c r="F552" s="219"/>
      <c r="G552" s="219"/>
      <c r="H552" s="22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</row>
    <row r="553">
      <c r="A553" s="242"/>
      <c r="B553" s="219"/>
      <c r="C553" s="229"/>
      <c r="D553" s="219"/>
      <c r="E553" s="219"/>
      <c r="F553" s="219"/>
      <c r="G553" s="219"/>
      <c r="H553" s="22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</row>
    <row r="554">
      <c r="A554" s="242"/>
      <c r="B554" s="219"/>
      <c r="C554" s="229"/>
      <c r="D554" s="219"/>
      <c r="E554" s="219"/>
      <c r="F554" s="219"/>
      <c r="G554" s="219"/>
      <c r="H554" s="22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</row>
    <row r="555">
      <c r="A555" s="242"/>
      <c r="B555" s="219"/>
      <c r="C555" s="229"/>
      <c r="D555" s="219"/>
      <c r="E555" s="219"/>
      <c r="F555" s="219"/>
      <c r="G555" s="219"/>
      <c r="H555" s="22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</row>
    <row r="556">
      <c r="A556" s="242"/>
      <c r="B556" s="219"/>
      <c r="C556" s="229"/>
      <c r="D556" s="219"/>
      <c r="E556" s="219"/>
      <c r="F556" s="219"/>
      <c r="G556" s="219"/>
      <c r="H556" s="22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</row>
    <row r="557">
      <c r="A557" s="242"/>
      <c r="B557" s="219"/>
      <c r="C557" s="229"/>
      <c r="D557" s="219"/>
      <c r="E557" s="219"/>
      <c r="F557" s="219"/>
      <c r="G557" s="219"/>
      <c r="H557" s="22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</row>
    <row r="558">
      <c r="A558" s="242"/>
      <c r="B558" s="219"/>
      <c r="C558" s="229"/>
      <c r="D558" s="219"/>
      <c r="E558" s="219"/>
      <c r="F558" s="219"/>
      <c r="G558" s="219"/>
      <c r="H558" s="22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</row>
    <row r="559">
      <c r="A559" s="242"/>
      <c r="B559" s="219"/>
      <c r="C559" s="229"/>
      <c r="D559" s="219"/>
      <c r="E559" s="219"/>
      <c r="F559" s="219"/>
      <c r="G559" s="219"/>
      <c r="H559" s="22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</row>
    <row r="560">
      <c r="A560" s="242"/>
      <c r="B560" s="219"/>
      <c r="C560" s="229"/>
      <c r="D560" s="219"/>
      <c r="E560" s="219"/>
      <c r="F560" s="219"/>
      <c r="G560" s="219"/>
      <c r="H560" s="22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</row>
    <row r="561">
      <c r="A561" s="242"/>
      <c r="B561" s="219"/>
      <c r="C561" s="229"/>
      <c r="D561" s="219"/>
      <c r="E561" s="219"/>
      <c r="F561" s="219"/>
      <c r="G561" s="219"/>
      <c r="H561" s="22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</row>
    <row r="562">
      <c r="A562" s="242"/>
      <c r="B562" s="219"/>
      <c r="C562" s="229"/>
      <c r="D562" s="219"/>
      <c r="E562" s="219"/>
      <c r="F562" s="219"/>
      <c r="G562" s="219"/>
      <c r="H562" s="22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</row>
    <row r="563">
      <c r="A563" s="242"/>
      <c r="B563" s="219"/>
      <c r="C563" s="229"/>
      <c r="D563" s="219"/>
      <c r="E563" s="219"/>
      <c r="F563" s="219"/>
      <c r="G563" s="219"/>
      <c r="H563" s="229"/>
      <c r="I563" s="219"/>
      <c r="J563" s="219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</row>
    <row r="564">
      <c r="A564" s="242"/>
      <c r="B564" s="219"/>
      <c r="C564" s="229"/>
      <c r="D564" s="219"/>
      <c r="E564" s="219"/>
      <c r="F564" s="219"/>
      <c r="G564" s="219"/>
      <c r="H564" s="229"/>
      <c r="I564" s="219"/>
      <c r="J564" s="219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</row>
    <row r="565">
      <c r="A565" s="242"/>
      <c r="B565" s="219"/>
      <c r="C565" s="229"/>
      <c r="D565" s="219"/>
      <c r="E565" s="219"/>
      <c r="F565" s="219"/>
      <c r="G565" s="219"/>
      <c r="H565" s="22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</row>
    <row r="566">
      <c r="A566" s="242"/>
      <c r="B566" s="219"/>
      <c r="C566" s="229"/>
      <c r="D566" s="219"/>
      <c r="E566" s="219"/>
      <c r="F566" s="219"/>
      <c r="G566" s="219"/>
      <c r="H566" s="22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</row>
    <row r="567">
      <c r="A567" s="242"/>
      <c r="B567" s="219"/>
      <c r="C567" s="229"/>
      <c r="D567" s="219"/>
      <c r="E567" s="219"/>
      <c r="F567" s="219"/>
      <c r="G567" s="219"/>
      <c r="H567" s="229"/>
      <c r="I567" s="219"/>
      <c r="J567" s="219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</row>
    <row r="568">
      <c r="A568" s="242"/>
      <c r="B568" s="219"/>
      <c r="C568" s="229"/>
      <c r="D568" s="219"/>
      <c r="E568" s="219"/>
      <c r="F568" s="219"/>
      <c r="G568" s="219"/>
      <c r="H568" s="229"/>
      <c r="I568" s="219"/>
      <c r="J568" s="219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</row>
    <row r="569">
      <c r="A569" s="242"/>
      <c r="B569" s="219"/>
      <c r="C569" s="229"/>
      <c r="D569" s="219"/>
      <c r="E569" s="219"/>
      <c r="F569" s="219"/>
      <c r="G569" s="219"/>
      <c r="H569" s="229"/>
      <c r="I569" s="219"/>
      <c r="J569" s="219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</row>
    <row r="570">
      <c r="A570" s="242"/>
      <c r="B570" s="219"/>
      <c r="C570" s="229"/>
      <c r="D570" s="219"/>
      <c r="E570" s="219"/>
      <c r="F570" s="219"/>
      <c r="G570" s="219"/>
      <c r="H570" s="229"/>
      <c r="I570" s="219"/>
      <c r="J570" s="219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</row>
    <row r="571">
      <c r="A571" s="242"/>
      <c r="B571" s="219"/>
      <c r="C571" s="229"/>
      <c r="D571" s="219"/>
      <c r="E571" s="219"/>
      <c r="F571" s="219"/>
      <c r="G571" s="219"/>
      <c r="H571" s="229"/>
      <c r="I571" s="219"/>
      <c r="J571" s="219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</row>
    <row r="572">
      <c r="A572" s="242"/>
      <c r="B572" s="219"/>
      <c r="C572" s="229"/>
      <c r="D572" s="219"/>
      <c r="E572" s="219"/>
      <c r="F572" s="219"/>
      <c r="G572" s="219"/>
      <c r="H572" s="229"/>
      <c r="I572" s="219"/>
      <c r="J572" s="219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</row>
    <row r="573">
      <c r="A573" s="242"/>
      <c r="B573" s="219"/>
      <c r="C573" s="229"/>
      <c r="D573" s="219"/>
      <c r="E573" s="219"/>
      <c r="F573" s="219"/>
      <c r="G573" s="219"/>
      <c r="H573" s="22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</row>
    <row r="574">
      <c r="A574" s="242"/>
      <c r="B574" s="219"/>
      <c r="C574" s="229"/>
      <c r="D574" s="219"/>
      <c r="E574" s="219"/>
      <c r="F574" s="219"/>
      <c r="G574" s="219"/>
      <c r="H574" s="229"/>
      <c r="I574" s="219"/>
      <c r="J574" s="219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</row>
    <row r="575">
      <c r="A575" s="242"/>
      <c r="B575" s="219"/>
      <c r="C575" s="229"/>
      <c r="D575" s="219"/>
      <c r="E575" s="219"/>
      <c r="F575" s="219"/>
      <c r="G575" s="219"/>
      <c r="H575" s="229"/>
      <c r="I575" s="219"/>
      <c r="J575" s="219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</row>
    <row r="576">
      <c r="A576" s="242"/>
      <c r="B576" s="219"/>
      <c r="C576" s="229"/>
      <c r="D576" s="219"/>
      <c r="E576" s="219"/>
      <c r="F576" s="219"/>
      <c r="G576" s="219"/>
      <c r="H576" s="229"/>
      <c r="I576" s="219"/>
      <c r="J576" s="219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</row>
    <row r="577">
      <c r="A577" s="242"/>
      <c r="B577" s="219"/>
      <c r="C577" s="229"/>
      <c r="D577" s="219"/>
      <c r="E577" s="219"/>
      <c r="F577" s="219"/>
      <c r="G577" s="219"/>
      <c r="H577" s="229"/>
      <c r="I577" s="219"/>
      <c r="J577" s="219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</row>
    <row r="578">
      <c r="A578" s="242"/>
      <c r="B578" s="219"/>
      <c r="C578" s="229"/>
      <c r="D578" s="219"/>
      <c r="E578" s="219"/>
      <c r="F578" s="219"/>
      <c r="G578" s="219"/>
      <c r="H578" s="229"/>
      <c r="I578" s="219"/>
      <c r="J578" s="219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</row>
    <row r="579">
      <c r="A579" s="242"/>
      <c r="B579" s="219"/>
      <c r="C579" s="229"/>
      <c r="D579" s="219"/>
      <c r="E579" s="219"/>
      <c r="F579" s="219"/>
      <c r="G579" s="219"/>
      <c r="H579" s="229"/>
      <c r="I579" s="219"/>
      <c r="J579" s="219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</row>
    <row r="580">
      <c r="A580" s="242"/>
      <c r="B580" s="219"/>
      <c r="C580" s="229"/>
      <c r="D580" s="219"/>
      <c r="E580" s="219"/>
      <c r="F580" s="219"/>
      <c r="G580" s="219"/>
      <c r="H580" s="22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</row>
    <row r="581">
      <c r="A581" s="242"/>
      <c r="B581" s="219"/>
      <c r="C581" s="229"/>
      <c r="D581" s="219"/>
      <c r="E581" s="219"/>
      <c r="F581" s="219"/>
      <c r="G581" s="219"/>
      <c r="H581" s="229"/>
      <c r="I581" s="219"/>
      <c r="J581" s="219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</row>
    <row r="582">
      <c r="A582" s="242"/>
      <c r="B582" s="219"/>
      <c r="C582" s="229"/>
      <c r="D582" s="219"/>
      <c r="E582" s="219"/>
      <c r="F582" s="219"/>
      <c r="G582" s="219"/>
      <c r="H582" s="229"/>
      <c r="I582" s="219"/>
      <c r="J582" s="219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</row>
    <row r="583">
      <c r="A583" s="242"/>
      <c r="B583" s="219"/>
      <c r="C583" s="229"/>
      <c r="D583" s="219"/>
      <c r="E583" s="219"/>
      <c r="F583" s="219"/>
      <c r="G583" s="219"/>
      <c r="H583" s="229"/>
      <c r="I583" s="219"/>
      <c r="J583" s="219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</row>
    <row r="584">
      <c r="A584" s="242"/>
      <c r="B584" s="219"/>
      <c r="C584" s="229"/>
      <c r="D584" s="219"/>
      <c r="E584" s="219"/>
      <c r="F584" s="219"/>
      <c r="G584" s="219"/>
      <c r="H584" s="229"/>
      <c r="I584" s="219"/>
      <c r="J584" s="219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</row>
    <row r="585">
      <c r="A585" s="242"/>
      <c r="B585" s="219"/>
      <c r="C585" s="229"/>
      <c r="D585" s="219"/>
      <c r="E585" s="219"/>
      <c r="F585" s="219"/>
      <c r="G585" s="219"/>
      <c r="H585" s="229"/>
      <c r="I585" s="219"/>
      <c r="J585" s="219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</row>
    <row r="586">
      <c r="A586" s="242"/>
      <c r="B586" s="219"/>
      <c r="C586" s="229"/>
      <c r="D586" s="219"/>
      <c r="E586" s="219"/>
      <c r="F586" s="219"/>
      <c r="G586" s="219"/>
      <c r="H586" s="229"/>
      <c r="I586" s="219"/>
      <c r="J586" s="219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</row>
    <row r="587">
      <c r="A587" s="242"/>
      <c r="B587" s="219"/>
      <c r="C587" s="229"/>
      <c r="D587" s="219"/>
      <c r="E587" s="219"/>
      <c r="F587" s="219"/>
      <c r="G587" s="219"/>
      <c r="H587" s="22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</row>
    <row r="588">
      <c r="A588" s="242"/>
      <c r="B588" s="219"/>
      <c r="C588" s="229"/>
      <c r="D588" s="219"/>
      <c r="E588" s="219"/>
      <c r="F588" s="219"/>
      <c r="G588" s="219"/>
      <c r="H588" s="229"/>
      <c r="I588" s="219"/>
      <c r="J588" s="219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</row>
    <row r="589">
      <c r="A589" s="242"/>
      <c r="B589" s="219"/>
      <c r="C589" s="229"/>
      <c r="D589" s="219"/>
      <c r="E589" s="219"/>
      <c r="F589" s="219"/>
      <c r="G589" s="219"/>
      <c r="H589" s="229"/>
      <c r="I589" s="219"/>
      <c r="J589" s="219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</row>
    <row r="590">
      <c r="A590" s="242"/>
      <c r="B590" s="219"/>
      <c r="C590" s="229"/>
      <c r="D590" s="219"/>
      <c r="E590" s="219"/>
      <c r="F590" s="219"/>
      <c r="G590" s="219"/>
      <c r="H590" s="229"/>
      <c r="I590" s="219"/>
      <c r="J590" s="219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</row>
    <row r="591">
      <c r="A591" s="242"/>
      <c r="B591" s="219"/>
      <c r="C591" s="229"/>
      <c r="D591" s="219"/>
      <c r="E591" s="219"/>
      <c r="F591" s="219"/>
      <c r="G591" s="219"/>
      <c r="H591" s="229"/>
      <c r="I591" s="219"/>
      <c r="J591" s="219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</row>
    <row r="592">
      <c r="A592" s="242"/>
      <c r="B592" s="219"/>
      <c r="C592" s="229"/>
      <c r="D592" s="219"/>
      <c r="E592" s="219"/>
      <c r="F592" s="219"/>
      <c r="G592" s="219"/>
      <c r="H592" s="229"/>
      <c r="I592" s="219"/>
      <c r="J592" s="219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</row>
    <row r="593">
      <c r="A593" s="242"/>
      <c r="B593" s="219"/>
      <c r="C593" s="229"/>
      <c r="D593" s="219"/>
      <c r="E593" s="219"/>
      <c r="F593" s="219"/>
      <c r="G593" s="219"/>
      <c r="H593" s="229"/>
      <c r="I593" s="219"/>
      <c r="J593" s="219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</row>
    <row r="594">
      <c r="A594" s="242"/>
      <c r="B594" s="219"/>
      <c r="C594" s="229"/>
      <c r="D594" s="219"/>
      <c r="E594" s="219"/>
      <c r="F594" s="219"/>
      <c r="G594" s="219"/>
      <c r="H594" s="229"/>
      <c r="I594" s="219"/>
      <c r="J594" s="219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</row>
    <row r="595">
      <c r="A595" s="242"/>
      <c r="B595" s="219"/>
      <c r="C595" s="229"/>
      <c r="D595" s="219"/>
      <c r="E595" s="219"/>
      <c r="F595" s="219"/>
      <c r="G595" s="219"/>
      <c r="H595" s="229"/>
      <c r="I595" s="219"/>
      <c r="J595" s="219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</row>
    <row r="596">
      <c r="A596" s="242"/>
      <c r="B596" s="219"/>
      <c r="C596" s="229"/>
      <c r="D596" s="219"/>
      <c r="E596" s="219"/>
      <c r="F596" s="219"/>
      <c r="G596" s="219"/>
      <c r="H596" s="229"/>
      <c r="I596" s="219"/>
      <c r="J596" s="219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</row>
    <row r="597">
      <c r="A597" s="242"/>
      <c r="B597" s="219"/>
      <c r="C597" s="229"/>
      <c r="D597" s="219"/>
      <c r="E597" s="219"/>
      <c r="F597" s="219"/>
      <c r="G597" s="219"/>
      <c r="H597" s="229"/>
      <c r="I597" s="219"/>
      <c r="J597" s="219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</row>
    <row r="598">
      <c r="A598" s="242"/>
      <c r="B598" s="219"/>
      <c r="C598" s="229"/>
      <c r="D598" s="219"/>
      <c r="E598" s="219"/>
      <c r="F598" s="219"/>
      <c r="G598" s="219"/>
      <c r="H598" s="22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</row>
    <row r="599">
      <c r="A599" s="242"/>
      <c r="B599" s="219"/>
      <c r="C599" s="229"/>
      <c r="D599" s="219"/>
      <c r="E599" s="219"/>
      <c r="F599" s="219"/>
      <c r="G599" s="219"/>
      <c r="H599" s="229"/>
      <c r="I599" s="219"/>
      <c r="J599" s="219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</row>
    <row r="600">
      <c r="A600" s="242"/>
      <c r="B600" s="219"/>
      <c r="C600" s="229"/>
      <c r="D600" s="219"/>
      <c r="E600" s="219"/>
      <c r="F600" s="219"/>
      <c r="G600" s="219"/>
      <c r="H600" s="229"/>
      <c r="I600" s="219"/>
      <c r="J600" s="219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</row>
    <row r="601">
      <c r="A601" s="242"/>
      <c r="B601" s="219"/>
      <c r="C601" s="229"/>
      <c r="D601" s="219"/>
      <c r="E601" s="219"/>
      <c r="F601" s="219"/>
      <c r="G601" s="219"/>
      <c r="H601" s="229"/>
      <c r="I601" s="219"/>
      <c r="J601" s="219"/>
      <c r="K601" s="219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</row>
    <row r="602">
      <c r="A602" s="242"/>
      <c r="B602" s="219"/>
      <c r="C602" s="229"/>
      <c r="D602" s="219"/>
      <c r="E602" s="219"/>
      <c r="F602" s="219"/>
      <c r="G602" s="219"/>
      <c r="H602" s="229"/>
      <c r="I602" s="219"/>
      <c r="J602" s="219"/>
      <c r="K602" s="219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</row>
    <row r="603">
      <c r="A603" s="242"/>
      <c r="B603" s="219"/>
      <c r="C603" s="229"/>
      <c r="D603" s="219"/>
      <c r="E603" s="219"/>
      <c r="F603" s="219"/>
      <c r="G603" s="219"/>
      <c r="H603" s="229"/>
      <c r="I603" s="219"/>
      <c r="J603" s="219"/>
      <c r="K603" s="219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</row>
    <row r="604">
      <c r="A604" s="242"/>
      <c r="B604" s="219"/>
      <c r="C604" s="229"/>
      <c r="D604" s="219"/>
      <c r="E604" s="219"/>
      <c r="F604" s="219"/>
      <c r="G604" s="219"/>
      <c r="H604" s="229"/>
      <c r="I604" s="219"/>
      <c r="J604" s="219"/>
      <c r="K604" s="219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</row>
    <row r="605">
      <c r="A605" s="242"/>
      <c r="B605" s="219"/>
      <c r="C605" s="229"/>
      <c r="D605" s="219"/>
      <c r="E605" s="219"/>
      <c r="F605" s="219"/>
      <c r="G605" s="219"/>
      <c r="H605" s="229"/>
      <c r="I605" s="219"/>
      <c r="J605" s="219"/>
      <c r="K605" s="219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</row>
    <row r="606">
      <c r="A606" s="242"/>
      <c r="B606" s="219"/>
      <c r="C606" s="229"/>
      <c r="D606" s="219"/>
      <c r="E606" s="219"/>
      <c r="F606" s="219"/>
      <c r="G606" s="219"/>
      <c r="H606" s="22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</row>
    <row r="607">
      <c r="A607" s="242"/>
      <c r="B607" s="219"/>
      <c r="C607" s="229"/>
      <c r="D607" s="219"/>
      <c r="E607" s="219"/>
      <c r="F607" s="219"/>
      <c r="G607" s="219"/>
      <c r="H607" s="229"/>
      <c r="I607" s="219"/>
      <c r="J607" s="219"/>
      <c r="K607" s="219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</row>
    <row r="608">
      <c r="A608" s="242"/>
      <c r="B608" s="219"/>
      <c r="C608" s="229"/>
      <c r="D608" s="219"/>
      <c r="E608" s="219"/>
      <c r="F608" s="219"/>
      <c r="G608" s="219"/>
      <c r="H608" s="229"/>
      <c r="I608" s="219"/>
      <c r="J608" s="219"/>
      <c r="K608" s="219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</row>
    <row r="609">
      <c r="A609" s="242"/>
      <c r="B609" s="219"/>
      <c r="C609" s="229"/>
      <c r="D609" s="219"/>
      <c r="E609" s="219"/>
      <c r="F609" s="219"/>
      <c r="G609" s="219"/>
      <c r="H609" s="229"/>
      <c r="I609" s="219"/>
      <c r="J609" s="219"/>
      <c r="K609" s="219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</row>
    <row r="610">
      <c r="A610" s="242"/>
      <c r="B610" s="219"/>
      <c r="C610" s="229"/>
      <c r="D610" s="219"/>
      <c r="E610" s="219"/>
      <c r="F610" s="219"/>
      <c r="G610" s="219"/>
      <c r="H610" s="229"/>
      <c r="I610" s="219"/>
      <c r="J610" s="219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</row>
    <row r="611">
      <c r="A611" s="242"/>
      <c r="B611" s="219"/>
      <c r="C611" s="229"/>
      <c r="D611" s="219"/>
      <c r="E611" s="219"/>
      <c r="F611" s="219"/>
      <c r="G611" s="219"/>
      <c r="H611" s="22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</row>
    <row r="612">
      <c r="A612" s="242"/>
      <c r="B612" s="219"/>
      <c r="C612" s="229"/>
      <c r="D612" s="219"/>
      <c r="E612" s="219"/>
      <c r="F612" s="219"/>
      <c r="G612" s="219"/>
      <c r="H612" s="229"/>
      <c r="I612" s="219"/>
      <c r="J612" s="219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</row>
    <row r="613">
      <c r="A613" s="242"/>
      <c r="B613" s="219"/>
      <c r="C613" s="229"/>
      <c r="D613" s="219"/>
      <c r="E613" s="219"/>
      <c r="F613" s="219"/>
      <c r="G613" s="219"/>
      <c r="H613" s="229"/>
      <c r="I613" s="219"/>
      <c r="J613" s="219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</row>
    <row r="614">
      <c r="A614" s="242"/>
      <c r="B614" s="219"/>
      <c r="C614" s="229"/>
      <c r="D614" s="219"/>
      <c r="E614" s="219"/>
      <c r="F614" s="219"/>
      <c r="G614" s="219"/>
      <c r="H614" s="229"/>
      <c r="I614" s="219"/>
      <c r="J614" s="219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</row>
    <row r="615">
      <c r="A615" s="242"/>
      <c r="B615" s="219"/>
      <c r="C615" s="229"/>
      <c r="D615" s="219"/>
      <c r="E615" s="219"/>
      <c r="F615" s="219"/>
      <c r="G615" s="219"/>
      <c r="H615" s="229"/>
      <c r="I615" s="219"/>
      <c r="J615" s="219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</row>
    <row r="616">
      <c r="A616" s="242"/>
      <c r="B616" s="219"/>
      <c r="C616" s="229"/>
      <c r="D616" s="219"/>
      <c r="E616" s="219"/>
      <c r="F616" s="219"/>
      <c r="G616" s="219"/>
      <c r="H616" s="229"/>
      <c r="I616" s="219"/>
      <c r="J616" s="219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</row>
    <row r="617">
      <c r="A617" s="242"/>
      <c r="B617" s="219"/>
      <c r="C617" s="229"/>
      <c r="D617" s="219"/>
      <c r="E617" s="219"/>
      <c r="F617" s="219"/>
      <c r="G617" s="219"/>
      <c r="H617" s="229"/>
      <c r="I617" s="219"/>
      <c r="J617" s="219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</row>
    <row r="618">
      <c r="A618" s="242"/>
      <c r="B618" s="219"/>
      <c r="C618" s="229"/>
      <c r="D618" s="219"/>
      <c r="E618" s="219"/>
      <c r="F618" s="219"/>
      <c r="G618" s="219"/>
      <c r="H618" s="229"/>
      <c r="I618" s="219"/>
      <c r="J618" s="219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</row>
    <row r="619">
      <c r="A619" s="242"/>
      <c r="B619" s="219"/>
      <c r="C619" s="229"/>
      <c r="D619" s="219"/>
      <c r="E619" s="219"/>
      <c r="F619" s="219"/>
      <c r="G619" s="219"/>
      <c r="H619" s="229"/>
      <c r="I619" s="219"/>
      <c r="J619" s="219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</row>
    <row r="620">
      <c r="A620" s="242"/>
      <c r="B620" s="219"/>
      <c r="C620" s="229"/>
      <c r="D620" s="219"/>
      <c r="E620" s="219"/>
      <c r="F620" s="219"/>
      <c r="G620" s="219"/>
      <c r="H620" s="229"/>
      <c r="I620" s="219"/>
      <c r="J620" s="219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</row>
    <row r="621">
      <c r="A621" s="242"/>
      <c r="B621" s="219"/>
      <c r="C621" s="229"/>
      <c r="D621" s="219"/>
      <c r="E621" s="219"/>
      <c r="F621" s="219"/>
      <c r="G621" s="219"/>
      <c r="H621" s="229"/>
      <c r="I621" s="219"/>
      <c r="J621" s="219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</row>
    <row r="622">
      <c r="A622" s="242"/>
      <c r="B622" s="219"/>
      <c r="C622" s="229"/>
      <c r="D622" s="219"/>
      <c r="E622" s="219"/>
      <c r="F622" s="219"/>
      <c r="G622" s="219"/>
      <c r="H622" s="229"/>
      <c r="I622" s="219"/>
      <c r="J622" s="219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</row>
    <row r="623">
      <c r="A623" s="242"/>
      <c r="B623" s="219"/>
      <c r="C623" s="229"/>
      <c r="D623" s="219"/>
      <c r="E623" s="219"/>
      <c r="F623" s="219"/>
      <c r="G623" s="219"/>
      <c r="H623" s="229"/>
      <c r="I623" s="219"/>
      <c r="J623" s="219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</row>
    <row r="624">
      <c r="A624" s="242"/>
      <c r="B624" s="219"/>
      <c r="C624" s="229"/>
      <c r="D624" s="219"/>
      <c r="E624" s="219"/>
      <c r="F624" s="219"/>
      <c r="G624" s="219"/>
      <c r="H624" s="229"/>
      <c r="I624" s="219"/>
      <c r="J624" s="219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</row>
    <row r="625">
      <c r="A625" s="242"/>
      <c r="B625" s="219"/>
      <c r="C625" s="229"/>
      <c r="D625" s="219"/>
      <c r="E625" s="219"/>
      <c r="F625" s="219"/>
      <c r="G625" s="219"/>
      <c r="H625" s="22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</row>
    <row r="626">
      <c r="A626" s="242"/>
      <c r="B626" s="219"/>
      <c r="C626" s="229"/>
      <c r="D626" s="219"/>
      <c r="E626" s="219"/>
      <c r="F626" s="219"/>
      <c r="G626" s="219"/>
      <c r="H626" s="229"/>
      <c r="I626" s="219"/>
      <c r="J626" s="219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</row>
    <row r="627">
      <c r="A627" s="242"/>
      <c r="B627" s="219"/>
      <c r="C627" s="229"/>
      <c r="D627" s="219"/>
      <c r="E627" s="219"/>
      <c r="F627" s="219"/>
      <c r="G627" s="219"/>
      <c r="H627" s="229"/>
      <c r="I627" s="219"/>
      <c r="J627" s="219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</row>
    <row r="628">
      <c r="A628" s="242"/>
      <c r="B628" s="219"/>
      <c r="C628" s="229"/>
      <c r="D628" s="219"/>
      <c r="E628" s="219"/>
      <c r="F628" s="219"/>
      <c r="G628" s="219"/>
      <c r="H628" s="229"/>
      <c r="I628" s="219"/>
      <c r="J628" s="219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</row>
    <row r="629">
      <c r="A629" s="242"/>
      <c r="B629" s="219"/>
      <c r="C629" s="229"/>
      <c r="D629" s="219"/>
      <c r="E629" s="219"/>
      <c r="F629" s="219"/>
      <c r="G629" s="219"/>
      <c r="H629" s="229"/>
      <c r="I629" s="219"/>
      <c r="J629" s="219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</row>
    <row r="630">
      <c r="A630" s="242"/>
      <c r="B630" s="219"/>
      <c r="C630" s="229"/>
      <c r="D630" s="219"/>
      <c r="E630" s="219"/>
      <c r="F630" s="219"/>
      <c r="G630" s="219"/>
      <c r="H630" s="229"/>
      <c r="I630" s="219"/>
      <c r="J630" s="219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</row>
    <row r="631">
      <c r="A631" s="242"/>
      <c r="B631" s="219"/>
      <c r="C631" s="229"/>
      <c r="D631" s="219"/>
      <c r="E631" s="219"/>
      <c r="F631" s="219"/>
      <c r="G631" s="219"/>
      <c r="H631" s="229"/>
      <c r="I631" s="219"/>
      <c r="J631" s="219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</row>
    <row r="632">
      <c r="A632" s="242"/>
      <c r="B632" s="219"/>
      <c r="C632" s="229"/>
      <c r="D632" s="219"/>
      <c r="E632" s="219"/>
      <c r="F632" s="219"/>
      <c r="G632" s="219"/>
      <c r="H632" s="229"/>
      <c r="I632" s="219"/>
      <c r="J632" s="219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</row>
    <row r="633">
      <c r="A633" s="242"/>
      <c r="B633" s="219"/>
      <c r="C633" s="229"/>
      <c r="D633" s="219"/>
      <c r="E633" s="219"/>
      <c r="F633" s="219"/>
      <c r="G633" s="219"/>
      <c r="H633" s="229"/>
      <c r="I633" s="219"/>
      <c r="J633" s="219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</row>
    <row r="634">
      <c r="A634" s="242"/>
      <c r="B634" s="219"/>
      <c r="C634" s="229"/>
      <c r="D634" s="219"/>
      <c r="E634" s="219"/>
      <c r="F634" s="219"/>
      <c r="G634" s="219"/>
      <c r="H634" s="229"/>
      <c r="I634" s="219"/>
      <c r="J634" s="219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</row>
    <row r="635">
      <c r="A635" s="242"/>
      <c r="B635" s="219"/>
      <c r="C635" s="229"/>
      <c r="D635" s="219"/>
      <c r="E635" s="219"/>
      <c r="F635" s="219"/>
      <c r="G635" s="219"/>
      <c r="H635" s="229"/>
      <c r="I635" s="219"/>
      <c r="J635" s="219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</row>
    <row r="636">
      <c r="A636" s="242"/>
      <c r="B636" s="219"/>
      <c r="C636" s="229"/>
      <c r="D636" s="219"/>
      <c r="E636" s="219"/>
      <c r="F636" s="219"/>
      <c r="G636" s="219"/>
      <c r="H636" s="229"/>
      <c r="I636" s="219"/>
      <c r="J636" s="219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</row>
    <row r="637">
      <c r="A637" s="242"/>
      <c r="B637" s="219"/>
      <c r="C637" s="229"/>
      <c r="D637" s="219"/>
      <c r="E637" s="219"/>
      <c r="F637" s="219"/>
      <c r="G637" s="219"/>
      <c r="H637" s="229"/>
      <c r="I637" s="219"/>
      <c r="J637" s="219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</row>
    <row r="638">
      <c r="A638" s="242"/>
      <c r="B638" s="219"/>
      <c r="C638" s="229"/>
      <c r="D638" s="219"/>
      <c r="E638" s="219"/>
      <c r="F638" s="219"/>
      <c r="G638" s="219"/>
      <c r="H638" s="229"/>
      <c r="I638" s="219"/>
      <c r="J638" s="219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</row>
    <row r="639">
      <c r="A639" s="242"/>
      <c r="B639" s="219"/>
      <c r="C639" s="229"/>
      <c r="D639" s="219"/>
      <c r="E639" s="219"/>
      <c r="F639" s="219"/>
      <c r="G639" s="219"/>
      <c r="H639" s="229"/>
      <c r="I639" s="219"/>
      <c r="J639" s="219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</row>
    <row r="640">
      <c r="A640" s="242"/>
      <c r="B640" s="219"/>
      <c r="C640" s="229"/>
      <c r="D640" s="219"/>
      <c r="E640" s="219"/>
      <c r="F640" s="219"/>
      <c r="G640" s="219"/>
      <c r="H640" s="229"/>
      <c r="I640" s="219"/>
      <c r="J640" s="219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</row>
    <row r="641">
      <c r="A641" s="242"/>
      <c r="B641" s="219"/>
      <c r="C641" s="229"/>
      <c r="D641" s="219"/>
      <c r="E641" s="219"/>
      <c r="F641" s="219"/>
      <c r="G641" s="219"/>
      <c r="H641" s="229"/>
      <c r="I641" s="219"/>
      <c r="J641" s="219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</row>
    <row r="642">
      <c r="A642" s="242"/>
      <c r="B642" s="219"/>
      <c r="C642" s="229"/>
      <c r="D642" s="219"/>
      <c r="E642" s="219"/>
      <c r="F642" s="219"/>
      <c r="G642" s="219"/>
      <c r="H642" s="229"/>
      <c r="I642" s="219"/>
      <c r="J642" s="219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</row>
    <row r="643">
      <c r="A643" s="242"/>
      <c r="B643" s="219"/>
      <c r="C643" s="229"/>
      <c r="D643" s="219"/>
      <c r="E643" s="219"/>
      <c r="F643" s="219"/>
      <c r="G643" s="219"/>
      <c r="H643" s="229"/>
      <c r="I643" s="219"/>
      <c r="J643" s="219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</row>
    <row r="644">
      <c r="A644" s="242"/>
      <c r="B644" s="219"/>
      <c r="C644" s="229"/>
      <c r="D644" s="219"/>
      <c r="E644" s="219"/>
      <c r="F644" s="219"/>
      <c r="G644" s="219"/>
      <c r="H644" s="229"/>
      <c r="I644" s="219"/>
      <c r="J644" s="219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</row>
    <row r="645">
      <c r="A645" s="242"/>
      <c r="B645" s="219"/>
      <c r="C645" s="229"/>
      <c r="D645" s="219"/>
      <c r="E645" s="219"/>
      <c r="F645" s="219"/>
      <c r="G645" s="219"/>
      <c r="H645" s="229"/>
      <c r="I645" s="219"/>
      <c r="J645" s="219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</row>
    <row r="646">
      <c r="A646" s="242"/>
      <c r="B646" s="219"/>
      <c r="C646" s="229"/>
      <c r="D646" s="219"/>
      <c r="E646" s="219"/>
      <c r="F646" s="219"/>
      <c r="G646" s="219"/>
      <c r="H646" s="229"/>
      <c r="I646" s="219"/>
      <c r="J646" s="219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</row>
    <row r="647">
      <c r="A647" s="242"/>
      <c r="B647" s="219"/>
      <c r="C647" s="229"/>
      <c r="D647" s="219"/>
      <c r="E647" s="219"/>
      <c r="F647" s="219"/>
      <c r="G647" s="219"/>
      <c r="H647" s="229"/>
      <c r="I647" s="219"/>
      <c r="J647" s="219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</row>
    <row r="648">
      <c r="A648" s="242"/>
      <c r="B648" s="219"/>
      <c r="C648" s="229"/>
      <c r="D648" s="219"/>
      <c r="E648" s="219"/>
      <c r="F648" s="219"/>
      <c r="G648" s="219"/>
      <c r="H648" s="229"/>
      <c r="I648" s="219"/>
      <c r="J648" s="219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</row>
    <row r="649">
      <c r="A649" s="242"/>
      <c r="B649" s="219"/>
      <c r="C649" s="229"/>
      <c r="D649" s="219"/>
      <c r="E649" s="219"/>
      <c r="F649" s="219"/>
      <c r="G649" s="219"/>
      <c r="H649" s="229"/>
      <c r="I649" s="219"/>
      <c r="J649" s="219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</row>
    <row r="650">
      <c r="A650" s="242"/>
      <c r="B650" s="219"/>
      <c r="C650" s="229"/>
      <c r="D650" s="219"/>
      <c r="E650" s="219"/>
      <c r="F650" s="219"/>
      <c r="G650" s="219"/>
      <c r="H650" s="229"/>
      <c r="I650" s="219"/>
      <c r="J650" s="219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</row>
    <row r="651">
      <c r="A651" s="242"/>
      <c r="B651" s="219"/>
      <c r="C651" s="229"/>
      <c r="D651" s="219"/>
      <c r="E651" s="219"/>
      <c r="F651" s="219"/>
      <c r="G651" s="219"/>
      <c r="H651" s="229"/>
      <c r="I651" s="219"/>
      <c r="J651" s="219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</row>
    <row r="652">
      <c r="A652" s="242"/>
      <c r="B652" s="219"/>
      <c r="C652" s="229"/>
      <c r="D652" s="219"/>
      <c r="E652" s="219"/>
      <c r="F652" s="219"/>
      <c r="G652" s="219"/>
      <c r="H652" s="229"/>
      <c r="I652" s="219"/>
      <c r="J652" s="219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</row>
    <row r="653">
      <c r="A653" s="242"/>
      <c r="B653" s="219"/>
      <c r="C653" s="229"/>
      <c r="D653" s="219"/>
      <c r="E653" s="219"/>
      <c r="F653" s="219"/>
      <c r="G653" s="219"/>
      <c r="H653" s="229"/>
      <c r="I653" s="219"/>
      <c r="J653" s="219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</row>
    <row r="654">
      <c r="A654" s="242"/>
      <c r="B654" s="219"/>
      <c r="C654" s="229"/>
      <c r="D654" s="219"/>
      <c r="E654" s="219"/>
      <c r="F654" s="219"/>
      <c r="G654" s="219"/>
      <c r="H654" s="229"/>
      <c r="I654" s="219"/>
      <c r="J654" s="219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</row>
    <row r="655">
      <c r="A655" s="242"/>
      <c r="B655" s="219"/>
      <c r="C655" s="229"/>
      <c r="D655" s="219"/>
      <c r="E655" s="219"/>
      <c r="F655" s="219"/>
      <c r="G655" s="219"/>
      <c r="H655" s="229"/>
      <c r="I655" s="219"/>
      <c r="J655" s="219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</row>
    <row r="656">
      <c r="A656" s="242"/>
      <c r="B656" s="219"/>
      <c r="C656" s="229"/>
      <c r="D656" s="219"/>
      <c r="E656" s="219"/>
      <c r="F656" s="219"/>
      <c r="G656" s="219"/>
      <c r="H656" s="229"/>
      <c r="I656" s="219"/>
      <c r="J656" s="219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</row>
    <row r="657">
      <c r="A657" s="242"/>
      <c r="B657" s="219"/>
      <c r="C657" s="229"/>
      <c r="D657" s="219"/>
      <c r="E657" s="219"/>
      <c r="F657" s="219"/>
      <c r="G657" s="219"/>
      <c r="H657" s="229"/>
      <c r="I657" s="219"/>
      <c r="J657" s="219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</row>
    <row r="658">
      <c r="A658" s="242"/>
      <c r="B658" s="219"/>
      <c r="C658" s="229"/>
      <c r="D658" s="219"/>
      <c r="E658" s="219"/>
      <c r="F658" s="219"/>
      <c r="G658" s="219"/>
      <c r="H658" s="229"/>
      <c r="I658" s="219"/>
      <c r="J658" s="219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</row>
    <row r="659">
      <c r="A659" s="242"/>
      <c r="B659" s="219"/>
      <c r="C659" s="229"/>
      <c r="D659" s="219"/>
      <c r="E659" s="219"/>
      <c r="F659" s="219"/>
      <c r="G659" s="219"/>
      <c r="H659" s="229"/>
      <c r="I659" s="219"/>
      <c r="J659" s="219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</row>
    <row r="660">
      <c r="A660" s="242"/>
      <c r="B660" s="219"/>
      <c r="C660" s="229"/>
      <c r="D660" s="219"/>
      <c r="E660" s="219"/>
      <c r="F660" s="219"/>
      <c r="G660" s="219"/>
      <c r="H660" s="229"/>
      <c r="I660" s="219"/>
      <c r="J660" s="219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</row>
    <row r="661">
      <c r="A661" s="242"/>
      <c r="B661" s="219"/>
      <c r="C661" s="229"/>
      <c r="D661" s="219"/>
      <c r="E661" s="219"/>
      <c r="F661" s="219"/>
      <c r="G661" s="219"/>
      <c r="H661" s="229"/>
      <c r="I661" s="219"/>
      <c r="J661" s="219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</row>
    <row r="662">
      <c r="A662" s="242"/>
      <c r="B662" s="219"/>
      <c r="C662" s="229"/>
      <c r="D662" s="219"/>
      <c r="E662" s="219"/>
      <c r="F662" s="219"/>
      <c r="G662" s="219"/>
      <c r="H662" s="229"/>
      <c r="I662" s="219"/>
      <c r="J662" s="219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</row>
    <row r="663">
      <c r="A663" s="242"/>
      <c r="B663" s="219"/>
      <c r="C663" s="229"/>
      <c r="D663" s="219"/>
      <c r="E663" s="219"/>
      <c r="F663" s="219"/>
      <c r="G663" s="219"/>
      <c r="H663" s="229"/>
      <c r="I663" s="219"/>
      <c r="J663" s="219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</row>
    <row r="664">
      <c r="A664" s="242"/>
      <c r="B664" s="219"/>
      <c r="C664" s="229"/>
      <c r="D664" s="219"/>
      <c r="E664" s="219"/>
      <c r="F664" s="219"/>
      <c r="G664" s="219"/>
      <c r="H664" s="22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</row>
    <row r="665">
      <c r="A665" s="242"/>
      <c r="B665" s="219"/>
      <c r="C665" s="229"/>
      <c r="D665" s="219"/>
      <c r="E665" s="219"/>
      <c r="F665" s="219"/>
      <c r="G665" s="219"/>
      <c r="H665" s="229"/>
      <c r="I665" s="219"/>
      <c r="J665" s="219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</row>
    <row r="666">
      <c r="A666" s="242"/>
      <c r="B666" s="219"/>
      <c r="C666" s="229"/>
      <c r="D666" s="219"/>
      <c r="E666" s="219"/>
      <c r="F666" s="219"/>
      <c r="G666" s="219"/>
      <c r="H666" s="229"/>
      <c r="I666" s="219"/>
      <c r="J666" s="219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</row>
    <row r="667">
      <c r="A667" s="242"/>
      <c r="B667" s="219"/>
      <c r="C667" s="229"/>
      <c r="D667" s="219"/>
      <c r="E667" s="219"/>
      <c r="F667" s="219"/>
      <c r="G667" s="219"/>
      <c r="H667" s="229"/>
      <c r="I667" s="219"/>
      <c r="J667" s="219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</row>
    <row r="668">
      <c r="A668" s="242"/>
      <c r="B668" s="219"/>
      <c r="C668" s="229"/>
      <c r="D668" s="219"/>
      <c r="E668" s="219"/>
      <c r="F668" s="219"/>
      <c r="G668" s="219"/>
      <c r="H668" s="229"/>
      <c r="I668" s="219"/>
      <c r="J668" s="219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</row>
    <row r="669">
      <c r="A669" s="242"/>
      <c r="B669" s="219"/>
      <c r="C669" s="229"/>
      <c r="D669" s="219"/>
      <c r="E669" s="219"/>
      <c r="F669" s="219"/>
      <c r="G669" s="219"/>
      <c r="H669" s="229"/>
      <c r="I669" s="219"/>
      <c r="J669" s="219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</row>
    <row r="670">
      <c r="A670" s="242"/>
      <c r="B670" s="219"/>
      <c r="C670" s="229"/>
      <c r="D670" s="219"/>
      <c r="E670" s="219"/>
      <c r="F670" s="219"/>
      <c r="G670" s="219"/>
      <c r="H670" s="229"/>
      <c r="I670" s="219"/>
      <c r="J670" s="219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</row>
    <row r="671">
      <c r="A671" s="242"/>
      <c r="B671" s="219"/>
      <c r="C671" s="229"/>
      <c r="D671" s="219"/>
      <c r="E671" s="219"/>
      <c r="F671" s="219"/>
      <c r="G671" s="219"/>
      <c r="H671" s="229"/>
      <c r="I671" s="219"/>
      <c r="J671" s="219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</row>
    <row r="672">
      <c r="A672" s="242"/>
      <c r="B672" s="219"/>
      <c r="C672" s="229"/>
      <c r="D672" s="219"/>
      <c r="E672" s="219"/>
      <c r="F672" s="219"/>
      <c r="G672" s="219"/>
      <c r="H672" s="229"/>
      <c r="I672" s="219"/>
      <c r="J672" s="219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</row>
    <row r="673">
      <c r="A673" s="242"/>
      <c r="B673" s="219"/>
      <c r="C673" s="229"/>
      <c r="D673" s="219"/>
      <c r="E673" s="219"/>
      <c r="F673" s="219"/>
      <c r="G673" s="219"/>
      <c r="H673" s="229"/>
      <c r="I673" s="219"/>
      <c r="J673" s="219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</row>
    <row r="674">
      <c r="A674" s="242"/>
      <c r="B674" s="219"/>
      <c r="C674" s="229"/>
      <c r="D674" s="219"/>
      <c r="E674" s="219"/>
      <c r="F674" s="219"/>
      <c r="G674" s="219"/>
      <c r="H674" s="229"/>
      <c r="I674" s="219"/>
      <c r="J674" s="219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</row>
    <row r="675">
      <c r="A675" s="242"/>
      <c r="B675" s="219"/>
      <c r="C675" s="229"/>
      <c r="D675" s="219"/>
      <c r="E675" s="219"/>
      <c r="F675" s="219"/>
      <c r="G675" s="219"/>
      <c r="H675" s="229"/>
      <c r="I675" s="219"/>
      <c r="J675" s="219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</row>
    <row r="676">
      <c r="A676" s="242"/>
      <c r="B676" s="219"/>
      <c r="C676" s="229"/>
      <c r="D676" s="219"/>
      <c r="E676" s="219"/>
      <c r="F676" s="219"/>
      <c r="G676" s="219"/>
      <c r="H676" s="229"/>
      <c r="I676" s="219"/>
      <c r="J676" s="219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</row>
    <row r="677">
      <c r="A677" s="242"/>
      <c r="B677" s="219"/>
      <c r="C677" s="229"/>
      <c r="D677" s="219"/>
      <c r="E677" s="219"/>
      <c r="F677" s="219"/>
      <c r="G677" s="219"/>
      <c r="H677" s="229"/>
      <c r="I677" s="219"/>
      <c r="J677" s="219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</row>
    <row r="678">
      <c r="A678" s="242"/>
      <c r="B678" s="219"/>
      <c r="C678" s="229"/>
      <c r="D678" s="219"/>
      <c r="E678" s="219"/>
      <c r="F678" s="219"/>
      <c r="G678" s="219"/>
      <c r="H678" s="229"/>
      <c r="I678" s="219"/>
      <c r="J678" s="219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</row>
    <row r="679">
      <c r="A679" s="242"/>
      <c r="B679" s="219"/>
      <c r="C679" s="229"/>
      <c r="D679" s="219"/>
      <c r="E679" s="219"/>
      <c r="F679" s="219"/>
      <c r="G679" s="219"/>
      <c r="H679" s="229"/>
      <c r="I679" s="219"/>
      <c r="J679" s="219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</row>
    <row r="680">
      <c r="A680" s="242"/>
      <c r="B680" s="219"/>
      <c r="C680" s="229"/>
      <c r="D680" s="219"/>
      <c r="E680" s="219"/>
      <c r="F680" s="219"/>
      <c r="G680" s="219"/>
      <c r="H680" s="229"/>
      <c r="I680" s="219"/>
      <c r="J680" s="219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</row>
    <row r="681">
      <c r="A681" s="242"/>
      <c r="B681" s="219"/>
      <c r="C681" s="229"/>
      <c r="D681" s="219"/>
      <c r="E681" s="219"/>
      <c r="F681" s="219"/>
      <c r="G681" s="219"/>
      <c r="H681" s="229"/>
      <c r="I681" s="219"/>
      <c r="J681" s="219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</row>
    <row r="682">
      <c r="A682" s="242"/>
      <c r="B682" s="219"/>
      <c r="C682" s="229"/>
      <c r="D682" s="219"/>
      <c r="E682" s="219"/>
      <c r="F682" s="219"/>
      <c r="G682" s="219"/>
      <c r="H682" s="229"/>
      <c r="I682" s="219"/>
      <c r="J682" s="219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</row>
    <row r="683">
      <c r="A683" s="242"/>
      <c r="B683" s="219"/>
      <c r="C683" s="229"/>
      <c r="D683" s="219"/>
      <c r="E683" s="219"/>
      <c r="F683" s="219"/>
      <c r="G683" s="219"/>
      <c r="H683" s="229"/>
      <c r="I683" s="219"/>
      <c r="J683" s="219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</row>
    <row r="684">
      <c r="A684" s="242"/>
      <c r="B684" s="219"/>
      <c r="C684" s="229"/>
      <c r="D684" s="219"/>
      <c r="E684" s="219"/>
      <c r="F684" s="219"/>
      <c r="G684" s="219"/>
      <c r="H684" s="229"/>
      <c r="I684" s="219"/>
      <c r="J684" s="219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</row>
    <row r="685">
      <c r="A685" s="242"/>
      <c r="B685" s="219"/>
      <c r="C685" s="229"/>
      <c r="D685" s="219"/>
      <c r="E685" s="219"/>
      <c r="F685" s="219"/>
      <c r="G685" s="219"/>
      <c r="H685" s="229"/>
      <c r="I685" s="219"/>
      <c r="J685" s="219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</row>
    <row r="686">
      <c r="A686" s="242"/>
      <c r="B686" s="219"/>
      <c r="C686" s="229"/>
      <c r="D686" s="219"/>
      <c r="E686" s="219"/>
      <c r="F686" s="219"/>
      <c r="G686" s="219"/>
      <c r="H686" s="229"/>
      <c r="I686" s="219"/>
      <c r="J686" s="219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</row>
    <row r="687">
      <c r="A687" s="242"/>
      <c r="B687" s="219"/>
      <c r="C687" s="229"/>
      <c r="D687" s="219"/>
      <c r="E687" s="219"/>
      <c r="F687" s="219"/>
      <c r="G687" s="219"/>
      <c r="H687" s="229"/>
      <c r="I687" s="219"/>
      <c r="J687" s="219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</row>
    <row r="688">
      <c r="A688" s="242"/>
      <c r="B688" s="219"/>
      <c r="C688" s="229"/>
      <c r="D688" s="219"/>
      <c r="E688" s="219"/>
      <c r="F688" s="219"/>
      <c r="G688" s="219"/>
      <c r="H688" s="229"/>
      <c r="I688" s="219"/>
      <c r="J688" s="219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</row>
    <row r="689">
      <c r="A689" s="242"/>
      <c r="B689" s="219"/>
      <c r="C689" s="229"/>
      <c r="D689" s="219"/>
      <c r="E689" s="219"/>
      <c r="F689" s="219"/>
      <c r="G689" s="219"/>
      <c r="H689" s="229"/>
      <c r="I689" s="219"/>
      <c r="J689" s="219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</row>
    <row r="690">
      <c r="A690" s="242"/>
      <c r="B690" s="219"/>
      <c r="C690" s="229"/>
      <c r="D690" s="219"/>
      <c r="E690" s="219"/>
      <c r="F690" s="219"/>
      <c r="G690" s="219"/>
      <c r="H690" s="229"/>
      <c r="I690" s="219"/>
      <c r="J690" s="219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</row>
    <row r="691">
      <c r="A691" s="242"/>
      <c r="B691" s="219"/>
      <c r="C691" s="229"/>
      <c r="D691" s="219"/>
      <c r="E691" s="219"/>
      <c r="F691" s="219"/>
      <c r="G691" s="219"/>
      <c r="H691" s="229"/>
      <c r="I691" s="219"/>
      <c r="J691" s="219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</row>
    <row r="692">
      <c r="A692" s="242"/>
      <c r="B692" s="219"/>
      <c r="C692" s="229"/>
      <c r="D692" s="219"/>
      <c r="E692" s="219"/>
      <c r="F692" s="219"/>
      <c r="G692" s="219"/>
      <c r="H692" s="229"/>
      <c r="I692" s="219"/>
      <c r="J692" s="219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</row>
    <row r="693">
      <c r="A693" s="242"/>
      <c r="B693" s="219"/>
      <c r="C693" s="229"/>
      <c r="D693" s="219"/>
      <c r="E693" s="219"/>
      <c r="F693" s="219"/>
      <c r="G693" s="219"/>
      <c r="H693" s="229"/>
      <c r="I693" s="219"/>
      <c r="J693" s="219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</row>
    <row r="694">
      <c r="A694" s="242"/>
      <c r="B694" s="219"/>
      <c r="C694" s="229"/>
      <c r="D694" s="219"/>
      <c r="E694" s="219"/>
      <c r="F694" s="219"/>
      <c r="G694" s="219"/>
      <c r="H694" s="229"/>
      <c r="I694" s="219"/>
      <c r="J694" s="219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</row>
    <row r="695">
      <c r="A695" s="242"/>
      <c r="B695" s="219"/>
      <c r="C695" s="229"/>
      <c r="D695" s="219"/>
      <c r="E695" s="219"/>
      <c r="F695" s="219"/>
      <c r="G695" s="219"/>
      <c r="H695" s="229"/>
      <c r="I695" s="219"/>
      <c r="J695" s="219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</row>
    <row r="696">
      <c r="A696" s="242"/>
      <c r="B696" s="219"/>
      <c r="C696" s="229"/>
      <c r="D696" s="219"/>
      <c r="E696" s="219"/>
      <c r="F696" s="219"/>
      <c r="G696" s="219"/>
      <c r="H696" s="229"/>
      <c r="I696" s="219"/>
      <c r="J696" s="219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</row>
    <row r="697">
      <c r="A697" s="242"/>
      <c r="B697" s="219"/>
      <c r="C697" s="229"/>
      <c r="D697" s="219"/>
      <c r="E697" s="219"/>
      <c r="F697" s="219"/>
      <c r="G697" s="219"/>
      <c r="H697" s="229"/>
      <c r="I697" s="219"/>
      <c r="J697" s="219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</row>
    <row r="698">
      <c r="A698" s="242"/>
      <c r="B698" s="219"/>
      <c r="C698" s="229"/>
      <c r="D698" s="219"/>
      <c r="E698" s="219"/>
      <c r="F698" s="219"/>
      <c r="G698" s="219"/>
      <c r="H698" s="229"/>
      <c r="I698" s="219"/>
      <c r="J698" s="219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</row>
    <row r="699">
      <c r="A699" s="242"/>
      <c r="B699" s="219"/>
      <c r="C699" s="229"/>
      <c r="D699" s="219"/>
      <c r="E699" s="219"/>
      <c r="F699" s="219"/>
      <c r="G699" s="219"/>
      <c r="H699" s="229"/>
      <c r="I699" s="219"/>
      <c r="J699" s="219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</row>
    <row r="700">
      <c r="A700" s="242"/>
      <c r="B700" s="219"/>
      <c r="C700" s="229"/>
      <c r="D700" s="219"/>
      <c r="E700" s="219"/>
      <c r="F700" s="219"/>
      <c r="G700" s="219"/>
      <c r="H700" s="229"/>
      <c r="I700" s="219"/>
      <c r="J700" s="219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</row>
    <row r="701">
      <c r="A701" s="242"/>
      <c r="B701" s="219"/>
      <c r="C701" s="229"/>
      <c r="D701" s="219"/>
      <c r="E701" s="219"/>
      <c r="F701" s="219"/>
      <c r="G701" s="219"/>
      <c r="H701" s="229"/>
      <c r="I701" s="219"/>
      <c r="J701" s="219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</row>
    <row r="702">
      <c r="A702" s="242"/>
      <c r="B702" s="219"/>
      <c r="C702" s="229"/>
      <c r="D702" s="219"/>
      <c r="E702" s="219"/>
      <c r="F702" s="219"/>
      <c r="G702" s="219"/>
      <c r="H702" s="229"/>
      <c r="I702" s="219"/>
      <c r="J702" s="219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</row>
    <row r="703">
      <c r="A703" s="242"/>
      <c r="B703" s="219"/>
      <c r="C703" s="229"/>
      <c r="D703" s="219"/>
      <c r="E703" s="219"/>
      <c r="F703" s="219"/>
      <c r="G703" s="219"/>
      <c r="H703" s="229"/>
      <c r="I703" s="219"/>
      <c r="J703" s="219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</row>
    <row r="704">
      <c r="A704" s="242"/>
      <c r="B704" s="219"/>
      <c r="C704" s="229"/>
      <c r="D704" s="219"/>
      <c r="E704" s="219"/>
      <c r="F704" s="219"/>
      <c r="G704" s="219"/>
      <c r="H704" s="229"/>
      <c r="I704" s="219"/>
      <c r="J704" s="219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</row>
    <row r="705">
      <c r="A705" s="242"/>
      <c r="B705" s="219"/>
      <c r="C705" s="229"/>
      <c r="D705" s="219"/>
      <c r="E705" s="219"/>
      <c r="F705" s="219"/>
      <c r="G705" s="219"/>
      <c r="H705" s="229"/>
      <c r="I705" s="219"/>
      <c r="J705" s="219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</row>
    <row r="706">
      <c r="A706" s="242"/>
      <c r="B706" s="219"/>
      <c r="C706" s="229"/>
      <c r="D706" s="219"/>
      <c r="E706" s="219"/>
      <c r="F706" s="219"/>
      <c r="G706" s="219"/>
      <c r="H706" s="229"/>
      <c r="I706" s="219"/>
      <c r="J706" s="219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</row>
    <row r="707">
      <c r="A707" s="242"/>
      <c r="B707" s="219"/>
      <c r="C707" s="229"/>
      <c r="D707" s="219"/>
      <c r="E707" s="219"/>
      <c r="F707" s="219"/>
      <c r="G707" s="219"/>
      <c r="H707" s="229"/>
      <c r="I707" s="219"/>
      <c r="J707" s="219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</row>
    <row r="708">
      <c r="A708" s="242"/>
      <c r="B708" s="219"/>
      <c r="C708" s="229"/>
      <c r="D708" s="219"/>
      <c r="E708" s="219"/>
      <c r="F708" s="219"/>
      <c r="G708" s="219"/>
      <c r="H708" s="229"/>
      <c r="I708" s="219"/>
      <c r="J708" s="219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</row>
    <row r="709">
      <c r="A709" s="242"/>
      <c r="B709" s="219"/>
      <c r="C709" s="229"/>
      <c r="D709" s="219"/>
      <c r="E709" s="219"/>
      <c r="F709" s="219"/>
      <c r="G709" s="219"/>
      <c r="H709" s="229"/>
      <c r="I709" s="219"/>
      <c r="J709" s="219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</row>
    <row r="710">
      <c r="A710" s="242"/>
      <c r="B710" s="219"/>
      <c r="C710" s="229"/>
      <c r="D710" s="219"/>
      <c r="E710" s="219"/>
      <c r="F710" s="219"/>
      <c r="G710" s="219"/>
      <c r="H710" s="229"/>
      <c r="I710" s="219"/>
      <c r="J710" s="219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</row>
    <row r="711">
      <c r="A711" s="242"/>
      <c r="B711" s="219"/>
      <c r="C711" s="229"/>
      <c r="D711" s="219"/>
      <c r="E711" s="219"/>
      <c r="F711" s="219"/>
      <c r="G711" s="219"/>
      <c r="H711" s="229"/>
      <c r="I711" s="219"/>
      <c r="J711" s="219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</row>
    <row r="712">
      <c r="A712" s="242"/>
      <c r="B712" s="219"/>
      <c r="C712" s="229"/>
      <c r="D712" s="219"/>
      <c r="E712" s="219"/>
      <c r="F712" s="219"/>
      <c r="G712" s="219"/>
      <c r="H712" s="229"/>
      <c r="I712" s="219"/>
      <c r="J712" s="219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</row>
    <row r="713">
      <c r="A713" s="242"/>
      <c r="B713" s="219"/>
      <c r="C713" s="229"/>
      <c r="D713" s="219"/>
      <c r="E713" s="219"/>
      <c r="F713" s="219"/>
      <c r="G713" s="219"/>
      <c r="H713" s="229"/>
      <c r="I713" s="219"/>
      <c r="J713" s="219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</row>
    <row r="714">
      <c r="A714" s="242"/>
      <c r="B714" s="219"/>
      <c r="C714" s="229"/>
      <c r="D714" s="219"/>
      <c r="E714" s="219"/>
      <c r="F714" s="219"/>
      <c r="G714" s="219"/>
      <c r="H714" s="229"/>
      <c r="I714" s="219"/>
      <c r="J714" s="219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</row>
    <row r="715">
      <c r="A715" s="242"/>
      <c r="B715" s="219"/>
      <c r="C715" s="229"/>
      <c r="D715" s="219"/>
      <c r="E715" s="219"/>
      <c r="F715" s="219"/>
      <c r="G715" s="219"/>
      <c r="H715" s="229"/>
      <c r="I715" s="219"/>
      <c r="J715" s="219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</row>
    <row r="716">
      <c r="A716" s="242"/>
      <c r="B716" s="219"/>
      <c r="C716" s="229"/>
      <c r="D716" s="219"/>
      <c r="E716" s="219"/>
      <c r="F716" s="219"/>
      <c r="G716" s="219"/>
      <c r="H716" s="229"/>
      <c r="I716" s="219"/>
      <c r="J716" s="219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</row>
    <row r="717">
      <c r="A717" s="242"/>
      <c r="B717" s="219"/>
      <c r="C717" s="229"/>
      <c r="D717" s="219"/>
      <c r="E717" s="219"/>
      <c r="F717" s="219"/>
      <c r="G717" s="219"/>
      <c r="H717" s="22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</row>
    <row r="718">
      <c r="A718" s="242"/>
      <c r="B718" s="219"/>
      <c r="C718" s="229"/>
      <c r="D718" s="219"/>
      <c r="E718" s="219"/>
      <c r="F718" s="219"/>
      <c r="G718" s="219"/>
      <c r="H718" s="229"/>
      <c r="I718" s="219"/>
      <c r="J718" s="219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</row>
    <row r="719">
      <c r="A719" s="242"/>
      <c r="B719" s="219"/>
      <c r="C719" s="229"/>
      <c r="D719" s="219"/>
      <c r="E719" s="219"/>
      <c r="F719" s="219"/>
      <c r="G719" s="219"/>
      <c r="H719" s="229"/>
      <c r="I719" s="219"/>
      <c r="J719" s="219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</row>
    <row r="720">
      <c r="A720" s="242"/>
      <c r="B720" s="219"/>
      <c r="C720" s="229"/>
      <c r="D720" s="219"/>
      <c r="E720" s="219"/>
      <c r="F720" s="219"/>
      <c r="G720" s="219"/>
      <c r="H720" s="229"/>
      <c r="I720" s="219"/>
      <c r="J720" s="219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</row>
    <row r="721">
      <c r="A721" s="242"/>
      <c r="B721" s="219"/>
      <c r="C721" s="229"/>
      <c r="D721" s="219"/>
      <c r="E721" s="219"/>
      <c r="F721" s="219"/>
      <c r="G721" s="219"/>
      <c r="H721" s="229"/>
      <c r="I721" s="219"/>
      <c r="J721" s="219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</row>
    <row r="722">
      <c r="A722" s="242"/>
      <c r="B722" s="219"/>
      <c r="C722" s="229"/>
      <c r="D722" s="219"/>
      <c r="E722" s="219"/>
      <c r="F722" s="219"/>
      <c r="G722" s="219"/>
      <c r="H722" s="22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</row>
    <row r="723">
      <c r="A723" s="242"/>
      <c r="B723" s="219"/>
      <c r="C723" s="229"/>
      <c r="D723" s="219"/>
      <c r="E723" s="219"/>
      <c r="F723" s="219"/>
      <c r="G723" s="219"/>
      <c r="H723" s="229"/>
      <c r="I723" s="219"/>
      <c r="J723" s="219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</row>
    <row r="724">
      <c r="A724" s="242"/>
      <c r="B724" s="219"/>
      <c r="C724" s="229"/>
      <c r="D724" s="219"/>
      <c r="E724" s="219"/>
      <c r="F724" s="219"/>
      <c r="G724" s="219"/>
      <c r="H724" s="22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</row>
    <row r="725">
      <c r="A725" s="242"/>
      <c r="B725" s="219"/>
      <c r="C725" s="229"/>
      <c r="D725" s="219"/>
      <c r="E725" s="219"/>
      <c r="F725" s="219"/>
      <c r="G725" s="219"/>
      <c r="H725" s="229"/>
      <c r="I725" s="219"/>
      <c r="J725" s="219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</row>
    <row r="726">
      <c r="A726" s="242"/>
      <c r="B726" s="219"/>
      <c r="C726" s="229"/>
      <c r="D726" s="219"/>
      <c r="E726" s="219"/>
      <c r="F726" s="219"/>
      <c r="G726" s="219"/>
      <c r="H726" s="229"/>
      <c r="I726" s="219"/>
      <c r="J726" s="219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</row>
    <row r="727">
      <c r="A727" s="242"/>
      <c r="B727" s="219"/>
      <c r="C727" s="229"/>
      <c r="D727" s="219"/>
      <c r="E727" s="219"/>
      <c r="F727" s="219"/>
      <c r="G727" s="219"/>
      <c r="H727" s="229"/>
      <c r="I727" s="219"/>
      <c r="J727" s="219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</row>
    <row r="728">
      <c r="A728" s="242"/>
      <c r="B728" s="219"/>
      <c r="C728" s="229"/>
      <c r="D728" s="219"/>
      <c r="E728" s="219"/>
      <c r="F728" s="219"/>
      <c r="G728" s="219"/>
      <c r="H728" s="229"/>
      <c r="I728" s="219"/>
      <c r="J728" s="219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</row>
    <row r="729">
      <c r="A729" s="242"/>
      <c r="B729" s="219"/>
      <c r="C729" s="229"/>
      <c r="D729" s="219"/>
      <c r="E729" s="219"/>
      <c r="F729" s="219"/>
      <c r="G729" s="219"/>
      <c r="H729" s="229"/>
      <c r="I729" s="219"/>
      <c r="J729" s="219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</row>
    <row r="730">
      <c r="A730" s="242"/>
      <c r="B730" s="219"/>
      <c r="C730" s="229"/>
      <c r="D730" s="219"/>
      <c r="E730" s="219"/>
      <c r="F730" s="219"/>
      <c r="G730" s="219"/>
      <c r="H730" s="229"/>
      <c r="I730" s="219"/>
      <c r="J730" s="219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</row>
    <row r="731">
      <c r="A731" s="242"/>
      <c r="B731" s="219"/>
      <c r="C731" s="229"/>
      <c r="D731" s="219"/>
      <c r="E731" s="219"/>
      <c r="F731" s="219"/>
      <c r="G731" s="219"/>
      <c r="H731" s="229"/>
      <c r="I731" s="219"/>
      <c r="J731" s="219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</row>
    <row r="732">
      <c r="A732" s="242"/>
      <c r="B732" s="219"/>
      <c r="C732" s="229"/>
      <c r="D732" s="219"/>
      <c r="E732" s="219"/>
      <c r="F732" s="219"/>
      <c r="G732" s="219"/>
      <c r="H732" s="229"/>
      <c r="I732" s="219"/>
      <c r="J732" s="219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</row>
    <row r="733">
      <c r="A733" s="242"/>
      <c r="B733" s="219"/>
      <c r="C733" s="229"/>
      <c r="D733" s="219"/>
      <c r="E733" s="219"/>
      <c r="F733" s="219"/>
      <c r="G733" s="219"/>
      <c r="H733" s="229"/>
      <c r="I733" s="219"/>
      <c r="J733" s="219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</row>
    <row r="734">
      <c r="A734" s="242"/>
      <c r="B734" s="219"/>
      <c r="C734" s="229"/>
      <c r="D734" s="219"/>
      <c r="E734" s="219"/>
      <c r="F734" s="219"/>
      <c r="G734" s="219"/>
      <c r="H734" s="229"/>
      <c r="I734" s="219"/>
      <c r="J734" s="219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</row>
    <row r="735">
      <c r="A735" s="242"/>
      <c r="B735" s="219"/>
      <c r="C735" s="229"/>
      <c r="D735" s="219"/>
      <c r="E735" s="219"/>
      <c r="F735" s="219"/>
      <c r="G735" s="219"/>
      <c r="H735" s="229"/>
      <c r="I735" s="219"/>
      <c r="J735" s="219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</row>
    <row r="736">
      <c r="A736" s="242"/>
      <c r="B736" s="219"/>
      <c r="C736" s="229"/>
      <c r="D736" s="219"/>
      <c r="E736" s="219"/>
      <c r="F736" s="219"/>
      <c r="G736" s="219"/>
      <c r="H736" s="229"/>
      <c r="I736" s="219"/>
      <c r="J736" s="219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</row>
    <row r="737">
      <c r="A737" s="242"/>
      <c r="B737" s="219"/>
      <c r="C737" s="229"/>
      <c r="D737" s="219"/>
      <c r="E737" s="219"/>
      <c r="F737" s="219"/>
      <c r="G737" s="219"/>
      <c r="H737" s="229"/>
      <c r="I737" s="219"/>
      <c r="J737" s="219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</row>
    <row r="738">
      <c r="A738" s="242"/>
      <c r="B738" s="219"/>
      <c r="C738" s="229"/>
      <c r="D738" s="219"/>
      <c r="E738" s="219"/>
      <c r="F738" s="219"/>
      <c r="G738" s="219"/>
      <c r="H738" s="229"/>
      <c r="I738" s="219"/>
      <c r="J738" s="219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</row>
    <row r="739">
      <c r="A739" s="242"/>
      <c r="B739" s="219"/>
      <c r="C739" s="229"/>
      <c r="D739" s="219"/>
      <c r="E739" s="219"/>
      <c r="F739" s="219"/>
      <c r="G739" s="219"/>
      <c r="H739" s="229"/>
      <c r="I739" s="219"/>
      <c r="J739" s="219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</row>
    <row r="740">
      <c r="A740" s="242"/>
      <c r="B740" s="219"/>
      <c r="C740" s="229"/>
      <c r="D740" s="219"/>
      <c r="E740" s="219"/>
      <c r="F740" s="219"/>
      <c r="G740" s="219"/>
      <c r="H740" s="229"/>
      <c r="I740" s="219"/>
      <c r="J740" s="219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</row>
    <row r="741">
      <c r="A741" s="242"/>
      <c r="B741" s="219"/>
      <c r="C741" s="229"/>
      <c r="D741" s="219"/>
      <c r="E741" s="219"/>
      <c r="F741" s="219"/>
      <c r="G741" s="219"/>
      <c r="H741" s="229"/>
      <c r="I741" s="219"/>
      <c r="J741" s="219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</row>
    <row r="742">
      <c r="A742" s="242"/>
      <c r="B742" s="219"/>
      <c r="C742" s="229"/>
      <c r="D742" s="219"/>
      <c r="E742" s="219"/>
      <c r="F742" s="219"/>
      <c r="G742" s="219"/>
      <c r="H742" s="229"/>
      <c r="I742" s="219"/>
      <c r="J742" s="219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</row>
    <row r="743">
      <c r="A743" s="242"/>
      <c r="B743" s="219"/>
      <c r="C743" s="229"/>
      <c r="D743" s="219"/>
      <c r="E743" s="219"/>
      <c r="F743" s="219"/>
      <c r="G743" s="219"/>
      <c r="H743" s="229"/>
      <c r="I743" s="219"/>
      <c r="J743" s="219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</row>
    <row r="744">
      <c r="A744" s="242"/>
      <c r="B744" s="219"/>
      <c r="C744" s="229"/>
      <c r="D744" s="219"/>
      <c r="E744" s="219"/>
      <c r="F744" s="219"/>
      <c r="G744" s="219"/>
      <c r="H744" s="229"/>
      <c r="I744" s="219"/>
      <c r="J744" s="219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</row>
    <row r="745">
      <c r="A745" s="242"/>
      <c r="B745" s="219"/>
      <c r="C745" s="229"/>
      <c r="D745" s="219"/>
      <c r="E745" s="219"/>
      <c r="F745" s="219"/>
      <c r="G745" s="219"/>
      <c r="H745" s="229"/>
      <c r="I745" s="219"/>
      <c r="J745" s="219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</row>
    <row r="746">
      <c r="A746" s="242"/>
      <c r="B746" s="219"/>
      <c r="C746" s="229"/>
      <c r="D746" s="219"/>
      <c r="E746" s="219"/>
      <c r="F746" s="219"/>
      <c r="G746" s="219"/>
      <c r="H746" s="229"/>
      <c r="I746" s="219"/>
      <c r="J746" s="219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</row>
    <row r="747">
      <c r="A747" s="242"/>
      <c r="B747" s="219"/>
      <c r="C747" s="229"/>
      <c r="D747" s="219"/>
      <c r="E747" s="219"/>
      <c r="F747" s="219"/>
      <c r="G747" s="219"/>
      <c r="H747" s="229"/>
      <c r="I747" s="219"/>
      <c r="J747" s="219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</row>
    <row r="748">
      <c r="A748" s="242"/>
      <c r="B748" s="219"/>
      <c r="C748" s="229"/>
      <c r="D748" s="219"/>
      <c r="E748" s="219"/>
      <c r="F748" s="219"/>
      <c r="G748" s="219"/>
      <c r="H748" s="229"/>
      <c r="I748" s="219"/>
      <c r="J748" s="219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</row>
    <row r="749">
      <c r="A749" s="242"/>
      <c r="B749" s="219"/>
      <c r="C749" s="229"/>
      <c r="D749" s="219"/>
      <c r="E749" s="219"/>
      <c r="F749" s="219"/>
      <c r="G749" s="219"/>
      <c r="H749" s="229"/>
      <c r="I749" s="219"/>
      <c r="J749" s="219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</row>
    <row r="750">
      <c r="A750" s="242"/>
      <c r="B750" s="219"/>
      <c r="C750" s="229"/>
      <c r="D750" s="219"/>
      <c r="E750" s="219"/>
      <c r="F750" s="219"/>
      <c r="G750" s="219"/>
      <c r="H750" s="229"/>
      <c r="I750" s="219"/>
      <c r="J750" s="219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</row>
    <row r="751">
      <c r="A751" s="242"/>
      <c r="B751" s="219"/>
      <c r="C751" s="229"/>
      <c r="D751" s="219"/>
      <c r="E751" s="219"/>
      <c r="F751" s="219"/>
      <c r="G751" s="219"/>
      <c r="H751" s="229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</row>
    <row r="752">
      <c r="A752" s="242"/>
      <c r="B752" s="219"/>
      <c r="C752" s="229"/>
      <c r="D752" s="219"/>
      <c r="E752" s="219"/>
      <c r="F752" s="219"/>
      <c r="G752" s="219"/>
      <c r="H752" s="229"/>
      <c r="I752" s="219"/>
      <c r="J752" s="219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</row>
    <row r="753">
      <c r="A753" s="242"/>
      <c r="B753" s="219"/>
      <c r="C753" s="229"/>
      <c r="D753" s="219"/>
      <c r="E753" s="219"/>
      <c r="F753" s="219"/>
      <c r="G753" s="219"/>
      <c r="H753" s="229"/>
      <c r="I753" s="219"/>
      <c r="J753" s="219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</row>
    <row r="754">
      <c r="A754" s="242"/>
      <c r="B754" s="219"/>
      <c r="C754" s="229"/>
      <c r="D754" s="219"/>
      <c r="E754" s="219"/>
      <c r="F754" s="219"/>
      <c r="G754" s="219"/>
      <c r="H754" s="229"/>
      <c r="I754" s="219"/>
      <c r="J754" s="219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</row>
    <row r="755">
      <c r="A755" s="242"/>
      <c r="B755" s="219"/>
      <c r="C755" s="229"/>
      <c r="D755" s="219"/>
      <c r="E755" s="219"/>
      <c r="F755" s="219"/>
      <c r="G755" s="219"/>
      <c r="H755" s="229"/>
      <c r="I755" s="219"/>
      <c r="J755" s="219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</row>
    <row r="756">
      <c r="A756" s="242"/>
      <c r="B756" s="219"/>
      <c r="C756" s="229"/>
      <c r="D756" s="219"/>
      <c r="E756" s="219"/>
      <c r="F756" s="219"/>
      <c r="G756" s="219"/>
      <c r="H756" s="22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</row>
    <row r="757">
      <c r="A757" s="242"/>
      <c r="B757" s="219"/>
      <c r="C757" s="229"/>
      <c r="D757" s="219"/>
      <c r="E757" s="219"/>
      <c r="F757" s="219"/>
      <c r="G757" s="219"/>
      <c r="H757" s="22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</row>
    <row r="758">
      <c r="A758" s="242"/>
      <c r="B758" s="219"/>
      <c r="C758" s="229"/>
      <c r="D758" s="219"/>
      <c r="E758" s="219"/>
      <c r="F758" s="219"/>
      <c r="G758" s="219"/>
      <c r="H758" s="22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</row>
    <row r="759">
      <c r="A759" s="242"/>
      <c r="B759" s="219"/>
      <c r="C759" s="229"/>
      <c r="D759" s="219"/>
      <c r="E759" s="219"/>
      <c r="F759" s="219"/>
      <c r="G759" s="219"/>
      <c r="H759" s="22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</row>
    <row r="760">
      <c r="A760" s="242"/>
      <c r="B760" s="219"/>
      <c r="C760" s="229"/>
      <c r="D760" s="219"/>
      <c r="E760" s="219"/>
      <c r="F760" s="219"/>
      <c r="G760" s="219"/>
      <c r="H760" s="22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</row>
    <row r="761">
      <c r="A761" s="242"/>
      <c r="B761" s="219"/>
      <c r="C761" s="229"/>
      <c r="D761" s="219"/>
      <c r="E761" s="219"/>
      <c r="F761" s="219"/>
      <c r="G761" s="219"/>
      <c r="H761" s="22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</row>
    <row r="762">
      <c r="A762" s="242"/>
      <c r="B762" s="219"/>
      <c r="C762" s="229"/>
      <c r="D762" s="219"/>
      <c r="E762" s="219"/>
      <c r="F762" s="219"/>
      <c r="G762" s="219"/>
      <c r="H762" s="229"/>
      <c r="I762" s="219"/>
      <c r="J762" s="219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</row>
    <row r="763">
      <c r="A763" s="242"/>
      <c r="B763" s="219"/>
      <c r="C763" s="229"/>
      <c r="D763" s="219"/>
      <c r="E763" s="219"/>
      <c r="F763" s="219"/>
      <c r="G763" s="219"/>
      <c r="H763" s="229"/>
      <c r="I763" s="219"/>
      <c r="J763" s="219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</row>
    <row r="764">
      <c r="A764" s="242"/>
      <c r="B764" s="219"/>
      <c r="C764" s="229"/>
      <c r="D764" s="219"/>
      <c r="E764" s="219"/>
      <c r="F764" s="219"/>
      <c r="G764" s="219"/>
      <c r="H764" s="229"/>
      <c r="I764" s="219"/>
      <c r="J764" s="219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</row>
    <row r="765">
      <c r="A765" s="242"/>
      <c r="B765" s="219"/>
      <c r="C765" s="229"/>
      <c r="D765" s="219"/>
      <c r="E765" s="219"/>
      <c r="F765" s="219"/>
      <c r="G765" s="219"/>
      <c r="H765" s="229"/>
      <c r="I765" s="219"/>
      <c r="J765" s="219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</row>
    <row r="766">
      <c r="A766" s="242"/>
      <c r="B766" s="219"/>
      <c r="C766" s="229"/>
      <c r="D766" s="219"/>
      <c r="E766" s="219"/>
      <c r="F766" s="219"/>
      <c r="G766" s="219"/>
      <c r="H766" s="229"/>
      <c r="I766" s="219"/>
      <c r="J766" s="219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</row>
    <row r="767">
      <c r="A767" s="242"/>
      <c r="B767" s="219"/>
      <c r="C767" s="229"/>
      <c r="D767" s="219"/>
      <c r="E767" s="219"/>
      <c r="F767" s="219"/>
      <c r="G767" s="219"/>
      <c r="H767" s="229"/>
      <c r="I767" s="219"/>
      <c r="J767" s="219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</row>
    <row r="768">
      <c r="A768" s="242"/>
      <c r="B768" s="219"/>
      <c r="C768" s="229"/>
      <c r="D768" s="219"/>
      <c r="E768" s="219"/>
      <c r="F768" s="219"/>
      <c r="G768" s="219"/>
      <c r="H768" s="229"/>
      <c r="I768" s="219"/>
      <c r="J768" s="219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</row>
    <row r="769">
      <c r="A769" s="242"/>
      <c r="B769" s="219"/>
      <c r="C769" s="229"/>
      <c r="D769" s="219"/>
      <c r="E769" s="219"/>
      <c r="F769" s="219"/>
      <c r="G769" s="219"/>
      <c r="H769" s="229"/>
      <c r="I769" s="219"/>
      <c r="J769" s="219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</row>
    <row r="770">
      <c r="A770" s="242"/>
      <c r="B770" s="219"/>
      <c r="C770" s="229"/>
      <c r="D770" s="219"/>
      <c r="E770" s="219"/>
      <c r="F770" s="219"/>
      <c r="G770" s="219"/>
      <c r="H770" s="22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</row>
    <row r="771">
      <c r="A771" s="242"/>
      <c r="B771" s="219"/>
      <c r="C771" s="229"/>
      <c r="D771" s="219"/>
      <c r="E771" s="219"/>
      <c r="F771" s="219"/>
      <c r="G771" s="219"/>
      <c r="H771" s="229"/>
      <c r="I771" s="219"/>
      <c r="J771" s="219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</row>
    <row r="772">
      <c r="A772" s="242"/>
      <c r="B772" s="219"/>
      <c r="C772" s="229"/>
      <c r="D772" s="219"/>
      <c r="E772" s="219"/>
      <c r="F772" s="219"/>
      <c r="G772" s="219"/>
      <c r="H772" s="229"/>
      <c r="I772" s="219"/>
      <c r="J772" s="219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</row>
    <row r="773">
      <c r="A773" s="242"/>
      <c r="B773" s="219"/>
      <c r="C773" s="229"/>
      <c r="D773" s="219"/>
      <c r="E773" s="219"/>
      <c r="F773" s="219"/>
      <c r="G773" s="219"/>
      <c r="H773" s="229"/>
      <c r="I773" s="219"/>
      <c r="J773" s="219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</row>
    <row r="774">
      <c r="A774" s="242"/>
      <c r="B774" s="219"/>
      <c r="C774" s="229"/>
      <c r="D774" s="219"/>
      <c r="E774" s="219"/>
      <c r="F774" s="219"/>
      <c r="G774" s="219"/>
      <c r="H774" s="229"/>
      <c r="I774" s="219"/>
      <c r="J774" s="219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</row>
    <row r="775">
      <c r="A775" s="242"/>
      <c r="B775" s="219"/>
      <c r="C775" s="229"/>
      <c r="D775" s="219"/>
      <c r="E775" s="219"/>
      <c r="F775" s="219"/>
      <c r="G775" s="219"/>
      <c r="H775" s="229"/>
      <c r="I775" s="219"/>
      <c r="J775" s="219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</row>
    <row r="776">
      <c r="A776" s="242"/>
      <c r="B776" s="219"/>
      <c r="C776" s="229"/>
      <c r="D776" s="219"/>
      <c r="E776" s="219"/>
      <c r="F776" s="219"/>
      <c r="G776" s="219"/>
      <c r="H776" s="229"/>
      <c r="I776" s="219"/>
      <c r="J776" s="219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</row>
    <row r="777">
      <c r="A777" s="242"/>
      <c r="B777" s="219"/>
      <c r="C777" s="229"/>
      <c r="D777" s="219"/>
      <c r="E777" s="219"/>
      <c r="F777" s="219"/>
      <c r="G777" s="219"/>
      <c r="H777" s="229"/>
      <c r="I777" s="219"/>
      <c r="J777" s="219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</row>
    <row r="778">
      <c r="A778" s="242"/>
      <c r="B778" s="219"/>
      <c r="C778" s="229"/>
      <c r="D778" s="219"/>
      <c r="E778" s="219"/>
      <c r="F778" s="219"/>
      <c r="G778" s="219"/>
      <c r="H778" s="229"/>
      <c r="I778" s="219"/>
      <c r="J778" s="219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</row>
    <row r="779">
      <c r="A779" s="242"/>
      <c r="B779" s="219"/>
      <c r="C779" s="229"/>
      <c r="D779" s="219"/>
      <c r="E779" s="219"/>
      <c r="F779" s="219"/>
      <c r="G779" s="219"/>
      <c r="H779" s="229"/>
      <c r="I779" s="219"/>
      <c r="J779" s="219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</row>
    <row r="780">
      <c r="A780" s="242"/>
      <c r="B780" s="219"/>
      <c r="C780" s="229"/>
      <c r="D780" s="219"/>
      <c r="E780" s="219"/>
      <c r="F780" s="219"/>
      <c r="G780" s="219"/>
      <c r="H780" s="229"/>
      <c r="I780" s="219"/>
      <c r="J780" s="219"/>
      <c r="K780" s="219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</row>
    <row r="781">
      <c r="A781" s="242"/>
      <c r="B781" s="219"/>
      <c r="C781" s="229"/>
      <c r="D781" s="219"/>
      <c r="E781" s="219"/>
      <c r="F781" s="219"/>
      <c r="G781" s="219"/>
      <c r="H781" s="229"/>
      <c r="I781" s="219"/>
      <c r="J781" s="219"/>
      <c r="K781" s="219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</row>
    <row r="782">
      <c r="A782" s="242"/>
      <c r="B782" s="219"/>
      <c r="C782" s="229"/>
      <c r="D782" s="219"/>
      <c r="E782" s="219"/>
      <c r="F782" s="219"/>
      <c r="G782" s="219"/>
      <c r="H782" s="229"/>
      <c r="I782" s="219"/>
      <c r="J782" s="219"/>
      <c r="K782" s="219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</row>
    <row r="783">
      <c r="A783" s="242"/>
      <c r="B783" s="219"/>
      <c r="C783" s="229"/>
      <c r="D783" s="219"/>
      <c r="E783" s="219"/>
      <c r="F783" s="219"/>
      <c r="G783" s="219"/>
      <c r="H783" s="229"/>
      <c r="I783" s="219"/>
      <c r="J783" s="219"/>
      <c r="K783" s="219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</row>
    <row r="784">
      <c r="A784" s="242"/>
      <c r="B784" s="219"/>
      <c r="C784" s="229"/>
      <c r="D784" s="219"/>
      <c r="E784" s="219"/>
      <c r="F784" s="219"/>
      <c r="G784" s="219"/>
      <c r="H784" s="229"/>
      <c r="I784" s="219"/>
      <c r="J784" s="219"/>
      <c r="K784" s="219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</row>
    <row r="785">
      <c r="A785" s="242"/>
      <c r="B785" s="219"/>
      <c r="C785" s="229"/>
      <c r="D785" s="219"/>
      <c r="E785" s="219"/>
      <c r="F785" s="219"/>
      <c r="G785" s="219"/>
      <c r="H785" s="229"/>
      <c r="I785" s="219"/>
      <c r="J785" s="219"/>
      <c r="K785" s="219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</row>
    <row r="786">
      <c r="A786" s="242"/>
      <c r="B786" s="219"/>
      <c r="C786" s="229"/>
      <c r="D786" s="219"/>
      <c r="E786" s="219"/>
      <c r="F786" s="219"/>
      <c r="G786" s="219"/>
      <c r="H786" s="229"/>
      <c r="I786" s="219"/>
      <c r="J786" s="219"/>
      <c r="K786" s="219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</row>
    <row r="787">
      <c r="A787" s="242"/>
      <c r="B787" s="219"/>
      <c r="C787" s="229"/>
      <c r="D787" s="219"/>
      <c r="E787" s="219"/>
      <c r="F787" s="219"/>
      <c r="G787" s="219"/>
      <c r="H787" s="229"/>
      <c r="I787" s="219"/>
      <c r="J787" s="219"/>
      <c r="K787" s="219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</row>
    <row r="788">
      <c r="A788" s="242"/>
      <c r="B788" s="219"/>
      <c r="C788" s="229"/>
      <c r="D788" s="219"/>
      <c r="E788" s="219"/>
      <c r="F788" s="219"/>
      <c r="G788" s="219"/>
      <c r="H788" s="229"/>
      <c r="I788" s="219"/>
      <c r="J788" s="219"/>
      <c r="K788" s="219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</row>
    <row r="789">
      <c r="A789" s="242"/>
      <c r="B789" s="219"/>
      <c r="C789" s="229"/>
      <c r="D789" s="219"/>
      <c r="E789" s="219"/>
      <c r="F789" s="219"/>
      <c r="G789" s="219"/>
      <c r="H789" s="229"/>
      <c r="I789" s="219"/>
      <c r="J789" s="219"/>
      <c r="K789" s="219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</row>
    <row r="790">
      <c r="A790" s="242"/>
      <c r="B790" s="219"/>
      <c r="C790" s="229"/>
      <c r="D790" s="219"/>
      <c r="E790" s="219"/>
      <c r="F790" s="219"/>
      <c r="G790" s="219"/>
      <c r="H790" s="229"/>
      <c r="I790" s="219"/>
      <c r="J790" s="219"/>
      <c r="K790" s="219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</row>
    <row r="791">
      <c r="A791" s="242"/>
      <c r="B791" s="219"/>
      <c r="C791" s="229"/>
      <c r="D791" s="219"/>
      <c r="E791" s="219"/>
      <c r="F791" s="219"/>
      <c r="G791" s="219"/>
      <c r="H791" s="229"/>
      <c r="I791" s="219"/>
      <c r="J791" s="219"/>
      <c r="K791" s="219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</row>
    <row r="792">
      <c r="A792" s="242"/>
      <c r="B792" s="219"/>
      <c r="C792" s="229"/>
      <c r="D792" s="219"/>
      <c r="E792" s="219"/>
      <c r="F792" s="219"/>
      <c r="G792" s="219"/>
      <c r="H792" s="229"/>
      <c r="I792" s="219"/>
      <c r="J792" s="219"/>
      <c r="K792" s="219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</row>
    <row r="793">
      <c r="A793" s="242"/>
      <c r="B793" s="219"/>
      <c r="C793" s="229"/>
      <c r="D793" s="219"/>
      <c r="E793" s="219"/>
      <c r="F793" s="219"/>
      <c r="G793" s="219"/>
      <c r="H793" s="229"/>
      <c r="I793" s="219"/>
      <c r="J793" s="219"/>
      <c r="K793" s="219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</row>
    <row r="794">
      <c r="A794" s="242"/>
      <c r="B794" s="219"/>
      <c r="C794" s="229"/>
      <c r="D794" s="219"/>
      <c r="E794" s="219"/>
      <c r="F794" s="219"/>
      <c r="G794" s="219"/>
      <c r="H794" s="229"/>
      <c r="I794" s="219"/>
      <c r="J794" s="219"/>
      <c r="K794" s="219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</row>
    <row r="795">
      <c r="A795" s="242"/>
      <c r="B795" s="219"/>
      <c r="C795" s="229"/>
      <c r="D795" s="219"/>
      <c r="E795" s="219"/>
      <c r="F795" s="219"/>
      <c r="G795" s="219"/>
      <c r="H795" s="229"/>
      <c r="I795" s="219"/>
      <c r="J795" s="219"/>
      <c r="K795" s="219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</row>
    <row r="796">
      <c r="A796" s="242"/>
      <c r="B796" s="219"/>
      <c r="C796" s="229"/>
      <c r="D796" s="219"/>
      <c r="E796" s="219"/>
      <c r="F796" s="219"/>
      <c r="G796" s="219"/>
      <c r="H796" s="229"/>
      <c r="I796" s="219"/>
      <c r="J796" s="219"/>
      <c r="K796" s="219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</row>
    <row r="797">
      <c r="A797" s="242"/>
      <c r="B797" s="219"/>
      <c r="C797" s="229"/>
      <c r="D797" s="219"/>
      <c r="E797" s="219"/>
      <c r="F797" s="219"/>
      <c r="G797" s="219"/>
      <c r="H797" s="229"/>
      <c r="I797" s="219"/>
      <c r="J797" s="219"/>
      <c r="K797" s="219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</row>
    <row r="798">
      <c r="A798" s="242"/>
      <c r="B798" s="219"/>
      <c r="C798" s="229"/>
      <c r="D798" s="219"/>
      <c r="E798" s="219"/>
      <c r="F798" s="219"/>
      <c r="G798" s="219"/>
      <c r="H798" s="229"/>
      <c r="I798" s="219"/>
      <c r="J798" s="219"/>
      <c r="K798" s="219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</row>
    <row r="799">
      <c r="A799" s="242"/>
      <c r="B799" s="219"/>
      <c r="C799" s="229"/>
      <c r="D799" s="219"/>
      <c r="E799" s="219"/>
      <c r="F799" s="219"/>
      <c r="G799" s="219"/>
      <c r="H799" s="229"/>
      <c r="I799" s="219"/>
      <c r="J799" s="219"/>
      <c r="K799" s="219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</row>
    <row r="800">
      <c r="A800" s="242"/>
      <c r="B800" s="219"/>
      <c r="C800" s="229"/>
      <c r="D800" s="219"/>
      <c r="E800" s="219"/>
      <c r="F800" s="219"/>
      <c r="G800" s="219"/>
      <c r="H800" s="229"/>
      <c r="I800" s="219"/>
      <c r="J800" s="219"/>
      <c r="K800" s="219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</row>
    <row r="801">
      <c r="A801" s="242"/>
      <c r="B801" s="219"/>
      <c r="C801" s="229"/>
      <c r="D801" s="219"/>
      <c r="E801" s="219"/>
      <c r="F801" s="219"/>
      <c r="G801" s="219"/>
      <c r="H801" s="229"/>
      <c r="I801" s="219"/>
      <c r="J801" s="219"/>
      <c r="K801" s="219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</row>
    <row r="802">
      <c r="A802" s="242"/>
      <c r="B802" s="219"/>
      <c r="C802" s="229"/>
      <c r="D802" s="219"/>
      <c r="E802" s="219"/>
      <c r="F802" s="219"/>
      <c r="G802" s="219"/>
      <c r="H802" s="229"/>
      <c r="I802" s="219"/>
      <c r="J802" s="219"/>
      <c r="K802" s="219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</row>
    <row r="803">
      <c r="A803" s="242"/>
      <c r="B803" s="219"/>
      <c r="C803" s="229"/>
      <c r="D803" s="219"/>
      <c r="E803" s="219"/>
      <c r="F803" s="219"/>
      <c r="G803" s="219"/>
      <c r="H803" s="229"/>
      <c r="I803" s="219"/>
      <c r="J803" s="219"/>
      <c r="K803" s="219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</row>
    <row r="804">
      <c r="A804" s="242"/>
      <c r="B804" s="219"/>
      <c r="C804" s="229"/>
      <c r="D804" s="219"/>
      <c r="E804" s="219"/>
      <c r="F804" s="219"/>
      <c r="G804" s="219"/>
      <c r="H804" s="229"/>
      <c r="I804" s="219"/>
      <c r="J804" s="219"/>
      <c r="K804" s="219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</row>
    <row r="805">
      <c r="A805" s="242"/>
      <c r="B805" s="219"/>
      <c r="C805" s="229"/>
      <c r="D805" s="219"/>
      <c r="E805" s="219"/>
      <c r="F805" s="219"/>
      <c r="G805" s="219"/>
      <c r="H805" s="229"/>
      <c r="I805" s="219"/>
      <c r="J805" s="219"/>
      <c r="K805" s="219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</row>
    <row r="806">
      <c r="A806" s="242"/>
      <c r="B806" s="219"/>
      <c r="C806" s="229"/>
      <c r="D806" s="219"/>
      <c r="E806" s="219"/>
      <c r="F806" s="219"/>
      <c r="G806" s="219"/>
      <c r="H806" s="229"/>
      <c r="I806" s="219"/>
      <c r="J806" s="219"/>
      <c r="K806" s="219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</row>
    <row r="807">
      <c r="A807" s="242"/>
      <c r="B807" s="219"/>
      <c r="C807" s="229"/>
      <c r="D807" s="219"/>
      <c r="E807" s="219"/>
      <c r="F807" s="219"/>
      <c r="G807" s="219"/>
      <c r="H807" s="229"/>
      <c r="I807" s="219"/>
      <c r="J807" s="219"/>
      <c r="K807" s="219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</row>
    <row r="808">
      <c r="A808" s="242"/>
      <c r="B808" s="219"/>
      <c r="C808" s="229"/>
      <c r="D808" s="219"/>
      <c r="E808" s="219"/>
      <c r="F808" s="219"/>
      <c r="G808" s="219"/>
      <c r="H808" s="229"/>
      <c r="I808" s="219"/>
      <c r="J808" s="219"/>
      <c r="K808" s="219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</row>
    <row r="809">
      <c r="A809" s="242"/>
      <c r="B809" s="219"/>
      <c r="C809" s="229"/>
      <c r="D809" s="219"/>
      <c r="E809" s="219"/>
      <c r="F809" s="219"/>
      <c r="G809" s="219"/>
      <c r="H809" s="229"/>
      <c r="I809" s="219"/>
      <c r="J809" s="219"/>
      <c r="K809" s="219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</row>
    <row r="810">
      <c r="A810" s="242"/>
      <c r="B810" s="219"/>
      <c r="C810" s="229"/>
      <c r="D810" s="219"/>
      <c r="E810" s="219"/>
      <c r="F810" s="219"/>
      <c r="G810" s="219"/>
      <c r="H810" s="229"/>
      <c r="I810" s="219"/>
      <c r="J810" s="219"/>
      <c r="K810" s="219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</row>
    <row r="811">
      <c r="A811" s="242"/>
      <c r="B811" s="219"/>
      <c r="C811" s="229"/>
      <c r="D811" s="219"/>
      <c r="E811" s="219"/>
      <c r="F811" s="219"/>
      <c r="G811" s="219"/>
      <c r="H811" s="229"/>
      <c r="I811" s="219"/>
      <c r="J811" s="219"/>
      <c r="K811" s="219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</row>
    <row r="812">
      <c r="A812" s="242"/>
      <c r="B812" s="219"/>
      <c r="C812" s="229"/>
      <c r="D812" s="219"/>
      <c r="E812" s="219"/>
      <c r="F812" s="219"/>
      <c r="G812" s="219"/>
      <c r="H812" s="229"/>
      <c r="I812" s="219"/>
      <c r="J812" s="219"/>
      <c r="K812" s="219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</row>
    <row r="813">
      <c r="A813" s="242"/>
      <c r="B813" s="219"/>
      <c r="C813" s="229"/>
      <c r="D813" s="219"/>
      <c r="E813" s="219"/>
      <c r="F813" s="219"/>
      <c r="G813" s="219"/>
      <c r="H813" s="229"/>
      <c r="I813" s="219"/>
      <c r="J813" s="219"/>
      <c r="K813" s="219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</row>
    <row r="814">
      <c r="A814" s="242"/>
      <c r="B814" s="219"/>
      <c r="C814" s="229"/>
      <c r="D814" s="219"/>
      <c r="E814" s="219"/>
      <c r="F814" s="219"/>
      <c r="G814" s="219"/>
      <c r="H814" s="229"/>
      <c r="I814" s="219"/>
      <c r="J814" s="219"/>
      <c r="K814" s="219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</row>
    <row r="815">
      <c r="A815" s="242"/>
      <c r="B815" s="219"/>
      <c r="C815" s="229"/>
      <c r="D815" s="219"/>
      <c r="E815" s="219"/>
      <c r="F815" s="219"/>
      <c r="G815" s="219"/>
      <c r="H815" s="229"/>
      <c r="I815" s="219"/>
      <c r="J815" s="219"/>
      <c r="K815" s="219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</row>
    <row r="816">
      <c r="A816" s="242"/>
      <c r="B816" s="219"/>
      <c r="C816" s="229"/>
      <c r="D816" s="219"/>
      <c r="E816" s="219"/>
      <c r="F816" s="219"/>
      <c r="G816" s="219"/>
      <c r="H816" s="229"/>
      <c r="I816" s="219"/>
      <c r="J816" s="219"/>
      <c r="K816" s="219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</row>
    <row r="817">
      <c r="A817" s="242"/>
      <c r="B817" s="219"/>
      <c r="C817" s="229"/>
      <c r="D817" s="219"/>
      <c r="E817" s="219"/>
      <c r="F817" s="219"/>
      <c r="G817" s="219"/>
      <c r="H817" s="229"/>
      <c r="I817" s="219"/>
      <c r="J817" s="219"/>
      <c r="K817" s="219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</row>
    <row r="818">
      <c r="A818" s="242"/>
      <c r="B818" s="219"/>
      <c r="C818" s="229"/>
      <c r="D818" s="219"/>
      <c r="E818" s="219"/>
      <c r="F818" s="219"/>
      <c r="G818" s="219"/>
      <c r="H818" s="229"/>
      <c r="I818" s="219"/>
      <c r="J818" s="219"/>
      <c r="K818" s="219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</row>
    <row r="819">
      <c r="A819" s="242"/>
      <c r="B819" s="219"/>
      <c r="C819" s="229"/>
      <c r="D819" s="219"/>
      <c r="E819" s="219"/>
      <c r="F819" s="219"/>
      <c r="G819" s="219"/>
      <c r="H819" s="229"/>
      <c r="I819" s="219"/>
      <c r="J819" s="219"/>
      <c r="K819" s="219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</row>
    <row r="820">
      <c r="A820" s="242"/>
      <c r="B820" s="219"/>
      <c r="C820" s="229"/>
      <c r="D820" s="219"/>
      <c r="E820" s="219"/>
      <c r="F820" s="219"/>
      <c r="G820" s="219"/>
      <c r="H820" s="229"/>
      <c r="I820" s="219"/>
      <c r="J820" s="219"/>
      <c r="K820" s="219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</row>
    <row r="821">
      <c r="A821" s="242"/>
      <c r="B821" s="219"/>
      <c r="C821" s="229"/>
      <c r="D821" s="219"/>
      <c r="E821" s="219"/>
      <c r="F821" s="219"/>
      <c r="G821" s="219"/>
      <c r="H821" s="229"/>
      <c r="I821" s="219"/>
      <c r="J821" s="219"/>
      <c r="K821" s="219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</row>
    <row r="822">
      <c r="A822" s="242"/>
      <c r="B822" s="219"/>
      <c r="C822" s="229"/>
      <c r="D822" s="219"/>
      <c r="E822" s="219"/>
      <c r="F822" s="219"/>
      <c r="G822" s="219"/>
      <c r="H822" s="229"/>
      <c r="I822" s="219"/>
      <c r="J822" s="219"/>
      <c r="K822" s="219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</row>
    <row r="823">
      <c r="A823" s="242"/>
      <c r="B823" s="219"/>
      <c r="C823" s="229"/>
      <c r="D823" s="219"/>
      <c r="E823" s="219"/>
      <c r="F823" s="219"/>
      <c r="G823" s="219"/>
      <c r="H823" s="229"/>
      <c r="I823" s="219"/>
      <c r="J823" s="219"/>
      <c r="K823" s="219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</row>
    <row r="824">
      <c r="A824" s="242"/>
      <c r="B824" s="219"/>
      <c r="C824" s="229"/>
      <c r="D824" s="219"/>
      <c r="E824" s="219"/>
      <c r="F824" s="219"/>
      <c r="G824" s="219"/>
      <c r="H824" s="229"/>
      <c r="I824" s="219"/>
      <c r="J824" s="219"/>
      <c r="K824" s="219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</row>
    <row r="825">
      <c r="A825" s="242"/>
      <c r="B825" s="219"/>
      <c r="C825" s="229"/>
      <c r="D825" s="219"/>
      <c r="E825" s="219"/>
      <c r="F825" s="219"/>
      <c r="G825" s="219"/>
      <c r="H825" s="229"/>
      <c r="I825" s="219"/>
      <c r="J825" s="219"/>
      <c r="K825" s="219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</row>
    <row r="826">
      <c r="A826" s="242"/>
      <c r="B826" s="219"/>
      <c r="C826" s="229"/>
      <c r="D826" s="219"/>
      <c r="E826" s="219"/>
      <c r="F826" s="219"/>
      <c r="G826" s="219"/>
      <c r="H826" s="229"/>
      <c r="I826" s="219"/>
      <c r="J826" s="219"/>
      <c r="K826" s="219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</row>
    <row r="827">
      <c r="A827" s="242"/>
      <c r="B827" s="219"/>
      <c r="C827" s="229"/>
      <c r="D827" s="219"/>
      <c r="E827" s="219"/>
      <c r="F827" s="219"/>
      <c r="G827" s="219"/>
      <c r="H827" s="229"/>
      <c r="I827" s="219"/>
      <c r="J827" s="219"/>
      <c r="K827" s="219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</row>
    <row r="828">
      <c r="A828" s="242"/>
      <c r="B828" s="219"/>
      <c r="C828" s="229"/>
      <c r="D828" s="219"/>
      <c r="E828" s="219"/>
      <c r="F828" s="219"/>
      <c r="G828" s="219"/>
      <c r="H828" s="229"/>
      <c r="I828" s="219"/>
      <c r="J828" s="219"/>
      <c r="K828" s="219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</row>
    <row r="829">
      <c r="A829" s="242"/>
      <c r="B829" s="219"/>
      <c r="C829" s="229"/>
      <c r="D829" s="219"/>
      <c r="E829" s="219"/>
      <c r="F829" s="219"/>
      <c r="G829" s="219"/>
      <c r="H829" s="229"/>
      <c r="I829" s="219"/>
      <c r="J829" s="219"/>
      <c r="K829" s="219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</row>
    <row r="830">
      <c r="A830" s="242"/>
      <c r="B830" s="219"/>
      <c r="C830" s="229"/>
      <c r="D830" s="219"/>
      <c r="E830" s="219"/>
      <c r="F830" s="219"/>
      <c r="G830" s="219"/>
      <c r="H830" s="229"/>
      <c r="I830" s="219"/>
      <c r="J830" s="219"/>
      <c r="K830" s="219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</row>
    <row r="831">
      <c r="A831" s="242"/>
      <c r="B831" s="219"/>
      <c r="C831" s="229"/>
      <c r="D831" s="219"/>
      <c r="E831" s="219"/>
      <c r="F831" s="219"/>
      <c r="G831" s="219"/>
      <c r="H831" s="229"/>
      <c r="I831" s="219"/>
      <c r="J831" s="219"/>
      <c r="K831" s="219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</row>
    <row r="832">
      <c r="A832" s="242"/>
      <c r="B832" s="219"/>
      <c r="C832" s="229"/>
      <c r="D832" s="219"/>
      <c r="E832" s="219"/>
      <c r="F832" s="219"/>
      <c r="G832" s="219"/>
      <c r="H832" s="229"/>
      <c r="I832" s="219"/>
      <c r="J832" s="219"/>
      <c r="K832" s="219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</row>
    <row r="833">
      <c r="A833" s="242"/>
      <c r="B833" s="219"/>
      <c r="C833" s="229"/>
      <c r="D833" s="219"/>
      <c r="E833" s="219"/>
      <c r="F833" s="219"/>
      <c r="G833" s="219"/>
      <c r="H833" s="229"/>
      <c r="I833" s="219"/>
      <c r="J833" s="219"/>
      <c r="K833" s="219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</row>
    <row r="834">
      <c r="A834" s="242"/>
      <c r="B834" s="219"/>
      <c r="C834" s="229"/>
      <c r="D834" s="219"/>
      <c r="E834" s="219"/>
      <c r="F834" s="219"/>
      <c r="G834" s="219"/>
      <c r="H834" s="229"/>
      <c r="I834" s="219"/>
      <c r="J834" s="219"/>
      <c r="K834" s="219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</row>
    <row r="835">
      <c r="A835" s="242"/>
      <c r="B835" s="219"/>
      <c r="C835" s="229"/>
      <c r="D835" s="219"/>
      <c r="E835" s="219"/>
      <c r="F835" s="219"/>
      <c r="G835" s="219"/>
      <c r="H835" s="229"/>
      <c r="I835" s="219"/>
      <c r="J835" s="219"/>
      <c r="K835" s="219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</row>
    <row r="836">
      <c r="A836" s="242"/>
      <c r="B836" s="219"/>
      <c r="C836" s="229"/>
      <c r="D836" s="219"/>
      <c r="E836" s="219"/>
      <c r="F836" s="219"/>
      <c r="G836" s="219"/>
      <c r="H836" s="229"/>
      <c r="I836" s="219"/>
      <c r="J836" s="219"/>
      <c r="K836" s="219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</row>
    <row r="837">
      <c r="A837" s="242"/>
      <c r="B837" s="219"/>
      <c r="C837" s="229"/>
      <c r="D837" s="219"/>
      <c r="E837" s="219"/>
      <c r="F837" s="219"/>
      <c r="G837" s="219"/>
      <c r="H837" s="229"/>
      <c r="I837" s="219"/>
      <c r="J837" s="219"/>
      <c r="K837" s="219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</row>
    <row r="838">
      <c r="A838" s="242"/>
      <c r="B838" s="219"/>
      <c r="C838" s="229"/>
      <c r="D838" s="219"/>
      <c r="E838" s="219"/>
      <c r="F838" s="219"/>
      <c r="G838" s="219"/>
      <c r="H838" s="229"/>
      <c r="I838" s="219"/>
      <c r="J838" s="219"/>
      <c r="K838" s="219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</row>
    <row r="839">
      <c r="A839" s="242"/>
      <c r="B839" s="219"/>
      <c r="C839" s="229"/>
      <c r="D839" s="219"/>
      <c r="E839" s="219"/>
      <c r="F839" s="219"/>
      <c r="G839" s="219"/>
      <c r="H839" s="229"/>
      <c r="I839" s="219"/>
      <c r="J839" s="219"/>
      <c r="K839" s="219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</row>
    <row r="840">
      <c r="A840" s="242"/>
      <c r="B840" s="219"/>
      <c r="C840" s="229"/>
      <c r="D840" s="219"/>
      <c r="E840" s="219"/>
      <c r="F840" s="219"/>
      <c r="G840" s="219"/>
      <c r="H840" s="229"/>
      <c r="I840" s="219"/>
      <c r="J840" s="219"/>
      <c r="K840" s="219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</row>
    <row r="841">
      <c r="A841" s="242"/>
      <c r="B841" s="219"/>
      <c r="C841" s="229"/>
      <c r="D841" s="219"/>
      <c r="E841" s="219"/>
      <c r="F841" s="219"/>
      <c r="G841" s="219"/>
      <c r="H841" s="229"/>
      <c r="I841" s="219"/>
      <c r="J841" s="219"/>
      <c r="K841" s="219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</row>
    <row r="842">
      <c r="A842" s="242"/>
      <c r="B842" s="219"/>
      <c r="C842" s="229"/>
      <c r="D842" s="219"/>
      <c r="E842" s="219"/>
      <c r="F842" s="219"/>
      <c r="G842" s="219"/>
      <c r="H842" s="229"/>
      <c r="I842" s="219"/>
      <c r="J842" s="219"/>
      <c r="K842" s="219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</row>
    <row r="843">
      <c r="A843" s="242"/>
      <c r="B843" s="219"/>
      <c r="C843" s="229"/>
      <c r="D843" s="219"/>
      <c r="E843" s="219"/>
      <c r="F843" s="219"/>
      <c r="G843" s="219"/>
      <c r="H843" s="229"/>
      <c r="I843" s="219"/>
      <c r="J843" s="219"/>
      <c r="K843" s="219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</row>
    <row r="844">
      <c r="A844" s="242"/>
      <c r="B844" s="219"/>
      <c r="C844" s="229"/>
      <c r="D844" s="219"/>
      <c r="E844" s="219"/>
      <c r="F844" s="219"/>
      <c r="G844" s="219"/>
      <c r="H844" s="229"/>
      <c r="I844" s="219"/>
      <c r="J844" s="219"/>
      <c r="K844" s="219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</row>
    <row r="845">
      <c r="A845" s="242"/>
      <c r="B845" s="219"/>
      <c r="C845" s="229"/>
      <c r="D845" s="219"/>
      <c r="E845" s="219"/>
      <c r="F845" s="219"/>
      <c r="G845" s="219"/>
      <c r="H845" s="229"/>
      <c r="I845" s="219"/>
      <c r="J845" s="219"/>
      <c r="K845" s="219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</row>
    <row r="846">
      <c r="A846" s="242"/>
      <c r="B846" s="219"/>
      <c r="C846" s="229"/>
      <c r="D846" s="219"/>
      <c r="E846" s="219"/>
      <c r="F846" s="219"/>
      <c r="G846" s="219"/>
      <c r="H846" s="229"/>
      <c r="I846" s="219"/>
      <c r="J846" s="219"/>
      <c r="K846" s="219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</row>
    <row r="847">
      <c r="A847" s="242"/>
      <c r="B847" s="219"/>
      <c r="C847" s="229"/>
      <c r="D847" s="219"/>
      <c r="E847" s="219"/>
      <c r="F847" s="219"/>
      <c r="G847" s="219"/>
      <c r="H847" s="229"/>
      <c r="I847" s="219"/>
      <c r="J847" s="219"/>
      <c r="K847" s="219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</row>
    <row r="848">
      <c r="A848" s="242"/>
      <c r="B848" s="219"/>
      <c r="C848" s="229"/>
      <c r="D848" s="219"/>
      <c r="E848" s="219"/>
      <c r="F848" s="219"/>
      <c r="G848" s="219"/>
      <c r="H848" s="229"/>
      <c r="I848" s="219"/>
      <c r="J848" s="219"/>
      <c r="K848" s="219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</row>
    <row r="849">
      <c r="A849" s="242"/>
      <c r="B849" s="219"/>
      <c r="C849" s="229"/>
      <c r="D849" s="219"/>
      <c r="E849" s="219"/>
      <c r="F849" s="219"/>
      <c r="G849" s="219"/>
      <c r="H849" s="229"/>
      <c r="I849" s="219"/>
      <c r="J849" s="219"/>
      <c r="K849" s="219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</row>
    <row r="850">
      <c r="A850" s="242"/>
      <c r="B850" s="219"/>
      <c r="C850" s="229"/>
      <c r="D850" s="219"/>
      <c r="E850" s="219"/>
      <c r="F850" s="219"/>
      <c r="G850" s="219"/>
      <c r="H850" s="229"/>
      <c r="I850" s="219"/>
      <c r="J850" s="219"/>
      <c r="K850" s="219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</row>
    <row r="851">
      <c r="A851" s="242"/>
      <c r="B851" s="219"/>
      <c r="C851" s="229"/>
      <c r="D851" s="219"/>
      <c r="E851" s="219"/>
      <c r="F851" s="219"/>
      <c r="G851" s="219"/>
      <c r="H851" s="229"/>
      <c r="I851" s="219"/>
      <c r="J851" s="219"/>
      <c r="K851" s="219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</row>
    <row r="852">
      <c r="A852" s="242"/>
      <c r="B852" s="219"/>
      <c r="C852" s="229"/>
      <c r="D852" s="219"/>
      <c r="E852" s="219"/>
      <c r="F852" s="219"/>
      <c r="G852" s="219"/>
      <c r="H852" s="229"/>
      <c r="I852" s="219"/>
      <c r="J852" s="219"/>
      <c r="K852" s="219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</row>
    <row r="853">
      <c r="A853" s="242"/>
      <c r="B853" s="219"/>
      <c r="C853" s="229"/>
      <c r="D853" s="219"/>
      <c r="E853" s="219"/>
      <c r="F853" s="219"/>
      <c r="G853" s="219"/>
      <c r="H853" s="229"/>
      <c r="I853" s="219"/>
      <c r="J853" s="219"/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</row>
    <row r="854">
      <c r="A854" s="242"/>
      <c r="B854" s="219"/>
      <c r="C854" s="229"/>
      <c r="D854" s="219"/>
      <c r="E854" s="219"/>
      <c r="F854" s="219"/>
      <c r="G854" s="219"/>
      <c r="H854" s="229"/>
      <c r="I854" s="219"/>
      <c r="J854" s="219"/>
      <c r="K854" s="219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</row>
    <row r="855">
      <c r="A855" s="242"/>
      <c r="B855" s="219"/>
      <c r="C855" s="229"/>
      <c r="D855" s="219"/>
      <c r="E855" s="219"/>
      <c r="F855" s="219"/>
      <c r="G855" s="219"/>
      <c r="H855" s="229"/>
      <c r="I855" s="219"/>
      <c r="J855" s="219"/>
      <c r="K855" s="219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</row>
    <row r="856">
      <c r="A856" s="242"/>
      <c r="B856" s="219"/>
      <c r="C856" s="229"/>
      <c r="D856" s="219"/>
      <c r="E856" s="219"/>
      <c r="F856" s="219"/>
      <c r="G856" s="219"/>
      <c r="H856" s="229"/>
      <c r="I856" s="219"/>
      <c r="J856" s="219"/>
      <c r="K856" s="219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</row>
    <row r="857">
      <c r="A857" s="242"/>
      <c r="B857" s="219"/>
      <c r="C857" s="229"/>
      <c r="D857" s="219"/>
      <c r="E857" s="219"/>
      <c r="F857" s="219"/>
      <c r="G857" s="219"/>
      <c r="H857" s="229"/>
      <c r="I857" s="219"/>
      <c r="J857" s="219"/>
      <c r="K857" s="219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</row>
    <row r="858">
      <c r="A858" s="242"/>
      <c r="B858" s="219"/>
      <c r="C858" s="229"/>
      <c r="D858" s="219"/>
      <c r="E858" s="219"/>
      <c r="F858" s="219"/>
      <c r="G858" s="219"/>
      <c r="H858" s="229"/>
      <c r="I858" s="219"/>
      <c r="J858" s="219"/>
      <c r="K858" s="219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</row>
    <row r="859">
      <c r="A859" s="242"/>
      <c r="B859" s="219"/>
      <c r="C859" s="229"/>
      <c r="D859" s="219"/>
      <c r="E859" s="219"/>
      <c r="F859" s="219"/>
      <c r="G859" s="219"/>
      <c r="H859" s="229"/>
      <c r="I859" s="219"/>
      <c r="J859" s="219"/>
      <c r="K859" s="219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</row>
    <row r="860">
      <c r="A860" s="242"/>
      <c r="B860" s="219"/>
      <c r="C860" s="229"/>
      <c r="D860" s="219"/>
      <c r="E860" s="219"/>
      <c r="F860" s="219"/>
      <c r="G860" s="219"/>
      <c r="H860" s="229"/>
      <c r="I860" s="219"/>
      <c r="J860" s="219"/>
      <c r="K860" s="219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</row>
    <row r="861">
      <c r="A861" s="242"/>
      <c r="B861" s="219"/>
      <c r="C861" s="229"/>
      <c r="D861" s="219"/>
      <c r="E861" s="219"/>
      <c r="F861" s="219"/>
      <c r="G861" s="219"/>
      <c r="H861" s="229"/>
      <c r="I861" s="219"/>
      <c r="J861" s="219"/>
      <c r="K861" s="219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</row>
    <row r="862">
      <c r="A862" s="242"/>
      <c r="B862" s="219"/>
      <c r="C862" s="229"/>
      <c r="D862" s="219"/>
      <c r="E862" s="219"/>
      <c r="F862" s="219"/>
      <c r="G862" s="219"/>
      <c r="H862" s="229"/>
      <c r="I862" s="219"/>
      <c r="J862" s="219"/>
      <c r="K862" s="219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</row>
    <row r="863">
      <c r="A863" s="242"/>
      <c r="B863" s="219"/>
      <c r="C863" s="229"/>
      <c r="D863" s="219"/>
      <c r="E863" s="219"/>
      <c r="F863" s="219"/>
      <c r="G863" s="219"/>
      <c r="H863" s="229"/>
      <c r="I863" s="219"/>
      <c r="J863" s="219"/>
      <c r="K863" s="219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</row>
    <row r="864">
      <c r="A864" s="242"/>
      <c r="B864" s="219"/>
      <c r="C864" s="229"/>
      <c r="D864" s="219"/>
      <c r="E864" s="219"/>
      <c r="F864" s="219"/>
      <c r="G864" s="219"/>
      <c r="H864" s="229"/>
      <c r="I864" s="219"/>
      <c r="J864" s="219"/>
      <c r="K864" s="219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</row>
    <row r="865">
      <c r="A865" s="242"/>
      <c r="B865" s="219"/>
      <c r="C865" s="229"/>
      <c r="D865" s="219"/>
      <c r="E865" s="219"/>
      <c r="F865" s="219"/>
      <c r="G865" s="219"/>
      <c r="H865" s="229"/>
      <c r="I865" s="219"/>
      <c r="J865" s="219"/>
      <c r="K865" s="219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</row>
    <row r="866">
      <c r="A866" s="242"/>
      <c r="B866" s="219"/>
      <c r="C866" s="229"/>
      <c r="D866" s="219"/>
      <c r="E866" s="219"/>
      <c r="F866" s="219"/>
      <c r="G866" s="219"/>
      <c r="H866" s="229"/>
      <c r="I866" s="219"/>
      <c r="J866" s="219"/>
      <c r="K866" s="219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</row>
    <row r="867">
      <c r="A867" s="242"/>
      <c r="B867" s="219"/>
      <c r="C867" s="229"/>
      <c r="D867" s="219"/>
      <c r="E867" s="219"/>
      <c r="F867" s="219"/>
      <c r="G867" s="219"/>
      <c r="H867" s="229"/>
      <c r="I867" s="219"/>
      <c r="J867" s="219"/>
      <c r="K867" s="219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</row>
    <row r="868">
      <c r="A868" s="242"/>
      <c r="B868" s="219"/>
      <c r="C868" s="229"/>
      <c r="D868" s="219"/>
      <c r="E868" s="219"/>
      <c r="F868" s="219"/>
      <c r="G868" s="219"/>
      <c r="H868" s="229"/>
      <c r="I868" s="219"/>
      <c r="J868" s="219"/>
      <c r="K868" s="219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</row>
    <row r="869">
      <c r="A869" s="242"/>
      <c r="B869" s="219"/>
      <c r="C869" s="229"/>
      <c r="D869" s="219"/>
      <c r="E869" s="219"/>
      <c r="F869" s="219"/>
      <c r="G869" s="219"/>
      <c r="H869" s="229"/>
      <c r="I869" s="219"/>
      <c r="J869" s="219"/>
      <c r="K869" s="219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</row>
    <row r="870">
      <c r="A870" s="242"/>
      <c r="B870" s="219"/>
      <c r="C870" s="229"/>
      <c r="D870" s="219"/>
      <c r="E870" s="219"/>
      <c r="F870" s="219"/>
      <c r="G870" s="219"/>
      <c r="H870" s="229"/>
      <c r="I870" s="219"/>
      <c r="J870" s="219"/>
      <c r="K870" s="219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</row>
    <row r="871">
      <c r="A871" s="242"/>
      <c r="B871" s="219"/>
      <c r="C871" s="229"/>
      <c r="D871" s="219"/>
      <c r="E871" s="219"/>
      <c r="F871" s="219"/>
      <c r="G871" s="219"/>
      <c r="H871" s="229"/>
      <c r="I871" s="219"/>
      <c r="J871" s="219"/>
      <c r="K871" s="219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</row>
    <row r="872">
      <c r="A872" s="242"/>
      <c r="B872" s="219"/>
      <c r="C872" s="229"/>
      <c r="D872" s="219"/>
      <c r="E872" s="219"/>
      <c r="F872" s="219"/>
      <c r="G872" s="219"/>
      <c r="H872" s="229"/>
      <c r="I872" s="219"/>
      <c r="J872" s="219"/>
      <c r="K872" s="219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</row>
    <row r="873">
      <c r="A873" s="242"/>
      <c r="B873" s="219"/>
      <c r="C873" s="229"/>
      <c r="D873" s="219"/>
      <c r="E873" s="219"/>
      <c r="F873" s="219"/>
      <c r="G873" s="219"/>
      <c r="H873" s="229"/>
      <c r="I873" s="219"/>
      <c r="J873" s="219"/>
      <c r="K873" s="219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</row>
    <row r="874">
      <c r="A874" s="242"/>
      <c r="B874" s="219"/>
      <c r="C874" s="229"/>
      <c r="D874" s="219"/>
      <c r="E874" s="219"/>
      <c r="F874" s="219"/>
      <c r="G874" s="219"/>
      <c r="H874" s="229"/>
      <c r="I874" s="219"/>
      <c r="J874" s="219"/>
      <c r="K874" s="219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</row>
    <row r="875">
      <c r="A875" s="242"/>
      <c r="B875" s="219"/>
      <c r="C875" s="229"/>
      <c r="D875" s="219"/>
      <c r="E875" s="219"/>
      <c r="F875" s="219"/>
      <c r="G875" s="219"/>
      <c r="H875" s="229"/>
      <c r="I875" s="219"/>
      <c r="J875" s="219"/>
      <c r="K875" s="219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</row>
    <row r="876">
      <c r="A876" s="242"/>
      <c r="B876" s="219"/>
      <c r="C876" s="229"/>
      <c r="D876" s="219"/>
      <c r="E876" s="219"/>
      <c r="F876" s="219"/>
      <c r="G876" s="219"/>
      <c r="H876" s="229"/>
      <c r="I876" s="219"/>
      <c r="J876" s="219"/>
      <c r="K876" s="219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</row>
    <row r="877">
      <c r="A877" s="242"/>
      <c r="B877" s="219"/>
      <c r="C877" s="229"/>
      <c r="D877" s="219"/>
      <c r="E877" s="219"/>
      <c r="F877" s="219"/>
      <c r="G877" s="219"/>
      <c r="H877" s="229"/>
      <c r="I877" s="219"/>
      <c r="J877" s="219"/>
      <c r="K877" s="219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</row>
    <row r="878">
      <c r="A878" s="242"/>
      <c r="B878" s="219"/>
      <c r="C878" s="229"/>
      <c r="D878" s="219"/>
      <c r="E878" s="219"/>
      <c r="F878" s="219"/>
      <c r="G878" s="219"/>
      <c r="H878" s="229"/>
      <c r="I878" s="219"/>
      <c r="J878" s="219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</row>
    <row r="879">
      <c r="A879" s="242"/>
      <c r="B879" s="219"/>
      <c r="C879" s="229"/>
      <c r="D879" s="219"/>
      <c r="E879" s="219"/>
      <c r="F879" s="219"/>
      <c r="G879" s="219"/>
      <c r="H879" s="229"/>
      <c r="I879" s="219"/>
      <c r="J879" s="219"/>
      <c r="K879" s="219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</row>
    <row r="880">
      <c r="A880" s="242"/>
      <c r="B880" s="219"/>
      <c r="C880" s="229"/>
      <c r="D880" s="219"/>
      <c r="E880" s="219"/>
      <c r="F880" s="219"/>
      <c r="G880" s="219"/>
      <c r="H880" s="229"/>
      <c r="I880" s="219"/>
      <c r="J880" s="219"/>
      <c r="K880" s="219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</row>
    <row r="881">
      <c r="A881" s="242"/>
      <c r="B881" s="219"/>
      <c r="C881" s="229"/>
      <c r="D881" s="219"/>
      <c r="E881" s="219"/>
      <c r="F881" s="219"/>
      <c r="G881" s="219"/>
      <c r="H881" s="229"/>
      <c r="I881" s="219"/>
      <c r="J881" s="219"/>
      <c r="K881" s="219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</row>
    <row r="882">
      <c r="A882" s="242"/>
      <c r="B882" s="219"/>
      <c r="C882" s="229"/>
      <c r="D882" s="219"/>
      <c r="E882" s="219"/>
      <c r="F882" s="219"/>
      <c r="G882" s="219"/>
      <c r="H882" s="229"/>
      <c r="I882" s="219"/>
      <c r="J882" s="219"/>
      <c r="K882" s="219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</row>
    <row r="883">
      <c r="A883" s="242"/>
      <c r="B883" s="219"/>
      <c r="C883" s="229"/>
      <c r="D883" s="219"/>
      <c r="E883" s="219"/>
      <c r="F883" s="219"/>
      <c r="G883" s="219"/>
      <c r="H883" s="229"/>
      <c r="I883" s="219"/>
      <c r="J883" s="219"/>
      <c r="K883" s="219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</row>
    <row r="884">
      <c r="A884" s="242"/>
      <c r="B884" s="219"/>
      <c r="C884" s="229"/>
      <c r="D884" s="219"/>
      <c r="E884" s="219"/>
      <c r="F884" s="219"/>
      <c r="G884" s="219"/>
      <c r="H884" s="229"/>
      <c r="I884" s="219"/>
      <c r="J884" s="219"/>
      <c r="K884" s="219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</row>
    <row r="885">
      <c r="A885" s="242"/>
      <c r="B885" s="219"/>
      <c r="C885" s="229"/>
      <c r="D885" s="219"/>
      <c r="E885" s="219"/>
      <c r="F885" s="219"/>
      <c r="G885" s="219"/>
      <c r="H885" s="229"/>
      <c r="I885" s="219"/>
      <c r="J885" s="219"/>
      <c r="K885" s="219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</row>
    <row r="886">
      <c r="A886" s="242"/>
      <c r="B886" s="219"/>
      <c r="C886" s="229"/>
      <c r="D886" s="219"/>
      <c r="E886" s="219"/>
      <c r="F886" s="219"/>
      <c r="G886" s="219"/>
      <c r="H886" s="229"/>
      <c r="I886" s="219"/>
      <c r="J886" s="219"/>
      <c r="K886" s="219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</row>
    <row r="887">
      <c r="A887" s="242"/>
      <c r="B887" s="219"/>
      <c r="C887" s="229"/>
      <c r="D887" s="219"/>
      <c r="E887" s="219"/>
      <c r="F887" s="219"/>
      <c r="G887" s="219"/>
      <c r="H887" s="229"/>
      <c r="I887" s="219"/>
      <c r="J887" s="219"/>
      <c r="K887" s="219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</row>
    <row r="888">
      <c r="A888" s="242"/>
      <c r="B888" s="219"/>
      <c r="C888" s="229"/>
      <c r="D888" s="219"/>
      <c r="E888" s="219"/>
      <c r="F888" s="219"/>
      <c r="G888" s="219"/>
      <c r="H888" s="229"/>
      <c r="I888" s="219"/>
      <c r="J888" s="219"/>
      <c r="K888" s="219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</row>
    <row r="889">
      <c r="A889" s="242"/>
      <c r="B889" s="219"/>
      <c r="C889" s="229"/>
      <c r="D889" s="219"/>
      <c r="E889" s="219"/>
      <c r="F889" s="219"/>
      <c r="G889" s="219"/>
      <c r="H889" s="229"/>
      <c r="I889" s="219"/>
      <c r="J889" s="219"/>
      <c r="K889" s="219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</row>
    <row r="890">
      <c r="A890" s="242"/>
      <c r="B890" s="219"/>
      <c r="C890" s="229"/>
      <c r="D890" s="219"/>
      <c r="E890" s="219"/>
      <c r="F890" s="219"/>
      <c r="G890" s="219"/>
      <c r="H890" s="229"/>
      <c r="I890" s="219"/>
      <c r="J890" s="219"/>
      <c r="K890" s="219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</row>
    <row r="891">
      <c r="A891" s="242"/>
      <c r="B891" s="219"/>
      <c r="C891" s="229"/>
      <c r="D891" s="219"/>
      <c r="E891" s="219"/>
      <c r="F891" s="219"/>
      <c r="G891" s="219"/>
      <c r="H891" s="229"/>
      <c r="I891" s="219"/>
      <c r="J891" s="219"/>
      <c r="K891" s="219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</row>
    <row r="892">
      <c r="A892" s="242"/>
      <c r="B892" s="219"/>
      <c r="C892" s="229"/>
      <c r="D892" s="219"/>
      <c r="E892" s="219"/>
      <c r="F892" s="219"/>
      <c r="G892" s="219"/>
      <c r="H892" s="229"/>
      <c r="I892" s="219"/>
      <c r="J892" s="219"/>
      <c r="K892" s="219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</row>
    <row r="893">
      <c r="A893" s="242"/>
      <c r="B893" s="219"/>
      <c r="C893" s="229"/>
      <c r="D893" s="219"/>
      <c r="E893" s="219"/>
      <c r="F893" s="219"/>
      <c r="G893" s="219"/>
      <c r="H893" s="229"/>
      <c r="I893" s="219"/>
      <c r="J893" s="219"/>
      <c r="K893" s="219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</row>
    <row r="894">
      <c r="A894" s="242"/>
      <c r="B894" s="219"/>
      <c r="C894" s="229"/>
      <c r="D894" s="219"/>
      <c r="E894" s="219"/>
      <c r="F894" s="219"/>
      <c r="G894" s="219"/>
      <c r="H894" s="229"/>
      <c r="I894" s="219"/>
      <c r="J894" s="219"/>
      <c r="K894" s="219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</row>
    <row r="895">
      <c r="A895" s="242"/>
      <c r="B895" s="219"/>
      <c r="C895" s="229"/>
      <c r="D895" s="219"/>
      <c r="E895" s="219"/>
      <c r="F895" s="219"/>
      <c r="G895" s="219"/>
      <c r="H895" s="229"/>
      <c r="I895" s="219"/>
      <c r="J895" s="219"/>
      <c r="K895" s="219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</row>
    <row r="896">
      <c r="A896" s="242"/>
      <c r="B896" s="219"/>
      <c r="C896" s="229"/>
      <c r="D896" s="219"/>
      <c r="E896" s="219"/>
      <c r="F896" s="219"/>
      <c r="G896" s="219"/>
      <c r="H896" s="229"/>
      <c r="I896" s="219"/>
      <c r="J896" s="219"/>
      <c r="K896" s="219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</row>
    <row r="897">
      <c r="A897" s="242"/>
      <c r="B897" s="219"/>
      <c r="C897" s="229"/>
      <c r="D897" s="219"/>
      <c r="E897" s="219"/>
      <c r="F897" s="219"/>
      <c r="G897" s="219"/>
      <c r="H897" s="229"/>
      <c r="I897" s="219"/>
      <c r="J897" s="219"/>
      <c r="K897" s="219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</row>
    <row r="898">
      <c r="A898" s="242"/>
      <c r="B898" s="219"/>
      <c r="C898" s="229"/>
      <c r="D898" s="219"/>
      <c r="E898" s="219"/>
      <c r="F898" s="219"/>
      <c r="G898" s="219"/>
      <c r="H898" s="229"/>
      <c r="I898" s="219"/>
      <c r="J898" s="219"/>
      <c r="K898" s="219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</row>
    <row r="899">
      <c r="A899" s="242"/>
      <c r="B899" s="219"/>
      <c r="C899" s="229"/>
      <c r="D899" s="219"/>
      <c r="E899" s="219"/>
      <c r="F899" s="219"/>
      <c r="G899" s="219"/>
      <c r="H899" s="229"/>
      <c r="I899" s="219"/>
      <c r="J899" s="219"/>
      <c r="K899" s="219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</row>
    <row r="900">
      <c r="A900" s="242"/>
      <c r="B900" s="219"/>
      <c r="C900" s="229"/>
      <c r="D900" s="219"/>
      <c r="E900" s="219"/>
      <c r="F900" s="219"/>
      <c r="G900" s="219"/>
      <c r="H900" s="229"/>
      <c r="I900" s="219"/>
      <c r="J900" s="219"/>
      <c r="K900" s="219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</row>
    <row r="901">
      <c r="A901" s="242"/>
      <c r="B901" s="219"/>
      <c r="C901" s="229"/>
      <c r="D901" s="219"/>
      <c r="E901" s="219"/>
      <c r="F901" s="219"/>
      <c r="G901" s="219"/>
      <c r="H901" s="229"/>
      <c r="I901" s="219"/>
      <c r="J901" s="219"/>
      <c r="K901" s="219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</row>
    <row r="902">
      <c r="A902" s="242"/>
      <c r="B902" s="219"/>
      <c r="C902" s="229"/>
      <c r="D902" s="219"/>
      <c r="E902" s="219"/>
      <c r="F902" s="219"/>
      <c r="G902" s="219"/>
      <c r="H902" s="229"/>
      <c r="I902" s="219"/>
      <c r="J902" s="219"/>
      <c r="K902" s="219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</row>
    <row r="903">
      <c r="A903" s="242"/>
      <c r="B903" s="219"/>
      <c r="C903" s="229"/>
      <c r="D903" s="219"/>
      <c r="E903" s="219"/>
      <c r="F903" s="219"/>
      <c r="G903" s="219"/>
      <c r="H903" s="229"/>
      <c r="I903" s="219"/>
      <c r="J903" s="219"/>
      <c r="K903" s="219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</row>
    <row r="904">
      <c r="A904" s="242"/>
      <c r="B904" s="219"/>
      <c r="C904" s="229"/>
      <c r="D904" s="219"/>
      <c r="E904" s="219"/>
      <c r="F904" s="219"/>
      <c r="G904" s="219"/>
      <c r="H904" s="229"/>
      <c r="I904" s="219"/>
      <c r="J904" s="219"/>
      <c r="K904" s="219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</row>
    <row r="905">
      <c r="A905" s="242"/>
      <c r="B905" s="219"/>
      <c r="C905" s="229"/>
      <c r="D905" s="219"/>
      <c r="E905" s="219"/>
      <c r="F905" s="219"/>
      <c r="G905" s="219"/>
      <c r="H905" s="229"/>
      <c r="I905" s="219"/>
      <c r="J905" s="219"/>
      <c r="K905" s="219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</row>
    <row r="906">
      <c r="A906" s="242"/>
      <c r="B906" s="219"/>
      <c r="C906" s="229"/>
      <c r="D906" s="219"/>
      <c r="E906" s="219"/>
      <c r="F906" s="219"/>
      <c r="G906" s="219"/>
      <c r="H906" s="229"/>
      <c r="I906" s="219"/>
      <c r="J906" s="219"/>
      <c r="K906" s="219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</row>
    <row r="907">
      <c r="A907" s="242"/>
      <c r="B907" s="219"/>
      <c r="C907" s="229"/>
      <c r="D907" s="219"/>
      <c r="E907" s="219"/>
      <c r="F907" s="219"/>
      <c r="G907" s="219"/>
      <c r="H907" s="229"/>
      <c r="I907" s="219"/>
      <c r="J907" s="219"/>
      <c r="K907" s="219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</row>
    <row r="908">
      <c r="A908" s="242"/>
      <c r="B908" s="219"/>
      <c r="C908" s="229"/>
      <c r="D908" s="219"/>
      <c r="E908" s="219"/>
      <c r="F908" s="219"/>
      <c r="G908" s="219"/>
      <c r="H908" s="229"/>
      <c r="I908" s="219"/>
      <c r="J908" s="219"/>
      <c r="K908" s="219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</row>
    <row r="909">
      <c r="A909" s="242"/>
      <c r="B909" s="219"/>
      <c r="C909" s="229"/>
      <c r="D909" s="219"/>
      <c r="E909" s="219"/>
      <c r="F909" s="219"/>
      <c r="G909" s="219"/>
      <c r="H909" s="229"/>
      <c r="I909" s="219"/>
      <c r="J909" s="219"/>
      <c r="K909" s="219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</row>
    <row r="910">
      <c r="A910" s="242"/>
      <c r="B910" s="219"/>
      <c r="C910" s="229"/>
      <c r="D910" s="219"/>
      <c r="E910" s="219"/>
      <c r="F910" s="219"/>
      <c r="G910" s="219"/>
      <c r="H910" s="22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</row>
    <row r="911">
      <c r="A911" s="242"/>
      <c r="B911" s="219"/>
      <c r="C911" s="229"/>
      <c r="D911" s="219"/>
      <c r="E911" s="219"/>
      <c r="F911" s="219"/>
      <c r="G911" s="219"/>
      <c r="H911" s="22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</row>
    <row r="912">
      <c r="A912" s="242"/>
      <c r="B912" s="219"/>
      <c r="C912" s="229"/>
      <c r="D912" s="219"/>
      <c r="E912" s="219"/>
      <c r="F912" s="219"/>
      <c r="G912" s="219"/>
      <c r="H912" s="22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</row>
    <row r="913">
      <c r="A913" s="242"/>
      <c r="B913" s="219"/>
      <c r="C913" s="229"/>
      <c r="D913" s="219"/>
      <c r="E913" s="219"/>
      <c r="F913" s="219"/>
      <c r="G913" s="219"/>
      <c r="H913" s="22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</row>
    <row r="914">
      <c r="A914" s="242"/>
      <c r="B914" s="219"/>
      <c r="C914" s="229"/>
      <c r="D914" s="219"/>
      <c r="E914" s="219"/>
      <c r="F914" s="219"/>
      <c r="G914" s="219"/>
      <c r="H914" s="22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</row>
    <row r="915">
      <c r="A915" s="242"/>
      <c r="B915" s="219"/>
      <c r="C915" s="229"/>
      <c r="D915" s="219"/>
      <c r="E915" s="219"/>
      <c r="F915" s="219"/>
      <c r="G915" s="219"/>
      <c r="H915" s="22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</row>
    <row r="916">
      <c r="A916" s="242"/>
      <c r="B916" s="219"/>
      <c r="C916" s="229"/>
      <c r="D916" s="219"/>
      <c r="E916" s="219"/>
      <c r="F916" s="219"/>
      <c r="G916" s="219"/>
      <c r="H916" s="22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</row>
    <row r="917">
      <c r="A917" s="242"/>
      <c r="B917" s="219"/>
      <c r="C917" s="229"/>
      <c r="D917" s="219"/>
      <c r="E917" s="219"/>
      <c r="F917" s="219"/>
      <c r="G917" s="219"/>
      <c r="H917" s="22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</row>
    <row r="918">
      <c r="A918" s="242"/>
      <c r="B918" s="219"/>
      <c r="C918" s="229"/>
      <c r="D918" s="219"/>
      <c r="E918" s="219"/>
      <c r="F918" s="219"/>
      <c r="G918" s="219"/>
      <c r="H918" s="22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</row>
    <row r="919">
      <c r="A919" s="242"/>
      <c r="B919" s="219"/>
      <c r="C919" s="229"/>
      <c r="D919" s="219"/>
      <c r="E919" s="219"/>
      <c r="F919" s="219"/>
      <c r="G919" s="219"/>
      <c r="H919" s="22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</row>
    <row r="920">
      <c r="A920" s="242"/>
      <c r="B920" s="219"/>
      <c r="C920" s="229"/>
      <c r="D920" s="219"/>
      <c r="E920" s="219"/>
      <c r="F920" s="219"/>
      <c r="G920" s="219"/>
      <c r="H920" s="22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</row>
    <row r="921">
      <c r="A921" s="242"/>
      <c r="B921" s="219"/>
      <c r="C921" s="229"/>
      <c r="D921" s="219"/>
      <c r="E921" s="219"/>
      <c r="F921" s="219"/>
      <c r="G921" s="219"/>
      <c r="H921" s="22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</row>
    <row r="922">
      <c r="A922" s="242"/>
      <c r="B922" s="219"/>
      <c r="C922" s="229"/>
      <c r="D922" s="219"/>
      <c r="E922" s="219"/>
      <c r="F922" s="219"/>
      <c r="G922" s="219"/>
      <c r="H922" s="22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</row>
    <row r="923">
      <c r="A923" s="242"/>
      <c r="B923" s="219"/>
      <c r="C923" s="229"/>
      <c r="D923" s="219"/>
      <c r="E923" s="219"/>
      <c r="F923" s="219"/>
      <c r="G923" s="219"/>
      <c r="H923" s="229"/>
      <c r="I923" s="219"/>
      <c r="J923" s="219"/>
      <c r="K923" s="219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</row>
    <row r="924">
      <c r="A924" s="242"/>
      <c r="B924" s="219"/>
      <c r="C924" s="229"/>
      <c r="D924" s="219"/>
      <c r="E924" s="219"/>
      <c r="F924" s="219"/>
      <c r="G924" s="219"/>
      <c r="H924" s="229"/>
      <c r="I924" s="219"/>
      <c r="J924" s="219"/>
      <c r="K924" s="219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</row>
    <row r="925">
      <c r="A925" s="242"/>
      <c r="B925" s="219"/>
      <c r="C925" s="229"/>
      <c r="D925" s="219"/>
      <c r="E925" s="219"/>
      <c r="F925" s="219"/>
      <c r="G925" s="219"/>
      <c r="H925" s="229"/>
      <c r="I925" s="219"/>
      <c r="J925" s="219"/>
      <c r="K925" s="219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</row>
    <row r="926">
      <c r="A926" s="242"/>
      <c r="B926" s="219"/>
      <c r="C926" s="229"/>
      <c r="D926" s="219"/>
      <c r="E926" s="219"/>
      <c r="F926" s="219"/>
      <c r="G926" s="219"/>
      <c r="H926" s="229"/>
      <c r="I926" s="219"/>
      <c r="J926" s="219"/>
      <c r="K926" s="219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</row>
    <row r="927">
      <c r="A927" s="242"/>
      <c r="B927" s="219"/>
      <c r="C927" s="229"/>
      <c r="D927" s="219"/>
      <c r="E927" s="219"/>
      <c r="F927" s="219"/>
      <c r="G927" s="219"/>
      <c r="H927" s="229"/>
      <c r="I927" s="219"/>
      <c r="J927" s="219"/>
      <c r="K927" s="219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</row>
    <row r="928">
      <c r="A928" s="242"/>
      <c r="B928" s="219"/>
      <c r="C928" s="229"/>
      <c r="D928" s="219"/>
      <c r="E928" s="219"/>
      <c r="F928" s="219"/>
      <c r="G928" s="219"/>
      <c r="H928" s="229"/>
      <c r="I928" s="219"/>
      <c r="J928" s="219"/>
      <c r="K928" s="219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</row>
    <row r="929">
      <c r="A929" s="242"/>
      <c r="B929" s="219"/>
      <c r="C929" s="229"/>
      <c r="D929" s="219"/>
      <c r="E929" s="219"/>
      <c r="F929" s="219"/>
      <c r="G929" s="219"/>
      <c r="H929" s="229"/>
      <c r="I929" s="219"/>
      <c r="J929" s="219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</row>
    <row r="930">
      <c r="A930" s="242"/>
      <c r="B930" s="219"/>
      <c r="C930" s="229"/>
      <c r="D930" s="219"/>
      <c r="E930" s="219"/>
      <c r="F930" s="219"/>
      <c r="G930" s="219"/>
      <c r="H930" s="229"/>
      <c r="I930" s="219"/>
      <c r="J930" s="219"/>
      <c r="K930" s="219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</row>
    <row r="931">
      <c r="A931" s="242"/>
      <c r="B931" s="219"/>
      <c r="C931" s="229"/>
      <c r="D931" s="219"/>
      <c r="E931" s="219"/>
      <c r="F931" s="219"/>
      <c r="G931" s="219"/>
      <c r="H931" s="229"/>
      <c r="I931" s="219"/>
      <c r="J931" s="219"/>
      <c r="K931" s="219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</row>
    <row r="932">
      <c r="A932" s="242"/>
      <c r="B932" s="219"/>
      <c r="C932" s="229"/>
      <c r="D932" s="219"/>
      <c r="E932" s="219"/>
      <c r="F932" s="219"/>
      <c r="G932" s="219"/>
      <c r="H932" s="229"/>
      <c r="I932" s="219"/>
      <c r="J932" s="219"/>
      <c r="K932" s="219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</row>
    <row r="933">
      <c r="A933" s="242"/>
      <c r="B933" s="219"/>
      <c r="C933" s="229"/>
      <c r="D933" s="219"/>
      <c r="E933" s="219"/>
      <c r="F933" s="219"/>
      <c r="G933" s="219"/>
      <c r="H933" s="229"/>
      <c r="I933" s="219"/>
      <c r="J933" s="219"/>
      <c r="K933" s="219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</row>
    <row r="934">
      <c r="A934" s="242"/>
      <c r="B934" s="219"/>
      <c r="C934" s="229"/>
      <c r="D934" s="219"/>
      <c r="E934" s="219"/>
      <c r="F934" s="219"/>
      <c r="G934" s="219"/>
      <c r="H934" s="229"/>
      <c r="I934" s="219"/>
      <c r="J934" s="219"/>
      <c r="K934" s="219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</row>
    <row r="935">
      <c r="A935" s="242"/>
      <c r="B935" s="219"/>
      <c r="C935" s="229"/>
      <c r="D935" s="219"/>
      <c r="E935" s="219"/>
      <c r="F935" s="219"/>
      <c r="G935" s="219"/>
      <c r="H935" s="229"/>
      <c r="I935" s="219"/>
      <c r="J935" s="219"/>
      <c r="K935" s="219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</row>
    <row r="936">
      <c r="A936" s="242"/>
      <c r="B936" s="219"/>
      <c r="C936" s="229"/>
      <c r="D936" s="219"/>
      <c r="E936" s="219"/>
      <c r="F936" s="219"/>
      <c r="G936" s="219"/>
      <c r="H936" s="229"/>
      <c r="I936" s="219"/>
      <c r="J936" s="219"/>
      <c r="K936" s="219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</row>
    <row r="937">
      <c r="A937" s="242"/>
      <c r="B937" s="219"/>
      <c r="C937" s="229"/>
      <c r="D937" s="219"/>
      <c r="E937" s="219"/>
      <c r="F937" s="219"/>
      <c r="G937" s="219"/>
      <c r="H937" s="229"/>
      <c r="I937" s="219"/>
      <c r="J937" s="219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</row>
    <row r="938">
      <c r="A938" s="242"/>
      <c r="B938" s="219"/>
      <c r="C938" s="229"/>
      <c r="D938" s="219"/>
      <c r="E938" s="219"/>
      <c r="F938" s="219"/>
      <c r="G938" s="219"/>
      <c r="H938" s="229"/>
      <c r="I938" s="219"/>
      <c r="J938" s="219"/>
      <c r="K938" s="219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</row>
    <row r="939">
      <c r="A939" s="242"/>
      <c r="B939" s="219"/>
      <c r="C939" s="229"/>
      <c r="D939" s="219"/>
      <c r="E939" s="219"/>
      <c r="F939" s="219"/>
      <c r="G939" s="219"/>
      <c r="H939" s="229"/>
      <c r="I939" s="219"/>
      <c r="J939" s="219"/>
      <c r="K939" s="219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</row>
    <row r="940">
      <c r="A940" s="242"/>
      <c r="B940" s="219"/>
      <c r="C940" s="229"/>
      <c r="D940" s="219"/>
      <c r="E940" s="219"/>
      <c r="F940" s="219"/>
      <c r="G940" s="219"/>
      <c r="H940" s="229"/>
      <c r="I940" s="219"/>
      <c r="J940" s="219"/>
      <c r="K940" s="219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</row>
    <row r="941">
      <c r="A941" s="242"/>
      <c r="B941" s="219"/>
      <c r="C941" s="229"/>
      <c r="D941" s="219"/>
      <c r="E941" s="219"/>
      <c r="F941" s="219"/>
      <c r="G941" s="219"/>
      <c r="H941" s="229"/>
      <c r="I941" s="219"/>
      <c r="J941" s="219"/>
      <c r="K941" s="219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</row>
    <row r="942">
      <c r="A942" s="242"/>
      <c r="B942" s="219"/>
      <c r="C942" s="229"/>
      <c r="D942" s="219"/>
      <c r="E942" s="219"/>
      <c r="F942" s="219"/>
      <c r="G942" s="219"/>
      <c r="H942" s="229"/>
      <c r="I942" s="219"/>
      <c r="J942" s="219"/>
      <c r="K942" s="219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</row>
    <row r="943">
      <c r="A943" s="242"/>
      <c r="B943" s="219"/>
      <c r="C943" s="229"/>
      <c r="D943" s="219"/>
      <c r="E943" s="219"/>
      <c r="F943" s="219"/>
      <c r="G943" s="219"/>
      <c r="H943" s="229"/>
      <c r="I943" s="219"/>
      <c r="J943" s="219"/>
      <c r="K943" s="219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</row>
    <row r="944">
      <c r="A944" s="242"/>
      <c r="B944" s="219"/>
      <c r="C944" s="229"/>
      <c r="D944" s="219"/>
      <c r="E944" s="219"/>
      <c r="F944" s="219"/>
      <c r="G944" s="219"/>
      <c r="H944" s="229"/>
      <c r="I944" s="219"/>
      <c r="J944" s="219"/>
      <c r="K944" s="219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</row>
    <row r="945">
      <c r="A945" s="242"/>
      <c r="B945" s="219"/>
      <c r="C945" s="229"/>
      <c r="D945" s="219"/>
      <c r="E945" s="219"/>
      <c r="F945" s="219"/>
      <c r="G945" s="219"/>
      <c r="H945" s="229"/>
      <c r="I945" s="219"/>
      <c r="J945" s="219"/>
      <c r="K945" s="219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</row>
    <row r="946">
      <c r="A946" s="242"/>
      <c r="B946" s="219"/>
      <c r="C946" s="229"/>
      <c r="D946" s="219"/>
      <c r="E946" s="219"/>
      <c r="F946" s="219"/>
      <c r="G946" s="219"/>
      <c r="H946" s="229"/>
      <c r="I946" s="219"/>
      <c r="J946" s="219"/>
      <c r="K946" s="219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</row>
    <row r="947">
      <c r="A947" s="242"/>
      <c r="B947" s="219"/>
      <c r="C947" s="229"/>
      <c r="D947" s="219"/>
      <c r="E947" s="219"/>
      <c r="F947" s="219"/>
      <c r="G947" s="219"/>
      <c r="H947" s="229"/>
      <c r="I947" s="219"/>
      <c r="J947" s="219"/>
      <c r="K947" s="219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</row>
    <row r="948">
      <c r="A948" s="242"/>
      <c r="B948" s="219"/>
      <c r="C948" s="229"/>
      <c r="D948" s="219"/>
      <c r="E948" s="219"/>
      <c r="F948" s="219"/>
      <c r="G948" s="219"/>
      <c r="H948" s="229"/>
      <c r="I948" s="219"/>
      <c r="J948" s="219"/>
      <c r="K948" s="219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</row>
    <row r="949">
      <c r="A949" s="242"/>
      <c r="B949" s="219"/>
      <c r="C949" s="229"/>
      <c r="D949" s="219"/>
      <c r="E949" s="219"/>
      <c r="F949" s="219"/>
      <c r="G949" s="219"/>
      <c r="H949" s="229"/>
      <c r="I949" s="219"/>
      <c r="J949" s="219"/>
      <c r="K949" s="219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</row>
    <row r="950">
      <c r="A950" s="242"/>
      <c r="B950" s="219"/>
      <c r="C950" s="229"/>
      <c r="D950" s="219"/>
      <c r="E950" s="219"/>
      <c r="F950" s="219"/>
      <c r="G950" s="219"/>
      <c r="H950" s="229"/>
      <c r="I950" s="219"/>
      <c r="J950" s="219"/>
      <c r="K950" s="219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</row>
    <row r="951">
      <c r="A951" s="242"/>
      <c r="B951" s="219"/>
      <c r="C951" s="229"/>
      <c r="D951" s="219"/>
      <c r="E951" s="219"/>
      <c r="F951" s="219"/>
      <c r="G951" s="219"/>
      <c r="H951" s="229"/>
      <c r="I951" s="219"/>
      <c r="J951" s="219"/>
      <c r="K951" s="219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</row>
    <row r="952">
      <c r="A952" s="242"/>
      <c r="B952" s="219"/>
      <c r="C952" s="229"/>
      <c r="D952" s="219"/>
      <c r="E952" s="219"/>
      <c r="F952" s="219"/>
      <c r="G952" s="219"/>
      <c r="H952" s="229"/>
      <c r="I952" s="219"/>
      <c r="J952" s="219"/>
      <c r="K952" s="219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</row>
    <row r="953">
      <c r="A953" s="242"/>
      <c r="B953" s="219"/>
      <c r="C953" s="229"/>
      <c r="D953" s="219"/>
      <c r="E953" s="219"/>
      <c r="F953" s="219"/>
      <c r="G953" s="219"/>
      <c r="H953" s="229"/>
      <c r="I953" s="219"/>
      <c r="J953" s="219"/>
      <c r="K953" s="219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</row>
    <row r="954">
      <c r="A954" s="242"/>
      <c r="B954" s="219"/>
      <c r="C954" s="229"/>
      <c r="D954" s="219"/>
      <c r="E954" s="219"/>
      <c r="F954" s="219"/>
      <c r="G954" s="219"/>
      <c r="H954" s="229"/>
      <c r="I954" s="219"/>
      <c r="J954" s="219"/>
      <c r="K954" s="219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</row>
    <row r="955">
      <c r="A955" s="242"/>
      <c r="B955" s="219"/>
      <c r="C955" s="229"/>
      <c r="D955" s="219"/>
      <c r="E955" s="219"/>
      <c r="F955" s="219"/>
      <c r="G955" s="219"/>
      <c r="H955" s="229"/>
      <c r="I955" s="219"/>
      <c r="J955" s="219"/>
      <c r="K955" s="219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</row>
    <row r="956">
      <c r="A956" s="242"/>
      <c r="B956" s="219"/>
      <c r="C956" s="229"/>
      <c r="D956" s="219"/>
      <c r="E956" s="219"/>
      <c r="F956" s="219"/>
      <c r="G956" s="219"/>
      <c r="H956" s="229"/>
      <c r="I956" s="219"/>
      <c r="J956" s="219"/>
      <c r="K956" s="219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</row>
    <row r="957">
      <c r="A957" s="242"/>
      <c r="B957" s="219"/>
      <c r="C957" s="229"/>
      <c r="D957" s="219"/>
      <c r="E957" s="219"/>
      <c r="F957" s="219"/>
      <c r="G957" s="219"/>
      <c r="H957" s="229"/>
      <c r="I957" s="219"/>
      <c r="J957" s="219"/>
      <c r="K957" s="219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</row>
    <row r="958">
      <c r="A958" s="242"/>
      <c r="B958" s="219"/>
      <c r="C958" s="229"/>
      <c r="D958" s="219"/>
      <c r="E958" s="219"/>
      <c r="F958" s="219"/>
      <c r="G958" s="219"/>
      <c r="H958" s="229"/>
      <c r="I958" s="219"/>
      <c r="J958" s="219"/>
      <c r="K958" s="219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</row>
    <row r="959">
      <c r="A959" s="242"/>
      <c r="B959" s="219"/>
      <c r="C959" s="229"/>
      <c r="D959" s="219"/>
      <c r="E959" s="219"/>
      <c r="F959" s="219"/>
      <c r="G959" s="219"/>
      <c r="H959" s="229"/>
      <c r="I959" s="219"/>
      <c r="J959" s="219"/>
      <c r="K959" s="219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</row>
    <row r="960">
      <c r="A960" s="242"/>
      <c r="B960" s="219"/>
      <c r="C960" s="229"/>
      <c r="D960" s="219"/>
      <c r="E960" s="219"/>
      <c r="F960" s="219"/>
      <c r="G960" s="219"/>
      <c r="H960" s="229"/>
      <c r="I960" s="219"/>
      <c r="J960" s="219"/>
      <c r="K960" s="219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</row>
    <row r="961">
      <c r="A961" s="242"/>
      <c r="B961" s="219"/>
      <c r="C961" s="229"/>
      <c r="D961" s="219"/>
      <c r="E961" s="219"/>
      <c r="F961" s="219"/>
      <c r="G961" s="219"/>
      <c r="H961" s="229"/>
      <c r="I961" s="219"/>
      <c r="J961" s="219"/>
      <c r="K961" s="219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</row>
    <row r="962">
      <c r="A962" s="242"/>
      <c r="B962" s="219"/>
      <c r="C962" s="229"/>
      <c r="D962" s="219"/>
      <c r="E962" s="219"/>
      <c r="F962" s="219"/>
      <c r="G962" s="219"/>
      <c r="H962" s="229"/>
      <c r="I962" s="219"/>
      <c r="J962" s="219"/>
      <c r="K962" s="219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</row>
    <row r="963">
      <c r="A963" s="242"/>
      <c r="B963" s="219"/>
      <c r="C963" s="229"/>
      <c r="D963" s="219"/>
      <c r="E963" s="219"/>
      <c r="F963" s="219"/>
      <c r="G963" s="219"/>
      <c r="H963" s="229"/>
      <c r="I963" s="219"/>
      <c r="J963" s="219"/>
      <c r="K963" s="219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</row>
    <row r="964">
      <c r="A964" s="242"/>
      <c r="B964" s="219"/>
      <c r="C964" s="229"/>
      <c r="D964" s="219"/>
      <c r="E964" s="219"/>
      <c r="F964" s="219"/>
      <c r="G964" s="219"/>
      <c r="H964" s="229"/>
      <c r="I964" s="219"/>
      <c r="J964" s="219"/>
      <c r="K964" s="219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</row>
    <row r="965">
      <c r="A965" s="242"/>
      <c r="B965" s="219"/>
      <c r="C965" s="229"/>
      <c r="D965" s="219"/>
      <c r="E965" s="219"/>
      <c r="F965" s="219"/>
      <c r="G965" s="219"/>
      <c r="H965" s="229"/>
      <c r="I965" s="219"/>
      <c r="J965" s="219"/>
      <c r="K965" s="219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</row>
    <row r="966">
      <c r="A966" s="242"/>
      <c r="B966" s="219"/>
      <c r="C966" s="229"/>
      <c r="D966" s="219"/>
      <c r="E966" s="219"/>
      <c r="F966" s="219"/>
      <c r="G966" s="219"/>
      <c r="H966" s="229"/>
      <c r="I966" s="219"/>
      <c r="J966" s="219"/>
      <c r="K966" s="219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</row>
    <row r="967">
      <c r="A967" s="242"/>
      <c r="B967" s="219"/>
      <c r="C967" s="229"/>
      <c r="D967" s="219"/>
      <c r="E967" s="219"/>
      <c r="F967" s="219"/>
      <c r="G967" s="219"/>
      <c r="H967" s="229"/>
      <c r="I967" s="219"/>
      <c r="J967" s="219"/>
      <c r="K967" s="219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</row>
    <row r="968">
      <c r="A968" s="242"/>
      <c r="B968" s="219"/>
      <c r="C968" s="229"/>
      <c r="D968" s="219"/>
      <c r="E968" s="219"/>
      <c r="F968" s="219"/>
      <c r="G968" s="219"/>
      <c r="H968" s="229"/>
      <c r="I968" s="219"/>
      <c r="J968" s="219"/>
      <c r="K968" s="219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</row>
    <row r="969">
      <c r="A969" s="242"/>
      <c r="B969" s="219"/>
      <c r="C969" s="229"/>
      <c r="D969" s="219"/>
      <c r="E969" s="219"/>
      <c r="F969" s="219"/>
      <c r="G969" s="219"/>
      <c r="H969" s="229"/>
      <c r="I969" s="219"/>
      <c r="J969" s="219"/>
      <c r="K969" s="219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</row>
    <row r="970">
      <c r="A970" s="242"/>
      <c r="B970" s="219"/>
      <c r="C970" s="229"/>
      <c r="D970" s="219"/>
      <c r="E970" s="219"/>
      <c r="F970" s="219"/>
      <c r="G970" s="219"/>
      <c r="H970" s="229"/>
      <c r="I970" s="219"/>
      <c r="J970" s="219"/>
      <c r="K970" s="219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</row>
    <row r="971">
      <c r="A971" s="242"/>
      <c r="B971" s="219"/>
      <c r="C971" s="229"/>
      <c r="D971" s="219"/>
      <c r="E971" s="219"/>
      <c r="F971" s="219"/>
      <c r="G971" s="219"/>
      <c r="H971" s="229"/>
      <c r="I971" s="219"/>
      <c r="J971" s="219"/>
      <c r="K971" s="219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</row>
    <row r="972">
      <c r="A972" s="242"/>
      <c r="B972" s="219"/>
      <c r="C972" s="229"/>
      <c r="D972" s="219"/>
      <c r="E972" s="219"/>
      <c r="F972" s="219"/>
      <c r="G972" s="219"/>
      <c r="H972" s="229"/>
      <c r="I972" s="219"/>
      <c r="J972" s="219"/>
      <c r="K972" s="219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</row>
    <row r="973">
      <c r="A973" s="242"/>
      <c r="B973" s="219"/>
      <c r="C973" s="229"/>
      <c r="D973" s="219"/>
      <c r="E973" s="219"/>
      <c r="F973" s="219"/>
      <c r="G973" s="219"/>
      <c r="H973" s="229"/>
      <c r="I973" s="219"/>
      <c r="J973" s="219"/>
      <c r="K973" s="219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</row>
    <row r="974">
      <c r="A974" s="242"/>
      <c r="B974" s="219"/>
      <c r="C974" s="229"/>
      <c r="D974" s="219"/>
      <c r="E974" s="219"/>
      <c r="F974" s="219"/>
      <c r="G974" s="219"/>
      <c r="H974" s="229"/>
      <c r="I974" s="219"/>
      <c r="J974" s="219"/>
      <c r="K974" s="219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</row>
    <row r="975">
      <c r="A975" s="242"/>
      <c r="B975" s="219"/>
      <c r="C975" s="229"/>
      <c r="D975" s="219"/>
      <c r="E975" s="219"/>
      <c r="F975" s="219"/>
      <c r="G975" s="219"/>
      <c r="H975" s="229"/>
      <c r="I975" s="219"/>
      <c r="J975" s="219"/>
      <c r="K975" s="219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</row>
    <row r="976">
      <c r="A976" s="242"/>
      <c r="B976" s="219"/>
      <c r="C976" s="229"/>
      <c r="D976" s="219"/>
      <c r="E976" s="219"/>
      <c r="F976" s="219"/>
      <c r="G976" s="219"/>
      <c r="H976" s="229"/>
      <c r="I976" s="219"/>
      <c r="J976" s="219"/>
      <c r="K976" s="219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</row>
    <row r="977">
      <c r="A977" s="242"/>
      <c r="B977" s="219"/>
      <c r="C977" s="229"/>
      <c r="D977" s="219"/>
      <c r="E977" s="219"/>
      <c r="F977" s="219"/>
      <c r="G977" s="219"/>
      <c r="H977" s="229"/>
      <c r="I977" s="219"/>
      <c r="J977" s="219"/>
      <c r="K977" s="219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</row>
    <row r="978">
      <c r="A978" s="242"/>
      <c r="B978" s="219"/>
      <c r="C978" s="229"/>
      <c r="D978" s="219"/>
      <c r="E978" s="219"/>
      <c r="F978" s="219"/>
      <c r="G978" s="219"/>
      <c r="H978" s="229"/>
      <c r="I978" s="219"/>
      <c r="J978" s="219"/>
      <c r="K978" s="219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</row>
    <row r="979">
      <c r="A979" s="242"/>
      <c r="B979" s="219"/>
      <c r="C979" s="229"/>
      <c r="D979" s="219"/>
      <c r="E979" s="219"/>
      <c r="F979" s="219"/>
      <c r="G979" s="219"/>
      <c r="H979" s="229"/>
      <c r="I979" s="219"/>
      <c r="J979" s="219"/>
      <c r="K979" s="219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</row>
    <row r="980">
      <c r="A980" s="242"/>
      <c r="B980" s="219"/>
      <c r="C980" s="229"/>
      <c r="D980" s="219"/>
      <c r="E980" s="219"/>
      <c r="F980" s="219"/>
      <c r="G980" s="219"/>
      <c r="H980" s="229"/>
      <c r="I980" s="219"/>
      <c r="J980" s="219"/>
      <c r="K980" s="219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</row>
    <row r="981">
      <c r="A981" s="242"/>
      <c r="B981" s="219"/>
      <c r="C981" s="229"/>
      <c r="D981" s="219"/>
      <c r="E981" s="219"/>
      <c r="F981" s="219"/>
      <c r="G981" s="219"/>
      <c r="H981" s="229"/>
      <c r="I981" s="219"/>
      <c r="J981" s="219"/>
      <c r="K981" s="219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</row>
    <row r="982">
      <c r="A982" s="242"/>
      <c r="B982" s="219"/>
      <c r="C982" s="229"/>
      <c r="D982" s="219"/>
      <c r="E982" s="219"/>
      <c r="F982" s="219"/>
      <c r="G982" s="219"/>
      <c r="H982" s="229"/>
      <c r="I982" s="219"/>
      <c r="J982" s="219"/>
      <c r="K982" s="219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</row>
    <row r="983">
      <c r="A983" s="242"/>
      <c r="B983" s="219"/>
      <c r="C983" s="229"/>
      <c r="D983" s="219"/>
      <c r="E983" s="219"/>
      <c r="F983" s="219"/>
      <c r="G983" s="219"/>
      <c r="H983" s="229"/>
      <c r="I983" s="219"/>
      <c r="J983" s="219"/>
      <c r="K983" s="219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</row>
    <row r="984">
      <c r="A984" s="242"/>
      <c r="B984" s="219"/>
      <c r="C984" s="229"/>
      <c r="D984" s="219"/>
      <c r="E984" s="219"/>
      <c r="F984" s="219"/>
      <c r="G984" s="219"/>
      <c r="H984" s="229"/>
      <c r="I984" s="219"/>
      <c r="J984" s="219"/>
      <c r="K984" s="219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</row>
    <row r="985">
      <c r="A985" s="242"/>
      <c r="B985" s="219"/>
      <c r="C985" s="229"/>
      <c r="D985" s="219"/>
      <c r="E985" s="219"/>
      <c r="F985" s="219"/>
      <c r="G985" s="219"/>
      <c r="H985" s="229"/>
      <c r="I985" s="219"/>
      <c r="J985" s="219"/>
      <c r="K985" s="219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</row>
    <row r="986">
      <c r="A986" s="242"/>
      <c r="B986" s="219"/>
      <c r="C986" s="229"/>
      <c r="D986" s="219"/>
      <c r="E986" s="219"/>
      <c r="F986" s="219"/>
      <c r="G986" s="219"/>
      <c r="H986" s="229"/>
      <c r="I986" s="219"/>
      <c r="J986" s="219"/>
      <c r="K986" s="219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</row>
    <row r="987">
      <c r="A987" s="242"/>
      <c r="B987" s="219"/>
      <c r="C987" s="229"/>
      <c r="D987" s="219"/>
      <c r="E987" s="219"/>
      <c r="F987" s="219"/>
      <c r="G987" s="219"/>
      <c r="H987" s="229"/>
      <c r="I987" s="219"/>
      <c r="J987" s="219"/>
      <c r="K987" s="219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</row>
    <row r="988">
      <c r="A988" s="242"/>
      <c r="B988" s="219"/>
      <c r="C988" s="229"/>
      <c r="D988" s="219"/>
      <c r="E988" s="219"/>
      <c r="F988" s="219"/>
      <c r="G988" s="219"/>
      <c r="H988" s="229"/>
      <c r="I988" s="219"/>
      <c r="J988" s="219"/>
      <c r="K988" s="219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</row>
    <row r="989">
      <c r="A989" s="242"/>
      <c r="B989" s="219"/>
      <c r="C989" s="229"/>
      <c r="D989" s="219"/>
      <c r="E989" s="219"/>
      <c r="F989" s="219"/>
      <c r="G989" s="219"/>
      <c r="H989" s="229"/>
      <c r="I989" s="219"/>
      <c r="J989" s="219"/>
      <c r="K989" s="219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</row>
    <row r="990">
      <c r="A990" s="242"/>
      <c r="B990" s="219"/>
      <c r="C990" s="229"/>
      <c r="D990" s="219"/>
      <c r="E990" s="219"/>
      <c r="F990" s="219"/>
      <c r="G990" s="219"/>
      <c r="H990" s="229"/>
      <c r="I990" s="219"/>
      <c r="J990" s="219"/>
      <c r="K990" s="219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</row>
    <row r="991">
      <c r="A991" s="242"/>
      <c r="B991" s="219"/>
      <c r="C991" s="229"/>
      <c r="D991" s="219"/>
      <c r="E991" s="219"/>
      <c r="F991" s="219"/>
      <c r="G991" s="219"/>
      <c r="H991" s="229"/>
      <c r="I991" s="219"/>
      <c r="J991" s="219"/>
      <c r="K991" s="219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</row>
    <row r="992">
      <c r="A992" s="242"/>
      <c r="B992" s="219"/>
      <c r="C992" s="229"/>
      <c r="D992" s="219"/>
      <c r="E992" s="219"/>
      <c r="F992" s="219"/>
      <c r="G992" s="219"/>
      <c r="H992" s="229"/>
      <c r="I992" s="219"/>
      <c r="J992" s="219"/>
      <c r="K992" s="219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</row>
    <row r="993">
      <c r="A993" s="242"/>
      <c r="B993" s="219"/>
      <c r="C993" s="229"/>
      <c r="D993" s="219"/>
      <c r="E993" s="219"/>
      <c r="F993" s="219"/>
      <c r="G993" s="219"/>
      <c r="H993" s="229"/>
      <c r="I993" s="219"/>
      <c r="J993" s="219"/>
      <c r="K993" s="219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219"/>
      <c r="X993" s="219"/>
      <c r="Y993" s="219"/>
      <c r="Z993" s="219"/>
    </row>
    <row r="994">
      <c r="A994" s="242"/>
      <c r="B994" s="219"/>
      <c r="C994" s="229"/>
      <c r="D994" s="219"/>
      <c r="E994" s="219"/>
      <c r="F994" s="219"/>
      <c r="G994" s="219"/>
      <c r="H994" s="229"/>
      <c r="I994" s="219"/>
      <c r="J994" s="219"/>
      <c r="K994" s="219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219"/>
      <c r="X994" s="219"/>
      <c r="Y994" s="219"/>
      <c r="Z994" s="219"/>
    </row>
    <row r="995">
      <c r="A995" s="242"/>
      <c r="B995" s="219"/>
      <c r="C995" s="229"/>
      <c r="D995" s="219"/>
      <c r="E995" s="219"/>
      <c r="F995" s="219"/>
      <c r="G995" s="219"/>
      <c r="H995" s="229"/>
      <c r="I995" s="219"/>
      <c r="J995" s="219"/>
      <c r="K995" s="219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219"/>
      <c r="X995" s="219"/>
      <c r="Y995" s="219"/>
      <c r="Z995" s="219"/>
    </row>
    <row r="996">
      <c r="A996" s="242"/>
      <c r="B996" s="219"/>
      <c r="C996" s="229"/>
      <c r="D996" s="219"/>
      <c r="E996" s="219"/>
      <c r="F996" s="219"/>
      <c r="G996" s="219"/>
      <c r="H996" s="229"/>
      <c r="I996" s="219"/>
      <c r="J996" s="219"/>
      <c r="K996" s="219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219"/>
      <c r="X996" s="219"/>
      <c r="Y996" s="219"/>
      <c r="Z996" s="219"/>
    </row>
    <row r="997">
      <c r="A997" s="242"/>
      <c r="B997" s="219"/>
      <c r="C997" s="229"/>
      <c r="D997" s="219"/>
      <c r="E997" s="219"/>
      <c r="F997" s="219"/>
      <c r="G997" s="219"/>
      <c r="H997" s="229"/>
      <c r="I997" s="219"/>
      <c r="J997" s="219"/>
      <c r="K997" s="219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219"/>
      <c r="X997" s="219"/>
      <c r="Y997" s="219"/>
      <c r="Z997" s="219"/>
    </row>
    <row r="998">
      <c r="A998" s="242"/>
      <c r="B998" s="219"/>
      <c r="C998" s="229"/>
      <c r="D998" s="219"/>
      <c r="E998" s="219"/>
      <c r="F998" s="219"/>
      <c r="G998" s="219"/>
      <c r="H998" s="229"/>
      <c r="I998" s="219"/>
      <c r="J998" s="219"/>
      <c r="K998" s="219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219"/>
      <c r="X998" s="219"/>
      <c r="Y998" s="219"/>
      <c r="Z998" s="219"/>
    </row>
    <row r="999">
      <c r="A999" s="242"/>
      <c r="B999" s="219"/>
      <c r="C999" s="229"/>
      <c r="D999" s="219"/>
      <c r="E999" s="219"/>
      <c r="F999" s="219"/>
      <c r="G999" s="219"/>
      <c r="H999" s="229"/>
      <c r="I999" s="219"/>
      <c r="J999" s="219"/>
      <c r="K999" s="219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219"/>
      <c r="X999" s="219"/>
      <c r="Y999" s="219"/>
      <c r="Z999" s="219"/>
    </row>
    <row r="1000">
      <c r="A1000" s="242"/>
      <c r="B1000" s="219"/>
      <c r="C1000" s="229"/>
      <c r="D1000" s="219"/>
      <c r="E1000" s="219"/>
      <c r="F1000" s="219"/>
      <c r="G1000" s="219"/>
      <c r="H1000" s="229"/>
      <c r="I1000" s="219"/>
      <c r="J1000" s="219"/>
      <c r="K1000" s="219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219"/>
      <c r="X1000" s="219"/>
      <c r="Y1000" s="219"/>
      <c r="Z1000" s="219"/>
    </row>
    <row r="1001">
      <c r="A1001" s="242"/>
      <c r="B1001" s="219"/>
      <c r="C1001" s="229"/>
      <c r="D1001" s="219"/>
      <c r="E1001" s="219"/>
      <c r="F1001" s="219"/>
      <c r="G1001" s="219"/>
      <c r="H1001" s="229"/>
      <c r="I1001" s="219"/>
      <c r="J1001" s="219"/>
      <c r="K1001" s="219"/>
      <c r="L1001" s="219"/>
      <c r="M1001" s="219"/>
      <c r="N1001" s="219"/>
      <c r="O1001" s="219"/>
      <c r="P1001" s="219"/>
      <c r="Q1001" s="219"/>
      <c r="R1001" s="219"/>
      <c r="S1001" s="219"/>
      <c r="T1001" s="219"/>
      <c r="U1001" s="219"/>
      <c r="V1001" s="219"/>
      <c r="W1001" s="219"/>
      <c r="X1001" s="219"/>
      <c r="Y1001" s="219"/>
      <c r="Z1001" s="219"/>
    </row>
    <row r="1002">
      <c r="A1002" s="242"/>
      <c r="B1002" s="219"/>
      <c r="C1002" s="229"/>
      <c r="D1002" s="219"/>
      <c r="E1002" s="219"/>
      <c r="F1002" s="219"/>
      <c r="G1002" s="219"/>
      <c r="H1002" s="229"/>
      <c r="I1002" s="219"/>
      <c r="J1002" s="219"/>
      <c r="K1002" s="219"/>
      <c r="L1002" s="219"/>
      <c r="M1002" s="219"/>
      <c r="N1002" s="219"/>
      <c r="O1002" s="219"/>
      <c r="P1002" s="219"/>
      <c r="Q1002" s="219"/>
      <c r="R1002" s="219"/>
      <c r="S1002" s="219"/>
      <c r="T1002" s="219"/>
      <c r="U1002" s="219"/>
      <c r="V1002" s="219"/>
      <c r="W1002" s="219"/>
      <c r="X1002" s="219"/>
      <c r="Y1002" s="219"/>
      <c r="Z1002" s="219"/>
    </row>
    <row r="1003">
      <c r="A1003" s="242"/>
      <c r="B1003" s="219"/>
      <c r="C1003" s="229"/>
      <c r="D1003" s="219"/>
      <c r="E1003" s="219"/>
      <c r="F1003" s="219"/>
      <c r="G1003" s="219"/>
      <c r="H1003" s="229"/>
      <c r="I1003" s="219"/>
      <c r="J1003" s="219"/>
      <c r="K1003" s="219"/>
      <c r="L1003" s="219"/>
      <c r="M1003" s="219"/>
      <c r="N1003" s="219"/>
      <c r="O1003" s="219"/>
      <c r="P1003" s="219"/>
      <c r="Q1003" s="219"/>
      <c r="R1003" s="219"/>
      <c r="S1003" s="219"/>
      <c r="T1003" s="219"/>
      <c r="U1003" s="219"/>
      <c r="V1003" s="219"/>
      <c r="W1003" s="219"/>
      <c r="X1003" s="219"/>
      <c r="Y1003" s="219"/>
      <c r="Z1003" s="219"/>
    </row>
    <row r="1004">
      <c r="A1004" s="242"/>
      <c r="B1004" s="219"/>
      <c r="C1004" s="229"/>
      <c r="D1004" s="219"/>
      <c r="E1004" s="219"/>
      <c r="F1004" s="219"/>
      <c r="G1004" s="219"/>
      <c r="H1004" s="229"/>
      <c r="I1004" s="219"/>
      <c r="J1004" s="219"/>
      <c r="K1004" s="219"/>
      <c r="L1004" s="219"/>
      <c r="M1004" s="219"/>
      <c r="N1004" s="219"/>
      <c r="O1004" s="219"/>
      <c r="P1004" s="219"/>
      <c r="Q1004" s="219"/>
      <c r="R1004" s="219"/>
      <c r="S1004" s="219"/>
      <c r="T1004" s="219"/>
      <c r="U1004" s="219"/>
      <c r="V1004" s="219"/>
      <c r="W1004" s="219"/>
      <c r="X1004" s="219"/>
      <c r="Y1004" s="219"/>
      <c r="Z1004" s="219"/>
    </row>
    <row r="1005">
      <c r="A1005" s="242"/>
      <c r="B1005" s="219"/>
      <c r="C1005" s="229"/>
      <c r="D1005" s="219"/>
      <c r="E1005" s="219"/>
      <c r="F1005" s="219"/>
      <c r="G1005" s="219"/>
      <c r="H1005" s="229"/>
      <c r="I1005" s="219"/>
      <c r="J1005" s="219"/>
      <c r="K1005" s="219"/>
      <c r="L1005" s="219"/>
      <c r="M1005" s="219"/>
      <c r="N1005" s="219"/>
      <c r="O1005" s="219"/>
      <c r="P1005" s="219"/>
      <c r="Q1005" s="219"/>
      <c r="R1005" s="219"/>
      <c r="S1005" s="219"/>
      <c r="T1005" s="219"/>
      <c r="U1005" s="219"/>
      <c r="V1005" s="219"/>
      <c r="W1005" s="219"/>
      <c r="X1005" s="219"/>
      <c r="Y1005" s="219"/>
      <c r="Z1005" s="219"/>
    </row>
    <row r="1006">
      <c r="A1006" s="242"/>
      <c r="B1006" s="219"/>
      <c r="C1006" s="229"/>
      <c r="D1006" s="219"/>
      <c r="E1006" s="219"/>
      <c r="F1006" s="219"/>
      <c r="G1006" s="219"/>
      <c r="H1006" s="229"/>
      <c r="I1006" s="219"/>
      <c r="J1006" s="219"/>
      <c r="K1006" s="219"/>
      <c r="L1006" s="219"/>
      <c r="M1006" s="219"/>
      <c r="N1006" s="219"/>
      <c r="O1006" s="219"/>
      <c r="P1006" s="219"/>
      <c r="Q1006" s="219"/>
      <c r="R1006" s="219"/>
      <c r="S1006" s="219"/>
      <c r="T1006" s="219"/>
      <c r="U1006" s="219"/>
      <c r="V1006" s="219"/>
      <c r="W1006" s="219"/>
      <c r="X1006" s="219"/>
      <c r="Y1006" s="219"/>
      <c r="Z1006" s="219"/>
    </row>
    <row r="1007">
      <c r="A1007" s="242"/>
      <c r="B1007" s="219"/>
      <c r="C1007" s="229"/>
      <c r="D1007" s="219"/>
      <c r="E1007" s="219"/>
      <c r="F1007" s="219"/>
      <c r="G1007" s="219"/>
      <c r="H1007" s="229"/>
      <c r="I1007" s="219"/>
      <c r="J1007" s="219"/>
      <c r="K1007" s="219"/>
      <c r="L1007" s="219"/>
      <c r="M1007" s="219"/>
      <c r="N1007" s="219"/>
      <c r="O1007" s="219"/>
      <c r="P1007" s="219"/>
      <c r="Q1007" s="219"/>
      <c r="R1007" s="219"/>
      <c r="S1007" s="219"/>
      <c r="T1007" s="219"/>
      <c r="U1007" s="219"/>
      <c r="V1007" s="219"/>
      <c r="W1007" s="219"/>
      <c r="X1007" s="219"/>
      <c r="Y1007" s="219"/>
      <c r="Z1007" s="219"/>
    </row>
  </sheetData>
  <mergeCells count="9">
    <mergeCell ref="D18:F18"/>
    <mergeCell ref="H18:H19"/>
    <mergeCell ref="A1:A2"/>
    <mergeCell ref="D1:F1"/>
    <mergeCell ref="H1:H2"/>
    <mergeCell ref="A8:A9"/>
    <mergeCell ref="D8:F8"/>
    <mergeCell ref="H8:H9"/>
    <mergeCell ref="A18:A19"/>
  </mergeCells>
  <conditionalFormatting sqref="B3:B7 B10:B17">
    <cfRule type="expression" dxfId="14" priority="1">
      <formula>ISNUMBER(SEARCH("%", $B$2))</formula>
    </cfRule>
  </conditionalFormatting>
  <conditionalFormatting sqref="B20:B35">
    <cfRule type="expression" dxfId="14" priority="2">
      <formula>ISNUMBER(SEARCH("%", $B$19))</formula>
    </cfRule>
  </conditionalFormatting>
  <dataValidations>
    <dataValidation type="list" allowBlank="1" showErrorMessage="1" sqref="B2 B9 B19">
      <formula1>"-20%,-15%,-10%,-5%,0,5%,10%,15%,20%,25%,30%,35%,40%,45%,50%,60%,70%"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198" t="str">
        <f>IFERROR(__xludf.DUMMYFUNCTION("FILTER(
  IMPORTRANGE(""https://docs.google.com/spreadsheets/d/1ZBCmVvzoFu7X0td7O5T5xSJplK8m8h9wvdESBc0a1EE/edit#gid=1841437934"", ""Лист1!C3:C99""),
  IMPORTRANGE(""https://docs.google.com/spreadsheets/d/1ZBCmVvzoFu7X0td7O5T5xSJplK8m8h9wvdESBc0a1EE/edit#"&amp;"gid=1841437934"", ""Лист1!C3:C99"") &lt;&gt; """"
)
"),"ADV 350CC BLACK PHUKET 5849")</f>
        <v>ADV 350CC BLACK PHUKET 5849</v>
      </c>
    </row>
    <row r="2">
      <c r="A2" s="198" t="str">
        <f>IFERROR(__xludf.DUMMYFUNCTION("""COMPUTED_VALUE"""),"ADV 350CC GREY BKK 798")</f>
        <v>ADV 350CC GREY BKK 798</v>
      </c>
    </row>
    <row r="3">
      <c r="A3" s="201" t="str">
        <f>IFERROR(__xludf.DUMMYFUNCTION("""COMPUTED_VALUE"""),"CB 300CC R 9011")</f>
        <v>CB 300CC R 9011</v>
      </c>
    </row>
    <row r="4">
      <c r="A4" s="201" t="str">
        <f>IFERROR(__xludf.DUMMYFUNCTION("""COMPUTED_VALUE"""),"CBR 650R PHUKET 4505")</f>
        <v>CBR 650R PHUKET 4505</v>
      </c>
    </row>
    <row r="5">
      <c r="A5" s="198" t="str">
        <f>IFERROR(__xludf.DUMMYFUNCTION("""COMPUTED_VALUE"""),"CLICK 125CC PHUKET 5580")</f>
        <v>CLICK 125CC PHUKET 5580</v>
      </c>
    </row>
    <row r="6">
      <c r="A6" s="201" t="str">
        <f>IFERROR(__xludf.DUMMYFUNCTION("""COMPUTED_VALUE"""),"FORZA 300CC WHITE PHUKET 8950")</f>
        <v>FORZA 300CC WHITE PHUKET 8950</v>
      </c>
    </row>
    <row r="7">
      <c r="A7" s="201" t="str">
        <f>IFERROR(__xludf.DUMMYFUNCTION("""COMPUTED_VALUE"""),"MT-03 300СС BLUE PHUKET 5068")</f>
        <v>MT-03 300СС BLUE PHUKET 5068</v>
      </c>
    </row>
    <row r="8">
      <c r="A8" s="201" t="str">
        <f>IFERROR(__xludf.DUMMYFUNCTION("""COMPUTED_VALUE"""),"NINJA 400СС PHUKET 6334")</f>
        <v>NINJA 400СС PHUKET 6334</v>
      </c>
    </row>
    <row r="9">
      <c r="A9" s="201" t="str">
        <f>IFERROR(__xludf.DUMMYFUNCTION("""COMPUTED_VALUE"""),"NMAX 155CC BLACK GOLD PHUKET 4255")</f>
        <v>NMAX 155CC BLACK GOLD PHUKET 4255</v>
      </c>
    </row>
    <row r="10">
      <c r="A10" s="201" t="str">
        <f>IFERROR(__xludf.DUMMYFUNCTION("""COMPUTED_VALUE"""),"NMAX 155CC BLACK GOLD-2 PHUKET 4685")</f>
        <v>NMAX 155CC BLACK GOLD-2 PHUKET 4685</v>
      </c>
    </row>
    <row r="11">
      <c r="A11" s="201" t="str">
        <f>IFERROR(__xludf.DUMMYFUNCTION("""COMPUTED_VALUE"""),"NMAX 155CC BLACK GOLD-3 PHUKET 7530")</f>
        <v>NMAX 155CC BLACK GOLD-3 PHUKET 7530</v>
      </c>
    </row>
    <row r="12">
      <c r="A12" s="201" t="str">
        <f>IFERROR(__xludf.DUMMYFUNCTION("""COMPUTED_VALUE"""),"NMAX 155CC BLACK GREEN PHUKET 4253")</f>
        <v>NMAX 155CC BLACK GREEN PHUKET 4253</v>
      </c>
    </row>
    <row r="13">
      <c r="A13" s="201" t="str">
        <f>IFERROR(__xludf.DUMMYFUNCTION("""COMPUTED_VALUE"""),"NMAX 155CC BLACK PHUKET 8952")</f>
        <v>NMAX 155CC BLACK PHUKET 8952</v>
      </c>
    </row>
    <row r="14">
      <c r="A14" s="201" t="str">
        <f>IFERROR(__xludf.DUMMYFUNCTION("""COMPUTED_VALUE"""),"NMAX 155CC GREEN-B PHUKET 4957")</f>
        <v>NMAX 155CC GREEN-B PHUKET 4957</v>
      </c>
    </row>
    <row r="15">
      <c r="A15" s="198" t="str">
        <f>IFERROR(__xludf.DUMMYFUNCTION("""COMPUTED_VALUE"""),"NMAX 155CC GREY GOLD PHUKET 6908")</f>
        <v>NMAX 155CC GREY GOLD PHUKET 6908</v>
      </c>
    </row>
    <row r="16">
      <c r="A16" s="201" t="str">
        <f>IFERROR(__xludf.DUMMYFUNCTION("""COMPUTED_VALUE"""),"NMAX 155CC GREY PHUKET 5960")</f>
        <v>NMAX 155CC GREY PHUKET 5960</v>
      </c>
    </row>
    <row r="17">
      <c r="A17" s="201" t="str">
        <f>IFERROR(__xludf.DUMMYFUNCTION("""COMPUTED_VALUE"""),"NMAX 155CC RACE PHUKET 7532")</f>
        <v>NMAX 155CC RACE PHUKET 7532</v>
      </c>
    </row>
    <row r="18">
      <c r="A18" s="201" t="str">
        <f>IFERROR(__xludf.DUMMYFUNCTION("""COMPUTED_VALUE"""),"NMAX 155CC RED WHITE PHUKET 9548")</f>
        <v>NMAX 155CC RED WHITE PHUKET 9548</v>
      </c>
    </row>
    <row r="19">
      <c r="A19" s="201" t="str">
        <f>IFERROR(__xludf.DUMMYFUNCTION("""COMPUTED_VALUE"""),"VULCAN 650CC S PHUKET 5065")</f>
        <v>VULCAN 650CC S PHUKET 5065</v>
      </c>
    </row>
    <row r="20">
      <c r="A20" s="198" t="str">
        <f>IFERROR(__xludf.DUMMYFUNCTION("""COMPUTED_VALUE"""),"XMAX 300CC NEW RED GLOSS BKK 5709")</f>
        <v>XMAX 300CC NEW RED GLOSS BKK 5709</v>
      </c>
    </row>
    <row r="21">
      <c r="A21" s="201" t="str">
        <f>IFERROR(__xludf.DUMMYFUNCTION("""COMPUTED_VALUE"""),"XMAX 300CC BLUE PHUKET 5773")</f>
        <v>XMAX 300CC BLUE PHUKET 5773</v>
      </c>
    </row>
    <row r="22">
      <c r="A22" s="201" t="str">
        <f>IFERROR(__xludf.DUMMYFUNCTION("""COMPUTED_VALUE"""),"XMAX 300CC GREEN PHUKET 4248")</f>
        <v>XMAX 300CC GREEN PHUKET 4248</v>
      </c>
    </row>
    <row r="23">
      <c r="A23" s="201" t="str">
        <f>IFERROR(__xludf.DUMMYFUNCTION("""COMPUTED_VALUE"""),"XMAX 300CC GREY PHUKET 4246")</f>
        <v>XMAX 300CC GREY PHUKET 4246</v>
      </c>
    </row>
    <row r="24">
      <c r="A24" s="201" t="str">
        <f>IFERROR(__xludf.DUMMYFUNCTION("""COMPUTED_VALUE"""),"XSR 155СС BLACK PHUKET 8949")</f>
        <v>XSR 155СС BLACK PHUKET 8949</v>
      </c>
    </row>
    <row r="25">
      <c r="A25" s="201" t="str">
        <f>IFERROR(__xludf.DUMMYFUNCTION("""COMPUTED_VALUE"""),"XSR 155СС GREEN")</f>
        <v>XSR 155СС GREEN</v>
      </c>
    </row>
    <row r="26">
      <c r="A26" s="198" t="str">
        <f>IFERROR(__xludf.DUMMYFUNCTION("""COMPUTED_VALUE"""),"XMAX 300CC NEW BLACK PHUKET 8969")</f>
        <v>XMAX 300CC NEW BLACK PHUKET 8969</v>
      </c>
    </row>
    <row r="27">
      <c r="A27" s="198" t="str">
        <f>IFERROR(__xludf.DUMMYFUNCTION("""COMPUTED_VALUE"""),"XMAX 300CC NEW BLUE PHUKET 1813")</f>
        <v>XMAX 300CC NEW BLUE PHUKET 1813</v>
      </c>
    </row>
    <row r="28">
      <c r="A28" s="198" t="str">
        <f>IFERROR(__xludf.DUMMYFUNCTION("""COMPUTED_VALUE"""),"ADV 350CC DARK GREY BANGKOK 6895")</f>
        <v>ADV 350CC DARK GREY BANGKOK 6895</v>
      </c>
    </row>
    <row r="29">
      <c r="A29" s="198" t="str">
        <f>IFERROR(__xludf.DUMMYFUNCTION("""COMPUTED_VALUE"""),"XMAX 300CC NEW RED GLOSS 2 PHUKET 4729")</f>
        <v>XMAX 300CC NEW RED GLOSS 2 PHUKET 4729</v>
      </c>
    </row>
    <row r="30">
      <c r="A30" s="198" t="str">
        <f>IFERROR(__xludf.DUMMYFUNCTION("""COMPUTED_VALUE"""),"XMAX 300CC NEW BROWN BANGKOK 9315")</f>
        <v>XMAX 300CC NEW BROWN BANGKOK 9315</v>
      </c>
    </row>
    <row r="31">
      <c r="A31" s="198" t="str">
        <f>IFERROR(__xludf.DUMMYFUNCTION("""COMPUTED_VALUE"""),"ADV 350CC RED BKK 9890")</f>
        <v>ADV 350CC RED BKK 9890</v>
      </c>
    </row>
    <row r="32">
      <c r="A32" s="198" t="str">
        <f>IFERROR(__xludf.DUMMYFUNCTION("""COMPUTED_VALUE"""),"XADV 750CC BLACK BKK 3902")</f>
        <v>XADV 750CC BLACK BKK 3902</v>
      </c>
    </row>
    <row r="33">
      <c r="A33" s="198" t="str">
        <f>IFERROR(__xludf.DUMMYFUNCTION("""COMPUTED_VALUE"""),"XMAX 300CC NEW BLUE-2 PHUKET 4725")</f>
        <v>XMAX 300CC NEW BLUE-2 PHUKET 4725</v>
      </c>
    </row>
    <row r="34">
      <c r="A34" s="198" t="str">
        <f>IFERROR(__xludf.DUMMYFUNCTION("""COMPUTED_VALUE"""),"CB 650R BLACK PHUKET 3503")</f>
        <v>CB 650R BLACK PHUKET 3503</v>
      </c>
    </row>
    <row r="35">
      <c r="A35" s="198" t="str">
        <f>IFERROR(__xludf.DUMMYFUNCTION("""COMPUTED_VALUE"""),"XADV 750CC GREY BKK 2478")</f>
        <v>XADV 750CC GREY BKK 2478</v>
      </c>
    </row>
    <row r="36">
      <c r="A36" s="198" t="str">
        <f>IFERROR(__xludf.DUMMYFUNCTION("""COMPUTED_VALUE"""),"ADV 350CC LIGHT GREY HKT 6004")</f>
        <v>ADV 350CC LIGHT GREY HKT 6004</v>
      </c>
    </row>
    <row r="37">
      <c r="A37" s="198" t="str">
        <f>IFERROR(__xludf.DUMMYFUNCTION("""COMPUTED_VALUE"""),"ADV 350CC BLACK GOLD PHUKET 372")</f>
        <v>ADV 350CC BLACK GOLD PHUKET 372</v>
      </c>
    </row>
    <row r="38">
      <c r="A38" s="198" t="str">
        <f>IFERROR(__xludf.DUMMYFUNCTION("""COMPUTED_VALUE"""),"XMAX 300CC NEW BLUE-3 PHUKET 4724")</f>
        <v>XMAX 300CC NEW BLUE-3 PHUKET 4724</v>
      </c>
    </row>
  </sheetData>
  <hyperlinks>
    <hyperlink r:id="rId1" ref="A3"/>
    <hyperlink r:id="rId2" ref="A4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6"/>
    <hyperlink r:id="rId13" ref="A17"/>
    <hyperlink r:id="rId14" ref="A18"/>
    <hyperlink r:id="rId15" ref="A19"/>
    <hyperlink r:id="rId16" ref="A21"/>
    <hyperlink r:id="rId17" ref="A22"/>
    <hyperlink r:id="rId18" ref="A23"/>
    <hyperlink r:id="rId19" ref="A24"/>
    <hyperlink r:id="rId20" ref="A25"/>
  </hyperlinks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255" t="s">
        <v>2164</v>
      </c>
    </row>
    <row r="2">
      <c r="A2" s="255" t="s">
        <v>2165</v>
      </c>
    </row>
    <row r="3">
      <c r="A3" s="255" t="s">
        <v>2166</v>
      </c>
    </row>
    <row r="5">
      <c r="A5" s="255" t="s">
        <v>2167</v>
      </c>
    </row>
    <row r="7">
      <c r="A7" s="255" t="s">
        <v>2168</v>
      </c>
    </row>
    <row r="9">
      <c r="A9" s="255" t="s">
        <v>2169</v>
      </c>
    </row>
    <row r="11">
      <c r="A11" s="255" t="s">
        <v>2170</v>
      </c>
    </row>
    <row r="12">
      <c r="A12" s="255" t="s">
        <v>2171</v>
      </c>
    </row>
    <row r="13">
      <c r="A13" s="255" t="s">
        <v>2172</v>
      </c>
    </row>
    <row r="14">
      <c r="A14" s="255" t="s">
        <v>2173</v>
      </c>
    </row>
    <row r="15">
      <c r="A15" s="255" t="s">
        <v>2174</v>
      </c>
    </row>
    <row r="16">
      <c r="A16" s="255" t="s">
        <v>2175</v>
      </c>
    </row>
    <row r="18">
      <c r="A18" s="255" t="s">
        <v>2176</v>
      </c>
    </row>
    <row r="19">
      <c r="A19" s="255" t="s">
        <v>2177</v>
      </c>
    </row>
    <row r="20">
      <c r="A20" s="255" t="s">
        <v>2178</v>
      </c>
    </row>
    <row r="21">
      <c r="A21" s="255" t="s">
        <v>2179</v>
      </c>
    </row>
    <row r="22">
      <c r="A22" s="255" t="s">
        <v>2180</v>
      </c>
    </row>
    <row r="23">
      <c r="A23" s="255" t="s">
        <v>2181</v>
      </c>
    </row>
    <row r="25">
      <c r="A25" s="255" t="s">
        <v>2182</v>
      </c>
    </row>
    <row r="26">
      <c r="A26" s="255" t="s">
        <v>2183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4.56"/>
    <col customWidth="1" min="2" max="8" width="16.78"/>
    <col customWidth="1" min="9" max="9" width="17.33"/>
    <col customWidth="1" min="10" max="10" width="19.22"/>
    <col customWidth="1" min="11" max="12" width="16.78"/>
    <col customWidth="1" min="13" max="13" width="37.44"/>
    <col customWidth="1" min="14" max="18" width="16.78"/>
    <col customWidth="1" min="19" max="19" width="19.67"/>
    <col customWidth="1" min="20" max="28" width="16.78"/>
  </cols>
  <sheetData>
    <row r="1">
      <c r="A1" s="256" t="s">
        <v>2184</v>
      </c>
      <c r="B1" s="256" t="s">
        <v>515</v>
      </c>
      <c r="C1" s="256" t="s">
        <v>2185</v>
      </c>
      <c r="D1" s="256" t="s">
        <v>2186</v>
      </c>
      <c r="E1" s="256" t="s">
        <v>2187</v>
      </c>
      <c r="F1" s="256" t="s">
        <v>2188</v>
      </c>
      <c r="G1" s="256" t="s">
        <v>2189</v>
      </c>
      <c r="H1" s="256" t="s">
        <v>2190</v>
      </c>
      <c r="I1" s="256" t="s">
        <v>2191</v>
      </c>
      <c r="J1" s="256" t="s">
        <v>2192</v>
      </c>
      <c r="K1" s="256" t="s">
        <v>2193</v>
      </c>
      <c r="L1" s="256" t="s">
        <v>2194</v>
      </c>
      <c r="M1" s="256" t="s">
        <v>2195</v>
      </c>
      <c r="N1" s="256" t="s">
        <v>2196</v>
      </c>
      <c r="O1" s="256" t="s">
        <v>2197</v>
      </c>
      <c r="P1" s="256" t="s">
        <v>2198</v>
      </c>
      <c r="Q1" s="256" t="s">
        <v>2199</v>
      </c>
      <c r="R1" s="256" t="s">
        <v>2200</v>
      </c>
      <c r="S1" s="256" t="s">
        <v>2201</v>
      </c>
      <c r="T1" s="256" t="s">
        <v>2202</v>
      </c>
      <c r="U1" s="256" t="s">
        <v>2203</v>
      </c>
      <c r="V1" s="256" t="s">
        <v>2204</v>
      </c>
    </row>
    <row r="2">
      <c r="A2" s="257">
        <v>45440.97662971065</v>
      </c>
    </row>
    <row r="3">
      <c r="A3" s="257">
        <v>45440.99124148148</v>
      </c>
    </row>
    <row r="4">
      <c r="A4" s="257">
        <v>45447.84201712963</v>
      </c>
      <c r="B4" s="258" t="s">
        <v>2205</v>
      </c>
      <c r="H4" s="255">
        <v>5000.0</v>
      </c>
      <c r="M4" s="255" t="s">
        <v>68</v>
      </c>
    </row>
    <row r="5">
      <c r="A5" s="257">
        <v>45448.746135243055</v>
      </c>
      <c r="B5" s="258" t="s">
        <v>2206</v>
      </c>
      <c r="C5" s="259">
        <v>45448.0</v>
      </c>
      <c r="D5" s="255">
        <v>5654.0</v>
      </c>
      <c r="E5" s="255">
        <v>45654.0</v>
      </c>
      <c r="F5" s="255">
        <v>456546.0</v>
      </c>
      <c r="G5" s="255">
        <v>456546.0</v>
      </c>
      <c r="H5" s="255">
        <v>456546.0</v>
      </c>
      <c r="I5" s="255">
        <v>456.0</v>
      </c>
      <c r="J5" s="255">
        <v>456546.0</v>
      </c>
      <c r="K5" s="255" t="s">
        <v>2207</v>
      </c>
      <c r="L5" s="255" t="s">
        <v>2207</v>
      </c>
      <c r="M5" s="255" t="s">
        <v>68</v>
      </c>
      <c r="N5" s="255">
        <v>45654.0</v>
      </c>
      <c r="O5" s="255">
        <v>45654.0</v>
      </c>
      <c r="P5" s="255" t="s">
        <v>2208</v>
      </c>
      <c r="Q5" s="255">
        <v>2.0</v>
      </c>
      <c r="R5" s="259">
        <v>45448.0</v>
      </c>
      <c r="S5" s="260" t="s">
        <v>2209</v>
      </c>
      <c r="T5" s="259">
        <v>45473.0</v>
      </c>
      <c r="V5" s="255">
        <v>4564.0</v>
      </c>
    </row>
    <row r="6">
      <c r="A6" s="257">
        <v>45448.86845869213</v>
      </c>
      <c r="B6" s="258" t="s">
        <v>2210</v>
      </c>
    </row>
    <row r="7">
      <c r="A7" s="257">
        <v>45469.60044123842</v>
      </c>
      <c r="B7" s="258" t="s">
        <v>2211</v>
      </c>
      <c r="C7" s="259">
        <v>45469.0</v>
      </c>
      <c r="D7" s="255" t="s">
        <v>2212</v>
      </c>
      <c r="E7" s="255" t="s">
        <v>2213</v>
      </c>
      <c r="F7" s="255">
        <v>8.9112251432E10</v>
      </c>
      <c r="G7" s="255">
        <v>8.9062561285E10</v>
      </c>
      <c r="H7" s="255" t="s">
        <v>430</v>
      </c>
      <c r="I7" s="255">
        <v>890.0</v>
      </c>
      <c r="K7" s="255" t="s">
        <v>2214</v>
      </c>
      <c r="L7" s="255" t="s">
        <v>2214</v>
      </c>
      <c r="M7" s="255" t="s">
        <v>461</v>
      </c>
      <c r="N7" s="255">
        <v>120000.0</v>
      </c>
      <c r="O7" s="255">
        <v>30163.0</v>
      </c>
      <c r="Q7" s="255">
        <v>2.0</v>
      </c>
      <c r="R7" s="259">
        <v>45469.0</v>
      </c>
      <c r="S7" s="260" t="s">
        <v>2215</v>
      </c>
      <c r="T7" s="259">
        <v>45472.0</v>
      </c>
    </row>
    <row r="8">
      <c r="A8" s="257">
        <v>45471.566498182874</v>
      </c>
      <c r="B8" s="258" t="s">
        <v>2216</v>
      </c>
      <c r="C8" s="259">
        <v>45471.0</v>
      </c>
      <c r="D8" s="255" t="s">
        <v>2217</v>
      </c>
      <c r="E8" s="255" t="s">
        <v>2218</v>
      </c>
      <c r="H8" s="255" t="s">
        <v>1494</v>
      </c>
      <c r="I8" s="255">
        <v>150.0</v>
      </c>
      <c r="K8" s="255" t="s">
        <v>2219</v>
      </c>
      <c r="L8" s="255" t="s">
        <v>2219</v>
      </c>
      <c r="M8" s="255" t="s">
        <v>2220</v>
      </c>
      <c r="N8" s="255">
        <v>70000.0</v>
      </c>
      <c r="O8" s="255">
        <v>19000.0</v>
      </c>
      <c r="P8" s="255" t="s">
        <v>2208</v>
      </c>
      <c r="Q8" s="255">
        <v>2.0</v>
      </c>
      <c r="R8" s="259">
        <v>45471.0</v>
      </c>
      <c r="S8" s="260" t="s">
        <v>2221</v>
      </c>
      <c r="T8" s="259">
        <v>45476.0</v>
      </c>
    </row>
    <row r="9">
      <c r="A9" s="257">
        <v>45474.570744212964</v>
      </c>
      <c r="B9" s="258" t="s">
        <v>2222</v>
      </c>
      <c r="C9" s="259">
        <v>45474.0</v>
      </c>
      <c r="D9" s="255" t="s">
        <v>2223</v>
      </c>
      <c r="E9" s="255" t="s">
        <v>2224</v>
      </c>
      <c r="F9" s="255" t="s">
        <v>2225</v>
      </c>
      <c r="G9" s="255" t="s">
        <v>2226</v>
      </c>
      <c r="H9" s="255">
        <v>3000.0</v>
      </c>
      <c r="J9" s="255">
        <v>5900.0</v>
      </c>
      <c r="K9" s="255" t="s">
        <v>2214</v>
      </c>
      <c r="L9" s="255" t="s">
        <v>2214</v>
      </c>
      <c r="M9" s="255" t="s">
        <v>125</v>
      </c>
      <c r="N9" s="255">
        <v>80000.0</v>
      </c>
      <c r="O9" s="255">
        <v>22058.0</v>
      </c>
      <c r="P9" s="255" t="s">
        <v>2227</v>
      </c>
      <c r="Q9" s="255">
        <v>2.0</v>
      </c>
      <c r="R9" s="259">
        <v>45474.0</v>
      </c>
      <c r="S9" s="260" t="s">
        <v>2221</v>
      </c>
      <c r="T9" s="259">
        <v>45505.0</v>
      </c>
    </row>
    <row r="10">
      <c r="A10" s="257">
        <v>45479.617049039356</v>
      </c>
      <c r="B10" s="258" t="s">
        <v>2228</v>
      </c>
      <c r="C10" s="259">
        <v>45479.0</v>
      </c>
      <c r="D10" s="255" t="s">
        <v>2229</v>
      </c>
      <c r="E10" s="255" t="s">
        <v>2230</v>
      </c>
      <c r="F10" s="255">
        <v>8.9029121807E10</v>
      </c>
      <c r="H10" s="255">
        <v>3000.0</v>
      </c>
      <c r="I10" s="255">
        <v>250.0</v>
      </c>
      <c r="K10" s="255" t="s">
        <v>2230</v>
      </c>
      <c r="L10" s="255" t="s">
        <v>2230</v>
      </c>
      <c r="M10" s="255" t="s">
        <v>2220</v>
      </c>
      <c r="N10" s="255">
        <v>80000.0</v>
      </c>
      <c r="O10" s="255">
        <v>19352.0</v>
      </c>
      <c r="P10" s="255" t="s">
        <v>2227</v>
      </c>
      <c r="Q10" s="255">
        <v>2.0</v>
      </c>
      <c r="R10" s="259">
        <v>45479.0</v>
      </c>
      <c r="S10" s="260" t="s">
        <v>2231</v>
      </c>
      <c r="T10" s="259">
        <v>45497.0</v>
      </c>
    </row>
    <row r="11">
      <c r="A11" s="257">
        <v>45485.60612752315</v>
      </c>
      <c r="B11" s="258" t="s">
        <v>2232</v>
      </c>
      <c r="C11" s="259">
        <v>45485.0</v>
      </c>
      <c r="E11" s="255" t="s">
        <v>2233</v>
      </c>
      <c r="F11" s="255" t="s">
        <v>2234</v>
      </c>
      <c r="H11" s="255" t="s">
        <v>1502</v>
      </c>
      <c r="I11" s="255">
        <v>1590.0</v>
      </c>
      <c r="K11" s="255" t="s">
        <v>2214</v>
      </c>
      <c r="L11" s="255" t="s">
        <v>2214</v>
      </c>
      <c r="M11" s="255" t="s">
        <v>102</v>
      </c>
      <c r="N11" s="255">
        <v>160000.0</v>
      </c>
      <c r="O11" s="255">
        <v>41174.0</v>
      </c>
      <c r="Q11" s="255">
        <v>2.0</v>
      </c>
      <c r="R11" s="259">
        <v>45485.0</v>
      </c>
      <c r="S11" s="260" t="s">
        <v>2235</v>
      </c>
      <c r="T11" s="259">
        <v>45486.0</v>
      </c>
    </row>
    <row r="12">
      <c r="A12" s="257">
        <v>45485.609500949075</v>
      </c>
      <c r="B12" s="258" t="s">
        <v>2236</v>
      </c>
      <c r="C12" s="259">
        <v>45485.0</v>
      </c>
      <c r="E12" s="255" t="s">
        <v>2237</v>
      </c>
      <c r="F12" s="255" t="s">
        <v>2234</v>
      </c>
      <c r="H12" s="255">
        <v>600.0</v>
      </c>
      <c r="I12" s="255">
        <v>1290.0</v>
      </c>
      <c r="K12" s="255" t="s">
        <v>2214</v>
      </c>
      <c r="L12" s="255" t="s">
        <v>2214</v>
      </c>
      <c r="M12" s="255" t="s">
        <v>438</v>
      </c>
      <c r="N12" s="255">
        <v>140000.0</v>
      </c>
      <c r="O12" s="255">
        <v>22683.0</v>
      </c>
      <c r="P12" s="255" t="s">
        <v>2208</v>
      </c>
      <c r="Q12" s="255">
        <v>1.0</v>
      </c>
      <c r="R12" s="259">
        <v>45485.0</v>
      </c>
      <c r="S12" s="260" t="s">
        <v>2235</v>
      </c>
      <c r="T12" s="259">
        <v>45486.0</v>
      </c>
    </row>
    <row r="13">
      <c r="A13" s="257">
        <v>45490.54051752315</v>
      </c>
      <c r="B13" s="258" t="s">
        <v>2238</v>
      </c>
      <c r="C13" s="259">
        <v>45490.0</v>
      </c>
      <c r="D13" s="255" t="s">
        <v>2239</v>
      </c>
      <c r="E13" s="255" t="s">
        <v>2240</v>
      </c>
      <c r="H13" s="255">
        <v>5000.0</v>
      </c>
      <c r="I13" s="255">
        <v>650.0</v>
      </c>
      <c r="K13" s="255" t="s">
        <v>2207</v>
      </c>
      <c r="L13" s="255" t="s">
        <v>2207</v>
      </c>
      <c r="M13" s="255" t="s">
        <v>2241</v>
      </c>
      <c r="N13" s="255">
        <v>180000.0</v>
      </c>
      <c r="O13" s="255">
        <v>11009.0</v>
      </c>
      <c r="P13" s="255" t="s">
        <v>2242</v>
      </c>
      <c r="Q13" s="255">
        <v>2.0</v>
      </c>
      <c r="R13" s="259">
        <v>45490.0</v>
      </c>
      <c r="S13" s="260" t="s">
        <v>2231</v>
      </c>
      <c r="T13" s="259">
        <v>45495.0</v>
      </c>
      <c r="V13" s="255" t="s">
        <v>1505</v>
      </c>
    </row>
    <row r="14">
      <c r="A14" s="257">
        <v>45500.695575439815</v>
      </c>
      <c r="B14" s="258" t="s">
        <v>2243</v>
      </c>
      <c r="C14" s="259">
        <v>45500.0</v>
      </c>
      <c r="E14" s="255" t="s">
        <v>2244</v>
      </c>
      <c r="F14" s="255" t="s">
        <v>2245</v>
      </c>
      <c r="H14" s="255">
        <v>3000.0</v>
      </c>
      <c r="I14" s="255">
        <v>300.0</v>
      </c>
      <c r="K14" s="255" t="s">
        <v>2244</v>
      </c>
      <c r="L14" s="255" t="s">
        <v>2244</v>
      </c>
      <c r="M14" s="255" t="s">
        <v>114</v>
      </c>
      <c r="N14" s="255">
        <v>80000.0</v>
      </c>
      <c r="O14" s="255">
        <v>21872.0</v>
      </c>
      <c r="P14" s="255" t="s">
        <v>2208</v>
      </c>
      <c r="Q14" s="255">
        <v>2.0</v>
      </c>
      <c r="R14" s="259">
        <v>45500.0</v>
      </c>
      <c r="S14" s="260" t="s">
        <v>2246</v>
      </c>
      <c r="T14" s="259">
        <v>45508.0</v>
      </c>
    </row>
    <row r="15">
      <c r="A15" s="257">
        <v>45504.759224016205</v>
      </c>
      <c r="B15" s="258" t="s">
        <v>2247</v>
      </c>
      <c r="C15" s="259">
        <v>45504.0</v>
      </c>
      <c r="E15" s="255" t="s">
        <v>2248</v>
      </c>
      <c r="F15" s="255" t="s">
        <v>2249</v>
      </c>
      <c r="H15" s="255" t="s">
        <v>1502</v>
      </c>
      <c r="I15" s="255">
        <v>1490.0</v>
      </c>
      <c r="K15" s="255" t="s">
        <v>2214</v>
      </c>
      <c r="L15" s="255" t="s">
        <v>2214</v>
      </c>
      <c r="M15" s="255" t="s">
        <v>102</v>
      </c>
      <c r="N15" s="255">
        <v>190000.0</v>
      </c>
      <c r="O15" s="255">
        <v>41823.0</v>
      </c>
      <c r="P15" s="255" t="s">
        <v>2208</v>
      </c>
      <c r="Q15" s="255">
        <v>2.0</v>
      </c>
      <c r="R15" s="259">
        <v>45504.0</v>
      </c>
      <c r="S15" s="260" t="s">
        <v>2250</v>
      </c>
      <c r="T15" s="259">
        <v>45509.0</v>
      </c>
    </row>
    <row r="16">
      <c r="A16" s="257">
        <v>45504.780791157405</v>
      </c>
      <c r="B16" s="258" t="s">
        <v>2251</v>
      </c>
      <c r="C16" s="259">
        <v>45504.0</v>
      </c>
      <c r="E16" s="255" t="s">
        <v>2252</v>
      </c>
      <c r="F16" s="255" t="s">
        <v>2253</v>
      </c>
      <c r="H16" s="255">
        <v>3000.0</v>
      </c>
      <c r="I16" s="255">
        <v>300.0</v>
      </c>
      <c r="K16" s="255" t="s">
        <v>2207</v>
      </c>
      <c r="L16" s="255" t="s">
        <v>2207</v>
      </c>
      <c r="M16" s="255" t="s">
        <v>185</v>
      </c>
      <c r="N16" s="255">
        <v>70000.0</v>
      </c>
      <c r="O16" s="255">
        <v>30000.0</v>
      </c>
      <c r="P16" s="255" t="s">
        <v>2208</v>
      </c>
      <c r="Q16" s="255">
        <v>1.0</v>
      </c>
      <c r="R16" s="259">
        <v>45504.0</v>
      </c>
      <c r="S16" s="260" t="s">
        <v>2246</v>
      </c>
      <c r="T16" s="259">
        <v>45514.0</v>
      </c>
    </row>
    <row r="17">
      <c r="A17" s="257">
        <v>45513.67073210648</v>
      </c>
      <c r="B17" s="258" t="s">
        <v>2254</v>
      </c>
      <c r="C17" s="259">
        <v>45513.0</v>
      </c>
      <c r="D17" s="255" t="s">
        <v>2255</v>
      </c>
      <c r="E17" s="255" t="s">
        <v>2256</v>
      </c>
      <c r="H17" s="255">
        <v>8000.0</v>
      </c>
      <c r="J17" s="255">
        <v>6700.0</v>
      </c>
      <c r="K17" s="255" t="s">
        <v>2207</v>
      </c>
      <c r="L17" s="255" t="s">
        <v>2207</v>
      </c>
      <c r="M17" s="255" t="s">
        <v>193</v>
      </c>
      <c r="N17" s="255">
        <v>70000.0</v>
      </c>
      <c r="P17" s="255" t="s">
        <v>2208</v>
      </c>
      <c r="Q17" s="255">
        <v>1.0</v>
      </c>
      <c r="R17" s="259">
        <v>45513.0</v>
      </c>
      <c r="S17" s="260" t="s">
        <v>2246</v>
      </c>
      <c r="T17" s="259">
        <v>45544.0</v>
      </c>
    </row>
    <row r="18">
      <c r="A18" s="257">
        <v>45520.343036238424</v>
      </c>
      <c r="B18" s="258" t="s">
        <v>2257</v>
      </c>
      <c r="C18" s="259">
        <v>45520.0</v>
      </c>
      <c r="D18" s="255" t="s">
        <v>2258</v>
      </c>
      <c r="E18" s="255" t="s">
        <v>2258</v>
      </c>
      <c r="F18" s="255" t="s">
        <v>2259</v>
      </c>
      <c r="H18" s="255">
        <v>5000.0</v>
      </c>
      <c r="I18" s="255">
        <v>690.0</v>
      </c>
      <c r="K18" s="255" t="s">
        <v>2260</v>
      </c>
      <c r="L18" s="255" t="s">
        <v>2261</v>
      </c>
      <c r="M18" s="255" t="s">
        <v>2241</v>
      </c>
      <c r="N18" s="255">
        <v>170000.0</v>
      </c>
      <c r="O18" s="255">
        <v>11000.0</v>
      </c>
      <c r="P18" s="255" t="s">
        <v>2208</v>
      </c>
      <c r="Q18" s="255">
        <v>2.0</v>
      </c>
      <c r="R18" s="259">
        <v>45520.0</v>
      </c>
      <c r="S18" s="260" t="s">
        <v>2262</v>
      </c>
      <c r="T18" s="259">
        <v>45523.0</v>
      </c>
    </row>
    <row r="19">
      <c r="A19" s="257">
        <v>45525.61610185185</v>
      </c>
      <c r="B19" s="258" t="s">
        <v>2263</v>
      </c>
      <c r="M19" s="255" t="s">
        <v>102</v>
      </c>
    </row>
    <row r="20">
      <c r="A20" s="257">
        <v>45525.68538540509</v>
      </c>
      <c r="H20" s="255">
        <v>5000.0</v>
      </c>
      <c r="I20" s="255">
        <v>300.0</v>
      </c>
      <c r="M20" s="255" t="s">
        <v>68</v>
      </c>
      <c r="R20" s="259">
        <v>45525.0</v>
      </c>
      <c r="S20" s="260" t="s">
        <v>2235</v>
      </c>
      <c r="T20" s="259">
        <v>45535.0</v>
      </c>
      <c r="U20" s="255">
        <v>190.0</v>
      </c>
    </row>
    <row r="21">
      <c r="A21" s="257">
        <v>45525.70437533565</v>
      </c>
      <c r="J21" s="255">
        <v>10000.0</v>
      </c>
      <c r="M21" s="255" t="s">
        <v>2264</v>
      </c>
      <c r="R21" s="259">
        <v>45525.0</v>
      </c>
      <c r="S21" s="260" t="s">
        <v>2246</v>
      </c>
      <c r="T21" s="259">
        <v>45535.0</v>
      </c>
      <c r="U21" s="255">
        <v>190.0</v>
      </c>
    </row>
    <row r="22">
      <c r="A22" s="257">
        <v>45525.70810609954</v>
      </c>
      <c r="H22" s="255">
        <v>3000.0</v>
      </c>
      <c r="J22" s="255">
        <v>10000.0</v>
      </c>
      <c r="U22" s="255">
        <v>190.0</v>
      </c>
    </row>
    <row r="23">
      <c r="A23" s="257">
        <v>45525.714073310184</v>
      </c>
      <c r="H23" s="255" t="s">
        <v>430</v>
      </c>
      <c r="I23" s="255">
        <v>300.0</v>
      </c>
      <c r="R23" s="259">
        <v>45525.0</v>
      </c>
      <c r="S23" s="260" t="s">
        <v>2246</v>
      </c>
      <c r="T23" s="259">
        <v>45535.0</v>
      </c>
      <c r="U23" s="255">
        <v>190.0</v>
      </c>
    </row>
    <row r="24">
      <c r="A24" s="257">
        <v>45525.71521283565</v>
      </c>
      <c r="H24" s="255" t="s">
        <v>985</v>
      </c>
      <c r="I24" s="255">
        <v>300.0</v>
      </c>
      <c r="R24" s="259">
        <v>45525.0</v>
      </c>
      <c r="S24" s="260" t="s">
        <v>2265</v>
      </c>
      <c r="T24" s="259">
        <v>45535.0</v>
      </c>
      <c r="U24" s="255">
        <v>190.0</v>
      </c>
    </row>
    <row r="25">
      <c r="A25" s="257">
        <v>45525.763337662036</v>
      </c>
      <c r="B25" s="258" t="s">
        <v>2266</v>
      </c>
      <c r="C25" s="259">
        <v>45525.0</v>
      </c>
      <c r="D25" s="255" t="s">
        <v>2267</v>
      </c>
      <c r="E25" s="255" t="s">
        <v>2268</v>
      </c>
      <c r="F25" s="255">
        <v>7654.0</v>
      </c>
      <c r="H25" s="255">
        <v>5000.0</v>
      </c>
      <c r="I25" s="255">
        <v>300.0</v>
      </c>
      <c r="K25" s="255" t="s">
        <v>2269</v>
      </c>
      <c r="L25" s="255" t="s">
        <v>2269</v>
      </c>
      <c r="M25" s="255" t="s">
        <v>202</v>
      </c>
      <c r="N25" s="255">
        <v>139000.0</v>
      </c>
      <c r="O25" s="255">
        <v>23000.0</v>
      </c>
      <c r="P25" s="255" t="s">
        <v>2270</v>
      </c>
      <c r="Q25" s="255">
        <v>2.0</v>
      </c>
      <c r="R25" s="259">
        <v>45525.0</v>
      </c>
      <c r="S25" s="260" t="s">
        <v>2235</v>
      </c>
      <c r="T25" s="259">
        <v>45535.0</v>
      </c>
      <c r="U25" s="255">
        <v>190.0</v>
      </c>
    </row>
    <row r="26">
      <c r="A26" s="257">
        <v>45525.8786112963</v>
      </c>
      <c r="C26" s="259">
        <v>45524.0</v>
      </c>
      <c r="D26" s="255" t="s">
        <v>2271</v>
      </c>
      <c r="E26" s="255" t="s">
        <v>2272</v>
      </c>
      <c r="F26" s="255">
        <v>8903.0</v>
      </c>
      <c r="H26" s="255" t="s">
        <v>985</v>
      </c>
      <c r="I26" s="255">
        <v>500.0</v>
      </c>
      <c r="K26" s="255" t="s">
        <v>2269</v>
      </c>
      <c r="L26" s="255" t="s">
        <v>2269</v>
      </c>
      <c r="M26" s="255" t="s">
        <v>92</v>
      </c>
      <c r="N26" s="255">
        <v>140000.0</v>
      </c>
      <c r="O26" s="255">
        <v>20000.0</v>
      </c>
      <c r="P26" s="255" t="s">
        <v>2273</v>
      </c>
      <c r="Q26" s="255">
        <v>2.0</v>
      </c>
      <c r="R26" s="259">
        <v>45525.0</v>
      </c>
      <c r="S26" s="260" t="s">
        <v>2215</v>
      </c>
      <c r="T26" s="259">
        <v>45535.0</v>
      </c>
      <c r="U26" s="255">
        <v>390.0</v>
      </c>
      <c r="V26" s="255" t="s">
        <v>2274</v>
      </c>
    </row>
    <row r="27">
      <c r="A27" s="257">
        <v>45525.88225943287</v>
      </c>
      <c r="B27" s="258" t="s">
        <v>2275</v>
      </c>
      <c r="C27" s="259">
        <v>45525.0</v>
      </c>
      <c r="D27" s="255" t="s">
        <v>2276</v>
      </c>
      <c r="E27" s="255" t="s">
        <v>2277</v>
      </c>
      <c r="F27" s="260" t="s">
        <v>2278</v>
      </c>
      <c r="H27" s="255" t="s">
        <v>430</v>
      </c>
      <c r="I27" s="255">
        <v>400.0</v>
      </c>
      <c r="K27" s="255" t="s">
        <v>2207</v>
      </c>
      <c r="L27" s="255" t="s">
        <v>2207</v>
      </c>
      <c r="M27" s="255" t="s">
        <v>438</v>
      </c>
      <c r="N27" s="255">
        <v>145000.0</v>
      </c>
      <c r="O27" s="255">
        <v>12000.0</v>
      </c>
      <c r="P27" s="255" t="s">
        <v>2279</v>
      </c>
      <c r="Q27" s="255">
        <v>2.0</v>
      </c>
      <c r="R27" s="259">
        <v>45525.0</v>
      </c>
      <c r="S27" s="260" t="s">
        <v>2250</v>
      </c>
      <c r="T27" s="259">
        <v>45535.0</v>
      </c>
      <c r="U27" s="255">
        <v>390.0</v>
      </c>
    </row>
    <row r="28">
      <c r="A28" s="257">
        <v>45526.4990033912</v>
      </c>
      <c r="M28" s="255" t="s">
        <v>948</v>
      </c>
    </row>
    <row r="29">
      <c r="A29" s="257">
        <v>45526.73554488426</v>
      </c>
      <c r="B29" s="258" t="s">
        <v>2280</v>
      </c>
      <c r="C29" s="259">
        <v>45526.0</v>
      </c>
      <c r="D29" s="255" t="s">
        <v>2281</v>
      </c>
      <c r="E29" s="255" t="s">
        <v>2282</v>
      </c>
      <c r="F29" s="260" t="s">
        <v>2283</v>
      </c>
      <c r="G29" s="260" t="s">
        <v>2284</v>
      </c>
      <c r="H29" s="255">
        <v>15000.0</v>
      </c>
      <c r="I29" s="255">
        <v>706.0</v>
      </c>
      <c r="K29" s="255" t="s">
        <v>2269</v>
      </c>
      <c r="L29" s="255" t="s">
        <v>2269</v>
      </c>
      <c r="M29" s="255" t="s">
        <v>2264</v>
      </c>
      <c r="N29" s="255">
        <v>100000.0</v>
      </c>
      <c r="O29" s="255">
        <v>21592.0</v>
      </c>
      <c r="P29" s="255" t="s">
        <v>2208</v>
      </c>
      <c r="Q29" s="255">
        <v>0.0</v>
      </c>
      <c r="R29" s="259">
        <v>45526.0</v>
      </c>
      <c r="S29" s="260" t="s">
        <v>2246</v>
      </c>
      <c r="T29" s="259">
        <v>45533.0</v>
      </c>
      <c r="U29" s="255">
        <v>0.0</v>
      </c>
    </row>
    <row r="30">
      <c r="A30" s="257">
        <v>45526.77224871528</v>
      </c>
      <c r="B30" s="258" t="s">
        <v>2285</v>
      </c>
    </row>
    <row r="31">
      <c r="A31" s="257">
        <v>45526.95697871528</v>
      </c>
      <c r="B31" s="258" t="s">
        <v>2286</v>
      </c>
    </row>
    <row r="32">
      <c r="A32" s="257">
        <v>45526.98086498842</v>
      </c>
      <c r="B32" s="258" t="s">
        <v>2287</v>
      </c>
    </row>
    <row r="33">
      <c r="A33" s="257">
        <v>45527.00005420139</v>
      </c>
      <c r="B33" s="258" t="s">
        <v>2288</v>
      </c>
    </row>
    <row r="34">
      <c r="A34" s="257">
        <v>45527.03620265046</v>
      </c>
      <c r="B34" s="258" t="s">
        <v>2289</v>
      </c>
    </row>
    <row r="35">
      <c r="A35" s="257">
        <v>45527.04014077546</v>
      </c>
      <c r="B35" s="258" t="s">
        <v>2290</v>
      </c>
      <c r="C35" s="259">
        <v>45527.0</v>
      </c>
      <c r="D35" s="255">
        <v>34234.0</v>
      </c>
      <c r="E35" s="255" t="s">
        <v>2291</v>
      </c>
      <c r="F35" s="255">
        <v>324324.0</v>
      </c>
      <c r="H35" s="255">
        <v>4000.0</v>
      </c>
      <c r="I35" s="255">
        <v>400.0</v>
      </c>
      <c r="K35" s="255" t="s">
        <v>2207</v>
      </c>
      <c r="L35" s="255" t="s">
        <v>2207</v>
      </c>
      <c r="M35" s="255" t="s">
        <v>438</v>
      </c>
      <c r="N35" s="255">
        <v>140000.0</v>
      </c>
      <c r="O35" s="255">
        <v>120000.0</v>
      </c>
      <c r="P35" s="255" t="s">
        <v>2208</v>
      </c>
      <c r="Q35" s="255">
        <v>2.0</v>
      </c>
      <c r="R35" s="259">
        <v>45527.0</v>
      </c>
      <c r="S35" s="260" t="s">
        <v>2215</v>
      </c>
      <c r="T35" s="259">
        <v>45535.0</v>
      </c>
      <c r="U35" s="255">
        <v>190.0</v>
      </c>
    </row>
    <row r="36">
      <c r="A36" s="257">
        <v>45532.918410451384</v>
      </c>
      <c r="B36" s="258" t="s">
        <v>2292</v>
      </c>
      <c r="C36" s="259">
        <v>45532.0</v>
      </c>
      <c r="E36" s="255" t="s">
        <v>2293</v>
      </c>
      <c r="F36" s="255" t="s">
        <v>2294</v>
      </c>
      <c r="H36" s="255" t="s">
        <v>1502</v>
      </c>
      <c r="J36" s="255">
        <v>6700.0</v>
      </c>
      <c r="K36" s="255" t="s">
        <v>2207</v>
      </c>
      <c r="L36" s="255" t="s">
        <v>2207</v>
      </c>
      <c r="M36" s="255" t="s">
        <v>193</v>
      </c>
      <c r="N36" s="255">
        <v>70000.0</v>
      </c>
      <c r="O36" s="255">
        <v>19000.0</v>
      </c>
      <c r="P36" s="255" t="s">
        <v>2208</v>
      </c>
      <c r="Q36" s="255">
        <v>1.0</v>
      </c>
      <c r="R36" s="259">
        <v>45533.0</v>
      </c>
      <c r="S36" s="260" t="s">
        <v>2262</v>
      </c>
      <c r="T36" s="259">
        <v>45564.0</v>
      </c>
      <c r="U36" s="255">
        <v>0.0</v>
      </c>
    </row>
    <row r="37">
      <c r="A37" s="257">
        <v>45539.792846412034</v>
      </c>
      <c r="B37" s="258" t="s">
        <v>2295</v>
      </c>
      <c r="C37" s="259">
        <v>45540.0</v>
      </c>
      <c r="D37" s="255" t="s">
        <v>2296</v>
      </c>
      <c r="E37" s="255" t="s">
        <v>2297</v>
      </c>
      <c r="F37" s="255" t="s">
        <v>2298</v>
      </c>
      <c r="G37" s="255" t="s">
        <v>2299</v>
      </c>
      <c r="H37" s="255">
        <v>7000.0</v>
      </c>
      <c r="I37" s="255">
        <v>544.0</v>
      </c>
      <c r="K37" s="255" t="s">
        <v>2297</v>
      </c>
      <c r="L37" s="255" t="s">
        <v>2297</v>
      </c>
      <c r="M37" s="255" t="s">
        <v>2241</v>
      </c>
      <c r="N37" s="255">
        <v>150000.0</v>
      </c>
      <c r="O37" s="255">
        <v>11261.0</v>
      </c>
      <c r="P37" s="255" t="s">
        <v>2208</v>
      </c>
      <c r="Q37" s="255">
        <v>2.0</v>
      </c>
      <c r="R37" s="259">
        <v>45540.0</v>
      </c>
      <c r="S37" s="260" t="s">
        <v>2300</v>
      </c>
      <c r="T37" s="259">
        <v>45557.0</v>
      </c>
      <c r="U37" s="255">
        <v>290.0</v>
      </c>
    </row>
    <row r="38">
      <c r="A38" s="257">
        <v>45539.82565322917</v>
      </c>
      <c r="B38" s="258" t="s">
        <v>2301</v>
      </c>
      <c r="C38" s="259">
        <v>45540.0</v>
      </c>
      <c r="D38" s="255" t="s">
        <v>2296</v>
      </c>
      <c r="E38" s="255" t="s">
        <v>2297</v>
      </c>
      <c r="F38" s="255" t="s">
        <v>2298</v>
      </c>
      <c r="G38" s="255" t="s">
        <v>2299</v>
      </c>
      <c r="H38" s="255">
        <v>7000.0</v>
      </c>
      <c r="I38" s="255">
        <v>554.0</v>
      </c>
      <c r="K38" s="255" t="s">
        <v>2297</v>
      </c>
      <c r="L38" s="255" t="s">
        <v>2297</v>
      </c>
      <c r="M38" s="255" t="s">
        <v>2241</v>
      </c>
      <c r="N38" s="255">
        <v>150000.0</v>
      </c>
      <c r="O38" s="255">
        <v>11261.0</v>
      </c>
      <c r="P38" s="255" t="s">
        <v>2208</v>
      </c>
      <c r="Q38" s="255">
        <v>2.0</v>
      </c>
      <c r="R38" s="259">
        <v>45540.0</v>
      </c>
      <c r="S38" s="260" t="s">
        <v>2300</v>
      </c>
      <c r="T38" s="259">
        <v>45558.0</v>
      </c>
      <c r="U38" s="255">
        <v>290.0</v>
      </c>
    </row>
    <row r="39">
      <c r="A39" s="257">
        <v>45540.536921990744</v>
      </c>
      <c r="C39" s="259">
        <v>45540.0</v>
      </c>
      <c r="E39" s="255" t="s">
        <v>2302</v>
      </c>
      <c r="F39" s="255" t="s">
        <v>2303</v>
      </c>
      <c r="G39" s="255" t="s">
        <v>2304</v>
      </c>
      <c r="H39" s="255" t="s">
        <v>2305</v>
      </c>
      <c r="I39" s="255">
        <v>672.0</v>
      </c>
      <c r="K39" s="255" t="s">
        <v>2302</v>
      </c>
      <c r="L39" s="255" t="s">
        <v>2302</v>
      </c>
      <c r="M39" s="255" t="s">
        <v>64</v>
      </c>
      <c r="N39" s="255">
        <v>140000.0</v>
      </c>
      <c r="O39" s="255">
        <v>24815.0</v>
      </c>
      <c r="P39" s="255" t="s">
        <v>2208</v>
      </c>
      <c r="Q39" s="255">
        <v>2.0</v>
      </c>
      <c r="R39" s="259">
        <v>45540.0</v>
      </c>
      <c r="S39" s="260" t="s">
        <v>2221</v>
      </c>
      <c r="T39" s="259">
        <v>45545.0</v>
      </c>
      <c r="U39" s="255">
        <v>290.0</v>
      </c>
    </row>
    <row r="40">
      <c r="A40" s="257">
        <v>45540.5446046875</v>
      </c>
      <c r="B40" s="258" t="s">
        <v>2306</v>
      </c>
      <c r="C40" s="259">
        <v>45540.0</v>
      </c>
      <c r="E40" s="255" t="s">
        <v>2302</v>
      </c>
      <c r="F40" s="255" t="s">
        <v>2303</v>
      </c>
      <c r="G40" s="255" t="s">
        <v>2304</v>
      </c>
      <c r="H40" s="255" t="s">
        <v>1527</v>
      </c>
      <c r="I40" s="255">
        <v>672.0</v>
      </c>
      <c r="K40" s="255" t="s">
        <v>2302</v>
      </c>
      <c r="L40" s="255" t="s">
        <v>2302</v>
      </c>
      <c r="M40" s="255" t="s">
        <v>64</v>
      </c>
      <c r="N40" s="255">
        <v>140000.0</v>
      </c>
      <c r="O40" s="255">
        <v>24815.0</v>
      </c>
      <c r="P40" s="255" t="s">
        <v>2208</v>
      </c>
      <c r="Q40" s="255">
        <v>2.0</v>
      </c>
      <c r="R40" s="259">
        <v>45540.0</v>
      </c>
      <c r="S40" s="260" t="s">
        <v>2221</v>
      </c>
      <c r="T40" s="259">
        <v>45545.0</v>
      </c>
      <c r="U40" s="255">
        <v>290.0</v>
      </c>
    </row>
    <row r="41">
      <c r="A41" s="257">
        <v>45542.625050104165</v>
      </c>
      <c r="B41" s="258" t="s">
        <v>2307</v>
      </c>
      <c r="C41" s="259">
        <v>45543.0</v>
      </c>
      <c r="E41" s="255" t="s">
        <v>2308</v>
      </c>
      <c r="I41" s="255">
        <v>500.0</v>
      </c>
      <c r="K41" s="255" t="s">
        <v>2269</v>
      </c>
      <c r="L41" s="255" t="s">
        <v>2269</v>
      </c>
      <c r="M41" s="255" t="s">
        <v>92</v>
      </c>
      <c r="N41" s="255">
        <v>140000.0</v>
      </c>
      <c r="O41" s="255">
        <v>27589.0</v>
      </c>
      <c r="P41" s="255" t="s">
        <v>2270</v>
      </c>
      <c r="Q41" s="255">
        <v>3.0</v>
      </c>
      <c r="R41" s="259">
        <v>45543.0</v>
      </c>
      <c r="S41" s="260" t="s">
        <v>2231</v>
      </c>
      <c r="T41" s="259">
        <v>45555.0</v>
      </c>
      <c r="U41" s="255">
        <v>0.0</v>
      </c>
    </row>
    <row r="42">
      <c r="A42" s="257">
        <v>45556.50809819445</v>
      </c>
      <c r="B42" s="258" t="s">
        <v>2309</v>
      </c>
      <c r="C42" s="259">
        <v>45556.0</v>
      </c>
      <c r="K42" s="255" t="s">
        <v>2207</v>
      </c>
      <c r="L42" s="255" t="s">
        <v>2207</v>
      </c>
      <c r="M42" s="255" t="s">
        <v>155</v>
      </c>
    </row>
    <row r="43">
      <c r="A43" s="257">
        <v>45556.519940266204</v>
      </c>
      <c r="B43" s="258" t="s">
        <v>2310</v>
      </c>
      <c r="C43" s="259">
        <v>45556.0</v>
      </c>
      <c r="D43" s="255" t="s">
        <v>2311</v>
      </c>
      <c r="E43" s="255" t="s">
        <v>2312</v>
      </c>
      <c r="H43" s="255">
        <v>7000.0</v>
      </c>
      <c r="I43" s="255">
        <v>800.0</v>
      </c>
      <c r="K43" s="255" t="s">
        <v>2207</v>
      </c>
      <c r="L43" s="255" t="s">
        <v>2207</v>
      </c>
      <c r="M43" s="255" t="s">
        <v>2313</v>
      </c>
      <c r="N43" s="255">
        <v>160000.0</v>
      </c>
      <c r="P43" s="255" t="s">
        <v>2208</v>
      </c>
      <c r="R43" s="259">
        <v>45464.0</v>
      </c>
      <c r="S43" s="260" t="s">
        <v>2221</v>
      </c>
      <c r="T43" s="259">
        <v>45466.0</v>
      </c>
      <c r="U43" s="255">
        <v>0.0</v>
      </c>
    </row>
    <row r="44">
      <c r="A44" s="257">
        <v>45556.607411585646</v>
      </c>
      <c r="B44" s="258" t="s">
        <v>2314</v>
      </c>
      <c r="C44" s="259">
        <v>45556.0</v>
      </c>
      <c r="H44" s="255">
        <v>8000.0</v>
      </c>
      <c r="I44" s="255">
        <v>330.0</v>
      </c>
      <c r="K44" s="255" t="s">
        <v>2269</v>
      </c>
      <c r="L44" s="255" t="s">
        <v>2269</v>
      </c>
      <c r="M44" s="255" t="s">
        <v>427</v>
      </c>
      <c r="N44" s="255">
        <v>90000.0</v>
      </c>
      <c r="P44" s="255" t="s">
        <v>2208</v>
      </c>
      <c r="R44" s="259">
        <v>45556.0</v>
      </c>
      <c r="S44" s="260" t="s">
        <v>2215</v>
      </c>
      <c r="T44" s="259">
        <v>45576.0</v>
      </c>
      <c r="U44" s="255">
        <v>0.0</v>
      </c>
    </row>
    <row r="45">
      <c r="A45" s="257">
        <v>45557.64620372685</v>
      </c>
      <c r="B45" s="258" t="s">
        <v>2315</v>
      </c>
      <c r="C45" s="259">
        <v>45557.0</v>
      </c>
      <c r="D45" s="255" t="s">
        <v>2316</v>
      </c>
      <c r="E45" s="255" t="s">
        <v>2317</v>
      </c>
      <c r="F45" s="255" t="s">
        <v>2318</v>
      </c>
      <c r="G45" s="255">
        <v>8.9263994612E10</v>
      </c>
      <c r="H45" s="255">
        <v>3000.0</v>
      </c>
      <c r="I45" s="255">
        <v>347.0</v>
      </c>
      <c r="K45" s="255" t="s">
        <v>2207</v>
      </c>
      <c r="L45" s="255" t="s">
        <v>2207</v>
      </c>
      <c r="M45" s="255" t="s">
        <v>68</v>
      </c>
      <c r="N45" s="255">
        <v>100000.0</v>
      </c>
      <c r="P45" s="255" t="s">
        <v>2208</v>
      </c>
      <c r="Q45" s="255">
        <v>2.0</v>
      </c>
      <c r="R45" s="259">
        <v>45564.0</v>
      </c>
      <c r="S45" s="260" t="s">
        <v>2231</v>
      </c>
      <c r="T45" s="259">
        <v>45567.0</v>
      </c>
      <c r="U45" s="255">
        <v>490.0</v>
      </c>
    </row>
    <row r="46">
      <c r="A46" s="257">
        <v>45559.591559050925</v>
      </c>
      <c r="B46" s="258" t="s">
        <v>2319</v>
      </c>
      <c r="C46" s="259">
        <v>45555.0</v>
      </c>
      <c r="H46" s="255" t="s">
        <v>515</v>
      </c>
      <c r="I46" s="255">
        <v>571.0</v>
      </c>
      <c r="K46" s="255" t="s">
        <v>2207</v>
      </c>
      <c r="L46" s="255" t="s">
        <v>2207</v>
      </c>
      <c r="M46" s="255" t="s">
        <v>142</v>
      </c>
      <c r="N46" s="255">
        <v>140000.0</v>
      </c>
      <c r="O46" s="255">
        <v>34500.0</v>
      </c>
      <c r="P46" s="255" t="s">
        <v>2320</v>
      </c>
      <c r="Q46" s="255">
        <v>2.0</v>
      </c>
      <c r="R46" s="259">
        <v>45555.0</v>
      </c>
      <c r="S46" s="260" t="s">
        <v>2209</v>
      </c>
      <c r="T46" s="259">
        <v>45563.0</v>
      </c>
      <c r="U46" s="255">
        <v>0.0</v>
      </c>
    </row>
    <row r="47">
      <c r="A47" s="257">
        <v>45568.53610298611</v>
      </c>
      <c r="B47" s="258" t="s">
        <v>2321</v>
      </c>
      <c r="C47" s="259">
        <v>45570.0</v>
      </c>
      <c r="D47" s="255" t="s">
        <v>2322</v>
      </c>
      <c r="E47" s="255" t="s">
        <v>2323</v>
      </c>
      <c r="H47" s="255">
        <v>7000.0</v>
      </c>
      <c r="I47" s="255">
        <v>506.0</v>
      </c>
      <c r="K47" s="255" t="s">
        <v>2323</v>
      </c>
      <c r="L47" s="255" t="s">
        <v>2323</v>
      </c>
      <c r="M47" s="255" t="s">
        <v>2313</v>
      </c>
      <c r="N47" s="255">
        <v>180000.0</v>
      </c>
      <c r="O47" s="255">
        <v>1200.0</v>
      </c>
      <c r="P47" s="255" t="s">
        <v>2208</v>
      </c>
      <c r="Q47" s="255">
        <v>2.0</v>
      </c>
      <c r="R47" s="259">
        <v>45570.0</v>
      </c>
      <c r="S47" s="260" t="s">
        <v>2324</v>
      </c>
      <c r="T47" s="259">
        <v>45641.0</v>
      </c>
      <c r="U47" s="255">
        <v>0.0</v>
      </c>
    </row>
    <row r="48">
      <c r="A48" s="257">
        <v>45568.57200564815</v>
      </c>
      <c r="B48" s="258" t="s">
        <v>2325</v>
      </c>
      <c r="C48" s="259">
        <v>45568.0</v>
      </c>
      <c r="H48" s="255">
        <v>0.0</v>
      </c>
      <c r="I48" s="255">
        <v>1500.0</v>
      </c>
      <c r="K48" s="255" t="s">
        <v>2207</v>
      </c>
      <c r="L48" s="255" t="s">
        <v>2207</v>
      </c>
      <c r="M48" s="255" t="s">
        <v>1512</v>
      </c>
      <c r="N48" s="255">
        <v>300000.0</v>
      </c>
      <c r="O48" s="255">
        <v>3000.0</v>
      </c>
      <c r="P48" s="255" t="s">
        <v>2320</v>
      </c>
      <c r="Q48" s="255">
        <v>1.0</v>
      </c>
      <c r="R48" s="259">
        <v>45568.0</v>
      </c>
      <c r="S48" s="260" t="s">
        <v>2221</v>
      </c>
      <c r="T48" s="259">
        <v>45573.0</v>
      </c>
      <c r="U48" s="255">
        <v>0.0</v>
      </c>
    </row>
    <row r="49">
      <c r="A49" s="257">
        <v>45573.32884886574</v>
      </c>
      <c r="B49" s="258" t="s">
        <v>2326</v>
      </c>
      <c r="C49" s="259">
        <v>45573.0</v>
      </c>
      <c r="D49" s="255" t="s">
        <v>2327</v>
      </c>
      <c r="E49" s="255" t="s">
        <v>2328</v>
      </c>
      <c r="F49" s="255" t="s">
        <v>2329</v>
      </c>
      <c r="H49" s="255">
        <v>3000.0</v>
      </c>
      <c r="J49" s="255">
        <v>6490.0</v>
      </c>
      <c r="K49" s="255" t="s">
        <v>2207</v>
      </c>
      <c r="L49" s="255" t="s">
        <v>2207</v>
      </c>
      <c r="M49" s="255" t="s">
        <v>185</v>
      </c>
      <c r="N49" s="255">
        <v>70000.0</v>
      </c>
      <c r="O49" s="255">
        <v>31000.0</v>
      </c>
      <c r="P49" s="255" t="s">
        <v>2320</v>
      </c>
      <c r="Q49" s="255">
        <v>2.0</v>
      </c>
      <c r="R49" s="259">
        <v>45573.0</v>
      </c>
      <c r="S49" s="260" t="s">
        <v>2330</v>
      </c>
      <c r="T49" s="259">
        <v>45604.0</v>
      </c>
      <c r="U49" s="255">
        <v>0.0</v>
      </c>
    </row>
    <row r="50">
      <c r="A50" s="257">
        <v>45573.64294893519</v>
      </c>
      <c r="B50" s="258" t="s">
        <v>2331</v>
      </c>
      <c r="C50" s="259">
        <v>45576.0</v>
      </c>
      <c r="D50" s="255" t="s">
        <v>2332</v>
      </c>
      <c r="E50" s="255" t="s">
        <v>2333</v>
      </c>
      <c r="H50" s="255">
        <v>7000.0</v>
      </c>
      <c r="I50" s="255">
        <v>733.0</v>
      </c>
      <c r="K50" s="255" t="s">
        <v>2333</v>
      </c>
      <c r="L50" s="255" t="s">
        <v>2333</v>
      </c>
      <c r="M50" s="255" t="s">
        <v>941</v>
      </c>
      <c r="N50" s="255">
        <v>190000.0</v>
      </c>
      <c r="O50" s="255">
        <v>4000.0</v>
      </c>
      <c r="P50" s="255" t="s">
        <v>2208</v>
      </c>
      <c r="Q50" s="255">
        <v>2.0</v>
      </c>
      <c r="R50" s="259">
        <v>45576.0</v>
      </c>
      <c r="S50" s="260" t="s">
        <v>2246</v>
      </c>
      <c r="T50" s="259">
        <v>45589.0</v>
      </c>
      <c r="U50" s="255">
        <v>390.0</v>
      </c>
    </row>
    <row r="51">
      <c r="A51" s="257">
        <v>45573.666943923614</v>
      </c>
      <c r="B51" s="258" t="s">
        <v>2334</v>
      </c>
      <c r="C51" s="259">
        <v>45573.0</v>
      </c>
      <c r="D51" s="255" t="s">
        <v>2335</v>
      </c>
      <c r="E51" s="255" t="s">
        <v>2336</v>
      </c>
      <c r="H51" s="255">
        <v>7000.0</v>
      </c>
      <c r="I51" s="255">
        <v>958.0</v>
      </c>
      <c r="K51" s="255" t="s">
        <v>2207</v>
      </c>
      <c r="L51" s="255" t="s">
        <v>2207</v>
      </c>
      <c r="M51" s="255" t="s">
        <v>2313</v>
      </c>
      <c r="N51" s="255">
        <v>190000.0</v>
      </c>
      <c r="P51" s="255" t="s">
        <v>2208</v>
      </c>
      <c r="R51" s="259">
        <v>45629.0</v>
      </c>
      <c r="S51" s="260" t="s">
        <v>2330</v>
      </c>
      <c r="T51" s="259">
        <v>45634.0</v>
      </c>
      <c r="U51" s="255">
        <v>0.0</v>
      </c>
    </row>
    <row r="52">
      <c r="A52" s="257">
        <v>45573.690431689814</v>
      </c>
      <c r="B52" s="258" t="s">
        <v>2337</v>
      </c>
      <c r="C52" s="259">
        <v>45573.0</v>
      </c>
      <c r="D52" s="255" t="s">
        <v>2338</v>
      </c>
      <c r="E52" s="255" t="s">
        <v>2339</v>
      </c>
      <c r="H52" s="255">
        <v>7000.0</v>
      </c>
      <c r="I52" s="255">
        <v>660.0</v>
      </c>
      <c r="K52" s="255" t="s">
        <v>2339</v>
      </c>
      <c r="L52" s="255" t="s">
        <v>2339</v>
      </c>
      <c r="M52" s="255" t="s">
        <v>941</v>
      </c>
      <c r="N52" s="255">
        <v>190000.0</v>
      </c>
      <c r="P52" s="255" t="s">
        <v>2208</v>
      </c>
      <c r="Q52" s="255">
        <v>3.0</v>
      </c>
      <c r="R52" s="259">
        <v>45641.0</v>
      </c>
      <c r="S52" s="260" t="s">
        <v>2221</v>
      </c>
      <c r="T52" s="259">
        <v>45672.0</v>
      </c>
      <c r="U52" s="255">
        <v>290.0</v>
      </c>
      <c r="V52" s="255" t="s">
        <v>2340</v>
      </c>
    </row>
    <row r="53">
      <c r="A53" s="257">
        <v>45573.7188455787</v>
      </c>
      <c r="B53" s="258" t="s">
        <v>2341</v>
      </c>
      <c r="C53" s="259">
        <v>45585.0</v>
      </c>
      <c r="D53" s="255" t="s">
        <v>2342</v>
      </c>
      <c r="E53" s="255" t="s">
        <v>2343</v>
      </c>
      <c r="H53" s="255">
        <v>0.0</v>
      </c>
      <c r="I53" s="255">
        <v>622.0</v>
      </c>
      <c r="K53" s="255" t="s">
        <v>2343</v>
      </c>
      <c r="L53" s="255" t="s">
        <v>2343</v>
      </c>
      <c r="M53" s="255" t="s">
        <v>2241</v>
      </c>
      <c r="N53" s="255">
        <v>180000.0</v>
      </c>
      <c r="P53" s="255" t="s">
        <v>2208</v>
      </c>
      <c r="Q53" s="255">
        <v>2.0</v>
      </c>
      <c r="R53" s="259">
        <v>45646.0</v>
      </c>
      <c r="S53" s="260" t="s">
        <v>2221</v>
      </c>
      <c r="T53" s="259">
        <v>45672.0</v>
      </c>
      <c r="U53" s="255">
        <v>290.0</v>
      </c>
      <c r="V53" s="255" t="s">
        <v>2344</v>
      </c>
    </row>
    <row r="54">
      <c r="A54" s="257">
        <v>45573.724098402774</v>
      </c>
      <c r="B54" s="258" t="s">
        <v>2345</v>
      </c>
      <c r="C54" s="259">
        <v>45573.0</v>
      </c>
      <c r="E54" s="255" t="s">
        <v>2346</v>
      </c>
      <c r="H54" s="255">
        <v>0.0</v>
      </c>
      <c r="I54" s="255">
        <v>622.0</v>
      </c>
      <c r="K54" s="255" t="s">
        <v>2346</v>
      </c>
      <c r="L54" s="255" t="s">
        <v>2346</v>
      </c>
      <c r="M54" s="255" t="s">
        <v>113</v>
      </c>
      <c r="N54" s="255">
        <v>180000.0</v>
      </c>
      <c r="P54" s="255" t="s">
        <v>2208</v>
      </c>
      <c r="Q54" s="255">
        <v>0.0</v>
      </c>
      <c r="R54" s="259">
        <v>45646.0</v>
      </c>
      <c r="S54" s="260" t="s">
        <v>2235</v>
      </c>
      <c r="T54" s="259">
        <v>45672.0</v>
      </c>
      <c r="U54" s="255">
        <v>290.0</v>
      </c>
    </row>
    <row r="55">
      <c r="A55" s="257">
        <v>45574.44308159722</v>
      </c>
      <c r="B55" s="258" t="s">
        <v>2347</v>
      </c>
      <c r="C55" s="259">
        <v>45574.0</v>
      </c>
      <c r="D55" s="255" t="s">
        <v>2348</v>
      </c>
      <c r="E55" s="255" t="s">
        <v>2349</v>
      </c>
      <c r="F55" s="255">
        <v>8.9269726284E10</v>
      </c>
      <c r="H55" s="255">
        <v>5000.0</v>
      </c>
      <c r="I55" s="255">
        <v>662.0</v>
      </c>
      <c r="K55" s="255" t="s">
        <v>2349</v>
      </c>
      <c r="L55" s="255" t="s">
        <v>2349</v>
      </c>
      <c r="M55" s="255" t="s">
        <v>64</v>
      </c>
      <c r="N55" s="255">
        <v>140000.0</v>
      </c>
      <c r="P55" s="255" t="s">
        <v>2208</v>
      </c>
      <c r="Q55" s="255">
        <v>2.0</v>
      </c>
      <c r="R55" s="259">
        <v>45648.0</v>
      </c>
      <c r="S55" s="260" t="s">
        <v>2265</v>
      </c>
      <c r="T55" s="259">
        <v>45663.0</v>
      </c>
      <c r="U55" s="255">
        <v>290.0</v>
      </c>
      <c r="V55" s="255" t="s">
        <v>2350</v>
      </c>
    </row>
    <row r="56">
      <c r="A56" s="257">
        <v>45574.44599414352</v>
      </c>
      <c r="B56" s="258" t="s">
        <v>2351</v>
      </c>
      <c r="C56" s="259">
        <v>45648.0</v>
      </c>
      <c r="D56" s="255" t="s">
        <v>2348</v>
      </c>
      <c r="E56" s="255" t="s">
        <v>2349</v>
      </c>
      <c r="F56" s="255">
        <v>8.9269726284E10</v>
      </c>
      <c r="H56" s="255">
        <v>3000.0</v>
      </c>
      <c r="I56" s="255">
        <v>376.0</v>
      </c>
      <c r="K56" s="255" t="s">
        <v>2349</v>
      </c>
      <c r="L56" s="255" t="s">
        <v>2349</v>
      </c>
      <c r="M56" s="255" t="s">
        <v>73</v>
      </c>
      <c r="N56" s="255">
        <v>70000.0</v>
      </c>
      <c r="P56" s="255" t="s">
        <v>2208</v>
      </c>
      <c r="Q56" s="255">
        <v>2.0</v>
      </c>
      <c r="R56" s="259">
        <v>45648.0</v>
      </c>
      <c r="S56" s="260" t="s">
        <v>2265</v>
      </c>
      <c r="T56" s="259">
        <v>45663.0</v>
      </c>
      <c r="U56" s="255">
        <v>290.0</v>
      </c>
      <c r="V56" s="255" t="s">
        <v>2352</v>
      </c>
    </row>
    <row r="57">
      <c r="A57" s="257">
        <v>45574.47449969908</v>
      </c>
      <c r="B57" s="258" t="s">
        <v>2353</v>
      </c>
      <c r="C57" s="259">
        <v>45574.0</v>
      </c>
      <c r="E57" s="255" t="s">
        <v>2354</v>
      </c>
      <c r="H57" s="255">
        <v>20000.0</v>
      </c>
      <c r="I57" s="255">
        <v>1290.0</v>
      </c>
      <c r="K57" s="255" t="s">
        <v>2354</v>
      </c>
      <c r="L57" s="255" t="s">
        <v>2354</v>
      </c>
      <c r="M57" s="255" t="s">
        <v>438</v>
      </c>
      <c r="N57" s="255">
        <v>140000.0</v>
      </c>
      <c r="O57" s="255">
        <v>22000.0</v>
      </c>
      <c r="P57" s="255" t="s">
        <v>2208</v>
      </c>
      <c r="Q57" s="255">
        <v>2.0</v>
      </c>
      <c r="R57" s="259">
        <v>45588.0</v>
      </c>
      <c r="S57" s="260" t="s">
        <v>2324</v>
      </c>
      <c r="T57" s="259">
        <v>45595.0</v>
      </c>
      <c r="U57" s="255">
        <v>390.0</v>
      </c>
      <c r="V57" s="255" t="s">
        <v>2355</v>
      </c>
    </row>
    <row r="58">
      <c r="A58" s="257">
        <v>45576.57758880787</v>
      </c>
      <c r="B58" s="258" t="s">
        <v>2356</v>
      </c>
      <c r="C58" s="259">
        <v>45576.0</v>
      </c>
      <c r="E58" s="255" t="s">
        <v>2357</v>
      </c>
      <c r="F58" s="255" t="s">
        <v>2358</v>
      </c>
      <c r="H58" s="255" t="s">
        <v>985</v>
      </c>
      <c r="I58" s="255">
        <v>733.0</v>
      </c>
      <c r="K58" s="255" t="s">
        <v>2333</v>
      </c>
      <c r="L58" s="255" t="s">
        <v>2357</v>
      </c>
      <c r="M58" s="255" t="s">
        <v>941</v>
      </c>
      <c r="N58" s="255">
        <v>190000.0</v>
      </c>
      <c r="O58" s="255">
        <v>4000.0</v>
      </c>
      <c r="P58" s="255" t="s">
        <v>2208</v>
      </c>
      <c r="Q58" s="255">
        <v>3.0</v>
      </c>
      <c r="R58" s="259">
        <v>45576.0</v>
      </c>
      <c r="S58" s="260" t="s">
        <v>2246</v>
      </c>
      <c r="T58" s="259">
        <v>45589.0</v>
      </c>
      <c r="U58" s="255">
        <v>390.0</v>
      </c>
    </row>
    <row r="59">
      <c r="A59" s="257">
        <v>45577.37376696759</v>
      </c>
      <c r="B59" s="258" t="s">
        <v>2359</v>
      </c>
      <c r="C59" s="259">
        <v>45577.0</v>
      </c>
      <c r="E59" s="255" t="s">
        <v>2360</v>
      </c>
      <c r="H59" s="255">
        <v>3000.0</v>
      </c>
      <c r="I59" s="255">
        <v>361.0</v>
      </c>
      <c r="K59" s="255" t="s">
        <v>2360</v>
      </c>
      <c r="L59" s="255" t="s">
        <v>2360</v>
      </c>
      <c r="M59" s="255" t="s">
        <v>77</v>
      </c>
      <c r="N59" s="255">
        <v>90000.0</v>
      </c>
      <c r="O59" s="255">
        <v>27473.0</v>
      </c>
      <c r="P59" s="255" t="s">
        <v>2208</v>
      </c>
      <c r="Q59" s="255">
        <v>2.0</v>
      </c>
      <c r="R59" s="259">
        <v>45577.0</v>
      </c>
      <c r="S59" s="260" t="s">
        <v>2262</v>
      </c>
      <c r="T59" s="259" t="s">
        <v>2361</v>
      </c>
      <c r="U59" s="255">
        <v>390.0</v>
      </c>
    </row>
    <row r="60">
      <c r="A60" s="257">
        <v>45577.50002743056</v>
      </c>
      <c r="B60" s="258" t="s">
        <v>2362</v>
      </c>
      <c r="C60" s="259">
        <v>45590.0</v>
      </c>
      <c r="E60" s="255" t="s">
        <v>2363</v>
      </c>
      <c r="H60" s="255">
        <v>25000.0</v>
      </c>
      <c r="I60" s="255">
        <v>1600.0</v>
      </c>
      <c r="M60" s="255" t="s">
        <v>1512</v>
      </c>
      <c r="N60" s="255">
        <v>270000.0</v>
      </c>
      <c r="P60" s="255" t="s">
        <v>2208</v>
      </c>
      <c r="Q60" s="255">
        <v>2.0</v>
      </c>
      <c r="R60" s="259">
        <v>45590.0</v>
      </c>
      <c r="S60" s="260" t="s">
        <v>2235</v>
      </c>
      <c r="T60" s="259">
        <v>45602.0</v>
      </c>
      <c r="V60" s="255" t="s">
        <v>1550</v>
      </c>
    </row>
    <row r="61">
      <c r="A61" s="257">
        <v>45577.528216516206</v>
      </c>
      <c r="B61" s="258" t="s">
        <v>2364</v>
      </c>
      <c r="C61" s="259">
        <v>45584.0</v>
      </c>
      <c r="D61" s="255" t="s">
        <v>2365</v>
      </c>
      <c r="E61" s="255" t="s">
        <v>2244</v>
      </c>
      <c r="H61" s="255">
        <v>7000.0</v>
      </c>
      <c r="I61" s="255">
        <v>803.0</v>
      </c>
      <c r="K61" s="255" t="s">
        <v>2244</v>
      </c>
      <c r="L61" s="255" t="s">
        <v>2244</v>
      </c>
      <c r="M61" s="255" t="s">
        <v>2241</v>
      </c>
      <c r="N61" s="255">
        <v>130000.0</v>
      </c>
      <c r="O61" s="255">
        <v>1240.0</v>
      </c>
      <c r="P61" s="255" t="s">
        <v>2208</v>
      </c>
      <c r="Q61" s="255">
        <v>3.0</v>
      </c>
      <c r="R61" s="259">
        <v>45584.0</v>
      </c>
      <c r="T61" s="259">
        <v>45590.0</v>
      </c>
      <c r="U61" s="255">
        <v>290.0</v>
      </c>
    </row>
    <row r="62">
      <c r="A62" s="257">
        <v>45578.449411435184</v>
      </c>
      <c r="B62" s="258" t="s">
        <v>2366</v>
      </c>
      <c r="C62" s="259">
        <v>45578.0</v>
      </c>
      <c r="E62" s="255" t="s">
        <v>2367</v>
      </c>
      <c r="H62" s="255">
        <v>3000.0</v>
      </c>
      <c r="I62" s="255">
        <v>361.0</v>
      </c>
      <c r="K62" s="255" t="s">
        <v>2368</v>
      </c>
      <c r="L62" s="255" t="s">
        <v>2368</v>
      </c>
      <c r="M62" s="255" t="s">
        <v>151</v>
      </c>
      <c r="N62" s="255">
        <v>80000.0</v>
      </c>
      <c r="O62" s="255">
        <v>27466.0</v>
      </c>
      <c r="P62" s="255" t="s">
        <v>2208</v>
      </c>
      <c r="Q62" s="255">
        <v>1.0</v>
      </c>
      <c r="R62" s="259">
        <v>45578.0</v>
      </c>
      <c r="S62" s="260" t="s">
        <v>2265</v>
      </c>
      <c r="T62" s="259">
        <v>45591.0</v>
      </c>
      <c r="U62" s="255">
        <v>390.0</v>
      </c>
    </row>
    <row r="63">
      <c r="A63" s="257">
        <v>45578.47190996528</v>
      </c>
      <c r="B63" s="258" t="s">
        <v>2369</v>
      </c>
      <c r="C63" s="259">
        <v>45578.0</v>
      </c>
      <c r="E63" s="255" t="s">
        <v>2368</v>
      </c>
      <c r="H63" s="255">
        <v>3000.0</v>
      </c>
      <c r="I63" s="255">
        <v>361.0</v>
      </c>
      <c r="K63" s="255" t="s">
        <v>2368</v>
      </c>
      <c r="L63" s="255" t="s">
        <v>2368</v>
      </c>
      <c r="M63" s="255" t="s">
        <v>151</v>
      </c>
      <c r="N63" s="255">
        <v>90000.0</v>
      </c>
      <c r="O63" s="255">
        <v>27466.0</v>
      </c>
      <c r="P63" s="255" t="s">
        <v>2208</v>
      </c>
      <c r="Q63" s="255">
        <v>1.0</v>
      </c>
      <c r="R63" s="259">
        <v>45578.0</v>
      </c>
      <c r="S63" s="260" t="s">
        <v>2265</v>
      </c>
      <c r="T63" s="259">
        <v>45589.0</v>
      </c>
      <c r="U63" s="255">
        <v>390.0</v>
      </c>
    </row>
    <row r="64">
      <c r="A64" s="257">
        <v>45578.4830665162</v>
      </c>
      <c r="B64" s="258" t="s">
        <v>2370</v>
      </c>
      <c r="C64" s="259">
        <v>45578.0</v>
      </c>
      <c r="H64" s="255">
        <v>3000.0</v>
      </c>
      <c r="I64" s="255">
        <v>355.0</v>
      </c>
      <c r="K64" s="255" t="s">
        <v>2371</v>
      </c>
      <c r="L64" s="255" t="s">
        <v>2371</v>
      </c>
      <c r="M64" s="255" t="s">
        <v>151</v>
      </c>
      <c r="N64" s="255">
        <v>70000.0</v>
      </c>
      <c r="P64" s="255" t="s">
        <v>2208</v>
      </c>
      <c r="Q64" s="255">
        <v>2.0</v>
      </c>
      <c r="R64" s="259">
        <v>45578.0</v>
      </c>
      <c r="S64" s="260" t="s">
        <v>2330</v>
      </c>
      <c r="T64" s="259">
        <v>45589.0</v>
      </c>
      <c r="U64" s="255">
        <v>390.0</v>
      </c>
    </row>
    <row r="65">
      <c r="A65" s="257">
        <v>45581.483221111106</v>
      </c>
      <c r="B65" s="258" t="s">
        <v>2372</v>
      </c>
      <c r="C65" s="259">
        <v>45581.0</v>
      </c>
      <c r="E65" s="255" t="s">
        <v>2373</v>
      </c>
      <c r="F65" s="255" t="s">
        <v>2374</v>
      </c>
      <c r="H65" s="255">
        <v>1950.0</v>
      </c>
      <c r="I65" s="255">
        <v>350.0</v>
      </c>
      <c r="K65" s="255" t="s">
        <v>2207</v>
      </c>
      <c r="L65" s="255" t="s">
        <v>2207</v>
      </c>
      <c r="M65" s="255" t="s">
        <v>2375</v>
      </c>
      <c r="N65" s="255">
        <v>70000.0</v>
      </c>
      <c r="O65" s="255">
        <v>24800.0</v>
      </c>
      <c r="P65" s="255" t="s">
        <v>2242</v>
      </c>
      <c r="Q65" s="255">
        <v>2.0</v>
      </c>
      <c r="R65" s="259">
        <v>45581.0</v>
      </c>
      <c r="S65" s="260" t="s">
        <v>2265</v>
      </c>
      <c r="T65" s="259">
        <v>45584.0</v>
      </c>
      <c r="U65" s="255">
        <v>0.0</v>
      </c>
    </row>
    <row r="66">
      <c r="A66" s="257">
        <v>45585.71144322917</v>
      </c>
      <c r="B66" s="258" t="s">
        <v>2376</v>
      </c>
      <c r="C66" s="259">
        <v>45586.0</v>
      </c>
      <c r="E66" s="255" t="s">
        <v>2377</v>
      </c>
      <c r="F66" s="255" t="s">
        <v>2378</v>
      </c>
      <c r="H66" s="255" t="s">
        <v>985</v>
      </c>
      <c r="I66" s="255">
        <v>767.0</v>
      </c>
      <c r="K66" s="255" t="s">
        <v>2377</v>
      </c>
      <c r="L66" s="255" t="s">
        <v>2377</v>
      </c>
      <c r="M66" s="255" t="s">
        <v>951</v>
      </c>
      <c r="N66" s="255">
        <v>180000.0</v>
      </c>
      <c r="O66" s="255">
        <v>13000.0</v>
      </c>
      <c r="P66" s="255" t="s">
        <v>2208</v>
      </c>
      <c r="Q66" s="255">
        <v>2.0</v>
      </c>
      <c r="R66" s="259">
        <v>45586.0</v>
      </c>
      <c r="S66" s="260" t="s">
        <v>2324</v>
      </c>
      <c r="T66" s="259">
        <v>45596.0</v>
      </c>
      <c r="U66" s="255">
        <v>390.0</v>
      </c>
    </row>
    <row r="67">
      <c r="A67" s="257">
        <v>45587.93363835648</v>
      </c>
      <c r="B67" s="258" t="s">
        <v>2379</v>
      </c>
      <c r="C67" s="259">
        <v>45618.0</v>
      </c>
      <c r="F67" s="255" t="s">
        <v>2380</v>
      </c>
      <c r="H67" s="255">
        <v>3000.0</v>
      </c>
      <c r="I67" s="255">
        <v>292.0</v>
      </c>
      <c r="M67" s="255" t="s">
        <v>151</v>
      </c>
      <c r="N67" s="255">
        <v>80000.0</v>
      </c>
      <c r="O67" s="255">
        <v>27794.0</v>
      </c>
      <c r="P67" s="255" t="s">
        <v>2208</v>
      </c>
      <c r="Q67" s="255">
        <v>2.0</v>
      </c>
      <c r="R67" s="259">
        <v>45639.0</v>
      </c>
      <c r="S67" s="260" t="s">
        <v>2324</v>
      </c>
      <c r="T67" s="259">
        <v>45670.0</v>
      </c>
      <c r="U67" s="255">
        <v>390.0</v>
      </c>
    </row>
    <row r="68">
      <c r="A68" s="257">
        <v>45588.69537428241</v>
      </c>
      <c r="B68" s="258" t="s">
        <v>2381</v>
      </c>
      <c r="C68" s="259">
        <v>45588.0</v>
      </c>
      <c r="D68" s="255" t="s">
        <v>2382</v>
      </c>
      <c r="E68" s="255" t="s">
        <v>2383</v>
      </c>
      <c r="F68" s="255" t="s">
        <v>2384</v>
      </c>
      <c r="H68" s="255">
        <v>7000.0</v>
      </c>
      <c r="I68" s="255">
        <v>610.0</v>
      </c>
      <c r="K68" s="255" t="s">
        <v>2383</v>
      </c>
      <c r="L68" s="255" t="s">
        <v>2383</v>
      </c>
      <c r="M68" s="255" t="s">
        <v>951</v>
      </c>
      <c r="N68" s="255">
        <v>180000.0</v>
      </c>
      <c r="P68" s="255" t="s">
        <v>2208</v>
      </c>
      <c r="Q68" s="255">
        <v>0.0</v>
      </c>
      <c r="R68" s="259">
        <v>45622.0</v>
      </c>
      <c r="S68" s="260" t="s">
        <v>2324</v>
      </c>
      <c r="T68" s="259">
        <v>45655.0</v>
      </c>
      <c r="U68" s="255">
        <v>390.0</v>
      </c>
    </row>
    <row r="69">
      <c r="A69" s="257">
        <v>45590.541353900466</v>
      </c>
      <c r="B69" s="258" t="s">
        <v>2385</v>
      </c>
      <c r="C69" s="259">
        <v>45590.0</v>
      </c>
      <c r="E69" s="255" t="s">
        <v>2386</v>
      </c>
      <c r="H69" s="255">
        <v>20000.0</v>
      </c>
      <c r="I69" s="255">
        <v>1300.0</v>
      </c>
      <c r="K69" s="255" t="s">
        <v>2387</v>
      </c>
      <c r="L69" s="255" t="s">
        <v>2387</v>
      </c>
      <c r="M69" s="255" t="s">
        <v>102</v>
      </c>
      <c r="N69" s="255">
        <v>220000.0</v>
      </c>
      <c r="O69" s="255">
        <v>42000.0</v>
      </c>
      <c r="P69" s="255" t="s">
        <v>2208</v>
      </c>
      <c r="Q69" s="255">
        <v>0.0</v>
      </c>
      <c r="R69" s="259">
        <v>45583.0</v>
      </c>
      <c r="S69" s="260" t="s">
        <v>2215</v>
      </c>
      <c r="T69" s="259">
        <v>45583.0</v>
      </c>
      <c r="U69" s="255">
        <v>390.0</v>
      </c>
    </row>
    <row r="70">
      <c r="A70" s="257">
        <v>45594.77420905093</v>
      </c>
      <c r="B70" s="258" t="s">
        <v>2388</v>
      </c>
      <c r="C70" s="259">
        <v>45594.0</v>
      </c>
      <c r="D70" s="255" t="s">
        <v>2389</v>
      </c>
      <c r="E70" s="255" t="s">
        <v>2390</v>
      </c>
      <c r="H70" s="255">
        <v>7000.0</v>
      </c>
      <c r="I70" s="255">
        <v>892.0</v>
      </c>
      <c r="K70" s="255" t="s">
        <v>2390</v>
      </c>
      <c r="L70" s="255" t="s">
        <v>2390</v>
      </c>
      <c r="M70" s="255" t="s">
        <v>951</v>
      </c>
      <c r="N70" s="255">
        <v>180000.0</v>
      </c>
      <c r="P70" s="255" t="s">
        <v>2208</v>
      </c>
      <c r="Q70" s="255">
        <v>2.0</v>
      </c>
      <c r="R70" s="259">
        <v>45669.0</v>
      </c>
      <c r="S70" s="260" t="s">
        <v>2391</v>
      </c>
      <c r="T70" s="259">
        <v>45676.0</v>
      </c>
      <c r="U70" s="255">
        <v>290.0</v>
      </c>
    </row>
    <row r="71">
      <c r="A71" s="257">
        <v>45594.77815690972</v>
      </c>
      <c r="B71" s="258" t="s">
        <v>2392</v>
      </c>
      <c r="C71" s="259">
        <v>45594.0</v>
      </c>
      <c r="D71" s="255" t="s">
        <v>2389</v>
      </c>
      <c r="E71" s="255" t="s">
        <v>2390</v>
      </c>
      <c r="H71" s="255">
        <v>3000.0</v>
      </c>
      <c r="I71" s="255">
        <v>343.0</v>
      </c>
      <c r="K71" s="255" t="s">
        <v>2390</v>
      </c>
      <c r="L71" s="255" t="s">
        <v>2390</v>
      </c>
      <c r="M71" s="255" t="s">
        <v>77</v>
      </c>
      <c r="N71" s="255">
        <v>85000.0</v>
      </c>
      <c r="P71" s="255" t="s">
        <v>2208</v>
      </c>
      <c r="Q71" s="255">
        <v>2.0</v>
      </c>
      <c r="R71" s="259">
        <v>45676.0</v>
      </c>
      <c r="S71" s="260" t="s">
        <v>2391</v>
      </c>
      <c r="T71" s="259">
        <v>45690.0</v>
      </c>
      <c r="U71" s="255">
        <v>290.0</v>
      </c>
    </row>
    <row r="72">
      <c r="A72" s="257">
        <v>45601.806745821756</v>
      </c>
      <c r="B72" s="258" t="s">
        <v>2393</v>
      </c>
      <c r="C72" s="259">
        <v>45601.0</v>
      </c>
      <c r="D72" s="255" t="s">
        <v>2394</v>
      </c>
      <c r="E72" s="255" t="s">
        <v>2395</v>
      </c>
      <c r="F72" s="255" t="s">
        <v>2396</v>
      </c>
      <c r="H72" s="255" t="s">
        <v>912</v>
      </c>
      <c r="I72" s="255">
        <v>314.0</v>
      </c>
      <c r="K72" s="255" t="s">
        <v>2207</v>
      </c>
      <c r="L72" s="255" t="s">
        <v>2207</v>
      </c>
      <c r="M72" s="255" t="s">
        <v>2375</v>
      </c>
      <c r="N72" s="255">
        <v>45000.0</v>
      </c>
      <c r="O72" s="255">
        <v>25000.0</v>
      </c>
      <c r="P72" s="255" t="s">
        <v>2208</v>
      </c>
      <c r="Q72" s="255">
        <v>1.0</v>
      </c>
      <c r="R72" s="259">
        <v>45601.0</v>
      </c>
      <c r="S72" s="260" t="s">
        <v>2209</v>
      </c>
      <c r="T72" s="259">
        <v>45606.0</v>
      </c>
      <c r="U72" s="255">
        <v>0.0</v>
      </c>
    </row>
    <row r="73">
      <c r="A73" s="257">
        <v>45602.44281680556</v>
      </c>
      <c r="B73" s="258" t="s">
        <v>2397</v>
      </c>
      <c r="C73" s="259">
        <v>45602.0</v>
      </c>
      <c r="D73" s="255" t="s">
        <v>2398</v>
      </c>
      <c r="E73" s="255" t="s">
        <v>2399</v>
      </c>
      <c r="F73" s="255" t="s">
        <v>2400</v>
      </c>
      <c r="H73" s="255">
        <v>3000.0</v>
      </c>
      <c r="I73" s="255">
        <v>394.0</v>
      </c>
      <c r="K73" s="255" t="s">
        <v>2399</v>
      </c>
      <c r="L73" s="255" t="s">
        <v>2399</v>
      </c>
      <c r="M73" s="255" t="s">
        <v>77</v>
      </c>
      <c r="N73" s="255">
        <v>80000.0</v>
      </c>
      <c r="O73" s="255">
        <v>28093.0</v>
      </c>
      <c r="P73" s="255" t="s">
        <v>2208</v>
      </c>
      <c r="Q73" s="255">
        <v>2.0</v>
      </c>
      <c r="R73" s="259">
        <v>45602.0</v>
      </c>
      <c r="S73" s="260" t="s">
        <v>2330</v>
      </c>
      <c r="T73" s="259">
        <v>45608.0</v>
      </c>
    </row>
    <row r="74">
      <c r="A74" s="257">
        <v>45603.609969467594</v>
      </c>
      <c r="B74" s="258" t="s">
        <v>2401</v>
      </c>
      <c r="C74" s="259">
        <v>45603.0</v>
      </c>
      <c r="D74" s="255" t="s">
        <v>2335</v>
      </c>
      <c r="E74" s="255" t="s">
        <v>2402</v>
      </c>
      <c r="H74" s="255">
        <v>7000.0</v>
      </c>
      <c r="I74" s="255">
        <v>763.0</v>
      </c>
      <c r="K74" s="255" t="s">
        <v>2207</v>
      </c>
      <c r="L74" s="255" t="s">
        <v>2207</v>
      </c>
      <c r="M74" s="255" t="s">
        <v>2403</v>
      </c>
      <c r="N74" s="255">
        <v>180000.0</v>
      </c>
      <c r="P74" s="255" t="s">
        <v>2208</v>
      </c>
      <c r="Q74" s="255">
        <v>0.0</v>
      </c>
      <c r="R74" s="259">
        <v>45629.0</v>
      </c>
      <c r="S74" s="260" t="s">
        <v>2330</v>
      </c>
      <c r="T74" s="259">
        <v>45646.0</v>
      </c>
      <c r="U74" s="255">
        <v>0.0</v>
      </c>
    </row>
    <row r="75">
      <c r="A75" s="257">
        <v>45603.70844939815</v>
      </c>
      <c r="B75" s="258" t="s">
        <v>2404</v>
      </c>
      <c r="C75" s="259">
        <v>45603.0</v>
      </c>
      <c r="D75" s="255" t="s">
        <v>2405</v>
      </c>
      <c r="E75" s="255" t="s">
        <v>2406</v>
      </c>
      <c r="F75" s="255" t="s">
        <v>2407</v>
      </c>
      <c r="H75" s="255">
        <v>3000.0</v>
      </c>
      <c r="J75" s="255">
        <v>7000.0</v>
      </c>
      <c r="K75" s="255" t="s">
        <v>2406</v>
      </c>
      <c r="L75" s="255" t="s">
        <v>2406</v>
      </c>
      <c r="M75" s="255" t="s">
        <v>151</v>
      </c>
      <c r="N75" s="255">
        <v>80000.0</v>
      </c>
      <c r="O75" s="255">
        <v>27849.0</v>
      </c>
      <c r="P75" s="255" t="s">
        <v>2208</v>
      </c>
      <c r="Q75" s="255">
        <v>2.0</v>
      </c>
      <c r="R75" s="259">
        <v>45603.0</v>
      </c>
      <c r="S75" s="260" t="s">
        <v>2246</v>
      </c>
      <c r="T75" s="259">
        <v>45633.0</v>
      </c>
      <c r="U75" s="255">
        <v>390.0</v>
      </c>
    </row>
    <row r="76">
      <c r="A76" s="257">
        <v>45613.451816967594</v>
      </c>
      <c r="B76" s="258" t="s">
        <v>2408</v>
      </c>
      <c r="C76" s="259">
        <v>45613.0</v>
      </c>
      <c r="D76" s="255" t="s">
        <v>2409</v>
      </c>
      <c r="E76" s="255" t="s">
        <v>2410</v>
      </c>
      <c r="F76" s="255" t="s">
        <v>2411</v>
      </c>
      <c r="G76" s="255" t="s">
        <v>2412</v>
      </c>
      <c r="H76" s="255">
        <v>3000.0</v>
      </c>
      <c r="J76" s="255">
        <v>5900.0</v>
      </c>
      <c r="K76" s="255" t="s">
        <v>2269</v>
      </c>
      <c r="L76" s="255" t="s">
        <v>2269</v>
      </c>
      <c r="M76" s="255" t="s">
        <v>2375</v>
      </c>
      <c r="N76" s="255">
        <v>70000.0</v>
      </c>
      <c r="P76" s="255" t="s">
        <v>2208</v>
      </c>
      <c r="Q76" s="255">
        <v>0.0</v>
      </c>
      <c r="R76" s="259">
        <v>45613.0</v>
      </c>
      <c r="S76" s="260" t="s">
        <v>2330</v>
      </c>
      <c r="T76" s="259">
        <v>45643.0</v>
      </c>
      <c r="U76" s="255">
        <v>0.0</v>
      </c>
    </row>
    <row r="77">
      <c r="A77" s="257">
        <v>45614.622670682875</v>
      </c>
      <c r="B77" s="258" t="s">
        <v>2413</v>
      </c>
      <c r="C77" s="259">
        <v>45614.0</v>
      </c>
      <c r="D77" s="255" t="s">
        <v>2414</v>
      </c>
      <c r="F77" s="255" t="s">
        <v>2415</v>
      </c>
      <c r="H77" s="255">
        <v>20000.0</v>
      </c>
      <c r="I77" s="255">
        <v>1600.0</v>
      </c>
      <c r="K77" s="255" t="s">
        <v>2207</v>
      </c>
      <c r="L77" s="255" t="s">
        <v>2207</v>
      </c>
      <c r="M77" s="255" t="s">
        <v>321</v>
      </c>
      <c r="N77" s="255">
        <v>200000.0</v>
      </c>
      <c r="P77" s="255" t="s">
        <v>2208</v>
      </c>
      <c r="Q77" s="255">
        <v>2.0</v>
      </c>
      <c r="R77" s="259">
        <v>45614.0</v>
      </c>
      <c r="S77" s="260" t="s">
        <v>2246</v>
      </c>
      <c r="T77" s="259">
        <v>45621.0</v>
      </c>
      <c r="U77" s="255">
        <v>0.0</v>
      </c>
    </row>
    <row r="78">
      <c r="A78" s="257">
        <v>45615.6432059375</v>
      </c>
      <c r="B78" s="258" t="s">
        <v>2416</v>
      </c>
      <c r="C78" s="259">
        <v>45615.0</v>
      </c>
      <c r="E78" s="255" t="s">
        <v>2417</v>
      </c>
      <c r="F78" s="255" t="s">
        <v>2418</v>
      </c>
      <c r="H78" s="255">
        <v>7000.0</v>
      </c>
      <c r="I78" s="255">
        <v>798.0</v>
      </c>
      <c r="K78" s="255" t="s">
        <v>2417</v>
      </c>
      <c r="L78" s="255" t="s">
        <v>2417</v>
      </c>
      <c r="M78" s="255" t="s">
        <v>951</v>
      </c>
      <c r="N78" s="255">
        <v>190000.0</v>
      </c>
      <c r="P78" s="255" t="s">
        <v>2208</v>
      </c>
      <c r="Q78" s="255">
        <v>3.0</v>
      </c>
      <c r="R78" s="259">
        <v>45661.0</v>
      </c>
      <c r="S78" s="260" t="s">
        <v>2265</v>
      </c>
      <c r="T78" s="259">
        <v>45675.0</v>
      </c>
      <c r="U78" s="255">
        <v>390.0</v>
      </c>
    </row>
    <row r="79">
      <c r="A79" s="257">
        <v>45619.67366119213</v>
      </c>
      <c r="B79" s="258" t="s">
        <v>2419</v>
      </c>
      <c r="C79" s="259">
        <v>45619.0</v>
      </c>
      <c r="E79" s="255" t="s">
        <v>2420</v>
      </c>
      <c r="F79" s="255" t="s">
        <v>2421</v>
      </c>
      <c r="H79" s="255">
        <v>7000.0</v>
      </c>
      <c r="I79" s="255">
        <v>939.0</v>
      </c>
      <c r="K79" s="255" t="s">
        <v>2269</v>
      </c>
      <c r="L79" s="255" t="s">
        <v>2269</v>
      </c>
      <c r="M79" s="255" t="s">
        <v>2403</v>
      </c>
      <c r="N79" s="255">
        <v>190000.0</v>
      </c>
      <c r="O79" s="255">
        <v>13151.0</v>
      </c>
      <c r="P79" s="255" t="s">
        <v>2208</v>
      </c>
      <c r="Q79" s="255">
        <v>1.0</v>
      </c>
      <c r="R79" s="259">
        <v>45619.0</v>
      </c>
      <c r="S79" s="260" t="s">
        <v>2215</v>
      </c>
      <c r="T79" s="259">
        <v>45623.0</v>
      </c>
      <c r="U79" s="255">
        <v>0.0</v>
      </c>
    </row>
    <row r="80">
      <c r="A80" s="257">
        <v>45621.90163085648</v>
      </c>
      <c r="B80" s="258" t="s">
        <v>2422</v>
      </c>
      <c r="C80" s="259">
        <v>45621.0</v>
      </c>
      <c r="E80" s="255" t="s">
        <v>2423</v>
      </c>
      <c r="F80" s="255" t="s">
        <v>2424</v>
      </c>
      <c r="H80" s="255">
        <v>7000.0</v>
      </c>
      <c r="I80" s="255">
        <v>998.0</v>
      </c>
      <c r="K80" s="255" t="s">
        <v>2207</v>
      </c>
      <c r="L80" s="255" t="s">
        <v>2207</v>
      </c>
      <c r="M80" s="255" t="s">
        <v>941</v>
      </c>
      <c r="N80" s="255">
        <v>190000.0</v>
      </c>
      <c r="P80" s="255" t="s">
        <v>2208</v>
      </c>
      <c r="Q80" s="255">
        <v>2.0</v>
      </c>
      <c r="R80" s="259">
        <v>45629.0</v>
      </c>
      <c r="S80" s="260" t="s">
        <v>2324</v>
      </c>
      <c r="T80" s="259">
        <v>45633.0</v>
      </c>
      <c r="U80" s="255">
        <v>0.0</v>
      </c>
    </row>
    <row r="81">
      <c r="A81" s="257">
        <v>45624.650702824074</v>
      </c>
      <c r="B81" s="258" t="s">
        <v>2425</v>
      </c>
      <c r="C81" s="259">
        <v>45624.0</v>
      </c>
      <c r="D81" s="255" t="s">
        <v>2414</v>
      </c>
      <c r="F81" s="255" t="s">
        <v>2426</v>
      </c>
      <c r="H81" s="255">
        <v>20000.0</v>
      </c>
      <c r="I81" s="255">
        <v>1044.0</v>
      </c>
      <c r="K81" s="255" t="s">
        <v>2427</v>
      </c>
      <c r="L81" s="255" t="s">
        <v>2427</v>
      </c>
      <c r="M81" s="255" t="s">
        <v>102</v>
      </c>
      <c r="N81" s="255">
        <v>190000.0</v>
      </c>
      <c r="O81" s="255">
        <v>43456.0</v>
      </c>
      <c r="P81" s="255" t="s">
        <v>2208</v>
      </c>
      <c r="Q81" s="255">
        <v>0.0</v>
      </c>
      <c r="R81" s="259">
        <v>45624.0</v>
      </c>
      <c r="S81" s="260" t="s">
        <v>2231</v>
      </c>
      <c r="T81" s="259">
        <v>45647.0</v>
      </c>
      <c r="U81" s="255">
        <v>0.0</v>
      </c>
    </row>
    <row r="82">
      <c r="A82" s="257">
        <v>45624.802863819445</v>
      </c>
      <c r="B82" s="258" t="s">
        <v>2428</v>
      </c>
      <c r="C82" s="259">
        <v>45624.0</v>
      </c>
      <c r="D82" s="255" t="s">
        <v>2429</v>
      </c>
      <c r="F82" s="255" t="s">
        <v>2430</v>
      </c>
      <c r="H82" s="255">
        <v>20000.0</v>
      </c>
      <c r="I82" s="255">
        <v>1333.0</v>
      </c>
      <c r="K82" s="255" t="s">
        <v>2431</v>
      </c>
      <c r="L82" s="255" t="s">
        <v>2269</v>
      </c>
      <c r="M82" s="255" t="s">
        <v>102</v>
      </c>
      <c r="N82" s="255">
        <v>200000.0</v>
      </c>
      <c r="P82" s="255" t="s">
        <v>2208</v>
      </c>
      <c r="Q82" s="255">
        <v>2.0</v>
      </c>
      <c r="R82" s="259">
        <v>45638.0</v>
      </c>
      <c r="S82" s="260" t="s">
        <v>2231</v>
      </c>
      <c r="T82" s="259">
        <v>45643.0</v>
      </c>
      <c r="U82" s="255">
        <v>590.0</v>
      </c>
    </row>
    <row r="83">
      <c r="A83" s="257">
        <v>45625.563734930554</v>
      </c>
      <c r="B83" s="258" t="s">
        <v>2432</v>
      </c>
      <c r="C83" s="259">
        <v>45625.0</v>
      </c>
      <c r="D83" s="255" t="s">
        <v>2433</v>
      </c>
      <c r="E83" s="255" t="s">
        <v>2434</v>
      </c>
      <c r="F83" s="255">
        <v>8.9112975033E10</v>
      </c>
      <c r="H83" s="255">
        <v>3000.0</v>
      </c>
      <c r="I83" s="255">
        <v>407.0</v>
      </c>
      <c r="K83" s="255" t="s">
        <v>2434</v>
      </c>
      <c r="L83" s="255" t="s">
        <v>2434</v>
      </c>
      <c r="M83" s="255" t="s">
        <v>73</v>
      </c>
      <c r="N83" s="255">
        <v>80000.0</v>
      </c>
      <c r="O83" s="255">
        <v>23263.0</v>
      </c>
      <c r="P83" s="255" t="s">
        <v>2208</v>
      </c>
      <c r="Q83" s="255">
        <v>2.0</v>
      </c>
      <c r="R83" s="259">
        <v>45625.0</v>
      </c>
      <c r="S83" s="260" t="s">
        <v>2221</v>
      </c>
      <c r="T83" s="259">
        <v>45635.0</v>
      </c>
      <c r="U83" s="255">
        <v>290.0</v>
      </c>
    </row>
    <row r="84">
      <c r="A84" s="257">
        <v>45626.616196944444</v>
      </c>
      <c r="B84" s="258" t="s">
        <v>2435</v>
      </c>
      <c r="C84" s="259">
        <v>45626.0</v>
      </c>
      <c r="E84" s="255" t="s">
        <v>2436</v>
      </c>
      <c r="F84" s="255" t="s">
        <v>2437</v>
      </c>
      <c r="H84" s="255">
        <v>3000.0</v>
      </c>
      <c r="I84" s="255">
        <v>427.0</v>
      </c>
      <c r="K84" s="255" t="s">
        <v>2207</v>
      </c>
      <c r="L84" s="255" t="s">
        <v>2207</v>
      </c>
      <c r="M84" s="255" t="s">
        <v>98</v>
      </c>
      <c r="N84" s="255">
        <v>90000.0</v>
      </c>
      <c r="O84" s="255">
        <v>25121.0</v>
      </c>
      <c r="P84" s="255" t="s">
        <v>2208</v>
      </c>
      <c r="Q84" s="255">
        <v>2.0</v>
      </c>
      <c r="R84" s="259">
        <v>45626.0</v>
      </c>
      <c r="S84" s="260" t="s">
        <v>2215</v>
      </c>
      <c r="T84" s="259">
        <v>45633.0</v>
      </c>
      <c r="U84" s="255">
        <v>0.0</v>
      </c>
    </row>
    <row r="85">
      <c r="A85" s="257">
        <v>45626.681677326385</v>
      </c>
      <c r="B85" s="258" t="s">
        <v>2438</v>
      </c>
      <c r="C85" s="259">
        <v>45626.0</v>
      </c>
      <c r="E85" s="255" t="s">
        <v>2436</v>
      </c>
      <c r="F85" s="255" t="s">
        <v>2437</v>
      </c>
      <c r="H85" s="255">
        <v>3000.0</v>
      </c>
      <c r="I85" s="255">
        <v>427.0</v>
      </c>
      <c r="K85" s="255" t="s">
        <v>2207</v>
      </c>
      <c r="L85" s="255" t="s">
        <v>2207</v>
      </c>
      <c r="M85" s="255" t="s">
        <v>98</v>
      </c>
      <c r="N85" s="255">
        <v>90000.0</v>
      </c>
      <c r="O85" s="255">
        <v>25121.0</v>
      </c>
      <c r="P85" s="255" t="s">
        <v>2208</v>
      </c>
      <c r="Q85" s="255">
        <v>2.0</v>
      </c>
      <c r="R85" s="259">
        <v>45626.0</v>
      </c>
      <c r="S85" s="260" t="s">
        <v>2215</v>
      </c>
      <c r="T85" s="259">
        <v>45633.0</v>
      </c>
      <c r="U85" s="255">
        <v>0.0</v>
      </c>
    </row>
    <row r="86">
      <c r="A86" s="257">
        <v>45626.69259496528</v>
      </c>
      <c r="B86" s="258" t="s">
        <v>2439</v>
      </c>
      <c r="C86" s="259">
        <v>45626.0</v>
      </c>
      <c r="E86" s="255" t="s">
        <v>2436</v>
      </c>
      <c r="F86" s="255" t="s">
        <v>2440</v>
      </c>
      <c r="H86" s="255">
        <v>3000.0</v>
      </c>
      <c r="I86" s="255">
        <v>427.0</v>
      </c>
      <c r="K86" s="255" t="s">
        <v>2207</v>
      </c>
      <c r="L86" s="255" t="s">
        <v>2207</v>
      </c>
      <c r="M86" s="255" t="s">
        <v>98</v>
      </c>
      <c r="N86" s="255">
        <v>90000.0</v>
      </c>
      <c r="O86" s="255">
        <v>25121.0</v>
      </c>
      <c r="P86" s="255" t="s">
        <v>2208</v>
      </c>
      <c r="Q86" s="255">
        <v>2.0</v>
      </c>
      <c r="R86" s="259">
        <v>45626.0</v>
      </c>
      <c r="S86" s="260" t="s">
        <v>2215</v>
      </c>
      <c r="T86" s="259">
        <v>45633.0</v>
      </c>
      <c r="U86" s="255">
        <v>0.0</v>
      </c>
    </row>
    <row r="87">
      <c r="A87" s="257">
        <v>45626.76080650463</v>
      </c>
      <c r="B87" s="258" t="s">
        <v>2441</v>
      </c>
      <c r="C87" s="259">
        <v>45626.0</v>
      </c>
      <c r="E87" s="255" t="s">
        <v>2442</v>
      </c>
      <c r="F87" s="255">
        <v>8.9046305183E10</v>
      </c>
      <c r="H87" s="255">
        <v>3000.0</v>
      </c>
      <c r="I87" s="255">
        <v>332.0</v>
      </c>
      <c r="K87" s="255" t="s">
        <v>2442</v>
      </c>
      <c r="L87" s="255" t="s">
        <v>2442</v>
      </c>
      <c r="M87" s="255" t="s">
        <v>48</v>
      </c>
      <c r="N87" s="255">
        <v>90000.0</v>
      </c>
      <c r="O87" s="255">
        <v>26539.0</v>
      </c>
      <c r="P87" s="255" t="s">
        <v>2208</v>
      </c>
      <c r="Q87" s="255">
        <v>3.0</v>
      </c>
      <c r="R87" s="259">
        <v>45627.0</v>
      </c>
      <c r="S87" s="260" t="s">
        <v>2262</v>
      </c>
      <c r="T87" s="259">
        <v>45634.0</v>
      </c>
      <c r="U87" s="255">
        <v>390.0</v>
      </c>
    </row>
    <row r="88">
      <c r="A88" s="257">
        <v>45627.45551929398</v>
      </c>
      <c r="B88" s="258" t="s">
        <v>2443</v>
      </c>
      <c r="C88" s="259">
        <v>45627.0</v>
      </c>
      <c r="D88" s="255" t="s">
        <v>2444</v>
      </c>
      <c r="E88" s="255" t="s">
        <v>2445</v>
      </c>
      <c r="H88" s="255">
        <v>5000.0</v>
      </c>
      <c r="I88" s="255">
        <v>606.0</v>
      </c>
      <c r="K88" s="255" t="s">
        <v>2445</v>
      </c>
      <c r="L88" s="255" t="s">
        <v>2445</v>
      </c>
      <c r="M88" s="255" t="s">
        <v>202</v>
      </c>
      <c r="N88" s="255">
        <v>190000.0</v>
      </c>
      <c r="P88" s="255" t="s">
        <v>2208</v>
      </c>
      <c r="Q88" s="255">
        <v>1.0</v>
      </c>
      <c r="R88" s="259">
        <v>45627.0</v>
      </c>
      <c r="S88" s="260" t="s">
        <v>2221</v>
      </c>
      <c r="T88" s="259">
        <v>45639.0</v>
      </c>
      <c r="U88" s="255">
        <v>290.0</v>
      </c>
    </row>
    <row r="89">
      <c r="A89" s="257">
        <v>45628.499124525464</v>
      </c>
      <c r="B89" s="258" t="s">
        <v>2446</v>
      </c>
      <c r="C89" s="259">
        <v>45628.0</v>
      </c>
      <c r="F89" s="255" t="s">
        <v>2447</v>
      </c>
      <c r="H89" s="255">
        <v>20000.0</v>
      </c>
      <c r="I89" s="255">
        <v>1474.0</v>
      </c>
      <c r="K89" s="255" t="s">
        <v>2269</v>
      </c>
      <c r="L89" s="255" t="s">
        <v>2269</v>
      </c>
      <c r="M89" s="255" t="s">
        <v>102</v>
      </c>
      <c r="N89" s="255">
        <v>210000.0</v>
      </c>
      <c r="P89" s="255" t="s">
        <v>2208</v>
      </c>
      <c r="Q89" s="255">
        <v>2.0</v>
      </c>
      <c r="R89" s="259">
        <v>45657.0</v>
      </c>
      <c r="S89" s="260" t="s">
        <v>2300</v>
      </c>
      <c r="T89" s="259">
        <v>45667.0</v>
      </c>
      <c r="U89" s="255">
        <v>0.0</v>
      </c>
    </row>
    <row r="90">
      <c r="A90" s="257">
        <v>45629.64103828704</v>
      </c>
      <c r="B90" s="258" t="s">
        <v>2448</v>
      </c>
      <c r="C90" s="259">
        <v>45629.0</v>
      </c>
      <c r="E90" s="255" t="s">
        <v>2449</v>
      </c>
      <c r="F90" s="255">
        <v>7.929989505E10</v>
      </c>
      <c r="H90" s="255">
        <v>3000.0</v>
      </c>
      <c r="J90" s="255">
        <v>7000.0</v>
      </c>
      <c r="K90" s="255" t="s">
        <v>2449</v>
      </c>
      <c r="L90" s="255" t="s">
        <v>2449</v>
      </c>
      <c r="M90" s="255" t="s">
        <v>68</v>
      </c>
      <c r="N90" s="255">
        <v>90000.0</v>
      </c>
      <c r="P90" s="255" t="s">
        <v>2208</v>
      </c>
      <c r="Q90" s="255">
        <v>2.0</v>
      </c>
      <c r="R90" s="259">
        <v>45636.0</v>
      </c>
      <c r="S90" s="260" t="s">
        <v>2330</v>
      </c>
      <c r="T90" s="259">
        <v>45667.0</v>
      </c>
      <c r="U90" s="255">
        <v>390.0</v>
      </c>
    </row>
    <row r="91">
      <c r="A91" s="257">
        <v>45630.748054675925</v>
      </c>
      <c r="B91" s="258" t="s">
        <v>2450</v>
      </c>
      <c r="C91" s="259">
        <v>45630.0</v>
      </c>
      <c r="D91" s="255" t="s">
        <v>2451</v>
      </c>
      <c r="E91" s="255" t="s">
        <v>2452</v>
      </c>
      <c r="F91" s="255" t="s">
        <v>2451</v>
      </c>
      <c r="H91" s="255" t="s">
        <v>515</v>
      </c>
      <c r="I91" s="255">
        <v>1618.0</v>
      </c>
      <c r="K91" s="255" t="s">
        <v>2269</v>
      </c>
      <c r="L91" s="255" t="s">
        <v>2269</v>
      </c>
      <c r="M91" s="255" t="s">
        <v>483</v>
      </c>
      <c r="N91" s="255">
        <v>180000.0</v>
      </c>
      <c r="O91" s="255">
        <v>33000.0</v>
      </c>
      <c r="P91" s="255" t="s">
        <v>2208</v>
      </c>
      <c r="Q91" s="255">
        <v>1.0</v>
      </c>
      <c r="R91" s="259">
        <v>45630.0</v>
      </c>
      <c r="S91" s="260" t="s">
        <v>2250</v>
      </c>
      <c r="T91" s="259">
        <v>45633.0</v>
      </c>
      <c r="U91" s="255">
        <v>0.0</v>
      </c>
    </row>
    <row r="92">
      <c r="A92" s="257">
        <v>45630.754500428244</v>
      </c>
      <c r="B92" s="258" t="s">
        <v>2453</v>
      </c>
      <c r="C92" s="259">
        <v>45630.0</v>
      </c>
      <c r="D92" s="255" t="s">
        <v>2454</v>
      </c>
      <c r="E92" s="255" t="s">
        <v>2455</v>
      </c>
      <c r="F92" s="260" t="s">
        <v>2456</v>
      </c>
      <c r="H92" s="255">
        <v>3000.0</v>
      </c>
      <c r="J92" s="255">
        <v>5500.0</v>
      </c>
      <c r="K92" s="255" t="s">
        <v>2269</v>
      </c>
      <c r="L92" s="255" t="s">
        <v>2269</v>
      </c>
      <c r="M92" s="255" t="s">
        <v>132</v>
      </c>
      <c r="N92" s="255">
        <v>55000.0</v>
      </c>
      <c r="O92" s="255">
        <v>36532.0</v>
      </c>
      <c r="P92" s="255" t="s">
        <v>2242</v>
      </c>
      <c r="Q92" s="255">
        <v>3.0</v>
      </c>
      <c r="R92" s="259">
        <v>45630.0</v>
      </c>
      <c r="S92" s="260" t="s">
        <v>2250</v>
      </c>
      <c r="T92" s="259">
        <v>45781.0</v>
      </c>
      <c r="U92" s="255">
        <v>0.0</v>
      </c>
    </row>
    <row r="93">
      <c r="A93" s="257">
        <v>45631.89503108796</v>
      </c>
      <c r="B93" s="258" t="s">
        <v>2457</v>
      </c>
      <c r="C93" s="259">
        <v>45631.0</v>
      </c>
      <c r="D93" s="255" t="s">
        <v>2458</v>
      </c>
      <c r="E93" s="255" t="s">
        <v>2459</v>
      </c>
      <c r="F93" s="255" t="s">
        <v>2460</v>
      </c>
      <c r="H93" s="255">
        <v>7000.0</v>
      </c>
      <c r="I93" s="255">
        <v>998.0</v>
      </c>
      <c r="J93" s="255">
        <v>3992.0</v>
      </c>
      <c r="K93" s="255" t="s">
        <v>2269</v>
      </c>
      <c r="L93" s="255" t="s">
        <v>2269</v>
      </c>
      <c r="M93" s="255" t="s">
        <v>923</v>
      </c>
      <c r="N93" s="255">
        <v>140000.0</v>
      </c>
      <c r="P93" s="255" t="s">
        <v>2208</v>
      </c>
      <c r="Q93" s="255">
        <v>2.0</v>
      </c>
      <c r="R93" s="259">
        <v>45632.0</v>
      </c>
      <c r="S93" s="260" t="s">
        <v>2330</v>
      </c>
      <c r="T93" s="259">
        <v>45636.0</v>
      </c>
      <c r="U93" s="255">
        <v>0.0</v>
      </c>
    </row>
    <row r="94">
      <c r="A94" s="257">
        <v>45631.94949704861</v>
      </c>
      <c r="B94" s="258" t="s">
        <v>2461</v>
      </c>
      <c r="C94" s="259">
        <v>45631.0</v>
      </c>
      <c r="D94" s="255" t="s">
        <v>2458</v>
      </c>
      <c r="E94" s="255" t="s">
        <v>2462</v>
      </c>
      <c r="F94" s="255" t="s">
        <v>2460</v>
      </c>
      <c r="H94" s="255">
        <v>5000.0</v>
      </c>
      <c r="I94" s="255">
        <v>790.0</v>
      </c>
      <c r="J94" s="255">
        <v>3160.0</v>
      </c>
      <c r="K94" s="255" t="s">
        <v>2269</v>
      </c>
      <c r="L94" s="255" t="s">
        <v>2269</v>
      </c>
      <c r="M94" s="255" t="s">
        <v>32</v>
      </c>
      <c r="N94" s="255">
        <v>140000.0</v>
      </c>
      <c r="P94" s="255" t="s">
        <v>2208</v>
      </c>
      <c r="Q94" s="255">
        <v>2.0</v>
      </c>
      <c r="R94" s="259">
        <v>45632.0</v>
      </c>
      <c r="S94" s="260" t="s">
        <v>2330</v>
      </c>
      <c r="T94" s="259">
        <v>45636.0</v>
      </c>
      <c r="U94" s="255">
        <v>0.0</v>
      </c>
    </row>
    <row r="95">
      <c r="A95" s="257">
        <v>45634.51633578703</v>
      </c>
      <c r="B95" s="258" t="s">
        <v>2463</v>
      </c>
      <c r="C95" s="259">
        <v>45634.0</v>
      </c>
      <c r="D95" s="255" t="s">
        <v>2464</v>
      </c>
      <c r="E95" s="255" t="s">
        <v>2465</v>
      </c>
      <c r="F95" s="255">
        <v>8.9501110511E10</v>
      </c>
      <c r="H95" s="255">
        <v>7000.0</v>
      </c>
      <c r="I95" s="255">
        <v>877.0</v>
      </c>
      <c r="K95" s="255" t="s">
        <v>2465</v>
      </c>
      <c r="L95" s="255" t="s">
        <v>2465</v>
      </c>
      <c r="M95" s="255" t="s">
        <v>923</v>
      </c>
      <c r="N95" s="255">
        <v>190000.0</v>
      </c>
      <c r="O95" s="255">
        <v>11000.0</v>
      </c>
      <c r="P95" s="255" t="s">
        <v>2208</v>
      </c>
      <c r="Q95" s="255">
        <v>3.0</v>
      </c>
      <c r="R95" s="259">
        <v>45634.0</v>
      </c>
      <c r="S95" s="260" t="s">
        <v>2235</v>
      </c>
      <c r="T95" s="259">
        <v>45638.0</v>
      </c>
      <c r="U95" s="255">
        <v>590.0</v>
      </c>
    </row>
    <row r="96">
      <c r="A96" s="257">
        <v>45635.642911331015</v>
      </c>
      <c r="B96" s="258" t="s">
        <v>2466</v>
      </c>
      <c r="C96" s="259">
        <v>45635.0</v>
      </c>
      <c r="E96" s="255" t="s">
        <v>2467</v>
      </c>
      <c r="F96" s="255">
        <v>8.9158880212E10</v>
      </c>
      <c r="G96" s="255">
        <v>8.9265358353E10</v>
      </c>
      <c r="H96" s="255" t="s">
        <v>1641</v>
      </c>
      <c r="I96" s="255">
        <v>844.0</v>
      </c>
      <c r="K96" s="255" t="s">
        <v>2467</v>
      </c>
      <c r="L96" s="255" t="s">
        <v>2467</v>
      </c>
      <c r="M96" s="255" t="s">
        <v>946</v>
      </c>
      <c r="N96" s="255">
        <v>180000.0</v>
      </c>
      <c r="O96" s="255">
        <v>13500.0</v>
      </c>
      <c r="Q96" s="255">
        <v>0.0</v>
      </c>
      <c r="R96" s="259">
        <v>45659.0</v>
      </c>
      <c r="S96" s="260" t="s">
        <v>2221</v>
      </c>
      <c r="T96" s="259">
        <v>45672.0</v>
      </c>
      <c r="U96" s="255">
        <v>290.0</v>
      </c>
    </row>
    <row r="97">
      <c r="A97" s="257">
        <v>45637.42098891204</v>
      </c>
      <c r="B97" s="258" t="s">
        <v>2468</v>
      </c>
      <c r="C97" s="259">
        <v>45637.0</v>
      </c>
      <c r="F97" s="255" t="s">
        <v>2469</v>
      </c>
      <c r="H97" s="255">
        <v>3500.0</v>
      </c>
      <c r="I97" s="255">
        <v>751.0</v>
      </c>
      <c r="K97" s="255" t="s">
        <v>2207</v>
      </c>
      <c r="L97" s="255" t="s">
        <v>2207</v>
      </c>
      <c r="M97" s="255" t="s">
        <v>98</v>
      </c>
      <c r="O97" s="255">
        <v>26000.0</v>
      </c>
      <c r="P97" s="255" t="s">
        <v>2279</v>
      </c>
      <c r="Q97" s="255">
        <v>1.0</v>
      </c>
      <c r="R97" s="259">
        <v>45637.0</v>
      </c>
      <c r="S97" s="260" t="s">
        <v>2470</v>
      </c>
      <c r="T97" s="259">
        <v>45655.0</v>
      </c>
      <c r="U97" s="255">
        <v>0.0</v>
      </c>
    </row>
    <row r="98">
      <c r="A98" s="257">
        <v>45637.42397596065</v>
      </c>
      <c r="B98" s="258" t="s">
        <v>2471</v>
      </c>
      <c r="C98" s="259">
        <v>45637.0</v>
      </c>
      <c r="E98" s="255" t="s">
        <v>2472</v>
      </c>
      <c r="H98" s="255">
        <v>100.0</v>
      </c>
      <c r="I98" s="255">
        <v>751.0</v>
      </c>
      <c r="K98" s="255" t="s">
        <v>2207</v>
      </c>
      <c r="L98" s="255" t="s">
        <v>2207</v>
      </c>
      <c r="M98" s="255" t="s">
        <v>946</v>
      </c>
      <c r="N98" s="255">
        <v>200000.0</v>
      </c>
      <c r="O98" s="255">
        <v>12200.0</v>
      </c>
      <c r="P98" s="255" t="s">
        <v>2227</v>
      </c>
      <c r="Q98" s="255">
        <v>2.0</v>
      </c>
      <c r="R98" s="259">
        <v>45637.0</v>
      </c>
      <c r="S98" s="260" t="s">
        <v>2470</v>
      </c>
      <c r="T98" s="259">
        <v>45655.0</v>
      </c>
      <c r="U98" s="255">
        <v>0.0</v>
      </c>
    </row>
    <row r="99">
      <c r="A99" s="257">
        <v>45637.684084837965</v>
      </c>
      <c r="B99" s="258" t="s">
        <v>2473</v>
      </c>
      <c r="C99" s="259">
        <v>45637.0</v>
      </c>
      <c r="E99" s="255" t="s">
        <v>2474</v>
      </c>
      <c r="F99" s="255" t="s">
        <v>2475</v>
      </c>
      <c r="H99" s="255">
        <v>7000.0</v>
      </c>
      <c r="I99" s="255">
        <v>921.0</v>
      </c>
      <c r="K99" s="255" t="s">
        <v>2476</v>
      </c>
      <c r="L99" s="255" t="s">
        <v>2477</v>
      </c>
      <c r="M99" s="255" t="s">
        <v>52</v>
      </c>
      <c r="N99" s="255">
        <v>190000.0</v>
      </c>
      <c r="O99" s="255">
        <v>7724.0</v>
      </c>
      <c r="P99" s="255" t="s">
        <v>2242</v>
      </c>
      <c r="Q99" s="255">
        <v>2.0</v>
      </c>
      <c r="R99" s="259">
        <v>45637.0</v>
      </c>
      <c r="S99" s="260" t="s">
        <v>2215</v>
      </c>
      <c r="T99" s="259">
        <v>45649.0</v>
      </c>
      <c r="U99" s="255">
        <v>800.0</v>
      </c>
    </row>
    <row r="100">
      <c r="A100" s="257">
        <v>45639.68412125</v>
      </c>
      <c r="B100" s="258" t="s">
        <v>2478</v>
      </c>
      <c r="C100" s="259">
        <v>45639.0</v>
      </c>
      <c r="D100" s="255" t="s">
        <v>2479</v>
      </c>
      <c r="E100" s="255" t="s">
        <v>2480</v>
      </c>
      <c r="F100" s="255">
        <v>7.9030182545E10</v>
      </c>
      <c r="H100" s="255">
        <v>0.0</v>
      </c>
      <c r="I100" s="255">
        <v>384.0</v>
      </c>
      <c r="K100" s="255" t="s">
        <v>2269</v>
      </c>
      <c r="L100" s="255" t="s">
        <v>2269</v>
      </c>
      <c r="M100" s="255" t="s">
        <v>185</v>
      </c>
      <c r="N100" s="255">
        <v>70000.0</v>
      </c>
      <c r="P100" s="255" t="s">
        <v>2208</v>
      </c>
      <c r="Q100" s="255">
        <v>2.0</v>
      </c>
      <c r="R100" s="259">
        <v>45651.0</v>
      </c>
      <c r="S100" s="260" t="s">
        <v>2235</v>
      </c>
      <c r="T100" s="259">
        <v>45658.0</v>
      </c>
      <c r="U100" s="255">
        <v>0.0</v>
      </c>
    </row>
    <row r="101">
      <c r="A101" s="257">
        <v>45639.70622047454</v>
      </c>
      <c r="B101" s="258" t="s">
        <v>2481</v>
      </c>
      <c r="C101" s="259">
        <v>45639.0</v>
      </c>
      <c r="D101" s="255" t="s">
        <v>2482</v>
      </c>
      <c r="E101" s="255" t="s">
        <v>2483</v>
      </c>
      <c r="F101" s="255" t="s">
        <v>2484</v>
      </c>
      <c r="H101" s="255" t="s">
        <v>515</v>
      </c>
      <c r="I101" s="255">
        <v>890.0</v>
      </c>
      <c r="K101" s="255" t="s">
        <v>2269</v>
      </c>
      <c r="L101" s="255" t="s">
        <v>2269</v>
      </c>
      <c r="M101" s="255" t="s">
        <v>461</v>
      </c>
      <c r="N101" s="255">
        <v>110000.0</v>
      </c>
      <c r="P101" s="255" t="s">
        <v>2208</v>
      </c>
      <c r="Q101" s="255">
        <v>1.0</v>
      </c>
      <c r="R101" s="259">
        <v>45639.0</v>
      </c>
      <c r="S101" s="260" t="s">
        <v>2215</v>
      </c>
      <c r="T101" s="259">
        <v>45641.0</v>
      </c>
      <c r="U101" s="255">
        <v>0.0</v>
      </c>
    </row>
    <row r="102">
      <c r="A102" s="257">
        <v>45639.71559842593</v>
      </c>
      <c r="B102" s="258" t="s">
        <v>2485</v>
      </c>
      <c r="C102" s="259">
        <v>45639.0</v>
      </c>
      <c r="D102" s="255" t="s">
        <v>2482</v>
      </c>
      <c r="E102" s="255" t="s">
        <v>2483</v>
      </c>
      <c r="F102" s="255" t="s">
        <v>2484</v>
      </c>
      <c r="H102" s="255" t="s">
        <v>515</v>
      </c>
      <c r="I102" s="255">
        <v>890.0</v>
      </c>
      <c r="K102" s="255" t="s">
        <v>2269</v>
      </c>
      <c r="L102" s="255" t="s">
        <v>2269</v>
      </c>
      <c r="M102" s="255" t="s">
        <v>461</v>
      </c>
      <c r="N102" s="255">
        <v>110000.0</v>
      </c>
      <c r="P102" s="255" t="s">
        <v>2208</v>
      </c>
      <c r="Q102" s="255">
        <v>1.0</v>
      </c>
      <c r="R102" s="259">
        <v>45639.0</v>
      </c>
      <c r="S102" s="260" t="s">
        <v>2215</v>
      </c>
      <c r="T102" s="259">
        <v>45641.0</v>
      </c>
      <c r="U102" s="255">
        <v>0.0</v>
      </c>
    </row>
    <row r="103">
      <c r="A103" s="257">
        <v>45640.503315625</v>
      </c>
      <c r="B103" s="258" t="s">
        <v>2486</v>
      </c>
      <c r="C103" s="259">
        <v>45640.0</v>
      </c>
      <c r="D103" s="255" t="s">
        <v>2487</v>
      </c>
      <c r="E103" s="255" t="s">
        <v>2488</v>
      </c>
      <c r="F103" s="255" t="s">
        <v>2489</v>
      </c>
      <c r="H103" s="255">
        <v>5000.0</v>
      </c>
      <c r="J103" s="255">
        <v>14327.0</v>
      </c>
      <c r="K103" s="255" t="s">
        <v>2269</v>
      </c>
      <c r="L103" s="255" t="s">
        <v>2269</v>
      </c>
      <c r="M103" s="255" t="s">
        <v>113</v>
      </c>
      <c r="N103" s="255">
        <v>410000.0</v>
      </c>
      <c r="P103" s="255" t="s">
        <v>2208</v>
      </c>
      <c r="Q103" s="255">
        <v>2.0</v>
      </c>
      <c r="R103" s="259">
        <v>45647.0</v>
      </c>
      <c r="S103" s="260" t="s">
        <v>2330</v>
      </c>
      <c r="T103" s="259">
        <v>45678.0</v>
      </c>
      <c r="U103" s="255">
        <v>0.0</v>
      </c>
    </row>
    <row r="104">
      <c r="A104" s="257">
        <v>45640.90993185186</v>
      </c>
      <c r="B104" s="258" t="s">
        <v>2490</v>
      </c>
      <c r="C104" s="259">
        <v>45640.0</v>
      </c>
      <c r="D104" s="255" t="s">
        <v>2491</v>
      </c>
      <c r="E104" s="255" t="s">
        <v>2492</v>
      </c>
      <c r="F104" s="255">
        <v>8.9227026536E10</v>
      </c>
      <c r="H104" s="255">
        <v>7000.0</v>
      </c>
      <c r="I104" s="255">
        <v>798.0</v>
      </c>
      <c r="K104" s="255" t="s">
        <v>2492</v>
      </c>
      <c r="L104" s="255" t="s">
        <v>2492</v>
      </c>
      <c r="M104" s="255" t="s">
        <v>951</v>
      </c>
      <c r="N104" s="255">
        <v>410000.0</v>
      </c>
      <c r="P104" s="255" t="s">
        <v>2208</v>
      </c>
      <c r="Q104" s="255">
        <v>2.0</v>
      </c>
      <c r="R104" s="259">
        <v>45647.0</v>
      </c>
      <c r="S104" s="260" t="s">
        <v>2324</v>
      </c>
      <c r="T104" s="259">
        <v>45295.0</v>
      </c>
      <c r="U104" s="255">
        <v>290.0</v>
      </c>
    </row>
    <row r="105">
      <c r="A105" s="257">
        <v>45640.915001898145</v>
      </c>
      <c r="B105" s="258" t="s">
        <v>2493</v>
      </c>
      <c r="C105" s="259">
        <v>45640.0</v>
      </c>
      <c r="D105" s="255" t="s">
        <v>2479</v>
      </c>
      <c r="E105" s="255" t="s">
        <v>2480</v>
      </c>
      <c r="F105" s="255">
        <v>7.9030182545E10</v>
      </c>
      <c r="H105" s="255">
        <v>0.0</v>
      </c>
      <c r="I105" s="255">
        <v>384.0</v>
      </c>
      <c r="K105" s="255" t="s">
        <v>2269</v>
      </c>
      <c r="L105" s="255" t="s">
        <v>2269</v>
      </c>
      <c r="M105" s="255" t="s">
        <v>185</v>
      </c>
      <c r="N105" s="255">
        <v>70000.0</v>
      </c>
      <c r="P105" s="255" t="s">
        <v>2208</v>
      </c>
      <c r="Q105" s="255">
        <v>2.0</v>
      </c>
      <c r="R105" s="259">
        <v>45651.0</v>
      </c>
      <c r="S105" s="260" t="s">
        <v>2235</v>
      </c>
      <c r="T105" s="259">
        <v>45658.0</v>
      </c>
      <c r="U105" s="255">
        <v>0.0</v>
      </c>
    </row>
    <row r="106">
      <c r="A106" s="257">
        <v>45641.02332334491</v>
      </c>
      <c r="B106" s="258" t="s">
        <v>2494</v>
      </c>
      <c r="C106" s="259">
        <v>45641.0</v>
      </c>
      <c r="D106" s="255" t="s">
        <v>2491</v>
      </c>
      <c r="E106" s="255" t="s">
        <v>2495</v>
      </c>
      <c r="F106" s="255">
        <v>8.9227026536E10</v>
      </c>
      <c r="H106" s="255">
        <v>3000.0</v>
      </c>
      <c r="I106" s="255">
        <v>382.0</v>
      </c>
      <c r="K106" s="255" t="s">
        <v>2495</v>
      </c>
      <c r="L106" s="255" t="s">
        <v>2495</v>
      </c>
      <c r="M106" s="255" t="s">
        <v>151</v>
      </c>
      <c r="N106" s="255">
        <v>75000.0</v>
      </c>
      <c r="P106" s="255" t="s">
        <v>2208</v>
      </c>
      <c r="Q106" s="255">
        <v>0.0</v>
      </c>
      <c r="R106" s="259">
        <v>45647.0</v>
      </c>
      <c r="S106" s="260" t="s">
        <v>2324</v>
      </c>
      <c r="T106" s="259">
        <v>45661.0</v>
      </c>
      <c r="U106" s="255">
        <v>290.0</v>
      </c>
    </row>
    <row r="107">
      <c r="A107" s="257">
        <v>45641.748103148144</v>
      </c>
      <c r="B107" s="258" t="s">
        <v>2496</v>
      </c>
      <c r="C107" s="259">
        <v>45641.0</v>
      </c>
      <c r="I107" s="255">
        <v>358.0</v>
      </c>
      <c r="K107" s="255" t="s">
        <v>2269</v>
      </c>
      <c r="L107" s="255" t="s">
        <v>2269</v>
      </c>
      <c r="M107" s="255" t="s">
        <v>77</v>
      </c>
      <c r="N107" s="255">
        <v>70000.0</v>
      </c>
      <c r="P107" s="255" t="s">
        <v>2208</v>
      </c>
      <c r="Q107" s="255">
        <v>2.0</v>
      </c>
      <c r="R107" s="259">
        <v>45647.0</v>
      </c>
      <c r="S107" s="260" t="s">
        <v>2265</v>
      </c>
      <c r="T107" s="259">
        <v>45671.0</v>
      </c>
      <c r="U107" s="255">
        <v>0.0</v>
      </c>
    </row>
    <row r="108">
      <c r="A108" s="257">
        <v>45642.5484705787</v>
      </c>
      <c r="B108" s="258" t="s">
        <v>2497</v>
      </c>
      <c r="C108" s="259">
        <v>45642.0</v>
      </c>
      <c r="D108" s="255" t="s">
        <v>2498</v>
      </c>
      <c r="E108" s="255" t="s">
        <v>2499</v>
      </c>
      <c r="F108" s="255" t="s">
        <v>34</v>
      </c>
      <c r="H108" s="255">
        <v>35000.0</v>
      </c>
      <c r="J108" s="255">
        <v>52000.0</v>
      </c>
      <c r="K108" s="255" t="s">
        <v>2499</v>
      </c>
      <c r="L108" s="255" t="s">
        <v>2499</v>
      </c>
      <c r="M108" s="255" t="s">
        <v>967</v>
      </c>
      <c r="N108" s="255" t="s">
        <v>34</v>
      </c>
      <c r="P108" s="255" t="s">
        <v>2208</v>
      </c>
      <c r="Q108" s="255">
        <v>1.0</v>
      </c>
      <c r="R108" s="259">
        <v>45642.0</v>
      </c>
      <c r="S108" s="260" t="s">
        <v>2221</v>
      </c>
      <c r="T108" s="259">
        <v>45673.0</v>
      </c>
      <c r="U108" s="255">
        <v>590.0</v>
      </c>
    </row>
    <row r="109">
      <c r="A109" s="257">
        <v>45642.95287042824</v>
      </c>
      <c r="B109" s="258" t="s">
        <v>2500</v>
      </c>
      <c r="C109" s="259">
        <v>45642.0</v>
      </c>
      <c r="E109" s="255" t="s">
        <v>2501</v>
      </c>
      <c r="F109" s="255" t="s">
        <v>2502</v>
      </c>
      <c r="H109" s="255">
        <v>3000.0</v>
      </c>
      <c r="I109" s="255">
        <v>401.0</v>
      </c>
      <c r="K109" s="255" t="s">
        <v>2501</v>
      </c>
      <c r="L109" s="255" t="s">
        <v>2501</v>
      </c>
      <c r="M109" s="255" t="s">
        <v>48</v>
      </c>
      <c r="N109" s="255">
        <v>75000.0</v>
      </c>
      <c r="P109" s="255" t="s">
        <v>2208</v>
      </c>
      <c r="Q109" s="255">
        <v>2.0</v>
      </c>
      <c r="R109" s="259">
        <v>45647.0</v>
      </c>
      <c r="S109" s="260" t="s">
        <v>2324</v>
      </c>
      <c r="T109" s="259">
        <v>45292.0</v>
      </c>
      <c r="U109" s="255">
        <v>290.0</v>
      </c>
    </row>
    <row r="110">
      <c r="A110" s="257">
        <v>45643.662550671295</v>
      </c>
      <c r="B110" s="258" t="s">
        <v>2503</v>
      </c>
      <c r="C110" s="259">
        <v>45643.0</v>
      </c>
      <c r="E110" s="255" t="s">
        <v>2504</v>
      </c>
      <c r="F110" s="260" t="s">
        <v>2505</v>
      </c>
      <c r="H110" s="255">
        <v>3000.0</v>
      </c>
      <c r="I110" s="255">
        <v>404.0</v>
      </c>
      <c r="K110" s="255" t="s">
        <v>2504</v>
      </c>
      <c r="L110" s="255" t="s">
        <v>2504</v>
      </c>
      <c r="M110" s="255" t="s">
        <v>2220</v>
      </c>
      <c r="N110" s="255">
        <v>75000.0</v>
      </c>
      <c r="P110" s="255" t="s">
        <v>2208</v>
      </c>
      <c r="Q110" s="255">
        <v>2.0</v>
      </c>
      <c r="R110" s="259">
        <v>45644.0</v>
      </c>
      <c r="S110" s="260" t="s">
        <v>2324</v>
      </c>
      <c r="T110" s="259">
        <v>45649.0</v>
      </c>
      <c r="U110" s="255">
        <v>290.0</v>
      </c>
    </row>
    <row r="111">
      <c r="A111" s="257">
        <v>45644.81900751157</v>
      </c>
      <c r="B111" s="258" t="s">
        <v>2506</v>
      </c>
      <c r="C111" s="259">
        <v>45644.0</v>
      </c>
      <c r="D111" s="255" t="s">
        <v>2507</v>
      </c>
      <c r="E111" s="255" t="s">
        <v>2508</v>
      </c>
      <c r="F111" s="255" t="s">
        <v>2509</v>
      </c>
      <c r="H111" s="255">
        <v>5000.0</v>
      </c>
      <c r="I111" s="255">
        <v>593.0</v>
      </c>
      <c r="K111" s="255" t="s">
        <v>2510</v>
      </c>
      <c r="L111" s="255" t="s">
        <v>2510</v>
      </c>
      <c r="M111" s="255" t="s">
        <v>92</v>
      </c>
      <c r="N111" s="255">
        <v>410000.0</v>
      </c>
      <c r="P111" s="255" t="s">
        <v>2208</v>
      </c>
      <c r="Q111" s="255">
        <v>2.0</v>
      </c>
      <c r="R111" s="259">
        <v>45651.0</v>
      </c>
      <c r="S111" s="260" t="s">
        <v>2231</v>
      </c>
      <c r="T111" s="259">
        <v>45673.0</v>
      </c>
      <c r="U111" s="255">
        <v>290.0</v>
      </c>
    </row>
    <row r="112">
      <c r="A112" s="257">
        <v>45645.55446666667</v>
      </c>
      <c r="B112" s="258" t="s">
        <v>2511</v>
      </c>
      <c r="C112" s="259">
        <v>45645.0</v>
      </c>
      <c r="D112" s="255" t="s">
        <v>2512</v>
      </c>
      <c r="E112" s="255" t="s">
        <v>2513</v>
      </c>
      <c r="F112" s="255" t="s">
        <v>2514</v>
      </c>
      <c r="H112" s="255">
        <v>3000.0</v>
      </c>
      <c r="J112" s="255">
        <v>8690.0</v>
      </c>
      <c r="K112" s="255" t="s">
        <v>2513</v>
      </c>
      <c r="L112" s="255" t="s">
        <v>2513</v>
      </c>
      <c r="M112" s="255" t="s">
        <v>106</v>
      </c>
      <c r="N112" s="255">
        <v>75000.0</v>
      </c>
      <c r="P112" s="255" t="s">
        <v>2208</v>
      </c>
      <c r="Q112" s="255">
        <v>2.0</v>
      </c>
      <c r="R112" s="259">
        <v>45645.0</v>
      </c>
      <c r="S112" s="260" t="s">
        <v>2215</v>
      </c>
      <c r="T112" s="259">
        <v>45676.0</v>
      </c>
      <c r="U112" s="255">
        <v>290.0</v>
      </c>
    </row>
    <row r="113">
      <c r="A113" s="257">
        <v>45645.565844756944</v>
      </c>
      <c r="B113" s="258" t="s">
        <v>2515</v>
      </c>
      <c r="C113" s="259">
        <v>45645.0</v>
      </c>
      <c r="D113" s="255" t="s">
        <v>2516</v>
      </c>
      <c r="E113" s="255" t="s">
        <v>2517</v>
      </c>
      <c r="F113" s="255" t="s">
        <v>2518</v>
      </c>
      <c r="H113" s="255">
        <v>35000.0</v>
      </c>
      <c r="I113" s="255">
        <v>2790.0</v>
      </c>
      <c r="K113" s="255" t="s">
        <v>2517</v>
      </c>
      <c r="L113" s="255" t="s">
        <v>2517</v>
      </c>
      <c r="N113" s="255">
        <v>500000.0</v>
      </c>
      <c r="P113" s="255" t="s">
        <v>2208</v>
      </c>
      <c r="Q113" s="255">
        <v>2.0</v>
      </c>
      <c r="R113" s="259">
        <v>45657.0</v>
      </c>
      <c r="S113" s="260" t="s">
        <v>2215</v>
      </c>
      <c r="T113" s="259">
        <v>45663.0</v>
      </c>
      <c r="U113" s="255">
        <v>290.0</v>
      </c>
    </row>
    <row r="114">
      <c r="A114" s="257">
        <v>45646.01992057871</v>
      </c>
      <c r="B114" s="258" t="s">
        <v>2519</v>
      </c>
      <c r="C114" s="259">
        <v>45646.0</v>
      </c>
      <c r="D114" s="255" t="s">
        <v>2520</v>
      </c>
      <c r="E114" s="255" t="s">
        <v>2521</v>
      </c>
      <c r="F114" s="255" t="s">
        <v>2522</v>
      </c>
      <c r="H114" s="255">
        <v>5000.0</v>
      </c>
      <c r="I114" s="255">
        <v>751.0</v>
      </c>
      <c r="K114" s="255" t="s">
        <v>2521</v>
      </c>
      <c r="L114" s="255" t="s">
        <v>2521</v>
      </c>
      <c r="M114" s="255" t="s">
        <v>750</v>
      </c>
      <c r="N114" s="255">
        <v>410000.0</v>
      </c>
      <c r="P114" s="255" t="s">
        <v>2208</v>
      </c>
      <c r="Q114" s="255">
        <v>2.0</v>
      </c>
      <c r="R114" s="259">
        <v>45646.0</v>
      </c>
      <c r="S114" s="260" t="s">
        <v>2215</v>
      </c>
      <c r="T114" s="259">
        <v>45652.0</v>
      </c>
      <c r="U114" s="255">
        <v>590.0</v>
      </c>
    </row>
    <row r="115">
      <c r="A115" s="257">
        <v>45646.026895787036</v>
      </c>
      <c r="B115" s="258" t="s">
        <v>2523</v>
      </c>
      <c r="C115" s="259">
        <v>45646.0</v>
      </c>
      <c r="D115" s="255" t="s">
        <v>2520</v>
      </c>
      <c r="E115" s="255" t="s">
        <v>2521</v>
      </c>
      <c r="F115" s="255" t="s">
        <v>2522</v>
      </c>
      <c r="H115" s="255">
        <v>5000.0</v>
      </c>
      <c r="I115" s="255">
        <v>751.0</v>
      </c>
      <c r="K115" s="255" t="s">
        <v>2521</v>
      </c>
      <c r="L115" s="255" t="s">
        <v>2521</v>
      </c>
      <c r="M115" s="255" t="s">
        <v>155</v>
      </c>
      <c r="N115" s="255">
        <v>410000.0</v>
      </c>
      <c r="P115" s="255" t="s">
        <v>2208</v>
      </c>
      <c r="Q115" s="255">
        <v>0.0</v>
      </c>
      <c r="R115" s="259">
        <v>45646.0</v>
      </c>
      <c r="S115" s="260" t="s">
        <v>2215</v>
      </c>
      <c r="T115" s="259">
        <v>45652.0</v>
      </c>
      <c r="U115" s="255">
        <v>590.0</v>
      </c>
    </row>
    <row r="116">
      <c r="A116" s="257">
        <v>45646.15837900463</v>
      </c>
      <c r="B116" s="258" t="s">
        <v>2524</v>
      </c>
      <c r="C116" s="259">
        <v>45646.0</v>
      </c>
      <c r="E116" s="255" t="s">
        <v>2525</v>
      </c>
      <c r="F116" s="255" t="s">
        <v>2526</v>
      </c>
      <c r="H116" s="255">
        <v>3000.0</v>
      </c>
      <c r="I116" s="255">
        <v>414.0</v>
      </c>
      <c r="K116" s="255" t="s">
        <v>2525</v>
      </c>
      <c r="L116" s="255" t="s">
        <v>2525</v>
      </c>
      <c r="M116" s="255" t="s">
        <v>2220</v>
      </c>
      <c r="N116" s="255">
        <v>75000.0</v>
      </c>
      <c r="P116" s="255" t="s">
        <v>2208</v>
      </c>
      <c r="Q116" s="255">
        <v>2.0</v>
      </c>
      <c r="R116" s="259">
        <v>45651.0</v>
      </c>
      <c r="S116" s="260" t="s">
        <v>2324</v>
      </c>
      <c r="T116" s="259">
        <v>45660.0</v>
      </c>
      <c r="U116" s="255">
        <v>390.0</v>
      </c>
    </row>
    <row r="117">
      <c r="A117" s="257">
        <v>45646.91894855324</v>
      </c>
      <c r="B117" s="258" t="s">
        <v>2527</v>
      </c>
      <c r="C117" s="259">
        <v>45646.0</v>
      </c>
      <c r="D117" s="255" t="s">
        <v>2528</v>
      </c>
      <c r="E117" s="255" t="s">
        <v>2529</v>
      </c>
      <c r="F117" s="255" t="s">
        <v>2530</v>
      </c>
      <c r="H117" s="255">
        <v>3000.0</v>
      </c>
      <c r="I117" s="255">
        <v>434.0</v>
      </c>
      <c r="K117" s="255" t="s">
        <v>2529</v>
      </c>
      <c r="L117" s="255" t="s">
        <v>2529</v>
      </c>
      <c r="M117" s="255" t="s">
        <v>98</v>
      </c>
      <c r="N117" s="255">
        <v>75000.0</v>
      </c>
      <c r="P117" s="255" t="s">
        <v>2208</v>
      </c>
      <c r="Q117" s="255">
        <v>3.0</v>
      </c>
      <c r="R117" s="259">
        <v>45656.0</v>
      </c>
      <c r="S117" s="260" t="s">
        <v>2265</v>
      </c>
      <c r="T117" s="259">
        <v>45668.0</v>
      </c>
      <c r="U117" s="255">
        <v>490.0</v>
      </c>
    </row>
    <row r="118">
      <c r="A118" s="257">
        <v>45646.92417224537</v>
      </c>
      <c r="B118" s="258" t="s">
        <v>2531</v>
      </c>
      <c r="C118" s="259">
        <v>45646.0</v>
      </c>
      <c r="D118" s="255" t="s">
        <v>2532</v>
      </c>
      <c r="E118" s="255" t="s">
        <v>2533</v>
      </c>
      <c r="F118" s="255" t="s">
        <v>2534</v>
      </c>
      <c r="H118" s="255">
        <v>7000.0</v>
      </c>
      <c r="I118" s="255">
        <v>798.0</v>
      </c>
      <c r="K118" s="255" t="s">
        <v>2533</v>
      </c>
      <c r="L118" s="255" t="s">
        <v>2533</v>
      </c>
      <c r="M118" s="255" t="s">
        <v>960</v>
      </c>
      <c r="N118" s="255">
        <v>410000.0</v>
      </c>
      <c r="P118" s="255" t="s">
        <v>2208</v>
      </c>
      <c r="Q118" s="255">
        <v>2.0</v>
      </c>
      <c r="R118" s="259">
        <v>45647.0</v>
      </c>
      <c r="S118" s="260" t="s">
        <v>2324</v>
      </c>
      <c r="T118" s="259">
        <v>45661.0</v>
      </c>
      <c r="U118" s="255">
        <v>290.0</v>
      </c>
    </row>
    <row r="119">
      <c r="A119" s="257">
        <v>45647.87376785879</v>
      </c>
      <c r="B119" s="258" t="s">
        <v>2535</v>
      </c>
      <c r="C119" s="259">
        <v>45647.0</v>
      </c>
      <c r="F119" s="255" t="s">
        <v>2536</v>
      </c>
      <c r="H119" s="255">
        <v>7000.0</v>
      </c>
      <c r="I119" s="255">
        <v>825.0</v>
      </c>
      <c r="K119" s="255" t="s">
        <v>2269</v>
      </c>
      <c r="L119" s="255" t="s">
        <v>2269</v>
      </c>
      <c r="M119" s="255" t="s">
        <v>971</v>
      </c>
      <c r="N119" s="255">
        <v>410000.0</v>
      </c>
      <c r="P119" s="255" t="s">
        <v>2208</v>
      </c>
      <c r="Q119" s="255">
        <v>1.0</v>
      </c>
      <c r="R119" s="259">
        <v>45660.0</v>
      </c>
      <c r="S119" s="260" t="s">
        <v>2330</v>
      </c>
      <c r="T119" s="259">
        <v>45672.0</v>
      </c>
      <c r="U119" s="255">
        <v>0.0</v>
      </c>
    </row>
    <row r="120">
      <c r="A120" s="257">
        <v>45648.79344969908</v>
      </c>
      <c r="B120" s="258" t="s">
        <v>2537</v>
      </c>
      <c r="C120" s="259">
        <v>45648.0</v>
      </c>
      <c r="E120" s="255" t="s">
        <v>2538</v>
      </c>
      <c r="F120" s="255" t="s">
        <v>2539</v>
      </c>
      <c r="G120" s="255" t="s">
        <v>2540</v>
      </c>
      <c r="H120" s="255">
        <v>7000.0</v>
      </c>
      <c r="I120" s="255">
        <v>863.0</v>
      </c>
      <c r="K120" s="255" t="s">
        <v>2538</v>
      </c>
      <c r="L120" s="255" t="s">
        <v>2538</v>
      </c>
      <c r="M120" s="255" t="s">
        <v>923</v>
      </c>
      <c r="N120" s="255">
        <v>190000.0</v>
      </c>
      <c r="P120" s="255" t="s">
        <v>2208</v>
      </c>
      <c r="Q120" s="255">
        <v>2.0</v>
      </c>
      <c r="R120" s="259">
        <v>45666.0</v>
      </c>
      <c r="S120" s="260" t="s">
        <v>2265</v>
      </c>
      <c r="T120" s="259">
        <v>45679.0</v>
      </c>
      <c r="U120" s="255">
        <v>290.0</v>
      </c>
    </row>
    <row r="121">
      <c r="A121" s="257">
        <v>45649.78438542824</v>
      </c>
      <c r="B121" s="258" t="s">
        <v>2541</v>
      </c>
      <c r="C121" s="259">
        <v>45649.0</v>
      </c>
      <c r="D121" s="255" t="s">
        <v>2542</v>
      </c>
      <c r="E121" s="255" t="s">
        <v>2543</v>
      </c>
      <c r="F121" s="255">
        <v>8.9952237728E10</v>
      </c>
      <c r="I121" s="255">
        <v>790.0</v>
      </c>
      <c r="K121" s="255" t="s">
        <v>2269</v>
      </c>
      <c r="L121" s="255" t="s">
        <v>2269</v>
      </c>
      <c r="M121" s="255" t="s">
        <v>202</v>
      </c>
      <c r="N121" s="255">
        <v>120000.0</v>
      </c>
      <c r="P121" s="255" t="s">
        <v>2208</v>
      </c>
      <c r="Q121" s="255">
        <v>2.0</v>
      </c>
      <c r="R121" s="259">
        <v>45649.0</v>
      </c>
      <c r="S121" s="260" t="s">
        <v>2250</v>
      </c>
      <c r="T121" s="259">
        <v>45653.0</v>
      </c>
      <c r="U121" s="255">
        <v>0.0</v>
      </c>
    </row>
    <row r="122">
      <c r="A122" s="257">
        <v>45649.84200341435</v>
      </c>
      <c r="B122" s="258" t="s">
        <v>2544</v>
      </c>
      <c r="C122" s="259">
        <v>45649.0</v>
      </c>
      <c r="D122" s="255" t="s">
        <v>2545</v>
      </c>
      <c r="E122" s="255" t="s">
        <v>2546</v>
      </c>
      <c r="F122" s="255" t="s">
        <v>2547</v>
      </c>
      <c r="G122" s="255" t="s">
        <v>2548</v>
      </c>
      <c r="H122" s="255">
        <v>7000.0</v>
      </c>
      <c r="I122" s="255">
        <v>782.0</v>
      </c>
      <c r="K122" s="255" t="s">
        <v>2549</v>
      </c>
      <c r="L122" s="255" t="s">
        <v>2549</v>
      </c>
      <c r="M122" s="255" t="s">
        <v>1065</v>
      </c>
      <c r="N122" s="255">
        <v>120000.0</v>
      </c>
      <c r="P122" s="255" t="s">
        <v>2208</v>
      </c>
      <c r="Q122" s="255">
        <v>1.0</v>
      </c>
      <c r="R122" s="259">
        <v>45655.0</v>
      </c>
      <c r="S122" s="260" t="s">
        <v>2324</v>
      </c>
      <c r="T122" s="259">
        <v>45679.0</v>
      </c>
      <c r="U122" s="255">
        <v>290.0</v>
      </c>
    </row>
    <row r="123">
      <c r="A123" s="257">
        <v>45650.03529136574</v>
      </c>
      <c r="B123" s="258" t="s">
        <v>2550</v>
      </c>
      <c r="C123" s="259">
        <v>45650.0</v>
      </c>
      <c r="E123" s="255" t="s">
        <v>2551</v>
      </c>
      <c r="F123" s="255" t="s">
        <v>2552</v>
      </c>
      <c r="H123" s="255">
        <v>7000.0</v>
      </c>
      <c r="I123" s="255">
        <v>610.0</v>
      </c>
      <c r="K123" s="255" t="s">
        <v>2551</v>
      </c>
      <c r="L123" s="255" t="s">
        <v>2551</v>
      </c>
      <c r="M123" s="255" t="s">
        <v>1028</v>
      </c>
      <c r="N123" s="255">
        <v>410000.0</v>
      </c>
      <c r="P123" s="255" t="s">
        <v>2208</v>
      </c>
      <c r="Q123" s="255">
        <v>3.0</v>
      </c>
      <c r="R123" s="259">
        <v>45650.0</v>
      </c>
      <c r="S123" s="260" t="s">
        <v>2265</v>
      </c>
      <c r="T123" s="259">
        <v>45656.0</v>
      </c>
      <c r="U123" s="255">
        <v>390.0</v>
      </c>
    </row>
    <row r="124">
      <c r="A124" s="257">
        <v>45650.03776950232</v>
      </c>
      <c r="B124" s="258" t="s">
        <v>2553</v>
      </c>
      <c r="C124" s="259">
        <v>45650.0</v>
      </c>
      <c r="E124" s="255" t="s">
        <v>2551</v>
      </c>
      <c r="F124" s="255" t="s">
        <v>2552</v>
      </c>
      <c r="H124" s="255">
        <v>7000.0</v>
      </c>
      <c r="I124" s="255">
        <v>610.0</v>
      </c>
      <c r="K124" s="255" t="s">
        <v>2551</v>
      </c>
      <c r="L124" s="255" t="s">
        <v>2551</v>
      </c>
      <c r="M124" s="255" t="s">
        <v>946</v>
      </c>
      <c r="N124" s="255">
        <v>410000.0</v>
      </c>
      <c r="P124" s="255" t="s">
        <v>2208</v>
      </c>
      <c r="Q124" s="255">
        <v>3.0</v>
      </c>
      <c r="R124" s="259">
        <v>45656.0</v>
      </c>
      <c r="S124" s="260" t="s">
        <v>2265</v>
      </c>
      <c r="T124" s="259">
        <v>45681.0</v>
      </c>
      <c r="U124" s="255">
        <v>390.0</v>
      </c>
    </row>
    <row r="125">
      <c r="A125" s="257">
        <v>45650.691161006944</v>
      </c>
      <c r="B125" s="258" t="s">
        <v>2554</v>
      </c>
      <c r="C125" s="259">
        <v>45650.0</v>
      </c>
      <c r="E125" s="255" t="s">
        <v>2555</v>
      </c>
      <c r="F125" s="255">
        <v>8.9644511044E10</v>
      </c>
      <c r="H125" s="255">
        <v>7000.0</v>
      </c>
      <c r="I125" s="255">
        <v>788.0</v>
      </c>
      <c r="K125" s="255" t="s">
        <v>2555</v>
      </c>
      <c r="L125" s="255" t="s">
        <v>2555</v>
      </c>
      <c r="M125" s="255" t="s">
        <v>960</v>
      </c>
      <c r="N125" s="255">
        <v>450000.0</v>
      </c>
      <c r="P125" s="255" t="s">
        <v>2208</v>
      </c>
      <c r="Q125" s="255">
        <v>2.0</v>
      </c>
      <c r="R125" s="259">
        <v>45666.0</v>
      </c>
      <c r="S125" s="260" t="s">
        <v>2330</v>
      </c>
      <c r="T125" s="259">
        <v>45687.0</v>
      </c>
      <c r="U125" s="255">
        <v>290.0</v>
      </c>
    </row>
    <row r="126">
      <c r="A126" s="257">
        <v>45650.72302586805</v>
      </c>
      <c r="B126" s="258" t="s">
        <v>2556</v>
      </c>
      <c r="C126" s="259">
        <v>45650.0</v>
      </c>
      <c r="E126" s="255" t="s">
        <v>2557</v>
      </c>
      <c r="F126" s="255" t="s">
        <v>2558</v>
      </c>
      <c r="G126" s="255" t="s">
        <v>2559</v>
      </c>
      <c r="H126" s="255">
        <v>3000.0</v>
      </c>
      <c r="I126" s="255">
        <v>420.0</v>
      </c>
      <c r="K126" s="255" t="s">
        <v>2560</v>
      </c>
      <c r="L126" s="255" t="s">
        <v>2560</v>
      </c>
      <c r="M126" s="255" t="s">
        <v>56</v>
      </c>
      <c r="N126" s="255">
        <v>75000.0</v>
      </c>
      <c r="P126" s="255" t="s">
        <v>2208</v>
      </c>
      <c r="Q126" s="255">
        <v>2.0</v>
      </c>
      <c r="R126" s="259">
        <v>45652.0</v>
      </c>
      <c r="S126" s="260" t="s">
        <v>2330</v>
      </c>
      <c r="T126" s="259">
        <v>45660.0</v>
      </c>
      <c r="U126" s="255">
        <v>290.0</v>
      </c>
    </row>
    <row r="127">
      <c r="A127" s="257">
        <v>45650.94158304398</v>
      </c>
      <c r="B127" s="258" t="s">
        <v>2561</v>
      </c>
      <c r="C127" s="259">
        <v>45650.0</v>
      </c>
      <c r="D127" s="255" t="s">
        <v>2562</v>
      </c>
      <c r="F127" s="255">
        <v>8.9857426966E10</v>
      </c>
      <c r="H127" s="255">
        <v>20000.0</v>
      </c>
      <c r="I127" s="255">
        <v>1000.0</v>
      </c>
      <c r="K127" s="255" t="s">
        <v>2269</v>
      </c>
      <c r="L127" s="255" t="s">
        <v>2269</v>
      </c>
      <c r="M127" s="255" t="s">
        <v>483</v>
      </c>
      <c r="P127" s="255" t="s">
        <v>2208</v>
      </c>
      <c r="Q127" s="255">
        <v>2.0</v>
      </c>
      <c r="R127" s="259">
        <v>45680.0</v>
      </c>
      <c r="S127" s="260" t="s">
        <v>2265</v>
      </c>
      <c r="T127" s="259">
        <v>45705.0</v>
      </c>
      <c r="U127" s="255">
        <v>690.0</v>
      </c>
    </row>
    <row r="128">
      <c r="A128" s="257">
        <v>45651.56204949074</v>
      </c>
      <c r="B128" s="258" t="s">
        <v>2563</v>
      </c>
      <c r="C128" s="259">
        <v>45651.0</v>
      </c>
      <c r="D128" s="255" t="s">
        <v>2564</v>
      </c>
      <c r="E128" s="255" t="s">
        <v>2565</v>
      </c>
      <c r="F128" s="255">
        <v>8.9526320647E10</v>
      </c>
      <c r="H128" s="255">
        <v>3000.0</v>
      </c>
      <c r="J128" s="255">
        <v>9954.0</v>
      </c>
      <c r="K128" s="255" t="s">
        <v>2565</v>
      </c>
      <c r="L128" s="255" t="s">
        <v>2565</v>
      </c>
      <c r="M128" s="255" t="s">
        <v>106</v>
      </c>
      <c r="N128" s="255">
        <v>75000.0</v>
      </c>
      <c r="P128" s="255" t="s">
        <v>2208</v>
      </c>
      <c r="Q128" s="255">
        <v>2.0</v>
      </c>
      <c r="R128" s="259">
        <v>45652.0</v>
      </c>
      <c r="S128" s="260" t="s">
        <v>2265</v>
      </c>
      <c r="T128" s="259">
        <v>45683.0</v>
      </c>
      <c r="U128" s="255">
        <v>290.0</v>
      </c>
    </row>
    <row r="129">
      <c r="A129" s="257">
        <v>45652.73842767361</v>
      </c>
      <c r="B129" s="258" t="s">
        <v>2566</v>
      </c>
      <c r="C129" s="259">
        <v>45652.0</v>
      </c>
      <c r="D129" s="255" t="s">
        <v>2567</v>
      </c>
      <c r="E129" s="255" t="s">
        <v>2568</v>
      </c>
      <c r="F129" s="255">
        <v>8.9043985144E10</v>
      </c>
      <c r="H129" s="255">
        <v>3000.0</v>
      </c>
      <c r="I129" s="255">
        <v>462.0</v>
      </c>
      <c r="K129" s="255" t="s">
        <v>2269</v>
      </c>
      <c r="L129" s="255" t="s">
        <v>2269</v>
      </c>
      <c r="M129" s="255" t="s">
        <v>106</v>
      </c>
      <c r="N129" s="255">
        <v>75000.0</v>
      </c>
      <c r="P129" s="255" t="s">
        <v>2208</v>
      </c>
      <c r="Q129" s="255">
        <v>2.0</v>
      </c>
      <c r="R129" s="259">
        <v>45652.0</v>
      </c>
      <c r="S129" s="260" t="s">
        <v>2246</v>
      </c>
      <c r="T129" s="259">
        <v>45660.0</v>
      </c>
      <c r="U129" s="255">
        <v>0.0</v>
      </c>
    </row>
    <row r="130">
      <c r="A130" s="257">
        <v>45653.05897711805</v>
      </c>
      <c r="B130" s="258" t="s">
        <v>2569</v>
      </c>
      <c r="C130" s="259">
        <v>45653.0</v>
      </c>
      <c r="D130" s="255" t="s">
        <v>2570</v>
      </c>
      <c r="F130" s="255" t="s">
        <v>2571</v>
      </c>
      <c r="H130" s="255">
        <v>15000.0</v>
      </c>
      <c r="I130" s="255">
        <v>726.0</v>
      </c>
      <c r="M130" s="255" t="s">
        <v>461</v>
      </c>
      <c r="P130" s="255" t="s">
        <v>2208</v>
      </c>
      <c r="Q130" s="255">
        <v>2.0</v>
      </c>
      <c r="R130" s="259">
        <v>45664.0</v>
      </c>
      <c r="S130" s="260" t="s">
        <v>2221</v>
      </c>
      <c r="T130" s="259">
        <v>45674.0</v>
      </c>
      <c r="U130" s="255">
        <v>590.0</v>
      </c>
    </row>
    <row r="131">
      <c r="A131" s="257">
        <v>45653.54843787037</v>
      </c>
      <c r="B131" s="258" t="s">
        <v>2572</v>
      </c>
      <c r="C131" s="259">
        <v>45653.0</v>
      </c>
      <c r="D131" s="255" t="s">
        <v>2573</v>
      </c>
      <c r="E131" s="255" t="s">
        <v>2574</v>
      </c>
      <c r="F131" s="255" t="s">
        <v>2575</v>
      </c>
      <c r="H131" s="255">
        <v>7000.0</v>
      </c>
      <c r="I131" s="255">
        <v>981.0</v>
      </c>
      <c r="K131" s="255" t="s">
        <v>2574</v>
      </c>
      <c r="L131" s="255" t="s">
        <v>2574</v>
      </c>
      <c r="M131" s="255" t="s">
        <v>951</v>
      </c>
      <c r="N131" s="255">
        <v>410000.0</v>
      </c>
      <c r="P131" s="255" t="s">
        <v>2208</v>
      </c>
      <c r="Q131" s="255">
        <v>1.0</v>
      </c>
      <c r="R131" s="259">
        <v>45653.0</v>
      </c>
      <c r="S131" s="260" t="s">
        <v>2231</v>
      </c>
      <c r="T131" s="259">
        <v>45660.0</v>
      </c>
      <c r="U131" s="255">
        <v>290.0</v>
      </c>
    </row>
    <row r="132">
      <c r="A132" s="257">
        <v>45653.71177515046</v>
      </c>
      <c r="B132" s="258" t="s">
        <v>2576</v>
      </c>
      <c r="C132" s="259">
        <v>45653.0</v>
      </c>
      <c r="D132" s="255" t="s">
        <v>2577</v>
      </c>
      <c r="F132" s="255" t="s">
        <v>2578</v>
      </c>
      <c r="H132" s="255" t="s">
        <v>430</v>
      </c>
      <c r="I132" s="255">
        <v>1708.0</v>
      </c>
      <c r="K132" s="255" t="s">
        <v>2269</v>
      </c>
      <c r="L132" s="255" t="s">
        <v>2269</v>
      </c>
      <c r="M132" s="255" t="s">
        <v>102</v>
      </c>
      <c r="N132" s="255">
        <v>190000.0</v>
      </c>
      <c r="O132" s="255">
        <v>44401.0</v>
      </c>
      <c r="P132" s="255" t="s">
        <v>2242</v>
      </c>
      <c r="Q132" s="255">
        <v>1.0</v>
      </c>
      <c r="R132" s="259">
        <v>45653.0</v>
      </c>
      <c r="S132" s="260" t="s">
        <v>2246</v>
      </c>
      <c r="T132" s="259">
        <v>45656.0</v>
      </c>
      <c r="U132" s="255">
        <v>0.0</v>
      </c>
    </row>
    <row r="133">
      <c r="A133" s="257">
        <v>45654.631114247684</v>
      </c>
      <c r="B133" s="258" t="s">
        <v>2579</v>
      </c>
      <c r="C133" s="259">
        <v>45654.0</v>
      </c>
      <c r="D133" s="255" t="s">
        <v>2464</v>
      </c>
      <c r="E133" s="255" t="s">
        <v>2580</v>
      </c>
      <c r="F133" s="255">
        <v>8.9501110511E10</v>
      </c>
      <c r="H133" s="255">
        <v>5000.0</v>
      </c>
      <c r="I133" s="255">
        <v>540.0</v>
      </c>
      <c r="K133" s="255" t="s">
        <v>2580</v>
      </c>
      <c r="L133" s="255" t="s">
        <v>2580</v>
      </c>
      <c r="M133" s="255" t="s">
        <v>202</v>
      </c>
      <c r="N133" s="255">
        <v>120000.0</v>
      </c>
      <c r="P133" s="255" t="s">
        <v>2208</v>
      </c>
      <c r="Q133" s="255">
        <v>3.0</v>
      </c>
      <c r="R133" s="259">
        <v>45654.0</v>
      </c>
      <c r="S133" s="260" t="s">
        <v>2231</v>
      </c>
      <c r="T133" s="259">
        <v>45661.0</v>
      </c>
      <c r="U133" s="255">
        <v>590.0</v>
      </c>
    </row>
    <row r="134">
      <c r="A134" s="257">
        <v>45655.68856445602</v>
      </c>
      <c r="B134" s="258" t="s">
        <v>2581</v>
      </c>
      <c r="C134" s="259">
        <v>45655.0</v>
      </c>
      <c r="E134" s="255" t="s">
        <v>2582</v>
      </c>
      <c r="F134" s="255" t="s">
        <v>2583</v>
      </c>
      <c r="H134" s="255">
        <v>35000.0</v>
      </c>
      <c r="I134" s="255">
        <v>2449.0</v>
      </c>
      <c r="K134" s="255" t="s">
        <v>2582</v>
      </c>
      <c r="L134" s="255" t="s">
        <v>2584</v>
      </c>
      <c r="M134" s="255" t="s">
        <v>914</v>
      </c>
      <c r="N134" s="255">
        <v>500000.0</v>
      </c>
      <c r="P134" s="255" t="s">
        <v>2208</v>
      </c>
      <c r="Q134" s="255">
        <v>0.0</v>
      </c>
      <c r="R134" s="259">
        <v>45664.0</v>
      </c>
      <c r="S134" s="260" t="s">
        <v>2221</v>
      </c>
      <c r="T134" s="259">
        <v>45676.0</v>
      </c>
      <c r="U134" s="255">
        <v>290.0</v>
      </c>
    </row>
    <row r="135">
      <c r="A135" s="257">
        <v>45655.87143979166</v>
      </c>
      <c r="B135" s="258" t="s">
        <v>2585</v>
      </c>
      <c r="C135" s="259">
        <v>45655.0</v>
      </c>
      <c r="E135" s="255" t="s">
        <v>2586</v>
      </c>
      <c r="F135" s="255" t="s">
        <v>2587</v>
      </c>
      <c r="H135" s="255">
        <v>3000.0</v>
      </c>
      <c r="I135" s="255">
        <v>434.0</v>
      </c>
      <c r="K135" s="255" t="s">
        <v>2586</v>
      </c>
      <c r="L135" s="255" t="s">
        <v>2586</v>
      </c>
      <c r="M135" s="255" t="s">
        <v>185</v>
      </c>
      <c r="N135" s="255">
        <v>70000.0</v>
      </c>
      <c r="P135" s="255" t="s">
        <v>2208</v>
      </c>
      <c r="Q135" s="255">
        <v>3.0</v>
      </c>
      <c r="R135" s="259">
        <v>45656.0</v>
      </c>
      <c r="S135" s="260" t="s">
        <v>2330</v>
      </c>
      <c r="T135" s="259">
        <v>45668.0</v>
      </c>
      <c r="U135" s="255">
        <v>490.0</v>
      </c>
    </row>
    <row r="136">
      <c r="A136" s="257">
        <v>45657.12432876157</v>
      </c>
      <c r="B136" s="258" t="s">
        <v>2588</v>
      </c>
      <c r="C136" s="259">
        <v>45657.0</v>
      </c>
      <c r="E136" s="255" t="s">
        <v>2589</v>
      </c>
      <c r="F136" s="255" t="s">
        <v>2590</v>
      </c>
      <c r="H136" s="255">
        <v>5000.0</v>
      </c>
      <c r="I136" s="255">
        <v>801.0</v>
      </c>
      <c r="K136" s="255" t="s">
        <v>2269</v>
      </c>
      <c r="L136" s="255" t="s">
        <v>2269</v>
      </c>
      <c r="M136" s="255" t="s">
        <v>155</v>
      </c>
      <c r="N136" s="255">
        <v>410000.0</v>
      </c>
      <c r="P136" s="255" t="s">
        <v>2208</v>
      </c>
      <c r="Q136" s="255">
        <v>2.0</v>
      </c>
      <c r="R136" s="259">
        <v>45660.0</v>
      </c>
      <c r="S136" s="260" t="s">
        <v>2330</v>
      </c>
      <c r="T136" s="259">
        <v>45669.0</v>
      </c>
      <c r="U136" s="255">
        <v>0.0</v>
      </c>
    </row>
    <row r="137">
      <c r="A137" s="257">
        <v>45657.12606731481</v>
      </c>
      <c r="B137" s="258" t="s">
        <v>2591</v>
      </c>
      <c r="C137" s="259">
        <v>45657.0</v>
      </c>
      <c r="E137" s="255" t="s">
        <v>2589</v>
      </c>
      <c r="F137" s="255" t="s">
        <v>2590</v>
      </c>
      <c r="H137" s="255">
        <v>5000.0</v>
      </c>
      <c r="I137" s="255">
        <v>699.0</v>
      </c>
      <c r="K137" s="255" t="s">
        <v>2269</v>
      </c>
      <c r="L137" s="255" t="s">
        <v>2269</v>
      </c>
      <c r="M137" s="255" t="s">
        <v>202</v>
      </c>
      <c r="N137" s="255">
        <v>120000.0</v>
      </c>
      <c r="P137" s="255" t="s">
        <v>2208</v>
      </c>
      <c r="Q137" s="255">
        <v>2.0</v>
      </c>
      <c r="R137" s="259">
        <v>45660.0</v>
      </c>
      <c r="S137" s="260" t="s">
        <v>2330</v>
      </c>
      <c r="T137" s="259">
        <v>45669.0</v>
      </c>
      <c r="U137" s="255">
        <v>0.0</v>
      </c>
    </row>
    <row r="138">
      <c r="A138" s="257">
        <v>45657.12732321759</v>
      </c>
      <c r="B138" s="258" t="s">
        <v>2592</v>
      </c>
      <c r="C138" s="259">
        <v>45657.0</v>
      </c>
      <c r="E138" s="255" t="s">
        <v>2589</v>
      </c>
      <c r="F138" s="255" t="s">
        <v>2590</v>
      </c>
      <c r="H138" s="255">
        <v>3000.0</v>
      </c>
      <c r="I138" s="255">
        <v>455.0</v>
      </c>
      <c r="K138" s="255" t="s">
        <v>2269</v>
      </c>
      <c r="L138" s="255" t="s">
        <v>2269</v>
      </c>
      <c r="M138" s="255" t="s">
        <v>56</v>
      </c>
      <c r="N138" s="255">
        <v>70000.0</v>
      </c>
      <c r="P138" s="255" t="s">
        <v>2208</v>
      </c>
      <c r="Q138" s="255">
        <v>2.0</v>
      </c>
      <c r="R138" s="259">
        <v>45660.0</v>
      </c>
      <c r="S138" s="260" t="s">
        <v>2330</v>
      </c>
      <c r="T138" s="259">
        <v>45669.0</v>
      </c>
      <c r="U138" s="255">
        <v>0.0</v>
      </c>
    </row>
    <row r="139">
      <c r="A139" s="257">
        <v>45658.901565011576</v>
      </c>
      <c r="B139" s="258" t="s">
        <v>2593</v>
      </c>
      <c r="C139" s="259">
        <v>45658.0</v>
      </c>
      <c r="D139" s="255" t="s">
        <v>2594</v>
      </c>
      <c r="E139" s="255" t="s">
        <v>2595</v>
      </c>
      <c r="H139" s="255">
        <v>20000.0</v>
      </c>
      <c r="I139" s="255">
        <v>1510.0</v>
      </c>
      <c r="K139" s="255" t="s">
        <v>2595</v>
      </c>
      <c r="L139" s="255" t="s">
        <v>2595</v>
      </c>
      <c r="M139" s="255" t="s">
        <v>321</v>
      </c>
      <c r="N139" s="255">
        <v>180000.0</v>
      </c>
      <c r="P139" s="255" t="s">
        <v>2208</v>
      </c>
      <c r="Q139" s="255">
        <v>2.0</v>
      </c>
      <c r="R139" s="259">
        <v>45659.0</v>
      </c>
      <c r="S139" s="260" t="s">
        <v>2215</v>
      </c>
      <c r="T139" s="259">
        <v>45671.0</v>
      </c>
      <c r="U139" s="255">
        <v>490.0</v>
      </c>
    </row>
    <row r="140">
      <c r="A140" s="257">
        <v>45659.66377315972</v>
      </c>
      <c r="B140" s="258" t="s">
        <v>2596</v>
      </c>
      <c r="C140" s="259">
        <v>45659.0</v>
      </c>
      <c r="E140" s="255" t="s">
        <v>2597</v>
      </c>
      <c r="F140" s="255" t="s">
        <v>2598</v>
      </c>
      <c r="H140" s="255">
        <v>5000.0</v>
      </c>
      <c r="I140" s="255">
        <v>1100.0</v>
      </c>
      <c r="K140" s="255" t="s">
        <v>2269</v>
      </c>
      <c r="L140" s="255" t="s">
        <v>2269</v>
      </c>
      <c r="M140" s="255" t="s">
        <v>923</v>
      </c>
      <c r="N140" s="255">
        <v>200000.0</v>
      </c>
      <c r="P140" s="255" t="s">
        <v>2208</v>
      </c>
      <c r="Q140" s="255">
        <v>2.0</v>
      </c>
      <c r="R140" s="259">
        <v>45659.0</v>
      </c>
      <c r="S140" s="260" t="s">
        <v>2215</v>
      </c>
      <c r="T140" s="259">
        <v>45666.0</v>
      </c>
      <c r="U140" s="255">
        <v>0.0</v>
      </c>
    </row>
    <row r="141">
      <c r="A141" s="257">
        <v>45659.68710553241</v>
      </c>
      <c r="B141" s="258" t="s">
        <v>2599</v>
      </c>
      <c r="C141" s="259">
        <v>45659.0</v>
      </c>
      <c r="D141" s="255" t="s">
        <v>2600</v>
      </c>
      <c r="E141" s="255" t="s">
        <v>2601</v>
      </c>
      <c r="H141" s="255" t="s">
        <v>2602</v>
      </c>
      <c r="I141" s="255">
        <v>1500.0</v>
      </c>
      <c r="K141" s="255" t="s">
        <v>2207</v>
      </c>
      <c r="L141" s="255" t="s">
        <v>2207</v>
      </c>
      <c r="M141" s="255" t="s">
        <v>483</v>
      </c>
      <c r="N141" s="255">
        <v>180000.0</v>
      </c>
      <c r="O141" s="255">
        <v>34000.0</v>
      </c>
      <c r="P141" s="255" t="s">
        <v>2242</v>
      </c>
      <c r="Q141" s="255">
        <v>4.0</v>
      </c>
      <c r="R141" s="259">
        <v>45659.0</v>
      </c>
      <c r="S141" s="260" t="s">
        <v>2215</v>
      </c>
      <c r="T141" s="259">
        <v>45662.0</v>
      </c>
      <c r="U141" s="255">
        <v>0.0</v>
      </c>
    </row>
    <row r="142">
      <c r="A142" s="257">
        <v>45660.73618827546</v>
      </c>
      <c r="B142" s="258" t="s">
        <v>2603</v>
      </c>
      <c r="C142" s="259">
        <v>45660.0</v>
      </c>
      <c r="D142" s="255" t="s">
        <v>2604</v>
      </c>
      <c r="H142" s="255">
        <v>20000.0</v>
      </c>
      <c r="I142" s="255">
        <v>1054.0</v>
      </c>
      <c r="K142" s="255" t="s">
        <v>2269</v>
      </c>
      <c r="L142" s="255" t="s">
        <v>2269</v>
      </c>
      <c r="M142" s="255" t="s">
        <v>438</v>
      </c>
      <c r="N142" s="255">
        <v>140000.0</v>
      </c>
      <c r="P142" s="255" t="s">
        <v>2208</v>
      </c>
      <c r="Q142" s="255">
        <v>1.0</v>
      </c>
      <c r="R142" s="259">
        <v>45660.0</v>
      </c>
      <c r="S142" s="260" t="s">
        <v>2246</v>
      </c>
      <c r="T142" s="259">
        <v>45670.0</v>
      </c>
      <c r="U142" s="255">
        <v>0.0</v>
      </c>
    </row>
    <row r="143">
      <c r="A143" s="257">
        <v>45661.699422986116</v>
      </c>
      <c r="B143" s="258" t="s">
        <v>2605</v>
      </c>
      <c r="C143" s="259">
        <v>45661.0</v>
      </c>
      <c r="E143" s="255" t="s">
        <v>2606</v>
      </c>
      <c r="F143" s="255" t="s">
        <v>2607</v>
      </c>
      <c r="H143" s="255">
        <v>15000.0</v>
      </c>
      <c r="I143" s="255">
        <v>981.0</v>
      </c>
      <c r="K143" s="255" t="s">
        <v>2269</v>
      </c>
      <c r="L143" s="255" t="s">
        <v>2269</v>
      </c>
      <c r="M143" s="255" t="s">
        <v>2264</v>
      </c>
      <c r="N143" s="255">
        <v>130000.0</v>
      </c>
      <c r="P143" s="255" t="s">
        <v>2208</v>
      </c>
      <c r="Q143" s="255">
        <v>2.0</v>
      </c>
      <c r="R143" s="259">
        <v>45661.0</v>
      </c>
      <c r="S143" s="260" t="s">
        <v>2215</v>
      </c>
      <c r="T143" s="259">
        <v>45665.0</v>
      </c>
      <c r="U143" s="255">
        <v>0.0</v>
      </c>
    </row>
    <row r="144">
      <c r="A144" s="257">
        <v>45661.90673164352</v>
      </c>
      <c r="B144" s="258" t="s">
        <v>2608</v>
      </c>
      <c r="C144" s="259">
        <v>45661.0</v>
      </c>
      <c r="D144" s="255" t="s">
        <v>2609</v>
      </c>
      <c r="E144" s="255" t="s">
        <v>2610</v>
      </c>
      <c r="F144" s="255" t="s">
        <v>2611</v>
      </c>
      <c r="H144" s="255">
        <v>3000.0</v>
      </c>
      <c r="I144" s="255">
        <v>389.0</v>
      </c>
      <c r="K144" s="255" t="s">
        <v>2610</v>
      </c>
      <c r="L144" s="255" t="s">
        <v>2610</v>
      </c>
      <c r="M144" s="255" t="s">
        <v>68</v>
      </c>
      <c r="N144" s="255">
        <v>70000.0</v>
      </c>
      <c r="P144" s="255" t="s">
        <v>2208</v>
      </c>
      <c r="Q144" s="255">
        <v>2.0</v>
      </c>
      <c r="R144" s="259">
        <v>45662.0</v>
      </c>
      <c r="S144" s="260" t="s">
        <v>2330</v>
      </c>
      <c r="T144" s="259">
        <v>45681.0</v>
      </c>
      <c r="U144" s="255">
        <v>590.0</v>
      </c>
    </row>
    <row r="145">
      <c r="A145" s="257">
        <v>45661.91783524306</v>
      </c>
      <c r="B145" s="258" t="s">
        <v>2612</v>
      </c>
      <c r="C145" s="259">
        <v>45661.0</v>
      </c>
      <c r="D145" s="255" t="s">
        <v>2613</v>
      </c>
      <c r="E145" s="255" t="s">
        <v>2614</v>
      </c>
      <c r="F145" s="260" t="s">
        <v>2615</v>
      </c>
      <c r="H145" s="255">
        <v>3000.0</v>
      </c>
      <c r="I145" s="255">
        <v>273.0</v>
      </c>
      <c r="K145" s="255" t="s">
        <v>2614</v>
      </c>
      <c r="L145" s="255" t="s">
        <v>2614</v>
      </c>
      <c r="M145" s="255" t="s">
        <v>48</v>
      </c>
      <c r="N145" s="255">
        <v>70000.0</v>
      </c>
      <c r="P145" s="255" t="s">
        <v>2208</v>
      </c>
      <c r="Q145" s="255">
        <v>2.0</v>
      </c>
      <c r="R145" s="259">
        <v>45662.0</v>
      </c>
      <c r="S145" s="260" t="s">
        <v>2221</v>
      </c>
      <c r="T145" s="259">
        <v>45691.0</v>
      </c>
      <c r="U145" s="255">
        <v>590.0</v>
      </c>
    </row>
    <row r="146">
      <c r="A146" s="257">
        <v>45662.81118230324</v>
      </c>
      <c r="B146" s="258" t="s">
        <v>2616</v>
      </c>
      <c r="C146" s="259">
        <v>45662.0</v>
      </c>
      <c r="D146" s="255" t="s">
        <v>2617</v>
      </c>
      <c r="E146" s="255" t="s">
        <v>2618</v>
      </c>
      <c r="F146" s="255" t="s">
        <v>2619</v>
      </c>
      <c r="H146" s="255">
        <v>7000.0</v>
      </c>
      <c r="I146" s="255">
        <v>937.0</v>
      </c>
      <c r="K146" s="255" t="s">
        <v>2618</v>
      </c>
      <c r="L146" s="255" t="s">
        <v>2618</v>
      </c>
      <c r="M146" s="255" t="s">
        <v>928</v>
      </c>
      <c r="N146" s="255">
        <v>410000.0</v>
      </c>
      <c r="P146" s="255" t="s">
        <v>2208</v>
      </c>
      <c r="Q146" s="255">
        <v>2.0</v>
      </c>
      <c r="R146" s="259">
        <v>45663.0</v>
      </c>
      <c r="S146" s="260" t="s">
        <v>2330</v>
      </c>
      <c r="T146" s="259">
        <v>45673.0</v>
      </c>
      <c r="U146" s="255">
        <v>590.0</v>
      </c>
    </row>
    <row r="147">
      <c r="A147" s="257">
        <v>45664.47721658565</v>
      </c>
      <c r="B147" s="258" t="s">
        <v>2620</v>
      </c>
      <c r="C147" s="259">
        <v>45664.0</v>
      </c>
      <c r="D147" s="255" t="s">
        <v>2621</v>
      </c>
      <c r="E147" s="255" t="s">
        <v>2622</v>
      </c>
      <c r="F147" s="255" t="s">
        <v>2623</v>
      </c>
      <c r="K147" s="255" t="s">
        <v>2269</v>
      </c>
      <c r="L147" s="255" t="s">
        <v>2269</v>
      </c>
      <c r="Q147" s="255">
        <v>1.0</v>
      </c>
      <c r="R147" s="259">
        <v>45664.0</v>
      </c>
      <c r="S147" s="260" t="s">
        <v>2265</v>
      </c>
      <c r="T147" s="259">
        <v>45672.0</v>
      </c>
      <c r="U147" s="255">
        <v>0.0</v>
      </c>
    </row>
    <row r="148">
      <c r="A148" s="257">
        <v>45664.75306819445</v>
      </c>
      <c r="B148" s="258" t="s">
        <v>2624</v>
      </c>
      <c r="C148" s="259">
        <v>45664.0</v>
      </c>
      <c r="D148" s="255" t="s">
        <v>2625</v>
      </c>
      <c r="E148" s="255" t="s">
        <v>2626</v>
      </c>
      <c r="F148" s="255" t="s">
        <v>2627</v>
      </c>
      <c r="G148" s="255" t="s">
        <v>2628</v>
      </c>
      <c r="H148" s="255">
        <v>3000.0</v>
      </c>
      <c r="I148" s="255">
        <v>420.0</v>
      </c>
      <c r="K148" s="255" t="s">
        <v>2269</v>
      </c>
      <c r="L148" s="255" t="s">
        <v>2269</v>
      </c>
      <c r="M148" s="255" t="s">
        <v>2220</v>
      </c>
      <c r="N148" s="255">
        <v>70000.0</v>
      </c>
      <c r="P148" s="255" t="s">
        <v>2208</v>
      </c>
      <c r="Q148" s="255">
        <v>2.0</v>
      </c>
      <c r="R148" s="259">
        <v>45665.0</v>
      </c>
      <c r="S148" s="260" t="s">
        <v>2330</v>
      </c>
      <c r="T148" s="259">
        <v>45678.0</v>
      </c>
      <c r="U148" s="255">
        <v>0.0</v>
      </c>
    </row>
    <row r="149">
      <c r="A149" s="257">
        <v>45664.76039826389</v>
      </c>
      <c r="B149" s="258" t="s">
        <v>2629</v>
      </c>
      <c r="C149" s="259">
        <v>45664.0</v>
      </c>
      <c r="D149" s="255" t="s">
        <v>2630</v>
      </c>
      <c r="E149" s="255" t="s">
        <v>2631</v>
      </c>
      <c r="F149" s="255" t="s">
        <v>2632</v>
      </c>
      <c r="H149" s="255">
        <v>5000.0</v>
      </c>
      <c r="I149" s="255">
        <v>728.0</v>
      </c>
      <c r="K149" s="255" t="s">
        <v>2631</v>
      </c>
      <c r="L149" s="255" t="s">
        <v>2631</v>
      </c>
      <c r="M149" s="255" t="s">
        <v>202</v>
      </c>
      <c r="N149" s="255">
        <v>120000.0</v>
      </c>
      <c r="P149" s="255" t="s">
        <v>2208</v>
      </c>
      <c r="Q149" s="255">
        <v>3.0</v>
      </c>
      <c r="R149" s="259">
        <v>45665.0</v>
      </c>
      <c r="S149" s="260" t="s">
        <v>2300</v>
      </c>
      <c r="T149" s="259">
        <v>45674.0</v>
      </c>
      <c r="U149" s="255">
        <v>490.0</v>
      </c>
    </row>
    <row r="150">
      <c r="A150" s="257">
        <v>45664.775649560186</v>
      </c>
      <c r="B150" s="258" t="s">
        <v>2633</v>
      </c>
      <c r="C150" s="259">
        <v>45664.0</v>
      </c>
      <c r="D150" s="255" t="s">
        <v>2634</v>
      </c>
      <c r="E150" s="255" t="s">
        <v>2635</v>
      </c>
      <c r="H150" s="255">
        <v>20000.0</v>
      </c>
      <c r="I150" s="255">
        <v>1500.0</v>
      </c>
      <c r="K150" s="255" t="s">
        <v>2635</v>
      </c>
      <c r="L150" s="255" t="s">
        <v>2635</v>
      </c>
      <c r="M150" s="255" t="s">
        <v>916</v>
      </c>
      <c r="N150" s="255">
        <v>220000.0</v>
      </c>
      <c r="P150" s="255" t="s">
        <v>2208</v>
      </c>
      <c r="Q150" s="255">
        <v>2.0</v>
      </c>
      <c r="R150" s="259">
        <v>45666.0</v>
      </c>
      <c r="S150" s="260" t="s">
        <v>2221</v>
      </c>
      <c r="T150" s="259">
        <v>45672.0</v>
      </c>
      <c r="U150" s="255">
        <v>500.0</v>
      </c>
    </row>
    <row r="151">
      <c r="A151" s="257">
        <v>45664.78831902778</v>
      </c>
      <c r="B151" s="258" t="s">
        <v>2636</v>
      </c>
      <c r="C151" s="259">
        <v>45664.0</v>
      </c>
      <c r="D151" s="255" t="s">
        <v>2637</v>
      </c>
      <c r="E151" s="255" t="s">
        <v>2638</v>
      </c>
      <c r="F151" s="255">
        <v>8.9195296152E10</v>
      </c>
      <c r="H151" s="255">
        <v>35000.0</v>
      </c>
      <c r="I151" s="255">
        <v>1765.0</v>
      </c>
      <c r="K151" s="255" t="s">
        <v>2638</v>
      </c>
      <c r="L151" s="255" t="s">
        <v>2638</v>
      </c>
      <c r="M151" s="255" t="s">
        <v>967</v>
      </c>
      <c r="N151" s="255">
        <v>500000.0</v>
      </c>
      <c r="P151" s="255" t="s">
        <v>2208</v>
      </c>
      <c r="Q151" s="255">
        <v>2.0</v>
      </c>
      <c r="R151" s="259">
        <v>45676.0</v>
      </c>
      <c r="S151" s="260" t="s">
        <v>2221</v>
      </c>
      <c r="T151" s="259">
        <v>45693.0</v>
      </c>
      <c r="U151" s="255">
        <v>0.0</v>
      </c>
    </row>
    <row r="152">
      <c r="A152" s="257">
        <v>45664.86847773148</v>
      </c>
      <c r="B152" s="258" t="s">
        <v>2639</v>
      </c>
      <c r="C152" s="259">
        <v>45664.0</v>
      </c>
      <c r="D152" s="255" t="s">
        <v>2640</v>
      </c>
      <c r="E152" s="255" t="s">
        <v>2641</v>
      </c>
      <c r="F152" s="255">
        <v>8.925865442E10</v>
      </c>
      <c r="H152" s="255">
        <v>3000.0</v>
      </c>
      <c r="I152" s="255">
        <v>469.0</v>
      </c>
      <c r="K152" s="255" t="s">
        <v>2641</v>
      </c>
      <c r="L152" s="255" t="s">
        <v>2641</v>
      </c>
      <c r="M152" s="255" t="s">
        <v>56</v>
      </c>
      <c r="N152" s="255">
        <v>70000.0</v>
      </c>
      <c r="P152" s="255" t="s">
        <v>2208</v>
      </c>
      <c r="Q152" s="255">
        <v>1.0</v>
      </c>
      <c r="R152" s="259">
        <v>45665.0</v>
      </c>
      <c r="S152" s="260" t="s">
        <v>2221</v>
      </c>
      <c r="T152" s="259">
        <v>45672.0</v>
      </c>
      <c r="U152" s="255">
        <v>290.0</v>
      </c>
    </row>
    <row r="153">
      <c r="A153" s="257">
        <v>45666.86011039352</v>
      </c>
      <c r="B153" s="258" t="s">
        <v>2642</v>
      </c>
      <c r="C153" s="259">
        <v>45666.0</v>
      </c>
      <c r="D153" s="255" t="s">
        <v>2643</v>
      </c>
      <c r="E153" s="255" t="s">
        <v>2644</v>
      </c>
      <c r="F153" s="255" t="s">
        <v>2645</v>
      </c>
      <c r="G153" s="255" t="s">
        <v>2646</v>
      </c>
      <c r="H153" s="255">
        <v>3000.0</v>
      </c>
      <c r="I153" s="255">
        <v>490.0</v>
      </c>
      <c r="K153" s="255" t="s">
        <v>2269</v>
      </c>
      <c r="L153" s="255" t="s">
        <v>2269</v>
      </c>
      <c r="M153" s="255" t="s">
        <v>2220</v>
      </c>
      <c r="N153" s="255">
        <v>70000.0</v>
      </c>
      <c r="P153" s="255" t="s">
        <v>2208</v>
      </c>
      <c r="Q153" s="255">
        <v>1.0</v>
      </c>
      <c r="R153" s="259">
        <v>45667.0</v>
      </c>
      <c r="S153" s="260" t="s">
        <v>2231</v>
      </c>
      <c r="T153" s="259">
        <v>45671.0</v>
      </c>
      <c r="U153" s="255">
        <v>0.0</v>
      </c>
    </row>
    <row r="154">
      <c r="A154" s="257">
        <v>45667.16336061343</v>
      </c>
      <c r="B154" s="258" t="s">
        <v>2647</v>
      </c>
      <c r="C154" s="259">
        <v>45667.0</v>
      </c>
      <c r="E154" s="255" t="s">
        <v>2648</v>
      </c>
      <c r="F154" s="255" t="s">
        <v>2649</v>
      </c>
      <c r="H154" s="255">
        <v>5000.0</v>
      </c>
      <c r="I154" s="255">
        <v>788.0</v>
      </c>
      <c r="K154" s="255" t="s">
        <v>2648</v>
      </c>
      <c r="L154" s="255" t="s">
        <v>2648</v>
      </c>
      <c r="M154" s="255" t="s">
        <v>64</v>
      </c>
      <c r="N154" s="255">
        <v>410000.0</v>
      </c>
      <c r="P154" s="255" t="s">
        <v>2208</v>
      </c>
      <c r="Q154" s="255">
        <v>3.0</v>
      </c>
      <c r="R154" s="259">
        <v>45669.0</v>
      </c>
      <c r="S154" s="260" t="s">
        <v>2221</v>
      </c>
      <c r="T154" s="259">
        <v>45679.0</v>
      </c>
      <c r="U154" s="255">
        <v>290.0</v>
      </c>
    </row>
    <row r="155">
      <c r="A155" s="257">
        <v>45667.17081069444</v>
      </c>
      <c r="B155" s="258" t="s">
        <v>2650</v>
      </c>
      <c r="C155" s="259">
        <v>45667.0</v>
      </c>
      <c r="E155" s="255" t="s">
        <v>2648</v>
      </c>
      <c r="F155" s="255" t="s">
        <v>2649</v>
      </c>
      <c r="H155" s="255">
        <v>5000.0</v>
      </c>
      <c r="I155" s="255">
        <v>788.0</v>
      </c>
      <c r="K155" s="255" t="s">
        <v>2648</v>
      </c>
      <c r="L155" s="255" t="s">
        <v>2648</v>
      </c>
      <c r="M155" s="255" t="s">
        <v>92</v>
      </c>
      <c r="N155" s="255">
        <v>410000.0</v>
      </c>
      <c r="P155" s="255" t="s">
        <v>2208</v>
      </c>
      <c r="Q155" s="255">
        <v>3.0</v>
      </c>
      <c r="R155" s="259">
        <v>45669.0</v>
      </c>
      <c r="S155" s="260" t="s">
        <v>2221</v>
      </c>
      <c r="T155" s="259">
        <v>45679.0</v>
      </c>
      <c r="U155" s="255">
        <v>290.0</v>
      </c>
    </row>
    <row r="156">
      <c r="A156" s="257">
        <v>45668.64847429398</v>
      </c>
      <c r="B156" s="258" t="s">
        <v>2651</v>
      </c>
      <c r="C156" s="259">
        <v>45668.0</v>
      </c>
      <c r="D156" s="255" t="s">
        <v>2652</v>
      </c>
      <c r="E156" s="255" t="s">
        <v>2653</v>
      </c>
      <c r="H156" s="255" t="s">
        <v>2654</v>
      </c>
      <c r="I156" s="255">
        <v>1500.0</v>
      </c>
      <c r="K156" s="255" t="s">
        <v>2269</v>
      </c>
      <c r="L156" s="255" t="s">
        <v>2269</v>
      </c>
      <c r="M156" s="255" t="s">
        <v>102</v>
      </c>
      <c r="N156" s="255">
        <v>220000.0</v>
      </c>
      <c r="O156" s="255">
        <v>45000.0</v>
      </c>
      <c r="P156" s="255" t="s">
        <v>2208</v>
      </c>
      <c r="Q156" s="255">
        <v>2.0</v>
      </c>
      <c r="R156" s="259">
        <v>45668.0</v>
      </c>
      <c r="S156" s="260" t="s">
        <v>2215</v>
      </c>
      <c r="T156" s="259">
        <v>45676.0</v>
      </c>
      <c r="U156" s="255">
        <v>0.0</v>
      </c>
    </row>
    <row r="157">
      <c r="A157" s="257">
        <v>45669.36741564814</v>
      </c>
      <c r="B157" s="258" t="s">
        <v>2655</v>
      </c>
      <c r="C157" s="259">
        <v>45669.0</v>
      </c>
      <c r="E157" s="255" t="s">
        <v>2648</v>
      </c>
      <c r="F157" s="255" t="s">
        <v>2649</v>
      </c>
      <c r="H157" s="255">
        <v>25000.0</v>
      </c>
      <c r="I157" s="255">
        <v>2528.0</v>
      </c>
      <c r="K157" s="255" t="s">
        <v>2648</v>
      </c>
      <c r="L157" s="255" t="s">
        <v>2648</v>
      </c>
      <c r="M157" s="255" t="s">
        <v>1512</v>
      </c>
      <c r="N157" s="255">
        <v>500000.0</v>
      </c>
      <c r="P157" s="255" t="s">
        <v>2208</v>
      </c>
      <c r="Q157" s="255">
        <v>3.0</v>
      </c>
      <c r="R157" s="259">
        <v>45671.0</v>
      </c>
      <c r="S157" s="260" t="s">
        <v>2221</v>
      </c>
      <c r="T157" s="259">
        <v>45673.0</v>
      </c>
      <c r="U157" s="255">
        <v>290.0</v>
      </c>
    </row>
    <row r="158">
      <c r="A158" s="257">
        <v>45669.6291709375</v>
      </c>
      <c r="B158" s="258" t="s">
        <v>2656</v>
      </c>
      <c r="C158" s="259">
        <v>45669.0</v>
      </c>
      <c r="D158" s="255">
        <v>8.9220000494E10</v>
      </c>
      <c r="H158" s="255">
        <v>3000.0</v>
      </c>
      <c r="K158" s="255" t="s">
        <v>2657</v>
      </c>
      <c r="L158" s="255" t="s">
        <v>2658</v>
      </c>
      <c r="M158" s="255" t="s">
        <v>98</v>
      </c>
      <c r="N158" s="255">
        <v>70000.0</v>
      </c>
      <c r="O158" s="255">
        <v>28000.0</v>
      </c>
      <c r="P158" s="255" t="s">
        <v>2208</v>
      </c>
      <c r="Q158" s="255">
        <v>2.0</v>
      </c>
      <c r="R158" s="259">
        <v>45669.0</v>
      </c>
      <c r="S158" s="260" t="s">
        <v>2215</v>
      </c>
      <c r="T158" s="259">
        <v>45683.0</v>
      </c>
      <c r="U158" s="255">
        <v>390.0</v>
      </c>
    </row>
    <row r="159">
      <c r="A159" s="257">
        <v>45669.66643622685</v>
      </c>
      <c r="B159" s="258" t="s">
        <v>2659</v>
      </c>
      <c r="C159" s="259">
        <v>45669.0</v>
      </c>
      <c r="E159" s="255" t="s">
        <v>2660</v>
      </c>
      <c r="F159" s="255" t="s">
        <v>2661</v>
      </c>
      <c r="H159" s="255">
        <v>3000.0</v>
      </c>
      <c r="I159" s="255">
        <v>434.0</v>
      </c>
      <c r="K159" s="255" t="s">
        <v>2660</v>
      </c>
      <c r="L159" s="255" t="s">
        <v>2660</v>
      </c>
      <c r="M159" s="255" t="s">
        <v>185</v>
      </c>
      <c r="N159" s="255">
        <v>75000.0</v>
      </c>
      <c r="P159" s="255" t="s">
        <v>2208</v>
      </c>
      <c r="Q159" s="255">
        <v>2.0</v>
      </c>
      <c r="R159" s="259">
        <v>45670.0</v>
      </c>
      <c r="S159" s="260" t="s">
        <v>2324</v>
      </c>
      <c r="T159" s="259">
        <v>45681.0</v>
      </c>
      <c r="U159" s="255">
        <v>290.0</v>
      </c>
    </row>
    <row r="160">
      <c r="A160" s="257">
        <v>45669.70786429398</v>
      </c>
      <c r="B160" s="258" t="s">
        <v>2662</v>
      </c>
      <c r="C160" s="259">
        <v>45669.0</v>
      </c>
      <c r="E160" s="255" t="s">
        <v>2663</v>
      </c>
      <c r="F160" s="255" t="s">
        <v>2649</v>
      </c>
      <c r="H160" s="255">
        <v>20000.0</v>
      </c>
      <c r="I160" s="255">
        <v>1798.0</v>
      </c>
      <c r="K160" s="255" t="s">
        <v>2663</v>
      </c>
      <c r="L160" s="255" t="s">
        <v>2663</v>
      </c>
      <c r="M160" s="255" t="s">
        <v>916</v>
      </c>
      <c r="N160" s="255">
        <v>220000.0</v>
      </c>
      <c r="P160" s="255" t="s">
        <v>2208</v>
      </c>
      <c r="Q160" s="255">
        <v>3.0</v>
      </c>
      <c r="R160" s="259">
        <v>45671.0</v>
      </c>
      <c r="S160" s="260" t="s">
        <v>2221</v>
      </c>
      <c r="T160" s="259">
        <v>45671.0</v>
      </c>
      <c r="U160" s="255">
        <v>290.0</v>
      </c>
    </row>
    <row r="161">
      <c r="A161" s="257">
        <v>45669.84739876157</v>
      </c>
      <c r="B161" s="258" t="s">
        <v>2664</v>
      </c>
      <c r="C161" s="259">
        <v>45669.0</v>
      </c>
      <c r="D161" s="255" t="s">
        <v>2634</v>
      </c>
      <c r="E161" s="255" t="s">
        <v>2635</v>
      </c>
      <c r="K161" s="255" t="s">
        <v>2635</v>
      </c>
      <c r="L161" s="255" t="s">
        <v>2635</v>
      </c>
      <c r="M161" s="255" t="s">
        <v>483</v>
      </c>
      <c r="P161" s="255" t="s">
        <v>2208</v>
      </c>
      <c r="Q161" s="255">
        <v>0.0</v>
      </c>
      <c r="R161" s="259">
        <v>45670.0</v>
      </c>
      <c r="S161" s="260" t="s">
        <v>2221</v>
      </c>
      <c r="T161" s="259">
        <v>45672.0</v>
      </c>
      <c r="U161" s="255">
        <v>0.0</v>
      </c>
    </row>
    <row r="162">
      <c r="A162" s="257">
        <v>45670.67647219908</v>
      </c>
      <c r="B162" s="258" t="s">
        <v>2665</v>
      </c>
      <c r="C162" s="259">
        <v>45670.0</v>
      </c>
      <c r="E162" s="255" t="s">
        <v>2666</v>
      </c>
      <c r="F162" s="255" t="s">
        <v>2667</v>
      </c>
      <c r="H162" s="255">
        <v>8000.0</v>
      </c>
      <c r="I162" s="255">
        <v>584.0</v>
      </c>
      <c r="K162" s="255" t="s">
        <v>2207</v>
      </c>
      <c r="L162" s="255" t="s">
        <v>2207</v>
      </c>
      <c r="M162" s="255" t="s">
        <v>286</v>
      </c>
      <c r="N162" s="255">
        <v>70000.0</v>
      </c>
      <c r="P162" s="255" t="s">
        <v>2208</v>
      </c>
      <c r="Q162" s="255">
        <v>1.0</v>
      </c>
      <c r="R162" s="259">
        <v>45670.0</v>
      </c>
      <c r="S162" s="260" t="s">
        <v>2231</v>
      </c>
      <c r="T162" s="259">
        <v>45675.0</v>
      </c>
      <c r="U162" s="255">
        <v>0.0</v>
      </c>
    </row>
    <row r="163">
      <c r="A163" s="257">
        <v>45670.96133831018</v>
      </c>
      <c r="B163" s="258" t="s">
        <v>2668</v>
      </c>
      <c r="C163" s="259">
        <v>45670.0</v>
      </c>
      <c r="E163" s="255" t="s">
        <v>2669</v>
      </c>
      <c r="F163" s="255" t="s">
        <v>2670</v>
      </c>
      <c r="H163" s="255">
        <v>7000.0</v>
      </c>
      <c r="I163" s="255">
        <v>967.0</v>
      </c>
      <c r="K163" s="255" t="s">
        <v>2669</v>
      </c>
      <c r="L163" s="255" t="s">
        <v>2669</v>
      </c>
      <c r="M163" s="255" t="s">
        <v>974</v>
      </c>
      <c r="N163" s="255">
        <v>450000.0</v>
      </c>
      <c r="P163" s="255" t="s">
        <v>2208</v>
      </c>
      <c r="Q163" s="255">
        <v>0.0</v>
      </c>
      <c r="R163" s="259">
        <v>45673.0</v>
      </c>
      <c r="S163" s="260" t="s">
        <v>2330</v>
      </c>
      <c r="T163" s="259">
        <v>45681.0</v>
      </c>
      <c r="U163" s="255">
        <v>0.0</v>
      </c>
    </row>
    <row r="164">
      <c r="A164" s="257">
        <v>45670.96594894676</v>
      </c>
      <c r="B164" s="258" t="s">
        <v>2671</v>
      </c>
      <c r="C164" s="259">
        <v>45670.0</v>
      </c>
      <c r="D164" s="255" t="s">
        <v>2672</v>
      </c>
      <c r="E164" s="255" t="s">
        <v>2673</v>
      </c>
      <c r="F164" s="255" t="s">
        <v>2674</v>
      </c>
      <c r="H164" s="255">
        <v>7000.0</v>
      </c>
      <c r="I164" s="255">
        <v>610.0</v>
      </c>
      <c r="K164" s="255" t="s">
        <v>2673</v>
      </c>
      <c r="L164" s="255" t="s">
        <v>2673</v>
      </c>
      <c r="M164" s="255" t="s">
        <v>1028</v>
      </c>
      <c r="N164" s="255">
        <v>450000.0</v>
      </c>
      <c r="P164" s="255" t="s">
        <v>2208</v>
      </c>
      <c r="Q164" s="255">
        <v>2.0</v>
      </c>
      <c r="R164" s="259">
        <v>45673.0</v>
      </c>
      <c r="S164" s="260" t="s">
        <v>2324</v>
      </c>
      <c r="T164" s="259">
        <v>45732.0</v>
      </c>
      <c r="U164" s="255">
        <v>290.0</v>
      </c>
    </row>
    <row r="165">
      <c r="A165" s="257">
        <v>45671.506381018524</v>
      </c>
      <c r="B165" s="258" t="s">
        <v>2675</v>
      </c>
      <c r="C165" s="259">
        <v>45671.0</v>
      </c>
      <c r="D165" s="255" t="s">
        <v>2676</v>
      </c>
      <c r="E165" s="255" t="s">
        <v>2677</v>
      </c>
      <c r="F165" s="255" t="s">
        <v>2678</v>
      </c>
      <c r="H165" s="255">
        <v>7000.0</v>
      </c>
      <c r="I165" s="255">
        <v>852.0</v>
      </c>
      <c r="K165" s="255" t="s">
        <v>2677</v>
      </c>
      <c r="L165" s="255" t="s">
        <v>2677</v>
      </c>
      <c r="M165" s="255" t="s">
        <v>960</v>
      </c>
      <c r="N165" s="255">
        <v>180000.0</v>
      </c>
      <c r="O165" s="255">
        <v>10000.0</v>
      </c>
      <c r="P165" s="255" t="s">
        <v>2208</v>
      </c>
      <c r="Q165" s="255">
        <v>0.0</v>
      </c>
      <c r="R165" s="259">
        <v>45671.0</v>
      </c>
      <c r="S165" s="260" t="s">
        <v>2221</v>
      </c>
      <c r="T165" s="259">
        <v>45688.0</v>
      </c>
      <c r="U165" s="255">
        <v>290.0</v>
      </c>
    </row>
    <row r="166">
      <c r="A166" s="257">
        <v>45671.5789418287</v>
      </c>
      <c r="B166" s="258" t="s">
        <v>2679</v>
      </c>
      <c r="C166" s="259">
        <v>45671.0</v>
      </c>
      <c r="D166" s="255" t="s">
        <v>2680</v>
      </c>
      <c r="E166" s="255" t="s">
        <v>2681</v>
      </c>
      <c r="F166" s="255" t="s">
        <v>2682</v>
      </c>
      <c r="G166" s="255" t="s">
        <v>2683</v>
      </c>
      <c r="H166" s="255">
        <v>3000.0</v>
      </c>
      <c r="I166" s="255">
        <v>469.0</v>
      </c>
      <c r="K166" s="255" t="s">
        <v>2681</v>
      </c>
      <c r="L166" s="255" t="s">
        <v>2681</v>
      </c>
      <c r="M166" s="255" t="s">
        <v>73</v>
      </c>
      <c r="N166" s="255">
        <v>70000.0</v>
      </c>
      <c r="P166" s="255" t="s">
        <v>2208</v>
      </c>
      <c r="Q166" s="255">
        <v>2.0</v>
      </c>
      <c r="R166" s="259">
        <v>45672.0</v>
      </c>
      <c r="S166" s="260" t="s">
        <v>2324</v>
      </c>
      <c r="T166" s="259">
        <v>45678.0</v>
      </c>
      <c r="U166" s="255">
        <v>590.0</v>
      </c>
    </row>
    <row r="167">
      <c r="A167" s="257">
        <v>45672.55360835648</v>
      </c>
      <c r="B167" s="258" t="s">
        <v>2684</v>
      </c>
      <c r="C167" s="259">
        <v>45672.0</v>
      </c>
      <c r="D167" s="255" t="s">
        <v>2685</v>
      </c>
      <c r="E167" s="255" t="s">
        <v>2686</v>
      </c>
      <c r="F167" s="255" t="s">
        <v>2687</v>
      </c>
      <c r="H167" s="255">
        <v>3000.0</v>
      </c>
      <c r="I167" s="255">
        <v>462.0</v>
      </c>
      <c r="K167" s="255" t="s">
        <v>2686</v>
      </c>
      <c r="L167" s="255" t="s">
        <v>2686</v>
      </c>
      <c r="M167" s="255" t="s">
        <v>56</v>
      </c>
      <c r="N167" s="255">
        <v>70000.0</v>
      </c>
      <c r="P167" s="255" t="s">
        <v>2208</v>
      </c>
      <c r="Q167" s="255">
        <v>3.0</v>
      </c>
      <c r="R167" s="259">
        <v>45673.0</v>
      </c>
      <c r="S167" s="260" t="s">
        <v>2265</v>
      </c>
      <c r="T167" s="259">
        <v>45681.0</v>
      </c>
      <c r="U167" s="255">
        <v>290.0</v>
      </c>
    </row>
    <row r="168">
      <c r="A168" s="257">
        <v>45672.557933171294</v>
      </c>
      <c r="B168" s="258" t="s">
        <v>2688</v>
      </c>
      <c r="C168" s="259">
        <v>45672.0</v>
      </c>
      <c r="D168" s="255" t="s">
        <v>2689</v>
      </c>
      <c r="E168" s="255" t="s">
        <v>2690</v>
      </c>
      <c r="F168" s="255" t="s">
        <v>2691</v>
      </c>
      <c r="H168" s="255">
        <v>7000.0</v>
      </c>
      <c r="I168" s="255">
        <v>981.0</v>
      </c>
      <c r="K168" s="255" t="s">
        <v>2690</v>
      </c>
      <c r="L168" s="255" t="s">
        <v>2690</v>
      </c>
      <c r="M168" s="255" t="s">
        <v>960</v>
      </c>
      <c r="N168" s="255">
        <v>450000.0</v>
      </c>
      <c r="P168" s="255" t="s">
        <v>2208</v>
      </c>
      <c r="Q168" s="255">
        <v>2.0</v>
      </c>
      <c r="R168" s="259">
        <v>45675.0</v>
      </c>
      <c r="S168" s="260" t="s">
        <v>2324</v>
      </c>
      <c r="T168" s="259">
        <v>45681.0</v>
      </c>
      <c r="U168" s="255">
        <v>590.0</v>
      </c>
    </row>
    <row r="169">
      <c r="A169" s="257">
        <v>45673.208671030094</v>
      </c>
      <c r="B169" s="258" t="s">
        <v>2692</v>
      </c>
      <c r="C169" s="259">
        <v>45673.0</v>
      </c>
      <c r="E169" s="255" t="s">
        <v>2693</v>
      </c>
      <c r="F169" s="255">
        <v>7.9254445551E10</v>
      </c>
      <c r="H169" s="255">
        <v>7000.0</v>
      </c>
      <c r="I169" s="255">
        <v>1033.0</v>
      </c>
      <c r="K169" s="255" t="s">
        <v>2693</v>
      </c>
      <c r="L169" s="255" t="s">
        <v>2693</v>
      </c>
      <c r="M169" s="255" t="s">
        <v>1028</v>
      </c>
      <c r="N169" s="255">
        <v>450000.0</v>
      </c>
      <c r="P169" s="255" t="s">
        <v>2208</v>
      </c>
      <c r="Q169" s="255">
        <v>0.0</v>
      </c>
      <c r="R169" s="259">
        <v>45673.0</v>
      </c>
      <c r="S169" s="260" t="s">
        <v>2221</v>
      </c>
      <c r="T169" s="259">
        <v>45677.0</v>
      </c>
      <c r="U169" s="255">
        <v>290.0</v>
      </c>
    </row>
    <row r="170">
      <c r="A170" s="257">
        <v>45673.211395879625</v>
      </c>
      <c r="B170" s="258" t="s">
        <v>2694</v>
      </c>
      <c r="C170" s="259">
        <v>45673.0</v>
      </c>
      <c r="E170" s="255" t="s">
        <v>2695</v>
      </c>
      <c r="F170" s="255" t="s">
        <v>2696</v>
      </c>
      <c r="H170" s="255">
        <v>20000.0</v>
      </c>
      <c r="I170" s="255">
        <v>1780.0</v>
      </c>
      <c r="K170" s="255" t="s">
        <v>2269</v>
      </c>
      <c r="L170" s="255" t="s">
        <v>2269</v>
      </c>
      <c r="M170" s="255" t="s">
        <v>483</v>
      </c>
      <c r="N170" s="255">
        <v>150000.0</v>
      </c>
      <c r="P170" s="255" t="s">
        <v>2208</v>
      </c>
      <c r="Q170" s="255">
        <v>2.0</v>
      </c>
      <c r="R170" s="259">
        <v>45673.0</v>
      </c>
      <c r="S170" s="260" t="s">
        <v>2246</v>
      </c>
      <c r="T170" s="259">
        <v>45678.0</v>
      </c>
      <c r="U170" s="255">
        <v>0.0</v>
      </c>
    </row>
    <row r="171">
      <c r="A171" s="257">
        <v>45674.21298984953</v>
      </c>
      <c r="B171" s="258" t="s">
        <v>2697</v>
      </c>
      <c r="C171" s="259">
        <v>45674.0</v>
      </c>
      <c r="D171" s="255" t="s">
        <v>2698</v>
      </c>
      <c r="E171" s="255" t="s">
        <v>2699</v>
      </c>
      <c r="F171" s="255">
        <v>8.9372046751E10</v>
      </c>
      <c r="H171" s="255">
        <v>7000.0</v>
      </c>
      <c r="I171" s="255">
        <v>967.0</v>
      </c>
      <c r="K171" s="255" t="s">
        <v>2699</v>
      </c>
      <c r="L171" s="255" t="s">
        <v>2699</v>
      </c>
      <c r="M171" s="255" t="s">
        <v>928</v>
      </c>
      <c r="N171" s="255">
        <v>450000.0</v>
      </c>
      <c r="P171" s="255" t="s">
        <v>2208</v>
      </c>
      <c r="Q171" s="255">
        <v>4.0</v>
      </c>
      <c r="R171" s="259">
        <v>45674.0</v>
      </c>
      <c r="S171" s="260" t="s">
        <v>2324</v>
      </c>
      <c r="T171" s="259">
        <v>45682.0</v>
      </c>
      <c r="U171" s="255">
        <v>490.0</v>
      </c>
    </row>
    <row r="172">
      <c r="A172" s="257">
        <v>45674.67951981482</v>
      </c>
      <c r="B172" s="258" t="s">
        <v>2700</v>
      </c>
      <c r="C172" s="259">
        <v>45674.0</v>
      </c>
      <c r="D172" s="255" t="s">
        <v>2701</v>
      </c>
      <c r="E172" s="255" t="s">
        <v>2702</v>
      </c>
      <c r="F172" s="255">
        <v>8.9119272266E10</v>
      </c>
      <c r="H172" s="255" t="s">
        <v>600</v>
      </c>
      <c r="J172" s="255">
        <v>29000.0</v>
      </c>
      <c r="K172" s="255" t="s">
        <v>2269</v>
      </c>
      <c r="L172" s="255" t="s">
        <v>2269</v>
      </c>
      <c r="M172" s="255" t="s">
        <v>1512</v>
      </c>
      <c r="N172" s="255">
        <v>500000.0</v>
      </c>
      <c r="P172" s="255" t="s">
        <v>2208</v>
      </c>
      <c r="Q172" s="255">
        <v>1.0</v>
      </c>
      <c r="R172" s="259">
        <v>45674.0</v>
      </c>
      <c r="S172" s="260" t="s">
        <v>2215</v>
      </c>
      <c r="T172" s="259">
        <v>45705.0</v>
      </c>
      <c r="U172" s="255">
        <v>0.0</v>
      </c>
    </row>
    <row r="173">
      <c r="A173" s="257">
        <v>45674.883711284725</v>
      </c>
      <c r="B173" s="258" t="s">
        <v>2703</v>
      </c>
      <c r="C173" s="259">
        <v>45674.0</v>
      </c>
      <c r="D173" s="255" t="s">
        <v>2704</v>
      </c>
      <c r="E173" s="255" t="s">
        <v>2705</v>
      </c>
      <c r="F173" s="255" t="s">
        <v>2706</v>
      </c>
      <c r="H173" s="255">
        <v>3000.0</v>
      </c>
      <c r="I173" s="255">
        <v>434.0</v>
      </c>
      <c r="K173" s="255" t="s">
        <v>2705</v>
      </c>
      <c r="L173" s="255" t="s">
        <v>2705</v>
      </c>
      <c r="M173" s="255" t="s">
        <v>77</v>
      </c>
      <c r="N173" s="255">
        <v>70000.0</v>
      </c>
      <c r="P173" s="255" t="s">
        <v>2208</v>
      </c>
      <c r="Q173" s="255">
        <v>1.0</v>
      </c>
      <c r="R173" s="259">
        <v>45675.0</v>
      </c>
      <c r="S173" s="260" t="s">
        <v>2235</v>
      </c>
      <c r="T173" s="259">
        <v>45687.0</v>
      </c>
      <c r="U173" s="255">
        <v>590.0</v>
      </c>
    </row>
    <row r="174">
      <c r="A174" s="257">
        <v>45676.07367960648</v>
      </c>
      <c r="B174" s="258" t="s">
        <v>2707</v>
      </c>
      <c r="C174" s="259">
        <v>45676.0</v>
      </c>
      <c r="D174" s="255" t="s">
        <v>2708</v>
      </c>
      <c r="E174" s="255" t="s">
        <v>2709</v>
      </c>
      <c r="F174" s="255" t="s">
        <v>2710</v>
      </c>
      <c r="H174" s="255">
        <v>20000.0</v>
      </c>
      <c r="J174" s="255">
        <v>30659.0</v>
      </c>
      <c r="K174" s="255" t="s">
        <v>2711</v>
      </c>
      <c r="L174" s="255" t="s">
        <v>2711</v>
      </c>
      <c r="M174" s="255" t="s">
        <v>916</v>
      </c>
      <c r="N174" s="255">
        <v>400000.0</v>
      </c>
      <c r="P174" s="255" t="s">
        <v>2208</v>
      </c>
      <c r="Q174" s="255">
        <v>1.0</v>
      </c>
      <c r="R174" s="259">
        <v>45677.0</v>
      </c>
      <c r="S174" s="260" t="s">
        <v>2324</v>
      </c>
      <c r="T174" s="259">
        <v>45708.0</v>
      </c>
      <c r="U174" s="255">
        <v>490.0</v>
      </c>
    </row>
    <row r="175">
      <c r="A175" s="257">
        <v>45677.24670710648</v>
      </c>
      <c r="B175" s="258" t="s">
        <v>2712</v>
      </c>
      <c r="C175" s="259">
        <v>45677.0</v>
      </c>
      <c r="E175" s="255" t="s">
        <v>2713</v>
      </c>
      <c r="H175" s="255" t="s">
        <v>600</v>
      </c>
      <c r="I175" s="255">
        <v>2000.0</v>
      </c>
      <c r="K175" s="255" t="s">
        <v>2713</v>
      </c>
      <c r="L175" s="255" t="s">
        <v>2713</v>
      </c>
      <c r="M175" s="255" t="s">
        <v>914</v>
      </c>
      <c r="N175" s="255">
        <v>510000.0</v>
      </c>
      <c r="P175" s="255" t="s">
        <v>2208</v>
      </c>
      <c r="Q175" s="255">
        <v>2.0</v>
      </c>
      <c r="R175" s="259">
        <v>45677.0</v>
      </c>
      <c r="S175" s="260" t="s">
        <v>2330</v>
      </c>
      <c r="T175" s="259">
        <v>45686.0</v>
      </c>
      <c r="U175" s="255">
        <v>290.0</v>
      </c>
    </row>
    <row r="176">
      <c r="A176" s="257">
        <v>45678.52812613426</v>
      </c>
      <c r="B176" s="258" t="s">
        <v>2714</v>
      </c>
      <c r="C176" s="259">
        <v>45678.0</v>
      </c>
      <c r="E176" s="255" t="s">
        <v>2715</v>
      </c>
      <c r="F176" s="255" t="s">
        <v>2716</v>
      </c>
      <c r="H176" s="255">
        <v>3000.0</v>
      </c>
      <c r="I176" s="255">
        <v>427.0</v>
      </c>
      <c r="K176" s="255" t="s">
        <v>2207</v>
      </c>
      <c r="L176" s="255" t="s">
        <v>2207</v>
      </c>
      <c r="M176" s="255" t="s">
        <v>106</v>
      </c>
      <c r="N176" s="255">
        <v>80000.0</v>
      </c>
      <c r="P176" s="255" t="s">
        <v>2208</v>
      </c>
      <c r="Q176" s="255">
        <v>2.0</v>
      </c>
      <c r="R176" s="259">
        <v>45678.0</v>
      </c>
      <c r="S176" s="260" t="s">
        <v>2221</v>
      </c>
      <c r="T176" s="259">
        <v>45685.0</v>
      </c>
      <c r="U176" s="255">
        <v>0.0</v>
      </c>
    </row>
    <row r="177">
      <c r="A177" s="257">
        <v>45678.58106740741</v>
      </c>
      <c r="B177" s="258" t="s">
        <v>2717</v>
      </c>
      <c r="C177" s="259">
        <v>45678.0</v>
      </c>
      <c r="E177" s="255" t="s">
        <v>2718</v>
      </c>
      <c r="F177" s="260" t="s">
        <v>2719</v>
      </c>
      <c r="H177" s="255">
        <v>3000.0</v>
      </c>
      <c r="I177" s="255">
        <v>394.0</v>
      </c>
      <c r="K177" s="255" t="s">
        <v>2269</v>
      </c>
      <c r="L177" s="255" t="s">
        <v>2269</v>
      </c>
      <c r="M177" s="255" t="s">
        <v>185</v>
      </c>
      <c r="N177" s="255">
        <v>75000.0</v>
      </c>
      <c r="P177" s="255" t="s">
        <v>2208</v>
      </c>
      <c r="Q177" s="255">
        <v>0.0</v>
      </c>
      <c r="R177" s="259">
        <v>45678.0</v>
      </c>
      <c r="S177" s="260" t="s">
        <v>2231</v>
      </c>
      <c r="T177" s="259">
        <v>45690.0</v>
      </c>
      <c r="U177" s="255">
        <v>0.0</v>
      </c>
    </row>
    <row r="178">
      <c r="A178" s="257">
        <v>45679.24209462963</v>
      </c>
      <c r="B178" s="258" t="s">
        <v>2720</v>
      </c>
      <c r="C178" s="259">
        <v>45679.0</v>
      </c>
      <c r="D178" s="255" t="s">
        <v>2721</v>
      </c>
      <c r="F178" s="255" t="s">
        <v>2722</v>
      </c>
      <c r="H178" s="255" t="s">
        <v>515</v>
      </c>
      <c r="I178" s="255">
        <v>620.0</v>
      </c>
      <c r="M178" s="255" t="s">
        <v>279</v>
      </c>
      <c r="N178" s="255">
        <v>75000.0</v>
      </c>
      <c r="P178" s="255" t="s">
        <v>2208</v>
      </c>
      <c r="Q178" s="255">
        <v>2.0</v>
      </c>
      <c r="R178" s="259">
        <v>45680.0</v>
      </c>
      <c r="S178" s="260" t="s">
        <v>2215</v>
      </c>
      <c r="T178" s="259">
        <v>45683.0</v>
      </c>
      <c r="U178" s="255">
        <v>490.0</v>
      </c>
    </row>
    <row r="179">
      <c r="A179" s="257">
        <v>45679.532109548614</v>
      </c>
      <c r="B179" s="258" t="s">
        <v>2723</v>
      </c>
      <c r="C179" s="259">
        <v>45679.0</v>
      </c>
      <c r="D179" s="255">
        <v>6.6943763258E10</v>
      </c>
      <c r="E179" s="255" t="s">
        <v>2724</v>
      </c>
      <c r="H179" s="255">
        <v>8000.0</v>
      </c>
      <c r="I179" s="255">
        <v>600.0</v>
      </c>
      <c r="K179" s="255" t="s">
        <v>2207</v>
      </c>
      <c r="L179" s="255" t="s">
        <v>2207</v>
      </c>
      <c r="M179" s="255" t="s">
        <v>286</v>
      </c>
      <c r="O179" s="255">
        <v>16327.0</v>
      </c>
      <c r="P179" s="255" t="s">
        <v>2320</v>
      </c>
      <c r="Q179" s="255">
        <v>1.0</v>
      </c>
      <c r="R179" s="259">
        <v>45679.0</v>
      </c>
      <c r="S179" s="260" t="s">
        <v>2221</v>
      </c>
      <c r="T179" s="259">
        <v>45684.0</v>
      </c>
      <c r="U179" s="255">
        <v>0.0</v>
      </c>
    </row>
    <row r="180">
      <c r="A180" s="257">
        <v>45679.53493336806</v>
      </c>
      <c r="B180" s="258" t="s">
        <v>2725</v>
      </c>
      <c r="C180" s="259">
        <v>45679.0</v>
      </c>
      <c r="E180" s="255" t="s">
        <v>2726</v>
      </c>
      <c r="F180" s="255" t="s">
        <v>2727</v>
      </c>
      <c r="H180" s="255">
        <v>3000.0</v>
      </c>
      <c r="I180" s="255">
        <v>427.0</v>
      </c>
      <c r="K180" s="255" t="s">
        <v>2207</v>
      </c>
      <c r="L180" s="255" t="s">
        <v>2207</v>
      </c>
      <c r="M180" s="255" t="s">
        <v>106</v>
      </c>
      <c r="N180" s="255">
        <v>80000.0</v>
      </c>
      <c r="O180" s="255">
        <v>22492.0</v>
      </c>
      <c r="P180" s="255" t="s">
        <v>2320</v>
      </c>
      <c r="Q180" s="255">
        <v>1.0</v>
      </c>
      <c r="R180" s="259">
        <v>45679.0</v>
      </c>
      <c r="S180" s="260" t="s">
        <v>2330</v>
      </c>
      <c r="T180" s="259">
        <v>45685.0</v>
      </c>
      <c r="U180" s="255">
        <v>0.0</v>
      </c>
    </row>
    <row r="181">
      <c r="A181" s="257">
        <v>45679.794934861115</v>
      </c>
      <c r="B181" s="258" t="s">
        <v>2728</v>
      </c>
      <c r="C181" s="259">
        <v>45679.0</v>
      </c>
      <c r="E181" s="255" t="s">
        <v>2555</v>
      </c>
      <c r="F181" s="255">
        <v>8.9644511044E10</v>
      </c>
      <c r="H181" s="255">
        <v>15000.0</v>
      </c>
      <c r="I181" s="255">
        <v>1798.0</v>
      </c>
      <c r="K181" s="255" t="s">
        <v>2269</v>
      </c>
      <c r="L181" s="255" t="s">
        <v>2269</v>
      </c>
      <c r="M181" s="255" t="s">
        <v>483</v>
      </c>
      <c r="N181" s="255">
        <v>210000.0</v>
      </c>
      <c r="P181" s="255" t="s">
        <v>2208</v>
      </c>
      <c r="Q181" s="255">
        <v>0.0</v>
      </c>
      <c r="R181" s="259">
        <v>45679.0</v>
      </c>
      <c r="S181" s="260" t="s">
        <v>2231</v>
      </c>
      <c r="T181" s="259">
        <v>45680.0</v>
      </c>
      <c r="U181" s="255">
        <v>0.0</v>
      </c>
    </row>
    <row r="182">
      <c r="A182" s="257">
        <v>45680.225927754625</v>
      </c>
      <c r="B182" s="258" t="s">
        <v>2729</v>
      </c>
      <c r="C182" s="259">
        <v>45680.0</v>
      </c>
      <c r="E182" s="255" t="s">
        <v>2730</v>
      </c>
      <c r="F182" s="255" t="s">
        <v>2731</v>
      </c>
      <c r="G182" s="255">
        <v>7.9250971323E10</v>
      </c>
      <c r="H182" s="255">
        <v>7000.0</v>
      </c>
      <c r="I182" s="255">
        <v>952.0</v>
      </c>
      <c r="K182" s="255" t="s">
        <v>2269</v>
      </c>
      <c r="L182" s="255" t="s">
        <v>2269</v>
      </c>
      <c r="M182" s="255" t="s">
        <v>1028</v>
      </c>
      <c r="N182" s="255">
        <v>450000.0</v>
      </c>
      <c r="P182" s="255" t="s">
        <v>2208</v>
      </c>
      <c r="Q182" s="255">
        <v>2.0</v>
      </c>
      <c r="R182" s="259">
        <v>45680.0</v>
      </c>
      <c r="S182" s="260" t="s">
        <v>2265</v>
      </c>
      <c r="T182" s="259">
        <v>45689.0</v>
      </c>
      <c r="U182" s="255">
        <v>0.0</v>
      </c>
    </row>
    <row r="183">
      <c r="A183" s="257">
        <v>45680.228116134254</v>
      </c>
      <c r="B183" s="258" t="s">
        <v>2732</v>
      </c>
      <c r="C183" s="259">
        <v>45680.0</v>
      </c>
      <c r="E183" s="255" t="s">
        <v>2733</v>
      </c>
      <c r="F183" s="255" t="s">
        <v>2734</v>
      </c>
      <c r="H183" s="255">
        <v>3000.0</v>
      </c>
      <c r="I183" s="255">
        <v>420.0</v>
      </c>
      <c r="K183" s="255" t="s">
        <v>2733</v>
      </c>
      <c r="L183" s="255" t="s">
        <v>2733</v>
      </c>
      <c r="M183" s="255" t="s">
        <v>98</v>
      </c>
      <c r="N183" s="255">
        <v>70000.0</v>
      </c>
      <c r="P183" s="255" t="s">
        <v>2208</v>
      </c>
      <c r="Q183" s="255">
        <v>3.0</v>
      </c>
      <c r="R183" s="259">
        <v>45680.0</v>
      </c>
      <c r="S183" s="260" t="s">
        <v>2215</v>
      </c>
      <c r="T183" s="259">
        <v>45688.0</v>
      </c>
      <c r="U183" s="255">
        <v>290.0</v>
      </c>
    </row>
    <row r="184">
      <c r="A184" s="257">
        <v>45680.48152858796</v>
      </c>
      <c r="B184" s="258" t="s">
        <v>2735</v>
      </c>
      <c r="C184" s="259">
        <v>45680.0</v>
      </c>
      <c r="D184" s="255" t="s">
        <v>2736</v>
      </c>
      <c r="E184" s="255" t="s">
        <v>2737</v>
      </c>
      <c r="F184" s="255">
        <v>8.915157969E10</v>
      </c>
      <c r="H184" s="255">
        <v>7000.0</v>
      </c>
      <c r="I184" s="255">
        <v>998.0</v>
      </c>
      <c r="K184" s="255" t="s">
        <v>2737</v>
      </c>
      <c r="L184" s="255" t="s">
        <v>2737</v>
      </c>
      <c r="M184" s="255" t="s">
        <v>923</v>
      </c>
      <c r="N184" s="255">
        <v>180000.0</v>
      </c>
      <c r="P184" s="255" t="s">
        <v>2208</v>
      </c>
      <c r="Q184" s="255">
        <v>2.0</v>
      </c>
      <c r="R184" s="259">
        <v>45680.0</v>
      </c>
      <c r="S184" s="260" t="s">
        <v>2221</v>
      </c>
      <c r="T184" s="259">
        <v>45685.0</v>
      </c>
      <c r="U184" s="255">
        <v>390.0</v>
      </c>
    </row>
    <row r="185">
      <c r="A185" s="257">
        <v>45680.4839431713</v>
      </c>
      <c r="B185" s="258" t="s">
        <v>2738</v>
      </c>
      <c r="C185" s="259">
        <v>45680.0</v>
      </c>
      <c r="D185" s="255" t="s">
        <v>2736</v>
      </c>
      <c r="E185" s="255" t="s">
        <v>2739</v>
      </c>
      <c r="F185" s="255">
        <v>8.915157969E10</v>
      </c>
      <c r="H185" s="255">
        <v>7000.0</v>
      </c>
      <c r="I185" s="255">
        <v>998.0</v>
      </c>
      <c r="K185" s="255" t="s">
        <v>2739</v>
      </c>
      <c r="L185" s="255" t="s">
        <v>2739</v>
      </c>
      <c r="M185" s="255" t="s">
        <v>1065</v>
      </c>
      <c r="N185" s="255">
        <v>180000.0</v>
      </c>
      <c r="P185" s="255" t="s">
        <v>2208</v>
      </c>
      <c r="Q185" s="255">
        <v>3.0</v>
      </c>
      <c r="R185" s="259">
        <v>45680.0</v>
      </c>
      <c r="S185" s="260" t="s">
        <v>2221</v>
      </c>
      <c r="T185" s="259">
        <v>45685.0</v>
      </c>
      <c r="U185" s="255">
        <v>390.0</v>
      </c>
    </row>
    <row r="186">
      <c r="A186" s="257">
        <v>45680.56922280093</v>
      </c>
      <c r="B186" s="258" t="s">
        <v>2740</v>
      </c>
      <c r="C186" s="259">
        <v>45680.0</v>
      </c>
      <c r="D186" s="255" t="s">
        <v>2741</v>
      </c>
      <c r="E186" s="255" t="s">
        <v>2742</v>
      </c>
      <c r="F186" s="255">
        <v>7.9803819577E10</v>
      </c>
      <c r="H186" s="255" t="s">
        <v>515</v>
      </c>
      <c r="I186" s="255">
        <v>2068.0</v>
      </c>
      <c r="K186" s="255" t="s">
        <v>2742</v>
      </c>
      <c r="L186" s="255" t="s">
        <v>2742</v>
      </c>
      <c r="M186" s="255" t="s">
        <v>1512</v>
      </c>
      <c r="N186" s="255">
        <v>500000.0</v>
      </c>
      <c r="P186" s="255" t="s">
        <v>2208</v>
      </c>
      <c r="Q186" s="255">
        <v>1.0</v>
      </c>
      <c r="R186" s="259">
        <v>45681.0</v>
      </c>
      <c r="S186" s="260" t="s">
        <v>2330</v>
      </c>
      <c r="T186" s="259">
        <v>45685.0</v>
      </c>
      <c r="U186" s="255">
        <v>490.0</v>
      </c>
    </row>
    <row r="187">
      <c r="A187" s="257">
        <v>45681.24533006945</v>
      </c>
      <c r="B187" s="258" t="s">
        <v>2743</v>
      </c>
      <c r="C187" s="259">
        <v>45681.0</v>
      </c>
      <c r="D187" s="255" t="s">
        <v>2744</v>
      </c>
      <c r="E187" s="255" t="s">
        <v>2745</v>
      </c>
      <c r="F187" s="255" t="s">
        <v>2746</v>
      </c>
      <c r="G187" s="255" t="s">
        <v>2747</v>
      </c>
      <c r="H187" s="255" t="s">
        <v>912</v>
      </c>
      <c r="J187" s="255">
        <v>7900.0</v>
      </c>
      <c r="K187" s="255" t="s">
        <v>2745</v>
      </c>
      <c r="L187" s="255" t="s">
        <v>2745</v>
      </c>
      <c r="M187" s="255" t="s">
        <v>68</v>
      </c>
      <c r="N187" s="255">
        <v>70000.0</v>
      </c>
      <c r="P187" s="255" t="s">
        <v>2208</v>
      </c>
      <c r="Q187" s="255">
        <v>2.0</v>
      </c>
      <c r="R187" s="259">
        <v>45687.0</v>
      </c>
      <c r="S187" s="260" t="s">
        <v>2324</v>
      </c>
      <c r="T187" s="259">
        <v>45744.0</v>
      </c>
      <c r="U187" s="255">
        <v>490.0</v>
      </c>
    </row>
    <row r="188">
      <c r="A188" s="257">
        <v>45681.682280486115</v>
      </c>
      <c r="B188" s="258" t="s">
        <v>2748</v>
      </c>
      <c r="C188" s="259">
        <v>45681.0</v>
      </c>
      <c r="D188" s="255" t="s">
        <v>2749</v>
      </c>
      <c r="E188" s="255" t="s">
        <v>2750</v>
      </c>
      <c r="F188" s="255" t="s">
        <v>2751</v>
      </c>
      <c r="H188" s="255">
        <v>7000.0</v>
      </c>
      <c r="I188" s="255">
        <v>933.0</v>
      </c>
      <c r="K188" s="255" t="s">
        <v>2750</v>
      </c>
      <c r="L188" s="255" t="s">
        <v>2750</v>
      </c>
      <c r="M188" s="255" t="s">
        <v>941</v>
      </c>
      <c r="N188" s="255">
        <v>450000.0</v>
      </c>
      <c r="P188" s="255" t="s">
        <v>2208</v>
      </c>
      <c r="Q188" s="255">
        <v>2.0</v>
      </c>
      <c r="R188" s="259">
        <v>45681.0</v>
      </c>
      <c r="T188" s="259">
        <v>45695.0</v>
      </c>
      <c r="U188" s="255">
        <v>290.0</v>
      </c>
    </row>
    <row r="189">
      <c r="A189" s="257">
        <v>45682.23527201389</v>
      </c>
      <c r="B189" s="258" t="s">
        <v>2752</v>
      </c>
      <c r="C189" s="259">
        <v>45682.0</v>
      </c>
      <c r="D189" s="255" t="s">
        <v>2753</v>
      </c>
      <c r="E189" s="255" t="s">
        <v>2754</v>
      </c>
      <c r="H189" s="255">
        <v>5000.0</v>
      </c>
      <c r="I189" s="255">
        <v>759.0</v>
      </c>
      <c r="K189" s="255" t="s">
        <v>2754</v>
      </c>
      <c r="L189" s="255" t="s">
        <v>2754</v>
      </c>
      <c r="M189" s="255" t="s">
        <v>202</v>
      </c>
      <c r="N189" s="255">
        <v>120000.0</v>
      </c>
      <c r="P189" s="255" t="s">
        <v>2208</v>
      </c>
      <c r="Q189" s="255">
        <v>3.0</v>
      </c>
      <c r="R189" s="259">
        <v>45682.0</v>
      </c>
      <c r="S189" s="260" t="s">
        <v>2330</v>
      </c>
      <c r="T189" s="259">
        <v>45807.0</v>
      </c>
      <c r="U189" s="255">
        <v>390.0</v>
      </c>
    </row>
    <row r="190">
      <c r="A190" s="257">
        <v>45682.23889512732</v>
      </c>
      <c r="B190" s="258" t="s">
        <v>2755</v>
      </c>
      <c r="C190" s="259">
        <v>45682.0</v>
      </c>
      <c r="D190" s="255" t="s">
        <v>2756</v>
      </c>
      <c r="E190" s="255" t="s">
        <v>2757</v>
      </c>
      <c r="F190" s="255" t="s">
        <v>2758</v>
      </c>
      <c r="H190" s="255">
        <v>5000.0</v>
      </c>
      <c r="I190" s="255">
        <v>826.0</v>
      </c>
      <c r="K190" s="255" t="s">
        <v>2757</v>
      </c>
      <c r="L190" s="255" t="s">
        <v>2757</v>
      </c>
      <c r="M190" s="255" t="s">
        <v>155</v>
      </c>
      <c r="N190" s="255">
        <v>410000.0</v>
      </c>
      <c r="P190" s="255" t="s">
        <v>2208</v>
      </c>
      <c r="Q190" s="255">
        <v>1.0</v>
      </c>
      <c r="R190" s="259">
        <v>45682.0</v>
      </c>
      <c r="S190" s="260" t="s">
        <v>2324</v>
      </c>
      <c r="T190" s="259">
        <v>45689.0</v>
      </c>
      <c r="U190" s="255">
        <v>290.0</v>
      </c>
    </row>
    <row r="191">
      <c r="A191" s="257">
        <v>45683.23268835648</v>
      </c>
      <c r="B191" s="258" t="s">
        <v>2759</v>
      </c>
      <c r="C191" s="259">
        <v>45683.0</v>
      </c>
      <c r="D191" s="255" t="s">
        <v>2760</v>
      </c>
      <c r="E191" s="255" t="s">
        <v>2761</v>
      </c>
      <c r="F191" s="255" t="s">
        <v>2762</v>
      </c>
      <c r="H191" s="255">
        <v>3000.0</v>
      </c>
      <c r="I191" s="255">
        <v>427.0</v>
      </c>
      <c r="K191" s="255" t="s">
        <v>2761</v>
      </c>
      <c r="L191" s="255" t="s">
        <v>2761</v>
      </c>
      <c r="M191" s="255" t="s">
        <v>56</v>
      </c>
      <c r="N191" s="255">
        <v>70000.0</v>
      </c>
      <c r="P191" s="255" t="s">
        <v>2208</v>
      </c>
      <c r="Q191" s="255">
        <v>2.0</v>
      </c>
      <c r="R191" s="259">
        <v>45683.0</v>
      </c>
      <c r="S191" s="260" t="s">
        <v>2221</v>
      </c>
      <c r="T191" s="259">
        <v>45696.0</v>
      </c>
      <c r="U191" s="255">
        <v>290.0</v>
      </c>
    </row>
    <row r="192">
      <c r="A192" s="257">
        <v>45683.24056178241</v>
      </c>
      <c r="B192" s="258" t="s">
        <v>2763</v>
      </c>
      <c r="C192" s="259">
        <v>45683.0</v>
      </c>
      <c r="E192" s="255" t="s">
        <v>2764</v>
      </c>
      <c r="F192" s="255">
        <v>7.9198875988E10</v>
      </c>
      <c r="H192" s="255">
        <v>3000.0</v>
      </c>
      <c r="I192" s="255">
        <v>348.0</v>
      </c>
      <c r="K192" s="255" t="s">
        <v>2269</v>
      </c>
      <c r="L192" s="255" t="s">
        <v>2269</v>
      </c>
      <c r="M192" s="255" t="s">
        <v>26</v>
      </c>
      <c r="N192" s="255">
        <v>65000.0</v>
      </c>
      <c r="P192" s="255" t="s">
        <v>2208</v>
      </c>
      <c r="Q192" s="255">
        <v>2.0</v>
      </c>
      <c r="R192" s="259">
        <v>45683.0</v>
      </c>
      <c r="S192" s="260" t="s">
        <v>2324</v>
      </c>
      <c r="T192" s="259">
        <v>45693.0</v>
      </c>
      <c r="U192" s="255">
        <v>0.0</v>
      </c>
    </row>
    <row r="193">
      <c r="A193" s="257">
        <v>45683.646093738425</v>
      </c>
      <c r="B193" s="258" t="s">
        <v>2765</v>
      </c>
      <c r="C193" s="259">
        <v>45683.0</v>
      </c>
      <c r="D193" s="255" t="s">
        <v>2766</v>
      </c>
      <c r="E193" s="255" t="s">
        <v>2767</v>
      </c>
      <c r="F193" s="255" t="s">
        <v>2768</v>
      </c>
      <c r="H193" s="255">
        <v>8000.0</v>
      </c>
      <c r="J193" s="255">
        <v>7900.0</v>
      </c>
      <c r="K193" s="255" t="s">
        <v>2207</v>
      </c>
      <c r="L193" s="255" t="s">
        <v>2207</v>
      </c>
      <c r="M193" s="255" t="s">
        <v>173</v>
      </c>
      <c r="N193" s="255">
        <v>70000.0</v>
      </c>
      <c r="P193" s="255" t="s">
        <v>2320</v>
      </c>
      <c r="Q193" s="255">
        <v>0.0</v>
      </c>
      <c r="R193" s="259">
        <v>45683.0</v>
      </c>
      <c r="S193" s="260" t="s">
        <v>2215</v>
      </c>
      <c r="T193" s="259">
        <v>45714.0</v>
      </c>
      <c r="U193" s="255">
        <v>0.0</v>
      </c>
    </row>
    <row r="194">
      <c r="A194" s="257">
        <v>45683.700061469906</v>
      </c>
      <c r="B194" s="258" t="s">
        <v>2769</v>
      </c>
      <c r="C194" s="259">
        <v>45683.0</v>
      </c>
      <c r="D194" s="255" t="s">
        <v>2770</v>
      </c>
      <c r="E194" s="255" t="s">
        <v>2771</v>
      </c>
      <c r="H194" s="255" t="s">
        <v>600</v>
      </c>
      <c r="J194" s="255">
        <v>53000.0</v>
      </c>
      <c r="K194" s="255" t="s">
        <v>2771</v>
      </c>
      <c r="L194" s="255" t="s">
        <v>2771</v>
      </c>
      <c r="M194" s="255" t="s">
        <v>967</v>
      </c>
      <c r="N194" s="255">
        <v>500000.0</v>
      </c>
      <c r="O194" s="255">
        <v>12000.0</v>
      </c>
      <c r="P194" s="255" t="s">
        <v>2208</v>
      </c>
      <c r="Q194" s="255">
        <v>2.0</v>
      </c>
      <c r="R194" s="259">
        <v>45683.0</v>
      </c>
      <c r="S194" s="260" t="s">
        <v>2246</v>
      </c>
      <c r="T194" s="259">
        <v>45714.0</v>
      </c>
      <c r="U194" s="255">
        <v>290.0</v>
      </c>
    </row>
    <row r="195">
      <c r="A195" s="257">
        <v>45685.20713972222</v>
      </c>
      <c r="B195" s="258" t="s">
        <v>2772</v>
      </c>
      <c r="C195" s="259">
        <v>45685.0</v>
      </c>
      <c r="D195" s="255" t="s">
        <v>2773</v>
      </c>
      <c r="E195" s="255" t="s">
        <v>2774</v>
      </c>
      <c r="F195" s="255" t="s">
        <v>2775</v>
      </c>
      <c r="H195" s="255">
        <v>3000.0</v>
      </c>
      <c r="I195" s="255">
        <v>346.0</v>
      </c>
      <c r="K195" s="255" t="s">
        <v>2774</v>
      </c>
      <c r="L195" s="255" t="s">
        <v>2774</v>
      </c>
      <c r="M195" s="255" t="s">
        <v>185</v>
      </c>
      <c r="N195" s="255">
        <v>75000.0</v>
      </c>
      <c r="P195" s="255" t="s">
        <v>2208</v>
      </c>
      <c r="Q195" s="255">
        <v>1.0</v>
      </c>
      <c r="R195" s="259">
        <v>45701.0</v>
      </c>
      <c r="S195" s="260" t="s">
        <v>2324</v>
      </c>
      <c r="T195" s="259">
        <v>45727.0</v>
      </c>
      <c r="U195" s="255">
        <v>490.0</v>
      </c>
    </row>
    <row r="196">
      <c r="A196" s="257">
        <v>45685.530709502316</v>
      </c>
      <c r="B196" s="258" t="s">
        <v>2776</v>
      </c>
      <c r="C196" s="259">
        <v>45685.0</v>
      </c>
      <c r="E196" s="255" t="s">
        <v>2771</v>
      </c>
      <c r="F196" s="255" t="s">
        <v>2777</v>
      </c>
      <c r="H196" s="255">
        <v>7000.0</v>
      </c>
      <c r="J196" s="255">
        <v>19800.0</v>
      </c>
      <c r="K196" s="255" t="s">
        <v>2269</v>
      </c>
      <c r="L196" s="255" t="s">
        <v>2269</v>
      </c>
      <c r="M196" s="255" t="s">
        <v>1065</v>
      </c>
      <c r="N196" s="255">
        <v>180000.0</v>
      </c>
      <c r="O196" s="255">
        <v>9709.0</v>
      </c>
      <c r="P196" s="255" t="s">
        <v>2208</v>
      </c>
      <c r="Q196" s="255">
        <v>2.0</v>
      </c>
      <c r="R196" s="259">
        <v>45685.0</v>
      </c>
      <c r="S196" s="260" t="s">
        <v>2330</v>
      </c>
      <c r="T196" s="259">
        <v>45715.0</v>
      </c>
      <c r="U196" s="255">
        <v>0.0</v>
      </c>
    </row>
    <row r="197">
      <c r="A197" s="257">
        <v>45685.53252429398</v>
      </c>
      <c r="B197" s="258" t="s">
        <v>2778</v>
      </c>
      <c r="C197" s="259">
        <v>45685.0</v>
      </c>
      <c r="E197" s="255" t="s">
        <v>2771</v>
      </c>
      <c r="F197" s="255" t="s">
        <v>2777</v>
      </c>
      <c r="H197" s="255">
        <v>7000.0</v>
      </c>
      <c r="J197" s="255">
        <v>19800.0</v>
      </c>
      <c r="K197" s="255" t="s">
        <v>2269</v>
      </c>
      <c r="L197" s="255" t="s">
        <v>2269</v>
      </c>
      <c r="M197" s="255" t="s">
        <v>941</v>
      </c>
      <c r="N197" s="255">
        <v>180000.0</v>
      </c>
      <c r="O197" s="255">
        <v>7500.0</v>
      </c>
      <c r="P197" s="255" t="s">
        <v>2208</v>
      </c>
      <c r="Q197" s="255">
        <v>2.0</v>
      </c>
      <c r="R197" s="259">
        <v>45685.0</v>
      </c>
      <c r="S197" s="260" t="s">
        <v>2330</v>
      </c>
      <c r="T197" s="259">
        <v>45715.0</v>
      </c>
      <c r="U197" s="255">
        <v>0.0</v>
      </c>
    </row>
    <row r="198">
      <c r="A198" s="257">
        <v>45685.54536942129</v>
      </c>
      <c r="B198" s="258" t="s">
        <v>2779</v>
      </c>
      <c r="C198" s="259">
        <v>45685.0</v>
      </c>
      <c r="E198" s="255" t="s">
        <v>2771</v>
      </c>
      <c r="F198" s="255">
        <v>6.6648159447E10</v>
      </c>
      <c r="H198" s="255" t="s">
        <v>600</v>
      </c>
      <c r="J198" s="255">
        <v>53000.0</v>
      </c>
      <c r="K198" s="255" t="s">
        <v>2771</v>
      </c>
      <c r="L198" s="255" t="s">
        <v>2771</v>
      </c>
      <c r="M198" s="255" t="s">
        <v>967</v>
      </c>
      <c r="N198" s="255">
        <v>500000.0</v>
      </c>
      <c r="O198" s="255">
        <v>12000.0</v>
      </c>
      <c r="P198" s="255" t="s">
        <v>2208</v>
      </c>
      <c r="Q198" s="255">
        <v>2.0</v>
      </c>
      <c r="R198" s="259">
        <v>45683.0</v>
      </c>
      <c r="S198" s="260" t="s">
        <v>2246</v>
      </c>
      <c r="T198" s="259">
        <v>45714.0</v>
      </c>
      <c r="U198" s="255">
        <v>290.0</v>
      </c>
    </row>
    <row r="199">
      <c r="A199" s="257">
        <v>45686.489434386574</v>
      </c>
      <c r="B199" s="258" t="s">
        <v>2780</v>
      </c>
      <c r="C199" s="259">
        <v>45686.0</v>
      </c>
      <c r="D199" s="255" t="s">
        <v>2781</v>
      </c>
      <c r="E199" s="255" t="s">
        <v>2782</v>
      </c>
      <c r="H199" s="255">
        <v>7000.0</v>
      </c>
      <c r="I199" s="255">
        <v>1033.0</v>
      </c>
      <c r="K199" s="255" t="s">
        <v>2782</v>
      </c>
      <c r="L199" s="255" t="s">
        <v>2782</v>
      </c>
      <c r="M199" s="255" t="s">
        <v>928</v>
      </c>
      <c r="N199" s="255">
        <v>180000.0</v>
      </c>
      <c r="O199" s="255">
        <v>4871.0</v>
      </c>
      <c r="P199" s="255" t="s">
        <v>2320</v>
      </c>
      <c r="Q199" s="255">
        <v>2.0</v>
      </c>
      <c r="R199" s="259">
        <v>45686.0</v>
      </c>
      <c r="S199" s="260" t="s">
        <v>2330</v>
      </c>
      <c r="T199" s="259">
        <v>45691.0</v>
      </c>
      <c r="U199" s="255">
        <v>190.0</v>
      </c>
    </row>
    <row r="200">
      <c r="A200" s="257">
        <v>45686.503566134255</v>
      </c>
      <c r="B200" s="258" t="s">
        <v>2783</v>
      </c>
    </row>
    <row r="201">
      <c r="A201" s="257">
        <v>45686.507937546296</v>
      </c>
      <c r="B201" s="258" t="s">
        <v>2784</v>
      </c>
      <c r="C201" s="259">
        <v>45686.0</v>
      </c>
      <c r="D201" s="255" t="s">
        <v>2781</v>
      </c>
      <c r="E201" s="255" t="s">
        <v>2782</v>
      </c>
      <c r="H201" s="255">
        <v>7000.0</v>
      </c>
      <c r="I201" s="255">
        <v>1033.0</v>
      </c>
      <c r="K201" s="255" t="s">
        <v>2782</v>
      </c>
      <c r="L201" s="255" t="s">
        <v>2782</v>
      </c>
      <c r="M201" s="255" t="s">
        <v>928</v>
      </c>
      <c r="N201" s="255">
        <v>180000.0</v>
      </c>
      <c r="O201" s="255">
        <v>4700.0</v>
      </c>
      <c r="P201" s="255" t="s">
        <v>2320</v>
      </c>
      <c r="Q201" s="255">
        <v>2.0</v>
      </c>
      <c r="R201" s="259">
        <v>45686.0</v>
      </c>
      <c r="S201" s="260" t="s">
        <v>2330</v>
      </c>
      <c r="T201" s="259">
        <v>45691.0</v>
      </c>
      <c r="U201" s="255">
        <v>190.0</v>
      </c>
    </row>
    <row r="202">
      <c r="A202" s="257">
        <v>45686.73904104167</v>
      </c>
      <c r="B202" s="258" t="s">
        <v>2785</v>
      </c>
      <c r="C202" s="259">
        <v>45686.0</v>
      </c>
      <c r="E202" s="255" t="s">
        <v>2786</v>
      </c>
      <c r="H202" s="255" t="s">
        <v>600</v>
      </c>
      <c r="J202" s="255">
        <v>53000.0</v>
      </c>
      <c r="K202" s="255" t="s">
        <v>2269</v>
      </c>
      <c r="L202" s="255" t="s">
        <v>2269</v>
      </c>
      <c r="M202" s="255" t="s">
        <v>914</v>
      </c>
      <c r="N202" s="255">
        <v>500000.0</v>
      </c>
      <c r="O202" s="255">
        <v>9000.0</v>
      </c>
      <c r="P202" s="255" t="s">
        <v>2208</v>
      </c>
      <c r="Q202" s="255">
        <v>2.0</v>
      </c>
      <c r="R202" s="259">
        <v>45686.0</v>
      </c>
      <c r="S202" s="260" t="s">
        <v>2246</v>
      </c>
      <c r="T202" s="259">
        <v>45682.0</v>
      </c>
      <c r="U202" s="255">
        <v>0.0</v>
      </c>
    </row>
    <row r="203">
      <c r="A203" s="257">
        <v>45687.42511011574</v>
      </c>
      <c r="B203" s="258" t="s">
        <v>2787</v>
      </c>
      <c r="C203" s="259">
        <v>45687.0</v>
      </c>
      <c r="D203" s="255" t="s">
        <v>2788</v>
      </c>
      <c r="E203" s="255" t="s">
        <v>2789</v>
      </c>
      <c r="H203" s="255">
        <v>5000.0</v>
      </c>
      <c r="I203" s="255">
        <v>739.0</v>
      </c>
      <c r="K203" s="255" t="s">
        <v>2789</v>
      </c>
      <c r="L203" s="255" t="s">
        <v>2789</v>
      </c>
      <c r="M203" s="255" t="s">
        <v>64</v>
      </c>
      <c r="N203" s="255">
        <v>140000.0</v>
      </c>
      <c r="O203" s="255">
        <v>27000.0</v>
      </c>
      <c r="P203" s="255" t="s">
        <v>2208</v>
      </c>
      <c r="Q203" s="255">
        <v>2.0</v>
      </c>
      <c r="R203" s="259">
        <v>45687.0</v>
      </c>
      <c r="S203" s="260" t="s">
        <v>2221</v>
      </c>
      <c r="T203" s="259">
        <v>45695.0</v>
      </c>
      <c r="U203" s="255">
        <v>290.0</v>
      </c>
    </row>
    <row r="204">
      <c r="A204" s="257">
        <v>45687.61958506945</v>
      </c>
      <c r="B204" s="258" t="s">
        <v>2790</v>
      </c>
      <c r="C204" s="259">
        <v>45687.0</v>
      </c>
      <c r="F204" s="255">
        <v>7.9111902845E10</v>
      </c>
      <c r="H204" s="255">
        <v>8000.0</v>
      </c>
      <c r="J204" s="255">
        <v>7900.0</v>
      </c>
      <c r="K204" s="255" t="s">
        <v>2207</v>
      </c>
      <c r="L204" s="255" t="s">
        <v>2207</v>
      </c>
      <c r="M204" s="255" t="s">
        <v>286</v>
      </c>
      <c r="N204" s="255">
        <v>75000.0</v>
      </c>
      <c r="O204" s="255">
        <v>16200.0</v>
      </c>
      <c r="P204" s="255" t="s">
        <v>2208</v>
      </c>
      <c r="Q204" s="255">
        <v>1.0</v>
      </c>
      <c r="R204" s="259">
        <v>45687.0</v>
      </c>
      <c r="S204" s="260" t="s">
        <v>2231</v>
      </c>
      <c r="T204" s="259">
        <v>45718.0</v>
      </c>
      <c r="U204" s="255">
        <v>0.0</v>
      </c>
    </row>
    <row r="205">
      <c r="A205" s="257">
        <v>45687.63297322916</v>
      </c>
      <c r="B205" s="258" t="s">
        <v>2791</v>
      </c>
      <c r="C205" s="259">
        <v>45687.0</v>
      </c>
      <c r="D205" s="255" t="s">
        <v>2792</v>
      </c>
      <c r="E205" s="255" t="s">
        <v>2533</v>
      </c>
      <c r="F205" s="255" t="s">
        <v>2793</v>
      </c>
      <c r="H205" s="255">
        <v>3000.0</v>
      </c>
      <c r="I205" s="255">
        <v>469.0</v>
      </c>
      <c r="K205" s="255" t="s">
        <v>2533</v>
      </c>
      <c r="L205" s="255" t="s">
        <v>2533</v>
      </c>
      <c r="M205" s="255" t="s">
        <v>77</v>
      </c>
      <c r="N205" s="255">
        <v>70000.0</v>
      </c>
      <c r="P205" s="255" t="s">
        <v>2208</v>
      </c>
      <c r="Q205" s="255">
        <v>2.0</v>
      </c>
      <c r="R205" s="259">
        <v>45687.0</v>
      </c>
      <c r="S205" s="260" t="s">
        <v>2231</v>
      </c>
      <c r="T205" s="259">
        <v>45692.0</v>
      </c>
      <c r="U205" s="255">
        <v>290.0</v>
      </c>
    </row>
    <row r="206">
      <c r="A206" s="257">
        <v>45688.254687152774</v>
      </c>
      <c r="B206" s="258" t="s">
        <v>2794</v>
      </c>
      <c r="C206" s="259">
        <v>45688.0</v>
      </c>
      <c r="E206" s="255" t="s">
        <v>2795</v>
      </c>
      <c r="F206" s="255">
        <v>7.7769222211E10</v>
      </c>
      <c r="H206" s="255">
        <v>5000.0</v>
      </c>
      <c r="I206" s="255">
        <v>717.0</v>
      </c>
      <c r="K206" s="255" t="s">
        <v>2795</v>
      </c>
      <c r="L206" s="255" t="s">
        <v>2795</v>
      </c>
      <c r="M206" s="255" t="s">
        <v>92</v>
      </c>
      <c r="N206" s="255">
        <v>410000.0</v>
      </c>
      <c r="P206" s="255" t="s">
        <v>2208</v>
      </c>
      <c r="Q206" s="255">
        <v>2.0</v>
      </c>
      <c r="R206" s="259">
        <v>45688.0</v>
      </c>
      <c r="S206" s="260" t="s">
        <v>2265</v>
      </c>
      <c r="T206" s="259">
        <v>45698.0</v>
      </c>
      <c r="U206" s="255">
        <v>290.0</v>
      </c>
    </row>
    <row r="207">
      <c r="A207" s="257">
        <v>45688.257635682865</v>
      </c>
      <c r="B207" s="258" t="s">
        <v>2796</v>
      </c>
      <c r="C207" s="259">
        <v>45688.0</v>
      </c>
      <c r="E207" s="255" t="s">
        <v>2797</v>
      </c>
      <c r="F207" s="255" t="s">
        <v>2798</v>
      </c>
      <c r="H207" s="255">
        <v>5000.0</v>
      </c>
      <c r="I207" s="255">
        <v>751.0</v>
      </c>
      <c r="K207" s="255" t="s">
        <v>2797</v>
      </c>
      <c r="L207" s="255" t="s">
        <v>2797</v>
      </c>
      <c r="M207" s="255" t="s">
        <v>113</v>
      </c>
      <c r="N207" s="255">
        <v>410000.0</v>
      </c>
      <c r="P207" s="255" t="s">
        <v>2208</v>
      </c>
      <c r="Q207" s="255">
        <v>2.0</v>
      </c>
      <c r="R207" s="259">
        <v>45688.0</v>
      </c>
      <c r="S207" s="260" t="s">
        <v>2246</v>
      </c>
      <c r="T207" s="259">
        <v>45701.0</v>
      </c>
      <c r="U207" s="255">
        <v>490.0</v>
      </c>
    </row>
    <row r="208">
      <c r="A208" s="257">
        <v>45690.31521134259</v>
      </c>
      <c r="B208" s="258" t="s">
        <v>2799</v>
      </c>
      <c r="C208" s="259">
        <v>45690.0</v>
      </c>
      <c r="E208" s="255" t="s">
        <v>2800</v>
      </c>
      <c r="F208" s="255" t="s">
        <v>2801</v>
      </c>
      <c r="H208" s="255">
        <v>3000.0</v>
      </c>
      <c r="I208" s="255">
        <v>420.0</v>
      </c>
      <c r="K208" s="255" t="s">
        <v>2800</v>
      </c>
      <c r="L208" s="255" t="s">
        <v>2800</v>
      </c>
      <c r="M208" s="255" t="s">
        <v>151</v>
      </c>
      <c r="N208" s="255">
        <v>70000.0</v>
      </c>
      <c r="P208" s="255" t="s">
        <v>2208</v>
      </c>
      <c r="Q208" s="255">
        <v>1.0</v>
      </c>
      <c r="R208" s="259">
        <v>45690.0</v>
      </c>
      <c r="S208" s="260" t="s">
        <v>2324</v>
      </c>
      <c r="T208" s="259">
        <v>45703.0</v>
      </c>
      <c r="U208" s="255">
        <v>390.0</v>
      </c>
    </row>
    <row r="209">
      <c r="A209" s="257">
        <v>45691.57590979167</v>
      </c>
      <c r="B209" s="258" t="s">
        <v>2802</v>
      </c>
      <c r="C209" s="259">
        <v>45691.0</v>
      </c>
      <c r="E209" s="255" t="s">
        <v>2803</v>
      </c>
      <c r="F209" s="255" t="s">
        <v>2804</v>
      </c>
      <c r="G209" s="260" t="s">
        <v>2805</v>
      </c>
      <c r="H209" s="255">
        <v>3000.0</v>
      </c>
      <c r="I209" s="255">
        <v>469.0</v>
      </c>
      <c r="K209" s="255" t="s">
        <v>2806</v>
      </c>
      <c r="L209" s="255" t="s">
        <v>2806</v>
      </c>
      <c r="M209" s="255" t="s">
        <v>106</v>
      </c>
      <c r="N209" s="255">
        <v>70000.0</v>
      </c>
      <c r="P209" s="255" t="s">
        <v>2208</v>
      </c>
      <c r="Q209" s="255">
        <v>2.0</v>
      </c>
      <c r="R209" s="259">
        <v>45691.0</v>
      </c>
      <c r="S209" s="260" t="s">
        <v>2231</v>
      </c>
      <c r="T209" s="259">
        <v>45726.0</v>
      </c>
      <c r="U209" s="255">
        <v>290.0</v>
      </c>
    </row>
    <row r="210">
      <c r="A210" s="257">
        <v>45691.577551712966</v>
      </c>
      <c r="B210" s="258" t="s">
        <v>2807</v>
      </c>
      <c r="C210" s="259">
        <v>45691.0</v>
      </c>
      <c r="E210" s="255" t="s">
        <v>2806</v>
      </c>
      <c r="F210" s="255" t="s">
        <v>2804</v>
      </c>
      <c r="G210" s="260" t="s">
        <v>2805</v>
      </c>
      <c r="H210" s="255">
        <v>3000.0</v>
      </c>
      <c r="I210" s="255">
        <v>469.0</v>
      </c>
      <c r="K210" s="255" t="s">
        <v>2806</v>
      </c>
      <c r="L210" s="255" t="s">
        <v>2806</v>
      </c>
      <c r="M210" s="255" t="s">
        <v>185</v>
      </c>
      <c r="N210" s="255">
        <v>75000.0</v>
      </c>
      <c r="P210" s="255" t="s">
        <v>2208</v>
      </c>
      <c r="Q210" s="255">
        <v>2.0</v>
      </c>
      <c r="R210" s="259">
        <v>45691.0</v>
      </c>
      <c r="S210" s="260" t="s">
        <v>2231</v>
      </c>
      <c r="T210" s="259">
        <v>45698.0</v>
      </c>
      <c r="U210" s="255">
        <v>290.0</v>
      </c>
    </row>
    <row r="211">
      <c r="A211" s="257">
        <v>45692.47156958333</v>
      </c>
      <c r="B211" s="258" t="s">
        <v>2808</v>
      </c>
      <c r="C211" s="259">
        <v>45692.0</v>
      </c>
      <c r="D211" s="255" t="s">
        <v>2809</v>
      </c>
      <c r="E211" s="255" t="s">
        <v>2810</v>
      </c>
      <c r="F211" s="255" t="s">
        <v>2811</v>
      </c>
      <c r="H211" s="255">
        <v>7000.0</v>
      </c>
      <c r="I211" s="255">
        <v>762.0</v>
      </c>
      <c r="K211" s="255" t="s">
        <v>2810</v>
      </c>
      <c r="L211" s="255" t="s">
        <v>2810</v>
      </c>
      <c r="M211" s="255" t="s">
        <v>1028</v>
      </c>
      <c r="N211" s="255">
        <v>190000.0</v>
      </c>
      <c r="O211" s="255">
        <v>15273.0</v>
      </c>
      <c r="P211" s="255" t="s">
        <v>2208</v>
      </c>
      <c r="Q211" s="255">
        <v>3.0</v>
      </c>
      <c r="R211" s="259">
        <v>45692.0</v>
      </c>
      <c r="S211" s="260" t="s">
        <v>2330</v>
      </c>
      <c r="T211" s="259">
        <v>45715.0</v>
      </c>
      <c r="U211" s="255">
        <v>390.0</v>
      </c>
    </row>
    <row r="212">
      <c r="A212" s="257">
        <v>45692.47555337963</v>
      </c>
      <c r="B212" s="258" t="s">
        <v>2812</v>
      </c>
      <c r="C212" s="259">
        <v>45692.0</v>
      </c>
      <c r="D212" s="255" t="s">
        <v>2809</v>
      </c>
      <c r="E212" s="255" t="s">
        <v>2810</v>
      </c>
      <c r="F212" s="255" t="s">
        <v>2811</v>
      </c>
      <c r="H212" s="255">
        <v>5000.0</v>
      </c>
      <c r="I212" s="255">
        <v>598.0</v>
      </c>
      <c r="K212" s="255" t="s">
        <v>2810</v>
      </c>
      <c r="L212" s="255" t="s">
        <v>2810</v>
      </c>
      <c r="M212" s="255" t="s">
        <v>202</v>
      </c>
      <c r="N212" s="255">
        <v>150000.0</v>
      </c>
      <c r="O212" s="255">
        <v>23751.0</v>
      </c>
      <c r="P212" s="255" t="s">
        <v>2208</v>
      </c>
      <c r="Q212" s="255">
        <v>3.0</v>
      </c>
      <c r="R212" s="259">
        <v>45692.0</v>
      </c>
      <c r="S212" s="260" t="s">
        <v>2330</v>
      </c>
      <c r="T212" s="259">
        <v>45711.0</v>
      </c>
      <c r="U212" s="255">
        <v>390.0</v>
      </c>
    </row>
    <row r="213">
      <c r="A213" s="257">
        <v>45693.23549357639</v>
      </c>
      <c r="B213" s="258" t="s">
        <v>2813</v>
      </c>
      <c r="C213" s="259">
        <v>45693.0</v>
      </c>
      <c r="E213" s="255" t="s">
        <v>2814</v>
      </c>
      <c r="F213" s="255">
        <v>7.9186120082E10</v>
      </c>
      <c r="G213" s="255">
        <v>8.9183081528E10</v>
      </c>
      <c r="H213" s="255">
        <v>7000.0</v>
      </c>
      <c r="I213" s="255">
        <v>801.0</v>
      </c>
      <c r="K213" s="255" t="s">
        <v>2269</v>
      </c>
      <c r="L213" s="255" t="s">
        <v>2269</v>
      </c>
      <c r="M213" s="255" t="s">
        <v>928</v>
      </c>
      <c r="N213" s="255">
        <v>450000.0</v>
      </c>
      <c r="P213" s="255" t="s">
        <v>2208</v>
      </c>
      <c r="Q213" s="255">
        <v>2.0</v>
      </c>
      <c r="R213" s="259">
        <v>45693.0</v>
      </c>
      <c r="S213" s="260" t="s">
        <v>2330</v>
      </c>
      <c r="T213" s="259">
        <v>45713.0</v>
      </c>
      <c r="U213" s="255">
        <v>0.0</v>
      </c>
    </row>
    <row r="214">
      <c r="A214" s="257">
        <v>45693.675367696764</v>
      </c>
      <c r="B214" s="258" t="s">
        <v>2815</v>
      </c>
      <c r="C214" s="259">
        <v>45693.0</v>
      </c>
      <c r="D214" s="255" t="s">
        <v>2816</v>
      </c>
      <c r="E214" s="255" t="s">
        <v>2817</v>
      </c>
      <c r="F214" s="255">
        <v>8.9154952983E10</v>
      </c>
      <c r="G214" s="255">
        <v>8.9998754251E10</v>
      </c>
      <c r="H214" s="255">
        <v>3000.0</v>
      </c>
      <c r="I214" s="255">
        <v>469.0</v>
      </c>
      <c r="K214" s="255" t="s">
        <v>2817</v>
      </c>
      <c r="L214" s="255" t="s">
        <v>2817</v>
      </c>
      <c r="M214" s="255" t="s">
        <v>2220</v>
      </c>
      <c r="N214" s="255">
        <v>70000.0</v>
      </c>
      <c r="P214" s="255" t="s">
        <v>2208</v>
      </c>
      <c r="Q214" s="255">
        <v>2.0</v>
      </c>
      <c r="R214" s="259">
        <v>45693.0</v>
      </c>
      <c r="S214" s="260" t="s">
        <v>2215</v>
      </c>
      <c r="T214" s="259">
        <v>45700.0</v>
      </c>
      <c r="U214" s="255">
        <v>290.0</v>
      </c>
    </row>
    <row r="215">
      <c r="A215" s="257">
        <v>45693.67769166667</v>
      </c>
      <c r="B215" s="258" t="s">
        <v>2818</v>
      </c>
      <c r="C215" s="259">
        <v>45693.0</v>
      </c>
      <c r="D215" s="255" t="s">
        <v>2816</v>
      </c>
      <c r="E215" s="255" t="s">
        <v>2817</v>
      </c>
      <c r="F215" s="255">
        <v>8.9154952983E10</v>
      </c>
      <c r="G215" s="255">
        <v>8.9998754251E10</v>
      </c>
      <c r="H215" s="255">
        <v>3000.0</v>
      </c>
      <c r="I215" s="255">
        <v>469.0</v>
      </c>
      <c r="K215" s="255" t="s">
        <v>2817</v>
      </c>
      <c r="L215" s="255" t="s">
        <v>2817</v>
      </c>
      <c r="M215" s="255" t="s">
        <v>2220</v>
      </c>
      <c r="N215" s="255">
        <v>80000.0</v>
      </c>
      <c r="P215" s="255" t="s">
        <v>2208</v>
      </c>
      <c r="Q215" s="255">
        <v>2.0</v>
      </c>
      <c r="R215" s="259">
        <v>45693.0</v>
      </c>
      <c r="S215" s="260" t="s">
        <v>2215</v>
      </c>
      <c r="T215" s="259">
        <v>45700.0</v>
      </c>
      <c r="U215" s="255">
        <v>290.0</v>
      </c>
    </row>
    <row r="216">
      <c r="A216" s="257">
        <v>45694.39383613426</v>
      </c>
      <c r="B216" s="258" t="s">
        <v>2819</v>
      </c>
      <c r="C216" s="259">
        <v>45694.0</v>
      </c>
      <c r="D216" s="255" t="s">
        <v>2820</v>
      </c>
      <c r="E216" s="255" t="s">
        <v>2821</v>
      </c>
      <c r="H216" s="255">
        <v>7000.0</v>
      </c>
      <c r="I216" s="255">
        <v>952.0</v>
      </c>
      <c r="K216" s="255" t="s">
        <v>2822</v>
      </c>
      <c r="L216" s="255" t="s">
        <v>2822</v>
      </c>
      <c r="M216" s="255" t="s">
        <v>974</v>
      </c>
      <c r="N216" s="255">
        <v>190000.0</v>
      </c>
      <c r="O216" s="255">
        <v>4000.0</v>
      </c>
      <c r="P216" s="255" t="s">
        <v>2279</v>
      </c>
      <c r="Q216" s="255">
        <v>0.0</v>
      </c>
      <c r="R216" s="259">
        <v>45694.0</v>
      </c>
      <c r="S216" s="260" t="s">
        <v>2221</v>
      </c>
      <c r="T216" s="259">
        <v>45703.0</v>
      </c>
      <c r="U216" s="255">
        <v>0.0</v>
      </c>
    </row>
    <row r="217">
      <c r="A217" s="257">
        <v>45694.43919175926</v>
      </c>
      <c r="B217" s="258" t="s">
        <v>2823</v>
      </c>
      <c r="C217" s="259">
        <v>45695.0</v>
      </c>
      <c r="E217" s="255" t="s">
        <v>2824</v>
      </c>
      <c r="F217" s="255" t="s">
        <v>2825</v>
      </c>
      <c r="G217" s="255" t="s">
        <v>2826</v>
      </c>
      <c r="H217" s="255">
        <v>3000.0</v>
      </c>
      <c r="I217" s="255">
        <v>414.0</v>
      </c>
      <c r="K217" s="255" t="s">
        <v>2207</v>
      </c>
      <c r="L217" s="255" t="s">
        <v>2207</v>
      </c>
      <c r="M217" s="255" t="s">
        <v>98</v>
      </c>
      <c r="N217" s="255">
        <v>80000.0</v>
      </c>
      <c r="O217" s="255">
        <v>28102.0</v>
      </c>
      <c r="P217" s="255" t="s">
        <v>2208</v>
      </c>
      <c r="Q217" s="255">
        <v>2.0</v>
      </c>
      <c r="R217" s="259">
        <v>45695.0</v>
      </c>
      <c r="S217" s="260" t="s">
        <v>2265</v>
      </c>
      <c r="T217" s="259">
        <v>45707.0</v>
      </c>
      <c r="U217" s="255">
        <v>0.0</v>
      </c>
    </row>
    <row r="218">
      <c r="A218" s="257">
        <v>45694.55805158565</v>
      </c>
      <c r="B218" s="258" t="s">
        <v>2827</v>
      </c>
      <c r="C218" s="259">
        <v>45694.0</v>
      </c>
      <c r="D218" s="255" t="s">
        <v>2828</v>
      </c>
      <c r="E218" s="255" t="s">
        <v>2829</v>
      </c>
      <c r="F218" s="255">
        <v>8.9191596222E10</v>
      </c>
      <c r="H218" s="255">
        <v>3000.0</v>
      </c>
      <c r="I218" s="255">
        <v>384.0</v>
      </c>
      <c r="K218" s="255" t="s">
        <v>2269</v>
      </c>
      <c r="L218" s="255" t="s">
        <v>2269</v>
      </c>
      <c r="M218" s="255" t="s">
        <v>26</v>
      </c>
      <c r="N218" s="255">
        <v>70000.0</v>
      </c>
      <c r="P218" s="255" t="s">
        <v>2208</v>
      </c>
      <c r="Q218" s="255">
        <v>2.0</v>
      </c>
      <c r="R218" s="259">
        <v>45694.0</v>
      </c>
      <c r="S218" s="260" t="s">
        <v>2221</v>
      </c>
      <c r="T218" s="259">
        <v>45698.0</v>
      </c>
      <c r="U218" s="255">
        <v>0.0</v>
      </c>
    </row>
    <row r="219">
      <c r="A219" s="257">
        <v>45694.611395300926</v>
      </c>
      <c r="B219" s="258" t="s">
        <v>2830</v>
      </c>
      <c r="C219" s="259">
        <v>45694.0</v>
      </c>
      <c r="D219" s="255" t="s">
        <v>2831</v>
      </c>
      <c r="E219" s="255" t="s">
        <v>2832</v>
      </c>
      <c r="H219" s="255" t="s">
        <v>1753</v>
      </c>
      <c r="I219" s="255">
        <v>1000.0</v>
      </c>
      <c r="K219" s="255" t="s">
        <v>2207</v>
      </c>
      <c r="L219" s="255" t="s">
        <v>2207</v>
      </c>
      <c r="N219" s="255">
        <v>130000.0</v>
      </c>
      <c r="O219" s="255">
        <v>24000.0</v>
      </c>
      <c r="P219" s="255" t="s">
        <v>2270</v>
      </c>
      <c r="Q219" s="255">
        <v>1.0</v>
      </c>
      <c r="R219" s="259">
        <v>45694.0</v>
      </c>
      <c r="S219" s="260" t="s">
        <v>2235</v>
      </c>
      <c r="T219" s="259">
        <v>45698.0</v>
      </c>
      <c r="U219" s="255">
        <v>0.0</v>
      </c>
    </row>
    <row r="220">
      <c r="A220" s="257">
        <v>45696.71316002315</v>
      </c>
      <c r="B220" s="258" t="s">
        <v>2833</v>
      </c>
      <c r="C220" s="259">
        <v>45696.0</v>
      </c>
      <c r="D220" s="255" t="s">
        <v>2834</v>
      </c>
      <c r="E220" s="255" t="s">
        <v>2835</v>
      </c>
      <c r="F220" s="255" t="s">
        <v>2836</v>
      </c>
      <c r="H220" s="255">
        <v>7000.0</v>
      </c>
      <c r="I220" s="255">
        <v>981.0</v>
      </c>
      <c r="K220" s="255" t="s">
        <v>2835</v>
      </c>
      <c r="L220" s="255" t="s">
        <v>2835</v>
      </c>
      <c r="M220" s="255" t="s">
        <v>971</v>
      </c>
      <c r="N220" s="255">
        <v>190000.0</v>
      </c>
      <c r="P220" s="255" t="s">
        <v>2208</v>
      </c>
      <c r="Q220" s="255">
        <v>1.0</v>
      </c>
      <c r="R220" s="259">
        <v>45698.0</v>
      </c>
      <c r="S220" s="260" t="s">
        <v>2262</v>
      </c>
      <c r="T220" s="259">
        <v>45704.0</v>
      </c>
      <c r="U220" s="255">
        <v>390.0</v>
      </c>
    </row>
    <row r="221">
      <c r="A221" s="257">
        <v>45697.220625648144</v>
      </c>
      <c r="B221" s="258" t="s">
        <v>2837</v>
      </c>
      <c r="C221" s="259">
        <v>45697.0</v>
      </c>
      <c r="D221" s="255" t="s">
        <v>2838</v>
      </c>
      <c r="E221" s="255" t="s">
        <v>2839</v>
      </c>
      <c r="F221" s="255" t="s">
        <v>2840</v>
      </c>
      <c r="G221" s="255" t="s">
        <v>2841</v>
      </c>
      <c r="H221" s="255">
        <v>8000.0</v>
      </c>
      <c r="I221" s="255">
        <v>571.0</v>
      </c>
      <c r="K221" s="255" t="s">
        <v>2839</v>
      </c>
      <c r="L221" s="255" t="s">
        <v>2839</v>
      </c>
      <c r="M221" s="255" t="s">
        <v>193</v>
      </c>
      <c r="N221" s="255">
        <v>75000.0</v>
      </c>
      <c r="P221" s="255" t="s">
        <v>2208</v>
      </c>
      <c r="Q221" s="255">
        <v>2.0</v>
      </c>
      <c r="R221" s="259">
        <v>45700.0</v>
      </c>
      <c r="S221" s="260" t="s">
        <v>2330</v>
      </c>
      <c r="T221" s="259">
        <v>45708.0</v>
      </c>
      <c r="U221" s="255">
        <v>490.0</v>
      </c>
    </row>
    <row r="222">
      <c r="A222" s="257">
        <v>45697.22318552084</v>
      </c>
      <c r="B222" s="258" t="s">
        <v>2842</v>
      </c>
      <c r="C222" s="259">
        <v>45697.0</v>
      </c>
      <c r="D222" s="255" t="s">
        <v>2838</v>
      </c>
      <c r="E222" s="255" t="s">
        <v>2839</v>
      </c>
      <c r="F222" s="255" t="s">
        <v>2840</v>
      </c>
      <c r="G222" s="255" t="s">
        <v>2841</v>
      </c>
      <c r="H222" s="255">
        <v>20000.0</v>
      </c>
      <c r="I222" s="255">
        <v>1741.0</v>
      </c>
      <c r="K222" s="255" t="s">
        <v>2839</v>
      </c>
      <c r="L222" s="255" t="s">
        <v>2839</v>
      </c>
      <c r="M222" s="255" t="s">
        <v>916</v>
      </c>
      <c r="N222" s="255">
        <v>400000.0</v>
      </c>
      <c r="P222" s="255" t="s">
        <v>2208</v>
      </c>
      <c r="Q222" s="255">
        <v>2.0</v>
      </c>
      <c r="R222" s="259">
        <v>45700.0</v>
      </c>
      <c r="T222" s="259">
        <v>45706.0</v>
      </c>
      <c r="U222" s="255">
        <v>490.0</v>
      </c>
    </row>
    <row r="223">
      <c r="A223" s="257">
        <v>45697.22678350694</v>
      </c>
      <c r="B223" s="258" t="s">
        <v>2843</v>
      </c>
      <c r="C223" s="259">
        <v>45697.0</v>
      </c>
      <c r="D223" s="255" t="s">
        <v>2838</v>
      </c>
      <c r="E223" s="255" t="s">
        <v>2844</v>
      </c>
      <c r="F223" s="255" t="s">
        <v>2841</v>
      </c>
      <c r="G223" s="255" t="s">
        <v>2840</v>
      </c>
      <c r="H223" s="255">
        <v>20000.0</v>
      </c>
      <c r="I223" s="255">
        <v>1741.0</v>
      </c>
      <c r="K223" s="255" t="s">
        <v>2844</v>
      </c>
      <c r="L223" s="255" t="s">
        <v>2844</v>
      </c>
      <c r="M223" s="255" t="s">
        <v>483</v>
      </c>
      <c r="N223" s="255">
        <v>400000.0</v>
      </c>
      <c r="P223" s="255" t="s">
        <v>2208</v>
      </c>
      <c r="Q223" s="255">
        <v>2.0</v>
      </c>
      <c r="R223" s="259">
        <v>45706.0</v>
      </c>
      <c r="S223" s="260" t="s">
        <v>2330</v>
      </c>
      <c r="T223" s="259">
        <v>45708.0</v>
      </c>
      <c r="U223" s="255">
        <v>0.0</v>
      </c>
    </row>
    <row r="224">
      <c r="A224" s="257">
        <v>45697.233094560186</v>
      </c>
      <c r="B224" s="258" t="s">
        <v>2845</v>
      </c>
      <c r="C224" s="259">
        <v>45697.0</v>
      </c>
      <c r="E224" s="255" t="s">
        <v>2846</v>
      </c>
      <c r="F224" s="255">
        <v>7.929970707E10</v>
      </c>
      <c r="H224" s="255">
        <v>8000.0</v>
      </c>
      <c r="I224" s="255">
        <v>531.0</v>
      </c>
      <c r="K224" s="255" t="s">
        <v>2269</v>
      </c>
      <c r="L224" s="255" t="s">
        <v>2269</v>
      </c>
      <c r="M224" s="255" t="s">
        <v>279</v>
      </c>
      <c r="N224" s="255">
        <v>75000.0</v>
      </c>
      <c r="P224" s="255" t="s">
        <v>2208</v>
      </c>
      <c r="Q224" s="255">
        <v>2.0</v>
      </c>
      <c r="R224" s="259">
        <v>45699.0</v>
      </c>
      <c r="S224" s="260" t="s">
        <v>2330</v>
      </c>
      <c r="T224" s="259">
        <v>45704.0</v>
      </c>
      <c r="U224" s="255">
        <v>590.0</v>
      </c>
    </row>
    <row r="225">
      <c r="A225" s="257">
        <v>45697.59248160879</v>
      </c>
      <c r="B225" s="258" t="s">
        <v>2847</v>
      </c>
      <c r="C225" s="259">
        <v>45697.0</v>
      </c>
      <c r="D225" s="255" t="s">
        <v>2848</v>
      </c>
      <c r="E225" s="255" t="s">
        <v>2849</v>
      </c>
      <c r="F225" s="255" t="s">
        <v>2850</v>
      </c>
      <c r="G225" s="255" t="s">
        <v>2851</v>
      </c>
      <c r="H225" s="255">
        <v>5000.0</v>
      </c>
      <c r="I225" s="255">
        <v>826.0</v>
      </c>
      <c r="K225" s="255" t="s">
        <v>2849</v>
      </c>
      <c r="L225" s="255" t="s">
        <v>2849</v>
      </c>
      <c r="M225" s="255" t="s">
        <v>64</v>
      </c>
      <c r="N225" s="255">
        <v>140000.0</v>
      </c>
      <c r="O225" s="255">
        <v>27000.0</v>
      </c>
      <c r="P225" s="255" t="s">
        <v>2208</v>
      </c>
      <c r="Q225" s="255">
        <v>2.0</v>
      </c>
      <c r="R225" s="259">
        <v>45697.0</v>
      </c>
      <c r="S225" s="260" t="s">
        <v>2231</v>
      </c>
      <c r="T225" s="259">
        <v>45704.0</v>
      </c>
      <c r="U225" s="255">
        <v>290.0</v>
      </c>
    </row>
    <row r="226">
      <c r="A226" s="257">
        <v>45697.596026666666</v>
      </c>
      <c r="C226" s="259">
        <v>45697.0</v>
      </c>
      <c r="D226" s="255" t="s">
        <v>2852</v>
      </c>
      <c r="E226" s="255" t="s">
        <v>2853</v>
      </c>
      <c r="F226" s="255" t="s">
        <v>2854</v>
      </c>
      <c r="H226" s="255">
        <v>7000.0</v>
      </c>
      <c r="I226" s="255">
        <v>1033.0</v>
      </c>
      <c r="K226" s="255" t="s">
        <v>2853</v>
      </c>
      <c r="L226" s="255" t="s">
        <v>2853</v>
      </c>
      <c r="M226" s="255" t="s">
        <v>971</v>
      </c>
      <c r="N226" s="255">
        <v>190000.0</v>
      </c>
      <c r="O226" s="255">
        <v>11500.0</v>
      </c>
      <c r="P226" s="255" t="s">
        <v>2208</v>
      </c>
      <c r="Q226" s="255">
        <v>2.0</v>
      </c>
      <c r="R226" s="259">
        <v>45697.0</v>
      </c>
      <c r="S226" s="260" t="s">
        <v>2231</v>
      </c>
      <c r="T226" s="259">
        <v>45702.0</v>
      </c>
      <c r="U226" s="255">
        <v>490.0</v>
      </c>
    </row>
    <row r="227">
      <c r="A227" s="257">
        <v>45697.6205634838</v>
      </c>
      <c r="B227" s="258" t="s">
        <v>2855</v>
      </c>
      <c r="C227" s="259">
        <v>45697.0</v>
      </c>
      <c r="D227" s="255" t="s">
        <v>2852</v>
      </c>
      <c r="E227" s="255" t="s">
        <v>2853</v>
      </c>
      <c r="F227" s="255" t="s">
        <v>2854</v>
      </c>
      <c r="H227" s="255">
        <v>5000.0</v>
      </c>
      <c r="I227" s="255">
        <v>1033.0</v>
      </c>
      <c r="K227" s="255" t="s">
        <v>2853</v>
      </c>
      <c r="L227" s="255" t="s">
        <v>2853</v>
      </c>
      <c r="M227" s="255" t="s">
        <v>971</v>
      </c>
      <c r="N227" s="255">
        <v>19000.0</v>
      </c>
      <c r="O227" s="255">
        <v>11500.0</v>
      </c>
      <c r="P227" s="255" t="s">
        <v>2208</v>
      </c>
      <c r="Q227" s="255">
        <v>2.0</v>
      </c>
      <c r="R227" s="259">
        <v>45697.0</v>
      </c>
      <c r="S227" s="260" t="s">
        <v>2231</v>
      </c>
      <c r="T227" s="259">
        <v>45702.0</v>
      </c>
      <c r="U227" s="255">
        <v>490.0</v>
      </c>
    </row>
    <row r="228">
      <c r="A228" s="257">
        <v>45698.22816034722</v>
      </c>
      <c r="B228" s="258" t="s">
        <v>2856</v>
      </c>
      <c r="C228" s="259">
        <v>45698.0</v>
      </c>
      <c r="F228" s="255">
        <v>8.9876243168E10</v>
      </c>
      <c r="H228" s="255">
        <v>3000.0</v>
      </c>
      <c r="I228" s="255">
        <v>469.0</v>
      </c>
      <c r="K228" s="255" t="s">
        <v>2269</v>
      </c>
      <c r="L228" s="255" t="s">
        <v>2269</v>
      </c>
      <c r="M228" s="255" t="s">
        <v>56</v>
      </c>
      <c r="N228" s="255">
        <v>70000.0</v>
      </c>
      <c r="P228" s="255" t="s">
        <v>2208</v>
      </c>
      <c r="Q228" s="255">
        <v>1.0</v>
      </c>
      <c r="R228" s="259">
        <v>45698.0</v>
      </c>
      <c r="S228" s="260" t="s">
        <v>2330</v>
      </c>
      <c r="T228" s="259">
        <v>45704.0</v>
      </c>
      <c r="U228" s="255">
        <v>0.0</v>
      </c>
    </row>
    <row r="229">
      <c r="A229" s="257">
        <v>45698.23717782408</v>
      </c>
      <c r="B229" s="258" t="s">
        <v>2857</v>
      </c>
      <c r="C229" s="259">
        <v>45698.0</v>
      </c>
      <c r="E229" s="255" t="s">
        <v>2858</v>
      </c>
      <c r="F229" s="255" t="s">
        <v>2859</v>
      </c>
      <c r="G229" s="255" t="s">
        <v>2860</v>
      </c>
      <c r="H229" s="255">
        <v>3000.0</v>
      </c>
      <c r="I229" s="255">
        <v>469.0</v>
      </c>
      <c r="K229" s="255" t="s">
        <v>2858</v>
      </c>
      <c r="L229" s="255" t="s">
        <v>2858</v>
      </c>
      <c r="M229" s="255" t="s">
        <v>48</v>
      </c>
      <c r="N229" s="255">
        <v>70000.0</v>
      </c>
      <c r="P229" s="255" t="s">
        <v>2208</v>
      </c>
      <c r="Q229" s="255">
        <v>2.0</v>
      </c>
      <c r="R229" s="259">
        <v>45705.0</v>
      </c>
      <c r="S229" s="260" t="s">
        <v>2330</v>
      </c>
      <c r="T229" s="259">
        <v>45711.0</v>
      </c>
      <c r="U229" s="255">
        <v>290.0</v>
      </c>
    </row>
    <row r="230">
      <c r="A230" s="257">
        <v>45698.24043642361</v>
      </c>
      <c r="B230" s="258" t="s">
        <v>2861</v>
      </c>
      <c r="C230" s="259">
        <v>45698.0</v>
      </c>
      <c r="D230" s="255" t="s">
        <v>2862</v>
      </c>
      <c r="E230" s="255" t="s">
        <v>2863</v>
      </c>
      <c r="F230" s="255" t="s">
        <v>2864</v>
      </c>
      <c r="H230" s="255">
        <v>5000.0</v>
      </c>
      <c r="I230" s="255">
        <v>375.0</v>
      </c>
      <c r="K230" s="255" t="s">
        <v>2863</v>
      </c>
      <c r="L230" s="255" t="s">
        <v>2863</v>
      </c>
      <c r="M230" s="255" t="s">
        <v>202</v>
      </c>
      <c r="N230" s="255">
        <v>350000.0</v>
      </c>
      <c r="P230" s="255" t="s">
        <v>2208</v>
      </c>
      <c r="Q230" s="255">
        <v>1.0</v>
      </c>
      <c r="R230" s="259">
        <v>45699.0</v>
      </c>
      <c r="S230" s="260" t="s">
        <v>2330</v>
      </c>
      <c r="T230" s="259">
        <v>45727.0</v>
      </c>
      <c r="U230" s="255">
        <v>490.0</v>
      </c>
    </row>
    <row r="231">
      <c r="A231" s="257">
        <v>45698.58369347222</v>
      </c>
      <c r="B231" s="258" t="s">
        <v>2865</v>
      </c>
      <c r="C231" s="259">
        <v>45698.0</v>
      </c>
      <c r="E231" s="255" t="s">
        <v>2866</v>
      </c>
      <c r="F231" s="255" t="s">
        <v>2867</v>
      </c>
      <c r="H231" s="255">
        <v>25000.0</v>
      </c>
      <c r="I231" s="255">
        <v>2528.0</v>
      </c>
      <c r="K231" s="255" t="s">
        <v>2207</v>
      </c>
      <c r="L231" s="255" t="s">
        <v>2207</v>
      </c>
      <c r="M231" s="255" t="s">
        <v>1512</v>
      </c>
      <c r="N231" s="255">
        <v>450000.0</v>
      </c>
      <c r="P231" s="255" t="s">
        <v>2208</v>
      </c>
      <c r="Q231" s="255">
        <v>1.0</v>
      </c>
      <c r="R231" s="259">
        <v>45698.0</v>
      </c>
      <c r="S231" s="260" t="s">
        <v>2221</v>
      </c>
      <c r="T231" s="259">
        <v>45700.0</v>
      </c>
      <c r="U231" s="255">
        <v>0.0</v>
      </c>
    </row>
    <row r="232">
      <c r="A232" s="257">
        <v>45698.72738300926</v>
      </c>
      <c r="B232" s="258" t="s">
        <v>2868</v>
      </c>
      <c r="C232" s="259">
        <v>45698.0</v>
      </c>
      <c r="D232" s="255" t="s">
        <v>2828</v>
      </c>
      <c r="E232" s="255" t="s">
        <v>2869</v>
      </c>
      <c r="F232" s="255">
        <v>8.9191596222E10</v>
      </c>
      <c r="H232" s="255">
        <v>5000.0</v>
      </c>
      <c r="I232" s="255">
        <v>869.0</v>
      </c>
      <c r="K232" s="255" t="s">
        <v>2269</v>
      </c>
      <c r="L232" s="255" t="s">
        <v>2269</v>
      </c>
      <c r="M232" s="255" t="s">
        <v>92</v>
      </c>
      <c r="N232" s="255">
        <v>410000.0</v>
      </c>
      <c r="P232" s="255" t="s">
        <v>2208</v>
      </c>
      <c r="Q232" s="255">
        <v>2.0</v>
      </c>
      <c r="R232" s="259">
        <v>45698.0</v>
      </c>
      <c r="S232" s="260" t="s">
        <v>2215</v>
      </c>
      <c r="T232" s="259">
        <v>45703.0</v>
      </c>
      <c r="U232" s="255">
        <v>0.0</v>
      </c>
    </row>
    <row r="233">
      <c r="A233" s="257">
        <v>45699.22450523148</v>
      </c>
      <c r="B233" s="258" t="s">
        <v>2870</v>
      </c>
      <c r="C233" s="259">
        <v>45699.0</v>
      </c>
      <c r="D233" s="255" t="s">
        <v>2871</v>
      </c>
      <c r="E233" s="255" t="s">
        <v>2872</v>
      </c>
      <c r="H233" s="255" t="s">
        <v>515</v>
      </c>
      <c r="J233" s="255">
        <v>7000.0</v>
      </c>
      <c r="K233" s="255" t="s">
        <v>2207</v>
      </c>
      <c r="L233" s="255" t="s">
        <v>2207</v>
      </c>
      <c r="M233" s="255" t="s">
        <v>193</v>
      </c>
      <c r="N233" s="255">
        <v>75000.0</v>
      </c>
      <c r="P233" s="255" t="s">
        <v>2208</v>
      </c>
      <c r="Q233" s="255">
        <v>2.0</v>
      </c>
      <c r="R233" s="259">
        <v>45699.0</v>
      </c>
      <c r="S233" s="260" t="s">
        <v>2324</v>
      </c>
      <c r="T233" s="259">
        <v>45730.0</v>
      </c>
      <c r="U233" s="255">
        <v>0.0</v>
      </c>
    </row>
    <row r="234">
      <c r="A234" s="257">
        <v>45699.441375821756</v>
      </c>
      <c r="B234" s="258" t="s">
        <v>2873</v>
      </c>
      <c r="C234" s="259">
        <v>45699.0</v>
      </c>
      <c r="E234" s="255" t="s">
        <v>2866</v>
      </c>
      <c r="F234" s="255" t="s">
        <v>2867</v>
      </c>
      <c r="H234" s="255">
        <v>20000.0</v>
      </c>
      <c r="I234" s="255">
        <v>1290.0</v>
      </c>
      <c r="K234" s="255" t="s">
        <v>2207</v>
      </c>
      <c r="L234" s="255" t="s">
        <v>2207</v>
      </c>
      <c r="M234" s="255" t="s">
        <v>438</v>
      </c>
      <c r="N234" s="255">
        <v>140000.0</v>
      </c>
      <c r="P234" s="255" t="s">
        <v>2208</v>
      </c>
      <c r="Q234" s="255">
        <v>2.0</v>
      </c>
      <c r="R234" s="259">
        <v>45699.0</v>
      </c>
      <c r="S234" s="260" t="s">
        <v>2324</v>
      </c>
      <c r="T234" s="259">
        <v>45701.0</v>
      </c>
      <c r="U234" s="255">
        <v>0.0</v>
      </c>
    </row>
    <row r="235">
      <c r="A235" s="257">
        <v>45699.47351365741</v>
      </c>
      <c r="B235" s="258" t="s">
        <v>2874</v>
      </c>
      <c r="C235" s="259">
        <v>45699.0</v>
      </c>
      <c r="E235" s="255" t="s">
        <v>2803</v>
      </c>
      <c r="F235" s="255" t="s">
        <v>2804</v>
      </c>
      <c r="G235" s="260" t="s">
        <v>2805</v>
      </c>
      <c r="H235" s="255">
        <v>5000.0</v>
      </c>
      <c r="I235" s="255">
        <v>869.0</v>
      </c>
      <c r="K235" s="255" t="s">
        <v>2207</v>
      </c>
      <c r="L235" s="255" t="s">
        <v>2207</v>
      </c>
      <c r="M235" s="255" t="s">
        <v>113</v>
      </c>
      <c r="N235" s="255">
        <v>180000.0</v>
      </c>
      <c r="P235" s="255" t="s">
        <v>2208</v>
      </c>
      <c r="Q235" s="255">
        <v>2.0</v>
      </c>
      <c r="R235" s="259">
        <v>45699.0</v>
      </c>
      <c r="S235" s="260" t="s">
        <v>2265</v>
      </c>
      <c r="T235" s="259">
        <v>45703.0</v>
      </c>
      <c r="U235" s="255">
        <v>0.0</v>
      </c>
    </row>
    <row r="236">
      <c r="A236" s="257">
        <v>45699.475455949076</v>
      </c>
      <c r="B236" s="258" t="s">
        <v>2875</v>
      </c>
      <c r="C236" s="259">
        <v>45699.0</v>
      </c>
      <c r="E236" s="255" t="s">
        <v>2803</v>
      </c>
      <c r="F236" s="255" t="s">
        <v>2804</v>
      </c>
      <c r="G236" s="260" t="s">
        <v>2805</v>
      </c>
      <c r="H236" s="255">
        <v>3000.0</v>
      </c>
      <c r="I236" s="255">
        <v>494.0</v>
      </c>
      <c r="K236" s="255" t="s">
        <v>2207</v>
      </c>
      <c r="L236" s="255" t="s">
        <v>2207</v>
      </c>
      <c r="M236" s="255" t="s">
        <v>185</v>
      </c>
      <c r="N236" s="255">
        <v>90000.0</v>
      </c>
      <c r="P236" s="255" t="s">
        <v>2208</v>
      </c>
      <c r="Q236" s="255">
        <v>2.0</v>
      </c>
      <c r="R236" s="259">
        <v>45699.0</v>
      </c>
      <c r="S236" s="260" t="s">
        <v>2265</v>
      </c>
      <c r="T236" s="259">
        <v>45703.0</v>
      </c>
      <c r="U236" s="255">
        <v>0.0</v>
      </c>
    </row>
    <row r="237">
      <c r="A237" s="257">
        <v>45699.69802859954</v>
      </c>
      <c r="B237" s="258" t="s">
        <v>2876</v>
      </c>
      <c r="C237" s="259">
        <v>45699.0</v>
      </c>
      <c r="D237" s="255" t="s">
        <v>2838</v>
      </c>
      <c r="E237" s="255" t="s">
        <v>2877</v>
      </c>
      <c r="F237" s="255" t="s">
        <v>2841</v>
      </c>
      <c r="G237" s="255" t="s">
        <v>2840</v>
      </c>
      <c r="H237" s="255">
        <v>3000.0</v>
      </c>
      <c r="I237" s="255">
        <v>558.0</v>
      </c>
      <c r="K237" s="255" t="s">
        <v>2207</v>
      </c>
      <c r="L237" s="255" t="s">
        <v>2207</v>
      </c>
      <c r="M237" s="255" t="s">
        <v>173</v>
      </c>
      <c r="N237" s="255">
        <v>75000.0</v>
      </c>
      <c r="P237" s="255" t="s">
        <v>2208</v>
      </c>
      <c r="Q237" s="255">
        <v>2.0</v>
      </c>
      <c r="R237" s="259">
        <v>45699.0</v>
      </c>
      <c r="S237" s="260" t="s">
        <v>2246</v>
      </c>
      <c r="T237" s="259">
        <v>45705.0</v>
      </c>
      <c r="U237" s="255">
        <v>0.0</v>
      </c>
    </row>
    <row r="238">
      <c r="A238" s="257">
        <v>45699.71095574074</v>
      </c>
      <c r="B238" s="258" t="s">
        <v>2878</v>
      </c>
      <c r="C238" s="259">
        <v>45699.0</v>
      </c>
      <c r="D238" s="255" t="s">
        <v>2838</v>
      </c>
      <c r="E238" s="255" t="s">
        <v>2877</v>
      </c>
      <c r="F238" s="255" t="s">
        <v>2840</v>
      </c>
      <c r="G238" s="255" t="s">
        <v>2841</v>
      </c>
      <c r="H238" s="255">
        <v>3000.0</v>
      </c>
      <c r="I238" s="255">
        <v>558.0</v>
      </c>
      <c r="K238" s="255" t="s">
        <v>2207</v>
      </c>
      <c r="L238" s="255" t="s">
        <v>2207</v>
      </c>
      <c r="M238" s="255" t="s">
        <v>173</v>
      </c>
      <c r="N238" s="255">
        <v>75000.0</v>
      </c>
      <c r="P238" s="255" t="s">
        <v>2208</v>
      </c>
      <c r="Q238" s="255">
        <v>2.0</v>
      </c>
      <c r="R238" s="259">
        <v>45699.0</v>
      </c>
      <c r="S238" s="260" t="s">
        <v>2246</v>
      </c>
      <c r="T238" s="259">
        <v>45705.0</v>
      </c>
      <c r="U238" s="255">
        <v>0.0</v>
      </c>
    </row>
    <row r="239">
      <c r="A239" s="257">
        <v>45700.402161192134</v>
      </c>
      <c r="B239" s="258" t="s">
        <v>2879</v>
      </c>
      <c r="C239" s="259">
        <v>45700.0</v>
      </c>
      <c r="D239" s="255" t="s">
        <v>2880</v>
      </c>
      <c r="E239" s="255" t="s">
        <v>2881</v>
      </c>
      <c r="H239" s="255" t="s">
        <v>515</v>
      </c>
      <c r="I239" s="255">
        <v>922.0</v>
      </c>
      <c r="K239" s="255" t="s">
        <v>2269</v>
      </c>
      <c r="L239" s="255" t="s">
        <v>2269</v>
      </c>
      <c r="M239" s="255" t="s">
        <v>461</v>
      </c>
      <c r="N239" s="255">
        <v>130000.0</v>
      </c>
      <c r="O239" s="255">
        <v>31200.0</v>
      </c>
      <c r="P239" s="255" t="s">
        <v>2242</v>
      </c>
      <c r="Q239" s="255">
        <v>1.0</v>
      </c>
      <c r="R239" s="259">
        <v>45700.0</v>
      </c>
      <c r="S239" s="260" t="s">
        <v>2262</v>
      </c>
      <c r="T239" s="259">
        <v>45706.0</v>
      </c>
      <c r="U239" s="255">
        <v>0.0</v>
      </c>
    </row>
    <row r="240">
      <c r="A240" s="257">
        <v>45700.43702039352</v>
      </c>
      <c r="B240" s="258" t="s">
        <v>2882</v>
      </c>
      <c r="C240" s="259">
        <v>45700.0</v>
      </c>
      <c r="D240" s="255" t="s">
        <v>2883</v>
      </c>
      <c r="E240" s="255" t="s">
        <v>2883</v>
      </c>
      <c r="F240" s="255" t="s">
        <v>2884</v>
      </c>
      <c r="H240" s="255">
        <v>3000.0</v>
      </c>
      <c r="I240" s="255">
        <v>462.0</v>
      </c>
      <c r="K240" s="255" t="s">
        <v>2883</v>
      </c>
      <c r="L240" s="255" t="s">
        <v>2883</v>
      </c>
      <c r="M240" s="255" t="s">
        <v>106</v>
      </c>
      <c r="N240" s="255">
        <v>70000.0</v>
      </c>
      <c r="P240" s="255" t="s">
        <v>2208</v>
      </c>
      <c r="Q240" s="255">
        <v>2.0</v>
      </c>
      <c r="R240" s="259">
        <v>45700.0</v>
      </c>
      <c r="S240" s="260" t="s">
        <v>2265</v>
      </c>
      <c r="T240" s="259">
        <v>45708.0</v>
      </c>
      <c r="U240" s="255">
        <v>190.0</v>
      </c>
    </row>
    <row r="241">
      <c r="A241" s="257">
        <v>45701.44781025463</v>
      </c>
      <c r="B241" s="258" t="s">
        <v>2885</v>
      </c>
      <c r="C241" s="259">
        <v>45701.0</v>
      </c>
      <c r="D241" s="255" t="s">
        <v>2886</v>
      </c>
      <c r="E241" s="255" t="s">
        <v>2887</v>
      </c>
      <c r="H241" s="255" t="s">
        <v>1775</v>
      </c>
      <c r="I241" s="255">
        <v>1000.0</v>
      </c>
      <c r="K241" s="255" t="s">
        <v>2269</v>
      </c>
      <c r="L241" s="255" t="s">
        <v>2269</v>
      </c>
      <c r="N241" s="255">
        <v>14000.0</v>
      </c>
      <c r="O241" s="255">
        <v>16000.0</v>
      </c>
      <c r="P241" s="255" t="s">
        <v>2208</v>
      </c>
      <c r="Q241" s="255">
        <v>2.0</v>
      </c>
      <c r="R241" s="259">
        <v>45701.0</v>
      </c>
      <c r="S241" s="260" t="s">
        <v>2265</v>
      </c>
      <c r="T241" s="259">
        <v>45704.0</v>
      </c>
      <c r="U241" s="255">
        <v>0.0</v>
      </c>
    </row>
    <row r="242">
      <c r="A242" s="257">
        <v>45702.25226815972</v>
      </c>
      <c r="B242" s="258" t="s">
        <v>2888</v>
      </c>
      <c r="C242" s="259">
        <v>45702.0</v>
      </c>
      <c r="D242" s="255" t="s">
        <v>2889</v>
      </c>
      <c r="E242" s="255" t="s">
        <v>2890</v>
      </c>
      <c r="F242" s="255" t="s">
        <v>2891</v>
      </c>
      <c r="H242" s="255">
        <v>3000.0</v>
      </c>
      <c r="I242" s="255">
        <v>469.0</v>
      </c>
      <c r="K242" s="255" t="s">
        <v>2890</v>
      </c>
      <c r="L242" s="255" t="s">
        <v>2890</v>
      </c>
      <c r="M242" s="255" t="s">
        <v>56</v>
      </c>
      <c r="N242" s="255">
        <v>70000.0</v>
      </c>
      <c r="P242" s="255" t="s">
        <v>2208</v>
      </c>
      <c r="Q242" s="255">
        <v>2.0</v>
      </c>
      <c r="R242" s="259">
        <v>45702.0</v>
      </c>
      <c r="S242" s="260" t="s">
        <v>2324</v>
      </c>
      <c r="T242" s="259">
        <v>45708.0</v>
      </c>
      <c r="U242" s="255">
        <v>290.0</v>
      </c>
    </row>
    <row r="243">
      <c r="A243" s="257">
        <v>45703.2558928125</v>
      </c>
      <c r="B243" s="258" t="s">
        <v>2892</v>
      </c>
      <c r="C243" s="259">
        <v>45703.0</v>
      </c>
      <c r="E243" s="255" t="s">
        <v>2893</v>
      </c>
      <c r="F243" s="255">
        <v>8.9277777555E10</v>
      </c>
      <c r="G243" s="255" t="s">
        <v>2894</v>
      </c>
      <c r="H243" s="255">
        <v>20000.0</v>
      </c>
      <c r="I243" s="255">
        <v>1285.0</v>
      </c>
      <c r="K243" s="255" t="s">
        <v>2269</v>
      </c>
      <c r="L243" s="255" t="s">
        <v>2269</v>
      </c>
      <c r="M243" s="255" t="s">
        <v>438</v>
      </c>
      <c r="N243" s="255">
        <v>400000.0</v>
      </c>
      <c r="P243" s="255" t="s">
        <v>2208</v>
      </c>
      <c r="Q243" s="255">
        <v>1.0</v>
      </c>
      <c r="R243" s="259">
        <v>45703.0</v>
      </c>
      <c r="S243" s="260" t="s">
        <v>2221</v>
      </c>
      <c r="T243" s="259">
        <v>45705.0</v>
      </c>
      <c r="U243" s="255">
        <v>0.0</v>
      </c>
    </row>
    <row r="244">
      <c r="A244" s="257">
        <v>45704.32518126158</v>
      </c>
      <c r="B244" s="258" t="s">
        <v>2895</v>
      </c>
      <c r="C244" s="259">
        <v>45704.0</v>
      </c>
      <c r="E244" s="255" t="s">
        <v>2896</v>
      </c>
      <c r="F244" s="255">
        <v>7.9257620404E10</v>
      </c>
      <c r="H244" s="255">
        <v>7000.0</v>
      </c>
      <c r="I244" s="255">
        <v>1033.0</v>
      </c>
      <c r="K244" s="255" t="s">
        <v>2896</v>
      </c>
      <c r="L244" s="255" t="s">
        <v>2896</v>
      </c>
      <c r="M244" s="255" t="s">
        <v>951</v>
      </c>
      <c r="N244" s="255">
        <v>410000.0</v>
      </c>
      <c r="P244" s="255" t="s">
        <v>2208</v>
      </c>
      <c r="Q244" s="255">
        <v>2.0</v>
      </c>
      <c r="R244" s="259">
        <v>45713.0</v>
      </c>
      <c r="S244" s="260" t="s">
        <v>2324</v>
      </c>
      <c r="T244" s="259">
        <v>45717.0</v>
      </c>
      <c r="U244" s="255">
        <v>290.0</v>
      </c>
    </row>
    <row r="245">
      <c r="A245" s="257">
        <v>45704.329263680556</v>
      </c>
      <c r="B245" s="258" t="s">
        <v>2897</v>
      </c>
      <c r="C245" s="259">
        <v>45704.0</v>
      </c>
      <c r="E245" s="255" t="s">
        <v>2898</v>
      </c>
      <c r="F245" s="255">
        <v>7.950423844E10</v>
      </c>
      <c r="H245" s="255">
        <v>7000.0</v>
      </c>
      <c r="I245" s="255">
        <v>908.0</v>
      </c>
      <c r="K245" s="255" t="s">
        <v>2898</v>
      </c>
      <c r="L245" s="255" t="s">
        <v>2898</v>
      </c>
      <c r="M245" s="255" t="s">
        <v>974</v>
      </c>
      <c r="N245" s="255">
        <v>410000.0</v>
      </c>
      <c r="P245" s="255" t="s">
        <v>2208</v>
      </c>
      <c r="Q245" s="255">
        <v>2.0</v>
      </c>
      <c r="R245" s="259">
        <v>45707.0</v>
      </c>
      <c r="S245" s="260" t="s">
        <v>2330</v>
      </c>
      <c r="T245" s="259">
        <v>45719.0</v>
      </c>
      <c r="U245" s="255">
        <v>390.0</v>
      </c>
    </row>
    <row r="246">
      <c r="A246" s="257">
        <v>45705.569263275465</v>
      </c>
      <c r="B246" s="258" t="s">
        <v>2899</v>
      </c>
      <c r="C246" s="259">
        <v>45705.0</v>
      </c>
      <c r="E246" s="255" t="s">
        <v>2900</v>
      </c>
      <c r="F246" s="255">
        <v>7.9530549907E10</v>
      </c>
      <c r="G246" s="255" t="s">
        <v>2901</v>
      </c>
      <c r="H246" s="255">
        <v>3000.0</v>
      </c>
      <c r="J246" s="255">
        <v>7490.0</v>
      </c>
      <c r="K246" s="255" t="s">
        <v>2269</v>
      </c>
      <c r="L246" s="255" t="s">
        <v>2269</v>
      </c>
      <c r="M246" s="255" t="s">
        <v>114</v>
      </c>
      <c r="N246" s="255">
        <v>70000.0</v>
      </c>
      <c r="P246" s="255" t="s">
        <v>2208</v>
      </c>
      <c r="Q246" s="255">
        <v>2.0</v>
      </c>
      <c r="R246" s="259">
        <v>45705.0</v>
      </c>
      <c r="S246" s="260" t="s">
        <v>2215</v>
      </c>
      <c r="T246" s="259">
        <v>45733.0</v>
      </c>
      <c r="U246" s="255">
        <v>0.0</v>
      </c>
    </row>
    <row r="247">
      <c r="A247" s="257">
        <v>45707.236322048615</v>
      </c>
      <c r="B247" s="258" t="s">
        <v>2902</v>
      </c>
      <c r="C247" s="259">
        <v>45707.0</v>
      </c>
      <c r="D247" s="255" t="s">
        <v>2903</v>
      </c>
      <c r="E247" s="255" t="s">
        <v>2904</v>
      </c>
      <c r="F247" s="255">
        <v>8.9150005008E10</v>
      </c>
      <c r="H247" s="255">
        <v>15000.0</v>
      </c>
      <c r="I247" s="255">
        <v>766.0</v>
      </c>
      <c r="K247" s="255" t="s">
        <v>2269</v>
      </c>
      <c r="L247" s="255" t="s">
        <v>2269</v>
      </c>
      <c r="M247" s="255" t="s">
        <v>468</v>
      </c>
      <c r="N247" s="255">
        <v>250000.0</v>
      </c>
      <c r="P247" s="255" t="s">
        <v>2208</v>
      </c>
      <c r="Q247" s="255">
        <v>2.0</v>
      </c>
      <c r="R247" s="259">
        <v>45707.0</v>
      </c>
      <c r="S247" s="260" t="s">
        <v>2215</v>
      </c>
      <c r="T247" s="259">
        <v>45718.0</v>
      </c>
      <c r="U247" s="255">
        <v>0.0</v>
      </c>
    </row>
    <row r="248">
      <c r="A248" s="257">
        <v>45707.24003104167</v>
      </c>
      <c r="B248" s="258" t="s">
        <v>2905</v>
      </c>
      <c r="C248" s="259">
        <v>45707.0</v>
      </c>
      <c r="D248" s="255" t="s">
        <v>2906</v>
      </c>
      <c r="E248" s="255" t="s">
        <v>2907</v>
      </c>
      <c r="F248" s="255" t="s">
        <v>2908</v>
      </c>
      <c r="G248" s="255" t="s">
        <v>2909</v>
      </c>
      <c r="H248" s="255">
        <v>3000.0</v>
      </c>
      <c r="I248" s="255">
        <v>349.0</v>
      </c>
      <c r="K248" s="255" t="s">
        <v>2269</v>
      </c>
      <c r="L248" s="255" t="s">
        <v>2269</v>
      </c>
      <c r="M248" s="255" t="s">
        <v>26</v>
      </c>
      <c r="N248" s="255">
        <v>70000.0</v>
      </c>
      <c r="P248" s="255" t="s">
        <v>2208</v>
      </c>
      <c r="Q248" s="255">
        <v>2.0</v>
      </c>
      <c r="R248" s="259">
        <v>45707.0</v>
      </c>
      <c r="S248" s="260" t="s">
        <v>2324</v>
      </c>
      <c r="T248" s="259">
        <v>45711.0</v>
      </c>
      <c r="U248" s="255">
        <v>0.0</v>
      </c>
    </row>
    <row r="249">
      <c r="A249" s="257">
        <v>45709.26958349537</v>
      </c>
      <c r="B249" s="258" t="s">
        <v>2910</v>
      </c>
      <c r="C249" s="259">
        <v>45709.0</v>
      </c>
      <c r="D249" s="255" t="s">
        <v>2911</v>
      </c>
      <c r="E249" s="255" t="s">
        <v>2869</v>
      </c>
      <c r="F249" s="255">
        <v>8.9114037272E10</v>
      </c>
      <c r="H249" s="255">
        <v>15000.0</v>
      </c>
      <c r="I249" s="255">
        <v>872.0</v>
      </c>
      <c r="K249" s="255" t="s">
        <v>2869</v>
      </c>
      <c r="L249" s="255" t="s">
        <v>2869</v>
      </c>
      <c r="M249" s="255" t="s">
        <v>423</v>
      </c>
      <c r="N249" s="255">
        <v>250000.0</v>
      </c>
      <c r="P249" s="255" t="s">
        <v>2208</v>
      </c>
      <c r="Q249" s="255">
        <v>2.0</v>
      </c>
      <c r="R249" s="259">
        <v>45709.0</v>
      </c>
      <c r="S249" s="260" t="s">
        <v>2215</v>
      </c>
      <c r="T249" s="259">
        <v>45721.0</v>
      </c>
      <c r="U249" s="255">
        <v>290.0</v>
      </c>
    </row>
    <row r="250">
      <c r="A250" s="257">
        <v>45709.68847979167</v>
      </c>
      <c r="B250" s="258" t="s">
        <v>2912</v>
      </c>
      <c r="C250" s="259">
        <v>45709.0</v>
      </c>
      <c r="D250" s="255" t="s">
        <v>2913</v>
      </c>
      <c r="E250" s="255" t="s">
        <v>2914</v>
      </c>
      <c r="H250" s="255">
        <v>2000.0</v>
      </c>
      <c r="I250" s="255">
        <v>389.0</v>
      </c>
      <c r="K250" s="255" t="s">
        <v>2207</v>
      </c>
      <c r="L250" s="255" t="s">
        <v>2207</v>
      </c>
      <c r="M250" s="255" t="s">
        <v>185</v>
      </c>
      <c r="N250" s="255">
        <v>70000.0</v>
      </c>
      <c r="O250" s="255">
        <v>35000.0</v>
      </c>
      <c r="P250" s="255" t="s">
        <v>2208</v>
      </c>
      <c r="Q250" s="255">
        <v>2.0</v>
      </c>
      <c r="R250" s="259">
        <v>45709.0</v>
      </c>
      <c r="S250" s="260" t="s">
        <v>2215</v>
      </c>
      <c r="T250" s="259">
        <v>45718.0</v>
      </c>
      <c r="U250" s="255">
        <v>0.0</v>
      </c>
    </row>
    <row r="251">
      <c r="A251" s="257">
        <v>45710.550831203705</v>
      </c>
      <c r="B251" s="258" t="s">
        <v>2915</v>
      </c>
      <c r="C251" s="259">
        <v>45710.0</v>
      </c>
      <c r="D251" s="255" t="s">
        <v>2916</v>
      </c>
      <c r="E251" s="255" t="s">
        <v>2917</v>
      </c>
      <c r="F251" s="255" t="s">
        <v>2916</v>
      </c>
      <c r="H251" s="255">
        <v>5000.0</v>
      </c>
      <c r="I251" s="255">
        <v>699.0</v>
      </c>
      <c r="K251" s="255" t="s">
        <v>2918</v>
      </c>
      <c r="L251" s="255" t="s">
        <v>2918</v>
      </c>
      <c r="M251" s="255" t="s">
        <v>202</v>
      </c>
      <c r="N251" s="255">
        <v>130000.0</v>
      </c>
      <c r="O251" s="255">
        <v>24000.0</v>
      </c>
      <c r="P251" s="255" t="s">
        <v>2208</v>
      </c>
      <c r="Q251" s="255">
        <v>2.0</v>
      </c>
      <c r="R251" s="259">
        <v>45710.0</v>
      </c>
      <c r="S251" s="260" t="s">
        <v>2235</v>
      </c>
      <c r="T251" s="259">
        <v>45719.0</v>
      </c>
      <c r="U251" s="255">
        <v>290.0</v>
      </c>
    </row>
    <row r="252">
      <c r="A252" s="257">
        <v>45711.22543019676</v>
      </c>
      <c r="B252" s="258" t="s">
        <v>2919</v>
      </c>
      <c r="C252" s="259" t="s">
        <v>2920</v>
      </c>
      <c r="D252" s="255" t="s">
        <v>2921</v>
      </c>
      <c r="E252" s="255" t="s">
        <v>2922</v>
      </c>
      <c r="F252" s="255" t="s">
        <v>2923</v>
      </c>
      <c r="H252" s="255">
        <v>20000.0</v>
      </c>
      <c r="I252" s="255">
        <v>1798.0</v>
      </c>
      <c r="K252" s="255" t="s">
        <v>2269</v>
      </c>
      <c r="L252" s="255" t="s">
        <v>2269</v>
      </c>
      <c r="M252" s="255" t="s">
        <v>483</v>
      </c>
      <c r="N252" s="255">
        <v>4000000.0</v>
      </c>
      <c r="P252" s="255" t="s">
        <v>2208</v>
      </c>
      <c r="Q252" s="255">
        <v>1.0</v>
      </c>
      <c r="R252" s="259">
        <v>45711.0</v>
      </c>
      <c r="S252" s="260" t="s">
        <v>2265</v>
      </c>
      <c r="T252" s="259">
        <v>45714.0</v>
      </c>
      <c r="U252" s="255">
        <v>0.0</v>
      </c>
    </row>
    <row r="253">
      <c r="A253" s="257">
        <v>45711.67386577546</v>
      </c>
      <c r="B253" s="258" t="s">
        <v>2924</v>
      </c>
      <c r="C253" s="259">
        <v>45711.0</v>
      </c>
      <c r="D253" s="255" t="s">
        <v>2925</v>
      </c>
      <c r="E253" s="255" t="s">
        <v>2926</v>
      </c>
      <c r="F253" s="255" t="s">
        <v>2927</v>
      </c>
      <c r="H253" s="255">
        <v>3000.0</v>
      </c>
      <c r="I253" s="255">
        <v>407.0</v>
      </c>
      <c r="K253" s="255" t="s">
        <v>2926</v>
      </c>
      <c r="L253" s="255" t="s">
        <v>2926</v>
      </c>
      <c r="M253" s="255" t="s">
        <v>151</v>
      </c>
      <c r="N253" s="255">
        <v>70000.0</v>
      </c>
      <c r="O253" s="255">
        <v>29500.0</v>
      </c>
      <c r="P253" s="255" t="s">
        <v>2279</v>
      </c>
      <c r="Q253" s="255">
        <v>2.0</v>
      </c>
      <c r="R253" s="259">
        <v>45711.0</v>
      </c>
      <c r="S253" s="260" t="s">
        <v>2215</v>
      </c>
      <c r="T253" s="259">
        <v>45721.0</v>
      </c>
      <c r="U253" s="255">
        <v>190.0</v>
      </c>
    </row>
    <row r="254">
      <c r="A254" s="257">
        <v>45712.241779421296</v>
      </c>
      <c r="B254" s="258" t="s">
        <v>2928</v>
      </c>
      <c r="C254" s="259">
        <v>45712.0</v>
      </c>
      <c r="D254" s="255" t="s">
        <v>2929</v>
      </c>
      <c r="E254" s="255" t="s">
        <v>2930</v>
      </c>
      <c r="F254" s="255" t="s">
        <v>2931</v>
      </c>
      <c r="H254" s="255">
        <v>5000.0</v>
      </c>
      <c r="I254" s="255">
        <v>713.0</v>
      </c>
      <c r="K254" s="255" t="s">
        <v>2930</v>
      </c>
      <c r="L254" s="255" t="s">
        <v>2930</v>
      </c>
      <c r="M254" s="255" t="s">
        <v>155</v>
      </c>
      <c r="N254" s="255">
        <v>410000.0</v>
      </c>
      <c r="P254" s="255" t="s">
        <v>2208</v>
      </c>
      <c r="Q254" s="255">
        <v>2.0</v>
      </c>
      <c r="R254" s="259">
        <v>45712.0</v>
      </c>
      <c r="S254" s="260" t="s">
        <v>2215</v>
      </c>
      <c r="T254" s="259">
        <v>45718.0</v>
      </c>
      <c r="U254" s="255">
        <v>590.0</v>
      </c>
    </row>
    <row r="255">
      <c r="A255" s="257">
        <v>45712.64212513889</v>
      </c>
      <c r="B255" s="258" t="s">
        <v>2932</v>
      </c>
      <c r="C255" s="259">
        <v>45712.0</v>
      </c>
      <c r="D255" s="255" t="s">
        <v>2933</v>
      </c>
      <c r="E255" s="255" t="s">
        <v>2934</v>
      </c>
      <c r="H255" s="255">
        <v>3000.0</v>
      </c>
      <c r="I255" s="255">
        <v>470.0</v>
      </c>
      <c r="K255" s="255" t="s">
        <v>2207</v>
      </c>
      <c r="L255" s="255" t="s">
        <v>2207</v>
      </c>
      <c r="M255" s="255" t="s">
        <v>98</v>
      </c>
      <c r="N255" s="255">
        <v>70000.0</v>
      </c>
      <c r="O255" s="255">
        <v>25000.0</v>
      </c>
      <c r="P255" s="255" t="s">
        <v>2208</v>
      </c>
      <c r="Q255" s="255">
        <v>2.0</v>
      </c>
      <c r="R255" s="259">
        <v>45712.0</v>
      </c>
      <c r="S255" s="260" t="s">
        <v>2246</v>
      </c>
      <c r="T255" s="259">
        <v>45716.0</v>
      </c>
      <c r="U255" s="255">
        <v>0.0</v>
      </c>
    </row>
    <row r="256">
      <c r="A256" s="257">
        <v>45712.88742763889</v>
      </c>
      <c r="B256" s="258" t="s">
        <v>2935</v>
      </c>
      <c r="C256" s="259">
        <v>45712.0</v>
      </c>
      <c r="E256" s="255" t="s">
        <v>2936</v>
      </c>
      <c r="F256" s="255">
        <v>7.9503123346E10</v>
      </c>
      <c r="H256" s="255" t="s">
        <v>912</v>
      </c>
      <c r="I256" s="255">
        <v>363.0</v>
      </c>
      <c r="K256" s="255" t="s">
        <v>2207</v>
      </c>
      <c r="L256" s="255" t="s">
        <v>2207</v>
      </c>
      <c r="M256" s="255" t="s">
        <v>106</v>
      </c>
      <c r="N256" s="255">
        <v>70000.0</v>
      </c>
      <c r="P256" s="255" t="s">
        <v>2208</v>
      </c>
      <c r="Q256" s="255">
        <v>2.0</v>
      </c>
      <c r="R256" s="259">
        <v>45712.0</v>
      </c>
      <c r="S256" s="260" t="s">
        <v>2470</v>
      </c>
      <c r="T256" s="259">
        <v>45723.0</v>
      </c>
      <c r="U256" s="255">
        <v>0.0</v>
      </c>
    </row>
    <row r="257">
      <c r="A257" s="257">
        <v>45713.230989930555</v>
      </c>
      <c r="B257" s="258" t="s">
        <v>2937</v>
      </c>
      <c r="C257" s="259">
        <v>45713.0</v>
      </c>
      <c r="E257" s="255" t="s">
        <v>2938</v>
      </c>
      <c r="F257" s="255" t="s">
        <v>2939</v>
      </c>
      <c r="G257" s="255" t="s">
        <v>2940</v>
      </c>
      <c r="H257" s="255">
        <v>7000.0</v>
      </c>
      <c r="I257" s="255">
        <v>761.0</v>
      </c>
      <c r="K257" s="255" t="s">
        <v>2938</v>
      </c>
      <c r="L257" s="255" t="s">
        <v>2938</v>
      </c>
      <c r="M257" s="255" t="s">
        <v>941</v>
      </c>
      <c r="N257" s="255">
        <v>450000.0</v>
      </c>
      <c r="P257" s="255" t="s">
        <v>2208</v>
      </c>
      <c r="Q257" s="255">
        <v>0.0</v>
      </c>
      <c r="R257" s="259">
        <v>45729.0</v>
      </c>
      <c r="S257" s="260" t="s">
        <v>2330</v>
      </c>
      <c r="T257" s="259">
        <v>45719.0</v>
      </c>
      <c r="U257" s="255">
        <v>290.0</v>
      </c>
    </row>
    <row r="258">
      <c r="A258" s="257">
        <v>45714.197770983796</v>
      </c>
      <c r="B258" s="258" t="s">
        <v>2941</v>
      </c>
      <c r="C258" s="259">
        <v>45714.0</v>
      </c>
      <c r="D258" s="255" t="s">
        <v>2942</v>
      </c>
      <c r="E258" s="255" t="s">
        <v>2943</v>
      </c>
      <c r="F258" s="255">
        <v>8.9164807771E10</v>
      </c>
      <c r="H258" s="255">
        <v>5000.0</v>
      </c>
      <c r="I258" s="255">
        <v>847.0</v>
      </c>
      <c r="K258" s="255" t="s">
        <v>2944</v>
      </c>
      <c r="L258" s="255" t="s">
        <v>2943</v>
      </c>
      <c r="M258" s="255" t="s">
        <v>974</v>
      </c>
      <c r="N258" s="255">
        <v>450000.0</v>
      </c>
      <c r="P258" s="255" t="s">
        <v>2208</v>
      </c>
      <c r="Q258" s="255">
        <v>1.0</v>
      </c>
      <c r="R258" s="259">
        <v>45714.0</v>
      </c>
      <c r="S258" s="260" t="s">
        <v>2324</v>
      </c>
      <c r="T258" s="259">
        <v>45721.0</v>
      </c>
      <c r="U258" s="255">
        <v>690.0</v>
      </c>
    </row>
    <row r="259">
      <c r="A259" s="257">
        <v>45714.50660601852</v>
      </c>
      <c r="B259" s="258" t="s">
        <v>2945</v>
      </c>
      <c r="C259" s="259">
        <v>45714.0</v>
      </c>
      <c r="E259" s="255" t="s">
        <v>2946</v>
      </c>
      <c r="F259" s="255" t="s">
        <v>2947</v>
      </c>
      <c r="H259" s="255">
        <v>3000.0</v>
      </c>
      <c r="I259" s="255">
        <v>427.0</v>
      </c>
      <c r="K259" s="255" t="s">
        <v>2207</v>
      </c>
      <c r="L259" s="255" t="s">
        <v>2207</v>
      </c>
      <c r="M259" s="255" t="s">
        <v>98</v>
      </c>
      <c r="N259" s="255">
        <v>70000.0</v>
      </c>
      <c r="P259" s="255" t="s">
        <v>2208</v>
      </c>
      <c r="Q259" s="255">
        <v>2.0</v>
      </c>
      <c r="R259" s="259">
        <v>45714.0</v>
      </c>
      <c r="S259" s="260" t="s">
        <v>2265</v>
      </c>
      <c r="T259" s="259">
        <v>45720.0</v>
      </c>
      <c r="U259" s="255">
        <v>0.0</v>
      </c>
    </row>
    <row r="260">
      <c r="A260" s="257">
        <v>45714.7608259838</v>
      </c>
      <c r="B260" s="258" t="s">
        <v>2948</v>
      </c>
      <c r="C260" s="259">
        <v>45682.0</v>
      </c>
      <c r="F260" s="255" t="s">
        <v>2770</v>
      </c>
      <c r="H260" s="255" t="s">
        <v>515</v>
      </c>
      <c r="J260" s="255">
        <v>53000.0</v>
      </c>
      <c r="K260" s="255" t="s">
        <v>2269</v>
      </c>
      <c r="L260" s="255" t="s">
        <v>2269</v>
      </c>
      <c r="M260" s="255" t="s">
        <v>967</v>
      </c>
      <c r="N260" s="255">
        <v>540000.0</v>
      </c>
      <c r="O260" s="255">
        <v>11500.0</v>
      </c>
      <c r="P260" s="255" t="s">
        <v>2208</v>
      </c>
      <c r="Q260" s="255">
        <v>2.0</v>
      </c>
      <c r="R260" s="259">
        <v>45683.0</v>
      </c>
      <c r="S260" s="260" t="s">
        <v>2215</v>
      </c>
      <c r="T260" s="259">
        <v>45714.0</v>
      </c>
      <c r="U260" s="255">
        <v>0.0</v>
      </c>
    </row>
    <row r="261">
      <c r="A261" s="257">
        <v>45715.13864672453</v>
      </c>
      <c r="B261" s="258" t="s">
        <v>2949</v>
      </c>
      <c r="C261" s="259">
        <v>45715.0</v>
      </c>
      <c r="E261" s="255" t="s">
        <v>2950</v>
      </c>
      <c r="F261" s="255">
        <v>7.9150060999E10</v>
      </c>
      <c r="H261" s="255">
        <v>3000.0</v>
      </c>
      <c r="I261" s="255">
        <v>388.0</v>
      </c>
      <c r="K261" s="255" t="s">
        <v>2950</v>
      </c>
      <c r="L261" s="255" t="s">
        <v>2950</v>
      </c>
      <c r="M261" s="255" t="s">
        <v>114</v>
      </c>
      <c r="N261" s="255">
        <v>70000.0</v>
      </c>
      <c r="P261" s="255" t="s">
        <v>2208</v>
      </c>
      <c r="Q261" s="255">
        <v>1.0</v>
      </c>
      <c r="R261" s="259">
        <v>45715.0</v>
      </c>
      <c r="S261" s="260" t="s">
        <v>2221</v>
      </c>
      <c r="T261" s="259">
        <v>45728.0</v>
      </c>
      <c r="U261" s="255">
        <v>390.0</v>
      </c>
    </row>
    <row r="262">
      <c r="A262" s="257">
        <v>45715.1411033912</v>
      </c>
      <c r="B262" s="258" t="s">
        <v>2951</v>
      </c>
      <c r="C262" s="259">
        <v>45715.0</v>
      </c>
      <c r="E262" s="255" t="s">
        <v>2950</v>
      </c>
      <c r="F262" s="255">
        <v>7.9150060999E10</v>
      </c>
      <c r="H262" s="255">
        <v>5000.0</v>
      </c>
      <c r="I262" s="255">
        <v>683.0</v>
      </c>
      <c r="K262" s="255" t="s">
        <v>2950</v>
      </c>
      <c r="L262" s="255" t="s">
        <v>2950</v>
      </c>
      <c r="M262" s="255" t="s">
        <v>155</v>
      </c>
      <c r="N262" s="255">
        <v>400000.0</v>
      </c>
      <c r="P262" s="255" t="s">
        <v>2208</v>
      </c>
      <c r="Q262" s="255">
        <v>1.0</v>
      </c>
      <c r="R262" s="259">
        <v>45715.0</v>
      </c>
      <c r="S262" s="260" t="s">
        <v>2221</v>
      </c>
      <c r="T262" s="259">
        <v>45728.0</v>
      </c>
      <c r="U262" s="255">
        <v>390.0</v>
      </c>
    </row>
    <row r="263">
      <c r="A263" s="257">
        <v>45715.54994282407</v>
      </c>
      <c r="B263" s="258" t="s">
        <v>2952</v>
      </c>
      <c r="C263" s="259">
        <v>45715.0</v>
      </c>
      <c r="I263" s="255">
        <v>400.0</v>
      </c>
      <c r="K263" s="255" t="s">
        <v>2269</v>
      </c>
      <c r="L263" s="255" t="s">
        <v>2269</v>
      </c>
      <c r="M263" s="255" t="s">
        <v>2220</v>
      </c>
      <c r="N263" s="255">
        <v>70000.0</v>
      </c>
      <c r="P263" s="255" t="s">
        <v>2242</v>
      </c>
      <c r="Q263" s="255">
        <v>2.0</v>
      </c>
      <c r="R263" s="259">
        <v>45715.0</v>
      </c>
      <c r="S263" s="260" t="s">
        <v>2221</v>
      </c>
      <c r="T263" s="259">
        <v>45719.0</v>
      </c>
    </row>
    <row r="264">
      <c r="A264" s="257">
        <v>45715.7483459838</v>
      </c>
      <c r="B264" s="258" t="s">
        <v>2953</v>
      </c>
      <c r="C264" s="259">
        <v>45715.0</v>
      </c>
      <c r="E264" s="255" t="s">
        <v>2954</v>
      </c>
      <c r="F264" s="255">
        <v>7.9773618141E10</v>
      </c>
      <c r="H264" s="255">
        <v>3000.0</v>
      </c>
      <c r="I264" s="255">
        <v>427.0</v>
      </c>
      <c r="K264" s="255" t="s">
        <v>2207</v>
      </c>
      <c r="L264" s="255" t="s">
        <v>2207</v>
      </c>
      <c r="M264" s="255" t="s">
        <v>77</v>
      </c>
      <c r="N264" s="255">
        <v>70000.0</v>
      </c>
      <c r="O264" s="255">
        <v>31000.0</v>
      </c>
      <c r="P264" s="255" t="s">
        <v>2208</v>
      </c>
      <c r="Q264" s="255">
        <v>2.0</v>
      </c>
      <c r="R264" s="259">
        <v>45715.0</v>
      </c>
      <c r="S264" s="260" t="s">
        <v>2246</v>
      </c>
      <c r="T264" s="259">
        <v>45722.0</v>
      </c>
      <c r="U264" s="255">
        <v>0.0</v>
      </c>
    </row>
    <row r="265">
      <c r="A265" s="257">
        <v>45716.24841392361</v>
      </c>
      <c r="B265" s="258" t="s">
        <v>2955</v>
      </c>
      <c r="C265" s="259">
        <v>45716.0</v>
      </c>
      <c r="F265" s="255" t="s">
        <v>2956</v>
      </c>
      <c r="H265" s="255" t="s">
        <v>600</v>
      </c>
      <c r="I265" s="255">
        <v>1798.0</v>
      </c>
      <c r="K265" s="255" t="s">
        <v>2269</v>
      </c>
      <c r="L265" s="255" t="s">
        <v>2269</v>
      </c>
      <c r="M265" s="255" t="s">
        <v>102</v>
      </c>
      <c r="N265" s="255">
        <v>400000.0</v>
      </c>
      <c r="P265" s="255" t="s">
        <v>2208</v>
      </c>
      <c r="Q265" s="255">
        <v>3.0</v>
      </c>
      <c r="R265" s="259">
        <v>45716.0</v>
      </c>
      <c r="S265" s="260" t="s">
        <v>2265</v>
      </c>
      <c r="T265" s="259">
        <v>45719.0</v>
      </c>
      <c r="U265" s="255">
        <v>0.0</v>
      </c>
    </row>
    <row r="266">
      <c r="A266" s="257">
        <v>45716.24967168982</v>
      </c>
      <c r="B266" s="258" t="s">
        <v>2957</v>
      </c>
      <c r="C266" s="259">
        <v>45716.0</v>
      </c>
      <c r="F266" s="255" t="s">
        <v>2956</v>
      </c>
      <c r="H266" s="255" t="s">
        <v>600</v>
      </c>
      <c r="I266" s="255">
        <v>2298.0</v>
      </c>
      <c r="K266" s="255" t="s">
        <v>2269</v>
      </c>
      <c r="L266" s="255" t="s">
        <v>2269</v>
      </c>
      <c r="M266" s="255" t="s">
        <v>1512</v>
      </c>
      <c r="N266" s="255">
        <v>450000.0</v>
      </c>
      <c r="P266" s="255" t="s">
        <v>2208</v>
      </c>
      <c r="Q266" s="255">
        <v>0.0</v>
      </c>
      <c r="R266" s="259">
        <v>45716.0</v>
      </c>
      <c r="S266" s="260" t="s">
        <v>2265</v>
      </c>
      <c r="T266" s="259">
        <v>45719.0</v>
      </c>
      <c r="U266" s="255">
        <v>0.0</v>
      </c>
    </row>
    <row r="267">
      <c r="A267" s="257">
        <v>45716.46527332176</v>
      </c>
      <c r="B267" s="258" t="s">
        <v>2958</v>
      </c>
      <c r="C267" s="259">
        <v>45716.0</v>
      </c>
      <c r="E267" s="255" t="s">
        <v>2959</v>
      </c>
      <c r="F267" s="255">
        <v>8.922439109E10</v>
      </c>
      <c r="G267" s="255">
        <v>8.9224120174E10</v>
      </c>
      <c r="H267" s="255">
        <v>3000.0</v>
      </c>
      <c r="I267" s="255">
        <v>322.0</v>
      </c>
      <c r="K267" s="255" t="s">
        <v>2959</v>
      </c>
      <c r="L267" s="255" t="s">
        <v>2959</v>
      </c>
      <c r="M267" s="255" t="s">
        <v>26</v>
      </c>
      <c r="N267" s="255">
        <v>80000.0</v>
      </c>
      <c r="O267" s="255">
        <v>26490.0</v>
      </c>
      <c r="P267" s="255" t="s">
        <v>2270</v>
      </c>
      <c r="Q267" s="255">
        <v>2.0</v>
      </c>
      <c r="R267" s="259">
        <v>45716.0</v>
      </c>
      <c r="S267" s="260" t="s">
        <v>2330</v>
      </c>
      <c r="T267" s="259">
        <v>45725.0</v>
      </c>
      <c r="U267" s="255">
        <v>290.0</v>
      </c>
    </row>
    <row r="268">
      <c r="A268" s="257">
        <v>45718.471978194444</v>
      </c>
      <c r="B268" s="258" t="s">
        <v>2960</v>
      </c>
      <c r="C268" s="259">
        <v>45718.0</v>
      </c>
      <c r="D268" s="255" t="s">
        <v>2961</v>
      </c>
      <c r="E268" s="255" t="s">
        <v>2962</v>
      </c>
      <c r="H268" s="255" t="s">
        <v>2963</v>
      </c>
      <c r="I268" s="255">
        <v>2479.0</v>
      </c>
      <c r="K268" s="255" t="s">
        <v>2962</v>
      </c>
      <c r="L268" s="255" t="s">
        <v>2962</v>
      </c>
      <c r="M268" s="255" t="s">
        <v>967</v>
      </c>
      <c r="N268" s="255">
        <v>540000.0</v>
      </c>
      <c r="O268" s="255">
        <v>14000.0</v>
      </c>
      <c r="P268" s="255" t="s">
        <v>2208</v>
      </c>
      <c r="Q268" s="255">
        <v>2.0</v>
      </c>
      <c r="R268" s="259">
        <v>45718.0</v>
      </c>
      <c r="S268" s="260" t="s">
        <v>2221</v>
      </c>
      <c r="T268" s="259">
        <v>45726.0</v>
      </c>
      <c r="U268" s="255">
        <v>190.0</v>
      </c>
    </row>
    <row r="269">
      <c r="A269" s="257">
        <v>45719.40907425926</v>
      </c>
      <c r="B269" s="258" t="s">
        <v>2964</v>
      </c>
      <c r="C269" s="259">
        <v>45719.0</v>
      </c>
      <c r="D269" s="255" t="s">
        <v>2965</v>
      </c>
      <c r="E269" s="255" t="s">
        <v>2966</v>
      </c>
      <c r="F269" s="255" t="s">
        <v>2967</v>
      </c>
      <c r="H269" s="255">
        <v>7000.0</v>
      </c>
      <c r="I269" s="255">
        <v>825.0</v>
      </c>
      <c r="K269" s="255" t="s">
        <v>2968</v>
      </c>
      <c r="L269" s="255" t="s">
        <v>2968</v>
      </c>
      <c r="M269" s="255" t="s">
        <v>928</v>
      </c>
      <c r="N269" s="255">
        <v>180000.0</v>
      </c>
      <c r="O269" s="255">
        <v>5400.0</v>
      </c>
      <c r="P269" s="255" t="s">
        <v>2208</v>
      </c>
      <c r="Q269" s="255">
        <v>2.0</v>
      </c>
      <c r="R269" s="259">
        <v>45719.0</v>
      </c>
      <c r="S269" s="260" t="s">
        <v>2330</v>
      </c>
      <c r="T269" s="259">
        <v>45731.0</v>
      </c>
      <c r="U269" s="255">
        <v>290.0</v>
      </c>
    </row>
    <row r="270">
      <c r="A270" s="257">
        <v>45719.414049976855</v>
      </c>
      <c r="B270" s="258" t="s">
        <v>2969</v>
      </c>
      <c r="C270" s="259">
        <v>45719.0</v>
      </c>
      <c r="D270" s="255" t="s">
        <v>2965</v>
      </c>
      <c r="E270" s="255" t="s">
        <v>2966</v>
      </c>
      <c r="F270" s="255" t="s">
        <v>2970</v>
      </c>
      <c r="H270" s="255">
        <v>7000.0</v>
      </c>
      <c r="I270" s="255">
        <v>825.0</v>
      </c>
      <c r="K270" s="255" t="s">
        <v>2966</v>
      </c>
      <c r="L270" s="255" t="s">
        <v>2966</v>
      </c>
      <c r="M270" s="255" t="s">
        <v>971</v>
      </c>
      <c r="O270" s="255">
        <v>11800.0</v>
      </c>
      <c r="P270" s="255" t="s">
        <v>2208</v>
      </c>
      <c r="Q270" s="255">
        <v>1.0</v>
      </c>
      <c r="R270" s="259">
        <v>45719.0</v>
      </c>
      <c r="S270" s="260" t="s">
        <v>2330</v>
      </c>
      <c r="T270" s="259">
        <v>45731.0</v>
      </c>
      <c r="U270" s="255">
        <v>290.0</v>
      </c>
    </row>
    <row r="271">
      <c r="A271" s="257">
        <v>45719.698733530095</v>
      </c>
      <c r="B271" s="258" t="s">
        <v>2971</v>
      </c>
      <c r="C271" s="259">
        <v>45719.0</v>
      </c>
      <c r="E271" s="255" t="s">
        <v>2972</v>
      </c>
      <c r="F271" s="255" t="s">
        <v>2973</v>
      </c>
      <c r="H271" s="255">
        <v>15000.0</v>
      </c>
      <c r="J271" s="255">
        <v>15900.0</v>
      </c>
      <c r="K271" s="255" t="s">
        <v>2974</v>
      </c>
      <c r="L271" s="255" t="s">
        <v>2974</v>
      </c>
      <c r="N271" s="255">
        <v>140000.0</v>
      </c>
      <c r="O271" s="255">
        <v>16745.0</v>
      </c>
      <c r="P271" s="255" t="s">
        <v>2208</v>
      </c>
      <c r="Q271" s="255">
        <v>0.0</v>
      </c>
      <c r="R271" s="259">
        <v>45719.0</v>
      </c>
      <c r="S271" s="260" t="s">
        <v>2246</v>
      </c>
      <c r="T271" s="259">
        <v>45749.0</v>
      </c>
      <c r="U271" s="255">
        <v>590.0</v>
      </c>
    </row>
    <row r="272">
      <c r="A272" s="257">
        <v>45720.610831655096</v>
      </c>
      <c r="B272" s="258" t="s">
        <v>2975</v>
      </c>
      <c r="C272" s="259">
        <v>45720.0</v>
      </c>
      <c r="E272" s="255" t="s">
        <v>2976</v>
      </c>
      <c r="F272" s="255" t="s">
        <v>2977</v>
      </c>
      <c r="H272" s="255">
        <v>7000.0</v>
      </c>
      <c r="I272" s="255">
        <v>825.0</v>
      </c>
      <c r="K272" s="255" t="s">
        <v>2207</v>
      </c>
      <c r="L272" s="255" t="s">
        <v>2207</v>
      </c>
      <c r="M272" s="255" t="s">
        <v>960</v>
      </c>
      <c r="N272" s="255">
        <v>180000.0</v>
      </c>
      <c r="P272" s="255" t="s">
        <v>2208</v>
      </c>
      <c r="Q272" s="255">
        <v>2.0</v>
      </c>
      <c r="R272" s="259">
        <v>45720.0</v>
      </c>
      <c r="S272" s="260" t="s">
        <v>2235</v>
      </c>
      <c r="T272" s="259">
        <v>45367.0</v>
      </c>
      <c r="U272" s="255">
        <v>0.0</v>
      </c>
    </row>
    <row r="273">
      <c r="A273" s="257">
        <v>45720.62346015046</v>
      </c>
      <c r="B273" s="258" t="s">
        <v>2978</v>
      </c>
      <c r="C273" s="259">
        <v>45720.0</v>
      </c>
      <c r="E273" s="255" t="s">
        <v>2976</v>
      </c>
      <c r="F273" s="255" t="s">
        <v>2977</v>
      </c>
      <c r="H273" s="255">
        <v>7000.0</v>
      </c>
      <c r="I273" s="255">
        <v>825.0</v>
      </c>
      <c r="K273" s="255" t="s">
        <v>2207</v>
      </c>
      <c r="L273" s="255" t="s">
        <v>2207</v>
      </c>
      <c r="M273" s="255" t="s">
        <v>960</v>
      </c>
      <c r="N273" s="255">
        <v>180000.0</v>
      </c>
      <c r="P273" s="255" t="s">
        <v>2208</v>
      </c>
      <c r="Q273" s="255">
        <v>2.0</v>
      </c>
      <c r="R273" s="259">
        <v>45720.0</v>
      </c>
      <c r="S273" s="260" t="s">
        <v>2235</v>
      </c>
      <c r="T273" s="259">
        <v>45732.0</v>
      </c>
      <c r="U273" s="255">
        <v>0.0</v>
      </c>
    </row>
    <row r="274">
      <c r="A274" s="257">
        <v>45721.61224533565</v>
      </c>
      <c r="B274" s="258" t="s">
        <v>2979</v>
      </c>
      <c r="C274" s="259">
        <v>45721.0</v>
      </c>
      <c r="E274" s="255" t="s">
        <v>2980</v>
      </c>
      <c r="F274" s="255">
        <v>7.9831566599E10</v>
      </c>
      <c r="H274" s="255">
        <v>3000.0</v>
      </c>
      <c r="K274" s="255" t="s">
        <v>2207</v>
      </c>
      <c r="L274" s="255" t="s">
        <v>2207</v>
      </c>
      <c r="P274" s="255" t="s">
        <v>2208</v>
      </c>
      <c r="Q274" s="255">
        <v>2.0</v>
      </c>
      <c r="R274" s="259">
        <v>45721.0</v>
      </c>
      <c r="S274" s="260" t="s">
        <v>2235</v>
      </c>
      <c r="U274" s="255">
        <v>0.0</v>
      </c>
    </row>
    <row r="275">
      <c r="A275" s="257">
        <v>45722.226138530095</v>
      </c>
      <c r="B275" s="258" t="s">
        <v>2981</v>
      </c>
      <c r="C275" s="259">
        <v>45722.0</v>
      </c>
      <c r="D275" s="255" t="s">
        <v>2982</v>
      </c>
      <c r="H275" s="255">
        <v>20000.0</v>
      </c>
      <c r="I275" s="255">
        <v>1798.0</v>
      </c>
      <c r="K275" s="255" t="s">
        <v>2269</v>
      </c>
      <c r="L275" s="255" t="s">
        <v>2269</v>
      </c>
      <c r="M275" s="255" t="s">
        <v>916</v>
      </c>
      <c r="N275" s="255">
        <v>450000.0</v>
      </c>
      <c r="P275" s="255" t="s">
        <v>2208</v>
      </c>
      <c r="Q275" s="255">
        <v>1.0</v>
      </c>
      <c r="R275" s="259">
        <v>45722.0</v>
      </c>
      <c r="S275" s="260" t="s">
        <v>2215</v>
      </c>
      <c r="T275" s="259">
        <v>45725.0</v>
      </c>
      <c r="U275" s="255">
        <v>0.0</v>
      </c>
    </row>
    <row r="276">
      <c r="A276" s="257">
        <v>45722.226921203706</v>
      </c>
      <c r="B276" s="258" t="s">
        <v>2983</v>
      </c>
      <c r="C276" s="259">
        <v>45722.0</v>
      </c>
      <c r="D276" s="255" t="s">
        <v>2982</v>
      </c>
      <c r="H276" s="255">
        <v>20000.0</v>
      </c>
      <c r="I276" s="255">
        <v>1798.0</v>
      </c>
      <c r="K276" s="255" t="s">
        <v>2269</v>
      </c>
      <c r="L276" s="255" t="s">
        <v>2269</v>
      </c>
      <c r="M276" s="255" t="s">
        <v>102</v>
      </c>
      <c r="N276" s="255">
        <v>450000.0</v>
      </c>
      <c r="P276" s="255" t="s">
        <v>2208</v>
      </c>
      <c r="Q276" s="255">
        <v>1.0</v>
      </c>
      <c r="R276" s="259">
        <v>45722.0</v>
      </c>
      <c r="S276" s="260" t="s">
        <v>2215</v>
      </c>
      <c r="T276" s="259">
        <v>45725.0</v>
      </c>
      <c r="U276" s="255">
        <v>0.0</v>
      </c>
    </row>
    <row r="277">
      <c r="A277" s="257">
        <v>45722.795248090275</v>
      </c>
      <c r="B277" s="258" t="s">
        <v>2984</v>
      </c>
      <c r="C277" s="259">
        <v>45722.0</v>
      </c>
      <c r="E277" s="255" t="s">
        <v>2985</v>
      </c>
      <c r="F277" s="255">
        <v>7.9996859998E10</v>
      </c>
      <c r="H277" s="255">
        <v>3000.0</v>
      </c>
      <c r="I277" s="255">
        <v>393.0</v>
      </c>
      <c r="K277" s="255" t="s">
        <v>2207</v>
      </c>
      <c r="L277" s="255" t="s">
        <v>2207</v>
      </c>
      <c r="M277" s="255" t="s">
        <v>98</v>
      </c>
      <c r="N277" s="255">
        <v>70000.0</v>
      </c>
      <c r="O277" s="255">
        <v>29000.0</v>
      </c>
      <c r="P277" s="255" t="s">
        <v>2320</v>
      </c>
      <c r="Q277" s="255">
        <v>2.0</v>
      </c>
      <c r="R277" s="259">
        <v>45722.0</v>
      </c>
      <c r="S277" s="260" t="s">
        <v>2250</v>
      </c>
      <c r="T277" s="259">
        <v>45731.0</v>
      </c>
    </row>
    <row r="278">
      <c r="A278" s="257">
        <v>45723.55457583333</v>
      </c>
      <c r="B278" s="258" t="s">
        <v>2986</v>
      </c>
      <c r="C278" s="259">
        <v>45723.0</v>
      </c>
      <c r="D278" s="255" t="s">
        <v>2987</v>
      </c>
      <c r="E278" s="255" t="s">
        <v>2988</v>
      </c>
      <c r="F278" s="255" t="s">
        <v>2989</v>
      </c>
      <c r="H278" s="255">
        <v>5000.0</v>
      </c>
      <c r="I278" s="255">
        <v>623.0</v>
      </c>
      <c r="K278" s="255" t="s">
        <v>2269</v>
      </c>
      <c r="L278" s="255" t="s">
        <v>2269</v>
      </c>
      <c r="M278" s="255" t="s">
        <v>202</v>
      </c>
      <c r="N278" s="255">
        <v>120000.0</v>
      </c>
      <c r="O278" s="255">
        <v>24073.0</v>
      </c>
      <c r="P278" s="255" t="s">
        <v>2208</v>
      </c>
      <c r="Q278" s="255">
        <v>2.0</v>
      </c>
      <c r="R278" s="259">
        <v>45723.0</v>
      </c>
      <c r="S278" s="260" t="s">
        <v>2221</v>
      </c>
      <c r="T278" s="259">
        <v>45730.0</v>
      </c>
      <c r="U278" s="255">
        <v>0.0</v>
      </c>
    </row>
    <row r="279">
      <c r="A279" s="257">
        <v>45723.57029125</v>
      </c>
      <c r="B279" s="258" t="s">
        <v>2990</v>
      </c>
      <c r="C279" s="259">
        <v>45723.0</v>
      </c>
      <c r="D279" s="255" t="s">
        <v>2987</v>
      </c>
      <c r="E279" s="255" t="s">
        <v>2988</v>
      </c>
      <c r="F279" s="255" t="s">
        <v>2989</v>
      </c>
      <c r="H279" s="255">
        <v>5000.0</v>
      </c>
      <c r="I279" s="255">
        <v>714.0</v>
      </c>
      <c r="K279" s="255" t="s">
        <v>2207</v>
      </c>
      <c r="L279" s="255" t="s">
        <v>2207</v>
      </c>
      <c r="M279" s="255" t="s">
        <v>1065</v>
      </c>
      <c r="N279" s="255">
        <v>180000.0</v>
      </c>
      <c r="P279" s="255" t="s">
        <v>2208</v>
      </c>
      <c r="Q279" s="255">
        <v>2.0</v>
      </c>
      <c r="R279" s="259">
        <v>45723.0</v>
      </c>
      <c r="S279" s="260" t="s">
        <v>2215</v>
      </c>
      <c r="T279" s="259">
        <v>45730.0</v>
      </c>
      <c r="U279" s="255">
        <v>0.0</v>
      </c>
    </row>
    <row r="280">
      <c r="A280" s="257">
        <v>45723.57612324074</v>
      </c>
      <c r="B280" s="258" t="s">
        <v>2991</v>
      </c>
      <c r="C280" s="259">
        <v>45723.0</v>
      </c>
      <c r="D280" s="255" t="s">
        <v>2992</v>
      </c>
      <c r="E280" s="255" t="s">
        <v>2993</v>
      </c>
      <c r="F280" s="255" t="s">
        <v>2994</v>
      </c>
      <c r="H280" s="255" t="s">
        <v>515</v>
      </c>
      <c r="I280" s="255">
        <v>1618.0</v>
      </c>
      <c r="K280" s="255" t="s">
        <v>2993</v>
      </c>
      <c r="L280" s="255" t="s">
        <v>2993</v>
      </c>
      <c r="M280" s="255" t="s">
        <v>102</v>
      </c>
      <c r="N280" s="255">
        <v>300000.0</v>
      </c>
      <c r="P280" s="255" t="s">
        <v>2208</v>
      </c>
      <c r="Q280" s="255">
        <v>2.0</v>
      </c>
      <c r="R280" s="259">
        <v>45723.0</v>
      </c>
      <c r="S280" s="260" t="s">
        <v>2215</v>
      </c>
      <c r="T280" s="259">
        <v>45726.0</v>
      </c>
      <c r="U280" s="255">
        <v>146.0</v>
      </c>
    </row>
    <row r="281">
      <c r="A281" s="257">
        <v>45724.32536199074</v>
      </c>
      <c r="B281" s="258" t="s">
        <v>2995</v>
      </c>
      <c r="C281" s="259">
        <v>45724.0</v>
      </c>
      <c r="D281" s="255" t="s">
        <v>2996</v>
      </c>
      <c r="F281" s="255">
        <v>8.9068041804E10</v>
      </c>
      <c r="H281" s="255">
        <v>3000.0</v>
      </c>
      <c r="I281" s="255">
        <v>384.0</v>
      </c>
      <c r="K281" s="255" t="s">
        <v>2269</v>
      </c>
      <c r="L281" s="255" t="s">
        <v>2269</v>
      </c>
      <c r="M281" s="255" t="s">
        <v>2220</v>
      </c>
      <c r="N281" s="255">
        <v>70000.0</v>
      </c>
      <c r="P281" s="255" t="s">
        <v>2208</v>
      </c>
      <c r="Q281" s="255">
        <v>1.0</v>
      </c>
      <c r="R281" s="259">
        <v>45724.0</v>
      </c>
      <c r="S281" s="260" t="s">
        <v>2262</v>
      </c>
      <c r="T281" s="259">
        <v>45730.0</v>
      </c>
      <c r="U281" s="255">
        <v>0.0</v>
      </c>
    </row>
    <row r="282">
      <c r="A282" s="257">
        <v>45724.492257418984</v>
      </c>
      <c r="B282" s="258" t="s">
        <v>2997</v>
      </c>
      <c r="C282" s="259">
        <v>45359.0</v>
      </c>
      <c r="D282" s="255" t="s">
        <v>2998</v>
      </c>
      <c r="E282" s="255" t="s">
        <v>2999</v>
      </c>
      <c r="F282" s="255">
        <v>6.34593266E8</v>
      </c>
      <c r="H282" s="255" t="s">
        <v>430</v>
      </c>
      <c r="I282" s="255">
        <v>1500.0</v>
      </c>
      <c r="K282" s="255" t="s">
        <v>2269</v>
      </c>
      <c r="L282" s="255" t="s">
        <v>2269</v>
      </c>
      <c r="M282" s="255" t="s">
        <v>102</v>
      </c>
      <c r="N282" s="255">
        <v>180000.0</v>
      </c>
      <c r="O282" s="255">
        <v>49148.0</v>
      </c>
      <c r="P282" s="255" t="s">
        <v>2208</v>
      </c>
      <c r="Q282" s="255">
        <v>2.0</v>
      </c>
      <c r="R282" s="259">
        <v>45724.0</v>
      </c>
      <c r="S282" s="260" t="s">
        <v>2265</v>
      </c>
      <c r="T282" s="259">
        <v>45726.0</v>
      </c>
      <c r="U282" s="255">
        <v>0.0</v>
      </c>
    </row>
    <row r="283">
      <c r="A283" s="257">
        <v>45724.50464230324</v>
      </c>
      <c r="B283" s="258" t="s">
        <v>3000</v>
      </c>
      <c r="C283" s="259">
        <v>45724.0</v>
      </c>
      <c r="D283" s="255" t="s">
        <v>2998</v>
      </c>
      <c r="E283" s="255" t="s">
        <v>3001</v>
      </c>
      <c r="F283" s="255">
        <v>6.34593266E8</v>
      </c>
      <c r="H283" s="255" t="s">
        <v>1502</v>
      </c>
      <c r="I283" s="255">
        <v>1500.0</v>
      </c>
      <c r="K283" s="255" t="s">
        <v>2269</v>
      </c>
      <c r="L283" s="255" t="s">
        <v>2269</v>
      </c>
      <c r="M283" s="255" t="s">
        <v>102</v>
      </c>
      <c r="N283" s="255">
        <v>180000.0</v>
      </c>
      <c r="O283" s="255">
        <v>49148.0</v>
      </c>
      <c r="P283" s="255" t="s">
        <v>2208</v>
      </c>
      <c r="Q283" s="255">
        <v>2.0</v>
      </c>
      <c r="R283" s="259">
        <v>45724.0</v>
      </c>
      <c r="S283" s="260" t="s">
        <v>2265</v>
      </c>
      <c r="T283" s="259">
        <v>45726.0</v>
      </c>
      <c r="U283" s="255">
        <v>0.0</v>
      </c>
    </row>
    <row r="284">
      <c r="A284" s="257">
        <v>45727.55241765046</v>
      </c>
      <c r="B284" s="258" t="s">
        <v>3002</v>
      </c>
      <c r="C284" s="259">
        <v>45727.0</v>
      </c>
      <c r="D284" s="255" t="s">
        <v>3003</v>
      </c>
      <c r="E284" s="255" t="s">
        <v>3004</v>
      </c>
      <c r="F284" s="255" t="s">
        <v>3005</v>
      </c>
      <c r="H284" s="255">
        <v>7000.0</v>
      </c>
      <c r="I284" s="255">
        <v>798.0</v>
      </c>
      <c r="K284" s="255" t="s">
        <v>3004</v>
      </c>
      <c r="L284" s="255" t="s">
        <v>3004</v>
      </c>
      <c r="M284" s="255" t="s">
        <v>941</v>
      </c>
      <c r="N284" s="255">
        <v>180000.0</v>
      </c>
      <c r="P284" s="255" t="s">
        <v>2208</v>
      </c>
      <c r="Q284" s="255">
        <v>2.0</v>
      </c>
      <c r="R284" s="259">
        <v>45727.0</v>
      </c>
      <c r="S284" s="260" t="s">
        <v>2246</v>
      </c>
      <c r="T284" s="259">
        <v>45732.0</v>
      </c>
      <c r="U284" s="255">
        <v>390.0</v>
      </c>
    </row>
    <row r="285">
      <c r="A285" s="257">
        <v>45727.6919408449</v>
      </c>
      <c r="B285" s="258" t="s">
        <v>3006</v>
      </c>
      <c r="C285" s="259">
        <v>45727.0</v>
      </c>
      <c r="D285" s="255" t="s">
        <v>3007</v>
      </c>
      <c r="E285" s="255" t="s">
        <v>3008</v>
      </c>
      <c r="H285" s="255" t="s">
        <v>600</v>
      </c>
      <c r="I285" s="255">
        <v>1600.0</v>
      </c>
      <c r="K285" s="255" t="s">
        <v>2269</v>
      </c>
      <c r="L285" s="255" t="s">
        <v>2269</v>
      </c>
      <c r="M285" s="255" t="s">
        <v>916</v>
      </c>
      <c r="N285" s="255">
        <v>400000.0</v>
      </c>
      <c r="P285" s="255" t="s">
        <v>2208</v>
      </c>
      <c r="Q285" s="255">
        <v>2.0</v>
      </c>
      <c r="R285" s="259">
        <v>45727.0</v>
      </c>
      <c r="S285" s="260" t="s">
        <v>2246</v>
      </c>
      <c r="T285" s="259">
        <v>45729.0</v>
      </c>
      <c r="U285" s="255">
        <v>0.0</v>
      </c>
    </row>
    <row r="286">
      <c r="A286" s="257">
        <v>45728.23760310185</v>
      </c>
      <c r="B286" s="258" t="s">
        <v>3009</v>
      </c>
      <c r="C286" s="259">
        <v>45728.0</v>
      </c>
      <c r="D286" s="255" t="s">
        <v>3010</v>
      </c>
      <c r="E286" s="255" t="s">
        <v>3011</v>
      </c>
      <c r="F286" s="255" t="s">
        <v>3012</v>
      </c>
      <c r="G286" s="255" t="s">
        <v>3013</v>
      </c>
      <c r="H286" s="255">
        <v>8000.0</v>
      </c>
      <c r="I286" s="255">
        <v>451.0</v>
      </c>
      <c r="K286" s="255" t="s">
        <v>3011</v>
      </c>
      <c r="L286" s="255" t="s">
        <v>3011</v>
      </c>
      <c r="M286" s="255" t="s">
        <v>173</v>
      </c>
      <c r="N286" s="255">
        <v>70000.0</v>
      </c>
      <c r="P286" s="255" t="s">
        <v>2208</v>
      </c>
      <c r="Q286" s="255">
        <v>2.0</v>
      </c>
      <c r="R286" s="259">
        <v>45728.0</v>
      </c>
      <c r="S286" s="260" t="s">
        <v>2265</v>
      </c>
      <c r="T286" s="259">
        <v>45739.0</v>
      </c>
      <c r="U286" s="255">
        <v>0.0</v>
      </c>
    </row>
    <row r="287">
      <c r="A287" s="257">
        <v>45729.24229592593</v>
      </c>
      <c r="B287" s="258" t="s">
        <v>3014</v>
      </c>
      <c r="C287" s="259">
        <v>45729.0</v>
      </c>
      <c r="D287" s="255" t="s">
        <v>3015</v>
      </c>
      <c r="E287" s="255" t="s">
        <v>2501</v>
      </c>
      <c r="F287" s="255" t="s">
        <v>3016</v>
      </c>
      <c r="G287" s="255" t="s">
        <v>3017</v>
      </c>
      <c r="H287" s="255">
        <v>3000.0</v>
      </c>
      <c r="I287" s="255">
        <v>350.0</v>
      </c>
      <c r="K287" s="255" t="s">
        <v>2533</v>
      </c>
      <c r="L287" s="255" t="s">
        <v>2533</v>
      </c>
      <c r="M287" s="255" t="s">
        <v>2220</v>
      </c>
      <c r="N287" s="255">
        <v>70000.0</v>
      </c>
      <c r="P287" s="255" t="s">
        <v>2208</v>
      </c>
      <c r="Q287" s="255">
        <v>2.0</v>
      </c>
      <c r="R287" s="259">
        <v>45729.0</v>
      </c>
      <c r="S287" s="260" t="s">
        <v>2265</v>
      </c>
      <c r="T287" s="259">
        <v>45734.0</v>
      </c>
      <c r="U287" s="255">
        <v>290.0</v>
      </c>
    </row>
    <row r="288">
      <c r="A288" s="257">
        <v>45729.49963085648</v>
      </c>
      <c r="C288" s="259">
        <v>45729.0</v>
      </c>
      <c r="D288" s="255" t="s">
        <v>3018</v>
      </c>
      <c r="E288" s="255" t="s">
        <v>3019</v>
      </c>
      <c r="H288" s="255" t="s">
        <v>985</v>
      </c>
      <c r="I288" s="255">
        <v>704.0</v>
      </c>
      <c r="K288" s="255" t="s">
        <v>3019</v>
      </c>
      <c r="L288" s="255" t="s">
        <v>3019</v>
      </c>
      <c r="M288" s="255" t="s">
        <v>974</v>
      </c>
      <c r="N288" s="255">
        <v>19000.0</v>
      </c>
      <c r="O288" s="255">
        <v>6000.0</v>
      </c>
      <c r="P288" s="255" t="s">
        <v>2208</v>
      </c>
      <c r="Q288" s="255">
        <v>2.0</v>
      </c>
      <c r="R288" s="259">
        <v>45729.0</v>
      </c>
      <c r="S288" s="260" t="s">
        <v>2330</v>
      </c>
      <c r="T288" s="259">
        <v>45734.0</v>
      </c>
      <c r="U288" s="255">
        <v>190.0</v>
      </c>
    </row>
    <row r="289">
      <c r="A289" s="257">
        <v>45729.549271296295</v>
      </c>
      <c r="B289" s="258" t="s">
        <v>3020</v>
      </c>
      <c r="C289" s="259">
        <v>45729.0</v>
      </c>
      <c r="E289" s="255" t="s">
        <v>3021</v>
      </c>
      <c r="F289" s="255" t="s">
        <v>3018</v>
      </c>
      <c r="H289" s="255">
        <v>7000.0</v>
      </c>
      <c r="I289" s="255">
        <v>704.0</v>
      </c>
      <c r="K289" s="255" t="s">
        <v>3021</v>
      </c>
      <c r="L289" s="255" t="s">
        <v>3021</v>
      </c>
      <c r="M289" s="255" t="s">
        <v>974</v>
      </c>
      <c r="N289" s="255">
        <v>1500.0</v>
      </c>
      <c r="P289" s="255" t="s">
        <v>2208</v>
      </c>
      <c r="Q289" s="255">
        <v>2.0</v>
      </c>
      <c r="R289" s="259">
        <v>45729.0</v>
      </c>
      <c r="S289" s="260" t="s">
        <v>2221</v>
      </c>
      <c r="T289" s="259">
        <v>45734.0</v>
      </c>
      <c r="U289" s="255">
        <v>200.0</v>
      </c>
    </row>
    <row r="290">
      <c r="A290" s="257">
        <v>45731.71837969907</v>
      </c>
      <c r="B290" s="258" t="s">
        <v>3022</v>
      </c>
      <c r="C290" s="259">
        <v>45731.0</v>
      </c>
      <c r="D290" s="255" t="s">
        <v>3023</v>
      </c>
      <c r="E290" s="255" t="s">
        <v>3024</v>
      </c>
      <c r="F290" s="255" t="s">
        <v>3025</v>
      </c>
      <c r="H290" s="255">
        <v>3000.0</v>
      </c>
      <c r="I290" s="255">
        <v>305.0</v>
      </c>
      <c r="K290" s="255" t="s">
        <v>3024</v>
      </c>
      <c r="L290" s="255" t="s">
        <v>3024</v>
      </c>
      <c r="M290" s="255" t="s">
        <v>151</v>
      </c>
      <c r="N290" s="255">
        <v>70000.0</v>
      </c>
      <c r="P290" s="255" t="s">
        <v>2208</v>
      </c>
      <c r="Q290" s="255">
        <v>2.0</v>
      </c>
      <c r="R290" s="259">
        <v>45732.0</v>
      </c>
      <c r="S290" s="260" t="s">
        <v>2265</v>
      </c>
      <c r="T290" s="259">
        <v>45746.0</v>
      </c>
      <c r="U290" s="255">
        <v>590.0</v>
      </c>
    </row>
    <row r="291">
      <c r="A291" s="257">
        <v>45731.72980128472</v>
      </c>
      <c r="B291" s="258" t="s">
        <v>3026</v>
      </c>
      <c r="C291" s="259">
        <v>45731.0</v>
      </c>
      <c r="D291" s="255" t="s">
        <v>3023</v>
      </c>
      <c r="E291" s="255" t="s">
        <v>3027</v>
      </c>
      <c r="F291" s="255" t="s">
        <v>3025</v>
      </c>
      <c r="H291" s="255">
        <v>3000.0</v>
      </c>
      <c r="I291" s="255">
        <v>305.0</v>
      </c>
      <c r="K291" s="255" t="s">
        <v>3027</v>
      </c>
      <c r="L291" s="255" t="s">
        <v>3027</v>
      </c>
      <c r="M291" s="255" t="s">
        <v>151</v>
      </c>
      <c r="N291" s="255">
        <v>70000.0</v>
      </c>
      <c r="P291" s="255" t="s">
        <v>2208</v>
      </c>
      <c r="Q291" s="255">
        <v>2.0</v>
      </c>
      <c r="R291" s="259">
        <v>45732.0</v>
      </c>
      <c r="S291" s="260" t="s">
        <v>2265</v>
      </c>
      <c r="T291" s="259">
        <v>45746.0</v>
      </c>
      <c r="U291" s="255">
        <v>590.0</v>
      </c>
    </row>
    <row r="292">
      <c r="A292" s="257">
        <v>45732.96917483796</v>
      </c>
      <c r="B292" s="258" t="s">
        <v>3028</v>
      </c>
      <c r="C292" s="259">
        <v>45732.0</v>
      </c>
      <c r="D292" s="255" t="s">
        <v>3029</v>
      </c>
      <c r="E292" s="255" t="s">
        <v>3030</v>
      </c>
      <c r="H292" s="255" t="s">
        <v>912</v>
      </c>
      <c r="I292" s="255">
        <v>336.0</v>
      </c>
      <c r="K292" s="255" t="s">
        <v>2207</v>
      </c>
      <c r="L292" s="255" t="s">
        <v>2207</v>
      </c>
      <c r="M292" s="255" t="s">
        <v>48</v>
      </c>
      <c r="N292" s="255">
        <v>70000.0</v>
      </c>
      <c r="O292" s="255">
        <v>29310.0</v>
      </c>
      <c r="P292" s="255" t="s">
        <v>2208</v>
      </c>
      <c r="Q292" s="255">
        <v>2.0</v>
      </c>
      <c r="R292" s="259">
        <v>45732.0</v>
      </c>
      <c r="S292" s="260" t="s">
        <v>2250</v>
      </c>
      <c r="T292" s="259">
        <v>45740.0</v>
      </c>
      <c r="U292" s="255">
        <v>0.0</v>
      </c>
    </row>
    <row r="293">
      <c r="A293" s="257">
        <v>45732.97435863426</v>
      </c>
      <c r="B293" s="258" t="s">
        <v>3031</v>
      </c>
      <c r="C293" s="259">
        <v>45732.0</v>
      </c>
      <c r="D293" s="255" t="s">
        <v>3029</v>
      </c>
      <c r="E293" s="255" t="s">
        <v>3030</v>
      </c>
      <c r="H293" s="255" t="s">
        <v>912</v>
      </c>
      <c r="I293" s="255">
        <v>336.0</v>
      </c>
      <c r="K293" s="255" t="s">
        <v>2207</v>
      </c>
      <c r="L293" s="255" t="s">
        <v>2207</v>
      </c>
      <c r="M293" s="255" t="s">
        <v>48</v>
      </c>
      <c r="N293" s="255">
        <v>70000.0</v>
      </c>
      <c r="O293" s="255">
        <v>29200.0</v>
      </c>
      <c r="P293" s="255" t="s">
        <v>2208</v>
      </c>
      <c r="Q293" s="255">
        <v>2.0</v>
      </c>
      <c r="R293" s="259">
        <v>45732.0</v>
      </c>
      <c r="S293" s="260" t="s">
        <v>2250</v>
      </c>
      <c r="T293" s="259">
        <v>45740.0</v>
      </c>
      <c r="U293" s="255">
        <v>0.0</v>
      </c>
    </row>
    <row r="294">
      <c r="A294" s="257">
        <v>45733.024577881944</v>
      </c>
      <c r="B294" s="258" t="s">
        <v>3032</v>
      </c>
      <c r="C294" s="259">
        <v>45732.0</v>
      </c>
      <c r="D294" s="255" t="s">
        <v>3029</v>
      </c>
      <c r="E294" s="255" t="s">
        <v>3030</v>
      </c>
      <c r="H294" s="255" t="s">
        <v>912</v>
      </c>
      <c r="K294" s="255" t="s">
        <v>2207</v>
      </c>
      <c r="L294" s="255" t="s">
        <v>2207</v>
      </c>
      <c r="M294" s="255" t="s">
        <v>77</v>
      </c>
      <c r="N294" s="255">
        <v>70000.0</v>
      </c>
      <c r="O294" s="255">
        <v>31500.0</v>
      </c>
      <c r="P294" s="255" t="s">
        <v>2279</v>
      </c>
      <c r="Q294" s="255">
        <v>2.0</v>
      </c>
      <c r="R294" s="259">
        <v>45732.0</v>
      </c>
      <c r="S294" s="260" t="s">
        <v>2250</v>
      </c>
      <c r="T294" s="259">
        <v>45740.0</v>
      </c>
      <c r="U294" s="255">
        <v>0.0</v>
      </c>
    </row>
    <row r="295">
      <c r="A295" s="257">
        <v>45733.18814167824</v>
      </c>
      <c r="B295" s="258" t="s">
        <v>3033</v>
      </c>
      <c r="C295" s="259">
        <v>45733.0</v>
      </c>
      <c r="D295" s="255" t="s">
        <v>2965</v>
      </c>
      <c r="E295" s="255" t="s">
        <v>2966</v>
      </c>
      <c r="F295" s="255" t="s">
        <v>2967</v>
      </c>
      <c r="H295" s="255">
        <v>7000.0</v>
      </c>
      <c r="I295" s="255">
        <v>750.0</v>
      </c>
      <c r="K295" s="255" t="s">
        <v>2966</v>
      </c>
      <c r="L295" s="255" t="s">
        <v>2966</v>
      </c>
      <c r="M295" s="255" t="s">
        <v>960</v>
      </c>
      <c r="N295" s="255">
        <v>180000.0</v>
      </c>
      <c r="P295" s="255" t="s">
        <v>2208</v>
      </c>
      <c r="Q295" s="255">
        <v>1.0</v>
      </c>
      <c r="R295" s="259">
        <v>45733.0</v>
      </c>
      <c r="S295" s="260" t="s">
        <v>2330</v>
      </c>
      <c r="T295" s="259">
        <v>45738.0</v>
      </c>
      <c r="U295" s="255">
        <v>290.0</v>
      </c>
    </row>
    <row r="296">
      <c r="A296" s="257">
        <v>45733.18951193287</v>
      </c>
      <c r="B296" s="258" t="s">
        <v>3034</v>
      </c>
      <c r="C296" s="259">
        <v>45733.0</v>
      </c>
      <c r="D296" s="255" t="s">
        <v>2965</v>
      </c>
      <c r="E296" s="255" t="s">
        <v>2966</v>
      </c>
      <c r="F296" s="255" t="s">
        <v>2970</v>
      </c>
      <c r="H296" s="255">
        <v>7000.0</v>
      </c>
      <c r="I296" s="255">
        <v>750.0</v>
      </c>
      <c r="K296" s="255" t="s">
        <v>2966</v>
      </c>
      <c r="L296" s="255" t="s">
        <v>2966</v>
      </c>
      <c r="M296" s="255" t="s">
        <v>946</v>
      </c>
      <c r="N296" s="255">
        <v>180000.0</v>
      </c>
      <c r="P296" s="255" t="s">
        <v>2208</v>
      </c>
      <c r="Q296" s="255">
        <v>1.0</v>
      </c>
      <c r="R296" s="259">
        <v>45733.0</v>
      </c>
      <c r="S296" s="260" t="s">
        <v>2330</v>
      </c>
      <c r="T296" s="259">
        <v>45738.0</v>
      </c>
      <c r="U296" s="255">
        <v>290.0</v>
      </c>
    </row>
    <row r="297">
      <c r="A297" s="257">
        <v>45733.4667571875</v>
      </c>
      <c r="B297" s="258" t="s">
        <v>3035</v>
      </c>
      <c r="C297" s="259">
        <v>45733.0</v>
      </c>
      <c r="E297" s="255" t="s">
        <v>3036</v>
      </c>
      <c r="F297" s="255" t="s">
        <v>3037</v>
      </c>
      <c r="H297" s="255">
        <v>3000.0</v>
      </c>
      <c r="I297" s="255">
        <v>355.0</v>
      </c>
      <c r="K297" s="255" t="s">
        <v>2207</v>
      </c>
      <c r="L297" s="255" t="s">
        <v>2207</v>
      </c>
      <c r="M297" s="255" t="s">
        <v>98</v>
      </c>
      <c r="O297" s="255">
        <v>29500.0</v>
      </c>
      <c r="P297" s="255" t="s">
        <v>2270</v>
      </c>
      <c r="Q297" s="255">
        <v>2.0</v>
      </c>
      <c r="R297" s="259">
        <v>45733.0</v>
      </c>
      <c r="S297" s="260" t="s">
        <v>2265</v>
      </c>
      <c r="T297" s="259">
        <v>45745.0</v>
      </c>
      <c r="U297" s="255">
        <v>0.0</v>
      </c>
    </row>
    <row r="298">
      <c r="A298" s="257">
        <v>45733.48402609954</v>
      </c>
      <c r="B298" s="258" t="s">
        <v>3038</v>
      </c>
      <c r="C298" s="259">
        <v>45733.0</v>
      </c>
      <c r="D298" s="255" t="s">
        <v>3039</v>
      </c>
      <c r="E298" s="255" t="s">
        <v>3040</v>
      </c>
      <c r="F298" s="255" t="s">
        <v>3041</v>
      </c>
      <c r="H298" s="255" t="s">
        <v>1502</v>
      </c>
      <c r="J298" s="255">
        <v>20000.0</v>
      </c>
      <c r="K298" s="255" t="s">
        <v>2207</v>
      </c>
      <c r="L298" s="255" t="s">
        <v>2207</v>
      </c>
      <c r="M298" s="255" t="s">
        <v>914</v>
      </c>
      <c r="N298" s="255">
        <v>500000.0</v>
      </c>
      <c r="O298" s="255">
        <v>12000.0</v>
      </c>
      <c r="P298" s="255" t="s">
        <v>2242</v>
      </c>
      <c r="Q298" s="255">
        <v>1.0</v>
      </c>
      <c r="R298" s="259">
        <v>45733.0</v>
      </c>
      <c r="S298" s="260" t="s">
        <v>2265</v>
      </c>
      <c r="T298" s="259">
        <v>45763.0</v>
      </c>
      <c r="U298" s="255">
        <v>0.0</v>
      </c>
    </row>
    <row r="299">
      <c r="A299" s="257">
        <v>45733.490965324076</v>
      </c>
      <c r="B299" s="258" t="s">
        <v>3042</v>
      </c>
      <c r="C299" s="259">
        <v>45733.0</v>
      </c>
      <c r="E299" s="255" t="s">
        <v>3043</v>
      </c>
      <c r="F299" s="255">
        <v>8.9270171453E10</v>
      </c>
      <c r="G299" s="255">
        <v>8.9033340656E10</v>
      </c>
      <c r="H299" s="255">
        <v>20000.0</v>
      </c>
      <c r="I299" s="255">
        <v>1690.0</v>
      </c>
      <c r="K299" s="255" t="s">
        <v>2207</v>
      </c>
      <c r="L299" s="255" t="s">
        <v>2207</v>
      </c>
      <c r="M299" s="255" t="s">
        <v>483</v>
      </c>
      <c r="N299" s="255">
        <v>200000.0</v>
      </c>
      <c r="Q299" s="255">
        <v>1.0</v>
      </c>
      <c r="R299" s="259">
        <v>45733.0</v>
      </c>
      <c r="S299" s="260" t="s">
        <v>2221</v>
      </c>
      <c r="T299" s="259">
        <v>45735.0</v>
      </c>
      <c r="U299" s="255">
        <v>0.0</v>
      </c>
    </row>
    <row r="300">
      <c r="A300" s="257">
        <v>45734.45706922453</v>
      </c>
      <c r="B300" s="258" t="s">
        <v>3044</v>
      </c>
      <c r="C300" s="259">
        <v>45734.0</v>
      </c>
      <c r="D300" s="255" t="s">
        <v>3045</v>
      </c>
      <c r="E300" s="255" t="s">
        <v>3046</v>
      </c>
      <c r="F300" s="255" t="s">
        <v>3047</v>
      </c>
      <c r="H300" s="255">
        <v>3000.0</v>
      </c>
      <c r="I300" s="255">
        <v>363.0</v>
      </c>
      <c r="K300" s="255" t="s">
        <v>3048</v>
      </c>
      <c r="L300" s="255" t="s">
        <v>3030</v>
      </c>
      <c r="M300" s="255" t="s">
        <v>77</v>
      </c>
      <c r="N300" s="255">
        <v>80000.0</v>
      </c>
      <c r="Q300" s="255">
        <v>2.0</v>
      </c>
      <c r="R300" s="259">
        <v>45734.0</v>
      </c>
      <c r="S300" s="260" t="s">
        <v>2265</v>
      </c>
      <c r="T300" s="259">
        <v>45740.0</v>
      </c>
      <c r="U300" s="255">
        <v>290.0</v>
      </c>
    </row>
    <row r="301">
      <c r="A301" s="257">
        <v>45736.23195878472</v>
      </c>
      <c r="B301" s="258" t="s">
        <v>3049</v>
      </c>
      <c r="C301" s="259">
        <v>45736.0</v>
      </c>
      <c r="D301" s="255" t="s">
        <v>3050</v>
      </c>
      <c r="E301" s="255" t="s">
        <v>3051</v>
      </c>
      <c r="F301" s="255" t="s">
        <v>2967</v>
      </c>
      <c r="H301" s="255">
        <v>7000.0</v>
      </c>
      <c r="I301" s="255">
        <v>700.0</v>
      </c>
      <c r="K301" s="255" t="s">
        <v>2207</v>
      </c>
      <c r="L301" s="255" t="s">
        <v>2207</v>
      </c>
      <c r="M301" s="255" t="s">
        <v>946</v>
      </c>
      <c r="N301" s="255">
        <v>180000.0</v>
      </c>
      <c r="P301" s="255" t="s">
        <v>2208</v>
      </c>
      <c r="Q301" s="255">
        <v>1.0</v>
      </c>
      <c r="R301" s="259">
        <v>45736.0</v>
      </c>
      <c r="S301" s="260" t="s">
        <v>2330</v>
      </c>
      <c r="T301" s="259">
        <v>45743.0</v>
      </c>
      <c r="U301" s="255">
        <v>0.0</v>
      </c>
    </row>
    <row r="302">
      <c r="A302" s="257">
        <v>45738.215910127314</v>
      </c>
      <c r="B302" s="258" t="s">
        <v>3052</v>
      </c>
      <c r="C302" s="259">
        <v>45738.0</v>
      </c>
      <c r="D302" s="255" t="s">
        <v>3053</v>
      </c>
      <c r="E302" s="255" t="s">
        <v>3054</v>
      </c>
      <c r="F302" s="260" t="s">
        <v>3055</v>
      </c>
      <c r="H302" s="255">
        <v>3000.0</v>
      </c>
      <c r="I302" s="255">
        <v>384.0</v>
      </c>
      <c r="K302" s="255" t="s">
        <v>3054</v>
      </c>
      <c r="L302" s="255" t="s">
        <v>3054</v>
      </c>
      <c r="M302" s="255" t="s">
        <v>114</v>
      </c>
      <c r="N302" s="255">
        <v>70000.0</v>
      </c>
      <c r="P302" s="255" t="s">
        <v>2208</v>
      </c>
      <c r="Q302" s="255">
        <v>2.0</v>
      </c>
      <c r="R302" s="259">
        <v>45738.0</v>
      </c>
      <c r="S302" s="260" t="s">
        <v>2330</v>
      </c>
      <c r="T302" s="259">
        <v>45745.0</v>
      </c>
      <c r="U302" s="255">
        <v>290.0</v>
      </c>
    </row>
    <row r="303">
      <c r="A303" s="257">
        <v>45739.77136344908</v>
      </c>
      <c r="B303" s="258" t="s">
        <v>3056</v>
      </c>
      <c r="C303" s="259">
        <v>45739.0</v>
      </c>
      <c r="E303" s="255" t="s">
        <v>3057</v>
      </c>
      <c r="F303" s="255" t="s">
        <v>3058</v>
      </c>
      <c r="H303" s="255">
        <v>3000.0</v>
      </c>
      <c r="I303" s="255">
        <v>347.0</v>
      </c>
      <c r="K303" s="255" t="s">
        <v>2207</v>
      </c>
      <c r="L303" s="255" t="s">
        <v>2207</v>
      </c>
      <c r="M303" s="255" t="s">
        <v>2220</v>
      </c>
      <c r="N303" s="255">
        <v>70000.0</v>
      </c>
      <c r="P303" s="255" t="s">
        <v>2208</v>
      </c>
      <c r="Q303" s="255">
        <v>2.0</v>
      </c>
      <c r="R303" s="259">
        <v>45739.0</v>
      </c>
      <c r="S303" s="260" t="s">
        <v>2209</v>
      </c>
      <c r="T303" s="259">
        <v>45748.0</v>
      </c>
      <c r="U303" s="255">
        <v>0.0</v>
      </c>
    </row>
    <row r="304">
      <c r="A304" s="257">
        <v>45740.70728974537</v>
      </c>
      <c r="B304" s="258" t="s">
        <v>3059</v>
      </c>
      <c r="C304" s="259">
        <v>45740.0</v>
      </c>
      <c r="D304" s="255" t="s">
        <v>3060</v>
      </c>
      <c r="E304" s="255" t="s">
        <v>3061</v>
      </c>
      <c r="F304" s="255" t="s">
        <v>3062</v>
      </c>
      <c r="H304" s="255">
        <v>3000.0</v>
      </c>
      <c r="I304" s="255">
        <v>404.0</v>
      </c>
      <c r="K304" s="255" t="s">
        <v>3061</v>
      </c>
      <c r="L304" s="255" t="s">
        <v>3061</v>
      </c>
      <c r="M304" s="255" t="s">
        <v>106</v>
      </c>
      <c r="N304" s="255">
        <v>70000.0</v>
      </c>
      <c r="P304" s="255" t="s">
        <v>2208</v>
      </c>
      <c r="Q304" s="255">
        <v>2.0</v>
      </c>
      <c r="R304" s="259">
        <v>45740.0</v>
      </c>
      <c r="S304" s="260" t="s">
        <v>2250</v>
      </c>
      <c r="T304" s="259">
        <v>45745.0</v>
      </c>
      <c r="U304" s="255">
        <v>290.0</v>
      </c>
    </row>
    <row r="305">
      <c r="A305" s="257">
        <v>45741.21808815972</v>
      </c>
      <c r="B305" s="258" t="s">
        <v>3063</v>
      </c>
      <c r="C305" s="259">
        <v>45741.0</v>
      </c>
      <c r="E305" s="255" t="s">
        <v>3064</v>
      </c>
      <c r="F305" s="255" t="s">
        <v>3065</v>
      </c>
      <c r="G305" s="255">
        <v>7.9959969933E10</v>
      </c>
      <c r="H305" s="255">
        <v>7000.0</v>
      </c>
      <c r="I305" s="255">
        <v>898.0</v>
      </c>
      <c r="K305" s="255" t="s">
        <v>3064</v>
      </c>
      <c r="L305" s="255" t="s">
        <v>3064</v>
      </c>
      <c r="M305" s="255" t="s">
        <v>941</v>
      </c>
      <c r="N305" s="255">
        <v>180000.0</v>
      </c>
      <c r="P305" s="255" t="s">
        <v>2208</v>
      </c>
      <c r="Q305" s="255">
        <v>3.0</v>
      </c>
      <c r="R305" s="259">
        <v>45741.0</v>
      </c>
      <c r="S305" s="260" t="s">
        <v>2324</v>
      </c>
      <c r="T305" s="259">
        <v>45746.0</v>
      </c>
      <c r="U305" s="255">
        <v>490.0</v>
      </c>
    </row>
    <row r="306">
      <c r="A306" s="257">
        <v>45741.5651497338</v>
      </c>
      <c r="B306" s="258" t="s">
        <v>3066</v>
      </c>
      <c r="C306" s="259">
        <v>45741.0</v>
      </c>
      <c r="D306" s="255" t="s">
        <v>3067</v>
      </c>
      <c r="E306" s="255" t="s">
        <v>3068</v>
      </c>
      <c r="F306" s="255">
        <v>6.695213653E10</v>
      </c>
      <c r="H306" s="255">
        <v>8000.0</v>
      </c>
      <c r="I306" s="255">
        <v>432.0</v>
      </c>
      <c r="K306" s="255" t="s">
        <v>2269</v>
      </c>
      <c r="L306" s="255" t="s">
        <v>2269</v>
      </c>
      <c r="M306" s="255" t="s">
        <v>193</v>
      </c>
      <c r="N306" s="255">
        <v>75000.0</v>
      </c>
      <c r="P306" s="255" t="s">
        <v>2208</v>
      </c>
      <c r="Q306" s="255">
        <v>2.0</v>
      </c>
      <c r="R306" s="259">
        <v>45755.0</v>
      </c>
      <c r="S306" s="260" t="s">
        <v>2221</v>
      </c>
      <c r="T306" s="259">
        <v>45765.0</v>
      </c>
      <c r="U306" s="255">
        <v>0.0</v>
      </c>
    </row>
    <row r="307">
      <c r="A307" s="257">
        <v>45741.5743409375</v>
      </c>
      <c r="B307" s="258" t="s">
        <v>3069</v>
      </c>
      <c r="C307" s="259">
        <v>45741.0</v>
      </c>
      <c r="D307" s="255" t="s">
        <v>3070</v>
      </c>
      <c r="E307" s="255" t="s">
        <v>3071</v>
      </c>
      <c r="F307" s="255">
        <v>8.9650875E10</v>
      </c>
      <c r="G307" s="255">
        <v>8.9990302818E10</v>
      </c>
      <c r="H307" s="255" t="s">
        <v>515</v>
      </c>
      <c r="I307" s="255">
        <v>519.0</v>
      </c>
      <c r="K307" s="255" t="s">
        <v>3072</v>
      </c>
      <c r="L307" s="255" t="s">
        <v>3072</v>
      </c>
      <c r="M307" s="255" t="s">
        <v>286</v>
      </c>
      <c r="N307" s="255">
        <v>75000.0</v>
      </c>
      <c r="P307" s="255" t="s">
        <v>2208</v>
      </c>
      <c r="Q307" s="255">
        <v>2.0</v>
      </c>
      <c r="R307" s="259">
        <v>45761.0</v>
      </c>
      <c r="S307" s="260" t="s">
        <v>2221</v>
      </c>
      <c r="T307" s="259">
        <v>45769.0</v>
      </c>
      <c r="U307" s="255">
        <v>390.0</v>
      </c>
    </row>
    <row r="308">
      <c r="A308" s="257">
        <v>45742.56259876158</v>
      </c>
      <c r="B308" s="258" t="s">
        <v>3073</v>
      </c>
      <c r="C308" s="259">
        <v>45742.0</v>
      </c>
      <c r="F308" s="255" t="s">
        <v>2415</v>
      </c>
      <c r="H308" s="255">
        <v>20000.0</v>
      </c>
      <c r="I308" s="255">
        <v>1333.0</v>
      </c>
      <c r="K308" s="255" t="s">
        <v>2269</v>
      </c>
      <c r="L308" s="255" t="s">
        <v>2269</v>
      </c>
      <c r="M308" s="255" t="s">
        <v>102</v>
      </c>
      <c r="N308" s="255">
        <v>200000.0</v>
      </c>
      <c r="P308" s="255" t="s">
        <v>2208</v>
      </c>
      <c r="Q308" s="255">
        <v>2.0</v>
      </c>
      <c r="R308" s="259">
        <v>45745.0</v>
      </c>
      <c r="S308" s="260" t="s">
        <v>2330</v>
      </c>
      <c r="T308" s="259">
        <v>45748.0</v>
      </c>
      <c r="U308" s="255">
        <v>190.0</v>
      </c>
    </row>
    <row r="309">
      <c r="A309" s="257">
        <v>45742.57511445602</v>
      </c>
      <c r="B309" s="258" t="s">
        <v>3074</v>
      </c>
      <c r="C309" s="259">
        <v>45742.0</v>
      </c>
      <c r="E309" s="255" t="s">
        <v>3075</v>
      </c>
      <c r="I309" s="255">
        <v>1866.0</v>
      </c>
      <c r="K309" s="255" t="s">
        <v>3075</v>
      </c>
      <c r="L309" s="255" t="s">
        <v>3075</v>
      </c>
      <c r="M309" s="255" t="s">
        <v>914</v>
      </c>
      <c r="N309" s="255">
        <v>500000.0</v>
      </c>
      <c r="P309" s="255" t="s">
        <v>2208</v>
      </c>
      <c r="Q309" s="255">
        <v>0.0</v>
      </c>
      <c r="R309" s="259">
        <v>45770.0</v>
      </c>
      <c r="T309" s="259">
        <v>45791.0</v>
      </c>
      <c r="U309" s="255">
        <v>0.0</v>
      </c>
    </row>
    <row r="310">
      <c r="A310" s="257">
        <v>45742.579486250004</v>
      </c>
      <c r="B310" s="258" t="s">
        <v>3076</v>
      </c>
      <c r="C310" s="259">
        <v>45742.0</v>
      </c>
      <c r="E310" s="255" t="s">
        <v>3077</v>
      </c>
      <c r="F310" s="255" t="s">
        <v>2384</v>
      </c>
      <c r="I310" s="255">
        <v>1985.0</v>
      </c>
      <c r="K310" s="255" t="s">
        <v>3077</v>
      </c>
      <c r="L310" s="255" t="s">
        <v>3077</v>
      </c>
      <c r="M310" s="255" t="s">
        <v>967</v>
      </c>
      <c r="N310" s="255">
        <v>500000.0</v>
      </c>
      <c r="P310" s="255" t="s">
        <v>2208</v>
      </c>
      <c r="Q310" s="255">
        <v>1.0</v>
      </c>
      <c r="R310" s="259">
        <v>45774.0</v>
      </c>
      <c r="S310" s="260" t="s">
        <v>2330</v>
      </c>
      <c r="T310" s="259">
        <v>45789.0</v>
      </c>
      <c r="U310" s="255">
        <v>0.0</v>
      </c>
    </row>
    <row r="311">
      <c r="A311" s="257">
        <v>45742.74143736111</v>
      </c>
      <c r="B311" s="258" t="s">
        <v>3078</v>
      </c>
      <c r="C311" s="259">
        <v>45742.0</v>
      </c>
      <c r="F311" s="255" t="s">
        <v>3079</v>
      </c>
      <c r="H311" s="261">
        <v>600.0</v>
      </c>
      <c r="I311" s="255">
        <v>1528.0</v>
      </c>
      <c r="K311" s="255" t="s">
        <v>2207</v>
      </c>
      <c r="L311" s="255" t="s">
        <v>2207</v>
      </c>
      <c r="M311" s="255" t="s">
        <v>102</v>
      </c>
      <c r="N311" s="255">
        <v>200000.0</v>
      </c>
      <c r="P311" s="255" t="s">
        <v>2208</v>
      </c>
      <c r="Q311" s="255">
        <v>2.0</v>
      </c>
      <c r="R311" s="259">
        <v>45742.0</v>
      </c>
      <c r="S311" s="260" t="s">
        <v>2246</v>
      </c>
      <c r="T311" s="259">
        <v>45744.0</v>
      </c>
      <c r="U311" s="255">
        <v>0.0</v>
      </c>
    </row>
    <row r="312">
      <c r="A312" s="257">
        <v>45742.74267898148</v>
      </c>
      <c r="B312" s="258" t="s">
        <v>3080</v>
      </c>
      <c r="C312" s="259">
        <v>45742.0</v>
      </c>
      <c r="F312" s="255" t="s">
        <v>3079</v>
      </c>
      <c r="H312" s="261">
        <v>600.0</v>
      </c>
      <c r="I312" s="255">
        <v>1528.0</v>
      </c>
      <c r="K312" s="255" t="s">
        <v>2269</v>
      </c>
      <c r="L312" s="255" t="s">
        <v>2269</v>
      </c>
      <c r="M312" s="255" t="s">
        <v>916</v>
      </c>
      <c r="N312" s="255">
        <v>200000.0</v>
      </c>
      <c r="P312" s="255" t="s">
        <v>2208</v>
      </c>
      <c r="Q312" s="255">
        <v>2.0</v>
      </c>
      <c r="R312" s="259">
        <v>45744.0</v>
      </c>
      <c r="S312" s="260" t="s">
        <v>2330</v>
      </c>
      <c r="T312" s="259">
        <v>45745.0</v>
      </c>
      <c r="U312" s="255">
        <v>0.0</v>
      </c>
    </row>
    <row r="313">
      <c r="A313" s="257">
        <v>45743.478819780095</v>
      </c>
      <c r="B313" s="258" t="s">
        <v>3081</v>
      </c>
      <c r="C313" s="259">
        <v>45743.0</v>
      </c>
      <c r="D313" s="255" t="s">
        <v>3082</v>
      </c>
      <c r="E313" s="255" t="s">
        <v>3083</v>
      </c>
      <c r="F313" s="255" t="s">
        <v>3084</v>
      </c>
      <c r="H313" s="255">
        <v>7000.0</v>
      </c>
      <c r="J313" s="255">
        <v>6900.0</v>
      </c>
      <c r="K313" s="255" t="s">
        <v>2207</v>
      </c>
      <c r="L313" s="255" t="s">
        <v>2207</v>
      </c>
      <c r="M313" s="255" t="s">
        <v>193</v>
      </c>
      <c r="N313" s="255">
        <v>100000.0</v>
      </c>
      <c r="O313" s="255">
        <v>16000.0</v>
      </c>
      <c r="P313" s="255" t="s">
        <v>2208</v>
      </c>
      <c r="Q313" s="255">
        <v>2.0</v>
      </c>
      <c r="R313" s="259">
        <v>45743.0</v>
      </c>
      <c r="S313" s="260" t="s">
        <v>2265</v>
      </c>
      <c r="T313" s="259">
        <v>45773.0</v>
      </c>
      <c r="U313" s="255">
        <v>0.0</v>
      </c>
    </row>
    <row r="314">
      <c r="A314" s="257">
        <v>45743.559985520835</v>
      </c>
      <c r="B314" s="258" t="s">
        <v>3085</v>
      </c>
      <c r="C314" s="259">
        <v>45743.0</v>
      </c>
      <c r="H314" s="255">
        <v>7000.0</v>
      </c>
    </row>
    <row r="315">
      <c r="A315" s="257">
        <v>45743.75388113426</v>
      </c>
      <c r="B315" s="258" t="s">
        <v>3086</v>
      </c>
      <c r="C315" s="259">
        <v>45742.0</v>
      </c>
      <c r="E315" s="255" t="s">
        <v>3087</v>
      </c>
      <c r="F315" s="255" t="s">
        <v>3079</v>
      </c>
      <c r="H315" s="261">
        <v>600.0</v>
      </c>
      <c r="I315" s="255">
        <v>1528.0</v>
      </c>
      <c r="K315" s="255" t="s">
        <v>2269</v>
      </c>
      <c r="L315" s="255" t="s">
        <v>2269</v>
      </c>
      <c r="M315" s="255" t="s">
        <v>102</v>
      </c>
      <c r="N315" s="255">
        <v>200000.0</v>
      </c>
      <c r="P315" s="255" t="s">
        <v>2208</v>
      </c>
      <c r="Q315" s="255">
        <v>2.0</v>
      </c>
      <c r="R315" s="259">
        <v>45742.0</v>
      </c>
      <c r="S315" s="260" t="s">
        <v>2246</v>
      </c>
      <c r="T315" s="259">
        <v>45744.0</v>
      </c>
      <c r="U315" s="255">
        <v>0.0</v>
      </c>
    </row>
    <row r="316">
      <c r="A316" s="257">
        <v>45743.79899895833</v>
      </c>
      <c r="B316" s="258" t="s">
        <v>3088</v>
      </c>
      <c r="C316" s="259">
        <v>45742.0</v>
      </c>
      <c r="F316" s="255" t="s">
        <v>3089</v>
      </c>
      <c r="H316" s="255">
        <v>3000.0</v>
      </c>
      <c r="I316" s="255">
        <v>341.0</v>
      </c>
      <c r="K316" s="255" t="s">
        <v>2207</v>
      </c>
      <c r="L316" s="255" t="s">
        <v>2207</v>
      </c>
      <c r="M316" s="255" t="s">
        <v>98</v>
      </c>
      <c r="N316" s="255">
        <v>70000.0</v>
      </c>
      <c r="O316" s="255">
        <v>29656.0</v>
      </c>
      <c r="P316" s="255" t="s">
        <v>2208</v>
      </c>
      <c r="Q316" s="255">
        <v>2.0</v>
      </c>
      <c r="R316" s="259">
        <v>45742.0</v>
      </c>
      <c r="S316" s="260" t="s">
        <v>2235</v>
      </c>
      <c r="T316" s="259">
        <v>45749.0</v>
      </c>
      <c r="U316" s="255">
        <v>0.0</v>
      </c>
    </row>
    <row r="317">
      <c r="A317" s="257">
        <v>45743.82541708333</v>
      </c>
      <c r="B317" s="258" t="s">
        <v>3090</v>
      </c>
      <c r="C317" s="259">
        <v>45743.0</v>
      </c>
      <c r="D317" s="255" t="s">
        <v>3039</v>
      </c>
      <c r="E317" s="255" t="s">
        <v>3040</v>
      </c>
      <c r="F317" s="255" t="s">
        <v>3041</v>
      </c>
      <c r="H317" s="255">
        <v>3000.0</v>
      </c>
      <c r="J317" s="255">
        <v>6000.0</v>
      </c>
      <c r="K317" s="255" t="s">
        <v>2207</v>
      </c>
      <c r="L317" s="255" t="s">
        <v>2207</v>
      </c>
      <c r="M317" s="255" t="s">
        <v>48</v>
      </c>
      <c r="N317" s="255">
        <v>70000.0</v>
      </c>
      <c r="P317" s="255" t="s">
        <v>2208</v>
      </c>
      <c r="Q317" s="255">
        <v>1.0</v>
      </c>
      <c r="R317" s="259">
        <v>45743.0</v>
      </c>
      <c r="S317" s="260" t="s">
        <v>2209</v>
      </c>
      <c r="T317" s="259">
        <v>45774.0</v>
      </c>
      <c r="U317" s="255">
        <v>0.0</v>
      </c>
    </row>
    <row r="318">
      <c r="A318" s="257">
        <v>45744.4850771875</v>
      </c>
      <c r="B318" s="258" t="s">
        <v>3091</v>
      </c>
      <c r="C318" s="259">
        <v>45744.0</v>
      </c>
      <c r="E318" s="255" t="s">
        <v>3092</v>
      </c>
      <c r="F318" s="255">
        <v>7.9117633623E10</v>
      </c>
      <c r="G318" s="255" t="s">
        <v>3093</v>
      </c>
      <c r="H318" s="255">
        <v>5000.0</v>
      </c>
      <c r="I318" s="255">
        <v>600.0</v>
      </c>
      <c r="K318" s="255" t="s">
        <v>2207</v>
      </c>
      <c r="L318" s="255" t="s">
        <v>2207</v>
      </c>
      <c r="M318" s="255" t="s">
        <v>64</v>
      </c>
      <c r="N318" s="255">
        <v>140000.0</v>
      </c>
      <c r="P318" s="255" t="s">
        <v>2208</v>
      </c>
      <c r="Q318" s="255">
        <v>2.0</v>
      </c>
      <c r="R318" s="259">
        <v>45744.0</v>
      </c>
      <c r="S318" s="260" t="s">
        <v>2265</v>
      </c>
      <c r="T318" s="259">
        <v>45751.0</v>
      </c>
      <c r="U318" s="255">
        <v>0.0</v>
      </c>
    </row>
    <row r="319">
      <c r="A319" s="257">
        <v>45744.5025952662</v>
      </c>
      <c r="B319" s="258" t="s">
        <v>3094</v>
      </c>
      <c r="C319" s="259">
        <v>45775.0</v>
      </c>
      <c r="E319" s="255" t="s">
        <v>3092</v>
      </c>
      <c r="F319" s="255">
        <v>7.9117633623E10</v>
      </c>
      <c r="G319" s="255" t="s">
        <v>3093</v>
      </c>
      <c r="H319" s="255">
        <v>5000.0</v>
      </c>
      <c r="I319" s="255">
        <v>600.0</v>
      </c>
      <c r="K319" s="255" t="s">
        <v>2207</v>
      </c>
      <c r="L319" s="255" t="s">
        <v>2207</v>
      </c>
      <c r="M319" s="255" t="s">
        <v>64</v>
      </c>
      <c r="N319" s="255">
        <v>140000.0</v>
      </c>
      <c r="O319" s="255">
        <v>29123.0</v>
      </c>
      <c r="P319" s="255" t="s">
        <v>2320</v>
      </c>
      <c r="Q319" s="255">
        <v>2.0</v>
      </c>
      <c r="R319" s="259">
        <v>45775.0</v>
      </c>
      <c r="S319" s="260" t="s">
        <v>2330</v>
      </c>
      <c r="T319" s="259">
        <v>45751.0</v>
      </c>
      <c r="U319" s="255">
        <v>0.0</v>
      </c>
    </row>
    <row r="320">
      <c r="A320" s="257">
        <v>45744.567486307875</v>
      </c>
      <c r="B320" s="258" t="s">
        <v>3095</v>
      </c>
      <c r="M320" s="255" t="s">
        <v>102</v>
      </c>
    </row>
    <row r="321">
      <c r="A321" s="257">
        <v>45744.80998626158</v>
      </c>
      <c r="B321" s="258" t="s">
        <v>3096</v>
      </c>
      <c r="C321" s="259">
        <v>45744.0</v>
      </c>
      <c r="D321" s="255" t="s">
        <v>3093</v>
      </c>
      <c r="E321" s="255" t="s">
        <v>3092</v>
      </c>
      <c r="F321" s="255">
        <v>7.9117633623E10</v>
      </c>
      <c r="G321" s="260" t="s">
        <v>3097</v>
      </c>
      <c r="H321" s="255">
        <v>5000.0</v>
      </c>
      <c r="I321" s="255">
        <v>600.0</v>
      </c>
      <c r="K321" s="255" t="s">
        <v>2207</v>
      </c>
      <c r="L321" s="255" t="s">
        <v>2207</v>
      </c>
      <c r="M321" s="255" t="s">
        <v>64</v>
      </c>
      <c r="N321" s="255">
        <v>140000.0</v>
      </c>
      <c r="O321" s="255">
        <v>29500.0</v>
      </c>
      <c r="P321" s="255" t="s">
        <v>2320</v>
      </c>
      <c r="Q321" s="255">
        <v>1.0</v>
      </c>
      <c r="R321" s="259">
        <v>45744.0</v>
      </c>
      <c r="S321" s="260" t="s">
        <v>2330</v>
      </c>
      <c r="T321" s="259">
        <v>45751.0</v>
      </c>
      <c r="U321" s="255">
        <v>0.0</v>
      </c>
      <c r="V321" s="255" t="s">
        <v>1873</v>
      </c>
    </row>
    <row r="322">
      <c r="A322" s="257">
        <v>45745.67793041667</v>
      </c>
      <c r="B322" s="258" t="s">
        <v>3098</v>
      </c>
      <c r="C322" s="259">
        <v>45745.0</v>
      </c>
      <c r="D322" s="255" t="s">
        <v>3099</v>
      </c>
      <c r="E322" s="255" t="s">
        <v>3100</v>
      </c>
      <c r="F322" s="255" t="s">
        <v>3101</v>
      </c>
      <c r="H322" s="255">
        <v>3000.0</v>
      </c>
      <c r="I322" s="255">
        <v>321.0</v>
      </c>
      <c r="K322" s="255" t="s">
        <v>2269</v>
      </c>
      <c r="L322" s="255" t="s">
        <v>2269</v>
      </c>
      <c r="M322" s="255" t="s">
        <v>106</v>
      </c>
      <c r="N322" s="255">
        <v>80000.0</v>
      </c>
      <c r="O322" s="255">
        <v>25103.0</v>
      </c>
      <c r="P322" s="255" t="s">
        <v>2208</v>
      </c>
      <c r="Q322" s="255">
        <v>2.0</v>
      </c>
      <c r="R322" s="259">
        <v>45745.0</v>
      </c>
      <c r="S322" s="260" t="s">
        <v>2215</v>
      </c>
      <c r="T322" s="259">
        <v>45756.0</v>
      </c>
      <c r="U322" s="255">
        <v>0.0</v>
      </c>
    </row>
    <row r="323">
      <c r="A323" s="257">
        <v>45746.4917933449</v>
      </c>
      <c r="B323" s="258" t="s">
        <v>3102</v>
      </c>
      <c r="C323" s="259">
        <v>45746.0</v>
      </c>
      <c r="D323" s="255" t="s">
        <v>3103</v>
      </c>
      <c r="E323" s="255" t="s">
        <v>3104</v>
      </c>
      <c r="F323" s="255" t="s">
        <v>3105</v>
      </c>
      <c r="H323" s="255">
        <v>7000.0</v>
      </c>
      <c r="I323" s="255">
        <v>660.0</v>
      </c>
      <c r="K323" s="255" t="s">
        <v>3104</v>
      </c>
      <c r="L323" s="255" t="s">
        <v>3104</v>
      </c>
      <c r="M323" s="255" t="s">
        <v>960</v>
      </c>
      <c r="N323" s="255">
        <v>180000.0</v>
      </c>
      <c r="O323" s="255">
        <v>14000.0</v>
      </c>
      <c r="P323" s="255" t="s">
        <v>2208</v>
      </c>
      <c r="Q323" s="255">
        <v>3.0</v>
      </c>
      <c r="R323" s="259">
        <v>45746.0</v>
      </c>
      <c r="S323" s="260" t="s">
        <v>2330</v>
      </c>
      <c r="T323" s="259">
        <v>45758.0</v>
      </c>
      <c r="U323" s="255">
        <v>690.0</v>
      </c>
    </row>
    <row r="324">
      <c r="A324" s="257">
        <v>45748.27905809028</v>
      </c>
      <c r="B324" s="258" t="s">
        <v>3106</v>
      </c>
      <c r="C324" s="259">
        <v>45748.0</v>
      </c>
      <c r="D324" s="255" t="s">
        <v>3107</v>
      </c>
      <c r="E324" s="255" t="s">
        <v>3108</v>
      </c>
      <c r="F324" s="260" t="s">
        <v>3109</v>
      </c>
      <c r="H324" s="255">
        <v>3000.0</v>
      </c>
      <c r="J324" s="255">
        <v>5990.0</v>
      </c>
      <c r="K324" s="255" t="s">
        <v>3108</v>
      </c>
      <c r="L324" s="255" t="s">
        <v>3108</v>
      </c>
      <c r="M324" s="255" t="s">
        <v>48</v>
      </c>
      <c r="N324" s="255">
        <v>70000.0</v>
      </c>
      <c r="P324" s="255" t="s">
        <v>2208</v>
      </c>
      <c r="Q324" s="255">
        <v>1.0</v>
      </c>
      <c r="R324" s="259">
        <v>45748.0</v>
      </c>
      <c r="S324" s="260" t="s">
        <v>2265</v>
      </c>
      <c r="T324" s="259">
        <v>45778.0</v>
      </c>
      <c r="U324" s="255">
        <v>490.0</v>
      </c>
    </row>
    <row r="325">
      <c r="A325" s="257">
        <v>45748.55895486111</v>
      </c>
      <c r="B325" s="258" t="s">
        <v>3110</v>
      </c>
      <c r="C325" s="259">
        <v>45748.0</v>
      </c>
      <c r="E325" s="255" t="s">
        <v>3111</v>
      </c>
      <c r="F325" s="255" t="s">
        <v>3112</v>
      </c>
      <c r="H325" s="255">
        <v>3000.0</v>
      </c>
      <c r="I325" s="255">
        <v>300.0</v>
      </c>
      <c r="K325" s="255" t="s">
        <v>2269</v>
      </c>
      <c r="L325" s="255" t="s">
        <v>2269</v>
      </c>
      <c r="M325" s="255" t="s">
        <v>77</v>
      </c>
      <c r="N325" s="255">
        <v>70000.0</v>
      </c>
      <c r="O325" s="255">
        <v>32245.0</v>
      </c>
      <c r="P325" s="255" t="s">
        <v>2208</v>
      </c>
      <c r="Q325" s="255">
        <v>1.0</v>
      </c>
      <c r="R325" s="259">
        <v>45748.0</v>
      </c>
      <c r="S325" s="260" t="s">
        <v>2221</v>
      </c>
      <c r="T325" s="259">
        <v>45754.0</v>
      </c>
      <c r="U325" s="255">
        <v>0.0</v>
      </c>
    </row>
    <row r="326">
      <c r="A326" s="257">
        <v>45748.5616928588</v>
      </c>
      <c r="B326" s="258" t="s">
        <v>3113</v>
      </c>
      <c r="C326" s="259">
        <v>45748.0</v>
      </c>
      <c r="E326" s="255" t="s">
        <v>3114</v>
      </c>
      <c r="F326" s="255" t="s">
        <v>3112</v>
      </c>
      <c r="H326" s="255">
        <v>3000.0</v>
      </c>
      <c r="I326" s="255">
        <v>300.0</v>
      </c>
      <c r="K326" s="255" t="s">
        <v>2269</v>
      </c>
      <c r="L326" s="255" t="s">
        <v>2269</v>
      </c>
      <c r="M326" s="255" t="s">
        <v>68</v>
      </c>
      <c r="N326" s="255">
        <v>70000.0</v>
      </c>
      <c r="O326" s="255">
        <v>33428.0</v>
      </c>
      <c r="P326" s="255" t="s">
        <v>2208</v>
      </c>
      <c r="Q326" s="255">
        <v>1.0</v>
      </c>
      <c r="R326" s="259">
        <v>45748.0</v>
      </c>
      <c r="S326" s="260" t="s">
        <v>2221</v>
      </c>
      <c r="T326" s="259">
        <v>45754.0</v>
      </c>
      <c r="U326" s="255">
        <v>0.0</v>
      </c>
    </row>
    <row r="327">
      <c r="A327" s="257">
        <v>45748.56391039352</v>
      </c>
      <c r="B327" s="258" t="s">
        <v>3115</v>
      </c>
      <c r="C327" s="259">
        <v>45748.0</v>
      </c>
      <c r="E327" s="255" t="s">
        <v>3116</v>
      </c>
      <c r="F327" s="255" t="s">
        <v>3112</v>
      </c>
      <c r="H327" s="255">
        <v>3000.0</v>
      </c>
      <c r="I327" s="255">
        <v>300.0</v>
      </c>
      <c r="K327" s="255" t="s">
        <v>2269</v>
      </c>
      <c r="L327" s="255" t="s">
        <v>2269</v>
      </c>
      <c r="N327" s="255">
        <v>70000.0</v>
      </c>
      <c r="P327" s="255" t="s">
        <v>2208</v>
      </c>
      <c r="Q327" s="255">
        <v>1.0</v>
      </c>
      <c r="R327" s="259">
        <v>45748.0</v>
      </c>
      <c r="T327" s="259">
        <v>45754.0</v>
      </c>
      <c r="U327" s="255">
        <v>0.0</v>
      </c>
    </row>
    <row r="328">
      <c r="A328" s="257">
        <v>45748.5691521875</v>
      </c>
      <c r="B328" s="258" t="s">
        <v>3117</v>
      </c>
      <c r="C328" s="259">
        <v>45748.0</v>
      </c>
      <c r="E328" s="255" t="s">
        <v>3116</v>
      </c>
      <c r="F328" s="255" t="s">
        <v>3112</v>
      </c>
      <c r="H328" s="255">
        <v>3000.0</v>
      </c>
      <c r="I328" s="255">
        <v>300.0</v>
      </c>
      <c r="K328" s="255" t="s">
        <v>2269</v>
      </c>
      <c r="L328" s="255" t="s">
        <v>2269</v>
      </c>
      <c r="M328" s="255" t="s">
        <v>151</v>
      </c>
      <c r="N328" s="255">
        <v>70000.0</v>
      </c>
      <c r="O328" s="255">
        <v>30084.0</v>
      </c>
      <c r="P328" s="255" t="s">
        <v>2320</v>
      </c>
      <c r="Q328" s="255">
        <v>1.0</v>
      </c>
      <c r="R328" s="259">
        <v>45748.0</v>
      </c>
      <c r="S328" s="260" t="s">
        <v>2221</v>
      </c>
      <c r="T328" s="259">
        <v>45754.0</v>
      </c>
      <c r="U328" s="255">
        <v>0.0</v>
      </c>
    </row>
    <row r="329">
      <c r="A329" s="257">
        <v>45748.57280796296</v>
      </c>
      <c r="B329" s="258" t="s">
        <v>3118</v>
      </c>
      <c r="C329" s="259">
        <v>45748.0</v>
      </c>
      <c r="E329" s="255" t="s">
        <v>3116</v>
      </c>
      <c r="F329" s="255" t="s">
        <v>3112</v>
      </c>
      <c r="H329" s="255">
        <v>3000.0</v>
      </c>
      <c r="I329" s="255">
        <v>300.0</v>
      </c>
      <c r="K329" s="255" t="s">
        <v>2269</v>
      </c>
      <c r="L329" s="255" t="s">
        <v>2269</v>
      </c>
      <c r="M329" s="255" t="s">
        <v>26</v>
      </c>
      <c r="N329" s="255">
        <v>70000.0</v>
      </c>
      <c r="P329" s="255" t="s">
        <v>2208</v>
      </c>
      <c r="Q329" s="255">
        <v>1.0</v>
      </c>
      <c r="R329" s="259">
        <v>45748.0</v>
      </c>
      <c r="S329" s="260" t="s">
        <v>2221</v>
      </c>
      <c r="T329" s="259">
        <v>45754.0</v>
      </c>
      <c r="U329" s="255">
        <v>0.0</v>
      </c>
    </row>
    <row r="330">
      <c r="A330" s="257">
        <v>45748.5741483912</v>
      </c>
      <c r="B330" s="258" t="s">
        <v>3119</v>
      </c>
      <c r="C330" s="259">
        <v>45748.0</v>
      </c>
      <c r="E330" s="255" t="s">
        <v>3116</v>
      </c>
      <c r="F330" s="255" t="s">
        <v>3112</v>
      </c>
      <c r="H330" s="255">
        <v>3000.0</v>
      </c>
      <c r="I330" s="255">
        <v>300.0</v>
      </c>
      <c r="K330" s="255" t="s">
        <v>2269</v>
      </c>
      <c r="L330" s="255" t="s">
        <v>2269</v>
      </c>
      <c r="N330" s="255">
        <v>70000.0</v>
      </c>
      <c r="P330" s="255" t="s">
        <v>2208</v>
      </c>
      <c r="Q330" s="255">
        <v>1.0</v>
      </c>
      <c r="R330" s="259">
        <v>45748.0</v>
      </c>
      <c r="S330" s="260" t="s">
        <v>2221</v>
      </c>
      <c r="T330" s="259">
        <v>45754.0</v>
      </c>
      <c r="U330" s="255">
        <v>0.0</v>
      </c>
    </row>
    <row r="331">
      <c r="A331" s="257">
        <v>45749.73590885417</v>
      </c>
      <c r="B331" s="258" t="s">
        <v>3120</v>
      </c>
      <c r="C331" s="259">
        <v>45749.0</v>
      </c>
      <c r="E331" s="255" t="s">
        <v>3121</v>
      </c>
      <c r="F331" s="255">
        <v>7.9645854114E10</v>
      </c>
      <c r="H331" s="255" t="s">
        <v>3122</v>
      </c>
      <c r="I331" s="255">
        <v>1528.0</v>
      </c>
      <c r="K331" s="255" t="s">
        <v>3121</v>
      </c>
      <c r="L331" s="255" t="s">
        <v>3121</v>
      </c>
      <c r="M331" s="255" t="s">
        <v>483</v>
      </c>
      <c r="N331" s="255">
        <v>200000.0</v>
      </c>
      <c r="P331" s="255" t="s">
        <v>2208</v>
      </c>
      <c r="Q331" s="255">
        <v>2.0</v>
      </c>
      <c r="R331" s="259">
        <v>45750.0</v>
      </c>
      <c r="S331" s="260" t="s">
        <v>2330</v>
      </c>
      <c r="T331" s="259">
        <v>45752.0</v>
      </c>
      <c r="U331" s="255">
        <v>590.0</v>
      </c>
    </row>
    <row r="332">
      <c r="A332" s="257">
        <v>45750.76543155093</v>
      </c>
      <c r="B332" s="258" t="s">
        <v>3123</v>
      </c>
      <c r="C332" s="259">
        <v>45750.0</v>
      </c>
      <c r="F332" s="255" t="s">
        <v>3124</v>
      </c>
      <c r="H332" s="255" t="s">
        <v>515</v>
      </c>
      <c r="I332" s="255">
        <v>2000.0</v>
      </c>
      <c r="K332" s="255" t="s">
        <v>2207</v>
      </c>
      <c r="L332" s="255" t="s">
        <v>2207</v>
      </c>
      <c r="M332" s="255" t="s">
        <v>914</v>
      </c>
      <c r="N332" s="255">
        <v>5000000.0</v>
      </c>
      <c r="O332" s="255">
        <v>12500.0</v>
      </c>
      <c r="P332" s="255" t="s">
        <v>2208</v>
      </c>
      <c r="Q332" s="255">
        <v>0.0</v>
      </c>
      <c r="R332" s="259">
        <v>45750.0</v>
      </c>
      <c r="S332" s="260" t="s">
        <v>2250</v>
      </c>
      <c r="T332" s="259">
        <v>45751.0</v>
      </c>
      <c r="U332" s="255">
        <v>0.0</v>
      </c>
    </row>
    <row r="333">
      <c r="A333" s="257">
        <v>45750.91853840278</v>
      </c>
      <c r="B333" s="258" t="s">
        <v>3125</v>
      </c>
      <c r="C333" s="259">
        <v>45750.0</v>
      </c>
      <c r="H333" s="255">
        <v>3000.0</v>
      </c>
      <c r="I333" s="255">
        <v>400.0</v>
      </c>
      <c r="K333" s="255" t="s">
        <v>2269</v>
      </c>
      <c r="L333" s="255" t="s">
        <v>2269</v>
      </c>
      <c r="M333" s="255" t="s">
        <v>56</v>
      </c>
      <c r="O333" s="255">
        <v>34000.0</v>
      </c>
      <c r="P333" s="255" t="s">
        <v>2227</v>
      </c>
      <c r="Q333" s="255">
        <v>1.0</v>
      </c>
      <c r="R333" s="259">
        <v>45750.0</v>
      </c>
      <c r="S333" s="260" t="s">
        <v>3126</v>
      </c>
      <c r="T333" s="259">
        <v>45751.0</v>
      </c>
      <c r="U333" s="255">
        <v>0.0</v>
      </c>
    </row>
    <row r="334">
      <c r="A334" s="257">
        <v>45751.2687018287</v>
      </c>
      <c r="B334" s="258" t="s">
        <v>3127</v>
      </c>
      <c r="C334" s="259">
        <v>45751.0</v>
      </c>
      <c r="D334" s="255" t="s">
        <v>3128</v>
      </c>
      <c r="E334" s="255" t="s">
        <v>3129</v>
      </c>
      <c r="F334" s="255">
        <v>8.9213451101E10</v>
      </c>
      <c r="H334" s="255">
        <v>3000.0</v>
      </c>
      <c r="I334" s="255">
        <v>341.0</v>
      </c>
      <c r="K334" s="255" t="s">
        <v>3129</v>
      </c>
      <c r="L334" s="255" t="s">
        <v>3129</v>
      </c>
      <c r="M334" s="255" t="s">
        <v>98</v>
      </c>
      <c r="N334" s="255">
        <v>70000.0</v>
      </c>
      <c r="P334" s="255" t="s">
        <v>2208</v>
      </c>
      <c r="Q334" s="255">
        <v>2.0</v>
      </c>
      <c r="R334" s="259">
        <v>45751.0</v>
      </c>
      <c r="S334" s="260" t="s">
        <v>2330</v>
      </c>
      <c r="T334" s="259">
        <v>45757.0</v>
      </c>
      <c r="U334" s="255">
        <v>290.0</v>
      </c>
    </row>
    <row r="335">
      <c r="A335" s="257">
        <v>45751.28415972222</v>
      </c>
      <c r="B335" s="258" t="s">
        <v>3130</v>
      </c>
      <c r="C335" s="259">
        <v>45751.0</v>
      </c>
      <c r="E335" s="255" t="s">
        <v>3131</v>
      </c>
      <c r="F335" s="255" t="s">
        <v>3132</v>
      </c>
      <c r="H335" s="255">
        <v>7000.0</v>
      </c>
      <c r="I335" s="255">
        <v>700.0</v>
      </c>
      <c r="K335" s="255" t="s">
        <v>2207</v>
      </c>
      <c r="L335" s="255" t="s">
        <v>2207</v>
      </c>
      <c r="M335" s="255" t="s">
        <v>974</v>
      </c>
      <c r="N335" s="255">
        <v>120000.0</v>
      </c>
      <c r="P335" s="255" t="s">
        <v>2208</v>
      </c>
      <c r="Q335" s="255">
        <v>2.0</v>
      </c>
      <c r="R335" s="259">
        <v>45751.0</v>
      </c>
      <c r="S335" s="260" t="s">
        <v>2221</v>
      </c>
      <c r="T335" s="259">
        <v>45758.0</v>
      </c>
      <c r="U335" s="255">
        <v>0.0</v>
      </c>
    </row>
    <row r="336">
      <c r="A336" s="257">
        <v>45752.392419571755</v>
      </c>
      <c r="B336" s="258" t="s">
        <v>3133</v>
      </c>
      <c r="C336" s="259">
        <v>45752.0</v>
      </c>
      <c r="D336" s="255" t="s">
        <v>3134</v>
      </c>
      <c r="E336" s="255" t="s">
        <v>3135</v>
      </c>
      <c r="H336" s="255">
        <v>7000.0</v>
      </c>
      <c r="I336" s="255">
        <v>600.0</v>
      </c>
      <c r="K336" s="255" t="s">
        <v>2207</v>
      </c>
      <c r="L336" s="255" t="s">
        <v>2207</v>
      </c>
      <c r="M336" s="255" t="s">
        <v>971</v>
      </c>
      <c r="N336" s="255">
        <v>180000.0</v>
      </c>
      <c r="O336" s="255">
        <v>14500.0</v>
      </c>
      <c r="P336" s="255" t="s">
        <v>2279</v>
      </c>
      <c r="Q336" s="255">
        <v>2.0</v>
      </c>
      <c r="R336" s="259">
        <v>45752.0</v>
      </c>
      <c r="S336" s="260" t="s">
        <v>2215</v>
      </c>
      <c r="T336" s="259">
        <v>45756.0</v>
      </c>
      <c r="U336" s="255">
        <v>0.0</v>
      </c>
    </row>
    <row r="337">
      <c r="A337" s="257">
        <v>45752.5006569213</v>
      </c>
      <c r="B337" s="258" t="s">
        <v>3136</v>
      </c>
      <c r="C337" s="259">
        <v>45752.0</v>
      </c>
      <c r="D337" s="255" t="s">
        <v>3137</v>
      </c>
      <c r="E337" s="255" t="s">
        <v>3030</v>
      </c>
      <c r="F337" s="255" t="s">
        <v>3137</v>
      </c>
      <c r="H337" s="255">
        <v>20000.0</v>
      </c>
      <c r="I337" s="255">
        <v>1528.0</v>
      </c>
      <c r="K337" s="255" t="s">
        <v>3030</v>
      </c>
      <c r="L337" s="255" t="s">
        <v>3030</v>
      </c>
      <c r="M337" s="255" t="s">
        <v>483</v>
      </c>
      <c r="N337" s="255">
        <v>180000.0</v>
      </c>
      <c r="O337" s="255">
        <v>34000.0</v>
      </c>
      <c r="P337" s="255" t="s">
        <v>2208</v>
      </c>
      <c r="Q337" s="255">
        <v>2.0</v>
      </c>
      <c r="R337" s="259">
        <v>45752.0</v>
      </c>
      <c r="S337" s="260" t="s">
        <v>2330</v>
      </c>
      <c r="T337" s="259">
        <v>45754.0</v>
      </c>
      <c r="U337" s="255">
        <v>290.0</v>
      </c>
    </row>
    <row r="338">
      <c r="A338" s="257">
        <v>45754.40785556713</v>
      </c>
      <c r="B338" s="258" t="s">
        <v>3138</v>
      </c>
      <c r="C338" s="259">
        <v>45754.0</v>
      </c>
      <c r="D338" s="255" t="s">
        <v>3139</v>
      </c>
      <c r="E338" s="255" t="s">
        <v>3140</v>
      </c>
      <c r="F338" s="260" t="s">
        <v>3141</v>
      </c>
      <c r="H338" s="255">
        <v>3000.0</v>
      </c>
      <c r="J338" s="255">
        <v>5990.0</v>
      </c>
      <c r="K338" s="255" t="s">
        <v>3142</v>
      </c>
      <c r="L338" s="255" t="s">
        <v>3142</v>
      </c>
      <c r="M338" s="255" t="s">
        <v>151</v>
      </c>
      <c r="N338" s="255">
        <v>90000.0</v>
      </c>
      <c r="O338" s="255">
        <v>30332.0</v>
      </c>
      <c r="P338" s="255" t="s">
        <v>2208</v>
      </c>
      <c r="Q338" s="255">
        <v>1.0</v>
      </c>
      <c r="R338" s="259">
        <v>45754.0</v>
      </c>
      <c r="S338" s="260" t="s">
        <v>2324</v>
      </c>
      <c r="T338" s="259">
        <v>45784.0</v>
      </c>
      <c r="U338" s="255">
        <v>390.0</v>
      </c>
    </row>
    <row r="339">
      <c r="A339" s="257">
        <v>45756.56565662037</v>
      </c>
      <c r="B339" s="258" t="s">
        <v>3143</v>
      </c>
      <c r="C339" s="259">
        <v>45756.0</v>
      </c>
      <c r="D339" s="255" t="s">
        <v>3144</v>
      </c>
      <c r="E339" s="255" t="s">
        <v>3145</v>
      </c>
      <c r="F339" s="255">
        <v>8.9518809974E10</v>
      </c>
      <c r="H339" s="255" t="s">
        <v>515</v>
      </c>
      <c r="I339" s="255">
        <v>700.0</v>
      </c>
      <c r="K339" s="255" t="s">
        <v>2269</v>
      </c>
      <c r="L339" s="255" t="s">
        <v>2269</v>
      </c>
      <c r="M339" s="255" t="s">
        <v>423</v>
      </c>
      <c r="N339" s="255">
        <v>160000.0</v>
      </c>
      <c r="P339" s="255" t="s">
        <v>2208</v>
      </c>
      <c r="Q339" s="255">
        <v>2.0</v>
      </c>
      <c r="R339" s="259">
        <v>45757.0</v>
      </c>
      <c r="S339" s="260" t="s">
        <v>2330</v>
      </c>
      <c r="T339" s="259">
        <v>45759.0</v>
      </c>
      <c r="U339" s="255">
        <v>0.0</v>
      </c>
    </row>
    <row r="340">
      <c r="A340" s="257">
        <v>45757.1875019213</v>
      </c>
      <c r="B340" s="258" t="s">
        <v>3146</v>
      </c>
      <c r="C340" s="259">
        <v>45757.0</v>
      </c>
      <c r="E340" s="255" t="s">
        <v>3147</v>
      </c>
      <c r="F340" s="255" t="s">
        <v>3148</v>
      </c>
      <c r="H340" s="255">
        <v>3000.0</v>
      </c>
      <c r="I340" s="255">
        <v>336.0</v>
      </c>
      <c r="K340" s="255" t="s">
        <v>3147</v>
      </c>
      <c r="L340" s="255" t="s">
        <v>3147</v>
      </c>
      <c r="M340" s="255" t="s">
        <v>68</v>
      </c>
      <c r="N340" s="255">
        <v>70000.0</v>
      </c>
      <c r="P340" s="255" t="s">
        <v>2208</v>
      </c>
      <c r="Q340" s="255">
        <v>2.0</v>
      </c>
      <c r="R340" s="259">
        <v>45757.0</v>
      </c>
      <c r="S340" s="260" t="s">
        <v>2235</v>
      </c>
      <c r="T340" s="259">
        <v>45765.0</v>
      </c>
      <c r="U340" s="255">
        <v>290.0</v>
      </c>
    </row>
    <row r="341">
      <c r="A341" s="257">
        <v>45757.190750381946</v>
      </c>
      <c r="B341" s="258" t="s">
        <v>3149</v>
      </c>
      <c r="C341" s="259">
        <v>45757.0</v>
      </c>
      <c r="D341" s="255" t="s">
        <v>3150</v>
      </c>
      <c r="E341" s="255" t="s">
        <v>3151</v>
      </c>
      <c r="F341" s="255">
        <v>8.9802431844E10</v>
      </c>
      <c r="H341" s="255">
        <v>20000.0</v>
      </c>
      <c r="I341" s="255">
        <v>1375.0</v>
      </c>
      <c r="K341" s="255" t="s">
        <v>2207</v>
      </c>
      <c r="L341" s="255" t="s">
        <v>2207</v>
      </c>
      <c r="M341" s="255" t="s">
        <v>102</v>
      </c>
      <c r="N341" s="255">
        <v>180000.0</v>
      </c>
      <c r="P341" s="255" t="s">
        <v>2208</v>
      </c>
      <c r="Q341" s="255">
        <v>2.0</v>
      </c>
      <c r="R341" s="259">
        <v>45763.0</v>
      </c>
      <c r="S341" s="260" t="s">
        <v>2221</v>
      </c>
      <c r="T341" s="259">
        <v>45769.0</v>
      </c>
      <c r="U341" s="255">
        <v>0.0</v>
      </c>
    </row>
    <row r="342">
      <c r="A342" s="257">
        <v>45757.53425960648</v>
      </c>
      <c r="B342" s="258" t="s">
        <v>3152</v>
      </c>
      <c r="C342" s="259">
        <v>45757.0</v>
      </c>
      <c r="D342" s="255" t="s">
        <v>3153</v>
      </c>
      <c r="E342" s="255" t="s">
        <v>3154</v>
      </c>
      <c r="H342" s="255" t="s">
        <v>515</v>
      </c>
      <c r="I342" s="255">
        <v>1490.0</v>
      </c>
      <c r="K342" s="255" t="s">
        <v>2269</v>
      </c>
      <c r="L342" s="255" t="s">
        <v>2269</v>
      </c>
      <c r="M342" s="255" t="s">
        <v>483</v>
      </c>
      <c r="N342" s="255">
        <v>180000.0</v>
      </c>
      <c r="O342" s="255">
        <v>37000.0</v>
      </c>
      <c r="P342" s="255" t="s">
        <v>2208</v>
      </c>
      <c r="Q342" s="255">
        <v>2.0</v>
      </c>
      <c r="R342" s="259">
        <v>45757.0</v>
      </c>
      <c r="S342" s="260" t="s">
        <v>2221</v>
      </c>
      <c r="T342" s="259">
        <v>45761.0</v>
      </c>
      <c r="U342" s="255">
        <v>0.0</v>
      </c>
    </row>
    <row r="343">
      <c r="A343" s="257">
        <v>45757.56745819445</v>
      </c>
      <c r="B343" s="258" t="s">
        <v>3155</v>
      </c>
      <c r="C343" s="259">
        <v>45757.0</v>
      </c>
      <c r="D343" s="255" t="s">
        <v>3156</v>
      </c>
      <c r="E343" s="255" t="s">
        <v>3157</v>
      </c>
      <c r="F343" s="255" t="s">
        <v>3158</v>
      </c>
      <c r="H343" s="255">
        <v>7000.0</v>
      </c>
      <c r="I343" s="255">
        <v>751.0</v>
      </c>
      <c r="K343" s="255" t="s">
        <v>3157</v>
      </c>
      <c r="L343" s="255" t="s">
        <v>3157</v>
      </c>
      <c r="M343" s="255" t="s">
        <v>946</v>
      </c>
      <c r="N343" s="255">
        <v>120000.0</v>
      </c>
      <c r="P343" s="255" t="s">
        <v>2208</v>
      </c>
      <c r="Q343" s="255">
        <v>2.0</v>
      </c>
      <c r="R343" s="259">
        <v>45775.0</v>
      </c>
      <c r="S343" s="260" t="s">
        <v>2235</v>
      </c>
      <c r="T343" s="259">
        <v>45780.0</v>
      </c>
      <c r="U343" s="255">
        <v>390.0</v>
      </c>
    </row>
    <row r="344">
      <c r="A344" s="257">
        <v>45758.58029251157</v>
      </c>
      <c r="B344" s="258" t="s">
        <v>3159</v>
      </c>
      <c r="C344" s="259">
        <v>45757.0</v>
      </c>
      <c r="D344" s="255" t="s">
        <v>3160</v>
      </c>
      <c r="E344" s="255" t="s">
        <v>3161</v>
      </c>
      <c r="H344" s="255" t="s">
        <v>600</v>
      </c>
      <c r="I344" s="255">
        <v>1490.0</v>
      </c>
      <c r="K344" s="255" t="s">
        <v>2269</v>
      </c>
      <c r="L344" s="255" t="s">
        <v>2269</v>
      </c>
      <c r="M344" s="255" t="s">
        <v>483</v>
      </c>
      <c r="N344" s="255">
        <v>180000.0</v>
      </c>
      <c r="O344" s="255">
        <v>37000.0</v>
      </c>
      <c r="P344" s="255" t="s">
        <v>2242</v>
      </c>
      <c r="Q344" s="255">
        <v>2.0</v>
      </c>
      <c r="R344" s="259">
        <v>45757.0</v>
      </c>
      <c r="S344" s="260" t="s">
        <v>2221</v>
      </c>
      <c r="T344" s="259">
        <v>45761.0</v>
      </c>
      <c r="U344" s="255">
        <v>0.0</v>
      </c>
    </row>
    <row r="345">
      <c r="A345" s="257">
        <v>45760.35163885417</v>
      </c>
      <c r="B345" s="258" t="s">
        <v>3162</v>
      </c>
      <c r="C345" s="259">
        <v>45760.0</v>
      </c>
      <c r="D345" s="255" t="s">
        <v>3163</v>
      </c>
      <c r="E345" s="255" t="s">
        <v>3164</v>
      </c>
      <c r="F345" s="255">
        <v>8.7478418898E10</v>
      </c>
      <c r="G345" s="255">
        <v>8.7716336666E10</v>
      </c>
      <c r="H345" s="255" t="s">
        <v>912</v>
      </c>
      <c r="I345" s="255">
        <v>314.0</v>
      </c>
      <c r="K345" s="255" t="s">
        <v>3164</v>
      </c>
      <c r="L345" s="255" t="s">
        <v>3164</v>
      </c>
      <c r="M345" s="255" t="s">
        <v>48</v>
      </c>
      <c r="N345" s="255">
        <v>70000.0</v>
      </c>
      <c r="Q345" s="255">
        <v>2.0</v>
      </c>
      <c r="R345" s="259">
        <v>45760.0</v>
      </c>
      <c r="S345" s="260" t="s">
        <v>2330</v>
      </c>
      <c r="T345" s="259">
        <v>45765.0</v>
      </c>
      <c r="U345" s="255">
        <v>290.0</v>
      </c>
    </row>
    <row r="346">
      <c r="A346" s="257">
        <v>45761.43272511574</v>
      </c>
      <c r="B346" s="258" t="s">
        <v>3165</v>
      </c>
      <c r="C346" s="259">
        <v>45761.0</v>
      </c>
      <c r="D346" s="255" t="s">
        <v>3166</v>
      </c>
      <c r="E346" s="255" t="s">
        <v>3167</v>
      </c>
      <c r="H346" s="255">
        <v>3000.0</v>
      </c>
      <c r="I346" s="255">
        <v>300.0</v>
      </c>
      <c r="K346" s="255" t="s">
        <v>2207</v>
      </c>
      <c r="L346" s="255" t="s">
        <v>2207</v>
      </c>
      <c r="M346" s="255" t="s">
        <v>77</v>
      </c>
      <c r="N346" s="255">
        <v>70000.0</v>
      </c>
      <c r="P346" s="255" t="s">
        <v>2320</v>
      </c>
      <c r="Q346" s="255">
        <v>2.0</v>
      </c>
      <c r="R346" s="259">
        <v>45761.0</v>
      </c>
      <c r="S346" s="260" t="s">
        <v>2324</v>
      </c>
      <c r="T346" s="259">
        <v>45774.0</v>
      </c>
      <c r="U346" s="255">
        <v>0.0</v>
      </c>
    </row>
    <row r="347">
      <c r="A347" s="257">
        <v>45762.246089837965</v>
      </c>
      <c r="B347" s="258" t="s">
        <v>3168</v>
      </c>
      <c r="C347" s="259">
        <v>45762.0</v>
      </c>
      <c r="D347" s="255" t="s">
        <v>3169</v>
      </c>
      <c r="E347" s="255" t="s">
        <v>3170</v>
      </c>
      <c r="F347" s="255" t="s">
        <v>3171</v>
      </c>
      <c r="H347" s="255" t="s">
        <v>912</v>
      </c>
      <c r="I347" s="255">
        <v>294.0</v>
      </c>
      <c r="K347" s="255" t="s">
        <v>3170</v>
      </c>
      <c r="L347" s="255" t="s">
        <v>3170</v>
      </c>
      <c r="M347" s="255" t="s">
        <v>56</v>
      </c>
      <c r="N347" s="255">
        <v>70000.0</v>
      </c>
      <c r="P347" s="255" t="s">
        <v>2208</v>
      </c>
      <c r="Q347" s="255">
        <v>2.0</v>
      </c>
      <c r="R347" s="259">
        <v>45762.0</v>
      </c>
      <c r="S347" s="260" t="s">
        <v>2330</v>
      </c>
      <c r="T347" s="259">
        <v>45770.0</v>
      </c>
      <c r="U347" s="255">
        <v>490.0</v>
      </c>
    </row>
    <row r="348">
      <c r="A348" s="257">
        <v>45762.24865001158</v>
      </c>
      <c r="B348" s="258" t="s">
        <v>3172</v>
      </c>
      <c r="C348" s="259">
        <v>45762.0</v>
      </c>
      <c r="D348" s="255" t="s">
        <v>3173</v>
      </c>
      <c r="F348" s="255" t="s">
        <v>3174</v>
      </c>
      <c r="H348" s="255">
        <v>20000.0</v>
      </c>
      <c r="I348" s="255">
        <v>771.0</v>
      </c>
      <c r="K348" s="255" t="s">
        <v>2207</v>
      </c>
      <c r="L348" s="255" t="s">
        <v>2207</v>
      </c>
      <c r="M348" s="255" t="s">
        <v>438</v>
      </c>
      <c r="N348" s="255">
        <v>200000.0</v>
      </c>
      <c r="P348" s="255" t="s">
        <v>2208</v>
      </c>
      <c r="Q348" s="255">
        <v>1.0</v>
      </c>
      <c r="R348" s="259">
        <v>45764.0</v>
      </c>
      <c r="S348" s="260" t="s">
        <v>2221</v>
      </c>
      <c r="T348" s="259">
        <v>45778.0</v>
      </c>
      <c r="U348" s="255">
        <v>0.0</v>
      </c>
    </row>
    <row r="349">
      <c r="A349" s="257">
        <v>45762.48590428241</v>
      </c>
      <c r="B349" s="258" t="s">
        <v>3175</v>
      </c>
      <c r="C349" s="259">
        <v>45762.0</v>
      </c>
      <c r="E349" s="255" t="s">
        <v>3048</v>
      </c>
      <c r="F349" s="255" t="s">
        <v>3176</v>
      </c>
      <c r="H349" s="255">
        <v>3000.0</v>
      </c>
      <c r="I349" s="255">
        <v>300.0</v>
      </c>
      <c r="K349" s="255" t="s">
        <v>2207</v>
      </c>
      <c r="L349" s="255" t="s">
        <v>3048</v>
      </c>
      <c r="M349" s="255" t="s">
        <v>98</v>
      </c>
      <c r="N349" s="255">
        <v>90000.0</v>
      </c>
      <c r="P349" s="255" t="s">
        <v>3177</v>
      </c>
      <c r="Q349" s="255">
        <v>2.0</v>
      </c>
      <c r="R349" s="259">
        <v>45762.0</v>
      </c>
      <c r="S349" s="260" t="s">
        <v>2265</v>
      </c>
      <c r="T349" s="259">
        <v>45772.0</v>
      </c>
      <c r="U349" s="255">
        <v>0.0</v>
      </c>
    </row>
    <row r="350">
      <c r="A350" s="257">
        <v>45762.631932222226</v>
      </c>
      <c r="B350" s="258" t="s">
        <v>3178</v>
      </c>
      <c r="C350" s="259">
        <v>45762.0</v>
      </c>
      <c r="H350" s="255">
        <v>0.0</v>
      </c>
      <c r="I350" s="255">
        <v>660.0</v>
      </c>
      <c r="K350" s="255" t="s">
        <v>2269</v>
      </c>
      <c r="L350" s="255" t="s">
        <v>2269</v>
      </c>
      <c r="M350" s="255" t="s">
        <v>951</v>
      </c>
      <c r="O350" s="255">
        <v>16087.0</v>
      </c>
      <c r="P350" s="255" t="s">
        <v>2242</v>
      </c>
      <c r="Q350" s="255">
        <v>2.0</v>
      </c>
      <c r="R350" s="259">
        <v>45759.0</v>
      </c>
      <c r="S350" s="260" t="s">
        <v>2209</v>
      </c>
      <c r="T350" s="259">
        <v>45771.0</v>
      </c>
      <c r="U350" s="255">
        <v>0.0</v>
      </c>
      <c r="V350" s="255" t="s">
        <v>1908</v>
      </c>
    </row>
    <row r="351">
      <c r="A351" s="257">
        <v>45764.517281423614</v>
      </c>
      <c r="C351" s="259">
        <v>45764.0</v>
      </c>
      <c r="D351" s="255" t="s">
        <v>3179</v>
      </c>
      <c r="E351" s="255" t="s">
        <v>3030</v>
      </c>
      <c r="H351" s="255" t="s">
        <v>600</v>
      </c>
      <c r="I351" s="255">
        <v>1500.0</v>
      </c>
      <c r="K351" s="255" t="s">
        <v>3030</v>
      </c>
      <c r="L351" s="255" t="s">
        <v>3030</v>
      </c>
      <c r="M351" s="255" t="s">
        <v>914</v>
      </c>
      <c r="N351" s="255">
        <v>540000.0</v>
      </c>
      <c r="O351" s="255">
        <v>13000.0</v>
      </c>
      <c r="P351" s="255" t="s">
        <v>2208</v>
      </c>
      <c r="Q351" s="255">
        <v>2.0</v>
      </c>
      <c r="R351" s="259">
        <v>45764.0</v>
      </c>
      <c r="S351" s="260" t="s">
        <v>2221</v>
      </c>
      <c r="T351" s="259">
        <v>45770.0</v>
      </c>
      <c r="U351" s="255">
        <v>290.0</v>
      </c>
    </row>
    <row r="352">
      <c r="A352" s="257">
        <v>45764.52876037037</v>
      </c>
      <c r="B352" s="258" t="s">
        <v>3180</v>
      </c>
      <c r="C352" s="259">
        <v>45764.0</v>
      </c>
      <c r="D352" s="255" t="s">
        <v>3179</v>
      </c>
      <c r="E352" s="255" t="s">
        <v>3030</v>
      </c>
      <c r="H352" s="255" t="s">
        <v>600</v>
      </c>
      <c r="I352" s="255">
        <v>1500.0</v>
      </c>
      <c r="K352" s="255" t="s">
        <v>3030</v>
      </c>
      <c r="L352" s="255" t="s">
        <v>3030</v>
      </c>
      <c r="M352" s="255" t="s">
        <v>914</v>
      </c>
      <c r="N352" s="255">
        <v>540000.0</v>
      </c>
      <c r="O352" s="255">
        <v>13000.0</v>
      </c>
      <c r="P352" s="255" t="s">
        <v>2208</v>
      </c>
      <c r="Q352" s="255">
        <v>2.0</v>
      </c>
      <c r="R352" s="259">
        <v>45764.0</v>
      </c>
      <c r="S352" s="260" t="s">
        <v>2221</v>
      </c>
      <c r="T352" s="259">
        <v>45770.0</v>
      </c>
      <c r="U352" s="255">
        <v>290.0</v>
      </c>
    </row>
    <row r="353">
      <c r="A353" s="257">
        <v>45768.407183738425</v>
      </c>
      <c r="B353" s="258" t="s">
        <v>3181</v>
      </c>
      <c r="C353" s="259">
        <v>45768.0</v>
      </c>
      <c r="D353" s="255" t="s">
        <v>3182</v>
      </c>
      <c r="E353" s="255" t="s">
        <v>3183</v>
      </c>
      <c r="H353" s="255">
        <v>5000.0</v>
      </c>
      <c r="I353" s="255">
        <v>500.0</v>
      </c>
      <c r="K353" s="255" t="s">
        <v>3183</v>
      </c>
      <c r="L353" s="255" t="s">
        <v>3183</v>
      </c>
      <c r="M353" s="255" t="s">
        <v>1065</v>
      </c>
      <c r="N353" s="255">
        <v>180000.0</v>
      </c>
      <c r="O353" s="255">
        <v>8500.0</v>
      </c>
      <c r="P353" s="255" t="s">
        <v>2208</v>
      </c>
      <c r="Q353" s="255">
        <v>2.0</v>
      </c>
      <c r="R353" s="259">
        <v>45768.0</v>
      </c>
      <c r="S353" s="260" t="s">
        <v>2265</v>
      </c>
      <c r="T353" s="259">
        <v>45773.0</v>
      </c>
      <c r="U353" s="255">
        <v>290.0</v>
      </c>
    </row>
    <row r="354">
      <c r="A354" s="257">
        <v>45769.55070153935</v>
      </c>
      <c r="B354" s="258" t="s">
        <v>3184</v>
      </c>
      <c r="C354" s="259">
        <v>45769.0</v>
      </c>
      <c r="D354" s="255" t="s">
        <v>3185</v>
      </c>
      <c r="E354" s="255" t="s">
        <v>3186</v>
      </c>
      <c r="F354" s="255">
        <v>9.8195565E8</v>
      </c>
      <c r="G354" s="255">
        <v>7.9951147696E10</v>
      </c>
      <c r="H354" s="255" t="s">
        <v>1502</v>
      </c>
      <c r="I354" s="255">
        <v>1690.0</v>
      </c>
      <c r="K354" s="255" t="s">
        <v>2207</v>
      </c>
      <c r="L354" s="255" t="s">
        <v>2207</v>
      </c>
      <c r="M354" s="255" t="s">
        <v>102</v>
      </c>
      <c r="N354" s="255">
        <v>140000.0</v>
      </c>
      <c r="P354" s="255" t="s">
        <v>2208</v>
      </c>
      <c r="Q354" s="255">
        <v>2.0</v>
      </c>
      <c r="R354" s="259">
        <v>45769.0</v>
      </c>
      <c r="S354" s="260" t="s">
        <v>2221</v>
      </c>
      <c r="T354" s="259">
        <v>45770.0</v>
      </c>
      <c r="U354" s="255">
        <v>0.0</v>
      </c>
    </row>
    <row r="355">
      <c r="A355" s="257">
        <v>45769.579601562495</v>
      </c>
      <c r="B355" s="258" t="s">
        <v>3187</v>
      </c>
      <c r="C355" s="259">
        <v>45769.0</v>
      </c>
      <c r="I355" s="255">
        <v>710.0</v>
      </c>
      <c r="K355" s="255" t="s">
        <v>2207</v>
      </c>
      <c r="L355" s="255" t="s">
        <v>2207</v>
      </c>
      <c r="M355" s="255" t="s">
        <v>941</v>
      </c>
      <c r="N355" s="255">
        <v>180000.0</v>
      </c>
      <c r="P355" s="255" t="s">
        <v>2208</v>
      </c>
      <c r="Q355" s="255">
        <v>2.0</v>
      </c>
      <c r="R355" s="259">
        <v>45773.0</v>
      </c>
      <c r="S355" s="260" t="s">
        <v>2265</v>
      </c>
      <c r="T355" s="259">
        <v>45788.0</v>
      </c>
      <c r="U355" s="255">
        <v>0.0</v>
      </c>
    </row>
    <row r="356">
      <c r="A356" s="257">
        <v>45769.584886041666</v>
      </c>
      <c r="B356" s="258" t="s">
        <v>3188</v>
      </c>
      <c r="C356" s="259">
        <v>45769.0</v>
      </c>
      <c r="D356" s="255" t="s">
        <v>3189</v>
      </c>
      <c r="I356" s="255">
        <v>735.0</v>
      </c>
      <c r="K356" s="255" t="s">
        <v>2207</v>
      </c>
      <c r="L356" s="255" t="s">
        <v>2207</v>
      </c>
      <c r="M356" s="255" t="s">
        <v>974</v>
      </c>
      <c r="N356" s="255">
        <v>150000.0</v>
      </c>
      <c r="P356" s="255" t="s">
        <v>2208</v>
      </c>
      <c r="Q356" s="255">
        <v>2.0</v>
      </c>
      <c r="R356" s="259">
        <v>45776.0</v>
      </c>
      <c r="S356" s="260" t="s">
        <v>2330</v>
      </c>
      <c r="T356" s="259">
        <v>45785.0</v>
      </c>
      <c r="U356" s="255">
        <v>0.0</v>
      </c>
    </row>
    <row r="357">
      <c r="A357" s="257">
        <v>45770.22376328704</v>
      </c>
      <c r="B357" s="258" t="s">
        <v>3190</v>
      </c>
      <c r="C357" s="259">
        <v>45770.0</v>
      </c>
      <c r="E357" s="255" t="s">
        <v>3075</v>
      </c>
      <c r="I357" s="255">
        <v>719.0</v>
      </c>
      <c r="K357" s="255" t="s">
        <v>3075</v>
      </c>
      <c r="L357" s="255" t="s">
        <v>3075</v>
      </c>
      <c r="M357" s="255" t="s">
        <v>928</v>
      </c>
      <c r="N357" s="255">
        <v>120000.0</v>
      </c>
      <c r="P357" s="255" t="s">
        <v>2208</v>
      </c>
      <c r="Q357" s="255">
        <v>0.0</v>
      </c>
      <c r="R357" s="259">
        <v>45770.0</v>
      </c>
      <c r="S357" s="260" t="s">
        <v>2215</v>
      </c>
      <c r="T357" s="259">
        <v>45784.0</v>
      </c>
      <c r="U357" s="255">
        <v>0.0</v>
      </c>
    </row>
    <row r="358">
      <c r="A358" s="257">
        <v>45772.458176782406</v>
      </c>
      <c r="B358" s="258" t="s">
        <v>3191</v>
      </c>
      <c r="C358" s="259">
        <v>45772.0</v>
      </c>
      <c r="D358" s="255" t="s">
        <v>3192</v>
      </c>
      <c r="H358" s="255">
        <v>7000.0</v>
      </c>
      <c r="I358" s="255">
        <v>700.0</v>
      </c>
      <c r="K358" s="255" t="s">
        <v>2207</v>
      </c>
      <c r="L358" s="255" t="s">
        <v>2207</v>
      </c>
      <c r="M358" s="255" t="s">
        <v>923</v>
      </c>
      <c r="N358" s="255">
        <v>190000.0</v>
      </c>
      <c r="O358" s="255">
        <v>13000.0</v>
      </c>
      <c r="P358" s="255" t="s">
        <v>2227</v>
      </c>
      <c r="Q358" s="255">
        <v>2.0</v>
      </c>
      <c r="R358" s="259">
        <v>45772.0</v>
      </c>
      <c r="S358" s="260" t="s">
        <v>2265</v>
      </c>
      <c r="T358" s="259">
        <v>45774.0</v>
      </c>
      <c r="U358" s="255">
        <v>0.0</v>
      </c>
    </row>
    <row r="359">
      <c r="A359" s="257">
        <v>45772.461812407404</v>
      </c>
      <c r="B359" s="258" t="s">
        <v>3193</v>
      </c>
      <c r="C359" s="259">
        <v>45772.0</v>
      </c>
      <c r="D359" s="255" t="s">
        <v>3192</v>
      </c>
      <c r="H359" s="255">
        <v>7000.0</v>
      </c>
      <c r="I359" s="255">
        <v>700.0</v>
      </c>
      <c r="K359" s="255" t="s">
        <v>2207</v>
      </c>
      <c r="L359" s="255" t="s">
        <v>2207</v>
      </c>
      <c r="M359" s="255" t="s">
        <v>923</v>
      </c>
      <c r="N359" s="255">
        <v>190000.0</v>
      </c>
      <c r="P359" s="255" t="s">
        <v>2227</v>
      </c>
      <c r="Q359" s="255">
        <v>2.0</v>
      </c>
      <c r="R359" s="259">
        <v>45772.0</v>
      </c>
      <c r="S359" s="260" t="s">
        <v>2265</v>
      </c>
      <c r="T359" s="259">
        <v>45779.0</v>
      </c>
      <c r="U359" s="255">
        <v>0.0</v>
      </c>
    </row>
    <row r="360">
      <c r="A360" s="257">
        <v>45773.50974915509</v>
      </c>
      <c r="B360" s="258" t="s">
        <v>3194</v>
      </c>
      <c r="C360" s="259">
        <v>45773.0</v>
      </c>
      <c r="D360" s="255" t="s">
        <v>3195</v>
      </c>
      <c r="E360" s="255" t="s">
        <v>3196</v>
      </c>
      <c r="F360" s="255" t="s">
        <v>3197</v>
      </c>
      <c r="H360" s="255">
        <v>7000.0</v>
      </c>
      <c r="I360" s="255">
        <v>649.0</v>
      </c>
      <c r="K360" s="255" t="s">
        <v>3196</v>
      </c>
      <c r="L360" s="255" t="s">
        <v>3196</v>
      </c>
      <c r="M360" s="255" t="s">
        <v>971</v>
      </c>
      <c r="N360" s="255">
        <v>120000.0</v>
      </c>
      <c r="O360" s="255">
        <v>14505.0</v>
      </c>
      <c r="P360" s="255" t="s">
        <v>2208</v>
      </c>
      <c r="Q360" s="255">
        <v>3.0</v>
      </c>
      <c r="R360" s="259">
        <v>45773.0</v>
      </c>
      <c r="S360" s="260" t="s">
        <v>2221</v>
      </c>
      <c r="T360" s="259">
        <v>45786.0</v>
      </c>
      <c r="U360" s="255">
        <v>290.0</v>
      </c>
    </row>
    <row r="361">
      <c r="A361" s="257">
        <v>45773.52197706018</v>
      </c>
      <c r="B361" s="258" t="s">
        <v>3198</v>
      </c>
      <c r="C361" s="259">
        <v>45773.0</v>
      </c>
      <c r="D361" s="255" t="s">
        <v>3195</v>
      </c>
      <c r="E361" s="255" t="s">
        <v>3196</v>
      </c>
      <c r="F361" s="255" t="s">
        <v>3197</v>
      </c>
      <c r="H361" s="255">
        <v>5000.0</v>
      </c>
      <c r="I361" s="255">
        <v>546.0</v>
      </c>
      <c r="K361" s="255" t="s">
        <v>3196</v>
      </c>
      <c r="L361" s="255" t="s">
        <v>3196</v>
      </c>
      <c r="M361" s="255" t="s">
        <v>64</v>
      </c>
      <c r="N361" s="255">
        <v>110000.0</v>
      </c>
      <c r="O361" s="255">
        <v>29585.0</v>
      </c>
      <c r="P361" s="255" t="s">
        <v>2208</v>
      </c>
      <c r="Q361" s="255">
        <v>2.0</v>
      </c>
      <c r="R361" s="259">
        <v>45773.0</v>
      </c>
      <c r="S361" s="260" t="s">
        <v>2221</v>
      </c>
      <c r="T361" s="259">
        <v>45786.0</v>
      </c>
      <c r="U361" s="255">
        <v>290.0</v>
      </c>
    </row>
    <row r="362">
      <c r="A362" s="257">
        <v>45774.23867181713</v>
      </c>
      <c r="B362" s="258" t="s">
        <v>3199</v>
      </c>
      <c r="C362" s="259">
        <v>45774.0</v>
      </c>
      <c r="E362" s="255" t="s">
        <v>3200</v>
      </c>
      <c r="F362" s="255">
        <v>7.9139851951E10</v>
      </c>
      <c r="H362" s="255">
        <v>7000.0</v>
      </c>
      <c r="I362" s="255">
        <v>644.0</v>
      </c>
      <c r="K362" s="255" t="s">
        <v>3200</v>
      </c>
      <c r="L362" s="255" t="s">
        <v>3200</v>
      </c>
      <c r="M362" s="255" t="s">
        <v>923</v>
      </c>
      <c r="N362" s="255">
        <v>180000.0</v>
      </c>
      <c r="P362" s="255" t="s">
        <v>2208</v>
      </c>
      <c r="Q362" s="255">
        <v>2.0</v>
      </c>
      <c r="R362" s="259">
        <v>45774.0</v>
      </c>
      <c r="S362" s="260" t="s">
        <v>2231</v>
      </c>
      <c r="T362" s="259">
        <v>45783.0</v>
      </c>
      <c r="U362" s="255">
        <v>290.0</v>
      </c>
    </row>
    <row r="363">
      <c r="A363" s="257">
        <v>45774.242454039355</v>
      </c>
      <c r="B363" s="258" t="s">
        <v>3201</v>
      </c>
      <c r="C363" s="259">
        <v>45774.0</v>
      </c>
      <c r="D363" s="255" t="s">
        <v>3185</v>
      </c>
      <c r="E363" s="255" t="s">
        <v>3202</v>
      </c>
      <c r="F363" s="255">
        <v>7.9951147696E10</v>
      </c>
      <c r="G363" s="260" t="s">
        <v>3203</v>
      </c>
      <c r="H363" s="255">
        <v>20000.0</v>
      </c>
      <c r="I363" s="255">
        <v>1360.0</v>
      </c>
      <c r="K363" s="255" t="s">
        <v>2269</v>
      </c>
      <c r="L363" s="255" t="s">
        <v>2269</v>
      </c>
      <c r="M363" s="255" t="s">
        <v>102</v>
      </c>
      <c r="N363" s="255">
        <v>250000.0</v>
      </c>
      <c r="P363" s="255" t="s">
        <v>2208</v>
      </c>
      <c r="Q363" s="255">
        <v>0.0</v>
      </c>
      <c r="R363" s="259">
        <v>45786.0</v>
      </c>
      <c r="S363" s="260" t="s">
        <v>2221</v>
      </c>
      <c r="T363" s="259">
        <v>45793.0</v>
      </c>
      <c r="U363" s="255">
        <v>0.0</v>
      </c>
    </row>
    <row r="364">
      <c r="A364" s="257">
        <v>45775.49063706018</v>
      </c>
      <c r="B364" s="258" t="s">
        <v>3204</v>
      </c>
      <c r="C364" s="259">
        <v>45775.0</v>
      </c>
      <c r="D364" s="255" t="s">
        <v>3205</v>
      </c>
      <c r="E364" s="255" t="s">
        <v>3206</v>
      </c>
      <c r="F364" s="255" t="s">
        <v>3207</v>
      </c>
      <c r="H364" s="255">
        <v>20000.0</v>
      </c>
      <c r="I364" s="255">
        <v>1537.0</v>
      </c>
      <c r="K364" s="255" t="s">
        <v>3206</v>
      </c>
      <c r="L364" s="255" t="s">
        <v>3206</v>
      </c>
      <c r="M364" s="255" t="s">
        <v>102</v>
      </c>
      <c r="N364" s="255">
        <v>140000.0</v>
      </c>
      <c r="P364" s="255" t="s">
        <v>2208</v>
      </c>
      <c r="Q364" s="255">
        <v>1.0</v>
      </c>
      <c r="R364" s="259">
        <v>45775.0</v>
      </c>
      <c r="S364" s="260" t="s">
        <v>2221</v>
      </c>
      <c r="T364" s="259">
        <v>45775.0</v>
      </c>
      <c r="U364" s="255">
        <v>490.0</v>
      </c>
    </row>
    <row r="365">
      <c r="A365" s="257">
        <v>45775.49291626157</v>
      </c>
      <c r="B365" s="258" t="s">
        <v>3208</v>
      </c>
      <c r="C365" s="259">
        <v>45775.0</v>
      </c>
      <c r="D365" s="255" t="s">
        <v>3205</v>
      </c>
      <c r="E365" s="255" t="s">
        <v>3206</v>
      </c>
      <c r="F365" s="255">
        <v>7.9657585425E10</v>
      </c>
      <c r="H365" s="255">
        <v>20000.0</v>
      </c>
      <c r="I365" s="255">
        <v>834.0</v>
      </c>
      <c r="K365" s="255" t="s">
        <v>3209</v>
      </c>
      <c r="L365" s="255" t="s">
        <v>3209</v>
      </c>
      <c r="M365" s="255" t="s">
        <v>423</v>
      </c>
      <c r="N365" s="255">
        <v>130000.0</v>
      </c>
      <c r="P365" s="255" t="s">
        <v>2208</v>
      </c>
      <c r="Q365" s="255">
        <v>1.0</v>
      </c>
      <c r="R365" s="259">
        <v>45776.0</v>
      </c>
      <c r="S365" s="260" t="s">
        <v>2221</v>
      </c>
      <c r="T365" s="259">
        <v>45780.0</v>
      </c>
      <c r="U365" s="255">
        <v>490.0</v>
      </c>
    </row>
    <row r="366">
      <c r="A366" s="257">
        <v>45777.563094467594</v>
      </c>
      <c r="B366" s="258" t="s">
        <v>3210</v>
      </c>
      <c r="C366" s="259">
        <v>45777.0</v>
      </c>
      <c r="D366" s="255" t="s">
        <v>3205</v>
      </c>
      <c r="E366" s="255" t="s">
        <v>3211</v>
      </c>
      <c r="F366" s="255" t="s">
        <v>3207</v>
      </c>
      <c r="H366" s="255">
        <v>20000.0</v>
      </c>
      <c r="I366" s="255">
        <v>1537.0</v>
      </c>
      <c r="K366" s="255" t="s">
        <v>2207</v>
      </c>
      <c r="L366" s="255" t="s">
        <v>2207</v>
      </c>
      <c r="M366" s="255" t="s">
        <v>916</v>
      </c>
      <c r="N366" s="255">
        <v>150000.0</v>
      </c>
      <c r="P366" s="255" t="s">
        <v>2208</v>
      </c>
      <c r="Q366" s="255">
        <v>1.0</v>
      </c>
      <c r="R366" s="259">
        <v>45777.0</v>
      </c>
      <c r="S366" s="260" t="s">
        <v>2221</v>
      </c>
      <c r="T366" s="259">
        <v>45780.0</v>
      </c>
      <c r="U366" s="255">
        <v>0.0</v>
      </c>
    </row>
    <row r="367">
      <c r="A367" s="257">
        <v>45777.802943194445</v>
      </c>
      <c r="B367" s="258" t="s">
        <v>3212</v>
      </c>
      <c r="D367" s="255" t="s">
        <v>3185</v>
      </c>
      <c r="E367" s="255" t="s">
        <v>3186</v>
      </c>
      <c r="F367" s="260" t="s">
        <v>3203</v>
      </c>
      <c r="G367" s="255">
        <v>7.9951147696E10</v>
      </c>
      <c r="H367" s="255">
        <v>20000.0</v>
      </c>
      <c r="I367" s="255">
        <v>1537.0</v>
      </c>
      <c r="K367" s="255" t="s">
        <v>2207</v>
      </c>
      <c r="L367" s="255" t="s">
        <v>2207</v>
      </c>
      <c r="M367" s="255" t="s">
        <v>102</v>
      </c>
      <c r="N367" s="255">
        <v>250000.0</v>
      </c>
      <c r="P367" s="255" t="s">
        <v>2208</v>
      </c>
      <c r="Q367" s="255">
        <v>1.0</v>
      </c>
      <c r="R367" s="259">
        <v>45777.0</v>
      </c>
      <c r="S367" s="260" t="s">
        <v>3213</v>
      </c>
      <c r="T367" s="259">
        <v>45778.0</v>
      </c>
      <c r="U367" s="255">
        <v>0.0</v>
      </c>
    </row>
    <row r="368">
      <c r="A368" s="257">
        <v>45778.627044699075</v>
      </c>
      <c r="B368" s="258" t="s">
        <v>3214</v>
      </c>
      <c r="C368" s="259">
        <v>45778.0</v>
      </c>
      <c r="D368" s="255" t="s">
        <v>3215</v>
      </c>
      <c r="E368" s="255" t="s">
        <v>3216</v>
      </c>
      <c r="H368" s="255">
        <v>3000.0</v>
      </c>
      <c r="J368" s="255">
        <v>4500.0</v>
      </c>
      <c r="K368" s="255" t="s">
        <v>2207</v>
      </c>
      <c r="L368" s="255" t="s">
        <v>2207</v>
      </c>
      <c r="M368" s="255" t="s">
        <v>68</v>
      </c>
      <c r="N368" s="255">
        <v>70000.0</v>
      </c>
      <c r="P368" s="255" t="s">
        <v>3177</v>
      </c>
      <c r="Q368" s="255">
        <v>2.0</v>
      </c>
      <c r="R368" s="259">
        <v>45778.0</v>
      </c>
      <c r="S368" s="260" t="s">
        <v>2231</v>
      </c>
      <c r="T368" s="259">
        <v>45870.0</v>
      </c>
      <c r="U368" s="255">
        <v>0.0</v>
      </c>
    </row>
    <row r="369">
      <c r="A369" s="257">
        <v>45780.73787909722</v>
      </c>
      <c r="B369" s="258" t="s">
        <v>3217</v>
      </c>
      <c r="C369" s="259">
        <v>45780.0</v>
      </c>
      <c r="D369" s="255" t="s">
        <v>3218</v>
      </c>
      <c r="F369" s="255">
        <v>8.92477191E10</v>
      </c>
      <c r="H369" s="255">
        <v>20000.0</v>
      </c>
      <c r="I369" s="255">
        <v>786.0</v>
      </c>
      <c r="K369" s="255" t="s">
        <v>2269</v>
      </c>
      <c r="L369" s="255" t="s">
        <v>2269</v>
      </c>
      <c r="M369" s="255" t="s">
        <v>438</v>
      </c>
      <c r="N369" s="255">
        <v>200000.0</v>
      </c>
      <c r="P369" s="255" t="s">
        <v>2208</v>
      </c>
      <c r="Q369" s="255">
        <v>1.0</v>
      </c>
      <c r="R369" s="259">
        <v>45780.0</v>
      </c>
      <c r="S369" s="260" t="s">
        <v>2246</v>
      </c>
      <c r="T369" s="259">
        <v>45794.0</v>
      </c>
      <c r="U369" s="255">
        <v>0.0</v>
      </c>
    </row>
    <row r="370">
      <c r="A370" s="257">
        <v>45780.73959949074</v>
      </c>
      <c r="B370" s="258" t="s">
        <v>3219</v>
      </c>
      <c r="C370" s="259">
        <v>45780.0</v>
      </c>
      <c r="D370" s="255" t="s">
        <v>3218</v>
      </c>
      <c r="F370" s="255" t="s">
        <v>3220</v>
      </c>
      <c r="H370" s="255">
        <v>20000.0</v>
      </c>
      <c r="J370" s="255">
        <v>22900.0</v>
      </c>
      <c r="K370" s="255" t="s">
        <v>2269</v>
      </c>
      <c r="L370" s="255" t="s">
        <v>2269</v>
      </c>
      <c r="M370" s="255" t="s">
        <v>916</v>
      </c>
      <c r="N370" s="255">
        <v>250000.0</v>
      </c>
      <c r="P370" s="255" t="s">
        <v>2208</v>
      </c>
      <c r="Q370" s="255">
        <v>1.0</v>
      </c>
      <c r="R370" s="259">
        <v>45780.0</v>
      </c>
      <c r="S370" s="260" t="s">
        <v>2246</v>
      </c>
      <c r="T370" s="259">
        <v>45811.0</v>
      </c>
      <c r="U370" s="255">
        <v>0.0</v>
      </c>
    </row>
    <row r="371">
      <c r="A371" s="257">
        <v>45781.50688100695</v>
      </c>
      <c r="B371" s="258" t="s">
        <v>3221</v>
      </c>
      <c r="C371" s="259">
        <v>45781.0</v>
      </c>
      <c r="D371" s="255" t="s">
        <v>3222</v>
      </c>
      <c r="E371" s="255" t="s">
        <v>3223</v>
      </c>
      <c r="F371" s="255" t="s">
        <v>3222</v>
      </c>
      <c r="H371" s="255" t="s">
        <v>2963</v>
      </c>
      <c r="I371" s="255">
        <v>2200.0</v>
      </c>
      <c r="K371" s="255" t="s">
        <v>3223</v>
      </c>
      <c r="L371" s="255" t="s">
        <v>3223</v>
      </c>
      <c r="M371" s="255" t="s">
        <v>967</v>
      </c>
      <c r="N371" s="255">
        <v>540000.0</v>
      </c>
      <c r="O371" s="255">
        <v>15000.0</v>
      </c>
      <c r="P371" s="255" t="s">
        <v>2242</v>
      </c>
      <c r="Q371" s="255">
        <v>1.0</v>
      </c>
      <c r="R371" s="259">
        <v>45781.0</v>
      </c>
      <c r="S371" s="260" t="s">
        <v>2330</v>
      </c>
      <c r="T371" s="259">
        <v>45784.0</v>
      </c>
      <c r="U371" s="255">
        <v>0.0</v>
      </c>
    </row>
    <row r="372">
      <c r="A372" s="257">
        <v>45782.419597789354</v>
      </c>
      <c r="B372" s="258" t="s">
        <v>3224</v>
      </c>
      <c r="C372" s="259">
        <v>45782.0</v>
      </c>
      <c r="D372" s="255" t="s">
        <v>3225</v>
      </c>
      <c r="E372" s="255" t="s">
        <v>3226</v>
      </c>
      <c r="F372" s="255" t="s">
        <v>3227</v>
      </c>
      <c r="G372" s="255">
        <v>9.02378068E8</v>
      </c>
      <c r="H372" s="255">
        <v>20000.0</v>
      </c>
      <c r="J372" s="255">
        <v>11000.0</v>
      </c>
      <c r="K372" s="255" t="s">
        <v>3228</v>
      </c>
      <c r="L372" s="255" t="s">
        <v>3228</v>
      </c>
      <c r="N372" s="255">
        <v>140000.0</v>
      </c>
      <c r="O372" s="255">
        <v>16500.0</v>
      </c>
      <c r="P372" s="255" t="s">
        <v>2208</v>
      </c>
      <c r="Q372" s="255">
        <v>1.0</v>
      </c>
      <c r="R372" s="259">
        <v>45782.0</v>
      </c>
      <c r="S372" s="260" t="s">
        <v>2235</v>
      </c>
      <c r="T372" s="259">
        <v>45807.0</v>
      </c>
      <c r="U372" s="255">
        <v>390.0</v>
      </c>
    </row>
    <row r="373">
      <c r="A373" s="257">
        <v>45783.32485618055</v>
      </c>
      <c r="B373" s="258" t="s">
        <v>3229</v>
      </c>
      <c r="C373" s="259">
        <v>45783.0</v>
      </c>
      <c r="E373" s="255" t="s">
        <v>3230</v>
      </c>
      <c r="F373" s="255">
        <v>8.9529403849E10</v>
      </c>
      <c r="G373" s="255">
        <v>8.9537986761E10</v>
      </c>
      <c r="H373" s="255">
        <v>20000.0</v>
      </c>
      <c r="I373" s="255">
        <v>1700.0</v>
      </c>
      <c r="K373" s="255" t="s">
        <v>3230</v>
      </c>
      <c r="L373" s="255" t="s">
        <v>3230</v>
      </c>
      <c r="M373" s="255" t="s">
        <v>102</v>
      </c>
      <c r="N373" s="255">
        <v>200000.0</v>
      </c>
      <c r="P373" s="255" t="s">
        <v>2208</v>
      </c>
      <c r="Q373" s="255">
        <v>2.0</v>
      </c>
      <c r="R373" s="259">
        <v>45783.0</v>
      </c>
      <c r="S373" s="260" t="s">
        <v>2330</v>
      </c>
      <c r="T373" s="259">
        <v>45785.0</v>
      </c>
      <c r="U373" s="255">
        <v>490.0</v>
      </c>
    </row>
    <row r="374">
      <c r="A374" s="257">
        <v>45784.56372950232</v>
      </c>
      <c r="B374" s="258" t="s">
        <v>3231</v>
      </c>
      <c r="C374" s="259">
        <v>45784.0</v>
      </c>
      <c r="E374" s="255" t="s">
        <v>3232</v>
      </c>
      <c r="F374" s="255">
        <v>7.950272727E10</v>
      </c>
      <c r="H374" s="255" t="s">
        <v>985</v>
      </c>
      <c r="I374" s="255">
        <v>848.0</v>
      </c>
      <c r="K374" s="255" t="s">
        <v>3232</v>
      </c>
      <c r="L374" s="255" t="s">
        <v>3232</v>
      </c>
      <c r="M374" s="255" t="s">
        <v>923</v>
      </c>
      <c r="N374" s="255">
        <v>170000.0</v>
      </c>
      <c r="P374" s="255" t="s">
        <v>2208</v>
      </c>
      <c r="Q374" s="255">
        <v>0.0</v>
      </c>
      <c r="R374" s="259">
        <v>45784.0</v>
      </c>
      <c r="S374" s="260" t="s">
        <v>2231</v>
      </c>
      <c r="T374" s="259">
        <v>45789.0</v>
      </c>
      <c r="U374" s="255">
        <v>0.0</v>
      </c>
    </row>
    <row r="375">
      <c r="A375" s="257">
        <v>45784.593344953704</v>
      </c>
      <c r="B375" s="258" t="s">
        <v>3233</v>
      </c>
      <c r="C375" s="259">
        <v>45784.0</v>
      </c>
      <c r="D375" s="255" t="s">
        <v>3234</v>
      </c>
      <c r="E375" s="255" t="s">
        <v>3235</v>
      </c>
      <c r="H375" s="255" t="s">
        <v>1502</v>
      </c>
      <c r="J375" s="255">
        <v>20000.0</v>
      </c>
      <c r="K375" s="255" t="s">
        <v>2207</v>
      </c>
      <c r="L375" s="255" t="s">
        <v>2207</v>
      </c>
      <c r="M375" s="255" t="s">
        <v>916</v>
      </c>
      <c r="N375" s="255">
        <v>140000.0</v>
      </c>
      <c r="O375" s="255">
        <v>25000.0</v>
      </c>
      <c r="P375" s="255" t="s">
        <v>2208</v>
      </c>
      <c r="Q375" s="255">
        <v>1.0</v>
      </c>
      <c r="R375" s="259">
        <v>45784.0</v>
      </c>
      <c r="S375" s="260" t="s">
        <v>2221</v>
      </c>
      <c r="T375" s="259">
        <v>45815.0</v>
      </c>
      <c r="U375" s="255">
        <v>0.0</v>
      </c>
    </row>
    <row r="376">
      <c r="A376" s="257">
        <v>45784.694300057876</v>
      </c>
      <c r="B376" s="258" t="s">
        <v>3236</v>
      </c>
      <c r="C376" s="259">
        <v>45784.0</v>
      </c>
      <c r="E376" s="255" t="s">
        <v>3237</v>
      </c>
      <c r="H376" s="255">
        <v>0.0</v>
      </c>
      <c r="I376" s="255">
        <v>2000.0</v>
      </c>
      <c r="K376" s="255" t="s">
        <v>3237</v>
      </c>
      <c r="L376" s="255" t="s">
        <v>3237</v>
      </c>
      <c r="M376" s="255" t="s">
        <v>967</v>
      </c>
      <c r="N376" s="255">
        <v>500000.0</v>
      </c>
      <c r="P376" s="255" t="s">
        <v>2208</v>
      </c>
      <c r="Q376" s="255">
        <v>1.0</v>
      </c>
      <c r="R376" s="259">
        <v>45784.0</v>
      </c>
      <c r="S376" s="260" t="s">
        <v>2250</v>
      </c>
      <c r="T376" s="259">
        <v>45788.0</v>
      </c>
      <c r="U376" s="255">
        <v>290.0</v>
      </c>
    </row>
    <row r="377">
      <c r="A377" s="257">
        <v>45784.69569184028</v>
      </c>
      <c r="B377" s="258" t="s">
        <v>3238</v>
      </c>
      <c r="C377" s="259">
        <v>45784.0</v>
      </c>
      <c r="E377" s="255" t="s">
        <v>3237</v>
      </c>
      <c r="H377" s="255">
        <v>0.0</v>
      </c>
      <c r="I377" s="255">
        <v>2000.0</v>
      </c>
      <c r="K377" s="255" t="s">
        <v>3237</v>
      </c>
      <c r="L377" s="255" t="s">
        <v>3237</v>
      </c>
      <c r="M377" s="255" t="s">
        <v>967</v>
      </c>
      <c r="N377" s="255">
        <v>500000.0</v>
      </c>
      <c r="P377" s="255" t="s">
        <v>2208</v>
      </c>
      <c r="Q377" s="255">
        <v>1.0</v>
      </c>
      <c r="R377" s="259">
        <v>45784.0</v>
      </c>
      <c r="S377" s="260" t="s">
        <v>2250</v>
      </c>
      <c r="T377" s="259">
        <v>45788.0</v>
      </c>
      <c r="U377" s="255">
        <v>290.0</v>
      </c>
    </row>
    <row r="378">
      <c r="A378" s="257">
        <v>45785.148373749995</v>
      </c>
      <c r="B378" s="258" t="s">
        <v>3239</v>
      </c>
      <c r="C378" s="259">
        <v>45785.0</v>
      </c>
      <c r="D378" s="255" t="s">
        <v>3240</v>
      </c>
      <c r="E378" s="255" t="s">
        <v>3241</v>
      </c>
      <c r="F378" s="260" t="s">
        <v>3242</v>
      </c>
      <c r="H378" s="255" t="s">
        <v>515</v>
      </c>
      <c r="I378" s="255">
        <v>1690.0</v>
      </c>
      <c r="K378" s="255" t="s">
        <v>3241</v>
      </c>
      <c r="L378" s="255" t="s">
        <v>3241</v>
      </c>
      <c r="M378" s="255" t="s">
        <v>102</v>
      </c>
      <c r="N378" s="255">
        <v>250000.0</v>
      </c>
      <c r="P378" s="255" t="s">
        <v>2208</v>
      </c>
      <c r="Q378" s="255">
        <v>0.0</v>
      </c>
      <c r="R378" s="259">
        <v>45785.0</v>
      </c>
      <c r="S378" s="260" t="s">
        <v>2235</v>
      </c>
      <c r="T378" s="259">
        <v>45787.0</v>
      </c>
      <c r="U378" s="255">
        <v>290.0</v>
      </c>
    </row>
    <row r="379">
      <c r="A379" s="257">
        <v>45785.71676802084</v>
      </c>
      <c r="B379" s="258" t="s">
        <v>3243</v>
      </c>
      <c r="C379" s="259">
        <v>45785.0</v>
      </c>
      <c r="E379" s="255" t="s">
        <v>2207</v>
      </c>
      <c r="F379" s="255">
        <v>7.911835356E10</v>
      </c>
      <c r="H379" s="255">
        <v>3000.0</v>
      </c>
      <c r="J379" s="255">
        <v>5000.0</v>
      </c>
      <c r="K379" s="255" t="s">
        <v>2207</v>
      </c>
      <c r="L379" s="255" t="s">
        <v>2207</v>
      </c>
      <c r="M379" s="255" t="s">
        <v>114</v>
      </c>
      <c r="N379" s="255">
        <v>70000.0</v>
      </c>
      <c r="P379" s="255" t="s">
        <v>2208</v>
      </c>
      <c r="Q379" s="255">
        <v>2.0</v>
      </c>
      <c r="R379" s="259">
        <v>45785.0</v>
      </c>
      <c r="S379" s="260" t="s">
        <v>2250</v>
      </c>
      <c r="T379" s="259">
        <v>45816.0</v>
      </c>
      <c r="U379" s="255">
        <v>0.0</v>
      </c>
    </row>
    <row r="380">
      <c r="A380" s="257">
        <v>45787.27904596065</v>
      </c>
      <c r="B380" s="258" t="s">
        <v>3244</v>
      </c>
      <c r="C380" s="259">
        <v>45787.0</v>
      </c>
      <c r="E380" s="255" t="s">
        <v>3245</v>
      </c>
      <c r="F380" s="255" t="s">
        <v>3246</v>
      </c>
      <c r="G380" s="255" t="s">
        <v>3247</v>
      </c>
      <c r="H380" s="255">
        <v>15000.0</v>
      </c>
      <c r="I380" s="255">
        <v>522.0</v>
      </c>
      <c r="K380" s="255" t="s">
        <v>3245</v>
      </c>
      <c r="L380" s="255" t="s">
        <v>3245</v>
      </c>
      <c r="M380" s="255" t="s">
        <v>461</v>
      </c>
      <c r="N380" s="255">
        <v>120000.0</v>
      </c>
      <c r="P380" s="255" t="s">
        <v>2208</v>
      </c>
      <c r="Q380" s="255">
        <v>2.0</v>
      </c>
      <c r="R380" s="259">
        <v>45791.0</v>
      </c>
      <c r="S380" s="260" t="s">
        <v>2330</v>
      </c>
      <c r="T380" s="259">
        <v>45808.0</v>
      </c>
      <c r="U380" s="255">
        <v>590.0</v>
      </c>
    </row>
    <row r="381">
      <c r="A381" s="257">
        <v>45790.52754243056</v>
      </c>
      <c r="B381" s="258" t="s">
        <v>3248</v>
      </c>
      <c r="C381" s="259">
        <v>45790.0</v>
      </c>
      <c r="E381" s="255" t="s">
        <v>2436</v>
      </c>
      <c r="H381" s="255">
        <v>3000.0</v>
      </c>
      <c r="I381" s="255">
        <v>300.0</v>
      </c>
      <c r="K381" s="255" t="s">
        <v>2207</v>
      </c>
      <c r="L381" s="255" t="s">
        <v>2207</v>
      </c>
      <c r="M381" s="255" t="s">
        <v>44</v>
      </c>
      <c r="N381" s="255">
        <v>70000.0</v>
      </c>
      <c r="P381" s="255" t="s">
        <v>2208</v>
      </c>
      <c r="Q381" s="255">
        <v>1.0</v>
      </c>
      <c r="R381" s="259">
        <v>45790.0</v>
      </c>
      <c r="S381" s="260" t="s">
        <v>2221</v>
      </c>
      <c r="T381" s="259">
        <v>45795.0</v>
      </c>
      <c r="U381" s="255">
        <v>0.0</v>
      </c>
    </row>
    <row r="382">
      <c r="A382" s="257">
        <v>45794.89229142361</v>
      </c>
      <c r="B382" s="258" t="s">
        <v>3249</v>
      </c>
      <c r="C382" s="259">
        <v>45795.0</v>
      </c>
      <c r="D382" s="255" t="s">
        <v>3250</v>
      </c>
      <c r="H382" s="255">
        <v>5000.0</v>
      </c>
      <c r="I382" s="255">
        <v>600.0</v>
      </c>
      <c r="K382" s="255" t="s">
        <v>2269</v>
      </c>
      <c r="L382" s="255" t="s">
        <v>2269</v>
      </c>
      <c r="M382" s="255" t="s">
        <v>941</v>
      </c>
      <c r="N382" s="255">
        <v>180000.0</v>
      </c>
      <c r="O382" s="255">
        <v>8000.0</v>
      </c>
      <c r="P382" s="255" t="s">
        <v>2208</v>
      </c>
      <c r="Q382" s="255">
        <v>0.0</v>
      </c>
      <c r="R382" s="259">
        <v>45795.0</v>
      </c>
      <c r="S382" s="260" t="s">
        <v>2262</v>
      </c>
      <c r="T382" s="259">
        <v>45797.0</v>
      </c>
      <c r="U382" s="255">
        <v>0.0</v>
      </c>
    </row>
    <row r="383">
      <c r="A383" s="257">
        <v>45795.12685905093</v>
      </c>
      <c r="B383" s="258" t="s">
        <v>3251</v>
      </c>
      <c r="C383" s="259">
        <v>45795.0</v>
      </c>
      <c r="F383" s="255">
        <v>8.9269914733E10</v>
      </c>
      <c r="H383" s="255">
        <v>3000.0</v>
      </c>
      <c r="I383" s="255">
        <v>294.0</v>
      </c>
      <c r="M383" s="255" t="s">
        <v>106</v>
      </c>
      <c r="N383" s="255">
        <v>70000.0</v>
      </c>
      <c r="P383" s="255" t="s">
        <v>2208</v>
      </c>
      <c r="Q383" s="255">
        <v>2.0</v>
      </c>
      <c r="R383" s="259">
        <v>45827.0</v>
      </c>
      <c r="S383" s="260" t="s">
        <v>2330</v>
      </c>
      <c r="T383" s="259">
        <v>45835.0</v>
      </c>
      <c r="U383" s="255">
        <v>590.0</v>
      </c>
    </row>
    <row r="384">
      <c r="A384" s="257">
        <v>45797.70307481481</v>
      </c>
      <c r="B384" s="258" t="s">
        <v>3252</v>
      </c>
      <c r="C384" s="259">
        <v>45797.0</v>
      </c>
      <c r="E384" s="255" t="s">
        <v>3253</v>
      </c>
      <c r="F384" s="255">
        <v>7.9673773217E10</v>
      </c>
      <c r="G384" s="255">
        <v>9.48851735E8</v>
      </c>
      <c r="H384" s="255">
        <v>3000.0</v>
      </c>
      <c r="I384" s="255">
        <v>314.0</v>
      </c>
      <c r="K384" s="255" t="s">
        <v>2269</v>
      </c>
      <c r="L384" s="255" t="s">
        <v>2269</v>
      </c>
      <c r="M384" s="255" t="s">
        <v>151</v>
      </c>
      <c r="N384" s="255">
        <v>70000.0</v>
      </c>
      <c r="P384" s="255" t="s">
        <v>2208</v>
      </c>
      <c r="Q384" s="255">
        <v>2.0</v>
      </c>
      <c r="R384" s="259">
        <v>45797.0</v>
      </c>
      <c r="S384" s="260" t="s">
        <v>2215</v>
      </c>
      <c r="T384" s="259">
        <v>45802.0</v>
      </c>
      <c r="U384" s="255">
        <v>0.0</v>
      </c>
    </row>
    <row r="385">
      <c r="A385" s="257">
        <v>45797.83365528935</v>
      </c>
      <c r="B385" s="262" t="s">
        <v>3254</v>
      </c>
      <c r="C385" s="259">
        <v>45797.0</v>
      </c>
      <c r="D385" s="255" t="s">
        <v>3255</v>
      </c>
      <c r="E385" s="255" t="s">
        <v>3256</v>
      </c>
      <c r="F385" s="255" t="s">
        <v>3257</v>
      </c>
      <c r="H385" s="255" t="s">
        <v>912</v>
      </c>
      <c r="I385" s="255">
        <v>271.0</v>
      </c>
      <c r="K385" s="255" t="s">
        <v>3256</v>
      </c>
      <c r="L385" s="255" t="s">
        <v>3256</v>
      </c>
      <c r="M385" s="255" t="s">
        <v>48</v>
      </c>
      <c r="N385" s="255">
        <v>70000.0</v>
      </c>
      <c r="P385" s="255" t="s">
        <v>2208</v>
      </c>
      <c r="Q385" s="255">
        <v>2.0</v>
      </c>
      <c r="R385" s="259">
        <v>45798.0</v>
      </c>
      <c r="S385" s="260" t="s">
        <v>2330</v>
      </c>
      <c r="T385" s="259">
        <v>45808.0</v>
      </c>
      <c r="U385" s="255">
        <v>290.0</v>
      </c>
    </row>
    <row r="386">
      <c r="A386" s="257">
        <v>45798.462632986106</v>
      </c>
      <c r="B386" s="258" t="s">
        <v>3258</v>
      </c>
      <c r="C386" s="259">
        <v>45798.0</v>
      </c>
      <c r="D386" s="255" t="s">
        <v>3259</v>
      </c>
      <c r="E386" s="255" t="s">
        <v>3260</v>
      </c>
      <c r="F386" s="255" t="s">
        <v>3261</v>
      </c>
      <c r="H386" s="255">
        <v>3000.0</v>
      </c>
      <c r="I386" s="255">
        <v>300.0</v>
      </c>
      <c r="K386" s="255" t="s">
        <v>2269</v>
      </c>
      <c r="L386" s="255" t="s">
        <v>2269</v>
      </c>
      <c r="M386" s="255" t="s">
        <v>98</v>
      </c>
      <c r="N386" s="255">
        <v>80000.0</v>
      </c>
      <c r="O386" s="255">
        <v>30865.0</v>
      </c>
      <c r="P386" s="255" t="s">
        <v>2242</v>
      </c>
      <c r="Q386" s="255">
        <v>0.0</v>
      </c>
      <c r="R386" s="259">
        <v>45798.0</v>
      </c>
      <c r="S386" s="260" t="s">
        <v>2265</v>
      </c>
      <c r="T386" s="259">
        <v>45801.0</v>
      </c>
      <c r="U386" s="255">
        <v>0.0</v>
      </c>
    </row>
    <row r="387">
      <c r="A387" s="257">
        <v>45800.16922582176</v>
      </c>
      <c r="B387" s="258" t="s">
        <v>3262</v>
      </c>
      <c r="C387" s="259">
        <v>45800.0</v>
      </c>
      <c r="D387" s="255" t="s">
        <v>3263</v>
      </c>
      <c r="E387" s="255" t="s">
        <v>3264</v>
      </c>
      <c r="F387" s="255" t="s">
        <v>3265</v>
      </c>
      <c r="H387" s="255">
        <v>15000.0</v>
      </c>
      <c r="I387" s="255">
        <v>779.0</v>
      </c>
      <c r="K387" s="255" t="s">
        <v>2269</v>
      </c>
      <c r="L387" s="255" t="s">
        <v>2269</v>
      </c>
      <c r="M387" s="255" t="s">
        <v>468</v>
      </c>
      <c r="N387" s="255">
        <v>150000.0</v>
      </c>
      <c r="P387" s="255" t="s">
        <v>2208</v>
      </c>
      <c r="Q387" s="255">
        <v>1.0</v>
      </c>
      <c r="R387" s="259">
        <v>45800.0</v>
      </c>
      <c r="S387" s="260" t="s">
        <v>2221</v>
      </c>
      <c r="T387" s="259">
        <v>45808.0</v>
      </c>
      <c r="U387" s="255">
        <v>0.0</v>
      </c>
    </row>
    <row r="388">
      <c r="A388" s="257">
        <v>45801.149459594904</v>
      </c>
      <c r="B388" s="258" t="s">
        <v>3266</v>
      </c>
      <c r="C388" s="259">
        <v>45801.0</v>
      </c>
      <c r="D388" s="255" t="s">
        <v>3267</v>
      </c>
      <c r="E388" s="255" t="s">
        <v>3268</v>
      </c>
      <c r="F388" s="255">
        <v>8.950285887E10</v>
      </c>
      <c r="G388" s="255">
        <v>8.9940178257E10</v>
      </c>
      <c r="H388" s="255">
        <v>5000.0</v>
      </c>
      <c r="I388" s="255">
        <v>459.0</v>
      </c>
      <c r="K388" s="255" t="s">
        <v>3269</v>
      </c>
      <c r="L388" s="255" t="s">
        <v>3269</v>
      </c>
      <c r="M388" s="255" t="s">
        <v>202</v>
      </c>
      <c r="N388" s="255">
        <v>130000.0</v>
      </c>
      <c r="P388" s="255" t="s">
        <v>2208</v>
      </c>
      <c r="Q388" s="255">
        <v>2.0</v>
      </c>
      <c r="R388" s="259">
        <v>45804.0</v>
      </c>
      <c r="S388" s="260" t="s">
        <v>2235</v>
      </c>
      <c r="T388" s="259">
        <v>45810.0</v>
      </c>
      <c r="U388" s="255">
        <v>290.0</v>
      </c>
    </row>
    <row r="389">
      <c r="A389" s="257">
        <v>45802.57385046296</v>
      </c>
      <c r="B389" s="258" t="s">
        <v>3270</v>
      </c>
      <c r="C389" s="259">
        <v>45802.0</v>
      </c>
      <c r="F389" s="255" t="s">
        <v>3271</v>
      </c>
      <c r="H389" s="255">
        <v>3000.0</v>
      </c>
      <c r="I389" s="255">
        <v>286.0</v>
      </c>
      <c r="K389" s="255" t="s">
        <v>2207</v>
      </c>
      <c r="L389" s="255" t="s">
        <v>2207</v>
      </c>
      <c r="M389" s="255" t="s">
        <v>98</v>
      </c>
      <c r="N389" s="255">
        <v>80000.0</v>
      </c>
      <c r="P389" s="255" t="s">
        <v>2208</v>
      </c>
      <c r="Q389" s="255">
        <v>2.0</v>
      </c>
      <c r="R389" s="259">
        <v>45802.0</v>
      </c>
      <c r="S389" s="260" t="s">
        <v>2235</v>
      </c>
      <c r="T389" s="259">
        <v>45809.0</v>
      </c>
      <c r="U389" s="255">
        <v>0.0</v>
      </c>
    </row>
    <row r="390">
      <c r="A390" s="257">
        <v>45809.43948826389</v>
      </c>
      <c r="B390" s="258" t="s">
        <v>3272</v>
      </c>
      <c r="C390" s="259">
        <v>45809.0</v>
      </c>
      <c r="D390" s="255" t="s">
        <v>2852</v>
      </c>
      <c r="E390" s="255" t="s">
        <v>3030</v>
      </c>
      <c r="F390" s="255" t="s">
        <v>2854</v>
      </c>
      <c r="H390" s="255">
        <v>3000.0</v>
      </c>
      <c r="J390" s="255">
        <v>5000.0</v>
      </c>
      <c r="K390" s="255" t="s">
        <v>3030</v>
      </c>
      <c r="L390" s="255" t="s">
        <v>3048</v>
      </c>
      <c r="M390" s="255" t="s">
        <v>48</v>
      </c>
      <c r="N390" s="255">
        <v>90000.0</v>
      </c>
      <c r="P390" s="255" t="s">
        <v>2208</v>
      </c>
      <c r="Q390" s="255">
        <v>2.0</v>
      </c>
      <c r="R390" s="259">
        <v>45809.0</v>
      </c>
      <c r="S390" s="260" t="s">
        <v>2265</v>
      </c>
      <c r="T390" s="259">
        <v>45839.0</v>
      </c>
      <c r="U390" s="255">
        <v>290.0</v>
      </c>
    </row>
    <row r="391">
      <c r="A391" s="257">
        <v>45810.49153295139</v>
      </c>
      <c r="B391" s="258" t="s">
        <v>3273</v>
      </c>
      <c r="C391" s="259">
        <v>45810.0</v>
      </c>
      <c r="E391" s="255" t="s">
        <v>3274</v>
      </c>
      <c r="F391" s="255" t="s">
        <v>3275</v>
      </c>
      <c r="H391" s="255">
        <v>5000.0</v>
      </c>
      <c r="I391" s="255">
        <v>500.0</v>
      </c>
      <c r="K391" s="255" t="s">
        <v>2269</v>
      </c>
      <c r="L391" s="255" t="s">
        <v>2269</v>
      </c>
      <c r="M391" s="255" t="s">
        <v>923</v>
      </c>
      <c r="N391" s="255">
        <v>150000.0</v>
      </c>
      <c r="P391" s="255" t="s">
        <v>2208</v>
      </c>
      <c r="Q391" s="255">
        <v>1.0</v>
      </c>
      <c r="R391" s="259">
        <v>45810.0</v>
      </c>
      <c r="S391" s="260" t="s">
        <v>2330</v>
      </c>
      <c r="T391" s="259">
        <v>45812.0</v>
      </c>
      <c r="U391" s="255">
        <v>0.0</v>
      </c>
    </row>
    <row r="392">
      <c r="A392" s="257">
        <v>45810.69549806713</v>
      </c>
      <c r="B392" s="258" t="s">
        <v>3276</v>
      </c>
      <c r="C392" s="259">
        <v>45810.0</v>
      </c>
      <c r="E392" s="255" t="s">
        <v>3277</v>
      </c>
      <c r="F392" s="260" t="s">
        <v>3278</v>
      </c>
      <c r="G392" s="255">
        <v>7.9992343233E10</v>
      </c>
      <c r="H392" s="255">
        <v>5000.0</v>
      </c>
      <c r="J392" s="255">
        <v>10000.0</v>
      </c>
      <c r="K392" s="255" t="s">
        <v>2207</v>
      </c>
      <c r="L392" s="255" t="s">
        <v>2207</v>
      </c>
      <c r="M392" s="255" t="s">
        <v>1028</v>
      </c>
      <c r="N392" s="255">
        <v>130000.0</v>
      </c>
      <c r="P392" s="255" t="s">
        <v>2208</v>
      </c>
      <c r="Q392" s="255">
        <v>2.0</v>
      </c>
      <c r="R392" s="259">
        <v>45810.0</v>
      </c>
      <c r="S392" s="260" t="s">
        <v>2246</v>
      </c>
      <c r="T392" s="259">
        <v>45840.0</v>
      </c>
      <c r="U392" s="255">
        <v>0.0</v>
      </c>
    </row>
    <row r="393">
      <c r="A393" s="257">
        <v>45814.215170578704</v>
      </c>
      <c r="B393" s="258" t="s">
        <v>3279</v>
      </c>
      <c r="C393" s="259">
        <v>45814.0</v>
      </c>
      <c r="D393" s="255" t="s">
        <v>3280</v>
      </c>
      <c r="E393" s="255" t="s">
        <v>3281</v>
      </c>
      <c r="F393" s="255" t="s">
        <v>3282</v>
      </c>
      <c r="H393" s="255">
        <v>5000.0</v>
      </c>
      <c r="I393" s="255">
        <v>500.0</v>
      </c>
      <c r="K393" s="255" t="s">
        <v>3281</v>
      </c>
      <c r="L393" s="255" t="s">
        <v>3281</v>
      </c>
      <c r="M393" s="255" t="s">
        <v>971</v>
      </c>
      <c r="N393" s="255">
        <v>150000.0</v>
      </c>
      <c r="P393" s="255" t="s">
        <v>2208</v>
      </c>
      <c r="Q393" s="255">
        <v>2.0</v>
      </c>
      <c r="R393" s="259">
        <v>45814.0</v>
      </c>
      <c r="S393" s="260" t="s">
        <v>2215</v>
      </c>
      <c r="T393" s="259">
        <v>45822.0</v>
      </c>
      <c r="U393" s="255">
        <v>290.0</v>
      </c>
    </row>
    <row r="394">
      <c r="A394" s="257">
        <v>45816.283289687504</v>
      </c>
      <c r="B394" s="258" t="s">
        <v>3283</v>
      </c>
      <c r="C394" s="259">
        <v>45816.0</v>
      </c>
      <c r="D394" s="255" t="s">
        <v>3185</v>
      </c>
      <c r="E394" s="255" t="s">
        <v>3202</v>
      </c>
      <c r="F394" s="260" t="s">
        <v>3203</v>
      </c>
      <c r="G394" s="255">
        <v>7.9951147696E10</v>
      </c>
      <c r="H394" s="255">
        <v>20000.0</v>
      </c>
      <c r="I394" s="255">
        <v>1360.0</v>
      </c>
      <c r="K394" s="255" t="s">
        <v>2269</v>
      </c>
      <c r="L394" s="255" t="s">
        <v>2269</v>
      </c>
      <c r="M394" s="255" t="s">
        <v>102</v>
      </c>
      <c r="N394" s="255">
        <v>200000.0</v>
      </c>
      <c r="P394" s="255" t="s">
        <v>2208</v>
      </c>
      <c r="Q394" s="255">
        <v>2.0</v>
      </c>
      <c r="R394" s="259">
        <v>45817.0</v>
      </c>
      <c r="S394" s="260" t="s">
        <v>2330</v>
      </c>
      <c r="T394" s="259">
        <v>45824.0</v>
      </c>
      <c r="U394" s="255">
        <v>0.0</v>
      </c>
    </row>
    <row r="395">
      <c r="A395" s="257">
        <v>45823.8315795949</v>
      </c>
      <c r="B395" s="258" t="s">
        <v>3284</v>
      </c>
      <c r="C395" s="259">
        <v>45823.0</v>
      </c>
      <c r="D395" s="255" t="s">
        <v>3185</v>
      </c>
      <c r="E395" s="255" t="s">
        <v>3285</v>
      </c>
      <c r="F395" s="260" t="s">
        <v>3203</v>
      </c>
      <c r="G395" s="255">
        <v>7.9951147696E10</v>
      </c>
      <c r="H395" s="255" t="s">
        <v>515</v>
      </c>
      <c r="I395" s="255">
        <v>1400.0</v>
      </c>
      <c r="K395" s="255" t="s">
        <v>2207</v>
      </c>
      <c r="L395" s="255" t="s">
        <v>2207</v>
      </c>
      <c r="M395" s="255" t="s">
        <v>102</v>
      </c>
      <c r="N395" s="255">
        <v>200000.0</v>
      </c>
      <c r="P395" s="255" t="s">
        <v>2208</v>
      </c>
      <c r="Q395" s="255">
        <v>1.0</v>
      </c>
      <c r="R395" s="259">
        <v>45823.0</v>
      </c>
      <c r="S395" s="260" t="s">
        <v>2470</v>
      </c>
      <c r="T395" s="259">
        <v>45824.0</v>
      </c>
      <c r="U395" s="255">
        <v>0.0</v>
      </c>
    </row>
    <row r="396">
      <c r="A396" s="257">
        <v>45825.29917025463</v>
      </c>
      <c r="B396" s="258" t="s">
        <v>3286</v>
      </c>
      <c r="C396" s="259">
        <v>45825.0</v>
      </c>
      <c r="D396" s="255" t="s">
        <v>3287</v>
      </c>
      <c r="E396" s="255" t="s">
        <v>3288</v>
      </c>
      <c r="H396" s="255">
        <v>20000.0</v>
      </c>
      <c r="I396" s="255">
        <v>990.0</v>
      </c>
      <c r="K396" s="255" t="s">
        <v>3288</v>
      </c>
      <c r="L396" s="255" t="s">
        <v>3288</v>
      </c>
      <c r="M396" s="255" t="s">
        <v>423</v>
      </c>
      <c r="N396" s="255">
        <v>150000.0</v>
      </c>
      <c r="P396" s="255" t="s">
        <v>2208</v>
      </c>
      <c r="Q396" s="255">
        <v>1.0</v>
      </c>
      <c r="R396" s="259">
        <v>45825.0</v>
      </c>
      <c r="S396" s="260" t="s">
        <v>2265</v>
      </c>
      <c r="T396" s="259">
        <v>45827.0</v>
      </c>
      <c r="U396" s="255">
        <v>490.0</v>
      </c>
    </row>
    <row r="397">
      <c r="A397" s="257">
        <v>45825.432448946754</v>
      </c>
      <c r="B397" s="258" t="s">
        <v>3289</v>
      </c>
      <c r="C397" s="259">
        <v>45825.0</v>
      </c>
      <c r="D397" s="255" t="s">
        <v>3287</v>
      </c>
      <c r="E397" s="255" t="s">
        <v>3288</v>
      </c>
      <c r="H397" s="255" t="s">
        <v>2602</v>
      </c>
      <c r="I397" s="255">
        <v>990.0</v>
      </c>
      <c r="K397" s="255" t="s">
        <v>3290</v>
      </c>
      <c r="L397" s="255" t="s">
        <v>3290</v>
      </c>
      <c r="M397" s="255" t="s">
        <v>423</v>
      </c>
      <c r="N397" s="255">
        <v>120000.0</v>
      </c>
      <c r="P397" s="255" t="s">
        <v>2208</v>
      </c>
      <c r="Q397" s="255">
        <v>1.0</v>
      </c>
      <c r="R397" s="259">
        <v>45825.0</v>
      </c>
      <c r="S397" s="260" t="s">
        <v>2265</v>
      </c>
      <c r="T397" s="259">
        <v>45827.0</v>
      </c>
      <c r="U397" s="255">
        <v>490.0</v>
      </c>
    </row>
    <row r="398">
      <c r="A398" s="257">
        <v>45832.270562453705</v>
      </c>
      <c r="B398" s="258" t="s">
        <v>3291</v>
      </c>
      <c r="C398" s="259">
        <v>45832.0</v>
      </c>
      <c r="D398" s="255" t="s">
        <v>3292</v>
      </c>
      <c r="E398" s="255" t="s">
        <v>3293</v>
      </c>
      <c r="F398" s="255" t="s">
        <v>3294</v>
      </c>
      <c r="H398" s="255">
        <v>5000.0</v>
      </c>
      <c r="I398" s="255">
        <v>614.0</v>
      </c>
      <c r="K398" s="255" t="s">
        <v>3293</v>
      </c>
      <c r="L398" s="255" t="s">
        <v>3293</v>
      </c>
      <c r="M398" s="255" t="s">
        <v>941</v>
      </c>
      <c r="N398" s="255">
        <v>150000.0</v>
      </c>
      <c r="P398" s="255" t="s">
        <v>2208</v>
      </c>
      <c r="Q398" s="255">
        <v>1.0</v>
      </c>
      <c r="R398" s="259">
        <v>45872.0</v>
      </c>
      <c r="S398" s="260" t="s">
        <v>2221</v>
      </c>
      <c r="T398" s="259">
        <v>45884.0</v>
      </c>
      <c r="U398" s="255">
        <v>290.0</v>
      </c>
    </row>
    <row r="399">
      <c r="A399" s="257">
        <v>45833.547947280094</v>
      </c>
      <c r="B399" s="258" t="s">
        <v>3295</v>
      </c>
      <c r="C399" s="259">
        <v>45833.0</v>
      </c>
      <c r="D399" s="255" t="s">
        <v>3185</v>
      </c>
      <c r="E399" s="255" t="s">
        <v>3296</v>
      </c>
      <c r="F399" s="260" t="s">
        <v>3203</v>
      </c>
      <c r="G399" s="255">
        <v>7.9951147696E10</v>
      </c>
      <c r="H399" s="255" t="s">
        <v>515</v>
      </c>
      <c r="I399" s="255">
        <v>1400.0</v>
      </c>
      <c r="K399" s="255" t="s">
        <v>2207</v>
      </c>
      <c r="L399" s="255" t="s">
        <v>2207</v>
      </c>
      <c r="M399" s="255" t="s">
        <v>102</v>
      </c>
      <c r="N399" s="255">
        <v>200000.0</v>
      </c>
      <c r="P399" s="255" t="s">
        <v>2208</v>
      </c>
      <c r="Q399" s="255">
        <v>1.0</v>
      </c>
      <c r="R399" s="259">
        <v>45833.0</v>
      </c>
      <c r="S399" s="260" t="s">
        <v>2330</v>
      </c>
      <c r="T399" s="259">
        <v>45834.0</v>
      </c>
      <c r="U399" s="255">
        <v>0.0</v>
      </c>
    </row>
    <row r="400">
      <c r="A400" s="257">
        <v>45834.70786594907</v>
      </c>
      <c r="B400" s="258" t="s">
        <v>3297</v>
      </c>
      <c r="C400" s="259">
        <v>45834.0</v>
      </c>
      <c r="D400" s="255" t="s">
        <v>3298</v>
      </c>
      <c r="E400" s="255" t="s">
        <v>3299</v>
      </c>
      <c r="I400" s="255">
        <v>250.0</v>
      </c>
      <c r="K400" s="255" t="s">
        <v>2269</v>
      </c>
      <c r="L400" s="255" t="s">
        <v>2269</v>
      </c>
      <c r="M400" s="255" t="s">
        <v>56</v>
      </c>
      <c r="N400" s="255">
        <v>70000.0</v>
      </c>
      <c r="P400" s="255" t="s">
        <v>2320</v>
      </c>
      <c r="Q400" s="255">
        <v>2.0</v>
      </c>
      <c r="R400" s="259">
        <v>45834.0</v>
      </c>
      <c r="S400" s="260" t="s">
        <v>2231</v>
      </c>
      <c r="T400" s="259">
        <v>45839.0</v>
      </c>
      <c r="U400" s="255">
        <v>0.0</v>
      </c>
    </row>
    <row r="401">
      <c r="A401" s="257">
        <v>45835.218506377314</v>
      </c>
      <c r="B401" s="258" t="s">
        <v>3300</v>
      </c>
      <c r="C401" s="259">
        <v>45835.0</v>
      </c>
      <c r="D401" s="255" t="s">
        <v>3301</v>
      </c>
      <c r="E401" s="255" t="s">
        <v>3302</v>
      </c>
      <c r="F401" s="255" t="s">
        <v>3303</v>
      </c>
      <c r="H401" s="255">
        <v>20000.0</v>
      </c>
      <c r="J401" s="255">
        <v>12000.0</v>
      </c>
      <c r="K401" s="255" t="s">
        <v>3304</v>
      </c>
      <c r="L401" s="255" t="s">
        <v>3304</v>
      </c>
      <c r="M401" s="255" t="s">
        <v>438</v>
      </c>
      <c r="N401" s="255">
        <v>120000.0</v>
      </c>
      <c r="P401" s="255" t="s">
        <v>2208</v>
      </c>
      <c r="Q401" s="255">
        <v>1.0</v>
      </c>
      <c r="R401" s="259">
        <v>45835.0</v>
      </c>
      <c r="S401" s="260" t="s">
        <v>2265</v>
      </c>
      <c r="T401" s="259">
        <v>45865.0</v>
      </c>
      <c r="U401" s="255">
        <v>0.0</v>
      </c>
    </row>
    <row r="402">
      <c r="A402" s="257">
        <v>45835.493072592595</v>
      </c>
      <c r="B402" s="258" t="s">
        <v>3305</v>
      </c>
      <c r="C402" s="259">
        <v>45835.0</v>
      </c>
      <c r="D402" s="255" t="s">
        <v>3306</v>
      </c>
      <c r="E402" s="255" t="s">
        <v>3307</v>
      </c>
      <c r="H402" s="255">
        <v>3000.0</v>
      </c>
      <c r="I402" s="255">
        <v>300.0</v>
      </c>
      <c r="K402" s="255" t="s">
        <v>2207</v>
      </c>
      <c r="L402" s="255" t="s">
        <v>2207</v>
      </c>
      <c r="M402" s="255" t="s">
        <v>44</v>
      </c>
      <c r="N402" s="255">
        <v>70000.0</v>
      </c>
      <c r="P402" s="255" t="s">
        <v>2208</v>
      </c>
      <c r="Q402" s="255">
        <v>1.0</v>
      </c>
      <c r="R402" s="259">
        <v>45835.0</v>
      </c>
      <c r="S402" s="260" t="s">
        <v>2330</v>
      </c>
      <c r="T402" s="259">
        <v>45838.0</v>
      </c>
      <c r="U402" s="255">
        <v>0.0</v>
      </c>
    </row>
    <row r="403">
      <c r="A403" s="257">
        <v>45836.80241534722</v>
      </c>
      <c r="B403" s="258" t="s">
        <v>3308</v>
      </c>
      <c r="C403" s="259">
        <v>45836.0</v>
      </c>
      <c r="D403" s="255" t="s">
        <v>3309</v>
      </c>
      <c r="E403" s="255" t="s">
        <v>3310</v>
      </c>
      <c r="F403" s="260" t="s">
        <v>3311</v>
      </c>
      <c r="H403" s="255">
        <v>20000.0</v>
      </c>
      <c r="I403" s="255">
        <v>1300.0</v>
      </c>
      <c r="K403" s="255" t="s">
        <v>2207</v>
      </c>
      <c r="L403" s="255" t="s">
        <v>2207</v>
      </c>
      <c r="M403" s="255" t="s">
        <v>914</v>
      </c>
      <c r="N403" s="255">
        <v>540000.0</v>
      </c>
      <c r="O403" s="255">
        <v>15000.0</v>
      </c>
      <c r="P403" s="255" t="s">
        <v>2208</v>
      </c>
      <c r="Q403" s="255">
        <v>2.0</v>
      </c>
      <c r="R403" s="259">
        <v>45836.0</v>
      </c>
      <c r="S403" s="260" t="s">
        <v>2209</v>
      </c>
      <c r="T403" s="259">
        <v>45839.0</v>
      </c>
      <c r="U403" s="255">
        <v>0.0</v>
      </c>
    </row>
    <row r="404">
      <c r="A404" s="257">
        <v>45837.312960868054</v>
      </c>
      <c r="B404" s="258" t="s">
        <v>3312</v>
      </c>
      <c r="C404" s="259">
        <v>45837.0</v>
      </c>
      <c r="E404" s="255" t="s">
        <v>3313</v>
      </c>
      <c r="F404" s="255" t="s">
        <v>3314</v>
      </c>
      <c r="H404" s="255">
        <v>3000.0</v>
      </c>
      <c r="I404" s="255">
        <v>270.0</v>
      </c>
      <c r="K404" s="255" t="s">
        <v>3313</v>
      </c>
      <c r="L404" s="255" t="s">
        <v>3313</v>
      </c>
      <c r="M404" s="255" t="s">
        <v>151</v>
      </c>
      <c r="N404" s="255">
        <v>70000.0</v>
      </c>
      <c r="P404" s="255" t="s">
        <v>2208</v>
      </c>
      <c r="Q404" s="255">
        <v>1.0</v>
      </c>
      <c r="R404" s="259">
        <v>45838.0</v>
      </c>
      <c r="S404" s="260" t="s">
        <v>2221</v>
      </c>
      <c r="T404" s="259">
        <v>45848.0</v>
      </c>
      <c r="U404" s="255">
        <v>190.0</v>
      </c>
    </row>
    <row r="405">
      <c r="A405" s="257">
        <v>45837.314318171295</v>
      </c>
      <c r="B405" s="258" t="s">
        <v>3315</v>
      </c>
      <c r="C405" s="259">
        <v>45837.0</v>
      </c>
      <c r="E405" s="255" t="s">
        <v>3313</v>
      </c>
      <c r="F405" s="255" t="s">
        <v>3314</v>
      </c>
      <c r="H405" s="255">
        <v>3000.0</v>
      </c>
      <c r="I405" s="255">
        <v>270.0</v>
      </c>
      <c r="K405" s="255" t="s">
        <v>3313</v>
      </c>
      <c r="L405" s="255" t="s">
        <v>3313</v>
      </c>
      <c r="M405" s="255" t="s">
        <v>48</v>
      </c>
      <c r="N405" s="255">
        <v>70000.0</v>
      </c>
      <c r="P405" s="255" t="s">
        <v>2208</v>
      </c>
      <c r="Q405" s="255">
        <v>1.0</v>
      </c>
      <c r="R405" s="259">
        <v>45838.0</v>
      </c>
      <c r="S405" s="260" t="s">
        <v>2221</v>
      </c>
      <c r="T405" s="259">
        <v>45848.0</v>
      </c>
      <c r="U405" s="255">
        <v>190.0</v>
      </c>
    </row>
    <row r="406">
      <c r="A406" s="257">
        <v>45840.806494027776</v>
      </c>
      <c r="B406" s="258" t="s">
        <v>3316</v>
      </c>
      <c r="C406" s="259">
        <v>45840.0</v>
      </c>
      <c r="D406" s="255" t="s">
        <v>3317</v>
      </c>
      <c r="H406" s="255" t="s">
        <v>600</v>
      </c>
      <c r="J406" s="255">
        <v>7000.0</v>
      </c>
      <c r="K406" s="255" t="s">
        <v>2207</v>
      </c>
      <c r="L406" s="255" t="s">
        <v>2207</v>
      </c>
      <c r="M406" s="255" t="s">
        <v>202</v>
      </c>
      <c r="N406" s="255">
        <v>100000.0</v>
      </c>
      <c r="O406" s="255">
        <v>25500.0</v>
      </c>
      <c r="P406" s="255" t="s">
        <v>2242</v>
      </c>
      <c r="Q406" s="255">
        <v>0.0</v>
      </c>
      <c r="R406" s="259">
        <v>45840.0</v>
      </c>
      <c r="S406" s="260" t="s">
        <v>2209</v>
      </c>
      <c r="T406" s="259">
        <v>45871.0</v>
      </c>
      <c r="U406" s="255">
        <v>0.0</v>
      </c>
    </row>
    <row r="407">
      <c r="A407" s="257">
        <v>45841.252943263884</v>
      </c>
      <c r="B407" s="258" t="s">
        <v>3318</v>
      </c>
      <c r="C407" s="259">
        <v>45841.0</v>
      </c>
      <c r="E407" s="255" t="s">
        <v>3319</v>
      </c>
      <c r="F407" s="255">
        <v>7.9069235919E10</v>
      </c>
      <c r="H407" s="255">
        <v>3000.0</v>
      </c>
      <c r="I407" s="255">
        <v>315.0</v>
      </c>
      <c r="K407" s="255" t="s">
        <v>2207</v>
      </c>
      <c r="L407" s="255" t="s">
        <v>2207</v>
      </c>
      <c r="M407" s="255" t="s">
        <v>68</v>
      </c>
      <c r="N407" s="255">
        <v>70000.0</v>
      </c>
      <c r="P407" s="255" t="s">
        <v>2208</v>
      </c>
      <c r="Q407" s="255">
        <v>2.0</v>
      </c>
      <c r="R407" s="259">
        <v>45841.0</v>
      </c>
      <c r="S407" s="260" t="s">
        <v>2265</v>
      </c>
      <c r="T407" s="259">
        <v>45853.0</v>
      </c>
      <c r="U407" s="255">
        <v>0.0</v>
      </c>
    </row>
    <row r="408">
      <c r="A408" s="257">
        <v>45845.57926457176</v>
      </c>
      <c r="B408" s="258" t="s">
        <v>3320</v>
      </c>
      <c r="C408" s="259">
        <v>45845.0</v>
      </c>
      <c r="H408" s="255">
        <v>17500.0</v>
      </c>
      <c r="I408" s="255">
        <v>1750.0</v>
      </c>
      <c r="K408" s="255" t="s">
        <v>2207</v>
      </c>
      <c r="L408" s="255" t="s">
        <v>2207</v>
      </c>
      <c r="M408" s="255" t="s">
        <v>967</v>
      </c>
      <c r="N408" s="255">
        <v>500000.0</v>
      </c>
      <c r="P408" s="255" t="s">
        <v>2208</v>
      </c>
      <c r="Q408" s="255">
        <v>0.0</v>
      </c>
      <c r="R408" s="259">
        <v>45845.0</v>
      </c>
      <c r="S408" s="260" t="s">
        <v>2231</v>
      </c>
      <c r="T408" s="259">
        <v>45847.0</v>
      </c>
      <c r="U408" s="255">
        <v>0.0</v>
      </c>
    </row>
    <row r="409">
      <c r="A409" s="257">
        <v>45845.58023553241</v>
      </c>
      <c r="B409" s="258" t="s">
        <v>3321</v>
      </c>
      <c r="C409" s="259">
        <v>45845.0</v>
      </c>
      <c r="H409" s="255">
        <v>17500.0</v>
      </c>
      <c r="I409" s="255">
        <v>1250.0</v>
      </c>
      <c r="K409" s="255" t="s">
        <v>2207</v>
      </c>
      <c r="L409" s="255" t="s">
        <v>2207</v>
      </c>
      <c r="M409" s="255" t="s">
        <v>483</v>
      </c>
      <c r="N409" s="255">
        <v>200000.0</v>
      </c>
      <c r="P409" s="255" t="s">
        <v>2208</v>
      </c>
      <c r="Q409" s="255">
        <v>0.0</v>
      </c>
      <c r="R409" s="259">
        <v>45845.0</v>
      </c>
      <c r="S409" s="260" t="s">
        <v>2231</v>
      </c>
      <c r="T409" s="259">
        <v>45847.0</v>
      </c>
      <c r="U409" s="255">
        <v>0.0</v>
      </c>
    </row>
    <row r="410">
      <c r="A410" s="257">
        <v>45846.26532503472</v>
      </c>
      <c r="B410" s="258" t="s">
        <v>3322</v>
      </c>
      <c r="C410" s="259">
        <v>45846.0</v>
      </c>
      <c r="D410" s="255" t="s">
        <v>3323</v>
      </c>
      <c r="E410" s="255" t="s">
        <v>3324</v>
      </c>
      <c r="F410" s="255">
        <v>8.9236116134E10</v>
      </c>
      <c r="H410" s="255">
        <v>3000.0</v>
      </c>
      <c r="J410" s="255">
        <v>5000.0</v>
      </c>
      <c r="K410" s="255" t="s">
        <v>3325</v>
      </c>
      <c r="L410" s="255" t="s">
        <v>3324</v>
      </c>
      <c r="M410" s="255" t="s">
        <v>98</v>
      </c>
      <c r="N410" s="255">
        <v>70000.0</v>
      </c>
      <c r="P410" s="255" t="s">
        <v>2208</v>
      </c>
      <c r="Q410" s="255">
        <v>2.0</v>
      </c>
      <c r="R410" s="259">
        <v>45846.0</v>
      </c>
      <c r="S410" s="260" t="s">
        <v>2324</v>
      </c>
      <c r="T410" s="259">
        <v>45877.0</v>
      </c>
      <c r="U410" s="255">
        <v>590.0</v>
      </c>
    </row>
    <row r="411">
      <c r="A411" s="257">
        <v>45855.55460657408</v>
      </c>
      <c r="B411" s="258" t="s">
        <v>3326</v>
      </c>
      <c r="C411" s="259">
        <v>45855.0</v>
      </c>
      <c r="F411" s="255" t="s">
        <v>3327</v>
      </c>
      <c r="H411" s="255">
        <v>8000.0</v>
      </c>
      <c r="I411" s="255">
        <v>450.0</v>
      </c>
      <c r="K411" s="255" t="s">
        <v>2269</v>
      </c>
      <c r="L411" s="255" t="s">
        <v>2269</v>
      </c>
      <c r="M411" s="255" t="s">
        <v>193</v>
      </c>
      <c r="N411" s="255">
        <v>100000.0</v>
      </c>
      <c r="P411" s="255" t="s">
        <v>2208</v>
      </c>
      <c r="Q411" s="255">
        <v>2.0</v>
      </c>
      <c r="R411" s="259">
        <v>45855.0</v>
      </c>
      <c r="S411" s="260" t="s">
        <v>2235</v>
      </c>
      <c r="T411" s="259">
        <v>45859.0</v>
      </c>
      <c r="U411" s="255">
        <v>0.0</v>
      </c>
    </row>
    <row r="412">
      <c r="A412" s="257">
        <v>45856.77535090278</v>
      </c>
      <c r="B412" s="258" t="s">
        <v>3328</v>
      </c>
      <c r="C412" s="259">
        <v>45856.0</v>
      </c>
      <c r="E412" s="255" t="s">
        <v>3329</v>
      </c>
      <c r="F412" s="255" t="s">
        <v>3330</v>
      </c>
      <c r="H412" s="255">
        <v>5000.0</v>
      </c>
      <c r="I412" s="255">
        <v>500.0</v>
      </c>
      <c r="K412" s="255" t="s">
        <v>2207</v>
      </c>
      <c r="L412" s="255" t="s">
        <v>2207</v>
      </c>
      <c r="M412" s="255" t="s">
        <v>928</v>
      </c>
      <c r="N412" s="255">
        <v>120000.0</v>
      </c>
      <c r="P412" s="255" t="s">
        <v>2208</v>
      </c>
      <c r="Q412" s="255">
        <v>1.0</v>
      </c>
      <c r="R412" s="259">
        <v>45856.0</v>
      </c>
      <c r="S412" s="260" t="s">
        <v>2250</v>
      </c>
      <c r="T412" s="259">
        <v>45865.0</v>
      </c>
      <c r="U412" s="255">
        <v>0.0</v>
      </c>
    </row>
    <row r="413">
      <c r="A413" s="257">
        <v>45856.77765341435</v>
      </c>
      <c r="B413" s="258" t="s">
        <v>3331</v>
      </c>
      <c r="C413" s="259">
        <v>45856.0</v>
      </c>
      <c r="E413" s="255" t="s">
        <v>3329</v>
      </c>
      <c r="F413" s="255" t="s">
        <v>3330</v>
      </c>
      <c r="H413" s="255">
        <v>3000.0</v>
      </c>
      <c r="I413" s="255">
        <v>270.0</v>
      </c>
      <c r="K413" s="255" t="s">
        <v>2207</v>
      </c>
      <c r="L413" s="255" t="s">
        <v>2207</v>
      </c>
      <c r="M413" s="255" t="s">
        <v>77</v>
      </c>
      <c r="N413" s="255">
        <v>70000.0</v>
      </c>
      <c r="P413" s="255" t="s">
        <v>3177</v>
      </c>
      <c r="Q413" s="255">
        <v>1.0</v>
      </c>
      <c r="R413" s="259">
        <v>45856.0</v>
      </c>
      <c r="S413" s="260" t="s">
        <v>2250</v>
      </c>
      <c r="T413" s="259">
        <v>45865.0</v>
      </c>
      <c r="U413" s="255">
        <v>0.0</v>
      </c>
    </row>
    <row r="414">
      <c r="A414" s="257">
        <v>45857.74150733797</v>
      </c>
      <c r="B414" s="258" t="s">
        <v>3332</v>
      </c>
      <c r="C414" s="259">
        <v>45857.0</v>
      </c>
      <c r="E414" s="255" t="s">
        <v>3333</v>
      </c>
      <c r="F414" s="255" t="s">
        <v>3334</v>
      </c>
      <c r="H414" s="255">
        <v>20000.0</v>
      </c>
      <c r="I414" s="255">
        <v>1100.0</v>
      </c>
      <c r="K414" s="255" t="s">
        <v>2207</v>
      </c>
      <c r="L414" s="255" t="s">
        <v>2207</v>
      </c>
      <c r="M414" s="255" t="s">
        <v>916</v>
      </c>
      <c r="N414" s="255">
        <v>200000.0</v>
      </c>
      <c r="P414" s="255" t="s">
        <v>2208</v>
      </c>
      <c r="Q414" s="255">
        <v>1.0</v>
      </c>
      <c r="R414" s="259">
        <v>45857.0</v>
      </c>
      <c r="S414" s="260" t="s">
        <v>2250</v>
      </c>
      <c r="T414" s="259">
        <v>45862.0</v>
      </c>
      <c r="U414" s="255">
        <v>0.0</v>
      </c>
    </row>
    <row r="415">
      <c r="A415" s="257">
        <v>45859.48646943287</v>
      </c>
      <c r="B415" s="258" t="s">
        <v>3335</v>
      </c>
      <c r="C415" s="259">
        <v>45829.0</v>
      </c>
      <c r="D415" s="255" t="s">
        <v>3336</v>
      </c>
      <c r="E415" s="255" t="s">
        <v>3337</v>
      </c>
      <c r="H415" s="255">
        <v>3000.0</v>
      </c>
      <c r="I415" s="255">
        <v>180.0</v>
      </c>
      <c r="K415" s="255" t="s">
        <v>3337</v>
      </c>
      <c r="L415" s="255" t="s">
        <v>3337</v>
      </c>
      <c r="M415" s="255" t="s">
        <v>185</v>
      </c>
      <c r="N415" s="255">
        <v>70000.0</v>
      </c>
      <c r="O415" s="255">
        <v>35900.0</v>
      </c>
      <c r="P415" s="255" t="s">
        <v>2208</v>
      </c>
      <c r="Q415" s="255">
        <v>2.0</v>
      </c>
      <c r="R415" s="259">
        <v>45829.0</v>
      </c>
      <c r="S415" s="260" t="s">
        <v>2330</v>
      </c>
      <c r="T415" s="259">
        <v>45868.0</v>
      </c>
      <c r="U415" s="255">
        <v>290.0</v>
      </c>
    </row>
    <row r="416">
      <c r="A416" s="257">
        <v>45859.501266203704</v>
      </c>
      <c r="B416" s="258" t="s">
        <v>3338</v>
      </c>
      <c r="C416" s="259">
        <v>45859.0</v>
      </c>
      <c r="D416" s="255" t="s">
        <v>3336</v>
      </c>
      <c r="E416" s="255" t="s">
        <v>3337</v>
      </c>
      <c r="H416" s="255">
        <v>3000.0</v>
      </c>
      <c r="I416" s="255">
        <v>180.0</v>
      </c>
      <c r="K416" s="255" t="s">
        <v>3337</v>
      </c>
      <c r="L416" s="255" t="s">
        <v>3337</v>
      </c>
      <c r="M416" s="255" t="s">
        <v>185</v>
      </c>
      <c r="N416" s="255">
        <v>70000.0</v>
      </c>
      <c r="O416" s="255">
        <v>35900.0</v>
      </c>
      <c r="P416" s="255" t="s">
        <v>2208</v>
      </c>
      <c r="Q416" s="255">
        <v>2.0</v>
      </c>
      <c r="R416" s="259">
        <v>45882.0</v>
      </c>
      <c r="S416" s="260" t="s">
        <v>2330</v>
      </c>
      <c r="U416" s="255">
        <v>290.0</v>
      </c>
    </row>
    <row r="417">
      <c r="A417" s="257">
        <v>45859.5062503125</v>
      </c>
      <c r="B417" s="258" t="s">
        <v>3339</v>
      </c>
      <c r="C417" s="259">
        <v>45859.0</v>
      </c>
      <c r="D417" s="255" t="s">
        <v>3336</v>
      </c>
      <c r="E417" s="255" t="s">
        <v>3337</v>
      </c>
      <c r="H417" s="255">
        <v>3000.0</v>
      </c>
      <c r="I417" s="255">
        <v>180.0</v>
      </c>
      <c r="K417" s="255" t="s">
        <v>3337</v>
      </c>
      <c r="L417" s="255" t="s">
        <v>3337</v>
      </c>
      <c r="M417" s="255" t="s">
        <v>185</v>
      </c>
      <c r="N417" s="255">
        <v>70000.0</v>
      </c>
      <c r="O417" s="255">
        <v>35900.0</v>
      </c>
      <c r="P417" s="255" t="s">
        <v>2208</v>
      </c>
      <c r="Q417" s="255">
        <v>2.0</v>
      </c>
      <c r="R417" s="259">
        <v>45859.0</v>
      </c>
      <c r="S417" s="260" t="s">
        <v>2330</v>
      </c>
      <c r="T417" s="259">
        <v>45882.0</v>
      </c>
      <c r="U417" s="255">
        <v>290.0</v>
      </c>
    </row>
    <row r="418">
      <c r="A418" s="257">
        <v>45859.51401953703</v>
      </c>
      <c r="B418" s="258" t="s">
        <v>3340</v>
      </c>
      <c r="C418" s="259">
        <v>45859.0</v>
      </c>
      <c r="D418" s="255" t="s">
        <v>3336</v>
      </c>
      <c r="E418" s="255" t="s">
        <v>3337</v>
      </c>
      <c r="H418" s="255">
        <v>3000.0</v>
      </c>
      <c r="I418" s="255">
        <v>180.0</v>
      </c>
      <c r="K418" s="255" t="s">
        <v>3337</v>
      </c>
      <c r="L418" s="255" t="s">
        <v>3337</v>
      </c>
      <c r="M418" s="255" t="s">
        <v>185</v>
      </c>
      <c r="N418" s="255">
        <v>70000.0</v>
      </c>
      <c r="O418" s="255">
        <v>35900.0</v>
      </c>
      <c r="P418" s="255" t="s">
        <v>2208</v>
      </c>
      <c r="Q418" s="255">
        <v>2.0</v>
      </c>
      <c r="R418" s="259">
        <v>45859.0</v>
      </c>
      <c r="S418" s="260" t="s">
        <v>2330</v>
      </c>
      <c r="T418" s="259">
        <v>45881.0</v>
      </c>
      <c r="U418" s="255">
        <v>290.0</v>
      </c>
    </row>
    <row r="419">
      <c r="A419" s="257">
        <v>45859.52277125</v>
      </c>
      <c r="B419" s="258" t="s">
        <v>3341</v>
      </c>
      <c r="C419" s="259">
        <v>45859.0</v>
      </c>
      <c r="D419" s="255" t="s">
        <v>3336</v>
      </c>
      <c r="E419" s="255" t="s">
        <v>3337</v>
      </c>
      <c r="H419" s="255">
        <v>3000.0</v>
      </c>
      <c r="I419" s="255">
        <v>180.0</v>
      </c>
      <c r="K419" s="255" t="s">
        <v>3337</v>
      </c>
      <c r="L419" s="255" t="s">
        <v>3337</v>
      </c>
      <c r="M419" s="255" t="s">
        <v>151</v>
      </c>
      <c r="N419" s="255">
        <v>70000.0</v>
      </c>
      <c r="O419" s="255">
        <v>31600.0</v>
      </c>
      <c r="P419" s="255" t="s">
        <v>2208</v>
      </c>
      <c r="Q419" s="255">
        <v>0.0</v>
      </c>
      <c r="R419" s="259">
        <v>45859.0</v>
      </c>
      <c r="S419" s="260" t="s">
        <v>2330</v>
      </c>
      <c r="T419" s="259">
        <v>45881.0</v>
      </c>
      <c r="U419" s="255">
        <v>290.0</v>
      </c>
    </row>
    <row r="420">
      <c r="A420" s="257">
        <v>45859.527125266206</v>
      </c>
      <c r="B420" s="258" t="s">
        <v>3342</v>
      </c>
      <c r="C420" s="259">
        <v>45859.0</v>
      </c>
      <c r="D420" s="255" t="s">
        <v>3336</v>
      </c>
      <c r="E420" s="255" t="s">
        <v>3337</v>
      </c>
      <c r="H420" s="255">
        <v>3000.0</v>
      </c>
      <c r="I420" s="255">
        <v>180.0</v>
      </c>
      <c r="K420" s="255" t="s">
        <v>3337</v>
      </c>
      <c r="L420" s="255" t="s">
        <v>3337</v>
      </c>
      <c r="M420" s="255" t="s">
        <v>68</v>
      </c>
      <c r="N420" s="255">
        <v>70000.0</v>
      </c>
      <c r="O420" s="255">
        <v>17200.0</v>
      </c>
      <c r="P420" s="255" t="s">
        <v>2208</v>
      </c>
      <c r="Q420" s="255">
        <v>0.0</v>
      </c>
      <c r="R420" s="259">
        <v>45859.0</v>
      </c>
      <c r="S420" s="260" t="s">
        <v>2330</v>
      </c>
      <c r="T420" s="259">
        <v>45881.0</v>
      </c>
      <c r="U420" s="255">
        <v>290.0</v>
      </c>
    </row>
    <row r="421">
      <c r="A421" s="257">
        <v>45859.529846770834</v>
      </c>
      <c r="B421" s="258" t="s">
        <v>3343</v>
      </c>
      <c r="C421" s="259">
        <v>45859.0</v>
      </c>
      <c r="D421" s="255" t="s">
        <v>3336</v>
      </c>
      <c r="E421" s="255" t="s">
        <v>3337</v>
      </c>
      <c r="H421" s="255">
        <v>3000.0</v>
      </c>
      <c r="I421" s="255">
        <v>180.0</v>
      </c>
      <c r="K421" s="255" t="s">
        <v>3337</v>
      </c>
      <c r="L421" s="255" t="s">
        <v>3337</v>
      </c>
      <c r="M421" s="255" t="s">
        <v>56</v>
      </c>
      <c r="N421" s="255">
        <v>70000.0</v>
      </c>
      <c r="P421" s="255" t="s">
        <v>2208</v>
      </c>
      <c r="Q421" s="255">
        <v>0.0</v>
      </c>
      <c r="R421" s="259">
        <v>45859.0</v>
      </c>
      <c r="S421" s="260" t="s">
        <v>2330</v>
      </c>
      <c r="T421" s="259">
        <v>45881.0</v>
      </c>
      <c r="U421" s="255">
        <v>290.0</v>
      </c>
    </row>
    <row r="422">
      <c r="A422" s="257">
        <v>45859.53201846065</v>
      </c>
      <c r="B422" s="258" t="s">
        <v>3344</v>
      </c>
      <c r="C422" s="259">
        <v>45859.0</v>
      </c>
      <c r="D422" s="255" t="s">
        <v>3336</v>
      </c>
      <c r="E422" s="255" t="s">
        <v>3337</v>
      </c>
      <c r="H422" s="255">
        <v>3000.0</v>
      </c>
      <c r="I422" s="255">
        <v>180.0</v>
      </c>
      <c r="K422" s="255" t="s">
        <v>3337</v>
      </c>
      <c r="L422" s="255" t="s">
        <v>3337</v>
      </c>
      <c r="M422" s="255" t="s">
        <v>73</v>
      </c>
      <c r="N422" s="255">
        <v>70000.0</v>
      </c>
      <c r="P422" s="255" t="s">
        <v>2208</v>
      </c>
      <c r="Q422" s="255">
        <v>0.0</v>
      </c>
      <c r="R422" s="259">
        <v>45859.0</v>
      </c>
      <c r="S422" s="260" t="s">
        <v>2330</v>
      </c>
      <c r="T422" s="259">
        <v>45881.0</v>
      </c>
      <c r="U422" s="255">
        <v>290.0</v>
      </c>
    </row>
    <row r="423">
      <c r="A423" s="257">
        <v>45859.542007407406</v>
      </c>
      <c r="B423" s="258" t="s">
        <v>3345</v>
      </c>
      <c r="C423" s="259">
        <v>45859.0</v>
      </c>
      <c r="D423" s="255" t="s">
        <v>3336</v>
      </c>
      <c r="E423" s="255" t="s">
        <v>3337</v>
      </c>
      <c r="H423" s="255">
        <v>3000.0</v>
      </c>
      <c r="I423" s="255">
        <v>180.0</v>
      </c>
      <c r="K423" s="255" t="s">
        <v>3337</v>
      </c>
      <c r="L423" s="255" t="s">
        <v>3337</v>
      </c>
      <c r="M423" s="255" t="s">
        <v>48</v>
      </c>
      <c r="N423" s="255">
        <v>70000.0</v>
      </c>
      <c r="P423" s="255" t="s">
        <v>2208</v>
      </c>
      <c r="Q423" s="255">
        <v>0.0</v>
      </c>
      <c r="R423" s="259">
        <v>45859.0</v>
      </c>
      <c r="S423" s="260" t="s">
        <v>2330</v>
      </c>
      <c r="T423" s="259">
        <v>45881.0</v>
      </c>
      <c r="U423" s="255">
        <v>290.0</v>
      </c>
    </row>
    <row r="424">
      <c r="A424" s="257">
        <v>45859.76646162037</v>
      </c>
      <c r="B424" s="258" t="s">
        <v>3346</v>
      </c>
      <c r="C424" s="259">
        <v>45859.0</v>
      </c>
      <c r="D424" s="255" t="s">
        <v>3185</v>
      </c>
      <c r="E424" s="255" t="s">
        <v>3202</v>
      </c>
      <c r="F424" s="260" t="s">
        <v>3203</v>
      </c>
      <c r="G424" s="255">
        <v>7.9951147696E10</v>
      </c>
      <c r="H424" s="255" t="s">
        <v>515</v>
      </c>
      <c r="I424" s="255">
        <v>1400.0</v>
      </c>
      <c r="K424" s="255" t="s">
        <v>2207</v>
      </c>
      <c r="L424" s="255" t="s">
        <v>2207</v>
      </c>
      <c r="M424" s="255" t="s">
        <v>102</v>
      </c>
      <c r="N424" s="255">
        <v>250000.0</v>
      </c>
      <c r="P424" s="255" t="s">
        <v>2208</v>
      </c>
      <c r="Q424" s="255">
        <v>0.0</v>
      </c>
      <c r="R424" s="259">
        <v>45859.0</v>
      </c>
      <c r="S424" s="260" t="s">
        <v>2250</v>
      </c>
      <c r="T424" s="259">
        <v>45860.0</v>
      </c>
    </row>
    <row r="425">
      <c r="A425" s="257">
        <v>45859.90861416666</v>
      </c>
      <c r="B425" s="258" t="s">
        <v>3347</v>
      </c>
      <c r="C425" s="259">
        <v>45844.0</v>
      </c>
      <c r="D425" s="255" t="s">
        <v>3348</v>
      </c>
      <c r="F425" s="255" t="s">
        <v>3349</v>
      </c>
      <c r="H425" s="255">
        <v>0.0</v>
      </c>
      <c r="J425" s="255">
        <v>9000.0</v>
      </c>
      <c r="K425" s="255" t="s">
        <v>2207</v>
      </c>
      <c r="L425" s="255" t="s">
        <v>2207</v>
      </c>
      <c r="M425" s="255" t="s">
        <v>974</v>
      </c>
      <c r="N425" s="255">
        <v>180000.0</v>
      </c>
      <c r="O425" s="255">
        <v>8000.0</v>
      </c>
      <c r="P425" s="255" t="s">
        <v>2208</v>
      </c>
      <c r="Q425" s="255">
        <v>0.0</v>
      </c>
      <c r="R425" s="259">
        <v>45844.0</v>
      </c>
      <c r="S425" s="260" t="s">
        <v>2330</v>
      </c>
      <c r="T425" s="259">
        <v>45875.0</v>
      </c>
      <c r="U425" s="255">
        <v>0.0</v>
      </c>
    </row>
    <row r="426">
      <c r="A426" s="257">
        <v>45861.687902453705</v>
      </c>
      <c r="B426" s="258" t="s">
        <v>3350</v>
      </c>
      <c r="C426" s="259">
        <v>45861.0</v>
      </c>
      <c r="E426" s="255" t="s">
        <v>3351</v>
      </c>
      <c r="F426" s="255" t="s">
        <v>3352</v>
      </c>
      <c r="H426" s="255" t="s">
        <v>515</v>
      </c>
      <c r="I426" s="255">
        <v>500.0</v>
      </c>
      <c r="K426" s="255" t="s">
        <v>2269</v>
      </c>
      <c r="L426" s="255" t="s">
        <v>2269</v>
      </c>
      <c r="M426" s="255" t="s">
        <v>1065</v>
      </c>
      <c r="N426" s="255">
        <v>150000.0</v>
      </c>
      <c r="P426" s="255" t="s">
        <v>2208</v>
      </c>
      <c r="Q426" s="255">
        <v>1.0</v>
      </c>
      <c r="R426" s="259">
        <v>45861.0</v>
      </c>
      <c r="S426" s="260" t="s">
        <v>2215</v>
      </c>
      <c r="T426" s="259">
        <v>45866.0</v>
      </c>
      <c r="U426" s="255">
        <v>0.0</v>
      </c>
    </row>
    <row r="427">
      <c r="A427" s="257">
        <v>45862.50595181713</v>
      </c>
      <c r="B427" s="258" t="s">
        <v>3353</v>
      </c>
      <c r="C427" s="259">
        <v>45862.0</v>
      </c>
      <c r="D427" s="255" t="s">
        <v>3354</v>
      </c>
      <c r="E427" s="255" t="s">
        <v>3355</v>
      </c>
      <c r="F427" s="255" t="s">
        <v>3354</v>
      </c>
      <c r="H427" s="261">
        <v>150.0</v>
      </c>
      <c r="I427" s="255">
        <v>500.0</v>
      </c>
      <c r="K427" s="255" t="s">
        <v>2269</v>
      </c>
      <c r="L427" s="255" t="s">
        <v>2269</v>
      </c>
      <c r="M427" s="255" t="s">
        <v>32</v>
      </c>
      <c r="N427" s="255">
        <v>140000.0</v>
      </c>
      <c r="O427" s="255">
        <v>48000.0</v>
      </c>
      <c r="P427" s="255" t="s">
        <v>2320</v>
      </c>
      <c r="Q427" s="255">
        <v>2.0</v>
      </c>
      <c r="R427" s="259">
        <v>45862.0</v>
      </c>
      <c r="S427" s="260" t="s">
        <v>2330</v>
      </c>
      <c r="T427" s="259">
        <v>45866.0</v>
      </c>
      <c r="U427" s="255">
        <v>0.0</v>
      </c>
    </row>
    <row r="428">
      <c r="A428" s="257">
        <v>45862.506635046295</v>
      </c>
      <c r="B428" s="258" t="s">
        <v>3356</v>
      </c>
      <c r="C428" s="259">
        <v>45862.0</v>
      </c>
      <c r="D428" s="255" t="s">
        <v>3357</v>
      </c>
      <c r="E428" s="255" t="s">
        <v>3358</v>
      </c>
      <c r="H428" s="261">
        <v>150.0</v>
      </c>
      <c r="I428" s="255">
        <v>500.0</v>
      </c>
      <c r="K428" s="255" t="s">
        <v>2269</v>
      </c>
      <c r="L428" s="255" t="s">
        <v>2269</v>
      </c>
      <c r="M428" s="255" t="s">
        <v>92</v>
      </c>
      <c r="N428" s="255">
        <v>140000.0</v>
      </c>
      <c r="O428" s="255">
        <v>29000.0</v>
      </c>
      <c r="P428" s="255" t="s">
        <v>2242</v>
      </c>
      <c r="Q428" s="255">
        <v>1.0</v>
      </c>
      <c r="R428" s="259">
        <v>45862.0</v>
      </c>
      <c r="S428" s="260" t="s">
        <v>2330</v>
      </c>
      <c r="T428" s="259">
        <v>45866.0</v>
      </c>
      <c r="U428" s="255">
        <v>0.0</v>
      </c>
    </row>
    <row r="429">
      <c r="A429" s="257">
        <v>45862.64839287037</v>
      </c>
      <c r="B429" s="258" t="s">
        <v>3359</v>
      </c>
      <c r="C429" s="259">
        <v>45862.0</v>
      </c>
      <c r="E429" s="255" t="s">
        <v>3360</v>
      </c>
      <c r="F429" s="255" t="s">
        <v>3361</v>
      </c>
      <c r="H429" s="255" t="s">
        <v>515</v>
      </c>
      <c r="I429" s="255">
        <v>500.0</v>
      </c>
      <c r="K429" s="255" t="s">
        <v>2269</v>
      </c>
      <c r="L429" s="255" t="s">
        <v>2269</v>
      </c>
      <c r="M429" s="255" t="s">
        <v>64</v>
      </c>
      <c r="N429" s="255">
        <v>120000.0</v>
      </c>
      <c r="P429" s="255" t="s">
        <v>2208</v>
      </c>
      <c r="Q429" s="255">
        <v>2.0</v>
      </c>
      <c r="R429" s="259">
        <v>45862.0</v>
      </c>
      <c r="S429" s="260" t="s">
        <v>2215</v>
      </c>
      <c r="T429" s="259">
        <v>45867.0</v>
      </c>
      <c r="U429" s="255">
        <v>0.0</v>
      </c>
    </row>
    <row r="430">
      <c r="A430" s="257">
        <v>45864.61364228009</v>
      </c>
      <c r="B430" s="258" t="s">
        <v>3362</v>
      </c>
      <c r="C430" s="259">
        <v>45864.0</v>
      </c>
      <c r="D430" s="255" t="s">
        <v>3363</v>
      </c>
      <c r="E430" s="255" t="s">
        <v>3364</v>
      </c>
      <c r="H430" s="255" t="s">
        <v>515</v>
      </c>
      <c r="I430" s="255">
        <v>400.0</v>
      </c>
      <c r="K430" s="255" t="s">
        <v>2207</v>
      </c>
      <c r="L430" s="255" t="s">
        <v>2207</v>
      </c>
      <c r="M430" s="255" t="s">
        <v>202</v>
      </c>
      <c r="N430" s="255">
        <v>140000.0</v>
      </c>
      <c r="P430" s="255" t="s">
        <v>2242</v>
      </c>
      <c r="Q430" s="255">
        <v>3.0</v>
      </c>
      <c r="R430" s="259">
        <v>45864.0</v>
      </c>
      <c r="S430" s="260" t="s">
        <v>2235</v>
      </c>
      <c r="T430" s="259">
        <v>45878.0</v>
      </c>
      <c r="U430" s="255">
        <v>0.0</v>
      </c>
    </row>
    <row r="431">
      <c r="A431" s="257">
        <v>45866.64387645833</v>
      </c>
      <c r="B431" s="258" t="s">
        <v>3365</v>
      </c>
      <c r="C431" s="259">
        <v>45866.0</v>
      </c>
      <c r="D431" s="255" t="s">
        <v>3280</v>
      </c>
      <c r="F431" s="255" t="s">
        <v>3366</v>
      </c>
      <c r="H431" s="255">
        <v>5000.0</v>
      </c>
      <c r="I431" s="255">
        <v>500.0</v>
      </c>
      <c r="M431" s="255" t="s">
        <v>928</v>
      </c>
      <c r="N431" s="255">
        <v>150000.0</v>
      </c>
      <c r="P431" s="255" t="s">
        <v>2208</v>
      </c>
      <c r="Q431" s="255">
        <v>2.0</v>
      </c>
      <c r="R431" s="259">
        <v>45870.0</v>
      </c>
      <c r="S431" s="260" t="s">
        <v>2330</v>
      </c>
      <c r="T431" s="259">
        <v>45878.0</v>
      </c>
      <c r="U431" s="255">
        <v>290.0</v>
      </c>
    </row>
    <row r="432">
      <c r="A432" s="257">
        <v>45867.2912468287</v>
      </c>
      <c r="B432" s="258" t="s">
        <v>3367</v>
      </c>
      <c r="C432" s="259">
        <v>45867.0</v>
      </c>
      <c r="D432" s="255" t="s">
        <v>3368</v>
      </c>
      <c r="E432" s="255" t="s">
        <v>3369</v>
      </c>
      <c r="F432" s="260" t="s">
        <v>3370</v>
      </c>
      <c r="H432" s="255">
        <v>3000.0</v>
      </c>
      <c r="I432" s="255">
        <v>266.0</v>
      </c>
      <c r="K432" s="255" t="s">
        <v>2269</v>
      </c>
      <c r="L432" s="255" t="s">
        <v>2269</v>
      </c>
      <c r="M432" s="255" t="s">
        <v>68</v>
      </c>
      <c r="N432" s="255">
        <v>70000.0</v>
      </c>
      <c r="P432" s="255" t="s">
        <v>2208</v>
      </c>
      <c r="Q432" s="255">
        <v>1.0</v>
      </c>
      <c r="R432" s="259">
        <v>45867.0</v>
      </c>
      <c r="S432" s="260" t="s">
        <v>2221</v>
      </c>
      <c r="T432" s="259">
        <v>45877.0</v>
      </c>
      <c r="U432" s="255">
        <v>0.0</v>
      </c>
    </row>
    <row r="433">
      <c r="A433" s="257">
        <v>45867.558375162036</v>
      </c>
      <c r="B433" s="258" t="s">
        <v>3371</v>
      </c>
      <c r="C433" s="259">
        <v>45867.0</v>
      </c>
      <c r="D433" s="255" t="s">
        <v>3368</v>
      </c>
      <c r="E433" s="255" t="s">
        <v>3369</v>
      </c>
      <c r="F433" s="255">
        <v>8.951689441E10</v>
      </c>
      <c r="H433" s="255">
        <v>3000.0</v>
      </c>
      <c r="I433" s="255">
        <v>292.0</v>
      </c>
      <c r="K433" s="255" t="s">
        <v>2269</v>
      </c>
      <c r="L433" s="255" t="s">
        <v>2269</v>
      </c>
      <c r="M433" s="255" t="s">
        <v>48</v>
      </c>
      <c r="N433" s="255">
        <v>70000.0</v>
      </c>
      <c r="P433" s="255" t="s">
        <v>2208</v>
      </c>
      <c r="Q433" s="255">
        <v>1.0</v>
      </c>
      <c r="R433" s="259">
        <v>45867.0</v>
      </c>
      <c r="S433" s="260" t="s">
        <v>2221</v>
      </c>
      <c r="T433" s="259">
        <v>45872.0</v>
      </c>
      <c r="U433" s="255">
        <v>0.0</v>
      </c>
    </row>
    <row r="434">
      <c r="A434" s="257">
        <v>45868.20627217593</v>
      </c>
      <c r="B434" s="258" t="s">
        <v>3372</v>
      </c>
      <c r="C434" s="259">
        <v>45868.0</v>
      </c>
      <c r="E434" s="255" t="s">
        <v>3373</v>
      </c>
      <c r="F434" s="255" t="s">
        <v>3374</v>
      </c>
      <c r="H434" s="255">
        <v>3000.0</v>
      </c>
      <c r="I434" s="255">
        <v>400.0</v>
      </c>
      <c r="K434" s="255" t="s">
        <v>3373</v>
      </c>
      <c r="L434" s="255" t="s">
        <v>3373</v>
      </c>
      <c r="M434" s="255" t="s">
        <v>1065</v>
      </c>
      <c r="N434" s="255">
        <v>200000.0</v>
      </c>
      <c r="P434" s="255" t="s">
        <v>2208</v>
      </c>
      <c r="Q434" s="255">
        <v>0.0</v>
      </c>
      <c r="R434" s="259">
        <v>45868.0</v>
      </c>
      <c r="S434" s="260" t="s">
        <v>2324</v>
      </c>
      <c r="T434" s="259">
        <v>45880.0</v>
      </c>
      <c r="U434" s="255">
        <v>290.0</v>
      </c>
    </row>
    <row r="435">
      <c r="A435" s="257">
        <v>45868.60107552083</v>
      </c>
      <c r="B435" s="258" t="s">
        <v>3375</v>
      </c>
      <c r="C435" s="259">
        <v>45868.0</v>
      </c>
      <c r="D435" s="255" t="s">
        <v>3376</v>
      </c>
      <c r="E435" s="255" t="s">
        <v>3377</v>
      </c>
      <c r="H435" s="255" t="s">
        <v>515</v>
      </c>
      <c r="I435" s="255">
        <v>1500.0</v>
      </c>
      <c r="K435" s="255" t="s">
        <v>2207</v>
      </c>
      <c r="L435" s="255" t="s">
        <v>2207</v>
      </c>
      <c r="M435" s="255" t="s">
        <v>102</v>
      </c>
      <c r="N435" s="255">
        <v>250000.0</v>
      </c>
      <c r="P435" s="255" t="s">
        <v>2208</v>
      </c>
      <c r="Q435" s="255">
        <v>2.0</v>
      </c>
      <c r="R435" s="259">
        <v>45869.0</v>
      </c>
      <c r="S435" s="260" t="s">
        <v>2262</v>
      </c>
      <c r="T435" s="259">
        <v>45871.0</v>
      </c>
      <c r="U435" s="255">
        <v>0.0</v>
      </c>
    </row>
    <row r="436">
      <c r="A436" s="257">
        <v>45868.645974444444</v>
      </c>
      <c r="B436" s="258" t="s">
        <v>3378</v>
      </c>
      <c r="C436" s="259">
        <v>45868.0</v>
      </c>
      <c r="E436" s="255" t="s">
        <v>3379</v>
      </c>
      <c r="F436" s="255" t="s">
        <v>3380</v>
      </c>
      <c r="H436" s="255">
        <v>3000.0</v>
      </c>
      <c r="J436" s="255">
        <v>5000.0</v>
      </c>
      <c r="K436" s="255" t="s">
        <v>2207</v>
      </c>
      <c r="L436" s="255" t="s">
        <v>2207</v>
      </c>
      <c r="M436" s="255" t="s">
        <v>77</v>
      </c>
      <c r="N436" s="255">
        <v>70000.0</v>
      </c>
      <c r="P436" s="255" t="s">
        <v>2208</v>
      </c>
      <c r="Q436" s="255">
        <v>2.0</v>
      </c>
      <c r="R436" s="259">
        <v>45868.0</v>
      </c>
      <c r="S436" s="260" t="s">
        <v>2231</v>
      </c>
      <c r="T436" s="259">
        <v>45899.0</v>
      </c>
      <c r="U436" s="255">
        <v>0.0</v>
      </c>
    </row>
    <row r="437">
      <c r="A437" s="257">
        <v>45870.74894761574</v>
      </c>
      <c r="B437" s="258" t="s">
        <v>3381</v>
      </c>
      <c r="C437" s="259">
        <v>45870.0</v>
      </c>
      <c r="D437" s="255" t="s">
        <v>3382</v>
      </c>
      <c r="E437" s="255" t="s">
        <v>3383</v>
      </c>
      <c r="F437" s="255">
        <v>8.915157969E10</v>
      </c>
      <c r="H437" s="255">
        <v>5000.0</v>
      </c>
      <c r="J437" s="255">
        <v>8900.0</v>
      </c>
      <c r="K437" s="255" t="s">
        <v>3383</v>
      </c>
      <c r="L437" s="255" t="s">
        <v>3383</v>
      </c>
      <c r="M437" s="255" t="s">
        <v>64</v>
      </c>
      <c r="N437" s="255">
        <v>120000.0</v>
      </c>
      <c r="P437" s="255" t="s">
        <v>2208</v>
      </c>
      <c r="Q437" s="255">
        <v>2.0</v>
      </c>
      <c r="R437" s="259">
        <v>45871.0</v>
      </c>
      <c r="S437" s="260" t="s">
        <v>2324</v>
      </c>
      <c r="T437" s="259">
        <v>45902.0</v>
      </c>
      <c r="U437" s="255">
        <v>590.0</v>
      </c>
    </row>
    <row r="438">
      <c r="A438" s="257">
        <v>45872.24362707176</v>
      </c>
      <c r="B438" s="258" t="s">
        <v>3384</v>
      </c>
      <c r="C438" s="259">
        <v>45872.0</v>
      </c>
      <c r="E438" s="255" t="s">
        <v>3277</v>
      </c>
      <c r="F438" s="260" t="s">
        <v>3278</v>
      </c>
      <c r="G438" s="255">
        <v>7.9992343233E10</v>
      </c>
      <c r="H438" s="255">
        <v>5000.0</v>
      </c>
      <c r="J438" s="255">
        <v>10000.0</v>
      </c>
      <c r="K438" s="255" t="s">
        <v>3277</v>
      </c>
      <c r="L438" s="255" t="s">
        <v>3277</v>
      </c>
      <c r="M438" s="255" t="s">
        <v>960</v>
      </c>
      <c r="N438" s="255">
        <v>120000.0</v>
      </c>
      <c r="P438" s="255" t="s">
        <v>2208</v>
      </c>
      <c r="Q438" s="255">
        <v>0.0</v>
      </c>
      <c r="R438" s="259">
        <v>45872.0</v>
      </c>
      <c r="S438" s="260" t="s">
        <v>2324</v>
      </c>
      <c r="T438" s="259">
        <v>45903.0</v>
      </c>
      <c r="U438" s="255">
        <v>0.0</v>
      </c>
    </row>
    <row r="439">
      <c r="A439" s="257">
        <v>45872.531205266205</v>
      </c>
      <c r="B439" s="258" t="s">
        <v>3385</v>
      </c>
      <c r="C439" s="259">
        <v>45872.0</v>
      </c>
      <c r="D439" s="255" t="s">
        <v>3386</v>
      </c>
      <c r="E439" s="255" t="s">
        <v>3387</v>
      </c>
      <c r="F439" s="255" t="s">
        <v>3388</v>
      </c>
      <c r="H439" s="255">
        <v>3000.0</v>
      </c>
      <c r="J439" s="255">
        <v>4500.0</v>
      </c>
      <c r="K439" s="255" t="s">
        <v>2269</v>
      </c>
      <c r="L439" s="255" t="s">
        <v>2269</v>
      </c>
      <c r="M439" s="255" t="s">
        <v>77</v>
      </c>
      <c r="N439" s="255">
        <v>70000.0</v>
      </c>
      <c r="P439" s="255" t="s">
        <v>2208</v>
      </c>
      <c r="Q439" s="255">
        <v>2.0</v>
      </c>
      <c r="R439" s="259">
        <v>45873.0</v>
      </c>
      <c r="S439" s="260" t="s">
        <v>2324</v>
      </c>
      <c r="T439" s="259">
        <v>45904.0</v>
      </c>
      <c r="U439" s="255">
        <v>0.0</v>
      </c>
    </row>
    <row r="440">
      <c r="A440" s="257">
        <v>45874.54222386574</v>
      </c>
      <c r="B440" s="258" t="s">
        <v>3389</v>
      </c>
      <c r="C440" s="259">
        <v>45874.0</v>
      </c>
      <c r="H440" s="255" t="s">
        <v>3390</v>
      </c>
      <c r="J440" s="255">
        <v>5000.0</v>
      </c>
      <c r="K440" s="255" t="s">
        <v>2207</v>
      </c>
      <c r="L440" s="255" t="s">
        <v>2207</v>
      </c>
      <c r="M440" s="255" t="s">
        <v>77</v>
      </c>
      <c r="N440" s="255">
        <v>70000.0</v>
      </c>
      <c r="P440" s="255" t="s">
        <v>2208</v>
      </c>
      <c r="Q440" s="255">
        <v>1.0</v>
      </c>
      <c r="R440" s="259">
        <v>45874.0</v>
      </c>
      <c r="S440" s="260" t="s">
        <v>2330</v>
      </c>
      <c r="T440" s="259">
        <v>45905.0</v>
      </c>
      <c r="U440" s="255">
        <v>0.0</v>
      </c>
    </row>
    <row r="441">
      <c r="A441" s="257">
        <v>45877.62813646991</v>
      </c>
      <c r="B441" s="258" t="s">
        <v>3391</v>
      </c>
      <c r="C441" s="259">
        <v>45877.0</v>
      </c>
      <c r="E441" s="255" t="s">
        <v>3392</v>
      </c>
      <c r="F441" s="255" t="s">
        <v>3393</v>
      </c>
      <c r="H441" s="255" t="s">
        <v>515</v>
      </c>
      <c r="I441" s="255">
        <v>776.0</v>
      </c>
      <c r="K441" s="255" t="s">
        <v>2207</v>
      </c>
      <c r="L441" s="255" t="s">
        <v>2207</v>
      </c>
      <c r="M441" s="255" t="s">
        <v>468</v>
      </c>
      <c r="N441" s="255">
        <v>150000.0</v>
      </c>
      <c r="P441" s="255" t="s">
        <v>2208</v>
      </c>
      <c r="Q441" s="255">
        <v>2.0</v>
      </c>
      <c r="R441" s="259">
        <v>45877.0</v>
      </c>
      <c r="S441" s="260" t="s">
        <v>2231</v>
      </c>
      <c r="T441" s="259">
        <v>45884.0</v>
      </c>
      <c r="U441" s="255">
        <v>0.0</v>
      </c>
    </row>
    <row r="442">
      <c r="A442" s="257">
        <v>45878.480029363425</v>
      </c>
      <c r="B442" s="258" t="s">
        <v>3394</v>
      </c>
      <c r="C442" s="259">
        <v>45878.0</v>
      </c>
      <c r="D442" s="255" t="s">
        <v>3395</v>
      </c>
      <c r="E442" s="255" t="s">
        <v>3396</v>
      </c>
      <c r="H442" s="255">
        <v>7000.0</v>
      </c>
      <c r="I442" s="255">
        <v>444.0</v>
      </c>
      <c r="K442" s="255" t="s">
        <v>3396</v>
      </c>
      <c r="L442" s="255" t="s">
        <v>3396</v>
      </c>
      <c r="M442" s="255" t="s">
        <v>173</v>
      </c>
      <c r="P442" s="255" t="s">
        <v>2208</v>
      </c>
      <c r="Q442" s="255">
        <v>0.0</v>
      </c>
      <c r="R442" s="259">
        <v>45878.0</v>
      </c>
      <c r="S442" s="260" t="s">
        <v>2330</v>
      </c>
      <c r="T442" s="259">
        <v>45885.0</v>
      </c>
      <c r="U442" s="255">
        <v>390.0</v>
      </c>
    </row>
    <row r="443">
      <c r="A443" s="257">
        <v>45881.98761009259</v>
      </c>
      <c r="B443" s="258" t="s">
        <v>3397</v>
      </c>
      <c r="C443" s="259">
        <v>45881.0</v>
      </c>
      <c r="D443" s="255" t="s">
        <v>3398</v>
      </c>
      <c r="E443" s="255" t="s">
        <v>3399</v>
      </c>
      <c r="F443" s="255" t="s">
        <v>3400</v>
      </c>
      <c r="H443" s="255">
        <v>3000.0</v>
      </c>
      <c r="J443" s="255">
        <v>5000.0</v>
      </c>
      <c r="K443" s="255" t="s">
        <v>3399</v>
      </c>
      <c r="L443" s="255" t="s">
        <v>3399</v>
      </c>
      <c r="M443" s="255" t="s">
        <v>185</v>
      </c>
      <c r="P443" s="255" t="s">
        <v>2208</v>
      </c>
      <c r="Q443" s="255">
        <v>2.0</v>
      </c>
      <c r="R443" s="259">
        <v>45884.0</v>
      </c>
      <c r="S443" s="260" t="s">
        <v>2246</v>
      </c>
      <c r="T443" s="259">
        <v>45915.0</v>
      </c>
      <c r="U443" s="255">
        <v>290.0</v>
      </c>
    </row>
    <row r="444">
      <c r="A444" s="257">
        <v>45882.63437450232</v>
      </c>
      <c r="B444" s="258" t="s">
        <v>3401</v>
      </c>
      <c r="C444" s="259">
        <v>45882.0</v>
      </c>
      <c r="E444" s="255" t="s">
        <v>3402</v>
      </c>
      <c r="F444" s="260" t="s">
        <v>3403</v>
      </c>
      <c r="H444" s="255">
        <v>3000.0</v>
      </c>
      <c r="I444" s="255">
        <v>300.0</v>
      </c>
      <c r="K444" s="255" t="s">
        <v>2269</v>
      </c>
      <c r="L444" s="255" t="s">
        <v>2269</v>
      </c>
      <c r="M444" s="255" t="s">
        <v>48</v>
      </c>
      <c r="N444" s="255">
        <v>70000.0</v>
      </c>
      <c r="P444" s="255" t="s">
        <v>2208</v>
      </c>
      <c r="Q444" s="255">
        <v>2.0</v>
      </c>
      <c r="R444" s="259">
        <v>45882.0</v>
      </c>
      <c r="S444" s="260" t="s">
        <v>2235</v>
      </c>
      <c r="T444" s="259">
        <v>45888.0</v>
      </c>
      <c r="U444" s="255">
        <v>0.0</v>
      </c>
    </row>
    <row r="445">
      <c r="A445" s="257">
        <v>45882.701231875</v>
      </c>
      <c r="B445" s="258" t="s">
        <v>3404</v>
      </c>
      <c r="C445" s="259">
        <v>45882.0</v>
      </c>
      <c r="E445" s="255" t="s">
        <v>3405</v>
      </c>
      <c r="F445" s="255" t="s">
        <v>3406</v>
      </c>
      <c r="H445" s="255" t="s">
        <v>985</v>
      </c>
      <c r="I445" s="255">
        <v>531.0</v>
      </c>
      <c r="K445" s="255" t="s">
        <v>2269</v>
      </c>
      <c r="L445" s="255" t="s">
        <v>2269</v>
      </c>
      <c r="M445" s="255" t="s">
        <v>173</v>
      </c>
      <c r="N445" s="255">
        <v>100000.0</v>
      </c>
      <c r="P445" s="255" t="s">
        <v>2208</v>
      </c>
      <c r="Q445" s="255">
        <v>2.0</v>
      </c>
      <c r="R445" s="259">
        <v>45882.0</v>
      </c>
      <c r="S445" s="260" t="s">
        <v>2246</v>
      </c>
      <c r="T445" s="259">
        <v>45885.0</v>
      </c>
      <c r="U445" s="255">
        <v>0.0</v>
      </c>
    </row>
    <row r="446">
      <c r="A446" s="257">
        <v>45884.46215628472</v>
      </c>
      <c r="B446" s="258" t="s">
        <v>3407</v>
      </c>
      <c r="C446" s="259">
        <v>45884.0</v>
      </c>
      <c r="E446" s="255" t="s">
        <v>3408</v>
      </c>
      <c r="F446" s="255">
        <v>7.9141757988E10</v>
      </c>
      <c r="H446" s="263">
        <v>13000.0</v>
      </c>
      <c r="J446" s="255">
        <v>10900.0</v>
      </c>
      <c r="K446" s="255" t="s">
        <v>2207</v>
      </c>
      <c r="L446" s="255" t="s">
        <v>2207</v>
      </c>
      <c r="M446" s="255" t="s">
        <v>923</v>
      </c>
      <c r="N446" s="255">
        <v>200000.0</v>
      </c>
      <c r="P446" s="255" t="s">
        <v>2208</v>
      </c>
      <c r="Q446" s="255">
        <v>2.0</v>
      </c>
      <c r="R446" s="259">
        <v>45884.0</v>
      </c>
      <c r="S446" s="260" t="s">
        <v>2324</v>
      </c>
      <c r="T446" s="259">
        <v>45915.0</v>
      </c>
      <c r="U446" s="255">
        <v>0.0</v>
      </c>
    </row>
    <row r="447">
      <c r="A447" s="257">
        <v>45885.49850004629</v>
      </c>
      <c r="B447" s="258" t="s">
        <v>3409</v>
      </c>
      <c r="C447" s="259">
        <v>45885.0</v>
      </c>
      <c r="D447" s="255" t="s">
        <v>3410</v>
      </c>
      <c r="E447" s="255" t="s">
        <v>3411</v>
      </c>
      <c r="F447" s="255" t="s">
        <v>3412</v>
      </c>
      <c r="G447" s="260" t="s">
        <v>3413</v>
      </c>
      <c r="H447" s="255">
        <v>20000.0</v>
      </c>
      <c r="I447" s="255">
        <v>700.0</v>
      </c>
      <c r="K447" s="255" t="s">
        <v>3411</v>
      </c>
      <c r="L447" s="255" t="s">
        <v>3411</v>
      </c>
      <c r="M447" s="255" t="s">
        <v>438</v>
      </c>
      <c r="P447" s="255" t="s">
        <v>2208</v>
      </c>
      <c r="Q447" s="255">
        <v>0.0</v>
      </c>
      <c r="R447" s="259">
        <v>45885.0</v>
      </c>
      <c r="S447" s="260" t="s">
        <v>2235</v>
      </c>
      <c r="T447" s="259">
        <v>45892.0</v>
      </c>
      <c r="U447" s="255">
        <v>590.0</v>
      </c>
    </row>
    <row r="448">
      <c r="A448" s="257">
        <v>45886.73409863426</v>
      </c>
      <c r="B448" s="258" t="s">
        <v>3414</v>
      </c>
      <c r="C448" s="259">
        <v>45886.0</v>
      </c>
      <c r="E448" s="255" t="s">
        <v>3415</v>
      </c>
      <c r="F448" s="255" t="s">
        <v>3416</v>
      </c>
      <c r="H448" s="255">
        <v>3000.0</v>
      </c>
      <c r="J448" s="255">
        <v>5000.0</v>
      </c>
      <c r="K448" s="255" t="s">
        <v>3415</v>
      </c>
      <c r="L448" s="255" t="s">
        <v>3415</v>
      </c>
      <c r="M448" s="255" t="s">
        <v>68</v>
      </c>
      <c r="N448" s="255">
        <v>70000.0</v>
      </c>
      <c r="P448" s="255" t="s">
        <v>2208</v>
      </c>
      <c r="Q448" s="255">
        <v>2.0</v>
      </c>
      <c r="R448" s="259">
        <v>45886.0</v>
      </c>
      <c r="S448" s="260" t="s">
        <v>2246</v>
      </c>
      <c r="T448" s="259">
        <v>45917.0</v>
      </c>
      <c r="U448" s="255">
        <v>290.0</v>
      </c>
    </row>
    <row r="449">
      <c r="A449" s="257">
        <v>45889.66887725695</v>
      </c>
      <c r="B449" s="258" t="s">
        <v>3417</v>
      </c>
      <c r="C449" s="259">
        <v>45889.0</v>
      </c>
      <c r="D449" s="255" t="s">
        <v>3185</v>
      </c>
      <c r="E449" s="255" t="s">
        <v>3202</v>
      </c>
      <c r="F449" s="260" t="s">
        <v>3203</v>
      </c>
      <c r="G449" s="255">
        <v>7.9951147696E10</v>
      </c>
      <c r="H449" s="255" t="s">
        <v>515</v>
      </c>
      <c r="I449" s="255">
        <v>1400.0</v>
      </c>
      <c r="K449" s="255" t="s">
        <v>2207</v>
      </c>
      <c r="L449" s="255" t="s">
        <v>2207</v>
      </c>
      <c r="M449" s="255" t="s">
        <v>102</v>
      </c>
      <c r="N449" s="255">
        <v>250000.0</v>
      </c>
      <c r="P449" s="255" t="s">
        <v>2208</v>
      </c>
      <c r="Q449" s="255">
        <v>2.0</v>
      </c>
      <c r="R449" s="259">
        <v>45889.0</v>
      </c>
      <c r="S449" s="260" t="s">
        <v>2215</v>
      </c>
      <c r="T449" s="259">
        <v>45890.0</v>
      </c>
      <c r="U449" s="255">
        <v>0.0</v>
      </c>
    </row>
    <row r="450">
      <c r="A450" s="257">
        <v>45893.465603159726</v>
      </c>
      <c r="B450" s="258" t="s">
        <v>3418</v>
      </c>
      <c r="C450" s="259">
        <v>45893.0</v>
      </c>
      <c r="D450" s="255" t="s">
        <v>3419</v>
      </c>
      <c r="E450" s="255" t="s">
        <v>3420</v>
      </c>
      <c r="H450" s="255">
        <v>5000.0</v>
      </c>
      <c r="I450" s="255">
        <v>610.0</v>
      </c>
      <c r="K450" s="255" t="s">
        <v>3420</v>
      </c>
      <c r="L450" s="255" t="s">
        <v>3420</v>
      </c>
      <c r="M450" s="255" t="s">
        <v>941</v>
      </c>
      <c r="P450" s="255" t="s">
        <v>2208</v>
      </c>
      <c r="Q450" s="255">
        <v>3.0</v>
      </c>
      <c r="R450" s="259">
        <v>45893.0</v>
      </c>
      <c r="S450" s="260" t="s">
        <v>2265</v>
      </c>
      <c r="T450" s="259">
        <v>45900.0</v>
      </c>
      <c r="U450" s="255">
        <v>490.0</v>
      </c>
    </row>
    <row r="451">
      <c r="A451" s="257">
        <v>45897.50597384259</v>
      </c>
      <c r="B451" s="258" t="s">
        <v>3421</v>
      </c>
      <c r="C451" s="259">
        <v>45897.0</v>
      </c>
      <c r="D451" s="255" t="s">
        <v>3422</v>
      </c>
      <c r="E451" s="255" t="s">
        <v>3423</v>
      </c>
      <c r="H451" s="255">
        <v>3000.0</v>
      </c>
      <c r="I451" s="255">
        <v>272.0</v>
      </c>
      <c r="K451" s="255" t="s">
        <v>3423</v>
      </c>
      <c r="L451" s="255" t="s">
        <v>3423</v>
      </c>
      <c r="M451" s="255" t="s">
        <v>98</v>
      </c>
      <c r="N451" s="255">
        <v>70000.0</v>
      </c>
      <c r="P451" s="255" t="s">
        <v>2208</v>
      </c>
      <c r="Q451" s="255">
        <v>2.0</v>
      </c>
      <c r="R451" s="259">
        <v>45897.0</v>
      </c>
      <c r="S451" s="260" t="s">
        <v>2221</v>
      </c>
      <c r="T451" s="259">
        <v>45905.0</v>
      </c>
      <c r="U451" s="255">
        <v>590.0</v>
      </c>
    </row>
    <row r="452">
      <c r="A452" s="257">
        <v>45897.693496712964</v>
      </c>
      <c r="B452" s="258" t="s">
        <v>3424</v>
      </c>
      <c r="C452" s="259">
        <v>45897.0</v>
      </c>
      <c r="D452" s="255" t="s">
        <v>3425</v>
      </c>
      <c r="E452" s="255" t="s">
        <v>3426</v>
      </c>
      <c r="H452" s="255">
        <v>3000.0</v>
      </c>
      <c r="I452" s="255">
        <v>292.0</v>
      </c>
      <c r="K452" s="255" t="s">
        <v>2269</v>
      </c>
      <c r="L452" s="255" t="s">
        <v>2269</v>
      </c>
      <c r="N452" s="255">
        <v>70000.0</v>
      </c>
      <c r="O452" s="255">
        <v>27000.0</v>
      </c>
      <c r="P452" s="255" t="s">
        <v>2242</v>
      </c>
      <c r="Q452" s="255">
        <v>2.0</v>
      </c>
      <c r="R452" s="259">
        <v>45897.0</v>
      </c>
      <c r="S452" s="260" t="s">
        <v>2246</v>
      </c>
      <c r="T452" s="259">
        <v>45902.0</v>
      </c>
      <c r="U452" s="255">
        <v>0.0</v>
      </c>
    </row>
    <row r="453">
      <c r="A453" s="257">
        <v>45905.16268634259</v>
      </c>
      <c r="B453" s="258" t="s">
        <v>3427</v>
      </c>
      <c r="C453" s="259">
        <v>45905.0</v>
      </c>
      <c r="D453" s="255" t="s">
        <v>3280</v>
      </c>
      <c r="E453" s="255" t="s">
        <v>3428</v>
      </c>
      <c r="F453" s="255" t="s">
        <v>3282</v>
      </c>
      <c r="H453" s="255">
        <v>5000.0</v>
      </c>
      <c r="I453" s="255">
        <v>495.0</v>
      </c>
      <c r="K453" s="255" t="s">
        <v>3428</v>
      </c>
      <c r="L453" s="255" t="s">
        <v>3428</v>
      </c>
      <c r="M453" s="255" t="s">
        <v>928</v>
      </c>
      <c r="N453" s="255">
        <v>120000.0</v>
      </c>
      <c r="P453" s="255" t="s">
        <v>2208</v>
      </c>
      <c r="Q453" s="255">
        <v>2.0</v>
      </c>
      <c r="R453" s="259">
        <v>45905.0</v>
      </c>
      <c r="S453" s="260" t="s">
        <v>2231</v>
      </c>
      <c r="T453" s="259">
        <v>45918.0</v>
      </c>
      <c r="U453" s="255">
        <v>290.0</v>
      </c>
    </row>
    <row r="454">
      <c r="A454" s="257">
        <v>45905.16485372685</v>
      </c>
      <c r="B454" s="258" t="s">
        <v>3429</v>
      </c>
      <c r="C454" s="259">
        <v>45905.0</v>
      </c>
      <c r="E454" s="255" t="s">
        <v>3428</v>
      </c>
      <c r="F454" s="255" t="s">
        <v>3430</v>
      </c>
      <c r="H454" s="255">
        <v>5000.0</v>
      </c>
      <c r="I454" s="255">
        <v>512.0</v>
      </c>
      <c r="K454" s="255" t="s">
        <v>3428</v>
      </c>
      <c r="L454" s="255" t="s">
        <v>3428</v>
      </c>
      <c r="M454" s="255" t="s">
        <v>1028</v>
      </c>
      <c r="N454" s="255">
        <v>120000.0</v>
      </c>
      <c r="P454" s="255" t="s">
        <v>2208</v>
      </c>
      <c r="Q454" s="255">
        <v>2.0</v>
      </c>
      <c r="R454" s="259">
        <v>45905.0</v>
      </c>
      <c r="S454" s="260" t="s">
        <v>2231</v>
      </c>
      <c r="T454" s="259">
        <v>45915.0</v>
      </c>
      <c r="U454" s="255">
        <v>290.0</v>
      </c>
    </row>
    <row r="455">
      <c r="A455" s="257">
        <v>45906.660552939815</v>
      </c>
      <c r="B455" s="258" t="s">
        <v>3431</v>
      </c>
      <c r="C455" s="259">
        <v>45906.0</v>
      </c>
      <c r="E455" s="255" t="s">
        <v>3432</v>
      </c>
      <c r="F455" s="255" t="s">
        <v>3433</v>
      </c>
      <c r="H455" s="255">
        <v>3000.0</v>
      </c>
      <c r="J455" s="255">
        <v>5000.0</v>
      </c>
      <c r="K455" s="255" t="s">
        <v>2269</v>
      </c>
      <c r="L455" s="255" t="s">
        <v>2269</v>
      </c>
      <c r="M455" s="255" t="s">
        <v>73</v>
      </c>
      <c r="N455" s="255">
        <v>70000.0</v>
      </c>
      <c r="P455" s="255" t="s">
        <v>2208</v>
      </c>
      <c r="Q455" s="255">
        <v>2.0</v>
      </c>
      <c r="R455" s="259">
        <v>45906.0</v>
      </c>
      <c r="S455" s="260" t="s">
        <v>2231</v>
      </c>
      <c r="T455" s="259">
        <v>45936.0</v>
      </c>
      <c r="U455" s="255">
        <v>0.0</v>
      </c>
    </row>
    <row r="456">
      <c r="A456" s="257">
        <v>45907.750885601854</v>
      </c>
      <c r="M456" s="255" t="s">
        <v>44</v>
      </c>
      <c r="Q456" s="255">
        <v>2.0</v>
      </c>
      <c r="R456" s="259">
        <v>45907.0</v>
      </c>
      <c r="S456" s="260" t="s">
        <v>2221</v>
      </c>
      <c r="T456" s="259">
        <v>45912.0</v>
      </c>
      <c r="U456" s="255">
        <v>0.0</v>
      </c>
    </row>
    <row r="457">
      <c r="A457" s="257">
        <v>45909.62860203703</v>
      </c>
      <c r="B457" s="258" t="s">
        <v>3434</v>
      </c>
      <c r="C457" s="259">
        <v>45909.0</v>
      </c>
      <c r="E457" s="255" t="s">
        <v>3435</v>
      </c>
      <c r="F457" s="255" t="s">
        <v>3436</v>
      </c>
      <c r="H457" s="255">
        <v>3000.0</v>
      </c>
      <c r="I457" s="255">
        <v>300.0</v>
      </c>
      <c r="K457" s="255" t="s">
        <v>2269</v>
      </c>
      <c r="L457" s="255" t="s">
        <v>2269</v>
      </c>
      <c r="M457" s="255" t="s">
        <v>77</v>
      </c>
      <c r="N457" s="255">
        <v>70000.0</v>
      </c>
      <c r="P457" s="255" t="s">
        <v>2208</v>
      </c>
      <c r="Q457" s="255">
        <v>2.0</v>
      </c>
      <c r="R457" s="259">
        <v>45909.0</v>
      </c>
      <c r="S457" s="260" t="s">
        <v>2235</v>
      </c>
      <c r="T457" s="259">
        <v>45914.0</v>
      </c>
      <c r="U457" s="255">
        <v>0.0</v>
      </c>
    </row>
    <row r="458">
      <c r="A458" s="257">
        <v>45912.63021189815</v>
      </c>
      <c r="B458" s="258" t="s">
        <v>3437</v>
      </c>
      <c r="C458" s="259">
        <v>45912.0</v>
      </c>
      <c r="E458" s="255" t="s">
        <v>2926</v>
      </c>
      <c r="F458" s="255" t="s">
        <v>3438</v>
      </c>
      <c r="H458" s="255">
        <v>3000.0</v>
      </c>
      <c r="I458" s="255">
        <v>300.0</v>
      </c>
      <c r="K458" s="255" t="s">
        <v>2269</v>
      </c>
      <c r="L458" s="255" t="s">
        <v>2269</v>
      </c>
      <c r="M458" s="255" t="s">
        <v>73</v>
      </c>
      <c r="N458" s="255">
        <v>70000.0</v>
      </c>
      <c r="P458" s="255" t="s">
        <v>2208</v>
      </c>
      <c r="Q458" s="255">
        <v>2.0</v>
      </c>
      <c r="R458" s="259">
        <v>45912.0</v>
      </c>
      <c r="S458" s="260" t="s">
        <v>2235</v>
      </c>
      <c r="T458" s="259">
        <v>45916.0</v>
      </c>
      <c r="U458" s="255">
        <v>0.0</v>
      </c>
    </row>
    <row r="459">
      <c r="A459" s="257">
        <v>45914.71292868056</v>
      </c>
      <c r="B459" s="258" t="s">
        <v>3439</v>
      </c>
      <c r="C459" s="259">
        <v>45914.0</v>
      </c>
      <c r="D459" s="255" t="s">
        <v>3440</v>
      </c>
      <c r="E459" s="255" t="s">
        <v>3441</v>
      </c>
      <c r="H459" s="255" t="s">
        <v>600</v>
      </c>
      <c r="I459" s="255">
        <v>1294.0</v>
      </c>
      <c r="K459" s="255" t="s">
        <v>2269</v>
      </c>
      <c r="L459" s="255" t="s">
        <v>2269</v>
      </c>
      <c r="M459" s="255" t="s">
        <v>102</v>
      </c>
      <c r="P459" s="255" t="s">
        <v>2208</v>
      </c>
      <c r="Q459" s="255">
        <v>0.0</v>
      </c>
      <c r="R459" s="259">
        <v>45915.0</v>
      </c>
      <c r="S459" s="260" t="s">
        <v>2221</v>
      </c>
      <c r="T459" s="259">
        <v>45920.0</v>
      </c>
      <c r="U459" s="255">
        <v>0.0</v>
      </c>
    </row>
    <row r="460">
      <c r="A460" s="257">
        <v>45914.72083600695</v>
      </c>
      <c r="B460" s="258" t="s">
        <v>3442</v>
      </c>
      <c r="C460" s="259">
        <v>45914.0</v>
      </c>
      <c r="D460" s="255" t="s">
        <v>3443</v>
      </c>
      <c r="E460" s="255" t="s">
        <v>3444</v>
      </c>
      <c r="F460" s="255">
        <v>8.9243056005E10</v>
      </c>
      <c r="G460" s="255">
        <v>8.9626770707E10</v>
      </c>
      <c r="H460" s="255">
        <v>3000.0</v>
      </c>
      <c r="I460" s="255">
        <v>274.0</v>
      </c>
      <c r="K460" s="255" t="s">
        <v>3444</v>
      </c>
      <c r="L460" s="255" t="s">
        <v>3444</v>
      </c>
      <c r="M460" s="255" t="s">
        <v>151</v>
      </c>
      <c r="P460" s="255" t="s">
        <v>2208</v>
      </c>
      <c r="Q460" s="255">
        <v>2.0</v>
      </c>
      <c r="R460" s="259">
        <v>45915.0</v>
      </c>
      <c r="S460" s="260" t="s">
        <v>2221</v>
      </c>
      <c r="T460" s="259">
        <v>45922.0</v>
      </c>
      <c r="U460" s="255">
        <v>290.0</v>
      </c>
    </row>
    <row r="461">
      <c r="A461" s="257">
        <v>45916.73206678241</v>
      </c>
      <c r="B461" s="258" t="s">
        <v>3445</v>
      </c>
      <c r="C461" s="259">
        <v>45916.0</v>
      </c>
      <c r="D461" s="255">
        <v>8.9999398001E10</v>
      </c>
      <c r="E461" s="255" t="s">
        <v>3446</v>
      </c>
      <c r="F461" s="255">
        <v>8.9999398001E10</v>
      </c>
      <c r="H461" s="255">
        <v>3000.0</v>
      </c>
      <c r="I461" s="255">
        <v>274.0</v>
      </c>
      <c r="K461" s="255" t="s">
        <v>2269</v>
      </c>
      <c r="L461" s="255" t="s">
        <v>2269</v>
      </c>
      <c r="M461" s="255" t="s">
        <v>98</v>
      </c>
      <c r="P461" s="255" t="s">
        <v>2208</v>
      </c>
      <c r="Q461" s="255">
        <v>2.0</v>
      </c>
      <c r="R461" s="259">
        <v>45917.0</v>
      </c>
      <c r="S461" s="260" t="s">
        <v>2235</v>
      </c>
      <c r="T461" s="259">
        <v>45927.0</v>
      </c>
      <c r="U461" s="255">
        <v>0.0</v>
      </c>
    </row>
    <row r="462">
      <c r="A462" s="257">
        <v>45919.507448738426</v>
      </c>
      <c r="B462" s="258" t="s">
        <v>3447</v>
      </c>
      <c r="C462" s="259">
        <v>45919.0</v>
      </c>
      <c r="E462" s="255" t="s">
        <v>2533</v>
      </c>
      <c r="H462" s="255">
        <v>0.0</v>
      </c>
      <c r="I462" s="255">
        <v>1700.0</v>
      </c>
      <c r="K462" s="255" t="s">
        <v>2533</v>
      </c>
      <c r="L462" s="255" t="s">
        <v>2533</v>
      </c>
      <c r="M462" s="255" t="s">
        <v>914</v>
      </c>
      <c r="N462" s="255">
        <v>500000.0</v>
      </c>
      <c r="P462" s="255" t="s">
        <v>2208</v>
      </c>
      <c r="Q462" s="255">
        <v>1.0</v>
      </c>
      <c r="R462" s="259">
        <v>45919.0</v>
      </c>
      <c r="S462" s="260" t="s">
        <v>2235</v>
      </c>
      <c r="T462" s="259">
        <v>45926.0</v>
      </c>
      <c r="U462" s="255">
        <v>290.0</v>
      </c>
    </row>
    <row r="463">
      <c r="A463" s="257">
        <v>45921.43795259259</v>
      </c>
      <c r="B463" s="258" t="s">
        <v>3448</v>
      </c>
      <c r="C463" s="259">
        <v>45921.0</v>
      </c>
      <c r="D463" s="255">
        <v>8.9270630487E10</v>
      </c>
      <c r="E463" s="255" t="s">
        <v>3449</v>
      </c>
      <c r="H463" s="255">
        <v>3000.0</v>
      </c>
      <c r="I463" s="255">
        <v>277.0</v>
      </c>
      <c r="K463" s="255" t="s">
        <v>3449</v>
      </c>
      <c r="L463" s="255" t="s">
        <v>3449</v>
      </c>
      <c r="M463" s="255" t="s">
        <v>77</v>
      </c>
      <c r="N463" s="255">
        <v>70000.0</v>
      </c>
      <c r="P463" s="255" t="s">
        <v>2208</v>
      </c>
      <c r="Q463" s="255">
        <v>2.0</v>
      </c>
      <c r="R463" s="259">
        <v>45921.0</v>
      </c>
      <c r="S463" s="260" t="s">
        <v>2265</v>
      </c>
      <c r="T463" s="259">
        <v>45927.0</v>
      </c>
      <c r="U463" s="255">
        <v>290.0</v>
      </c>
    </row>
    <row r="464">
      <c r="A464" s="257">
        <v>45921.65286032407</v>
      </c>
      <c r="B464" s="258" t="s">
        <v>3450</v>
      </c>
      <c r="C464" s="259">
        <v>45921.0</v>
      </c>
      <c r="D464" s="255" t="s">
        <v>3451</v>
      </c>
      <c r="E464" s="255" t="s">
        <v>3452</v>
      </c>
      <c r="H464" s="255">
        <v>3000.0</v>
      </c>
      <c r="J464" s="255">
        <v>5000.0</v>
      </c>
      <c r="K464" s="255" t="s">
        <v>2269</v>
      </c>
      <c r="L464" s="255" t="s">
        <v>2269</v>
      </c>
      <c r="M464" s="255" t="s">
        <v>48</v>
      </c>
      <c r="N464" s="255">
        <v>70000.0</v>
      </c>
      <c r="P464" s="255" t="s">
        <v>2208</v>
      </c>
      <c r="Q464" s="255">
        <v>2.0</v>
      </c>
      <c r="R464" s="259">
        <v>45921.0</v>
      </c>
      <c r="S464" s="260" t="s">
        <v>2215</v>
      </c>
      <c r="T464" s="259">
        <v>45951.0</v>
      </c>
      <c r="U464" s="255">
        <v>0.0</v>
      </c>
    </row>
    <row r="465">
      <c r="A465" s="257">
        <v>45925.56871226852</v>
      </c>
      <c r="B465" s="258" t="s">
        <v>3453</v>
      </c>
      <c r="C465" s="259">
        <v>45925.0</v>
      </c>
      <c r="E465" s="255" t="s">
        <v>3454</v>
      </c>
      <c r="F465" s="255">
        <v>7.9819378661E10</v>
      </c>
      <c r="H465" s="255">
        <v>20000.0</v>
      </c>
      <c r="I465" s="255">
        <v>1700.0</v>
      </c>
      <c r="K465" s="255" t="s">
        <v>2207</v>
      </c>
      <c r="L465" s="255" t="s">
        <v>2207</v>
      </c>
      <c r="M465" s="255" t="s">
        <v>914</v>
      </c>
      <c r="N465" s="255">
        <v>500000.0</v>
      </c>
      <c r="P465" s="255" t="s">
        <v>2208</v>
      </c>
      <c r="Q465" s="255">
        <v>2.0</v>
      </c>
      <c r="R465" s="259">
        <v>45925.0</v>
      </c>
      <c r="S465" s="260" t="s">
        <v>2250</v>
      </c>
      <c r="T465" s="259">
        <v>45928.0</v>
      </c>
      <c r="U465" s="255">
        <v>0.0</v>
      </c>
    </row>
    <row r="466">
      <c r="A466" s="257">
        <v>45927.950150185185</v>
      </c>
      <c r="B466" s="258" t="s">
        <v>3455</v>
      </c>
      <c r="C466" s="259">
        <v>45927.0</v>
      </c>
      <c r="E466" s="255" t="s">
        <v>2383</v>
      </c>
      <c r="F466" s="255" t="s">
        <v>3456</v>
      </c>
      <c r="H466" s="255">
        <v>5000.0</v>
      </c>
      <c r="I466" s="255">
        <v>550.0</v>
      </c>
      <c r="K466" s="255" t="s">
        <v>2269</v>
      </c>
      <c r="L466" s="255" t="s">
        <v>2269</v>
      </c>
      <c r="M466" s="255" t="s">
        <v>974</v>
      </c>
      <c r="N466" s="255">
        <v>190000.0</v>
      </c>
      <c r="O466" s="255">
        <v>9000.0</v>
      </c>
      <c r="P466" s="255" t="s">
        <v>2208</v>
      </c>
      <c r="Q466" s="255">
        <v>2.0</v>
      </c>
      <c r="R466" s="259">
        <v>45929.0</v>
      </c>
      <c r="S466" s="260" t="s">
        <v>2215</v>
      </c>
      <c r="T466" s="259">
        <v>45935.0</v>
      </c>
      <c r="U466" s="255">
        <v>0.0</v>
      </c>
    </row>
    <row r="467">
      <c r="A467" s="257">
        <v>45929.631603333335</v>
      </c>
      <c r="B467" s="258" t="s">
        <v>3457</v>
      </c>
      <c r="C467" s="259">
        <v>45929.0</v>
      </c>
      <c r="E467" s="255" t="s">
        <v>3405</v>
      </c>
      <c r="F467" s="255" t="s">
        <v>3458</v>
      </c>
      <c r="H467" s="255">
        <v>3000.0</v>
      </c>
      <c r="I467" s="255">
        <v>292.0</v>
      </c>
      <c r="K467" s="255" t="s">
        <v>2269</v>
      </c>
      <c r="L467" s="255" t="s">
        <v>2269</v>
      </c>
      <c r="M467" s="255" t="s">
        <v>151</v>
      </c>
      <c r="N467" s="255">
        <v>70000.0</v>
      </c>
      <c r="P467" s="255" t="s">
        <v>2208</v>
      </c>
      <c r="Q467" s="255">
        <v>2.0</v>
      </c>
      <c r="R467" s="259">
        <v>45929.0</v>
      </c>
      <c r="S467" s="260" t="s">
        <v>2235</v>
      </c>
      <c r="T467" s="259">
        <v>45934.0</v>
      </c>
      <c r="U467" s="255">
        <v>0.0</v>
      </c>
    </row>
    <row r="468">
      <c r="A468" s="257">
        <v>45931.42119774305</v>
      </c>
      <c r="B468" s="258" t="s">
        <v>3459</v>
      </c>
      <c r="C468" s="259">
        <v>45930.0</v>
      </c>
      <c r="D468" s="255" t="s">
        <v>3460</v>
      </c>
      <c r="E468" s="255" t="s">
        <v>3461</v>
      </c>
      <c r="H468" s="255">
        <v>5000.0</v>
      </c>
      <c r="I468" s="255">
        <v>567.0</v>
      </c>
      <c r="K468" s="255" t="s">
        <v>3461</v>
      </c>
      <c r="L468" s="255" t="s">
        <v>3461</v>
      </c>
      <c r="M468" s="255" t="s">
        <v>928</v>
      </c>
      <c r="P468" s="255" t="s">
        <v>2208</v>
      </c>
      <c r="Q468" s="255">
        <v>2.0</v>
      </c>
      <c r="R468" s="259">
        <v>45948.0</v>
      </c>
      <c r="S468" s="260" t="s">
        <v>2221</v>
      </c>
      <c r="T468" s="259">
        <v>45955.0</v>
      </c>
      <c r="U468" s="255">
        <v>490.0</v>
      </c>
    </row>
    <row r="469">
      <c r="A469" s="257">
        <v>45931.86756201389</v>
      </c>
      <c r="B469" s="258" t="s">
        <v>3462</v>
      </c>
      <c r="C469" s="259">
        <v>45931.0</v>
      </c>
      <c r="D469" s="255" t="s">
        <v>2528</v>
      </c>
      <c r="E469" s="255" t="s">
        <v>2529</v>
      </c>
      <c r="F469" s="255" t="s">
        <v>2530</v>
      </c>
      <c r="H469" s="255">
        <v>3000.0</v>
      </c>
      <c r="I469" s="255">
        <v>274.0</v>
      </c>
      <c r="K469" s="255" t="s">
        <v>2529</v>
      </c>
      <c r="L469" s="255" t="s">
        <v>2529</v>
      </c>
      <c r="M469" s="255" t="s">
        <v>68</v>
      </c>
      <c r="N469" s="255">
        <v>90000.0</v>
      </c>
      <c r="P469" s="255" t="s">
        <v>2208</v>
      </c>
      <c r="Q469" s="255">
        <v>1.0</v>
      </c>
      <c r="R469" s="259">
        <v>45934.0</v>
      </c>
      <c r="S469" s="260" t="s">
        <v>2265</v>
      </c>
      <c r="T469" s="259">
        <v>45941.0</v>
      </c>
      <c r="U469" s="255">
        <v>490.0</v>
      </c>
    </row>
    <row r="470">
      <c r="A470" s="257">
        <v>45931.869669340274</v>
      </c>
      <c r="B470" s="258" t="s">
        <v>3463</v>
      </c>
      <c r="C470" s="259">
        <v>45931.0</v>
      </c>
      <c r="D470" s="255" t="s">
        <v>2528</v>
      </c>
      <c r="E470" s="255" t="s">
        <v>2529</v>
      </c>
      <c r="F470" s="255" t="s">
        <v>2530</v>
      </c>
      <c r="H470" s="255">
        <v>3000.0</v>
      </c>
      <c r="I470" s="255">
        <v>274.0</v>
      </c>
      <c r="K470" s="255" t="s">
        <v>2529</v>
      </c>
      <c r="L470" s="255" t="s">
        <v>2529</v>
      </c>
      <c r="M470" s="255" t="s">
        <v>56</v>
      </c>
      <c r="N470" s="255">
        <v>90000.0</v>
      </c>
      <c r="P470" s="255" t="s">
        <v>2208</v>
      </c>
      <c r="Q470" s="255">
        <v>1.0</v>
      </c>
      <c r="R470" s="259">
        <v>45934.0</v>
      </c>
      <c r="S470" s="260" t="s">
        <v>2265</v>
      </c>
      <c r="T470" s="259">
        <v>45941.0</v>
      </c>
      <c r="U470" s="255">
        <v>490.0</v>
      </c>
    </row>
    <row r="471">
      <c r="A471" s="257">
        <v>45932.5663428125</v>
      </c>
      <c r="B471" s="258" t="s">
        <v>3464</v>
      </c>
      <c r="C471" s="259">
        <v>45932.0</v>
      </c>
      <c r="E471" s="255" t="s">
        <v>3313</v>
      </c>
      <c r="F471" s="255" t="s">
        <v>3465</v>
      </c>
      <c r="H471" s="255">
        <v>3000.0</v>
      </c>
      <c r="I471" s="255">
        <v>274.0</v>
      </c>
      <c r="K471" s="255" t="s">
        <v>2269</v>
      </c>
      <c r="L471" s="255" t="s">
        <v>2269</v>
      </c>
      <c r="M471" s="255" t="s">
        <v>98</v>
      </c>
      <c r="N471" s="255">
        <v>70000.0</v>
      </c>
      <c r="P471" s="255" t="s">
        <v>2208</v>
      </c>
      <c r="Q471" s="255">
        <v>2.0</v>
      </c>
      <c r="R471" s="259">
        <v>45932.0</v>
      </c>
      <c r="S471" s="260" t="s">
        <v>2221</v>
      </c>
      <c r="T471" s="259">
        <v>45939.0</v>
      </c>
      <c r="U471" s="255">
        <v>0.0</v>
      </c>
    </row>
    <row r="472">
      <c r="A472" s="257">
        <v>45933.495436909725</v>
      </c>
      <c r="B472" s="258" t="s">
        <v>3466</v>
      </c>
      <c r="C472" s="259">
        <v>45933.0</v>
      </c>
      <c r="H472" s="255">
        <v>200.0</v>
      </c>
      <c r="I472" s="255">
        <v>600.0</v>
      </c>
      <c r="K472" s="255" t="s">
        <v>2207</v>
      </c>
      <c r="L472" s="255" t="s">
        <v>2207</v>
      </c>
      <c r="M472" s="255" t="s">
        <v>941</v>
      </c>
      <c r="N472" s="255">
        <v>190000.0</v>
      </c>
      <c r="P472" s="255" t="s">
        <v>2208</v>
      </c>
      <c r="R472" s="259">
        <v>45933.0</v>
      </c>
      <c r="S472" s="260" t="s">
        <v>2391</v>
      </c>
      <c r="T472" s="259">
        <v>45934.0</v>
      </c>
    </row>
    <row r="473">
      <c r="A473" s="257">
        <v>45936.99631877315</v>
      </c>
      <c r="B473" s="258" t="s">
        <v>3467</v>
      </c>
      <c r="C473" s="259">
        <v>45936.0</v>
      </c>
      <c r="E473" s="255" t="s">
        <v>3468</v>
      </c>
      <c r="F473" s="255">
        <v>7.9143320203E10</v>
      </c>
      <c r="H473" s="255" t="s">
        <v>515</v>
      </c>
      <c r="I473" s="255">
        <v>2384.0</v>
      </c>
      <c r="K473" s="255" t="s">
        <v>3468</v>
      </c>
      <c r="L473" s="255" t="s">
        <v>3468</v>
      </c>
      <c r="M473" s="255" t="s">
        <v>967</v>
      </c>
      <c r="N473" s="255">
        <v>500000.0</v>
      </c>
      <c r="P473" s="255" t="s">
        <v>2208</v>
      </c>
      <c r="Q473" s="255">
        <v>2.0</v>
      </c>
      <c r="R473" s="259">
        <v>46017.0</v>
      </c>
      <c r="S473" s="260" t="s">
        <v>2330</v>
      </c>
      <c r="T473" s="259">
        <v>46028.0</v>
      </c>
      <c r="U473" s="255">
        <v>290.0</v>
      </c>
    </row>
    <row r="474">
      <c r="A474" s="257">
        <v>45936.99765394676</v>
      </c>
      <c r="B474" s="258" t="s">
        <v>3469</v>
      </c>
      <c r="C474" s="259">
        <v>45936.0</v>
      </c>
      <c r="E474" s="255" t="s">
        <v>3468</v>
      </c>
      <c r="F474" s="255">
        <v>7.9143320203E10</v>
      </c>
      <c r="H474" s="255" t="s">
        <v>515</v>
      </c>
      <c r="I474" s="255">
        <v>2384.0</v>
      </c>
      <c r="K474" s="255" t="s">
        <v>3468</v>
      </c>
      <c r="L474" s="255" t="s">
        <v>3468</v>
      </c>
      <c r="M474" s="255" t="s">
        <v>914</v>
      </c>
      <c r="N474" s="255">
        <v>500000.0</v>
      </c>
      <c r="P474" s="255" t="s">
        <v>2208</v>
      </c>
      <c r="Q474" s="255">
        <v>2.0</v>
      </c>
      <c r="R474" s="259">
        <v>46017.0</v>
      </c>
      <c r="S474" s="260" t="s">
        <v>2330</v>
      </c>
      <c r="T474" s="259">
        <v>46028.0</v>
      </c>
      <c r="U474" s="255">
        <v>290.0</v>
      </c>
    </row>
    <row r="475">
      <c r="A475" s="257">
        <v>45938.556688020835</v>
      </c>
      <c r="B475" s="258" t="s">
        <v>3470</v>
      </c>
      <c r="C475" s="259">
        <v>45938.0</v>
      </c>
      <c r="E475" s="255" t="s">
        <v>3471</v>
      </c>
      <c r="F475" s="255">
        <v>7.903969033E10</v>
      </c>
      <c r="H475" s="255">
        <v>7000.0</v>
      </c>
      <c r="J475" s="255">
        <v>19990.0</v>
      </c>
      <c r="K475" s="255" t="s">
        <v>3472</v>
      </c>
      <c r="L475" s="255" t="s">
        <v>3472</v>
      </c>
      <c r="M475" s="255" t="s">
        <v>941</v>
      </c>
      <c r="N475" s="255">
        <v>180000.0</v>
      </c>
      <c r="P475" s="255" t="s">
        <v>2208</v>
      </c>
      <c r="Q475" s="255">
        <v>2.0</v>
      </c>
      <c r="R475" s="259">
        <v>46006.0</v>
      </c>
      <c r="S475" s="260" t="s">
        <v>2330</v>
      </c>
      <c r="T475" s="259">
        <v>46037.0</v>
      </c>
      <c r="U475" s="255">
        <v>290.0</v>
      </c>
    </row>
    <row r="476">
      <c r="A476" s="257">
        <v>45938.55807</v>
      </c>
      <c r="B476" s="258" t="s">
        <v>3473</v>
      </c>
      <c r="C476" s="259">
        <v>45938.0</v>
      </c>
      <c r="E476" s="255" t="s">
        <v>3472</v>
      </c>
      <c r="F476" s="255">
        <v>7.903969033E10</v>
      </c>
      <c r="H476" s="255">
        <v>7000.0</v>
      </c>
      <c r="I476" s="255">
        <v>887.0</v>
      </c>
      <c r="K476" s="255" t="s">
        <v>3472</v>
      </c>
      <c r="L476" s="255" t="s">
        <v>3472</v>
      </c>
      <c r="M476" s="255" t="s">
        <v>923</v>
      </c>
      <c r="N476" s="255">
        <v>180000.0</v>
      </c>
      <c r="P476" s="255" t="s">
        <v>2208</v>
      </c>
      <c r="Q476" s="255">
        <v>2.0</v>
      </c>
      <c r="R476" s="259">
        <v>46024.0</v>
      </c>
      <c r="S476" s="260" t="s">
        <v>2330</v>
      </c>
      <c r="T476" s="259">
        <v>46034.0</v>
      </c>
      <c r="U476" s="255">
        <v>290.0</v>
      </c>
    </row>
    <row r="477">
      <c r="A477" s="257">
        <v>45938.565642511574</v>
      </c>
      <c r="B477" s="258" t="s">
        <v>3474</v>
      </c>
      <c r="C477" s="259">
        <v>45938.0</v>
      </c>
      <c r="D477" s="255" t="s">
        <v>3475</v>
      </c>
      <c r="E477" s="255" t="s">
        <v>3476</v>
      </c>
      <c r="F477" s="255" t="s">
        <v>3477</v>
      </c>
      <c r="H477" s="255">
        <v>5000.0</v>
      </c>
      <c r="J477" s="255">
        <v>12292.0</v>
      </c>
      <c r="K477" s="255" t="s">
        <v>3476</v>
      </c>
      <c r="L477" s="255" t="s">
        <v>3476</v>
      </c>
      <c r="M477" s="255" t="s">
        <v>928</v>
      </c>
      <c r="N477" s="255">
        <v>120000.0</v>
      </c>
      <c r="P477" s="255" t="s">
        <v>2208</v>
      </c>
      <c r="Q477" s="255">
        <v>2.0</v>
      </c>
      <c r="R477" s="259">
        <v>45957.0</v>
      </c>
      <c r="S477" s="260" t="s">
        <v>2330</v>
      </c>
      <c r="T477" s="259">
        <v>45988.0</v>
      </c>
      <c r="U477" s="255">
        <v>290.0</v>
      </c>
    </row>
    <row r="478">
      <c r="A478" s="257">
        <v>45940.79285543981</v>
      </c>
      <c r="B478" s="258" t="s">
        <v>3478</v>
      </c>
      <c r="C478" s="259">
        <v>45940.0</v>
      </c>
      <c r="D478" s="255" t="s">
        <v>3479</v>
      </c>
      <c r="E478" s="255" t="s">
        <v>3480</v>
      </c>
      <c r="F478" s="255">
        <v>8.981793321E10</v>
      </c>
      <c r="G478" s="255">
        <v>8.9117437101E10</v>
      </c>
      <c r="H478" s="255" t="s">
        <v>985</v>
      </c>
      <c r="I478" s="255">
        <v>483.0</v>
      </c>
      <c r="K478" s="255" t="s">
        <v>3480</v>
      </c>
      <c r="L478" s="255" t="s">
        <v>3480</v>
      </c>
      <c r="M478" s="255" t="s">
        <v>279</v>
      </c>
      <c r="N478" s="255">
        <v>90000.0</v>
      </c>
      <c r="P478" s="255" t="s">
        <v>2208</v>
      </c>
      <c r="Q478" s="255">
        <v>2.0</v>
      </c>
      <c r="R478" s="259">
        <v>45968.0</v>
      </c>
      <c r="S478" s="260" t="s">
        <v>2324</v>
      </c>
      <c r="T478" s="259">
        <v>45978.0</v>
      </c>
      <c r="U478" s="255">
        <v>290.0</v>
      </c>
    </row>
    <row r="479">
      <c r="A479" s="257">
        <v>45941.45202571759</v>
      </c>
      <c r="B479" s="258" t="s">
        <v>3481</v>
      </c>
      <c r="C479" s="259">
        <v>45941.0</v>
      </c>
      <c r="D479" s="255" t="s">
        <v>3482</v>
      </c>
      <c r="E479" s="255" t="s">
        <v>3483</v>
      </c>
      <c r="F479" s="255" t="s">
        <v>3482</v>
      </c>
      <c r="H479" s="255" t="s">
        <v>912</v>
      </c>
      <c r="I479" s="255">
        <v>272.0</v>
      </c>
      <c r="K479" s="255" t="s">
        <v>3483</v>
      </c>
      <c r="L479" s="255" t="s">
        <v>3483</v>
      </c>
      <c r="M479" s="255" t="s">
        <v>56</v>
      </c>
      <c r="P479" s="255" t="s">
        <v>2208</v>
      </c>
      <c r="Q479" s="255">
        <v>1.0</v>
      </c>
      <c r="R479" s="259">
        <v>45941.0</v>
      </c>
      <c r="S479" s="260" t="s">
        <v>2265</v>
      </c>
      <c r="T479" s="259">
        <v>45949.0</v>
      </c>
      <c r="U479" s="255">
        <v>290.0</v>
      </c>
    </row>
    <row r="480">
      <c r="A480" s="257">
        <v>45942.74544233797</v>
      </c>
      <c r="B480" s="258" t="s">
        <v>3484</v>
      </c>
      <c r="C480" s="259">
        <v>45942.0</v>
      </c>
      <c r="E480" s="255" t="s">
        <v>3485</v>
      </c>
      <c r="F480" s="255" t="s">
        <v>3486</v>
      </c>
      <c r="H480" s="255">
        <v>5000.0</v>
      </c>
      <c r="I480" s="255">
        <v>642.0</v>
      </c>
      <c r="K480" s="255" t="s">
        <v>3485</v>
      </c>
      <c r="L480" s="255" t="s">
        <v>3485</v>
      </c>
      <c r="M480" s="255" t="s">
        <v>948</v>
      </c>
      <c r="P480" s="255" t="s">
        <v>2208</v>
      </c>
      <c r="Q480" s="255">
        <v>2.0</v>
      </c>
      <c r="R480" s="259">
        <v>45949.0</v>
      </c>
      <c r="S480" s="260" t="s">
        <v>2235</v>
      </c>
      <c r="T480" s="259">
        <v>45960.0</v>
      </c>
      <c r="U480" s="255">
        <v>290.0</v>
      </c>
    </row>
    <row r="481">
      <c r="A481" s="257">
        <v>45944.57822616898</v>
      </c>
      <c r="B481" s="258" t="s">
        <v>3487</v>
      </c>
      <c r="C481" s="259">
        <v>45944.0</v>
      </c>
      <c r="E481" s="255" t="s">
        <v>3019</v>
      </c>
      <c r="F481" s="255" t="s">
        <v>3488</v>
      </c>
      <c r="H481" s="255">
        <v>10000.0</v>
      </c>
      <c r="I481" s="255">
        <v>703.0</v>
      </c>
      <c r="K481" s="255" t="s">
        <v>3019</v>
      </c>
      <c r="L481" s="255" t="s">
        <v>3019</v>
      </c>
      <c r="M481" s="255" t="s">
        <v>468</v>
      </c>
      <c r="N481" s="255">
        <v>150000.0</v>
      </c>
      <c r="P481" s="255" t="s">
        <v>2208</v>
      </c>
      <c r="Q481" s="255">
        <v>2.0</v>
      </c>
      <c r="R481" s="259">
        <v>45944.0</v>
      </c>
      <c r="S481" s="260" t="s">
        <v>2235</v>
      </c>
      <c r="T481" s="259">
        <v>45954.0</v>
      </c>
      <c r="U481" s="255">
        <v>290.0</v>
      </c>
    </row>
    <row r="482">
      <c r="A482" s="257">
        <v>45946.99471288195</v>
      </c>
      <c r="B482" s="258" t="s">
        <v>3489</v>
      </c>
      <c r="C482" s="259">
        <v>45946.0</v>
      </c>
      <c r="D482" s="255" t="s">
        <v>3280</v>
      </c>
      <c r="E482" s="255" t="s">
        <v>3490</v>
      </c>
      <c r="F482" s="255" t="s">
        <v>3282</v>
      </c>
      <c r="H482" s="255">
        <v>5000.0</v>
      </c>
      <c r="I482" s="255">
        <v>518.0</v>
      </c>
      <c r="K482" s="255" t="s">
        <v>3490</v>
      </c>
      <c r="L482" s="255" t="s">
        <v>3490</v>
      </c>
      <c r="M482" s="255" t="s">
        <v>928</v>
      </c>
      <c r="N482" s="255">
        <v>120000.0</v>
      </c>
      <c r="P482" s="255" t="s">
        <v>2208</v>
      </c>
      <c r="Q482" s="255">
        <v>2.0</v>
      </c>
      <c r="R482" s="259">
        <v>45947.0</v>
      </c>
      <c r="S482" s="260" t="s">
        <v>2470</v>
      </c>
      <c r="T482" s="259">
        <v>45956.0</v>
      </c>
      <c r="U482" s="255">
        <v>290.0</v>
      </c>
    </row>
    <row r="483">
      <c r="A483" s="257">
        <v>45947.635731828705</v>
      </c>
      <c r="B483" s="258" t="s">
        <v>3491</v>
      </c>
      <c r="C483" s="259">
        <v>45947.0</v>
      </c>
      <c r="E483" s="255" t="s">
        <v>3019</v>
      </c>
      <c r="F483" s="255" t="s">
        <v>3492</v>
      </c>
      <c r="H483" s="255">
        <v>3000.0</v>
      </c>
      <c r="I483" s="255">
        <v>295.0</v>
      </c>
      <c r="K483" s="255" t="s">
        <v>3019</v>
      </c>
      <c r="L483" s="255" t="s">
        <v>3019</v>
      </c>
      <c r="M483" s="255" t="s">
        <v>44</v>
      </c>
      <c r="N483" s="255">
        <v>70000.0</v>
      </c>
      <c r="P483" s="255" t="s">
        <v>2208</v>
      </c>
      <c r="Q483" s="255">
        <v>1.0</v>
      </c>
      <c r="R483" s="259">
        <v>45947.0</v>
      </c>
      <c r="S483" s="260" t="s">
        <v>2231</v>
      </c>
      <c r="T483" s="259">
        <v>45954.0</v>
      </c>
      <c r="U483" s="255">
        <v>290.0</v>
      </c>
    </row>
    <row r="484">
      <c r="A484" s="257">
        <v>45949.17886181713</v>
      </c>
      <c r="B484" s="258" t="s">
        <v>3493</v>
      </c>
      <c r="C484" s="259">
        <v>45949.0</v>
      </c>
      <c r="D484" s="255" t="s">
        <v>3494</v>
      </c>
      <c r="E484" s="255" t="s">
        <v>3495</v>
      </c>
      <c r="F484" s="255" t="s">
        <v>3496</v>
      </c>
      <c r="H484" s="255">
        <v>15000.0</v>
      </c>
      <c r="I484" s="255">
        <v>712.0</v>
      </c>
      <c r="K484" s="255" t="s">
        <v>3495</v>
      </c>
      <c r="L484" s="255" t="s">
        <v>3495</v>
      </c>
      <c r="M484" s="255" t="s">
        <v>461</v>
      </c>
      <c r="N484" s="255">
        <v>130000.0</v>
      </c>
      <c r="P484" s="255" t="s">
        <v>2208</v>
      </c>
      <c r="Q484" s="255">
        <v>2.0</v>
      </c>
      <c r="R484" s="259">
        <v>45949.0</v>
      </c>
      <c r="S484" s="260" t="s">
        <v>2324</v>
      </c>
      <c r="T484" s="259">
        <v>45952.0</v>
      </c>
      <c r="U484" s="255">
        <v>390.0</v>
      </c>
    </row>
    <row r="485">
      <c r="A485" s="257">
        <v>45949.18028369213</v>
      </c>
      <c r="B485" s="258" t="s">
        <v>3497</v>
      </c>
      <c r="C485" s="259">
        <v>45949.0</v>
      </c>
      <c r="D485" s="255" t="s">
        <v>3494</v>
      </c>
      <c r="E485" s="255" t="s">
        <v>3495</v>
      </c>
      <c r="F485" s="255" t="s">
        <v>3496</v>
      </c>
      <c r="H485" s="255">
        <v>0.0</v>
      </c>
      <c r="I485" s="255">
        <v>314.0</v>
      </c>
      <c r="K485" s="255" t="s">
        <v>3495</v>
      </c>
      <c r="L485" s="255" t="s">
        <v>3495</v>
      </c>
      <c r="M485" s="255" t="s">
        <v>68</v>
      </c>
      <c r="N485" s="255">
        <v>70000.0</v>
      </c>
      <c r="P485" s="255" t="s">
        <v>2208</v>
      </c>
      <c r="Q485" s="255">
        <v>2.0</v>
      </c>
      <c r="R485" s="259">
        <v>45949.0</v>
      </c>
      <c r="S485" s="260" t="s">
        <v>2324</v>
      </c>
      <c r="T485" s="259">
        <v>45952.0</v>
      </c>
      <c r="U485" s="255">
        <v>390.0</v>
      </c>
    </row>
    <row r="486">
      <c r="A486" s="257">
        <v>45950.43619142361</v>
      </c>
      <c r="B486" s="258" t="s">
        <v>3498</v>
      </c>
      <c r="C486" s="259">
        <v>45950.0</v>
      </c>
      <c r="D486" s="255" t="s">
        <v>3499</v>
      </c>
      <c r="E486" s="255" t="s">
        <v>3500</v>
      </c>
      <c r="F486" s="255" t="s">
        <v>3501</v>
      </c>
      <c r="H486" s="255">
        <v>5000.0</v>
      </c>
      <c r="I486" s="255">
        <v>483.0</v>
      </c>
      <c r="K486" s="255" t="s">
        <v>2431</v>
      </c>
      <c r="L486" s="255" t="s">
        <v>3500</v>
      </c>
      <c r="M486" s="255" t="s">
        <v>202</v>
      </c>
      <c r="N486" s="255">
        <v>190000.0</v>
      </c>
      <c r="P486" s="255" t="s">
        <v>2208</v>
      </c>
      <c r="Q486" s="255">
        <v>2.0</v>
      </c>
      <c r="R486" s="259">
        <v>45950.0</v>
      </c>
      <c r="S486" s="260" t="s">
        <v>2231</v>
      </c>
      <c r="T486" s="259">
        <v>45955.0</v>
      </c>
      <c r="U486" s="255">
        <v>690.0</v>
      </c>
    </row>
    <row r="487">
      <c r="A487" s="257">
        <v>45951.17572516204</v>
      </c>
      <c r="B487" s="258" t="s">
        <v>3502</v>
      </c>
      <c r="C487" s="259">
        <v>45951.0</v>
      </c>
      <c r="H487" s="255">
        <v>20000.0</v>
      </c>
      <c r="I487" s="255">
        <v>1223.0</v>
      </c>
      <c r="K487" s="255" t="s">
        <v>2269</v>
      </c>
      <c r="L487" s="255" t="s">
        <v>2269</v>
      </c>
      <c r="M487" s="255" t="s">
        <v>483</v>
      </c>
      <c r="N487" s="255">
        <v>170000.0</v>
      </c>
      <c r="P487" s="255" t="s">
        <v>2208</v>
      </c>
      <c r="Q487" s="255">
        <v>2.0</v>
      </c>
      <c r="R487" s="259">
        <v>45961.0</v>
      </c>
      <c r="S487" s="260" t="s">
        <v>2231</v>
      </c>
      <c r="T487" s="259">
        <v>45982.0</v>
      </c>
      <c r="U487" s="255">
        <v>0.0</v>
      </c>
    </row>
    <row r="488">
      <c r="A488" s="257">
        <v>45951.176362893515</v>
      </c>
      <c r="B488" s="258" t="s">
        <v>3503</v>
      </c>
      <c r="C488" s="259">
        <v>45951.0</v>
      </c>
      <c r="H488" s="255">
        <v>20000.0</v>
      </c>
      <c r="I488" s="255">
        <v>1223.0</v>
      </c>
      <c r="K488" s="255" t="s">
        <v>2269</v>
      </c>
      <c r="L488" s="255" t="s">
        <v>2269</v>
      </c>
      <c r="M488" s="255" t="s">
        <v>916</v>
      </c>
      <c r="N488" s="255">
        <v>200000.0</v>
      </c>
      <c r="P488" s="255" t="s">
        <v>2208</v>
      </c>
      <c r="Q488" s="255">
        <v>2.0</v>
      </c>
      <c r="R488" s="259">
        <v>45961.0</v>
      </c>
      <c r="S488" s="260" t="s">
        <v>2221</v>
      </c>
      <c r="T488" s="259">
        <v>45982.0</v>
      </c>
      <c r="U488" s="255">
        <v>0.0</v>
      </c>
    </row>
    <row r="489">
      <c r="A489" s="257">
        <v>45951.177213483796</v>
      </c>
      <c r="B489" s="258" t="s">
        <v>3504</v>
      </c>
      <c r="C489" s="259">
        <v>45951.0</v>
      </c>
      <c r="H489" s="255">
        <v>20000.0</v>
      </c>
      <c r="I489" s="255">
        <v>1223.0</v>
      </c>
      <c r="K489" s="255" t="s">
        <v>2269</v>
      </c>
      <c r="L489" s="255" t="s">
        <v>2269</v>
      </c>
      <c r="M489" s="255" t="s">
        <v>102</v>
      </c>
      <c r="N489" s="255">
        <v>220000.0</v>
      </c>
      <c r="P489" s="255" t="s">
        <v>2208</v>
      </c>
      <c r="Q489" s="255">
        <v>2.0</v>
      </c>
      <c r="R489" s="259">
        <v>45961.0</v>
      </c>
      <c r="S489" s="260" t="s">
        <v>2235</v>
      </c>
      <c r="T489" s="259">
        <v>45982.0</v>
      </c>
      <c r="U489" s="255">
        <v>0.0</v>
      </c>
    </row>
    <row r="490">
      <c r="A490" s="257">
        <v>45951.178415393515</v>
      </c>
      <c r="B490" s="258" t="s">
        <v>3505</v>
      </c>
      <c r="C490" s="259">
        <v>45951.0</v>
      </c>
      <c r="H490" s="255">
        <v>3000.0</v>
      </c>
      <c r="J490" s="255">
        <v>6000.0</v>
      </c>
      <c r="K490" s="255" t="s">
        <v>2207</v>
      </c>
      <c r="L490" s="255" t="s">
        <v>2207</v>
      </c>
      <c r="M490" s="255" t="s">
        <v>106</v>
      </c>
      <c r="N490" s="255">
        <v>70000.0</v>
      </c>
      <c r="P490" s="255" t="s">
        <v>2208</v>
      </c>
      <c r="Q490" s="255">
        <v>2.0</v>
      </c>
      <c r="R490" s="259">
        <v>45951.0</v>
      </c>
      <c r="S490" s="260" t="s">
        <v>2221</v>
      </c>
      <c r="T490" s="259">
        <v>46133.0</v>
      </c>
      <c r="U490" s="255">
        <v>0.0</v>
      </c>
    </row>
    <row r="491">
      <c r="A491" s="257">
        <v>45951.182609247684</v>
      </c>
      <c r="B491" s="258" t="s">
        <v>3506</v>
      </c>
      <c r="C491" s="259">
        <v>45951.0</v>
      </c>
      <c r="E491" s="255" t="s">
        <v>3507</v>
      </c>
      <c r="F491" s="255">
        <v>7.985167101E10</v>
      </c>
      <c r="H491" s="255">
        <v>5000.0</v>
      </c>
      <c r="I491" s="255">
        <v>657.0</v>
      </c>
      <c r="K491" s="255" t="s">
        <v>3507</v>
      </c>
      <c r="L491" s="255" t="s">
        <v>3507</v>
      </c>
      <c r="M491" s="255" t="s">
        <v>941</v>
      </c>
      <c r="N491" s="255">
        <v>150000.0</v>
      </c>
      <c r="P491" s="255" t="s">
        <v>2208</v>
      </c>
      <c r="Q491" s="255">
        <v>0.0</v>
      </c>
      <c r="R491" s="259">
        <v>45956.0</v>
      </c>
      <c r="S491" s="260" t="s">
        <v>2330</v>
      </c>
      <c r="T491" s="259">
        <v>45963.0</v>
      </c>
      <c r="U491" s="255">
        <v>0.0</v>
      </c>
    </row>
    <row r="492">
      <c r="A492" s="257">
        <v>45951.56427107639</v>
      </c>
      <c r="B492" s="258" t="s">
        <v>3508</v>
      </c>
      <c r="C492" s="259">
        <v>45951.0</v>
      </c>
      <c r="D492" s="255" t="s">
        <v>3509</v>
      </c>
      <c r="E492" s="255" t="s">
        <v>3510</v>
      </c>
      <c r="F492" s="255" t="s">
        <v>3511</v>
      </c>
      <c r="H492" s="255">
        <v>15000.0</v>
      </c>
      <c r="J492" s="255">
        <v>9900.0</v>
      </c>
      <c r="K492" s="255" t="s">
        <v>3510</v>
      </c>
      <c r="L492" s="255" t="s">
        <v>3510</v>
      </c>
      <c r="M492" s="255" t="s">
        <v>461</v>
      </c>
      <c r="N492" s="255">
        <v>120000.0</v>
      </c>
      <c r="P492" s="255" t="s">
        <v>2208</v>
      </c>
      <c r="Q492" s="255">
        <v>1.0</v>
      </c>
      <c r="R492" s="259">
        <v>45951.0</v>
      </c>
      <c r="S492" s="260" t="s">
        <v>2330</v>
      </c>
      <c r="T492" s="259">
        <v>45982.0</v>
      </c>
      <c r="U492" s="255">
        <v>590.0</v>
      </c>
    </row>
    <row r="493">
      <c r="A493" s="257">
        <v>45953.86601966435</v>
      </c>
      <c r="B493" s="258" t="s">
        <v>3512</v>
      </c>
      <c r="C493" s="259">
        <v>45953.0</v>
      </c>
      <c r="D493" s="255" t="s">
        <v>3513</v>
      </c>
      <c r="E493" s="255" t="s">
        <v>3514</v>
      </c>
      <c r="F493" s="255" t="s">
        <v>3515</v>
      </c>
      <c r="H493" s="255">
        <v>5000.0</v>
      </c>
      <c r="K493" s="255" t="s">
        <v>3514</v>
      </c>
      <c r="L493" s="255" t="s">
        <v>3514</v>
      </c>
      <c r="M493" s="255" t="s">
        <v>971</v>
      </c>
      <c r="N493" s="255">
        <v>120000.0</v>
      </c>
      <c r="P493" s="255" t="s">
        <v>2208</v>
      </c>
      <c r="Q493" s="255">
        <v>0.0</v>
      </c>
      <c r="R493" s="259">
        <v>45954.0</v>
      </c>
      <c r="T493" s="259">
        <v>45969.0</v>
      </c>
      <c r="U493" s="255">
        <v>290.0</v>
      </c>
    </row>
    <row r="494">
      <c r="A494" s="257">
        <v>45953.86804120371</v>
      </c>
      <c r="B494" s="258" t="s">
        <v>3516</v>
      </c>
      <c r="C494" s="259">
        <v>45953.0</v>
      </c>
      <c r="D494" s="255" t="s">
        <v>3513</v>
      </c>
      <c r="E494" s="255" t="s">
        <v>3517</v>
      </c>
      <c r="F494" s="255" t="s">
        <v>3515</v>
      </c>
      <c r="H494" s="255">
        <v>5000.0</v>
      </c>
      <c r="I494" s="255">
        <v>798.0</v>
      </c>
      <c r="K494" s="255" t="s">
        <v>3517</v>
      </c>
      <c r="L494" s="255" t="s">
        <v>3517</v>
      </c>
      <c r="M494" s="255" t="s">
        <v>974</v>
      </c>
      <c r="N494" s="255">
        <v>120000.0</v>
      </c>
      <c r="P494" s="255" t="s">
        <v>2208</v>
      </c>
      <c r="Q494" s="255">
        <v>0.0</v>
      </c>
      <c r="R494" s="259">
        <v>45954.0</v>
      </c>
      <c r="S494" s="260" t="s">
        <v>2324</v>
      </c>
      <c r="T494" s="259">
        <v>45969.0</v>
      </c>
      <c r="U494" s="255">
        <v>290.0</v>
      </c>
    </row>
    <row r="495">
      <c r="A495" s="257">
        <v>45953.86911939815</v>
      </c>
      <c r="B495" s="258" t="s">
        <v>3518</v>
      </c>
      <c r="C495" s="259">
        <v>45953.0</v>
      </c>
      <c r="D495" s="255" t="s">
        <v>3513</v>
      </c>
      <c r="E495" s="255" t="s">
        <v>3517</v>
      </c>
      <c r="F495" s="255" t="s">
        <v>3515</v>
      </c>
      <c r="H495" s="255">
        <v>3000.0</v>
      </c>
      <c r="I495" s="255">
        <v>381.0</v>
      </c>
      <c r="K495" s="255" t="s">
        <v>3517</v>
      </c>
      <c r="L495" s="255" t="s">
        <v>3517</v>
      </c>
      <c r="M495" s="255" t="s">
        <v>68</v>
      </c>
      <c r="N495" s="255">
        <v>70000.0</v>
      </c>
      <c r="P495" s="255" t="s">
        <v>2208</v>
      </c>
      <c r="Q495" s="255">
        <v>0.0</v>
      </c>
      <c r="R495" s="259">
        <v>45954.0</v>
      </c>
      <c r="S495" s="260" t="s">
        <v>2324</v>
      </c>
      <c r="T495" s="259">
        <v>45969.0</v>
      </c>
      <c r="U495" s="255">
        <v>290.0</v>
      </c>
    </row>
    <row r="496">
      <c r="A496" s="257">
        <v>45954.16421737269</v>
      </c>
      <c r="B496" s="258" t="s">
        <v>3519</v>
      </c>
      <c r="C496" s="259">
        <v>45954.0</v>
      </c>
      <c r="E496" s="255" t="s">
        <v>3520</v>
      </c>
      <c r="F496" s="255" t="s">
        <v>3521</v>
      </c>
      <c r="H496" s="255">
        <v>5000.0</v>
      </c>
      <c r="I496" s="255">
        <v>742.0</v>
      </c>
      <c r="K496" s="255" t="s">
        <v>2207</v>
      </c>
      <c r="L496" s="255" t="s">
        <v>2207</v>
      </c>
      <c r="M496" s="255" t="s">
        <v>948</v>
      </c>
      <c r="N496" s="255">
        <v>150000.0</v>
      </c>
      <c r="P496" s="255" t="s">
        <v>2208</v>
      </c>
      <c r="Q496" s="255">
        <v>2.0</v>
      </c>
      <c r="R496" s="259">
        <v>45954.0</v>
      </c>
      <c r="S496" s="260" t="s">
        <v>2324</v>
      </c>
      <c r="T496" s="259">
        <v>45962.0</v>
      </c>
      <c r="U496" s="255">
        <v>0.0</v>
      </c>
    </row>
    <row r="497">
      <c r="A497" s="257">
        <v>45954.4423822338</v>
      </c>
      <c r="B497" s="258" t="s">
        <v>3522</v>
      </c>
      <c r="C497" s="259">
        <v>45954.0</v>
      </c>
      <c r="D497" s="255" t="s">
        <v>3523</v>
      </c>
      <c r="E497" s="255" t="s">
        <v>3524</v>
      </c>
      <c r="F497" s="255" t="s">
        <v>3523</v>
      </c>
      <c r="H497" s="255">
        <v>5000.0</v>
      </c>
      <c r="I497" s="255">
        <v>647.0</v>
      </c>
      <c r="K497" s="255" t="s">
        <v>3524</v>
      </c>
      <c r="L497" s="255" t="s">
        <v>3524</v>
      </c>
      <c r="M497" s="255" t="s">
        <v>92</v>
      </c>
      <c r="N497" s="255">
        <v>140000.0</v>
      </c>
      <c r="P497" s="255" t="s">
        <v>2208</v>
      </c>
      <c r="Q497" s="255">
        <v>1.0</v>
      </c>
      <c r="R497" s="259">
        <v>45954.0</v>
      </c>
      <c r="S497" s="260" t="s">
        <v>2324</v>
      </c>
      <c r="T497" s="259">
        <v>45964.0</v>
      </c>
    </row>
    <row r="498">
      <c r="A498" s="257">
        <v>45954.518418321764</v>
      </c>
      <c r="B498" s="258" t="s">
        <v>3525</v>
      </c>
      <c r="C498" s="259">
        <v>45954.0</v>
      </c>
      <c r="D498" s="255" t="s">
        <v>3523</v>
      </c>
      <c r="E498" s="255" t="s">
        <v>3524</v>
      </c>
      <c r="F498" s="255" t="s">
        <v>3523</v>
      </c>
      <c r="K498" s="255" t="s">
        <v>3524</v>
      </c>
      <c r="L498" s="255" t="s">
        <v>3524</v>
      </c>
      <c r="M498" s="255" t="s">
        <v>92</v>
      </c>
      <c r="N498" s="255">
        <v>140000.0</v>
      </c>
      <c r="P498" s="255" t="s">
        <v>2208</v>
      </c>
      <c r="Q498" s="255">
        <v>1.0</v>
      </c>
      <c r="R498" s="259">
        <v>45954.0</v>
      </c>
      <c r="S498" s="260" t="s">
        <v>2221</v>
      </c>
      <c r="T498" s="259">
        <v>45964.0</v>
      </c>
      <c r="U498" s="255">
        <v>290.0</v>
      </c>
    </row>
    <row r="499">
      <c r="A499" s="257">
        <v>45954.52877127315</v>
      </c>
      <c r="B499" s="258" t="s">
        <v>3526</v>
      </c>
      <c r="C499" s="259">
        <v>45954.0</v>
      </c>
      <c r="D499" s="255" t="s">
        <v>3521</v>
      </c>
      <c r="H499" s="255">
        <v>5000.0</v>
      </c>
      <c r="I499" s="255">
        <v>588.0</v>
      </c>
      <c r="K499" s="255" t="s">
        <v>2207</v>
      </c>
      <c r="L499" s="255" t="s">
        <v>2207</v>
      </c>
      <c r="M499" s="255" t="s">
        <v>960</v>
      </c>
      <c r="N499" s="255">
        <v>140000.0</v>
      </c>
      <c r="P499" s="255" t="s">
        <v>2208</v>
      </c>
      <c r="Q499" s="255">
        <v>3.0</v>
      </c>
      <c r="R499" s="259">
        <v>45954.0</v>
      </c>
      <c r="S499" s="260" t="s">
        <v>2235</v>
      </c>
      <c r="T499" s="259">
        <v>45962.0</v>
      </c>
      <c r="U499" s="255">
        <v>0.0</v>
      </c>
    </row>
    <row r="500">
      <c r="A500" s="257">
        <v>45954.54174390047</v>
      </c>
      <c r="B500" s="258" t="s">
        <v>3527</v>
      </c>
      <c r="C500" s="259">
        <v>45954.0</v>
      </c>
      <c r="D500" s="255" t="s">
        <v>3528</v>
      </c>
      <c r="E500" s="255" t="s">
        <v>3520</v>
      </c>
      <c r="F500" s="255" t="s">
        <v>3528</v>
      </c>
      <c r="H500" s="255">
        <v>5000.0</v>
      </c>
      <c r="I500" s="255">
        <v>588.0</v>
      </c>
      <c r="K500" s="255" t="s">
        <v>2207</v>
      </c>
      <c r="L500" s="255" t="s">
        <v>2207</v>
      </c>
      <c r="M500" s="255" t="s">
        <v>951</v>
      </c>
      <c r="N500" s="255">
        <v>140000.0</v>
      </c>
      <c r="P500" s="255" t="s">
        <v>2208</v>
      </c>
      <c r="Q500" s="255">
        <v>2.0</v>
      </c>
      <c r="R500" s="259">
        <v>45954.0</v>
      </c>
      <c r="S500" s="260" t="s">
        <v>2235</v>
      </c>
      <c r="T500" s="259">
        <v>45962.0</v>
      </c>
      <c r="U500" s="255">
        <v>0.0</v>
      </c>
    </row>
    <row r="501">
      <c r="A501" s="257">
        <v>45954.54988443287</v>
      </c>
      <c r="B501" s="258" t="s">
        <v>3529</v>
      </c>
      <c r="C501" s="259">
        <v>45954.0</v>
      </c>
      <c r="D501" s="255" t="s">
        <v>3530</v>
      </c>
      <c r="E501" s="255" t="s">
        <v>3520</v>
      </c>
      <c r="H501" s="255">
        <v>5000.0</v>
      </c>
      <c r="I501" s="255">
        <v>698.0</v>
      </c>
      <c r="K501" s="255" t="s">
        <v>2207</v>
      </c>
      <c r="L501" s="255" t="s">
        <v>2207</v>
      </c>
      <c r="M501" s="255" t="s">
        <v>951</v>
      </c>
      <c r="N501" s="255">
        <v>140000.0</v>
      </c>
      <c r="P501" s="255" t="s">
        <v>2208</v>
      </c>
      <c r="Q501" s="255">
        <v>2.0</v>
      </c>
      <c r="R501" s="259">
        <v>45954.0</v>
      </c>
      <c r="S501" s="260" t="s">
        <v>2235</v>
      </c>
      <c r="T501" s="259">
        <v>45962.0</v>
      </c>
      <c r="U501" s="255">
        <v>0.0</v>
      </c>
    </row>
    <row r="502">
      <c r="A502" s="257">
        <v>45954.552158645834</v>
      </c>
      <c r="B502" s="258" t="s">
        <v>3531</v>
      </c>
      <c r="C502" s="259">
        <v>45954.0</v>
      </c>
      <c r="D502" s="255" t="s">
        <v>3530</v>
      </c>
      <c r="E502" s="255" t="s">
        <v>3520</v>
      </c>
      <c r="H502" s="255">
        <v>5000.0</v>
      </c>
      <c r="I502" s="255">
        <v>698.0</v>
      </c>
      <c r="K502" s="255" t="s">
        <v>2207</v>
      </c>
      <c r="L502" s="255" t="s">
        <v>2207</v>
      </c>
      <c r="M502" s="255" t="s">
        <v>960</v>
      </c>
      <c r="N502" s="255">
        <v>140000.0</v>
      </c>
      <c r="P502" s="255" t="s">
        <v>2208</v>
      </c>
      <c r="Q502" s="255">
        <v>1.0</v>
      </c>
      <c r="R502" s="259">
        <v>45954.0</v>
      </c>
      <c r="S502" s="260" t="s">
        <v>2235</v>
      </c>
      <c r="T502" s="259">
        <v>45962.0</v>
      </c>
      <c r="U502" s="255">
        <v>0.0</v>
      </c>
    </row>
    <row r="503">
      <c r="A503" s="257">
        <v>45954.557261793976</v>
      </c>
      <c r="B503" s="258" t="s">
        <v>3532</v>
      </c>
      <c r="C503" s="259">
        <v>45954.0</v>
      </c>
      <c r="D503" s="255" t="s">
        <v>3523</v>
      </c>
      <c r="E503" s="255" t="s">
        <v>3524</v>
      </c>
      <c r="H503" s="255">
        <v>5000.0</v>
      </c>
      <c r="I503" s="255">
        <v>647.0</v>
      </c>
      <c r="K503" s="255" t="s">
        <v>3524</v>
      </c>
      <c r="L503" s="255" t="s">
        <v>3524</v>
      </c>
      <c r="M503" s="255" t="s">
        <v>92</v>
      </c>
      <c r="N503" s="255">
        <v>140000.0</v>
      </c>
      <c r="P503" s="255" t="s">
        <v>2208</v>
      </c>
      <c r="Q503" s="255">
        <v>1.0</v>
      </c>
      <c r="R503" s="259">
        <v>45954.0</v>
      </c>
      <c r="S503" s="260" t="s">
        <v>2221</v>
      </c>
      <c r="T503" s="259">
        <v>45964.0</v>
      </c>
      <c r="U503" s="255">
        <v>290.0</v>
      </c>
    </row>
    <row r="504">
      <c r="A504" s="257">
        <v>45957.976986608795</v>
      </c>
      <c r="B504" s="258" t="s">
        <v>3533</v>
      </c>
      <c r="C504" s="259">
        <v>45957.0</v>
      </c>
      <c r="D504" s="255" t="s">
        <v>3534</v>
      </c>
      <c r="E504" s="255" t="s">
        <v>3535</v>
      </c>
      <c r="F504" s="260" t="s">
        <v>3536</v>
      </c>
      <c r="H504" s="255">
        <v>20000.0</v>
      </c>
      <c r="I504" s="255">
        <v>2230.0</v>
      </c>
      <c r="K504" s="255" t="s">
        <v>2207</v>
      </c>
      <c r="L504" s="255" t="s">
        <v>2207</v>
      </c>
      <c r="M504" s="255" t="s">
        <v>914</v>
      </c>
      <c r="N504" s="255">
        <v>500000.0</v>
      </c>
      <c r="P504" s="255" t="s">
        <v>2208</v>
      </c>
      <c r="Q504" s="255">
        <v>2.0</v>
      </c>
      <c r="R504" s="259">
        <v>45957.0</v>
      </c>
      <c r="S504" s="260" t="s">
        <v>3126</v>
      </c>
      <c r="T504" s="259">
        <v>45962.0</v>
      </c>
      <c r="U504" s="255">
        <v>0.0</v>
      </c>
    </row>
    <row r="505">
      <c r="A505" s="257">
        <v>45958.544064456015</v>
      </c>
      <c r="B505" s="258" t="s">
        <v>3537</v>
      </c>
      <c r="C505" s="259">
        <v>45958.0</v>
      </c>
      <c r="D505" s="255" t="s">
        <v>3538</v>
      </c>
      <c r="E505" s="255" t="s">
        <v>3539</v>
      </c>
      <c r="F505" s="255" t="s">
        <v>3540</v>
      </c>
      <c r="H505" s="255">
        <v>7000.0</v>
      </c>
      <c r="I505" s="255">
        <v>409.0</v>
      </c>
      <c r="K505" s="255" t="s">
        <v>2269</v>
      </c>
      <c r="L505" s="255" t="s">
        <v>2269</v>
      </c>
      <c r="M505" s="255" t="s">
        <v>193</v>
      </c>
      <c r="N505" s="255">
        <v>120000.0</v>
      </c>
      <c r="P505" s="255" t="s">
        <v>2208</v>
      </c>
      <c r="Q505" s="255">
        <v>2.0</v>
      </c>
      <c r="R505" s="259">
        <v>45958.0</v>
      </c>
      <c r="S505" s="260" t="s">
        <v>2221</v>
      </c>
      <c r="T505" s="259">
        <v>45977.0</v>
      </c>
      <c r="U505" s="255">
        <v>0.0</v>
      </c>
    </row>
    <row r="506">
      <c r="A506" s="257">
        <v>45959.86437001158</v>
      </c>
      <c r="B506" s="258" t="s">
        <v>3541</v>
      </c>
      <c r="C506" s="259">
        <v>45959.0</v>
      </c>
      <c r="D506" s="255" t="s">
        <v>3542</v>
      </c>
      <c r="E506" s="255" t="s">
        <v>2474</v>
      </c>
      <c r="F506" s="255">
        <v>8.9199030506E10</v>
      </c>
      <c r="G506" s="255">
        <v>8.9828159793E10</v>
      </c>
      <c r="H506" s="255">
        <v>7000.0</v>
      </c>
      <c r="I506" s="255">
        <v>797.0</v>
      </c>
      <c r="K506" s="255" t="s">
        <v>2474</v>
      </c>
      <c r="L506" s="255" t="s">
        <v>2474</v>
      </c>
      <c r="M506" s="255" t="s">
        <v>948</v>
      </c>
      <c r="N506" s="255">
        <v>150000.0</v>
      </c>
      <c r="P506" s="255" t="s">
        <v>2208</v>
      </c>
      <c r="Q506" s="255">
        <v>2.0</v>
      </c>
      <c r="R506" s="259">
        <v>45975.0</v>
      </c>
      <c r="S506" s="260" t="s">
        <v>2330</v>
      </c>
      <c r="T506" s="259">
        <v>45982.0</v>
      </c>
      <c r="U506" s="255">
        <v>290.0</v>
      </c>
    </row>
    <row r="507">
      <c r="A507" s="257">
        <v>45964.40762355324</v>
      </c>
      <c r="B507" s="258" t="s">
        <v>3543</v>
      </c>
      <c r="C507" s="259">
        <v>45964.0</v>
      </c>
      <c r="E507" s="255" t="s">
        <v>3544</v>
      </c>
      <c r="F507" s="255" t="s">
        <v>3545</v>
      </c>
      <c r="H507" s="255">
        <v>5000.0</v>
      </c>
      <c r="I507" s="255">
        <v>637.0</v>
      </c>
      <c r="K507" s="255" t="s">
        <v>3544</v>
      </c>
      <c r="L507" s="255" t="s">
        <v>3544</v>
      </c>
      <c r="M507" s="255" t="s">
        <v>202</v>
      </c>
      <c r="N507" s="255">
        <v>180000.0</v>
      </c>
      <c r="P507" s="255" t="s">
        <v>2208</v>
      </c>
      <c r="Q507" s="255">
        <v>2.0</v>
      </c>
      <c r="R507" s="259">
        <v>46047.0</v>
      </c>
      <c r="S507" s="260" t="s">
        <v>2235</v>
      </c>
      <c r="T507" s="259">
        <v>46058.0</v>
      </c>
      <c r="U507" s="255">
        <v>290.0</v>
      </c>
    </row>
    <row r="508">
      <c r="A508" s="257">
        <v>45965.48689190972</v>
      </c>
      <c r="B508" s="258" t="s">
        <v>3546</v>
      </c>
      <c r="C508" s="259">
        <v>45965.0</v>
      </c>
      <c r="E508" s="255" t="s">
        <v>3547</v>
      </c>
      <c r="F508" s="255">
        <v>8.9295607977E10</v>
      </c>
      <c r="G508" s="255" t="s">
        <v>3548</v>
      </c>
      <c r="H508" s="255">
        <v>3000.0</v>
      </c>
      <c r="I508" s="255">
        <v>359.0</v>
      </c>
      <c r="K508" s="255" t="s">
        <v>3547</v>
      </c>
      <c r="L508" s="255" t="s">
        <v>3547</v>
      </c>
      <c r="M508" s="255" t="s">
        <v>56</v>
      </c>
      <c r="N508" s="255">
        <v>80000.0</v>
      </c>
      <c r="P508" s="255" t="s">
        <v>2208</v>
      </c>
      <c r="Q508" s="255">
        <v>2.0</v>
      </c>
      <c r="R508" s="259">
        <v>45965.0</v>
      </c>
      <c r="S508" s="260" t="s">
        <v>2235</v>
      </c>
      <c r="T508" s="259">
        <v>45970.0</v>
      </c>
      <c r="U508" s="255">
        <v>290.0</v>
      </c>
    </row>
    <row r="509">
      <c r="A509" s="257">
        <v>45971.536313206016</v>
      </c>
      <c r="B509" s="258" t="s">
        <v>3549</v>
      </c>
      <c r="C509" s="259">
        <v>45971.0</v>
      </c>
      <c r="E509" s="255" t="s">
        <v>3550</v>
      </c>
      <c r="F509" s="255">
        <v>8.9220000494E10</v>
      </c>
      <c r="H509" s="255">
        <v>5000.0</v>
      </c>
      <c r="I509" s="255">
        <v>845.0</v>
      </c>
      <c r="K509" s="255" t="s">
        <v>2269</v>
      </c>
      <c r="L509" s="255" t="s">
        <v>2269</v>
      </c>
      <c r="M509" s="255" t="s">
        <v>951</v>
      </c>
      <c r="N509" s="255">
        <v>180000.0</v>
      </c>
      <c r="P509" s="255" t="s">
        <v>2208</v>
      </c>
      <c r="Q509" s="255">
        <v>2.0</v>
      </c>
      <c r="R509" s="259">
        <v>45971.0</v>
      </c>
      <c r="S509" s="260" t="s">
        <v>2330</v>
      </c>
      <c r="T509" s="259">
        <v>45974.0</v>
      </c>
      <c r="U509" s="255">
        <v>0.0</v>
      </c>
    </row>
    <row r="510">
      <c r="A510" s="257">
        <v>45971.66853108796</v>
      </c>
      <c r="B510" s="258" t="s">
        <v>3551</v>
      </c>
      <c r="C510" s="259">
        <v>45971.0</v>
      </c>
      <c r="E510" s="255" t="s">
        <v>3552</v>
      </c>
      <c r="F510" s="255">
        <v>8.9773618141E10</v>
      </c>
      <c r="H510" s="255">
        <v>3000.0</v>
      </c>
      <c r="I510" s="255">
        <v>368.0</v>
      </c>
      <c r="K510" s="255" t="s">
        <v>2269</v>
      </c>
      <c r="L510" s="255" t="s">
        <v>2269</v>
      </c>
      <c r="M510" s="255" t="s">
        <v>77</v>
      </c>
      <c r="N510" s="255">
        <v>80000.0</v>
      </c>
      <c r="P510" s="255" t="s">
        <v>2208</v>
      </c>
      <c r="Q510" s="255">
        <v>2.0</v>
      </c>
      <c r="R510" s="259">
        <v>45971.0</v>
      </c>
      <c r="S510" s="260" t="s">
        <v>2231</v>
      </c>
      <c r="T510" s="259">
        <v>45981.0</v>
      </c>
      <c r="U510" s="255">
        <v>0.0</v>
      </c>
    </row>
    <row r="511">
      <c r="A511" s="257">
        <v>45972.428662199076</v>
      </c>
      <c r="B511" s="258" t="s">
        <v>3553</v>
      </c>
      <c r="C511" s="259">
        <v>45972.0</v>
      </c>
      <c r="E511" s="255" t="s">
        <v>3554</v>
      </c>
      <c r="F511" s="255" t="s">
        <v>3227</v>
      </c>
      <c r="H511" s="255">
        <v>20000.0</v>
      </c>
      <c r="I511" s="255">
        <v>1067.0</v>
      </c>
      <c r="K511" s="255" t="s">
        <v>3554</v>
      </c>
      <c r="L511" s="255" t="s">
        <v>3554</v>
      </c>
      <c r="M511" s="255" t="s">
        <v>438</v>
      </c>
      <c r="N511" s="255">
        <v>140000.0</v>
      </c>
      <c r="P511" s="255" t="s">
        <v>2208</v>
      </c>
      <c r="Q511" s="255">
        <v>2.0</v>
      </c>
      <c r="R511" s="259">
        <v>45972.0</v>
      </c>
      <c r="S511" s="260" t="s">
        <v>2324</v>
      </c>
      <c r="T511" s="259">
        <v>45978.0</v>
      </c>
      <c r="U511" s="255">
        <v>290.0</v>
      </c>
    </row>
    <row r="512">
      <c r="A512" s="257">
        <v>45972.55464638889</v>
      </c>
      <c r="B512" s="258" t="s">
        <v>3555</v>
      </c>
      <c r="C512" s="259">
        <v>45972.0</v>
      </c>
      <c r="E512" s="255" t="s">
        <v>3556</v>
      </c>
      <c r="F512" s="255">
        <v>8.9773618141E10</v>
      </c>
      <c r="H512" s="255">
        <v>3000.0</v>
      </c>
      <c r="I512" s="255">
        <v>368.0</v>
      </c>
      <c r="K512" s="255" t="s">
        <v>3556</v>
      </c>
      <c r="L512" s="255" t="s">
        <v>3556</v>
      </c>
      <c r="M512" s="255" t="s">
        <v>77</v>
      </c>
      <c r="N512" s="255">
        <v>70000.0</v>
      </c>
      <c r="P512" s="255" t="s">
        <v>2208</v>
      </c>
      <c r="Q512" s="255">
        <v>1.0</v>
      </c>
      <c r="R512" s="259">
        <v>45972.0</v>
      </c>
      <c r="S512" s="260" t="s">
        <v>2330</v>
      </c>
      <c r="T512" s="259">
        <v>45981.0</v>
      </c>
      <c r="U512" s="255">
        <v>290.0</v>
      </c>
    </row>
    <row r="513">
      <c r="A513" s="257">
        <v>45972.57055377315</v>
      </c>
      <c r="B513" s="258" t="s">
        <v>3557</v>
      </c>
      <c r="C513" s="259">
        <v>45972.0</v>
      </c>
      <c r="E513" s="255" t="s">
        <v>3004</v>
      </c>
      <c r="H513" s="255">
        <v>5000.0</v>
      </c>
      <c r="I513" s="255">
        <v>898.0</v>
      </c>
      <c r="K513" s="255" t="s">
        <v>3558</v>
      </c>
      <c r="L513" s="255" t="s">
        <v>3558</v>
      </c>
      <c r="M513" s="255" t="s">
        <v>941</v>
      </c>
      <c r="N513" s="255">
        <v>180000.0</v>
      </c>
      <c r="P513" s="255" t="s">
        <v>2208</v>
      </c>
      <c r="Q513" s="255">
        <v>2.0</v>
      </c>
      <c r="R513" s="259">
        <v>45972.0</v>
      </c>
      <c r="S513" s="260" t="s">
        <v>2231</v>
      </c>
      <c r="T513" s="259">
        <v>45977.0</v>
      </c>
      <c r="U513" s="255">
        <v>390.0</v>
      </c>
    </row>
    <row r="514">
      <c r="A514" s="257">
        <v>45972.57262479167</v>
      </c>
      <c r="B514" s="258" t="s">
        <v>3559</v>
      </c>
      <c r="C514" s="259">
        <v>45972.0</v>
      </c>
      <c r="E514" s="255" t="s">
        <v>3558</v>
      </c>
      <c r="H514" s="255">
        <v>5000.0</v>
      </c>
      <c r="I514" s="255">
        <v>898.0</v>
      </c>
      <c r="K514" s="255" t="s">
        <v>3558</v>
      </c>
      <c r="L514" s="255" t="s">
        <v>3558</v>
      </c>
      <c r="M514" s="255" t="s">
        <v>941</v>
      </c>
      <c r="N514" s="255">
        <v>180000.0</v>
      </c>
      <c r="P514" s="255" t="s">
        <v>2208</v>
      </c>
      <c r="Q514" s="255">
        <v>2.0</v>
      </c>
      <c r="R514" s="259">
        <v>45972.0</v>
      </c>
      <c r="S514" s="260" t="s">
        <v>2231</v>
      </c>
      <c r="T514" s="259">
        <v>45977.0</v>
      </c>
      <c r="U514" s="255">
        <v>390.0</v>
      </c>
    </row>
    <row r="515">
      <c r="A515" s="257">
        <v>45973.32130443287</v>
      </c>
      <c r="B515" s="258" t="s">
        <v>3560</v>
      </c>
      <c r="C515" s="259">
        <v>45973.0</v>
      </c>
      <c r="E515" s="255" t="s">
        <v>3561</v>
      </c>
      <c r="F515" s="255">
        <v>8.9381122681E10</v>
      </c>
      <c r="H515" s="255">
        <v>3000.0</v>
      </c>
      <c r="I515" s="255">
        <v>364.0</v>
      </c>
      <c r="K515" s="255" t="s">
        <v>3561</v>
      </c>
      <c r="L515" s="255" t="s">
        <v>3561</v>
      </c>
      <c r="M515" s="255" t="s">
        <v>151</v>
      </c>
      <c r="P515" s="255" t="s">
        <v>2208</v>
      </c>
      <c r="Q515" s="255">
        <v>2.0</v>
      </c>
      <c r="R515" s="259">
        <v>45977.0</v>
      </c>
      <c r="S515" s="260" t="s">
        <v>2330</v>
      </c>
      <c r="T515" s="259">
        <v>45988.0</v>
      </c>
      <c r="U515" s="255">
        <v>690.0</v>
      </c>
    </row>
    <row r="516">
      <c r="A516" s="257">
        <v>45973.33325494213</v>
      </c>
      <c r="B516" s="258" t="s">
        <v>3562</v>
      </c>
      <c r="C516" s="259">
        <v>45973.0</v>
      </c>
      <c r="D516" s="255" t="s">
        <v>3563</v>
      </c>
      <c r="E516" s="255" t="s">
        <v>3564</v>
      </c>
      <c r="H516" s="255">
        <v>3000.0</v>
      </c>
      <c r="I516" s="255">
        <v>314.0</v>
      </c>
      <c r="K516" s="255" t="s">
        <v>3565</v>
      </c>
      <c r="L516" s="255" t="s">
        <v>3565</v>
      </c>
      <c r="M516" s="255" t="s">
        <v>106</v>
      </c>
      <c r="P516" s="255" t="s">
        <v>2208</v>
      </c>
      <c r="Q516" s="255">
        <v>1.0</v>
      </c>
      <c r="R516" s="259">
        <v>45974.0</v>
      </c>
      <c r="S516" s="260" t="s">
        <v>2330</v>
      </c>
      <c r="T516" s="259">
        <v>45992.0</v>
      </c>
      <c r="U516" s="255">
        <v>290.0</v>
      </c>
    </row>
    <row r="517">
      <c r="A517" s="257">
        <v>45973.834029375</v>
      </c>
      <c r="B517" s="258" t="s">
        <v>3566</v>
      </c>
      <c r="C517" s="259">
        <v>45973.0</v>
      </c>
      <c r="D517" s="255" t="s">
        <v>3567</v>
      </c>
      <c r="E517" s="255" t="s">
        <v>3568</v>
      </c>
      <c r="F517" s="255">
        <v>8.9673473556E10</v>
      </c>
      <c r="H517" s="255">
        <v>5000.0</v>
      </c>
      <c r="K517" s="255" t="s">
        <v>3568</v>
      </c>
      <c r="L517" s="255" t="s">
        <v>3568</v>
      </c>
      <c r="M517" s="255" t="s">
        <v>948</v>
      </c>
      <c r="P517" s="255" t="s">
        <v>2208</v>
      </c>
      <c r="Q517" s="255">
        <v>2.0</v>
      </c>
      <c r="R517" s="259">
        <v>46017.0</v>
      </c>
      <c r="S517" s="260" t="s">
        <v>2235</v>
      </c>
      <c r="T517" s="259">
        <v>46029.0</v>
      </c>
      <c r="U517" s="255">
        <v>290.0</v>
      </c>
    </row>
    <row r="518">
      <c r="A518" s="257">
        <v>45974.251139201384</v>
      </c>
      <c r="B518" s="258" t="s">
        <v>3569</v>
      </c>
      <c r="C518" s="259">
        <v>45974.0</v>
      </c>
      <c r="E518" s="255" t="s">
        <v>3570</v>
      </c>
      <c r="F518" s="255" t="s">
        <v>3571</v>
      </c>
      <c r="H518" s="255">
        <v>3000.0</v>
      </c>
      <c r="I518" s="255">
        <v>368.0</v>
      </c>
      <c r="K518" s="255" t="s">
        <v>3570</v>
      </c>
      <c r="L518" s="255" t="s">
        <v>3570</v>
      </c>
      <c r="M518" s="255" t="s">
        <v>68</v>
      </c>
      <c r="N518" s="255">
        <v>70000.0</v>
      </c>
      <c r="P518" s="255" t="s">
        <v>2208</v>
      </c>
      <c r="Q518" s="255">
        <v>2.0</v>
      </c>
      <c r="R518" s="259">
        <v>45974.0</v>
      </c>
      <c r="S518" s="260" t="s">
        <v>2324</v>
      </c>
      <c r="T518" s="259">
        <v>45984.0</v>
      </c>
      <c r="U518" s="255">
        <v>290.0</v>
      </c>
    </row>
    <row r="519">
      <c r="A519" s="257">
        <v>45975.30491061343</v>
      </c>
      <c r="B519" s="258" t="s">
        <v>3572</v>
      </c>
      <c r="C519" s="259">
        <v>45975.0</v>
      </c>
      <c r="D519" s="255" t="s">
        <v>3573</v>
      </c>
      <c r="E519" s="255" t="s">
        <v>3574</v>
      </c>
      <c r="F519" s="255" t="s">
        <v>3575</v>
      </c>
      <c r="H519" s="255">
        <v>15000.0</v>
      </c>
      <c r="I519" s="255">
        <v>981.0</v>
      </c>
      <c r="K519" s="255" t="s">
        <v>2207</v>
      </c>
      <c r="L519" s="255" t="s">
        <v>2207</v>
      </c>
      <c r="M519" s="255" t="s">
        <v>468</v>
      </c>
      <c r="N519" s="255">
        <v>200000.0</v>
      </c>
      <c r="P519" s="255" t="s">
        <v>2208</v>
      </c>
      <c r="Q519" s="255">
        <v>2.0</v>
      </c>
      <c r="R519" s="259">
        <v>45975.0</v>
      </c>
      <c r="S519" s="260" t="s">
        <v>2265</v>
      </c>
      <c r="T519" s="259">
        <v>45978.0</v>
      </c>
      <c r="U519" s="255">
        <v>0.0</v>
      </c>
    </row>
    <row r="520">
      <c r="A520" s="257">
        <v>45976.46096039352</v>
      </c>
      <c r="B520" s="258" t="s">
        <v>3576</v>
      </c>
      <c r="C520" s="259">
        <v>45976.0</v>
      </c>
      <c r="E520" s="255" t="s">
        <v>3577</v>
      </c>
      <c r="F520" s="255" t="s">
        <v>3578</v>
      </c>
      <c r="H520" s="255" t="s">
        <v>912</v>
      </c>
      <c r="I520" s="255">
        <v>323.0</v>
      </c>
      <c r="K520" s="255" t="s">
        <v>3579</v>
      </c>
      <c r="L520" s="255" t="s">
        <v>3579</v>
      </c>
      <c r="M520" s="255" t="s">
        <v>151</v>
      </c>
      <c r="P520" s="255" t="s">
        <v>2208</v>
      </c>
      <c r="Q520" s="255">
        <v>2.0</v>
      </c>
      <c r="R520" s="259">
        <v>45976.0</v>
      </c>
      <c r="S520" s="260" t="s">
        <v>2330</v>
      </c>
      <c r="T520" s="259">
        <v>45992.0</v>
      </c>
      <c r="U520" s="255">
        <v>490.0</v>
      </c>
    </row>
    <row r="521">
      <c r="A521" s="257">
        <v>45976.46882711806</v>
      </c>
      <c r="B521" s="258" t="s">
        <v>3580</v>
      </c>
      <c r="C521" s="259">
        <v>45976.0</v>
      </c>
      <c r="D521" s="255" t="s">
        <v>3581</v>
      </c>
      <c r="E521" s="255" t="s">
        <v>2474</v>
      </c>
      <c r="F521" s="255">
        <v>8.9178728354E10</v>
      </c>
      <c r="H521" s="255">
        <v>7000.0</v>
      </c>
      <c r="I521" s="255">
        <v>531.0</v>
      </c>
      <c r="K521" s="255" t="s">
        <v>2269</v>
      </c>
      <c r="L521" s="255" t="s">
        <v>2269</v>
      </c>
      <c r="M521" s="255" t="s">
        <v>173</v>
      </c>
      <c r="P521" s="255" t="s">
        <v>2208</v>
      </c>
      <c r="Q521" s="255">
        <v>2.0</v>
      </c>
      <c r="R521" s="259">
        <v>45976.0</v>
      </c>
      <c r="S521" s="260" t="s">
        <v>2265</v>
      </c>
      <c r="T521" s="259">
        <v>45979.0</v>
      </c>
      <c r="U521" s="255">
        <v>0.0</v>
      </c>
    </row>
    <row r="522">
      <c r="A522" s="257">
        <v>45976.609499375</v>
      </c>
      <c r="B522" s="258" t="s">
        <v>3582</v>
      </c>
      <c r="C522" s="259">
        <v>45976.0</v>
      </c>
      <c r="D522" s="255" t="s">
        <v>3583</v>
      </c>
      <c r="E522" s="255" t="s">
        <v>3584</v>
      </c>
      <c r="F522" s="255">
        <v>8.9151148877E10</v>
      </c>
      <c r="G522" s="255">
        <v>8.9168698944E10</v>
      </c>
      <c r="H522" s="255">
        <v>3000.0</v>
      </c>
      <c r="I522" s="255">
        <v>380.0</v>
      </c>
      <c r="K522" s="255" t="s">
        <v>3584</v>
      </c>
      <c r="L522" s="255" t="s">
        <v>3584</v>
      </c>
      <c r="N522" s="255">
        <v>90000.0</v>
      </c>
      <c r="P522" s="255" t="s">
        <v>2208</v>
      </c>
      <c r="Q522" s="255">
        <v>2.0</v>
      </c>
      <c r="R522" s="259">
        <v>45976.0</v>
      </c>
      <c r="S522" s="260" t="s">
        <v>2235</v>
      </c>
      <c r="T522" s="259">
        <v>45983.0</v>
      </c>
      <c r="U522" s="255">
        <v>590.0</v>
      </c>
    </row>
    <row r="523">
      <c r="A523" s="257">
        <v>45977.43777724537</v>
      </c>
      <c r="B523" s="258" t="s">
        <v>3585</v>
      </c>
      <c r="C523" s="259">
        <v>45977.0</v>
      </c>
      <c r="E523" s="255" t="s">
        <v>3558</v>
      </c>
      <c r="I523" s="255">
        <v>2250.0</v>
      </c>
      <c r="K523" s="255" t="s">
        <v>3558</v>
      </c>
      <c r="L523" s="255" t="s">
        <v>3558</v>
      </c>
      <c r="M523" s="255" t="s">
        <v>914</v>
      </c>
      <c r="N523" s="255">
        <v>180000.0</v>
      </c>
      <c r="P523" s="255" t="s">
        <v>2208</v>
      </c>
      <c r="Q523" s="255">
        <v>2.0</v>
      </c>
      <c r="R523" s="259">
        <v>45977.0</v>
      </c>
      <c r="S523" s="260" t="s">
        <v>2231</v>
      </c>
      <c r="T523" s="259">
        <v>45982.0</v>
      </c>
      <c r="U523" s="255">
        <v>0.0</v>
      </c>
    </row>
    <row r="524">
      <c r="A524" s="257">
        <v>45977.44017887731</v>
      </c>
      <c r="B524" s="258" t="s">
        <v>3586</v>
      </c>
      <c r="C524" s="259">
        <v>45977.0</v>
      </c>
      <c r="E524" s="255" t="s">
        <v>3558</v>
      </c>
      <c r="H524" s="255">
        <v>25000.0</v>
      </c>
      <c r="I524" s="255">
        <v>2250.0</v>
      </c>
      <c r="K524" s="255" t="s">
        <v>3558</v>
      </c>
      <c r="L524" s="255" t="s">
        <v>3558</v>
      </c>
      <c r="M524" s="255" t="s">
        <v>914</v>
      </c>
      <c r="N524" s="255">
        <v>180000.0</v>
      </c>
      <c r="P524" s="255" t="s">
        <v>2208</v>
      </c>
      <c r="Q524" s="255">
        <v>2.0</v>
      </c>
      <c r="R524" s="259">
        <v>45977.0</v>
      </c>
      <c r="S524" s="260" t="s">
        <v>2231</v>
      </c>
      <c r="T524" s="259">
        <v>45982.0</v>
      </c>
      <c r="U524" s="255">
        <v>0.0</v>
      </c>
    </row>
    <row r="525">
      <c r="A525" s="257">
        <v>45977.44248041666</v>
      </c>
      <c r="B525" s="258" t="s">
        <v>3587</v>
      </c>
      <c r="E525" s="255" t="s">
        <v>3004</v>
      </c>
      <c r="H525" s="255">
        <v>25000.0</v>
      </c>
      <c r="I525" s="255">
        <v>2250.0</v>
      </c>
      <c r="K525" s="255" t="s">
        <v>3004</v>
      </c>
      <c r="L525" s="255" t="s">
        <v>3004</v>
      </c>
      <c r="M525" s="255" t="s">
        <v>967</v>
      </c>
      <c r="N525" s="255">
        <v>180000.0</v>
      </c>
      <c r="P525" s="255" t="s">
        <v>2208</v>
      </c>
      <c r="Q525" s="255">
        <v>2.0</v>
      </c>
      <c r="R525" s="259">
        <v>45977.0</v>
      </c>
      <c r="S525" s="260" t="s">
        <v>2231</v>
      </c>
      <c r="T525" s="259">
        <v>45982.0</v>
      </c>
      <c r="U525" s="255">
        <v>0.0</v>
      </c>
    </row>
    <row r="526">
      <c r="A526" s="257">
        <v>45977.698985069444</v>
      </c>
      <c r="B526" s="258" t="s">
        <v>3588</v>
      </c>
      <c r="C526" s="259">
        <v>45977.0</v>
      </c>
      <c r="E526" s="255" t="s">
        <v>3589</v>
      </c>
      <c r="F526" s="255">
        <v>8.90861377E10</v>
      </c>
      <c r="H526" s="255" t="s">
        <v>912</v>
      </c>
      <c r="I526" s="255">
        <v>372.0</v>
      </c>
      <c r="K526" s="255" t="s">
        <v>3589</v>
      </c>
      <c r="L526" s="255" t="s">
        <v>3589</v>
      </c>
      <c r="N526" s="255">
        <v>90000.0</v>
      </c>
      <c r="P526" s="255" t="s">
        <v>2208</v>
      </c>
      <c r="Q526" s="255">
        <v>2.0</v>
      </c>
      <c r="R526" s="259">
        <v>45977.0</v>
      </c>
      <c r="S526" s="260" t="s">
        <v>2246</v>
      </c>
      <c r="T526" s="259">
        <v>45986.0</v>
      </c>
      <c r="U526" s="255">
        <v>290.0</v>
      </c>
    </row>
    <row r="527">
      <c r="A527" s="257">
        <v>45978.63050356481</v>
      </c>
      <c r="B527" s="258" t="s">
        <v>3590</v>
      </c>
      <c r="C527" s="259">
        <v>45978.0</v>
      </c>
      <c r="E527" s="255" t="s">
        <v>3591</v>
      </c>
      <c r="F527" s="255" t="s">
        <v>3592</v>
      </c>
      <c r="G527" s="260" t="s">
        <v>3593</v>
      </c>
      <c r="H527" s="255">
        <v>3000.0</v>
      </c>
      <c r="I527" s="255">
        <v>331.0</v>
      </c>
      <c r="K527" s="255" t="s">
        <v>2269</v>
      </c>
      <c r="L527" s="255" t="s">
        <v>2269</v>
      </c>
      <c r="M527" s="255" t="s">
        <v>98</v>
      </c>
      <c r="N527" s="255">
        <v>70000.0</v>
      </c>
      <c r="P527" s="255" t="s">
        <v>2208</v>
      </c>
      <c r="Q527" s="255">
        <v>1.0</v>
      </c>
      <c r="R527" s="259">
        <v>45978.0</v>
      </c>
      <c r="S527" s="260" t="s">
        <v>2231</v>
      </c>
      <c r="T527" s="259">
        <v>45992.0</v>
      </c>
      <c r="U527" s="255">
        <v>0.0</v>
      </c>
    </row>
    <row r="528">
      <c r="A528" s="257">
        <v>45979.555620706014</v>
      </c>
      <c r="B528" s="258" t="s">
        <v>3594</v>
      </c>
      <c r="C528" s="259">
        <v>45979.0</v>
      </c>
      <c r="E528" s="255" t="s">
        <v>3589</v>
      </c>
      <c r="H528" s="255">
        <v>3000.0</v>
      </c>
      <c r="I528" s="255">
        <v>404.0</v>
      </c>
      <c r="K528" s="255" t="s">
        <v>3589</v>
      </c>
      <c r="L528" s="255" t="s">
        <v>3589</v>
      </c>
      <c r="M528" s="255" t="s">
        <v>98</v>
      </c>
      <c r="N528" s="255">
        <v>70000.0</v>
      </c>
      <c r="P528" s="255" t="s">
        <v>2208</v>
      </c>
      <c r="Q528" s="255">
        <v>2.0</v>
      </c>
      <c r="R528" s="259">
        <v>45979.0</v>
      </c>
      <c r="S528" s="260" t="s">
        <v>2235</v>
      </c>
      <c r="T528" s="259">
        <v>45984.0</v>
      </c>
      <c r="U528" s="255">
        <v>290.0</v>
      </c>
    </row>
    <row r="529">
      <c r="A529" s="257">
        <v>45982.28856244213</v>
      </c>
      <c r="B529" s="258" t="s">
        <v>3595</v>
      </c>
      <c r="C529" s="259">
        <v>45982.0</v>
      </c>
      <c r="E529" s="255" t="s">
        <v>3596</v>
      </c>
      <c r="H529" s="255">
        <v>20000.0</v>
      </c>
      <c r="I529" s="255">
        <v>1464.0</v>
      </c>
      <c r="K529" s="255" t="s">
        <v>3596</v>
      </c>
      <c r="L529" s="255" t="s">
        <v>3596</v>
      </c>
      <c r="M529" s="255" t="s">
        <v>102</v>
      </c>
      <c r="N529" s="255">
        <v>400000.0</v>
      </c>
      <c r="P529" s="255" t="s">
        <v>2208</v>
      </c>
      <c r="Q529" s="255">
        <v>2.0</v>
      </c>
      <c r="R529" s="259">
        <v>46025.0</v>
      </c>
      <c r="S529" s="260" t="s">
        <v>2221</v>
      </c>
      <c r="T529" s="259">
        <v>46043.0</v>
      </c>
      <c r="U529" s="255">
        <v>390.0</v>
      </c>
    </row>
    <row r="530">
      <c r="A530" s="257">
        <v>45983.33077891204</v>
      </c>
      <c r="B530" s="258" t="s">
        <v>3597</v>
      </c>
      <c r="C530" s="259">
        <v>45983.0</v>
      </c>
      <c r="E530" s="255" t="s">
        <v>3598</v>
      </c>
      <c r="F530" s="255" t="s">
        <v>3599</v>
      </c>
      <c r="H530" s="255">
        <v>7000.0</v>
      </c>
      <c r="I530" s="255">
        <v>898.0</v>
      </c>
      <c r="K530" s="255" t="s">
        <v>3598</v>
      </c>
      <c r="L530" s="255" t="s">
        <v>3598</v>
      </c>
      <c r="M530" s="255" t="s">
        <v>979</v>
      </c>
      <c r="N530" s="255">
        <v>150000.0</v>
      </c>
      <c r="P530" s="255" t="s">
        <v>2208</v>
      </c>
      <c r="Q530" s="255">
        <v>2.0</v>
      </c>
      <c r="R530" s="259">
        <v>45983.0</v>
      </c>
      <c r="S530" s="260" t="s">
        <v>2330</v>
      </c>
      <c r="T530" s="259">
        <v>45988.0</v>
      </c>
      <c r="U530" s="255">
        <v>290.0</v>
      </c>
    </row>
    <row r="531">
      <c r="A531" s="257">
        <v>45983.332328495366</v>
      </c>
      <c r="B531" s="258" t="s">
        <v>3600</v>
      </c>
      <c r="C531" s="259">
        <v>45983.0</v>
      </c>
      <c r="E531" s="255" t="s">
        <v>3598</v>
      </c>
      <c r="F531" s="255" t="s">
        <v>3599</v>
      </c>
      <c r="H531" s="255">
        <v>7000.0</v>
      </c>
      <c r="I531" s="255">
        <v>898.0</v>
      </c>
      <c r="K531" s="255" t="s">
        <v>3598</v>
      </c>
      <c r="L531" s="255" t="s">
        <v>3598</v>
      </c>
      <c r="M531" s="255" t="s">
        <v>981</v>
      </c>
      <c r="N531" s="255">
        <v>150000.0</v>
      </c>
      <c r="P531" s="255" t="s">
        <v>2208</v>
      </c>
      <c r="Q531" s="255">
        <v>2.0</v>
      </c>
      <c r="R531" s="259">
        <v>45983.0</v>
      </c>
      <c r="S531" s="260" t="s">
        <v>2330</v>
      </c>
      <c r="T531" s="259">
        <v>45988.0</v>
      </c>
      <c r="U531" s="255">
        <v>290.0</v>
      </c>
    </row>
    <row r="532">
      <c r="A532" s="257">
        <v>45984.31850814815</v>
      </c>
      <c r="B532" s="258" t="s">
        <v>3601</v>
      </c>
      <c r="C532" s="259">
        <v>45984.0</v>
      </c>
      <c r="D532" s="255" t="s">
        <v>3602</v>
      </c>
      <c r="E532" s="255" t="s">
        <v>3603</v>
      </c>
      <c r="F532" s="255">
        <v>8.920959369E10</v>
      </c>
      <c r="G532" s="255">
        <v>8.9966173193E10</v>
      </c>
      <c r="H532" s="255">
        <v>5000.0</v>
      </c>
      <c r="I532" s="255">
        <v>553.0</v>
      </c>
      <c r="K532" s="255" t="s">
        <v>3603</v>
      </c>
      <c r="L532" s="255" t="s">
        <v>3603</v>
      </c>
      <c r="M532" s="255" t="s">
        <v>202</v>
      </c>
      <c r="N532" s="255">
        <v>150000.0</v>
      </c>
      <c r="P532" s="255" t="s">
        <v>2208</v>
      </c>
      <c r="Q532" s="255">
        <v>2.0</v>
      </c>
      <c r="R532" s="259">
        <v>45983.0</v>
      </c>
      <c r="S532" s="260" t="s">
        <v>2262</v>
      </c>
      <c r="T532" s="259">
        <v>45994.0</v>
      </c>
      <c r="U532" s="255">
        <v>290.0</v>
      </c>
    </row>
    <row r="533">
      <c r="A533" s="257">
        <v>45985.258856597226</v>
      </c>
      <c r="B533" s="258" t="s">
        <v>3604</v>
      </c>
      <c r="C533" s="259">
        <v>45985.0</v>
      </c>
      <c r="D533" s="255" t="s">
        <v>3605</v>
      </c>
      <c r="E533" s="255" t="s">
        <v>3606</v>
      </c>
      <c r="F533" s="255" t="s">
        <v>3607</v>
      </c>
      <c r="H533" s="255">
        <v>7000.0</v>
      </c>
      <c r="I533" s="255">
        <v>785.0</v>
      </c>
      <c r="K533" s="255" t="s">
        <v>3325</v>
      </c>
      <c r="L533" s="255" t="s">
        <v>3325</v>
      </c>
      <c r="M533" s="255" t="s">
        <v>971</v>
      </c>
      <c r="N533" s="255">
        <v>150000.0</v>
      </c>
      <c r="P533" s="255" t="s">
        <v>2208</v>
      </c>
      <c r="Q533" s="255">
        <v>2.0</v>
      </c>
      <c r="R533" s="259">
        <v>45985.0</v>
      </c>
      <c r="S533" s="260" t="s">
        <v>2324</v>
      </c>
      <c r="T533" s="259">
        <v>45998.0</v>
      </c>
      <c r="U533" s="255">
        <v>690.0</v>
      </c>
    </row>
    <row r="534">
      <c r="A534" s="257">
        <v>45985.26510603009</v>
      </c>
      <c r="B534" s="258" t="s">
        <v>3608</v>
      </c>
      <c r="C534" s="259">
        <v>45985.0</v>
      </c>
      <c r="D534" s="255" t="s">
        <v>3003</v>
      </c>
      <c r="E534" s="255" t="s">
        <v>3609</v>
      </c>
      <c r="F534" s="255" t="s">
        <v>3610</v>
      </c>
      <c r="H534" s="255">
        <v>7000.0</v>
      </c>
      <c r="I534" s="255">
        <v>948.0</v>
      </c>
      <c r="K534" s="255" t="s">
        <v>3609</v>
      </c>
      <c r="L534" s="255" t="s">
        <v>3609</v>
      </c>
      <c r="M534" s="255" t="s">
        <v>941</v>
      </c>
      <c r="N534" s="255">
        <v>150000.0</v>
      </c>
      <c r="P534" s="255" t="s">
        <v>2208</v>
      </c>
      <c r="Q534" s="255">
        <v>2.0</v>
      </c>
      <c r="R534" s="259">
        <v>45985.0</v>
      </c>
      <c r="S534" s="260" t="s">
        <v>2215</v>
      </c>
      <c r="T534" s="259">
        <v>45990.0</v>
      </c>
      <c r="U534" s="255">
        <v>390.0</v>
      </c>
    </row>
    <row r="535">
      <c r="A535" s="257">
        <v>45985.90548914352</v>
      </c>
      <c r="B535" s="258" t="s">
        <v>3611</v>
      </c>
      <c r="C535" s="259">
        <v>45983.0</v>
      </c>
      <c r="D535" s="255" t="s">
        <v>2545</v>
      </c>
      <c r="E535" s="255" t="s">
        <v>2549</v>
      </c>
      <c r="H535" s="255">
        <v>7000.0</v>
      </c>
      <c r="I535" s="255">
        <v>714.0</v>
      </c>
      <c r="K535" s="255" t="s">
        <v>2549</v>
      </c>
      <c r="L535" s="255" t="s">
        <v>2549</v>
      </c>
      <c r="M535" s="255" t="s">
        <v>1065</v>
      </c>
      <c r="P535" s="255" t="s">
        <v>2208</v>
      </c>
      <c r="Q535" s="255">
        <v>1.0</v>
      </c>
      <c r="R535" s="259">
        <v>46005.0</v>
      </c>
      <c r="S535" s="260" t="s">
        <v>2324</v>
      </c>
      <c r="T535" s="259">
        <v>46037.0</v>
      </c>
      <c r="U535" s="255">
        <v>290.0</v>
      </c>
    </row>
    <row r="536">
      <c r="A536" s="257">
        <v>45986.539431377314</v>
      </c>
      <c r="B536" s="258" t="s">
        <v>3612</v>
      </c>
      <c r="C536" s="259">
        <v>45955.0</v>
      </c>
      <c r="E536" s="255" t="s">
        <v>3613</v>
      </c>
      <c r="F536" s="255">
        <v>8.9888680382E10</v>
      </c>
      <c r="H536" s="255" t="s">
        <v>985</v>
      </c>
      <c r="I536" s="255">
        <v>543.0</v>
      </c>
      <c r="K536" s="255" t="s">
        <v>2207</v>
      </c>
      <c r="L536" s="255" t="s">
        <v>2207</v>
      </c>
      <c r="M536" s="255" t="s">
        <v>193</v>
      </c>
      <c r="N536" s="255">
        <v>70000.0</v>
      </c>
      <c r="O536" s="255">
        <v>18800.0</v>
      </c>
      <c r="P536" s="255" t="s">
        <v>2208</v>
      </c>
      <c r="Q536" s="255">
        <v>2.0</v>
      </c>
      <c r="R536" s="259">
        <v>45986.0</v>
      </c>
      <c r="S536" s="260" t="s">
        <v>2221</v>
      </c>
      <c r="T536" s="259">
        <v>45995.0</v>
      </c>
      <c r="U536" s="255">
        <v>0.0</v>
      </c>
    </row>
    <row r="537">
      <c r="A537" s="257">
        <v>45986.7225837963</v>
      </c>
      <c r="B537" s="258" t="s">
        <v>3614</v>
      </c>
      <c r="C537" s="259">
        <v>45986.0</v>
      </c>
      <c r="E537" s="255" t="s">
        <v>3615</v>
      </c>
      <c r="F537" s="255" t="s">
        <v>3616</v>
      </c>
      <c r="H537" s="255">
        <v>7000.0</v>
      </c>
      <c r="I537" s="255">
        <v>854.0</v>
      </c>
      <c r="K537" s="255" t="s">
        <v>3615</v>
      </c>
      <c r="L537" s="255" t="s">
        <v>3615</v>
      </c>
      <c r="M537" s="255" t="s">
        <v>974</v>
      </c>
      <c r="N537" s="255">
        <v>120000.0</v>
      </c>
      <c r="P537" s="255" t="s">
        <v>2208</v>
      </c>
      <c r="Q537" s="255">
        <v>2.0</v>
      </c>
      <c r="R537" s="259">
        <v>45987.0</v>
      </c>
      <c r="S537" s="260" t="s">
        <v>2300</v>
      </c>
      <c r="T537" s="259">
        <v>45997.0</v>
      </c>
      <c r="U537" s="255">
        <v>590.0</v>
      </c>
    </row>
    <row r="538">
      <c r="A538" s="257">
        <v>45987.55525259259</v>
      </c>
      <c r="B538" s="258" t="s">
        <v>3617</v>
      </c>
      <c r="C538" s="259">
        <v>45987.0</v>
      </c>
      <c r="D538" s="255" t="s">
        <v>3616</v>
      </c>
      <c r="F538" s="255" t="s">
        <v>3616</v>
      </c>
      <c r="H538" s="255">
        <v>7000.0</v>
      </c>
      <c r="I538" s="255">
        <v>908.0</v>
      </c>
      <c r="K538" s="255" t="s">
        <v>3618</v>
      </c>
      <c r="L538" s="255" t="s">
        <v>3618</v>
      </c>
      <c r="M538" s="255" t="s">
        <v>981</v>
      </c>
      <c r="P538" s="255" t="s">
        <v>2208</v>
      </c>
      <c r="Q538" s="255">
        <v>2.0</v>
      </c>
      <c r="R538" s="259">
        <v>45987.0</v>
      </c>
      <c r="S538" s="260" t="s">
        <v>2221</v>
      </c>
      <c r="T538" s="259">
        <v>45997.0</v>
      </c>
      <c r="U538" s="255">
        <v>590.0</v>
      </c>
    </row>
    <row r="539">
      <c r="A539" s="257">
        <v>45988.58272280093</v>
      </c>
      <c r="B539" s="258" t="s">
        <v>3619</v>
      </c>
      <c r="C539" s="259">
        <v>45988.0</v>
      </c>
      <c r="E539" s="255" t="s">
        <v>3620</v>
      </c>
      <c r="F539" s="255">
        <v>8.9112969206E10</v>
      </c>
      <c r="G539" s="255">
        <v>8.9167046679E10</v>
      </c>
      <c r="H539" s="255">
        <v>7000.0</v>
      </c>
      <c r="I539" s="255">
        <v>755.0</v>
      </c>
      <c r="K539" s="255" t="s">
        <v>3621</v>
      </c>
      <c r="L539" s="255" t="s">
        <v>3621</v>
      </c>
      <c r="M539" s="255" t="s">
        <v>923</v>
      </c>
      <c r="N539" s="255">
        <v>150000.0</v>
      </c>
      <c r="P539" s="255" t="s">
        <v>2208</v>
      </c>
      <c r="Q539" s="255">
        <v>0.0</v>
      </c>
      <c r="R539" s="259">
        <v>45988.0</v>
      </c>
      <c r="S539" s="260" t="s">
        <v>2235</v>
      </c>
      <c r="T539" s="259">
        <v>46003.0</v>
      </c>
      <c r="U539" s="255">
        <v>590.0</v>
      </c>
    </row>
    <row r="540">
      <c r="A540" s="257">
        <v>45989.74214637731</v>
      </c>
      <c r="B540" s="258" t="s">
        <v>3622</v>
      </c>
      <c r="C540" s="259">
        <v>45989.0</v>
      </c>
      <c r="D540" s="255" t="s">
        <v>3623</v>
      </c>
      <c r="E540" s="255" t="s">
        <v>3624</v>
      </c>
      <c r="H540" s="255">
        <v>20000.0</v>
      </c>
      <c r="I540" s="255">
        <v>1708.0</v>
      </c>
      <c r="K540" s="255" t="s">
        <v>3624</v>
      </c>
      <c r="L540" s="255" t="s">
        <v>3624</v>
      </c>
      <c r="M540" s="255" t="s">
        <v>483</v>
      </c>
      <c r="N540" s="255">
        <v>170000.0</v>
      </c>
      <c r="P540" s="255" t="s">
        <v>2208</v>
      </c>
      <c r="Q540" s="255">
        <v>4.0</v>
      </c>
      <c r="R540" s="259">
        <v>45989.0</v>
      </c>
      <c r="S540" s="260" t="s">
        <v>2250</v>
      </c>
      <c r="T540" s="259">
        <v>45994.0</v>
      </c>
      <c r="U540" s="255">
        <v>490.0</v>
      </c>
    </row>
    <row r="541">
      <c r="A541" s="257">
        <v>45990.26302987269</v>
      </c>
      <c r="B541" s="258" t="s">
        <v>3625</v>
      </c>
      <c r="C541" s="259">
        <v>45990.0</v>
      </c>
      <c r="E541" s="255" t="s">
        <v>3626</v>
      </c>
      <c r="H541" s="255">
        <v>3000.0</v>
      </c>
      <c r="J541" s="255">
        <v>7490.0</v>
      </c>
      <c r="K541" s="255" t="s">
        <v>3627</v>
      </c>
      <c r="L541" s="255" t="s">
        <v>3628</v>
      </c>
      <c r="M541" s="255" t="s">
        <v>44</v>
      </c>
      <c r="N541" s="255">
        <v>79000.0</v>
      </c>
      <c r="P541" s="255" t="s">
        <v>2208</v>
      </c>
      <c r="Q541" s="255">
        <v>2.0</v>
      </c>
      <c r="R541" s="259">
        <v>45990.0</v>
      </c>
      <c r="S541" s="260" t="s">
        <v>2265</v>
      </c>
      <c r="T541" s="259">
        <v>46018.0</v>
      </c>
      <c r="U541" s="255">
        <v>0.0</v>
      </c>
    </row>
    <row r="542">
      <c r="A542" s="257">
        <v>45990.579081250005</v>
      </c>
      <c r="B542" s="258" t="s">
        <v>3629</v>
      </c>
      <c r="C542" s="259">
        <v>45990.0</v>
      </c>
      <c r="E542" s="255" t="s">
        <v>3630</v>
      </c>
      <c r="F542" s="255" t="s">
        <v>3631</v>
      </c>
      <c r="G542" s="255" t="s">
        <v>3632</v>
      </c>
      <c r="I542" s="255">
        <v>1708.0</v>
      </c>
      <c r="K542" s="255" t="s">
        <v>2269</v>
      </c>
      <c r="L542" s="255" t="s">
        <v>2269</v>
      </c>
      <c r="M542" s="255" t="s">
        <v>102</v>
      </c>
      <c r="P542" s="255" t="s">
        <v>2208</v>
      </c>
      <c r="Q542" s="255">
        <v>1.0</v>
      </c>
      <c r="R542" s="259">
        <v>45990.0</v>
      </c>
      <c r="S542" s="260" t="s">
        <v>2221</v>
      </c>
      <c r="T542" s="259">
        <v>45994.0</v>
      </c>
      <c r="U542" s="255">
        <v>0.0</v>
      </c>
    </row>
    <row r="543">
      <c r="A543" s="257">
        <v>45991.39006074074</v>
      </c>
      <c r="B543" s="258" t="s">
        <v>3633</v>
      </c>
      <c r="C543" s="259">
        <v>45991.0</v>
      </c>
      <c r="D543" s="255" t="s">
        <v>3509</v>
      </c>
      <c r="E543" s="255" t="s">
        <v>3510</v>
      </c>
      <c r="H543" s="255">
        <v>7000.0</v>
      </c>
      <c r="I543" s="255">
        <v>998.0</v>
      </c>
      <c r="K543" s="255" t="s">
        <v>3510</v>
      </c>
      <c r="L543" s="255" t="s">
        <v>3510</v>
      </c>
      <c r="M543" s="255" t="s">
        <v>979</v>
      </c>
      <c r="P543" s="255" t="s">
        <v>2208</v>
      </c>
      <c r="Q543" s="255">
        <v>1.0</v>
      </c>
      <c r="R543" s="259">
        <v>45991.0</v>
      </c>
      <c r="S543" s="260" t="s">
        <v>2221</v>
      </c>
      <c r="T543" s="259">
        <v>45995.0</v>
      </c>
      <c r="U543" s="255">
        <v>590.0</v>
      </c>
    </row>
    <row r="544">
      <c r="A544" s="257">
        <v>45993.55841427083</v>
      </c>
      <c r="B544" s="258" t="s">
        <v>3634</v>
      </c>
      <c r="C544" s="259">
        <v>45993.0</v>
      </c>
      <c r="D544" s="255" t="s">
        <v>3635</v>
      </c>
      <c r="E544" s="255" t="s">
        <v>3636</v>
      </c>
      <c r="F544" s="255">
        <v>7.9297080348E10</v>
      </c>
      <c r="H544" s="255">
        <v>7000.0</v>
      </c>
      <c r="I544" s="255">
        <v>897.0</v>
      </c>
      <c r="K544" s="255" t="s">
        <v>3636</v>
      </c>
      <c r="L544" s="255" t="s">
        <v>3636</v>
      </c>
      <c r="M544" s="255" t="s">
        <v>1028</v>
      </c>
      <c r="P544" s="255" t="s">
        <v>2208</v>
      </c>
      <c r="Q544" s="255">
        <v>2.0</v>
      </c>
      <c r="R544" s="259">
        <v>45993.0</v>
      </c>
      <c r="S544" s="260" t="s">
        <v>2231</v>
      </c>
      <c r="T544" s="259">
        <v>46003.0</v>
      </c>
      <c r="U544" s="255">
        <v>490.0</v>
      </c>
    </row>
    <row r="545">
      <c r="A545" s="257">
        <v>45994.47212664352</v>
      </c>
      <c r="B545" s="258" t="s">
        <v>3637</v>
      </c>
      <c r="C545" s="259">
        <v>45994.0</v>
      </c>
      <c r="D545" s="255" t="s">
        <v>3638</v>
      </c>
      <c r="E545" s="255" t="s">
        <v>3639</v>
      </c>
      <c r="F545" s="255">
        <v>8.9037525592E10</v>
      </c>
      <c r="H545" s="255">
        <v>3000.0</v>
      </c>
      <c r="I545" s="255">
        <v>409.0</v>
      </c>
      <c r="K545" s="255" t="s">
        <v>3640</v>
      </c>
      <c r="L545" s="255" t="s">
        <v>3640</v>
      </c>
      <c r="M545" s="255" t="s">
        <v>56</v>
      </c>
      <c r="N545" s="255">
        <v>70000.0</v>
      </c>
      <c r="O545" s="255">
        <v>35000.0</v>
      </c>
      <c r="P545" s="255" t="s">
        <v>2208</v>
      </c>
      <c r="Q545" s="255">
        <v>2.0</v>
      </c>
      <c r="R545" s="259">
        <v>45994.0</v>
      </c>
      <c r="S545" s="260" t="s">
        <v>2330</v>
      </c>
      <c r="T545" s="259">
        <v>46004.0</v>
      </c>
      <c r="U545" s="255">
        <v>290.0</v>
      </c>
    </row>
    <row r="546">
      <c r="A546" s="257">
        <v>45995.03844534722</v>
      </c>
      <c r="B546" s="258" t="s">
        <v>3641</v>
      </c>
      <c r="C546" s="259">
        <v>46010.0</v>
      </c>
      <c r="E546" s="255" t="s">
        <v>3642</v>
      </c>
      <c r="H546" s="255">
        <v>0.0</v>
      </c>
      <c r="J546" s="255">
        <v>7900.0</v>
      </c>
      <c r="K546" s="255" t="s">
        <v>3642</v>
      </c>
      <c r="L546" s="255" t="s">
        <v>3642</v>
      </c>
      <c r="M546" s="255" t="s">
        <v>68</v>
      </c>
      <c r="N546" s="255">
        <v>70000.0</v>
      </c>
      <c r="P546" s="255" t="s">
        <v>2208</v>
      </c>
      <c r="Q546" s="255">
        <v>0.0</v>
      </c>
      <c r="R546" s="259">
        <v>46010.0</v>
      </c>
      <c r="S546" s="260" t="s">
        <v>2265</v>
      </c>
      <c r="T546" s="259">
        <v>46041.0</v>
      </c>
      <c r="U546" s="255">
        <v>0.0</v>
      </c>
    </row>
    <row r="547">
      <c r="A547" s="257">
        <v>45995.62318681713</v>
      </c>
      <c r="B547" s="258" t="s">
        <v>3643</v>
      </c>
      <c r="C547" s="259">
        <v>45995.0</v>
      </c>
      <c r="D547" s="255" t="s">
        <v>3644</v>
      </c>
      <c r="E547" s="255" t="s">
        <v>3645</v>
      </c>
      <c r="H547" s="255">
        <v>20000.0</v>
      </c>
      <c r="I547" s="255">
        <v>1790.0</v>
      </c>
      <c r="K547" s="255" t="s">
        <v>3645</v>
      </c>
      <c r="L547" s="255" t="s">
        <v>3645</v>
      </c>
      <c r="M547" s="255" t="s">
        <v>102</v>
      </c>
      <c r="N547" s="255">
        <v>200000.0</v>
      </c>
      <c r="P547" s="255" t="s">
        <v>2208</v>
      </c>
      <c r="Q547" s="255">
        <v>1.0</v>
      </c>
      <c r="R547" s="259">
        <v>45995.0</v>
      </c>
      <c r="S547" s="260" t="s">
        <v>2231</v>
      </c>
      <c r="T547" s="259">
        <v>45998.0</v>
      </c>
      <c r="U547" s="255">
        <v>290.0</v>
      </c>
    </row>
    <row r="548">
      <c r="A548" s="257">
        <v>45995.628163657406</v>
      </c>
      <c r="B548" s="258" t="s">
        <v>3646</v>
      </c>
      <c r="C548" s="259">
        <v>45995.0</v>
      </c>
      <c r="E548" s="255" t="s">
        <v>3647</v>
      </c>
      <c r="F548" s="255" t="s">
        <v>3648</v>
      </c>
      <c r="H548" s="255">
        <v>3000.0</v>
      </c>
      <c r="I548" s="255">
        <v>371.0</v>
      </c>
      <c r="K548" s="255" t="s">
        <v>2269</v>
      </c>
      <c r="L548" s="255" t="s">
        <v>2269</v>
      </c>
      <c r="M548" s="255" t="s">
        <v>73</v>
      </c>
      <c r="N548" s="255">
        <v>70000.0</v>
      </c>
      <c r="P548" s="255" t="s">
        <v>2208</v>
      </c>
      <c r="Q548" s="255">
        <v>2.0</v>
      </c>
      <c r="R548" s="259">
        <v>45995.0</v>
      </c>
      <c r="S548" s="260" t="s">
        <v>2231</v>
      </c>
      <c r="T548" s="259">
        <v>46012.0</v>
      </c>
      <c r="U548" s="255">
        <v>0.0</v>
      </c>
    </row>
    <row r="549">
      <c r="A549" s="257">
        <v>45995.94216827546</v>
      </c>
      <c r="C549" s="259">
        <v>46002.0</v>
      </c>
      <c r="E549" s="255" t="s">
        <v>2346</v>
      </c>
      <c r="H549" s="255">
        <v>0.0</v>
      </c>
      <c r="I549" s="255">
        <v>600.0</v>
      </c>
      <c r="K549" s="255" t="s">
        <v>2346</v>
      </c>
      <c r="L549" s="255" t="s">
        <v>2346</v>
      </c>
      <c r="M549" s="255" t="s">
        <v>974</v>
      </c>
      <c r="N549" s="255">
        <v>140000.0</v>
      </c>
      <c r="O549" s="255">
        <v>11000.0</v>
      </c>
      <c r="P549" s="255" t="s">
        <v>2208</v>
      </c>
      <c r="Q549" s="255">
        <v>1.0</v>
      </c>
      <c r="R549" s="259">
        <v>46002.0</v>
      </c>
      <c r="S549" s="260" t="s">
        <v>2391</v>
      </c>
      <c r="T549" s="259">
        <v>46048.0</v>
      </c>
      <c r="U549" s="255">
        <v>0.0</v>
      </c>
    </row>
    <row r="550">
      <c r="A550" s="257">
        <v>45995.95142640047</v>
      </c>
      <c r="B550" s="258" t="s">
        <v>3649</v>
      </c>
      <c r="C550" s="259">
        <v>45995.0</v>
      </c>
      <c r="H550" s="255">
        <v>0.0</v>
      </c>
      <c r="I550" s="255">
        <v>600.0</v>
      </c>
      <c r="K550" s="255" t="s">
        <v>2346</v>
      </c>
      <c r="L550" s="255" t="s">
        <v>2346</v>
      </c>
      <c r="M550" s="255" t="s">
        <v>974</v>
      </c>
      <c r="N550" s="255">
        <v>180000.0</v>
      </c>
      <c r="O550" s="255">
        <v>11000.0</v>
      </c>
      <c r="P550" s="255" t="s">
        <v>2273</v>
      </c>
      <c r="Q550" s="255">
        <v>1.0</v>
      </c>
      <c r="R550" s="259">
        <v>46002.0</v>
      </c>
      <c r="S550" s="260" t="s">
        <v>2391</v>
      </c>
      <c r="T550" s="259">
        <v>46048.0</v>
      </c>
      <c r="U550" s="255">
        <v>0.0</v>
      </c>
    </row>
    <row r="551">
      <c r="A551" s="257">
        <v>45996.49254467593</v>
      </c>
      <c r="B551" s="258" t="s">
        <v>3650</v>
      </c>
      <c r="C551" s="259">
        <v>45996.0</v>
      </c>
      <c r="D551" s="255" t="s">
        <v>2716</v>
      </c>
      <c r="H551" s="255">
        <v>3000.0</v>
      </c>
      <c r="I551" s="255">
        <v>471.0</v>
      </c>
      <c r="K551" s="255" t="s">
        <v>2269</v>
      </c>
      <c r="L551" s="255" t="s">
        <v>2269</v>
      </c>
      <c r="M551" s="255" t="s">
        <v>77</v>
      </c>
      <c r="P551" s="255" t="s">
        <v>2208</v>
      </c>
      <c r="Q551" s="255">
        <v>2.0</v>
      </c>
      <c r="R551" s="259">
        <v>45996.0</v>
      </c>
      <c r="S551" s="260" t="s">
        <v>2265</v>
      </c>
      <c r="T551" s="259">
        <v>46000.0</v>
      </c>
      <c r="U551" s="255">
        <v>0.0</v>
      </c>
    </row>
    <row r="552">
      <c r="A552" s="257">
        <v>45998.26116944445</v>
      </c>
      <c r="B552" s="258" t="s">
        <v>3651</v>
      </c>
      <c r="C552" s="259">
        <v>45998.0</v>
      </c>
      <c r="E552" s="255" t="s">
        <v>3461</v>
      </c>
      <c r="F552" s="255" t="s">
        <v>3652</v>
      </c>
      <c r="G552" s="255" t="s">
        <v>3653</v>
      </c>
      <c r="H552" s="255">
        <v>7000.0</v>
      </c>
      <c r="I552" s="255">
        <v>927.0</v>
      </c>
      <c r="K552" s="255" t="s">
        <v>3461</v>
      </c>
      <c r="L552" s="255" t="s">
        <v>3461</v>
      </c>
      <c r="M552" s="255" t="s">
        <v>951</v>
      </c>
      <c r="N552" s="255">
        <v>120000.0</v>
      </c>
      <c r="P552" s="255" t="s">
        <v>2208</v>
      </c>
      <c r="Q552" s="255">
        <v>3.0</v>
      </c>
      <c r="R552" s="259">
        <v>45998.0</v>
      </c>
      <c r="S552" s="260" t="s">
        <v>2221</v>
      </c>
      <c r="T552" s="259">
        <v>46004.0</v>
      </c>
      <c r="U552" s="255">
        <v>490.0</v>
      </c>
    </row>
    <row r="553">
      <c r="A553" s="257">
        <v>45998.46093898149</v>
      </c>
      <c r="B553" s="258" t="s">
        <v>3654</v>
      </c>
      <c r="C553" s="259">
        <v>45998.0</v>
      </c>
      <c r="D553" s="255" t="s">
        <v>3655</v>
      </c>
      <c r="E553" s="255" t="s">
        <v>3656</v>
      </c>
      <c r="F553" s="255" t="s">
        <v>3657</v>
      </c>
      <c r="H553" s="255">
        <v>3000.0</v>
      </c>
      <c r="I553" s="255">
        <v>413.0</v>
      </c>
      <c r="K553" s="255" t="s">
        <v>3656</v>
      </c>
      <c r="L553" s="255" t="s">
        <v>3656</v>
      </c>
      <c r="M553" s="255" t="s">
        <v>44</v>
      </c>
      <c r="P553" s="255" t="s">
        <v>2208</v>
      </c>
      <c r="Q553" s="255">
        <v>2.0</v>
      </c>
      <c r="R553" s="259">
        <v>45998.0</v>
      </c>
      <c r="S553" s="260" t="s">
        <v>2221</v>
      </c>
      <c r="T553" s="259">
        <v>46007.0</v>
      </c>
      <c r="U553" s="255">
        <v>390.0</v>
      </c>
    </row>
    <row r="554">
      <c r="A554" s="257">
        <v>46002.5563003125</v>
      </c>
      <c r="B554" s="258" t="s">
        <v>3658</v>
      </c>
      <c r="C554" s="259">
        <v>46002.0</v>
      </c>
      <c r="D554" s="255" t="s">
        <v>3659</v>
      </c>
      <c r="E554" s="255" t="s">
        <v>3660</v>
      </c>
      <c r="F554" s="255" t="s">
        <v>3659</v>
      </c>
      <c r="H554" s="255">
        <v>7000.0</v>
      </c>
      <c r="I554" s="255">
        <v>568.0</v>
      </c>
      <c r="K554" s="255" t="s">
        <v>3660</v>
      </c>
      <c r="L554" s="255" t="s">
        <v>3660</v>
      </c>
      <c r="M554" s="255" t="s">
        <v>928</v>
      </c>
      <c r="P554" s="255" t="s">
        <v>2208</v>
      </c>
      <c r="Q554" s="255">
        <v>2.0</v>
      </c>
      <c r="R554" s="259">
        <v>46002.0</v>
      </c>
      <c r="S554" s="260" t="s">
        <v>2235</v>
      </c>
      <c r="T554" s="259">
        <v>46092.0</v>
      </c>
      <c r="U554" s="255">
        <v>0.0</v>
      </c>
    </row>
    <row r="555">
      <c r="A555" s="257">
        <v>46003.56364054398</v>
      </c>
      <c r="B555" s="258" t="s">
        <v>3661</v>
      </c>
      <c r="C555" s="259">
        <v>46003.0</v>
      </c>
      <c r="D555" s="255" t="s">
        <v>3662</v>
      </c>
      <c r="E555" s="255" t="s">
        <v>2890</v>
      </c>
      <c r="F555" s="255">
        <v>8.9158274548E10</v>
      </c>
      <c r="G555" s="255">
        <v>8.9806893269E10</v>
      </c>
      <c r="H555" s="255">
        <v>7000.0</v>
      </c>
      <c r="I555" s="255">
        <v>798.0</v>
      </c>
      <c r="K555" s="255" t="s">
        <v>2890</v>
      </c>
      <c r="L555" s="255" t="s">
        <v>2890</v>
      </c>
      <c r="M555" s="255" t="s">
        <v>971</v>
      </c>
      <c r="N555" s="255">
        <v>120000.0</v>
      </c>
      <c r="P555" s="255" t="s">
        <v>2208</v>
      </c>
      <c r="Q555" s="255">
        <v>2.0</v>
      </c>
      <c r="R555" s="259">
        <v>46003.0</v>
      </c>
      <c r="S555" s="260" t="s">
        <v>2235</v>
      </c>
      <c r="T555" s="259">
        <v>46018.0</v>
      </c>
      <c r="U555" s="255">
        <v>800.0</v>
      </c>
    </row>
    <row r="556">
      <c r="A556" s="257">
        <v>46004.61758194445</v>
      </c>
      <c r="B556" s="258" t="s">
        <v>3663</v>
      </c>
      <c r="C556" s="259">
        <v>46004.0</v>
      </c>
      <c r="D556" s="255" t="s">
        <v>3664</v>
      </c>
      <c r="E556" s="255" t="s">
        <v>3620</v>
      </c>
      <c r="F556" s="255" t="s">
        <v>3664</v>
      </c>
      <c r="H556" s="255">
        <v>20000.0</v>
      </c>
      <c r="I556" s="255">
        <v>1978.0</v>
      </c>
      <c r="K556" s="255" t="s">
        <v>3620</v>
      </c>
      <c r="L556" s="255" t="s">
        <v>3620</v>
      </c>
      <c r="M556" s="255" t="s">
        <v>916</v>
      </c>
      <c r="P556" s="255" t="s">
        <v>2208</v>
      </c>
      <c r="Q556" s="255">
        <v>0.0</v>
      </c>
      <c r="R556" s="259">
        <v>46004.0</v>
      </c>
      <c r="S556" s="260" t="s">
        <v>2246</v>
      </c>
      <c r="T556" s="259">
        <v>46008.0</v>
      </c>
      <c r="U556" s="255">
        <v>590.0</v>
      </c>
    </row>
    <row r="557">
      <c r="A557" s="257">
        <v>46005.35959153935</v>
      </c>
      <c r="B557" s="258" t="s">
        <v>3665</v>
      </c>
      <c r="C557" s="259">
        <v>46005.0</v>
      </c>
      <c r="D557" s="255" t="s">
        <v>3666</v>
      </c>
      <c r="E557" s="255" t="s">
        <v>3667</v>
      </c>
      <c r="H557" s="255">
        <v>3000.0</v>
      </c>
      <c r="J557" s="255">
        <v>8490.0</v>
      </c>
      <c r="K557" s="255" t="s">
        <v>3667</v>
      </c>
      <c r="L557" s="255" t="s">
        <v>3667</v>
      </c>
      <c r="M557" s="255" t="s">
        <v>56</v>
      </c>
      <c r="N557" s="255">
        <v>70000.0</v>
      </c>
      <c r="P557" s="255" t="s">
        <v>2208</v>
      </c>
      <c r="Q557" s="255">
        <v>0.0</v>
      </c>
      <c r="R557" s="259">
        <v>46005.0</v>
      </c>
      <c r="S557" s="260" t="s">
        <v>2221</v>
      </c>
      <c r="T557" s="259">
        <v>46036.0</v>
      </c>
      <c r="U557" s="255">
        <v>490.0</v>
      </c>
    </row>
    <row r="558">
      <c r="A558" s="257">
        <v>46006.64405482639</v>
      </c>
      <c r="C558" s="259">
        <v>46006.0</v>
      </c>
      <c r="H558" s="255">
        <v>30000.0</v>
      </c>
      <c r="I558" s="255">
        <v>2690.0</v>
      </c>
      <c r="K558" s="255" t="s">
        <v>2269</v>
      </c>
      <c r="L558" s="255" t="s">
        <v>2269</v>
      </c>
      <c r="M558" s="255" t="s">
        <v>914</v>
      </c>
      <c r="N558" s="255">
        <v>430000.0</v>
      </c>
      <c r="O558" s="255">
        <v>20000.0</v>
      </c>
      <c r="P558" s="255" t="s">
        <v>2208</v>
      </c>
      <c r="Q558" s="255">
        <v>1.0</v>
      </c>
      <c r="R558" s="259">
        <v>46006.0</v>
      </c>
      <c r="S558" s="260" t="s">
        <v>2235</v>
      </c>
      <c r="T558" s="259">
        <v>46011.0</v>
      </c>
      <c r="U558" s="255">
        <v>0.0</v>
      </c>
    </row>
    <row r="559">
      <c r="A559" s="257">
        <v>46006.64574576389</v>
      </c>
      <c r="B559" s="258" t="s">
        <v>3668</v>
      </c>
      <c r="C559" s="259">
        <v>46006.0</v>
      </c>
      <c r="H559" s="255">
        <v>30000.0</v>
      </c>
      <c r="I559" s="255">
        <v>2690.0</v>
      </c>
      <c r="K559" s="255" t="s">
        <v>2269</v>
      </c>
      <c r="L559" s="255" t="s">
        <v>2269</v>
      </c>
      <c r="M559" s="255" t="s">
        <v>914</v>
      </c>
      <c r="N559" s="255">
        <v>430000.0</v>
      </c>
      <c r="O559" s="255">
        <v>20000.0</v>
      </c>
      <c r="P559" s="255" t="s">
        <v>2208</v>
      </c>
      <c r="Q559" s="255">
        <v>1.0</v>
      </c>
      <c r="R559" s="259">
        <v>46006.0</v>
      </c>
      <c r="S559" s="260" t="s">
        <v>2235</v>
      </c>
      <c r="T559" s="259">
        <v>46011.0</v>
      </c>
      <c r="U559" s="255">
        <v>0.0</v>
      </c>
    </row>
    <row r="560">
      <c r="A560" s="257">
        <v>46008.34895326389</v>
      </c>
      <c r="B560" s="258" t="s">
        <v>3669</v>
      </c>
      <c r="C560" s="259">
        <v>46008.0</v>
      </c>
      <c r="E560" s="255" t="s">
        <v>3670</v>
      </c>
      <c r="F560" s="255" t="s">
        <v>3671</v>
      </c>
      <c r="H560" s="255">
        <v>300.0</v>
      </c>
      <c r="I560" s="255">
        <v>375.0</v>
      </c>
      <c r="K560" s="255" t="s">
        <v>3670</v>
      </c>
      <c r="L560" s="255" t="s">
        <v>3670</v>
      </c>
      <c r="M560" s="255" t="s">
        <v>48</v>
      </c>
      <c r="P560" s="255" t="s">
        <v>2208</v>
      </c>
      <c r="Q560" s="255">
        <v>2.0</v>
      </c>
      <c r="R560" s="259">
        <v>46009.0</v>
      </c>
      <c r="S560" s="260" t="s">
        <v>2330</v>
      </c>
      <c r="T560" s="259">
        <v>46026.0</v>
      </c>
      <c r="U560" s="255">
        <v>590.0</v>
      </c>
    </row>
    <row r="561">
      <c r="A561" s="257">
        <v>46009.3424056713</v>
      </c>
      <c r="B561" s="258" t="s">
        <v>3672</v>
      </c>
      <c r="C561" s="259">
        <v>46009.0</v>
      </c>
      <c r="D561" s="255" t="s">
        <v>3673</v>
      </c>
      <c r="F561" s="255" t="s">
        <v>3674</v>
      </c>
      <c r="H561" s="255">
        <v>3000.0</v>
      </c>
      <c r="I561" s="255">
        <v>278.0</v>
      </c>
      <c r="M561" s="255" t="s">
        <v>68</v>
      </c>
      <c r="P561" s="255" t="s">
        <v>2208</v>
      </c>
      <c r="Q561" s="255">
        <v>1.0</v>
      </c>
      <c r="R561" s="259">
        <v>46027.0</v>
      </c>
      <c r="S561" s="260" t="s">
        <v>2221</v>
      </c>
      <c r="T561" s="259">
        <v>46073.0</v>
      </c>
      <c r="U561" s="255">
        <v>290.0</v>
      </c>
    </row>
    <row r="562">
      <c r="A562" s="257">
        <v>46009.35037324074</v>
      </c>
      <c r="B562" s="258" t="s">
        <v>3675</v>
      </c>
      <c r="C562" s="259">
        <v>46374.0</v>
      </c>
      <c r="D562" s="255" t="s">
        <v>3676</v>
      </c>
      <c r="E562" s="255" t="s">
        <v>3121</v>
      </c>
      <c r="H562" s="255">
        <v>7000.0</v>
      </c>
      <c r="I562" s="255">
        <v>961.0</v>
      </c>
      <c r="K562" s="255" t="s">
        <v>3121</v>
      </c>
      <c r="L562" s="255" t="s">
        <v>3121</v>
      </c>
      <c r="M562" s="255" t="s">
        <v>1028</v>
      </c>
      <c r="P562" s="255" t="s">
        <v>2208</v>
      </c>
      <c r="R562" s="259">
        <v>46020.0</v>
      </c>
      <c r="S562" s="260" t="s">
        <v>2470</v>
      </c>
      <c r="T562" s="259">
        <v>46028.0</v>
      </c>
      <c r="U562" s="255">
        <v>980.0</v>
      </c>
    </row>
    <row r="563">
      <c r="A563" s="257">
        <v>46011.34945188658</v>
      </c>
      <c r="B563" s="258" t="s">
        <v>3677</v>
      </c>
      <c r="C563" s="259">
        <v>46011.0</v>
      </c>
      <c r="D563" s="255" t="s">
        <v>3678</v>
      </c>
      <c r="F563" s="255">
        <v>8.9274092855E10</v>
      </c>
      <c r="H563" s="255">
        <v>7000.0</v>
      </c>
      <c r="I563" s="255">
        <v>537.0</v>
      </c>
      <c r="K563" s="255" t="s">
        <v>2839</v>
      </c>
      <c r="L563" s="255" t="s">
        <v>2839</v>
      </c>
      <c r="M563" s="255" t="s">
        <v>173</v>
      </c>
      <c r="P563" s="255" t="s">
        <v>2208</v>
      </c>
      <c r="R563" s="259">
        <v>45671.0</v>
      </c>
      <c r="S563" s="260" t="s">
        <v>2221</v>
      </c>
      <c r="T563" s="259">
        <v>45681.0</v>
      </c>
      <c r="U563" s="255">
        <v>490.0</v>
      </c>
    </row>
    <row r="564">
      <c r="A564" s="257">
        <v>46011.49541101852</v>
      </c>
      <c r="B564" s="258" t="s">
        <v>3679</v>
      </c>
      <c r="C564" s="259">
        <v>46011.0</v>
      </c>
      <c r="D564" s="255" t="s">
        <v>3680</v>
      </c>
      <c r="E564" s="255" t="s">
        <v>3681</v>
      </c>
      <c r="H564" s="255">
        <v>7000.0</v>
      </c>
      <c r="I564" s="255">
        <v>975.0</v>
      </c>
      <c r="K564" s="255" t="s">
        <v>3681</v>
      </c>
      <c r="L564" s="255" t="s">
        <v>3681</v>
      </c>
      <c r="M564" s="255" t="s">
        <v>923</v>
      </c>
      <c r="P564" s="255" t="s">
        <v>2208</v>
      </c>
      <c r="Q564" s="255">
        <v>2.0</v>
      </c>
      <c r="R564" s="259">
        <v>46011.0</v>
      </c>
      <c r="S564" s="260" t="s">
        <v>2221</v>
      </c>
      <c r="T564" s="259">
        <v>46019.0</v>
      </c>
      <c r="U564" s="255">
        <v>290.0</v>
      </c>
    </row>
    <row r="565">
      <c r="A565" s="257">
        <v>46012.68781318287</v>
      </c>
      <c r="B565" s="258" t="s">
        <v>3682</v>
      </c>
      <c r="C565" s="259">
        <v>46012.0</v>
      </c>
      <c r="E565" s="255" t="s">
        <v>3683</v>
      </c>
      <c r="F565" s="255">
        <v>8.9250696957E10</v>
      </c>
      <c r="H565" s="255">
        <v>30000.0</v>
      </c>
      <c r="I565" s="255">
        <v>2690.0</v>
      </c>
      <c r="K565" s="255" t="s">
        <v>3683</v>
      </c>
      <c r="L565" s="255" t="s">
        <v>3683</v>
      </c>
      <c r="M565" s="255" t="s">
        <v>914</v>
      </c>
      <c r="N565" s="255">
        <v>500000.0</v>
      </c>
      <c r="P565" s="255" t="s">
        <v>2208</v>
      </c>
      <c r="Q565" s="255">
        <v>0.0</v>
      </c>
      <c r="R565" s="259">
        <v>46012.0</v>
      </c>
      <c r="S565" s="260" t="s">
        <v>2246</v>
      </c>
      <c r="T565" s="259">
        <v>46015.0</v>
      </c>
      <c r="U565" s="255">
        <v>290.0</v>
      </c>
    </row>
    <row r="566">
      <c r="A566" s="257">
        <v>46014.4129709375</v>
      </c>
      <c r="B566" s="258" t="s">
        <v>3684</v>
      </c>
      <c r="C566" s="259">
        <v>46014.0</v>
      </c>
      <c r="D566" s="255" t="s">
        <v>3685</v>
      </c>
      <c r="H566" s="255">
        <v>7000.0</v>
      </c>
      <c r="I566" s="255">
        <v>1033.0</v>
      </c>
      <c r="K566" s="255" t="s">
        <v>2269</v>
      </c>
      <c r="L566" s="255" t="s">
        <v>2269</v>
      </c>
      <c r="M566" s="255" t="s">
        <v>946</v>
      </c>
      <c r="N566" s="255">
        <v>180000.0</v>
      </c>
      <c r="P566" s="255" t="s">
        <v>2208</v>
      </c>
      <c r="Q566" s="255">
        <v>0.0</v>
      </c>
      <c r="R566" s="259">
        <v>46014.0</v>
      </c>
      <c r="S566" s="260" t="s">
        <v>2330</v>
      </c>
      <c r="T566" s="259">
        <v>46019.0</v>
      </c>
      <c r="U566" s="255">
        <v>0.0</v>
      </c>
    </row>
    <row r="567">
      <c r="A567" s="257">
        <v>46014.62863972222</v>
      </c>
      <c r="B567" s="258" t="s">
        <v>3686</v>
      </c>
      <c r="C567" s="259">
        <v>46014.0</v>
      </c>
      <c r="F567" s="255">
        <v>7.9654197473E10</v>
      </c>
      <c r="H567" s="255">
        <v>3000.0</v>
      </c>
      <c r="J567" s="255">
        <v>8490.0</v>
      </c>
      <c r="K567" s="255" t="s">
        <v>2269</v>
      </c>
      <c r="L567" s="255" t="s">
        <v>2269</v>
      </c>
      <c r="M567" s="255" t="s">
        <v>73</v>
      </c>
      <c r="N567" s="255">
        <v>70000.0</v>
      </c>
      <c r="P567" s="255" t="s">
        <v>2208</v>
      </c>
      <c r="Q567" s="255">
        <v>2.0</v>
      </c>
      <c r="R567" s="259">
        <v>46014.0</v>
      </c>
      <c r="S567" s="260" t="s">
        <v>2231</v>
      </c>
      <c r="T567" s="259">
        <v>46045.0</v>
      </c>
      <c r="U567" s="255">
        <v>0.0</v>
      </c>
    </row>
    <row r="568">
      <c r="A568" s="257">
        <v>46015.240136168984</v>
      </c>
      <c r="B568" s="258" t="s">
        <v>3687</v>
      </c>
      <c r="C568" s="259">
        <v>46015.0</v>
      </c>
      <c r="D568" s="255" t="s">
        <v>3688</v>
      </c>
      <c r="E568" s="255" t="s">
        <v>3689</v>
      </c>
      <c r="F568" s="255" t="s">
        <v>3690</v>
      </c>
      <c r="H568" s="255">
        <v>7000.0</v>
      </c>
      <c r="K568" s="255" t="s">
        <v>3689</v>
      </c>
      <c r="L568" s="255" t="s">
        <v>3689</v>
      </c>
      <c r="M568" s="255" t="s">
        <v>971</v>
      </c>
      <c r="N568" s="255">
        <v>120000.0</v>
      </c>
      <c r="P568" s="255" t="s">
        <v>2208</v>
      </c>
      <c r="Q568" s="255">
        <v>2.0</v>
      </c>
      <c r="R568" s="259">
        <v>46015.0</v>
      </c>
      <c r="S568" s="260" t="s">
        <v>2330</v>
      </c>
      <c r="U568" s="255">
        <v>290.0</v>
      </c>
    </row>
    <row r="569">
      <c r="A569" s="257">
        <v>46015.54377892361</v>
      </c>
      <c r="B569" s="258" t="s">
        <v>3691</v>
      </c>
      <c r="C569" s="259">
        <v>46015.0</v>
      </c>
      <c r="E569" s="255" t="s">
        <v>3692</v>
      </c>
      <c r="F569" s="255">
        <v>8.9124125869E10</v>
      </c>
      <c r="H569" s="255">
        <v>3000.0</v>
      </c>
      <c r="I569" s="255">
        <v>494.0</v>
      </c>
      <c r="K569" s="255" t="s">
        <v>3692</v>
      </c>
      <c r="L569" s="255" t="s">
        <v>3692</v>
      </c>
      <c r="M569" s="255" t="s">
        <v>73</v>
      </c>
      <c r="P569" s="255" t="s">
        <v>2208</v>
      </c>
      <c r="Q569" s="255">
        <v>3.0</v>
      </c>
      <c r="R569" s="259">
        <v>46015.0</v>
      </c>
      <c r="S569" s="260" t="s">
        <v>2221</v>
      </c>
      <c r="T569" s="259">
        <v>46020.0</v>
      </c>
      <c r="U569" s="255">
        <v>290.0</v>
      </c>
    </row>
    <row r="570">
      <c r="A570" s="257">
        <v>46015.631904988426</v>
      </c>
      <c r="B570" s="258" t="s">
        <v>3693</v>
      </c>
      <c r="C570" s="259">
        <v>46015.0</v>
      </c>
      <c r="D570" s="255" t="s">
        <v>3694</v>
      </c>
      <c r="E570" s="255" t="s">
        <v>3695</v>
      </c>
      <c r="F570" s="255">
        <v>8.9825106009E10</v>
      </c>
      <c r="G570" s="260" t="s">
        <v>3696</v>
      </c>
      <c r="H570" s="255">
        <v>3000.0</v>
      </c>
      <c r="I570" s="255">
        <v>374.0</v>
      </c>
      <c r="K570" s="255" t="s">
        <v>3695</v>
      </c>
      <c r="L570" s="255" t="s">
        <v>3695</v>
      </c>
      <c r="M570" s="255" t="s">
        <v>98</v>
      </c>
      <c r="N570" s="255">
        <v>70000.0</v>
      </c>
      <c r="P570" s="255" t="s">
        <v>2208</v>
      </c>
      <c r="Q570" s="255">
        <v>2.0</v>
      </c>
      <c r="R570" s="259">
        <v>46015.0</v>
      </c>
      <c r="S570" s="260" t="s">
        <v>2231</v>
      </c>
      <c r="T570" s="259">
        <v>46035.0</v>
      </c>
      <c r="U570" s="255">
        <v>590.0</v>
      </c>
    </row>
    <row r="571">
      <c r="A571" s="257">
        <v>46016.72959631945</v>
      </c>
      <c r="B571" s="258" t="s">
        <v>3697</v>
      </c>
      <c r="C571" s="259">
        <v>46016.0</v>
      </c>
      <c r="E571" s="255" t="s">
        <v>3698</v>
      </c>
      <c r="F571" s="260" t="s">
        <v>2505</v>
      </c>
      <c r="H571" s="255">
        <v>3000.0</v>
      </c>
      <c r="I571" s="255">
        <v>494.0</v>
      </c>
      <c r="K571" s="255" t="s">
        <v>3698</v>
      </c>
      <c r="L571" s="255" t="s">
        <v>3698</v>
      </c>
      <c r="M571" s="255" t="s">
        <v>98</v>
      </c>
      <c r="N571" s="255">
        <v>70000.0</v>
      </c>
      <c r="P571" s="255" t="s">
        <v>2208</v>
      </c>
      <c r="Q571" s="255">
        <v>2.0</v>
      </c>
      <c r="R571" s="259">
        <v>46016.0</v>
      </c>
      <c r="S571" s="260" t="s">
        <v>2246</v>
      </c>
      <c r="T571" s="259">
        <v>46021.0</v>
      </c>
      <c r="U571" s="255">
        <v>290.0</v>
      </c>
    </row>
    <row r="572">
      <c r="A572" s="257">
        <v>46017.26711431713</v>
      </c>
      <c r="B572" s="258" t="s">
        <v>3699</v>
      </c>
      <c r="C572" s="259">
        <v>46017.0</v>
      </c>
      <c r="E572" s="255" t="s">
        <v>3700</v>
      </c>
      <c r="F572" s="255" t="s">
        <v>3701</v>
      </c>
      <c r="H572" s="255">
        <v>3000.0</v>
      </c>
      <c r="I572" s="255">
        <v>445.0</v>
      </c>
      <c r="K572" s="255" t="s">
        <v>3702</v>
      </c>
      <c r="L572" s="255" t="s">
        <v>3702</v>
      </c>
      <c r="M572" s="255" t="s">
        <v>44</v>
      </c>
      <c r="N572" s="255">
        <v>70000.0</v>
      </c>
      <c r="P572" s="255" t="s">
        <v>2208</v>
      </c>
      <c r="Q572" s="255">
        <v>2.0</v>
      </c>
      <c r="R572" s="259">
        <v>46017.0</v>
      </c>
      <c r="S572" s="260" t="s">
        <v>2324</v>
      </c>
      <c r="T572" s="259">
        <v>46028.0</v>
      </c>
      <c r="U572" s="255">
        <v>0.0</v>
      </c>
    </row>
    <row r="573">
      <c r="A573" s="257">
        <v>46017.74380138889</v>
      </c>
      <c r="B573" s="258" t="s">
        <v>3703</v>
      </c>
      <c r="C573" s="259">
        <v>46017.0</v>
      </c>
      <c r="E573" s="255" t="s">
        <v>3704</v>
      </c>
      <c r="H573" s="255">
        <v>7000.0</v>
      </c>
      <c r="J573" s="255">
        <v>18990.0</v>
      </c>
      <c r="K573" s="255" t="s">
        <v>3704</v>
      </c>
      <c r="L573" s="255" t="s">
        <v>3704</v>
      </c>
      <c r="M573" s="255" t="s">
        <v>951</v>
      </c>
      <c r="N573" s="255">
        <v>120000.0</v>
      </c>
      <c r="P573" s="255" t="s">
        <v>2208</v>
      </c>
      <c r="Q573" s="255">
        <v>2.0</v>
      </c>
      <c r="R573" s="259">
        <v>46017.0</v>
      </c>
      <c r="S573" s="260" t="s">
        <v>2246</v>
      </c>
      <c r="T573" s="259">
        <v>46047.0</v>
      </c>
      <c r="U573" s="255">
        <v>590.0</v>
      </c>
    </row>
    <row r="574">
      <c r="A574" s="257">
        <v>46018.25912284722</v>
      </c>
      <c r="B574" s="258" t="s">
        <v>3705</v>
      </c>
      <c r="C574" s="259">
        <v>46018.0</v>
      </c>
      <c r="D574" s="255" t="s">
        <v>3706</v>
      </c>
      <c r="E574" s="255" t="s">
        <v>3707</v>
      </c>
      <c r="F574" s="255" t="s">
        <v>3708</v>
      </c>
      <c r="H574" s="255">
        <v>7000.0</v>
      </c>
      <c r="I574" s="255">
        <v>930.0</v>
      </c>
      <c r="K574" s="255" t="s">
        <v>2269</v>
      </c>
      <c r="L574" s="255" t="s">
        <v>2269</v>
      </c>
      <c r="M574" s="255" t="s">
        <v>971</v>
      </c>
      <c r="N574" s="255">
        <v>120000.0</v>
      </c>
      <c r="P574" s="255" t="s">
        <v>2208</v>
      </c>
      <c r="Q574" s="255">
        <v>2.0</v>
      </c>
      <c r="R574" s="259">
        <v>46018.0</v>
      </c>
      <c r="S574" s="260" t="s">
        <v>2265</v>
      </c>
      <c r="T574" s="259">
        <v>46029.0</v>
      </c>
      <c r="U574" s="255">
        <v>0.0</v>
      </c>
    </row>
    <row r="575">
      <c r="A575" s="257">
        <v>46018.525042685185</v>
      </c>
      <c r="B575" s="258" t="s">
        <v>3709</v>
      </c>
      <c r="C575" s="259">
        <v>46018.0</v>
      </c>
      <c r="D575" s="255" t="s">
        <v>3710</v>
      </c>
      <c r="E575" s="255" t="s">
        <v>3711</v>
      </c>
      <c r="K575" s="255" t="s">
        <v>3711</v>
      </c>
      <c r="L575" s="255" t="s">
        <v>3711</v>
      </c>
      <c r="M575" s="255" t="s">
        <v>914</v>
      </c>
      <c r="P575" s="255" t="s">
        <v>2208</v>
      </c>
      <c r="Q575" s="255">
        <v>1.0</v>
      </c>
      <c r="R575" s="259">
        <v>46018.0</v>
      </c>
      <c r="T575" s="259">
        <v>46027.0</v>
      </c>
      <c r="U575" s="255">
        <v>490.0</v>
      </c>
    </row>
    <row r="576">
      <c r="A576" s="257">
        <v>46019.713488761576</v>
      </c>
      <c r="B576" s="258" t="s">
        <v>3712</v>
      </c>
      <c r="C576" s="259">
        <v>46019.0</v>
      </c>
      <c r="D576" s="255" t="s">
        <v>3713</v>
      </c>
      <c r="E576" s="255" t="s">
        <v>3714</v>
      </c>
      <c r="H576" s="255">
        <v>7000.0</v>
      </c>
      <c r="I576" s="255">
        <v>999.0</v>
      </c>
      <c r="K576" s="255" t="s">
        <v>3714</v>
      </c>
      <c r="L576" s="255" t="s">
        <v>3714</v>
      </c>
      <c r="M576" s="255" t="s">
        <v>1065</v>
      </c>
      <c r="P576" s="255" t="s">
        <v>2208</v>
      </c>
      <c r="Q576" s="255">
        <v>2.0</v>
      </c>
      <c r="R576" s="259">
        <v>46019.0</v>
      </c>
      <c r="S576" s="260" t="s">
        <v>2246</v>
      </c>
      <c r="T576" s="259">
        <v>45998.0</v>
      </c>
      <c r="U576" s="255">
        <v>290.0</v>
      </c>
    </row>
    <row r="577">
      <c r="A577" s="257">
        <v>46020.49870655093</v>
      </c>
      <c r="B577" s="258" t="s">
        <v>3715</v>
      </c>
      <c r="C577" s="259">
        <v>46020.0</v>
      </c>
      <c r="H577" s="255">
        <v>7000.0</v>
      </c>
      <c r="I577" s="255">
        <v>898.0</v>
      </c>
      <c r="K577" s="255" t="s">
        <v>2269</v>
      </c>
      <c r="L577" s="255" t="s">
        <v>2269</v>
      </c>
      <c r="M577" s="255" t="s">
        <v>946</v>
      </c>
      <c r="P577" s="255" t="s">
        <v>2208</v>
      </c>
      <c r="Q577" s="255">
        <v>2.0</v>
      </c>
      <c r="R577" s="259">
        <v>46020.0</v>
      </c>
      <c r="S577" s="260" t="s">
        <v>2330</v>
      </c>
      <c r="T577" s="259">
        <v>46038.0</v>
      </c>
      <c r="U577" s="255">
        <v>0.0</v>
      </c>
    </row>
    <row r="578">
      <c r="A578" s="257">
        <v>46020.64675215278</v>
      </c>
      <c r="B578" s="258" t="s">
        <v>3716</v>
      </c>
      <c r="C578" s="259">
        <v>46020.0</v>
      </c>
      <c r="D578" s="255" t="s">
        <v>3717</v>
      </c>
      <c r="E578" s="255" t="s">
        <v>3718</v>
      </c>
      <c r="F578" s="255">
        <v>6.281226982991E12</v>
      </c>
      <c r="H578" s="255">
        <v>3000.0</v>
      </c>
      <c r="I578" s="255">
        <v>445.0</v>
      </c>
      <c r="K578" s="255" t="s">
        <v>2269</v>
      </c>
      <c r="L578" s="255" t="s">
        <v>2269</v>
      </c>
      <c r="M578" s="255" t="s">
        <v>73</v>
      </c>
      <c r="N578" s="255">
        <v>70000.0</v>
      </c>
      <c r="P578" s="255" t="s">
        <v>2208</v>
      </c>
      <c r="Q578" s="255">
        <v>2.0</v>
      </c>
      <c r="R578" s="259">
        <v>46020.0</v>
      </c>
      <c r="S578" s="260" t="s">
        <v>2231</v>
      </c>
      <c r="T578" s="259">
        <v>46031.0</v>
      </c>
      <c r="U578" s="255">
        <v>0.0</v>
      </c>
    </row>
    <row r="579">
      <c r="A579" s="257">
        <v>46021.28841043981</v>
      </c>
      <c r="B579" s="258" t="s">
        <v>3719</v>
      </c>
      <c r="C579" s="259">
        <v>46021.0</v>
      </c>
      <c r="D579" s="255" t="s">
        <v>2507</v>
      </c>
      <c r="E579" s="255" t="s">
        <v>3720</v>
      </c>
      <c r="F579" s="255" t="s">
        <v>3721</v>
      </c>
      <c r="H579" s="255">
        <v>7000.0</v>
      </c>
      <c r="I579" s="255">
        <v>930.0</v>
      </c>
      <c r="M579" s="255" t="s">
        <v>960</v>
      </c>
      <c r="N579" s="255">
        <v>120000.0</v>
      </c>
      <c r="P579" s="255" t="s">
        <v>2208</v>
      </c>
      <c r="Q579" s="255">
        <v>2.0</v>
      </c>
      <c r="R579" s="259">
        <v>46027.0</v>
      </c>
      <c r="S579" s="260" t="s">
        <v>2330</v>
      </c>
      <c r="T579" s="259">
        <v>46038.0</v>
      </c>
      <c r="U579" s="255">
        <v>0.0</v>
      </c>
    </row>
    <row r="580">
      <c r="A580" s="257">
        <v>46021.28972797454</v>
      </c>
      <c r="B580" s="258" t="s">
        <v>3722</v>
      </c>
      <c r="C580" s="259">
        <v>46021.0</v>
      </c>
      <c r="D580" s="255" t="s">
        <v>2507</v>
      </c>
      <c r="E580" s="255" t="s">
        <v>3723</v>
      </c>
      <c r="F580" s="255" t="s">
        <v>3724</v>
      </c>
      <c r="H580" s="255">
        <v>7000.0</v>
      </c>
      <c r="I580" s="255">
        <v>930.0</v>
      </c>
      <c r="M580" s="255" t="s">
        <v>946</v>
      </c>
      <c r="N580" s="255">
        <v>120000.0</v>
      </c>
      <c r="P580" s="255" t="s">
        <v>2208</v>
      </c>
      <c r="Q580" s="255">
        <v>2.0</v>
      </c>
      <c r="R580" s="259">
        <v>46027.0</v>
      </c>
      <c r="S580" s="260" t="s">
        <v>2330</v>
      </c>
      <c r="T580" s="259">
        <v>46038.0</v>
      </c>
      <c r="U580" s="255">
        <v>0.0</v>
      </c>
    </row>
    <row r="581">
      <c r="A581" s="257">
        <v>46021.29159090278</v>
      </c>
      <c r="B581" s="258" t="s">
        <v>3725</v>
      </c>
      <c r="C581" s="259">
        <v>46021.0</v>
      </c>
      <c r="D581" s="255" t="s">
        <v>3726</v>
      </c>
      <c r="E581" s="255" t="s">
        <v>3727</v>
      </c>
      <c r="F581" s="255">
        <v>7.9870649417E10</v>
      </c>
      <c r="H581" s="255">
        <v>3000.0</v>
      </c>
      <c r="I581" s="255">
        <v>454.0</v>
      </c>
      <c r="K581" s="255" t="s">
        <v>2269</v>
      </c>
      <c r="L581" s="255" t="s">
        <v>2269</v>
      </c>
      <c r="M581" s="255" t="s">
        <v>48</v>
      </c>
      <c r="N581" s="255">
        <v>70000.0</v>
      </c>
      <c r="P581" s="255" t="s">
        <v>2208</v>
      </c>
      <c r="Q581" s="255">
        <v>2.0</v>
      </c>
      <c r="R581" s="259">
        <v>46030.0</v>
      </c>
      <c r="S581" s="260" t="s">
        <v>2221</v>
      </c>
      <c r="T581" s="259">
        <v>46040.0</v>
      </c>
      <c r="U581" s="255">
        <v>0.0</v>
      </c>
    </row>
    <row r="582">
      <c r="A582" s="257">
        <v>46021.59487568287</v>
      </c>
      <c r="B582" s="258" t="s">
        <v>3728</v>
      </c>
      <c r="C582" s="259">
        <v>46021.0</v>
      </c>
      <c r="D582" s="255" t="s">
        <v>3729</v>
      </c>
      <c r="E582" s="255" t="s">
        <v>3730</v>
      </c>
      <c r="F582" s="255">
        <v>8.9084554722E10</v>
      </c>
      <c r="H582" s="255">
        <v>7000.0</v>
      </c>
      <c r="J582" s="255">
        <v>18990.0</v>
      </c>
      <c r="K582" s="255" t="s">
        <v>2269</v>
      </c>
      <c r="L582" s="255" t="s">
        <v>2269</v>
      </c>
      <c r="M582" s="255" t="s">
        <v>946</v>
      </c>
      <c r="N582" s="255">
        <v>120000.0</v>
      </c>
      <c r="P582" s="255" t="s">
        <v>2208</v>
      </c>
      <c r="Q582" s="255">
        <v>2.0</v>
      </c>
      <c r="R582" s="259">
        <v>46021.0</v>
      </c>
      <c r="S582" s="260" t="s">
        <v>2221</v>
      </c>
      <c r="T582" s="259">
        <v>46052.0</v>
      </c>
      <c r="U582" s="255">
        <v>0.0</v>
      </c>
    </row>
    <row r="583">
      <c r="A583" s="257">
        <v>46022.29247206019</v>
      </c>
      <c r="B583" s="258" t="s">
        <v>3731</v>
      </c>
      <c r="C583" s="259">
        <v>46026.0</v>
      </c>
      <c r="D583" s="255" t="s">
        <v>3729</v>
      </c>
      <c r="E583" s="255" t="s">
        <v>3730</v>
      </c>
      <c r="F583" s="255">
        <v>8.9084554722E10</v>
      </c>
      <c r="H583" s="255">
        <v>5000.0</v>
      </c>
      <c r="I583" s="255">
        <v>869.0</v>
      </c>
      <c r="K583" s="255" t="s">
        <v>2269</v>
      </c>
      <c r="L583" s="255" t="s">
        <v>2269</v>
      </c>
      <c r="M583" s="255" t="s">
        <v>64</v>
      </c>
      <c r="N583" s="255">
        <v>120000.0</v>
      </c>
      <c r="P583" s="255" t="s">
        <v>2208</v>
      </c>
      <c r="Q583" s="255">
        <v>2.0</v>
      </c>
      <c r="R583" s="259">
        <v>46026.0</v>
      </c>
      <c r="S583" s="260" t="s">
        <v>2330</v>
      </c>
      <c r="T583" s="259">
        <v>46029.0</v>
      </c>
      <c r="U583" s="255">
        <v>0.0</v>
      </c>
    </row>
    <row r="584">
      <c r="A584" s="257">
        <v>46022.29351722222</v>
      </c>
      <c r="B584" s="258" t="s">
        <v>3732</v>
      </c>
      <c r="C584" s="259">
        <v>46022.0</v>
      </c>
      <c r="D584" s="255" t="s">
        <v>3729</v>
      </c>
      <c r="E584" s="255" t="s">
        <v>3730</v>
      </c>
      <c r="F584" s="255">
        <v>8.9084554722E10</v>
      </c>
      <c r="H584" s="255">
        <v>30000.0</v>
      </c>
      <c r="I584" s="255">
        <v>2883.0</v>
      </c>
      <c r="K584" s="255" t="s">
        <v>2269</v>
      </c>
      <c r="L584" s="255" t="s">
        <v>2269</v>
      </c>
      <c r="M584" s="255" t="s">
        <v>967</v>
      </c>
      <c r="N584" s="255">
        <v>500000.0</v>
      </c>
      <c r="P584" s="255" t="s">
        <v>2208</v>
      </c>
      <c r="Q584" s="255">
        <v>2.0</v>
      </c>
      <c r="R584" s="259">
        <v>46029.0</v>
      </c>
      <c r="S584" s="260" t="s">
        <v>2330</v>
      </c>
      <c r="T584" s="259">
        <v>46036.0</v>
      </c>
      <c r="U584" s="255">
        <v>0.0</v>
      </c>
    </row>
    <row r="585">
      <c r="A585" s="257">
        <v>46022.29462324074</v>
      </c>
      <c r="B585" s="258" t="s">
        <v>3733</v>
      </c>
      <c r="C585" s="259">
        <v>46022.0</v>
      </c>
      <c r="D585" s="255" t="s">
        <v>3729</v>
      </c>
      <c r="E585" s="255" t="s">
        <v>3730</v>
      </c>
      <c r="F585" s="255">
        <v>8.9084554722E10</v>
      </c>
      <c r="H585" s="255">
        <v>7000.0</v>
      </c>
      <c r="I585" s="255">
        <v>877.0</v>
      </c>
      <c r="K585" s="255" t="s">
        <v>2269</v>
      </c>
      <c r="L585" s="255" t="s">
        <v>2269</v>
      </c>
      <c r="M585" s="255" t="s">
        <v>981</v>
      </c>
      <c r="N585" s="255">
        <v>150000.0</v>
      </c>
      <c r="P585" s="255" t="s">
        <v>2208</v>
      </c>
      <c r="Q585" s="255">
        <v>2.0</v>
      </c>
      <c r="R585" s="259">
        <v>46036.0</v>
      </c>
      <c r="S585" s="260" t="s">
        <v>2330</v>
      </c>
      <c r="T585" s="259">
        <v>46052.0</v>
      </c>
      <c r="U585" s="255">
        <v>0.0</v>
      </c>
    </row>
    <row r="586">
      <c r="A586" s="257">
        <v>46022.29605824074</v>
      </c>
      <c r="B586" s="258" t="s">
        <v>3734</v>
      </c>
      <c r="C586" s="259">
        <v>46022.0</v>
      </c>
      <c r="D586" s="255" t="s">
        <v>2507</v>
      </c>
      <c r="E586" s="255" t="s">
        <v>2904</v>
      </c>
      <c r="F586" s="255" t="s">
        <v>3735</v>
      </c>
      <c r="H586" s="255">
        <v>5000.0</v>
      </c>
      <c r="I586" s="255">
        <v>691.0</v>
      </c>
      <c r="K586" s="255" t="s">
        <v>2269</v>
      </c>
      <c r="L586" s="255" t="s">
        <v>2269</v>
      </c>
      <c r="M586" s="255" t="s">
        <v>202</v>
      </c>
      <c r="N586" s="255">
        <v>10000.0</v>
      </c>
      <c r="P586" s="255" t="s">
        <v>2208</v>
      </c>
      <c r="Q586" s="255">
        <v>2.0</v>
      </c>
      <c r="R586" s="259">
        <v>46027.0</v>
      </c>
      <c r="S586" s="260" t="s">
        <v>2330</v>
      </c>
      <c r="T586" s="259">
        <v>46037.0</v>
      </c>
      <c r="U586" s="255">
        <v>0.0</v>
      </c>
    </row>
    <row r="587">
      <c r="A587" s="257">
        <v>46022.46136818287</v>
      </c>
      <c r="B587" s="258" t="s">
        <v>3736</v>
      </c>
      <c r="C587" s="259">
        <v>46022.0</v>
      </c>
      <c r="E587" s="255" t="s">
        <v>3737</v>
      </c>
      <c r="F587" s="255" t="s">
        <v>3738</v>
      </c>
      <c r="H587" s="255">
        <v>7000.0</v>
      </c>
      <c r="I587" s="255">
        <v>584.0</v>
      </c>
      <c r="L587" s="255" t="s">
        <v>2269</v>
      </c>
      <c r="M587" s="255" t="s">
        <v>279</v>
      </c>
      <c r="P587" s="255" t="s">
        <v>2208</v>
      </c>
      <c r="Q587" s="255">
        <v>1.0</v>
      </c>
      <c r="R587" s="259">
        <v>46022.0</v>
      </c>
      <c r="S587" s="260" t="s">
        <v>2330</v>
      </c>
      <c r="T587" s="259">
        <v>46033.0</v>
      </c>
      <c r="U587" s="255">
        <v>0.0</v>
      </c>
    </row>
    <row r="588">
      <c r="A588" s="257">
        <v>46022.467411412035</v>
      </c>
      <c r="B588" s="258" t="s">
        <v>3739</v>
      </c>
      <c r="C588" s="259">
        <v>46022.0</v>
      </c>
      <c r="E588" s="255" t="s">
        <v>3737</v>
      </c>
      <c r="F588" s="255" t="s">
        <v>3740</v>
      </c>
      <c r="H588" s="255">
        <v>15000.0</v>
      </c>
      <c r="I588" s="255">
        <v>832.0</v>
      </c>
      <c r="K588" s="255" t="s">
        <v>2269</v>
      </c>
      <c r="L588" s="255" t="s">
        <v>2269</v>
      </c>
      <c r="M588" s="255" t="s">
        <v>461</v>
      </c>
      <c r="P588" s="255" t="s">
        <v>2208</v>
      </c>
      <c r="Q588" s="255">
        <v>1.0</v>
      </c>
      <c r="R588" s="259">
        <v>46022.0</v>
      </c>
      <c r="S588" s="260" t="s">
        <v>2330</v>
      </c>
      <c r="T588" s="259">
        <v>46033.0</v>
      </c>
      <c r="U588" s="255">
        <v>0.0</v>
      </c>
    </row>
    <row r="589">
      <c r="A589" s="257">
        <v>46022.598338842596</v>
      </c>
      <c r="B589" s="258" t="s">
        <v>3741</v>
      </c>
      <c r="C589" s="259">
        <v>46022.0</v>
      </c>
      <c r="D589" s="255" t="s">
        <v>3742</v>
      </c>
      <c r="H589" s="255">
        <v>5000.0</v>
      </c>
      <c r="I589" s="255">
        <v>713.0</v>
      </c>
      <c r="K589" s="255" t="s">
        <v>2269</v>
      </c>
      <c r="L589" s="255" t="s">
        <v>2269</v>
      </c>
      <c r="M589" s="255" t="s">
        <v>64</v>
      </c>
      <c r="N589" s="255">
        <v>140000.0</v>
      </c>
      <c r="P589" s="255" t="s">
        <v>2208</v>
      </c>
      <c r="Q589" s="255">
        <v>2.0</v>
      </c>
      <c r="R589" s="259">
        <v>46022.0</v>
      </c>
      <c r="S589" s="260" t="s">
        <v>2235</v>
      </c>
      <c r="T589" s="259">
        <v>46036.0</v>
      </c>
      <c r="U589" s="255">
        <v>0.0</v>
      </c>
      <c r="V589" s="255" t="s">
        <v>1119</v>
      </c>
    </row>
    <row r="590">
      <c r="A590" s="257">
        <v>46026.3694740625</v>
      </c>
      <c r="B590" s="258" t="s">
        <v>3743</v>
      </c>
      <c r="C590" s="259">
        <v>46026.0</v>
      </c>
      <c r="D590" s="255" t="s">
        <v>3744</v>
      </c>
      <c r="E590" s="255" t="s">
        <v>3745</v>
      </c>
      <c r="F590" s="255" t="s">
        <v>3041</v>
      </c>
      <c r="H590" s="255">
        <v>25000.0</v>
      </c>
      <c r="I590" s="255">
        <v>2400.0</v>
      </c>
      <c r="K590" s="255" t="s">
        <v>3745</v>
      </c>
      <c r="L590" s="255" t="s">
        <v>3745</v>
      </c>
      <c r="M590" s="255" t="s">
        <v>914</v>
      </c>
      <c r="N590" s="255">
        <v>500000.0</v>
      </c>
      <c r="P590" s="255" t="s">
        <v>2208</v>
      </c>
      <c r="Q590" s="255">
        <v>2.0</v>
      </c>
      <c r="R590" s="259">
        <v>46030.0</v>
      </c>
      <c r="S590" s="260" t="s">
        <v>2330</v>
      </c>
      <c r="T590" s="259">
        <v>46044.0</v>
      </c>
      <c r="U590" s="255">
        <v>290.0</v>
      </c>
    </row>
    <row r="591">
      <c r="A591" s="257">
        <v>46026.37481717592</v>
      </c>
      <c r="B591" s="258" t="s">
        <v>3746</v>
      </c>
      <c r="C591" s="259">
        <v>46026.0</v>
      </c>
      <c r="E591" s="255" t="s">
        <v>3730</v>
      </c>
      <c r="F591" s="255" t="s">
        <v>3747</v>
      </c>
      <c r="H591" s="255">
        <v>20000.0</v>
      </c>
      <c r="I591" s="255">
        <v>1681.0</v>
      </c>
      <c r="K591" s="255" t="s">
        <v>3730</v>
      </c>
      <c r="L591" s="255" t="s">
        <v>3730</v>
      </c>
      <c r="M591" s="255" t="s">
        <v>916</v>
      </c>
      <c r="N591" s="255">
        <v>300000.0</v>
      </c>
      <c r="P591" s="255" t="s">
        <v>2208</v>
      </c>
      <c r="Q591" s="255">
        <v>1.0</v>
      </c>
      <c r="R591" s="259">
        <v>46026.0</v>
      </c>
      <c r="S591" s="260" t="s">
        <v>2330</v>
      </c>
      <c r="T591" s="259">
        <v>46037.0</v>
      </c>
      <c r="U591" s="255">
        <v>290.0</v>
      </c>
    </row>
    <row r="592">
      <c r="A592" s="257">
        <v>46027.361614444446</v>
      </c>
      <c r="B592" s="258" t="s">
        <v>3748</v>
      </c>
      <c r="C592" s="259">
        <v>46027.0</v>
      </c>
      <c r="D592" s="255" t="s">
        <v>3749</v>
      </c>
      <c r="E592" s="255" t="s">
        <v>3750</v>
      </c>
      <c r="F592" s="255" t="s">
        <v>3751</v>
      </c>
      <c r="G592" s="255" t="s">
        <v>3752</v>
      </c>
      <c r="H592" s="255">
        <v>3000.0</v>
      </c>
      <c r="I592" s="255">
        <v>464.0</v>
      </c>
      <c r="K592" s="255" t="s">
        <v>3750</v>
      </c>
      <c r="L592" s="255" t="s">
        <v>3750</v>
      </c>
      <c r="M592" s="255" t="s">
        <v>98</v>
      </c>
      <c r="N592" s="255">
        <v>70000.0</v>
      </c>
      <c r="P592" s="255" t="s">
        <v>2208</v>
      </c>
      <c r="Q592" s="255">
        <v>2.0</v>
      </c>
      <c r="R592" s="259">
        <v>46027.0</v>
      </c>
      <c r="S592" s="260" t="s">
        <v>2235</v>
      </c>
      <c r="T592" s="259">
        <v>46034.0</v>
      </c>
      <c r="U592" s="255">
        <v>290.0</v>
      </c>
    </row>
    <row r="593">
      <c r="A593" s="257">
        <v>46027.38377583333</v>
      </c>
      <c r="B593" s="258" t="s">
        <v>3753</v>
      </c>
      <c r="C593" s="259">
        <v>46027.0</v>
      </c>
      <c r="D593" s="255" t="s">
        <v>3749</v>
      </c>
      <c r="E593" s="255" t="s">
        <v>3750</v>
      </c>
      <c r="F593" s="255" t="s">
        <v>3751</v>
      </c>
      <c r="H593" s="255">
        <v>3000.0</v>
      </c>
      <c r="I593" s="255">
        <v>464.0</v>
      </c>
      <c r="K593" s="255" t="s">
        <v>3750</v>
      </c>
      <c r="L593" s="255" t="s">
        <v>3750</v>
      </c>
      <c r="M593" s="255" t="s">
        <v>98</v>
      </c>
      <c r="P593" s="255" t="s">
        <v>2208</v>
      </c>
      <c r="Q593" s="255">
        <v>2.0</v>
      </c>
      <c r="R593" s="259">
        <v>46027.0</v>
      </c>
      <c r="S593" s="260" t="s">
        <v>2235</v>
      </c>
      <c r="T593" s="259">
        <v>46034.0</v>
      </c>
      <c r="U593" s="255">
        <v>290.0</v>
      </c>
    </row>
    <row r="594">
      <c r="A594" s="257">
        <v>46028.60783</v>
      </c>
      <c r="B594" s="258" t="s">
        <v>3754</v>
      </c>
      <c r="C594" s="259">
        <v>46028.0</v>
      </c>
      <c r="E594" s="255" t="s">
        <v>3755</v>
      </c>
      <c r="F594" s="255" t="s">
        <v>3756</v>
      </c>
      <c r="H594" s="255">
        <v>3000.0</v>
      </c>
      <c r="I594" s="255">
        <v>389.0</v>
      </c>
      <c r="K594" s="255" t="s">
        <v>3757</v>
      </c>
      <c r="L594" s="255" t="s">
        <v>3757</v>
      </c>
      <c r="M594" s="255" t="s">
        <v>77</v>
      </c>
      <c r="P594" s="255" t="s">
        <v>2208</v>
      </c>
      <c r="Q594" s="255">
        <v>2.0</v>
      </c>
      <c r="R594" s="259">
        <v>46028.0</v>
      </c>
      <c r="S594" s="260" t="s">
        <v>2250</v>
      </c>
      <c r="T594" s="259">
        <v>46045.0</v>
      </c>
      <c r="U594" s="255">
        <v>290.0</v>
      </c>
    </row>
    <row r="595">
      <c r="A595" s="257">
        <v>46028.64279745371</v>
      </c>
      <c r="B595" s="258" t="s">
        <v>3758</v>
      </c>
      <c r="C595" s="259">
        <v>46028.0</v>
      </c>
      <c r="E595" s="255" t="s">
        <v>3759</v>
      </c>
      <c r="H595" s="255">
        <v>7000.0</v>
      </c>
      <c r="I595" s="255">
        <v>781.0</v>
      </c>
      <c r="K595" s="255" t="s">
        <v>3759</v>
      </c>
      <c r="L595" s="255" t="s">
        <v>3759</v>
      </c>
      <c r="M595" s="255" t="s">
        <v>971</v>
      </c>
      <c r="P595" s="255" t="s">
        <v>2208</v>
      </c>
      <c r="Q595" s="255">
        <v>2.0</v>
      </c>
      <c r="R595" s="259">
        <v>46031.0</v>
      </c>
      <c r="S595" s="260" t="s">
        <v>2330</v>
      </c>
      <c r="T595" s="259">
        <v>46051.0</v>
      </c>
      <c r="U595" s="255">
        <v>290.0</v>
      </c>
    </row>
    <row r="596">
      <c r="A596" s="257">
        <v>46028.65028613426</v>
      </c>
      <c r="B596" s="258" t="s">
        <v>3760</v>
      </c>
      <c r="C596" s="259">
        <v>46028.0</v>
      </c>
      <c r="E596" s="255" t="s">
        <v>3761</v>
      </c>
      <c r="F596" s="255" t="s">
        <v>3762</v>
      </c>
      <c r="H596" s="255" t="s">
        <v>912</v>
      </c>
      <c r="I596" s="255">
        <v>389.0</v>
      </c>
      <c r="K596" s="255" t="s">
        <v>3761</v>
      </c>
      <c r="L596" s="255" t="s">
        <v>3761</v>
      </c>
      <c r="M596" s="255" t="s">
        <v>77</v>
      </c>
      <c r="P596" s="255" t="s">
        <v>2208</v>
      </c>
      <c r="Q596" s="255">
        <v>2.0</v>
      </c>
      <c r="R596" s="259">
        <v>46028.0</v>
      </c>
      <c r="S596" s="260" t="s">
        <v>2246</v>
      </c>
      <c r="T596" s="259">
        <v>46045.0</v>
      </c>
      <c r="U596" s="255">
        <v>290.0</v>
      </c>
    </row>
    <row r="597">
      <c r="A597" s="257">
        <v>46028.76588358796</v>
      </c>
      <c r="B597" s="258" t="s">
        <v>3763</v>
      </c>
      <c r="C597" s="259">
        <v>46028.0</v>
      </c>
      <c r="E597" s="255" t="s">
        <v>3764</v>
      </c>
      <c r="F597" s="255">
        <v>7.9292244666E10</v>
      </c>
      <c r="H597" s="255">
        <v>7000.0</v>
      </c>
      <c r="I597" s="255">
        <v>877.0</v>
      </c>
      <c r="K597" s="255" t="s">
        <v>3764</v>
      </c>
      <c r="L597" s="255" t="s">
        <v>3764</v>
      </c>
      <c r="M597" s="255" t="s">
        <v>941</v>
      </c>
      <c r="N597" s="255">
        <v>150000.0</v>
      </c>
      <c r="P597" s="255" t="s">
        <v>2208</v>
      </c>
      <c r="Q597" s="255">
        <v>2.0</v>
      </c>
      <c r="R597" s="259">
        <v>46028.0</v>
      </c>
      <c r="S597" s="260" t="s">
        <v>2250</v>
      </c>
      <c r="T597" s="259">
        <v>46044.0</v>
      </c>
      <c r="U597" s="255">
        <v>290.0</v>
      </c>
    </row>
    <row r="598">
      <c r="A598" s="257">
        <v>46029.248195555556</v>
      </c>
      <c r="B598" s="258" t="s">
        <v>3765</v>
      </c>
      <c r="C598" s="259">
        <v>46029.0</v>
      </c>
      <c r="D598" s="255" t="s">
        <v>3766</v>
      </c>
      <c r="E598" s="255" t="s">
        <v>3767</v>
      </c>
      <c r="F598" s="255" t="s">
        <v>3768</v>
      </c>
      <c r="H598" s="255">
        <v>3000.0</v>
      </c>
      <c r="I598" s="255">
        <v>494.0</v>
      </c>
      <c r="K598" s="255" t="s">
        <v>3767</v>
      </c>
      <c r="L598" s="255" t="s">
        <v>3767</v>
      </c>
      <c r="M598" s="255" t="s">
        <v>44</v>
      </c>
      <c r="N598" s="255">
        <v>70000.0</v>
      </c>
      <c r="P598" s="255" t="s">
        <v>2208</v>
      </c>
      <c r="Q598" s="255">
        <v>2.0</v>
      </c>
      <c r="R598" s="259">
        <v>46029.0</v>
      </c>
      <c r="S598" s="260" t="s">
        <v>2324</v>
      </c>
      <c r="T598" s="259">
        <v>46034.0</v>
      </c>
      <c r="U598" s="255">
        <v>290.0</v>
      </c>
    </row>
    <row r="599">
      <c r="A599" s="257">
        <v>46031.38166746528</v>
      </c>
      <c r="B599" s="258" t="s">
        <v>3769</v>
      </c>
      <c r="C599" s="259">
        <v>46031.0</v>
      </c>
      <c r="D599" s="255" t="s">
        <v>3770</v>
      </c>
      <c r="E599" s="255" t="s">
        <v>2733</v>
      </c>
      <c r="F599" s="255" t="s">
        <v>3771</v>
      </c>
      <c r="G599" s="255" t="s">
        <v>3772</v>
      </c>
      <c r="H599" s="255">
        <v>7000.0</v>
      </c>
      <c r="I599" s="255">
        <v>961.0</v>
      </c>
      <c r="K599" s="255" t="s">
        <v>2733</v>
      </c>
      <c r="L599" s="255" t="s">
        <v>2733</v>
      </c>
      <c r="M599" s="255" t="s">
        <v>971</v>
      </c>
      <c r="N599" s="255">
        <v>120000.0</v>
      </c>
      <c r="P599" s="255" t="s">
        <v>2208</v>
      </c>
      <c r="Q599" s="255">
        <v>2.0</v>
      </c>
      <c r="R599" s="259">
        <v>46031.0</v>
      </c>
      <c r="S599" s="260" t="s">
        <v>2324</v>
      </c>
      <c r="T599" s="259">
        <v>46039.0</v>
      </c>
      <c r="U599" s="255">
        <v>290.0</v>
      </c>
    </row>
    <row r="600">
      <c r="A600" s="257">
        <v>46031.560643969904</v>
      </c>
      <c r="B600" s="258" t="s">
        <v>3773</v>
      </c>
      <c r="C600" s="259">
        <v>46031.0</v>
      </c>
      <c r="D600" s="255" t="s">
        <v>3774</v>
      </c>
      <c r="E600" s="255" t="s">
        <v>3775</v>
      </c>
      <c r="F600" s="260" t="s">
        <v>3776</v>
      </c>
      <c r="H600" s="255">
        <v>15000.0</v>
      </c>
      <c r="I600" s="255">
        <v>1199.0</v>
      </c>
      <c r="K600" s="255" t="s">
        <v>2269</v>
      </c>
      <c r="L600" s="255" t="s">
        <v>2269</v>
      </c>
      <c r="M600" s="255" t="s">
        <v>468</v>
      </c>
      <c r="P600" s="255" t="s">
        <v>2208</v>
      </c>
      <c r="Q600" s="255">
        <v>2.0</v>
      </c>
      <c r="R600" s="259">
        <v>46031.0</v>
      </c>
      <c r="S600" s="260" t="s">
        <v>2221</v>
      </c>
      <c r="T600" s="259">
        <v>46034.0</v>
      </c>
      <c r="U600" s="255">
        <v>0.0</v>
      </c>
    </row>
    <row r="601">
      <c r="A601" s="257">
        <v>46031.81714806713</v>
      </c>
      <c r="B601" s="258" t="s">
        <v>3777</v>
      </c>
      <c r="C601" s="259">
        <v>46031.0</v>
      </c>
      <c r="D601" s="255" t="s">
        <v>3778</v>
      </c>
      <c r="H601" s="255">
        <v>7000.0</v>
      </c>
      <c r="I601" s="255">
        <v>1143.0</v>
      </c>
      <c r="K601" s="255" t="s">
        <v>3778</v>
      </c>
      <c r="L601" s="255" t="s">
        <v>3778</v>
      </c>
      <c r="M601" s="255" t="s">
        <v>979</v>
      </c>
      <c r="N601" s="255">
        <v>170000.0</v>
      </c>
      <c r="P601" s="255" t="s">
        <v>2208</v>
      </c>
      <c r="Q601" s="255">
        <v>2.0</v>
      </c>
      <c r="R601" s="259">
        <v>46032.0</v>
      </c>
      <c r="S601" s="260" t="s">
        <v>2215</v>
      </c>
      <c r="T601" s="259">
        <v>46046.0</v>
      </c>
      <c r="U601" s="255">
        <v>1500.0</v>
      </c>
    </row>
    <row r="602">
      <c r="A602" s="257">
        <v>46032.29696983796</v>
      </c>
      <c r="B602" s="258" t="s">
        <v>3779</v>
      </c>
      <c r="C602" s="259">
        <v>46032.0</v>
      </c>
      <c r="D602" s="255" t="s">
        <v>3780</v>
      </c>
      <c r="E602" s="255" t="s">
        <v>3781</v>
      </c>
      <c r="H602" s="255">
        <v>3000.0</v>
      </c>
      <c r="I602" s="255">
        <v>459.0</v>
      </c>
      <c r="K602" s="255" t="s">
        <v>3781</v>
      </c>
      <c r="L602" s="255" t="s">
        <v>3781</v>
      </c>
      <c r="M602" s="255" t="s">
        <v>73</v>
      </c>
      <c r="N602" s="255">
        <v>70000.0</v>
      </c>
      <c r="P602" s="255" t="s">
        <v>2208</v>
      </c>
      <c r="Q602" s="255">
        <v>2.0</v>
      </c>
      <c r="R602" s="259">
        <v>46034.0</v>
      </c>
      <c r="S602" s="260" t="s">
        <v>2330</v>
      </c>
      <c r="T602" s="259">
        <v>46042.0</v>
      </c>
      <c r="U602" s="255">
        <v>590.0</v>
      </c>
    </row>
    <row r="603">
      <c r="A603" s="257">
        <v>46032.29827804398</v>
      </c>
      <c r="B603" s="258" t="s">
        <v>3782</v>
      </c>
      <c r="C603" s="259">
        <v>46034.0</v>
      </c>
      <c r="D603" s="255" t="s">
        <v>3780</v>
      </c>
      <c r="E603" s="255" t="s">
        <v>3781</v>
      </c>
      <c r="H603" s="255">
        <v>20000.0</v>
      </c>
      <c r="I603" s="255">
        <v>1148.0</v>
      </c>
      <c r="K603" s="255" t="s">
        <v>3781</v>
      </c>
      <c r="L603" s="255" t="s">
        <v>3781</v>
      </c>
      <c r="M603" s="255" t="s">
        <v>438</v>
      </c>
      <c r="N603" s="255">
        <v>165000.0</v>
      </c>
      <c r="P603" s="255" t="s">
        <v>2208</v>
      </c>
      <c r="Q603" s="255">
        <v>2.0</v>
      </c>
      <c r="R603" s="259">
        <v>46034.0</v>
      </c>
      <c r="S603" s="260" t="s">
        <v>2330</v>
      </c>
      <c r="T603" s="259">
        <v>46042.0</v>
      </c>
      <c r="U603" s="255">
        <v>590.0</v>
      </c>
    </row>
    <row r="604">
      <c r="A604" s="257">
        <v>46033.514928958335</v>
      </c>
      <c r="B604" s="258" t="s">
        <v>3783</v>
      </c>
      <c r="C604" s="259">
        <v>46033.0</v>
      </c>
      <c r="D604" s="255" t="s">
        <v>3659</v>
      </c>
      <c r="H604" s="255">
        <v>7000.0</v>
      </c>
      <c r="I604" s="255">
        <v>667.0</v>
      </c>
      <c r="K604" s="255" t="s">
        <v>3784</v>
      </c>
      <c r="L604" s="255" t="s">
        <v>3784</v>
      </c>
      <c r="M604" s="255" t="s">
        <v>981</v>
      </c>
      <c r="P604" s="255" t="s">
        <v>2208</v>
      </c>
      <c r="Q604" s="255">
        <v>2.0</v>
      </c>
      <c r="R604" s="259">
        <v>46033.0</v>
      </c>
      <c r="S604" s="260" t="s">
        <v>2235</v>
      </c>
      <c r="T604" s="259">
        <v>46087.0</v>
      </c>
      <c r="U604" s="255">
        <v>290.0</v>
      </c>
    </row>
    <row r="605">
      <c r="A605" s="257">
        <v>46033.683842569444</v>
      </c>
      <c r="B605" s="258" t="s">
        <v>3785</v>
      </c>
      <c r="C605" s="259">
        <v>46033.0</v>
      </c>
      <c r="D605" s="255" t="s">
        <v>3774</v>
      </c>
      <c r="E605" s="255" t="s">
        <v>3775</v>
      </c>
      <c r="F605" s="260" t="s">
        <v>3776</v>
      </c>
      <c r="H605" s="255">
        <v>3000.0</v>
      </c>
      <c r="I605" s="255">
        <v>454.0</v>
      </c>
      <c r="K605" s="255" t="s">
        <v>2269</v>
      </c>
      <c r="L605" s="255" t="s">
        <v>2269</v>
      </c>
      <c r="M605" s="255" t="s">
        <v>151</v>
      </c>
      <c r="N605" s="255">
        <v>70000.0</v>
      </c>
      <c r="P605" s="255" t="s">
        <v>2208</v>
      </c>
      <c r="Q605" s="255">
        <v>2.0</v>
      </c>
      <c r="R605" s="259">
        <v>46034.0</v>
      </c>
      <c r="S605" s="260" t="s">
        <v>2265</v>
      </c>
      <c r="T605" s="259">
        <v>46043.0</v>
      </c>
      <c r="U605" s="255">
        <v>0.0</v>
      </c>
    </row>
    <row r="606">
      <c r="A606" s="257">
        <v>46034.22498461806</v>
      </c>
      <c r="B606" s="258" t="s">
        <v>3786</v>
      </c>
      <c r="C606" s="259">
        <v>46034.0</v>
      </c>
      <c r="D606" s="255" t="s">
        <v>3787</v>
      </c>
      <c r="E606" s="255" t="s">
        <v>3788</v>
      </c>
      <c r="H606" s="255" t="s">
        <v>912</v>
      </c>
      <c r="J606" s="255">
        <v>7900.0</v>
      </c>
      <c r="K606" s="255" t="s">
        <v>3788</v>
      </c>
      <c r="L606" s="255" t="s">
        <v>3788</v>
      </c>
      <c r="M606" s="255" t="s">
        <v>106</v>
      </c>
      <c r="N606" s="255">
        <v>70000.0</v>
      </c>
      <c r="P606" s="255" t="s">
        <v>2208</v>
      </c>
      <c r="Q606" s="255">
        <v>2.0</v>
      </c>
      <c r="R606" s="259">
        <v>46034.0</v>
      </c>
      <c r="S606" s="260" t="s">
        <v>2265</v>
      </c>
      <c r="T606" s="259">
        <v>46065.0</v>
      </c>
      <c r="U606" s="255">
        <v>290.0</v>
      </c>
    </row>
    <row r="607">
      <c r="A607" s="257">
        <v>46036.46090824074</v>
      </c>
      <c r="B607" s="258" t="s">
        <v>3789</v>
      </c>
      <c r="C607" s="259">
        <v>46036.0</v>
      </c>
      <c r="D607" s="255" t="s">
        <v>3790</v>
      </c>
      <c r="E607" s="255" t="s">
        <v>3791</v>
      </c>
      <c r="F607" s="255" t="s">
        <v>3792</v>
      </c>
      <c r="H607" s="255">
        <v>7000.0</v>
      </c>
      <c r="I607" s="255">
        <v>1079.0</v>
      </c>
      <c r="K607" s="255" t="s">
        <v>3791</v>
      </c>
      <c r="L607" s="255" t="s">
        <v>3791</v>
      </c>
      <c r="M607" s="255" t="s">
        <v>468</v>
      </c>
      <c r="N607" s="255">
        <v>180000.0</v>
      </c>
      <c r="P607" s="255" t="s">
        <v>2208</v>
      </c>
      <c r="Q607" s="255">
        <v>2.0</v>
      </c>
      <c r="R607" s="259">
        <v>46036.0</v>
      </c>
      <c r="S607" s="260" t="s">
        <v>2330</v>
      </c>
      <c r="T607" s="259">
        <v>46042.0</v>
      </c>
      <c r="U607" s="255">
        <v>290.0</v>
      </c>
    </row>
    <row r="608">
      <c r="A608" s="257">
        <v>46037.26737642361</v>
      </c>
      <c r="B608" s="258" t="s">
        <v>3793</v>
      </c>
      <c r="C608" s="259">
        <v>46037.0</v>
      </c>
      <c r="D608" s="255" t="s">
        <v>3794</v>
      </c>
      <c r="F608" s="255">
        <v>8.9263945578E10</v>
      </c>
      <c r="H608" s="255">
        <v>3000.0</v>
      </c>
      <c r="I608" s="255">
        <v>292.0</v>
      </c>
      <c r="M608" s="255" t="s">
        <v>56</v>
      </c>
      <c r="N608" s="255">
        <v>70000.0</v>
      </c>
      <c r="P608" s="255" t="s">
        <v>2208</v>
      </c>
      <c r="Q608" s="255">
        <v>1.0</v>
      </c>
      <c r="R608" s="259">
        <v>46038.0</v>
      </c>
      <c r="S608" s="260" t="s">
        <v>2330</v>
      </c>
      <c r="T608" s="259">
        <v>46073.0</v>
      </c>
      <c r="U608" s="255">
        <v>0.0</v>
      </c>
    </row>
    <row r="609">
      <c r="A609" s="257">
        <v>46037.26922318287</v>
      </c>
      <c r="B609" s="258" t="s">
        <v>3795</v>
      </c>
      <c r="C609" s="259">
        <v>46037.0</v>
      </c>
      <c r="D609" s="255" t="s">
        <v>2809</v>
      </c>
      <c r="E609" s="255" t="s">
        <v>3796</v>
      </c>
      <c r="F609" s="255">
        <v>8.9052653993E10</v>
      </c>
      <c r="H609" s="255">
        <v>7000.0</v>
      </c>
      <c r="J609" s="255">
        <v>19990.0</v>
      </c>
      <c r="M609" s="255" t="s">
        <v>948</v>
      </c>
      <c r="N609" s="255">
        <v>150000.0</v>
      </c>
      <c r="P609" s="255" t="s">
        <v>2208</v>
      </c>
      <c r="Q609" s="255">
        <v>3.0</v>
      </c>
      <c r="R609" s="259">
        <v>46055.0</v>
      </c>
      <c r="S609" s="260" t="s">
        <v>2330</v>
      </c>
      <c r="T609" s="259">
        <v>46083.0</v>
      </c>
      <c r="U609" s="255">
        <v>0.0</v>
      </c>
    </row>
    <row r="610">
      <c r="A610" s="257">
        <v>46037.65009106482</v>
      </c>
      <c r="B610" s="258" t="s">
        <v>3797</v>
      </c>
      <c r="C610" s="259">
        <v>46037.0</v>
      </c>
      <c r="E610" s="255" t="s">
        <v>3798</v>
      </c>
      <c r="F610" s="255" t="s">
        <v>2058</v>
      </c>
      <c r="H610" s="255">
        <v>3000.0</v>
      </c>
      <c r="I610" s="255">
        <v>494.0</v>
      </c>
      <c r="K610" s="255" t="s">
        <v>3798</v>
      </c>
      <c r="L610" s="255" t="s">
        <v>3798</v>
      </c>
      <c r="M610" s="255" t="s">
        <v>44</v>
      </c>
      <c r="N610" s="255">
        <v>70000.0</v>
      </c>
      <c r="P610" s="255" t="s">
        <v>2208</v>
      </c>
      <c r="Q610" s="255">
        <v>2.0</v>
      </c>
      <c r="R610" s="259">
        <v>46037.0</v>
      </c>
      <c r="S610" s="260" t="s">
        <v>2215</v>
      </c>
      <c r="T610" s="259">
        <v>46041.0</v>
      </c>
      <c r="U610" s="255">
        <v>390.0</v>
      </c>
    </row>
    <row r="611">
      <c r="A611" s="257">
        <v>46038.42735599537</v>
      </c>
      <c r="B611" s="258" t="s">
        <v>3799</v>
      </c>
      <c r="C611" s="259">
        <v>46038.0</v>
      </c>
      <c r="D611" s="255" t="s">
        <v>3800</v>
      </c>
      <c r="E611" s="255" t="s">
        <v>3801</v>
      </c>
      <c r="F611" s="255" t="s">
        <v>3802</v>
      </c>
      <c r="H611" s="255">
        <v>7000.0</v>
      </c>
      <c r="I611" s="255">
        <v>1043.0</v>
      </c>
      <c r="K611" s="255" t="s">
        <v>3801</v>
      </c>
      <c r="L611" s="255" t="s">
        <v>3801</v>
      </c>
      <c r="M611" s="255" t="s">
        <v>948</v>
      </c>
      <c r="P611" s="255" t="s">
        <v>2208</v>
      </c>
      <c r="Q611" s="255">
        <v>2.0</v>
      </c>
      <c r="R611" s="259">
        <v>46038.0</v>
      </c>
      <c r="S611" s="260" t="s">
        <v>2330</v>
      </c>
      <c r="T611" s="259">
        <v>46044.0</v>
      </c>
      <c r="U611" s="255">
        <v>490.0</v>
      </c>
    </row>
    <row r="612">
      <c r="A612" s="257">
        <v>46038.42973131944</v>
      </c>
      <c r="B612" s="258" t="s">
        <v>3803</v>
      </c>
      <c r="C612" s="259">
        <v>46038.0</v>
      </c>
      <c r="D612" s="255" t="s">
        <v>3800</v>
      </c>
      <c r="E612" s="255" t="s">
        <v>3801</v>
      </c>
      <c r="F612" s="255" t="s">
        <v>3802</v>
      </c>
      <c r="H612" s="255">
        <v>7000.0</v>
      </c>
      <c r="I612" s="255">
        <v>981.0</v>
      </c>
      <c r="K612" s="255" t="s">
        <v>3801</v>
      </c>
      <c r="L612" s="255" t="s">
        <v>3801</v>
      </c>
      <c r="M612" s="255" t="s">
        <v>928</v>
      </c>
      <c r="P612" s="255" t="s">
        <v>2208</v>
      </c>
      <c r="Q612" s="255">
        <v>2.0</v>
      </c>
      <c r="R612" s="259">
        <v>46038.0</v>
      </c>
      <c r="S612" s="260" t="s">
        <v>2330</v>
      </c>
      <c r="T612" s="259">
        <v>46044.0</v>
      </c>
      <c r="U612" s="255">
        <v>490.0</v>
      </c>
    </row>
    <row r="613">
      <c r="A613" s="257">
        <v>46038.71752814815</v>
      </c>
      <c r="B613" s="258" t="s">
        <v>3804</v>
      </c>
      <c r="C613" s="259">
        <v>46038.0</v>
      </c>
      <c r="D613" s="255" t="s">
        <v>3805</v>
      </c>
      <c r="E613" s="255" t="s">
        <v>3806</v>
      </c>
      <c r="F613" s="255" t="s">
        <v>3807</v>
      </c>
      <c r="H613" s="255">
        <v>5000.0</v>
      </c>
      <c r="I613" s="255">
        <v>817.0</v>
      </c>
      <c r="K613" s="255" t="s">
        <v>3808</v>
      </c>
      <c r="L613" s="255" t="s">
        <v>3808</v>
      </c>
      <c r="M613" s="255" t="s">
        <v>92</v>
      </c>
      <c r="N613" s="255">
        <v>90000.0</v>
      </c>
      <c r="P613" s="255" t="s">
        <v>2208</v>
      </c>
      <c r="Q613" s="255">
        <v>2.0</v>
      </c>
      <c r="R613" s="259">
        <v>46038.0</v>
      </c>
      <c r="S613" s="260" t="s">
        <v>2246</v>
      </c>
      <c r="T613" s="259">
        <v>46045.0</v>
      </c>
      <c r="U613" s="255">
        <v>690.0</v>
      </c>
    </row>
    <row r="614">
      <c r="A614" s="257">
        <v>46039.0443956713</v>
      </c>
      <c r="B614" s="258" t="s">
        <v>3809</v>
      </c>
      <c r="C614" s="259">
        <v>46039.0</v>
      </c>
      <c r="D614" s="255" t="s">
        <v>3810</v>
      </c>
      <c r="E614" s="255" t="s">
        <v>3796</v>
      </c>
      <c r="F614" s="255">
        <v>8.9052653993E10</v>
      </c>
      <c r="H614" s="255">
        <v>7000.0</v>
      </c>
      <c r="I614" s="255">
        <v>819.0</v>
      </c>
      <c r="K614" s="255" t="s">
        <v>3796</v>
      </c>
      <c r="L614" s="255" t="s">
        <v>3796</v>
      </c>
      <c r="M614" s="255" t="s">
        <v>979</v>
      </c>
      <c r="N614" s="255">
        <v>150000.0</v>
      </c>
      <c r="P614" s="255" t="s">
        <v>2208</v>
      </c>
      <c r="Q614" s="255">
        <v>2.0</v>
      </c>
      <c r="R614" s="259">
        <v>46060.0</v>
      </c>
      <c r="S614" s="260" t="s">
        <v>2330</v>
      </c>
      <c r="T614" s="259">
        <v>46081.0</v>
      </c>
      <c r="U614" s="255">
        <v>590.0</v>
      </c>
    </row>
    <row r="615">
      <c r="A615" s="257">
        <v>46039.480990428245</v>
      </c>
      <c r="B615" s="258" t="s">
        <v>3811</v>
      </c>
      <c r="C615" s="259">
        <v>46039.0</v>
      </c>
      <c r="E615" s="255" t="s">
        <v>3019</v>
      </c>
      <c r="F615" s="255" t="s">
        <v>3812</v>
      </c>
      <c r="G615" s="255" t="s">
        <v>3813</v>
      </c>
      <c r="H615" s="255">
        <v>7000.0</v>
      </c>
      <c r="J615" s="255">
        <v>18990.0</v>
      </c>
      <c r="K615" s="255" t="s">
        <v>3019</v>
      </c>
      <c r="L615" s="255" t="s">
        <v>3019</v>
      </c>
      <c r="M615" s="255" t="s">
        <v>971</v>
      </c>
      <c r="P615" s="255" t="s">
        <v>2208</v>
      </c>
      <c r="Q615" s="255">
        <v>2.0</v>
      </c>
      <c r="R615" s="259">
        <v>46039.0</v>
      </c>
      <c r="S615" s="260" t="s">
        <v>2330</v>
      </c>
      <c r="T615" s="259">
        <v>46069.0</v>
      </c>
      <c r="U615" s="255">
        <v>290.0</v>
      </c>
    </row>
    <row r="616">
      <c r="A616" s="257">
        <v>46042.82942185186</v>
      </c>
      <c r="B616" s="258" t="s">
        <v>3814</v>
      </c>
      <c r="C616" s="259">
        <v>46042.0</v>
      </c>
      <c r="E616" s="255" t="s">
        <v>3815</v>
      </c>
      <c r="F616" s="255" t="s">
        <v>3816</v>
      </c>
      <c r="H616" s="255">
        <v>30000.0</v>
      </c>
      <c r="I616" s="255">
        <v>2791.0</v>
      </c>
      <c r="K616" s="255" t="s">
        <v>2207</v>
      </c>
      <c r="L616" s="255" t="s">
        <v>2207</v>
      </c>
      <c r="M616" s="255" t="s">
        <v>967</v>
      </c>
      <c r="N616" s="255">
        <v>500000.0</v>
      </c>
      <c r="P616" s="255" t="s">
        <v>2208</v>
      </c>
      <c r="Q616" s="255">
        <v>2.0</v>
      </c>
      <c r="R616" s="259">
        <v>46042.0</v>
      </c>
      <c r="S616" s="260" t="s">
        <v>2209</v>
      </c>
      <c r="T616" s="259">
        <v>46052.0</v>
      </c>
      <c r="U616" s="255">
        <v>0.0</v>
      </c>
    </row>
    <row r="617">
      <c r="A617" s="257">
        <v>46042.8310464699</v>
      </c>
      <c r="B617" s="258" t="s">
        <v>3817</v>
      </c>
      <c r="C617" s="259">
        <v>46042.0</v>
      </c>
      <c r="E617" s="255" t="s">
        <v>3815</v>
      </c>
      <c r="F617" s="255" t="s">
        <v>3816</v>
      </c>
      <c r="H617" s="255">
        <v>30000.0</v>
      </c>
      <c r="I617" s="255">
        <v>2791.0</v>
      </c>
      <c r="K617" s="255" t="s">
        <v>2207</v>
      </c>
      <c r="L617" s="255" t="s">
        <v>2207</v>
      </c>
      <c r="M617" s="255" t="s">
        <v>914</v>
      </c>
      <c r="N617" s="255">
        <v>500000.0</v>
      </c>
      <c r="P617" s="255" t="s">
        <v>2208</v>
      </c>
      <c r="Q617" s="255">
        <v>2.0</v>
      </c>
      <c r="R617" s="259">
        <v>46042.0</v>
      </c>
      <c r="S617" s="260" t="s">
        <v>2209</v>
      </c>
      <c r="T617" s="259">
        <v>46052.0</v>
      </c>
      <c r="U617" s="255">
        <v>0.0</v>
      </c>
    </row>
    <row r="618">
      <c r="A618" s="257">
        <v>46043.38113692129</v>
      </c>
      <c r="B618" s="258" t="s">
        <v>3818</v>
      </c>
      <c r="C618" s="259">
        <v>46043.0</v>
      </c>
      <c r="D618" s="255" t="s">
        <v>3819</v>
      </c>
      <c r="E618" s="255" t="s">
        <v>3820</v>
      </c>
      <c r="F618" s="255">
        <v>8.9288553019E10</v>
      </c>
      <c r="H618" s="255">
        <v>20000.0</v>
      </c>
      <c r="I618" s="255">
        <v>1385.0</v>
      </c>
      <c r="K618" s="255" t="s">
        <v>3820</v>
      </c>
      <c r="L618" s="255" t="s">
        <v>3820</v>
      </c>
      <c r="M618" s="255" t="s">
        <v>916</v>
      </c>
      <c r="N618" s="255">
        <v>250000.0</v>
      </c>
      <c r="P618" s="255" t="s">
        <v>2208</v>
      </c>
      <c r="Q618" s="255">
        <v>1.0</v>
      </c>
      <c r="R618" s="259">
        <v>46046.0</v>
      </c>
      <c r="S618" s="260" t="s">
        <v>2330</v>
      </c>
      <c r="T618" s="259">
        <v>46066.0</v>
      </c>
      <c r="U618" s="255">
        <v>290.0</v>
      </c>
    </row>
    <row r="619">
      <c r="A619" s="257">
        <v>46043.62521950231</v>
      </c>
      <c r="B619" s="258" t="s">
        <v>3821</v>
      </c>
      <c r="C619" s="259">
        <v>46043.0</v>
      </c>
      <c r="D619" s="255">
        <v>8.9658241994E10</v>
      </c>
      <c r="E619" s="255" t="s">
        <v>3822</v>
      </c>
      <c r="H619" s="255">
        <v>3000.0</v>
      </c>
      <c r="I619" s="255">
        <v>469.0</v>
      </c>
      <c r="K619" s="255" t="s">
        <v>3822</v>
      </c>
      <c r="L619" s="255" t="s">
        <v>3822</v>
      </c>
      <c r="M619" s="255" t="s">
        <v>56</v>
      </c>
      <c r="N619" s="255">
        <v>70000.0</v>
      </c>
      <c r="O619" s="255">
        <v>33000.0</v>
      </c>
      <c r="P619" s="255" t="s">
        <v>2208</v>
      </c>
      <c r="Q619" s="255">
        <v>2.0</v>
      </c>
      <c r="R619" s="259">
        <v>46043.0</v>
      </c>
      <c r="S619" s="260" t="s">
        <v>2215</v>
      </c>
      <c r="T619" s="259">
        <v>46049.0</v>
      </c>
      <c r="U619" s="255">
        <v>290.0</v>
      </c>
    </row>
    <row r="620">
      <c r="A620" s="257">
        <v>46044.19071483796</v>
      </c>
      <c r="B620" s="258" t="s">
        <v>3823</v>
      </c>
      <c r="C620" s="259">
        <v>46044.0</v>
      </c>
      <c r="D620" s="255" t="s">
        <v>3824</v>
      </c>
      <c r="E620" s="255" t="s">
        <v>3825</v>
      </c>
      <c r="F620" s="255">
        <v>7.999379184E10</v>
      </c>
      <c r="H620" s="255">
        <v>5000.0</v>
      </c>
      <c r="I620" s="255">
        <v>817.0</v>
      </c>
      <c r="K620" s="255" t="s">
        <v>3825</v>
      </c>
      <c r="L620" s="255" t="s">
        <v>3826</v>
      </c>
      <c r="M620" s="255" t="s">
        <v>92</v>
      </c>
      <c r="N620" s="255">
        <v>100000.0</v>
      </c>
      <c r="P620" s="255" t="s">
        <v>2208</v>
      </c>
      <c r="Q620" s="255">
        <v>2.0</v>
      </c>
      <c r="R620" s="259">
        <v>46044.0</v>
      </c>
      <c r="S620" s="260" t="s">
        <v>2235</v>
      </c>
      <c r="T620" s="259">
        <v>46051.0</v>
      </c>
      <c r="U620" s="255">
        <v>1390.0</v>
      </c>
    </row>
    <row r="621">
      <c r="A621" s="257">
        <v>46044.5237997338</v>
      </c>
      <c r="B621" s="258" t="s">
        <v>3827</v>
      </c>
      <c r="C621" s="259">
        <v>46043.0</v>
      </c>
      <c r="D621" s="255" t="s">
        <v>3828</v>
      </c>
      <c r="H621" s="255" t="s">
        <v>912</v>
      </c>
      <c r="I621" s="255">
        <v>435.0</v>
      </c>
      <c r="K621" s="255" t="s">
        <v>2269</v>
      </c>
      <c r="L621" s="255" t="s">
        <v>2269</v>
      </c>
      <c r="M621" s="255" t="s">
        <v>151</v>
      </c>
      <c r="P621" s="255" t="s">
        <v>2208</v>
      </c>
      <c r="Q621" s="255">
        <v>1.0</v>
      </c>
      <c r="R621" s="259">
        <v>46043.0</v>
      </c>
      <c r="S621" s="260" t="s">
        <v>2221</v>
      </c>
      <c r="T621" s="259">
        <v>46056.0</v>
      </c>
      <c r="U621" s="255">
        <v>0.0</v>
      </c>
    </row>
    <row r="622">
      <c r="A622" s="257">
        <v>46045.43719280093</v>
      </c>
      <c r="B622" s="258" t="s">
        <v>3829</v>
      </c>
      <c r="C622" s="259">
        <v>46045.0</v>
      </c>
      <c r="F622" s="255">
        <v>8.9232803253E10</v>
      </c>
      <c r="H622" s="255">
        <v>3000.0</v>
      </c>
      <c r="I622" s="255">
        <v>263.0</v>
      </c>
      <c r="K622" s="255" t="s">
        <v>3830</v>
      </c>
      <c r="L622" s="255" t="s">
        <v>3830</v>
      </c>
      <c r="M622" s="255" t="s">
        <v>98</v>
      </c>
      <c r="P622" s="255" t="s">
        <v>2208</v>
      </c>
      <c r="Q622" s="255">
        <v>2.0</v>
      </c>
      <c r="R622" s="259">
        <v>46045.0</v>
      </c>
      <c r="T622" s="259">
        <v>46085.0</v>
      </c>
      <c r="U622" s="255">
        <v>690.0</v>
      </c>
    </row>
    <row r="623">
      <c r="A623" s="257">
        <v>46046.51159322917</v>
      </c>
      <c r="B623" s="258" t="s">
        <v>3831</v>
      </c>
      <c r="C623" s="259">
        <v>46046.0</v>
      </c>
      <c r="E623" s="255" t="s">
        <v>3832</v>
      </c>
      <c r="F623" s="255" t="s">
        <v>3833</v>
      </c>
      <c r="H623" s="255">
        <v>3000.0</v>
      </c>
      <c r="I623" s="255">
        <v>459.0</v>
      </c>
      <c r="K623" s="255" t="s">
        <v>3832</v>
      </c>
      <c r="L623" s="255" t="s">
        <v>3832</v>
      </c>
      <c r="M623" s="255" t="s">
        <v>44</v>
      </c>
      <c r="P623" s="255" t="s">
        <v>2208</v>
      </c>
      <c r="Q623" s="255">
        <v>1.0</v>
      </c>
      <c r="R623" s="259">
        <v>46046.0</v>
      </c>
      <c r="S623" s="260" t="s">
        <v>2221</v>
      </c>
      <c r="T623" s="259">
        <v>46082.0</v>
      </c>
      <c r="U623" s="255">
        <v>690.0</v>
      </c>
    </row>
    <row r="624">
      <c r="A624" s="257">
        <v>46048.626573553236</v>
      </c>
      <c r="B624" s="258" t="s">
        <v>3834</v>
      </c>
      <c r="C624" s="259">
        <v>46048.0</v>
      </c>
      <c r="D624" s="255" t="s">
        <v>3835</v>
      </c>
      <c r="E624" s="255" t="s">
        <v>3836</v>
      </c>
      <c r="H624" s="255">
        <v>3000.0</v>
      </c>
      <c r="I624" s="255">
        <v>494.0</v>
      </c>
      <c r="K624" s="255" t="s">
        <v>2269</v>
      </c>
      <c r="L624" s="255" t="s">
        <v>2269</v>
      </c>
      <c r="M624" s="255" t="s">
        <v>77</v>
      </c>
      <c r="N624" s="255">
        <v>70000.0</v>
      </c>
      <c r="O624" s="255">
        <v>38800.0</v>
      </c>
      <c r="P624" s="255" t="s">
        <v>2208</v>
      </c>
      <c r="Q624" s="255">
        <v>2.0</v>
      </c>
      <c r="R624" s="259">
        <v>46048.0</v>
      </c>
      <c r="S624" s="260" t="s">
        <v>2231</v>
      </c>
      <c r="T624" s="259">
        <v>46053.0</v>
      </c>
      <c r="U624" s="255">
        <v>290.0</v>
      </c>
    </row>
    <row r="625">
      <c r="A625" s="257">
        <v>46048.81056679398</v>
      </c>
      <c r="B625" s="258" t="s">
        <v>3837</v>
      </c>
      <c r="C625" s="259">
        <v>46048.0</v>
      </c>
      <c r="E625" s="255" t="s">
        <v>3838</v>
      </c>
      <c r="F625" s="255" t="s">
        <v>3839</v>
      </c>
      <c r="H625" s="255">
        <v>7000.0</v>
      </c>
      <c r="J625" s="255">
        <v>18900.0</v>
      </c>
      <c r="K625" s="255" t="s">
        <v>3838</v>
      </c>
      <c r="L625" s="255" t="s">
        <v>3838</v>
      </c>
      <c r="M625" s="255" t="s">
        <v>941</v>
      </c>
      <c r="P625" s="255" t="s">
        <v>2208</v>
      </c>
      <c r="Q625" s="255">
        <v>2.0</v>
      </c>
      <c r="R625" s="259">
        <v>46049.0</v>
      </c>
      <c r="S625" s="260" t="s">
        <v>2265</v>
      </c>
      <c r="T625" s="259">
        <v>46079.0</v>
      </c>
      <c r="U625" s="255">
        <v>590.0</v>
      </c>
    </row>
    <row r="626">
      <c r="A626" s="257">
        <v>46049.579767800926</v>
      </c>
      <c r="B626" s="258" t="s">
        <v>3840</v>
      </c>
      <c r="C626" s="259">
        <v>46049.0</v>
      </c>
      <c r="D626" s="255" t="s">
        <v>3841</v>
      </c>
      <c r="E626" s="255" t="s">
        <v>3842</v>
      </c>
      <c r="F626" s="255" t="s">
        <v>3843</v>
      </c>
      <c r="G626" s="255" t="s">
        <v>3844</v>
      </c>
      <c r="H626" s="255">
        <v>3000.0</v>
      </c>
      <c r="I626" s="255">
        <v>494.0</v>
      </c>
      <c r="K626" s="255" t="s">
        <v>3842</v>
      </c>
      <c r="L626" s="255" t="s">
        <v>3842</v>
      </c>
      <c r="M626" s="255" t="s">
        <v>48</v>
      </c>
      <c r="N626" s="255">
        <v>70000.0</v>
      </c>
      <c r="P626" s="255" t="s">
        <v>2208</v>
      </c>
      <c r="Q626" s="255">
        <v>2.0</v>
      </c>
      <c r="R626" s="259">
        <v>46049.0</v>
      </c>
      <c r="S626" s="260" t="s">
        <v>2231</v>
      </c>
      <c r="T626" s="259">
        <v>46054.0</v>
      </c>
      <c r="U626" s="255">
        <v>490.0</v>
      </c>
    </row>
    <row r="627">
      <c r="A627" s="257">
        <v>46051.36445976852</v>
      </c>
      <c r="B627" s="258" t="s">
        <v>3845</v>
      </c>
      <c r="C627" s="259">
        <v>46051.0</v>
      </c>
      <c r="E627" s="255" t="s">
        <v>3846</v>
      </c>
      <c r="F627" s="255">
        <v>8.9029249798E10</v>
      </c>
      <c r="G627" s="255">
        <v>8.9504083543E10</v>
      </c>
      <c r="H627" s="255">
        <v>3000.0</v>
      </c>
      <c r="J627" s="255">
        <v>7900.0</v>
      </c>
      <c r="K627" s="255" t="s">
        <v>3846</v>
      </c>
      <c r="L627" s="255" t="s">
        <v>3846</v>
      </c>
      <c r="M627" s="255" t="s">
        <v>56</v>
      </c>
      <c r="P627" s="255" t="s">
        <v>2208</v>
      </c>
      <c r="Q627" s="255">
        <v>2.0</v>
      </c>
      <c r="R627" s="259">
        <v>46051.0</v>
      </c>
      <c r="S627" s="260" t="s">
        <v>2324</v>
      </c>
      <c r="T627" s="259">
        <v>46082.0</v>
      </c>
      <c r="U627" s="255">
        <v>690.0</v>
      </c>
    </row>
    <row r="628">
      <c r="A628" s="257">
        <v>46051.50926938657</v>
      </c>
      <c r="B628" s="258" t="s">
        <v>3847</v>
      </c>
      <c r="C628" s="259">
        <v>46051.0</v>
      </c>
      <c r="D628" s="255" t="s">
        <v>3848</v>
      </c>
      <c r="E628" s="255" t="s">
        <v>3849</v>
      </c>
      <c r="F628" s="255">
        <v>8.9503242257E10</v>
      </c>
      <c r="H628" s="255">
        <v>3000.0</v>
      </c>
      <c r="I628" s="255">
        <v>464.0</v>
      </c>
      <c r="K628" s="255" t="s">
        <v>3849</v>
      </c>
      <c r="L628" s="255" t="s">
        <v>3849</v>
      </c>
      <c r="M628" s="255" t="s">
        <v>56</v>
      </c>
      <c r="P628" s="255" t="s">
        <v>2208</v>
      </c>
      <c r="Q628" s="255">
        <v>3.0</v>
      </c>
      <c r="R628" s="259">
        <v>46051.0</v>
      </c>
      <c r="S628" s="260" t="s">
        <v>2231</v>
      </c>
      <c r="T628" s="259">
        <v>46058.0</v>
      </c>
      <c r="U628" s="255">
        <v>590.0</v>
      </c>
    </row>
    <row r="629">
      <c r="A629" s="257">
        <v>46051.73772466435</v>
      </c>
      <c r="B629" s="258" t="s">
        <v>3850</v>
      </c>
      <c r="C629" s="259">
        <v>46051.0</v>
      </c>
      <c r="D629" s="255">
        <v>9.71554962638E11</v>
      </c>
      <c r="E629" s="255" t="s">
        <v>3851</v>
      </c>
      <c r="F629" s="255">
        <v>9.71554962638E11</v>
      </c>
      <c r="H629" s="255">
        <v>7000.0</v>
      </c>
      <c r="I629" s="255">
        <v>940.0</v>
      </c>
      <c r="K629" s="255" t="s">
        <v>3851</v>
      </c>
      <c r="L629" s="255" t="s">
        <v>3851</v>
      </c>
      <c r="M629" s="255" t="s">
        <v>974</v>
      </c>
      <c r="N629" s="255">
        <v>120000.0</v>
      </c>
      <c r="P629" s="255" t="s">
        <v>2208</v>
      </c>
      <c r="Q629" s="255">
        <v>2.0</v>
      </c>
      <c r="R629" s="259">
        <v>46051.0</v>
      </c>
      <c r="S629" s="260" t="s">
        <v>2246</v>
      </c>
      <c r="T629" s="259">
        <v>46061.0</v>
      </c>
      <c r="U629" s="255">
        <v>290.0</v>
      </c>
    </row>
    <row r="630">
      <c r="A630" s="257">
        <v>46052.51176050926</v>
      </c>
      <c r="B630" s="258" t="s">
        <v>3852</v>
      </c>
      <c r="C630" s="259">
        <v>46052.0</v>
      </c>
      <c r="E630" s="255" t="s">
        <v>3853</v>
      </c>
      <c r="F630" s="255" t="s">
        <v>3854</v>
      </c>
      <c r="H630" s="255">
        <v>7000.0</v>
      </c>
      <c r="I630" s="255">
        <v>919.0</v>
      </c>
      <c r="K630" s="255" t="s">
        <v>3853</v>
      </c>
      <c r="L630" s="255" t="s">
        <v>3853</v>
      </c>
      <c r="M630" s="255" t="s">
        <v>1028</v>
      </c>
      <c r="P630" s="255" t="s">
        <v>2208</v>
      </c>
      <c r="Q630" s="255">
        <v>2.0</v>
      </c>
      <c r="R630" s="259">
        <v>46052.0</v>
      </c>
      <c r="S630" s="260" t="s">
        <v>2221</v>
      </c>
      <c r="T630" s="259">
        <v>46064.0</v>
      </c>
      <c r="U630" s="255">
        <v>290.0</v>
      </c>
      <c r="V630" s="255" t="s">
        <v>1210</v>
      </c>
    </row>
    <row r="631">
      <c r="A631" s="257">
        <v>46053.15852755787</v>
      </c>
      <c r="B631" s="258" t="s">
        <v>3855</v>
      </c>
      <c r="C631" s="259">
        <v>46052.0</v>
      </c>
      <c r="D631" s="255" t="s">
        <v>3856</v>
      </c>
      <c r="E631" s="255" t="s">
        <v>3857</v>
      </c>
      <c r="F631" s="255" t="s">
        <v>3858</v>
      </c>
      <c r="H631" s="255">
        <v>7000.0</v>
      </c>
      <c r="J631" s="255">
        <v>19990.0</v>
      </c>
      <c r="K631" s="255" t="s">
        <v>3857</v>
      </c>
      <c r="L631" s="255" t="s">
        <v>3857</v>
      </c>
      <c r="M631" s="255" t="s">
        <v>1065</v>
      </c>
      <c r="N631" s="255">
        <v>150000.0</v>
      </c>
      <c r="P631" s="255" t="s">
        <v>2208</v>
      </c>
      <c r="Q631" s="255">
        <v>4.0</v>
      </c>
      <c r="R631" s="259">
        <v>46058.0</v>
      </c>
      <c r="S631" s="260" t="s">
        <v>2330</v>
      </c>
      <c r="T631" s="259">
        <v>46086.0</v>
      </c>
      <c r="U631" s="255">
        <v>590.0</v>
      </c>
    </row>
    <row r="632">
      <c r="A632" s="257">
        <v>46053.160419733795</v>
      </c>
      <c r="B632" s="258" t="s">
        <v>3859</v>
      </c>
      <c r="C632" s="259">
        <v>46053.0</v>
      </c>
      <c r="E632" s="255" t="s">
        <v>3860</v>
      </c>
      <c r="F632" s="255" t="s">
        <v>3861</v>
      </c>
      <c r="H632" s="255">
        <v>7000.0</v>
      </c>
      <c r="I632" s="255">
        <v>1098.0</v>
      </c>
      <c r="K632" s="255" t="s">
        <v>3860</v>
      </c>
      <c r="L632" s="255" t="s">
        <v>3860</v>
      </c>
      <c r="M632" s="255" t="s">
        <v>979</v>
      </c>
      <c r="N632" s="255">
        <v>150000.0</v>
      </c>
      <c r="P632" s="255" t="s">
        <v>2208</v>
      </c>
      <c r="Q632" s="255">
        <v>0.0</v>
      </c>
      <c r="R632" s="259">
        <v>46061.0</v>
      </c>
      <c r="S632" s="260" t="s">
        <v>2324</v>
      </c>
      <c r="T632" s="259">
        <v>46066.0</v>
      </c>
      <c r="U632" s="255">
        <v>390.0</v>
      </c>
    </row>
    <row r="633">
      <c r="A633" s="257">
        <v>46054.35365532407</v>
      </c>
      <c r="B633" s="258" t="s">
        <v>3862</v>
      </c>
      <c r="C633" s="259">
        <v>46054.0</v>
      </c>
      <c r="D633" s="255" t="s">
        <v>3863</v>
      </c>
      <c r="E633" s="255" t="s">
        <v>3864</v>
      </c>
      <c r="F633" s="255" t="s">
        <v>3865</v>
      </c>
      <c r="H633" s="255">
        <v>3000.0</v>
      </c>
      <c r="I633" s="255">
        <v>464.0</v>
      </c>
      <c r="K633" s="255" t="s">
        <v>3864</v>
      </c>
      <c r="L633" s="255" t="s">
        <v>3864</v>
      </c>
      <c r="M633" s="255" t="s">
        <v>77</v>
      </c>
      <c r="N633" s="255">
        <v>70000.0</v>
      </c>
      <c r="P633" s="255" t="s">
        <v>2208</v>
      </c>
      <c r="Q633" s="255">
        <v>0.0</v>
      </c>
      <c r="R633" s="259">
        <v>46054.0</v>
      </c>
      <c r="S633" s="260" t="s">
        <v>2324</v>
      </c>
      <c r="T633" s="259">
        <v>46061.0</v>
      </c>
      <c r="U633" s="255">
        <v>290.0</v>
      </c>
    </row>
    <row r="634">
      <c r="A634" s="257">
        <v>46055.444187175926</v>
      </c>
      <c r="B634" s="258" t="s">
        <v>3866</v>
      </c>
      <c r="C634" s="259">
        <v>46055.0</v>
      </c>
      <c r="D634" s="255" t="s">
        <v>3867</v>
      </c>
      <c r="E634" s="255" t="s">
        <v>3868</v>
      </c>
      <c r="H634" s="255" t="s">
        <v>515</v>
      </c>
      <c r="J634" s="255">
        <v>15500.0</v>
      </c>
      <c r="K634" s="255" t="s">
        <v>2269</v>
      </c>
      <c r="L634" s="255" t="s">
        <v>2269</v>
      </c>
      <c r="M634" s="255" t="s">
        <v>438</v>
      </c>
      <c r="N634" s="255">
        <v>140000.0</v>
      </c>
      <c r="O634" s="255">
        <v>31000.0</v>
      </c>
      <c r="P634" s="255" t="s">
        <v>2208</v>
      </c>
      <c r="Q634" s="255">
        <v>1.0</v>
      </c>
      <c r="R634" s="259">
        <v>46055.0</v>
      </c>
      <c r="S634" s="260" t="s">
        <v>2265</v>
      </c>
      <c r="T634" s="259">
        <v>46083.0</v>
      </c>
      <c r="U634" s="255">
        <v>0.0</v>
      </c>
    </row>
    <row r="635">
      <c r="A635" s="257">
        <v>46055.52335290509</v>
      </c>
      <c r="B635" s="258" t="s">
        <v>3869</v>
      </c>
      <c r="C635" s="259">
        <v>46055.0</v>
      </c>
      <c r="D635" s="255" t="s">
        <v>3870</v>
      </c>
      <c r="E635" s="255" t="s">
        <v>3871</v>
      </c>
      <c r="F635" s="255" t="s">
        <v>3872</v>
      </c>
      <c r="H635" s="255">
        <v>5000.0</v>
      </c>
      <c r="I635" s="255">
        <v>672.0</v>
      </c>
      <c r="K635" s="255" t="s">
        <v>3873</v>
      </c>
      <c r="L635" s="255" t="s">
        <v>3873</v>
      </c>
      <c r="M635" s="255" t="s">
        <v>64</v>
      </c>
      <c r="N635" s="255">
        <v>130000.0</v>
      </c>
      <c r="O635" s="255">
        <v>33000.0</v>
      </c>
      <c r="P635" s="255" t="s">
        <v>2208</v>
      </c>
      <c r="Q635" s="255">
        <v>2.0</v>
      </c>
      <c r="R635" s="259">
        <v>46055.0</v>
      </c>
      <c r="S635" s="260" t="s">
        <v>2221</v>
      </c>
      <c r="T635" s="259">
        <v>46070.0</v>
      </c>
      <c r="U635" s="255">
        <v>290.0</v>
      </c>
    </row>
    <row r="636">
      <c r="A636" s="257">
        <v>46055.71230402778</v>
      </c>
      <c r="B636" s="258" t="s">
        <v>3874</v>
      </c>
      <c r="C636" s="259">
        <v>46055.0</v>
      </c>
      <c r="D636" s="255" t="s">
        <v>3875</v>
      </c>
      <c r="E636" s="255" t="s">
        <v>3876</v>
      </c>
      <c r="F636" s="255" t="s">
        <v>3875</v>
      </c>
      <c r="H636" s="255">
        <v>7000.0</v>
      </c>
      <c r="I636" s="255">
        <v>740.0</v>
      </c>
      <c r="K636" s="255" t="s">
        <v>3876</v>
      </c>
      <c r="L636" s="255" t="s">
        <v>3876</v>
      </c>
      <c r="M636" s="255" t="s">
        <v>946</v>
      </c>
      <c r="N636" s="255">
        <v>120000.0</v>
      </c>
      <c r="P636" s="255" t="s">
        <v>2208</v>
      </c>
      <c r="Q636" s="255">
        <v>2.0</v>
      </c>
      <c r="R636" s="259">
        <v>46055.0</v>
      </c>
      <c r="S636" s="260" t="s">
        <v>2246</v>
      </c>
      <c r="T636" s="259">
        <v>46072.0</v>
      </c>
      <c r="U636" s="255">
        <v>290.0</v>
      </c>
    </row>
    <row r="637">
      <c r="A637" s="257">
        <v>46055.71520849537</v>
      </c>
      <c r="B637" s="258" t="s">
        <v>3877</v>
      </c>
      <c r="C637" s="259">
        <v>46055.0</v>
      </c>
      <c r="D637" s="255" t="s">
        <v>3875</v>
      </c>
      <c r="E637" s="255" t="s">
        <v>3876</v>
      </c>
      <c r="F637" s="255" t="s">
        <v>3875</v>
      </c>
      <c r="H637" s="255">
        <v>7000.0</v>
      </c>
      <c r="I637" s="255">
        <v>740.0</v>
      </c>
      <c r="K637" s="255" t="s">
        <v>3876</v>
      </c>
      <c r="L637" s="255" t="s">
        <v>3876</v>
      </c>
      <c r="M637" s="255" t="s">
        <v>928</v>
      </c>
      <c r="N637" s="255">
        <v>120000.0</v>
      </c>
      <c r="P637" s="255" t="s">
        <v>2208</v>
      </c>
      <c r="Q637" s="255">
        <v>2.0</v>
      </c>
      <c r="R637" s="259">
        <v>46055.0</v>
      </c>
      <c r="S637" s="260" t="s">
        <v>2246</v>
      </c>
      <c r="T637" s="259">
        <v>46072.0</v>
      </c>
      <c r="U637" s="255">
        <v>290.0</v>
      </c>
    </row>
    <row r="638">
      <c r="A638" s="257">
        <v>46055.76414842592</v>
      </c>
      <c r="B638" s="258" t="s">
        <v>3878</v>
      </c>
      <c r="C638" s="259">
        <v>46055.0</v>
      </c>
      <c r="D638" s="255" t="s">
        <v>3875</v>
      </c>
      <c r="E638" s="255" t="s">
        <v>3876</v>
      </c>
      <c r="F638" s="255" t="s">
        <v>3875</v>
      </c>
      <c r="H638" s="255">
        <v>7000.0</v>
      </c>
      <c r="I638" s="255">
        <v>740.0</v>
      </c>
      <c r="K638" s="255" t="s">
        <v>3876</v>
      </c>
      <c r="L638" s="255" t="s">
        <v>3876</v>
      </c>
      <c r="M638" s="255" t="s">
        <v>960</v>
      </c>
      <c r="N638" s="255">
        <v>120000.0</v>
      </c>
      <c r="P638" s="255" t="s">
        <v>2208</v>
      </c>
      <c r="Q638" s="255">
        <v>2.0</v>
      </c>
      <c r="R638" s="259">
        <v>46055.0</v>
      </c>
      <c r="S638" s="260" t="s">
        <v>2250</v>
      </c>
      <c r="T638" s="259">
        <v>46072.0</v>
      </c>
      <c r="U638" s="255">
        <v>290.0</v>
      </c>
    </row>
    <row r="639">
      <c r="A639" s="257">
        <v>46055.766304108794</v>
      </c>
      <c r="B639" s="258" t="s">
        <v>3879</v>
      </c>
      <c r="C639" s="259">
        <v>46055.0</v>
      </c>
      <c r="D639" s="255" t="s">
        <v>3875</v>
      </c>
      <c r="E639" s="255" t="s">
        <v>3876</v>
      </c>
      <c r="F639" s="255" t="s">
        <v>3875</v>
      </c>
      <c r="H639" s="255">
        <v>3000.0</v>
      </c>
      <c r="I639" s="255">
        <v>354.0</v>
      </c>
      <c r="K639" s="255" t="s">
        <v>3876</v>
      </c>
      <c r="L639" s="255" t="s">
        <v>3876</v>
      </c>
      <c r="M639" s="255" t="s">
        <v>48</v>
      </c>
      <c r="N639" s="255">
        <v>70000.0</v>
      </c>
      <c r="P639" s="255" t="s">
        <v>2208</v>
      </c>
      <c r="Q639" s="255">
        <v>1.0</v>
      </c>
      <c r="R639" s="259">
        <v>46055.0</v>
      </c>
      <c r="S639" s="260" t="s">
        <v>2250</v>
      </c>
      <c r="T639" s="259">
        <v>46072.0</v>
      </c>
      <c r="U639" s="255">
        <v>290.0</v>
      </c>
    </row>
    <row r="640">
      <c r="A640" s="257">
        <v>46057.25353943287</v>
      </c>
      <c r="B640" s="258" t="s">
        <v>3880</v>
      </c>
      <c r="C640" s="259">
        <v>46057.0</v>
      </c>
      <c r="D640" s="255" t="s">
        <v>3881</v>
      </c>
      <c r="E640" s="255" t="s">
        <v>3882</v>
      </c>
      <c r="F640" s="255" t="s">
        <v>3883</v>
      </c>
      <c r="H640" s="255">
        <v>3000.0</v>
      </c>
      <c r="I640" s="255">
        <v>450.0</v>
      </c>
      <c r="K640" s="255" t="s">
        <v>3882</v>
      </c>
      <c r="L640" s="255" t="s">
        <v>3882</v>
      </c>
      <c r="M640" s="255" t="s">
        <v>151</v>
      </c>
      <c r="N640" s="255">
        <v>70000.0</v>
      </c>
      <c r="P640" s="255" t="s">
        <v>2208</v>
      </c>
      <c r="Q640" s="255">
        <v>2.0</v>
      </c>
      <c r="R640" s="259">
        <v>46057.0</v>
      </c>
      <c r="S640" s="260" t="s">
        <v>2265</v>
      </c>
      <c r="T640" s="259">
        <v>46067.0</v>
      </c>
      <c r="U640" s="255">
        <v>490.0</v>
      </c>
    </row>
    <row r="641">
      <c r="A641" s="257">
        <v>46057.65403744213</v>
      </c>
      <c r="B641" s="258" t="s">
        <v>3884</v>
      </c>
      <c r="C641" s="259">
        <v>46057.0</v>
      </c>
      <c r="D641" s="255" t="s">
        <v>2903</v>
      </c>
      <c r="E641" s="255" t="s">
        <v>3885</v>
      </c>
      <c r="F641" s="255">
        <v>8.9268795652E10</v>
      </c>
      <c r="H641" s="255">
        <v>20000.0</v>
      </c>
      <c r="I641" s="255">
        <v>1680.0</v>
      </c>
      <c r="K641" s="255" t="s">
        <v>3885</v>
      </c>
      <c r="L641" s="255" t="s">
        <v>3885</v>
      </c>
      <c r="M641" s="255" t="s">
        <v>102</v>
      </c>
      <c r="N641" s="255">
        <v>250000.0</v>
      </c>
      <c r="P641" s="255" t="s">
        <v>2208</v>
      </c>
      <c r="Q641" s="255">
        <v>2.0</v>
      </c>
      <c r="R641" s="259">
        <v>46057.0</v>
      </c>
      <c r="S641" s="260" t="s">
        <v>2215</v>
      </c>
      <c r="T641" s="259">
        <v>46064.0</v>
      </c>
      <c r="U641" s="255">
        <v>290.0</v>
      </c>
    </row>
    <row r="642">
      <c r="A642" s="257">
        <v>46057.72198349537</v>
      </c>
      <c r="B642" s="258" t="s">
        <v>3886</v>
      </c>
      <c r="C642" s="259">
        <v>46057.0</v>
      </c>
      <c r="D642" s="255" t="s">
        <v>3887</v>
      </c>
      <c r="E642" s="255" t="s">
        <v>3888</v>
      </c>
      <c r="F642" s="255" t="s">
        <v>3887</v>
      </c>
      <c r="H642" s="255" t="s">
        <v>515</v>
      </c>
      <c r="I642" s="255">
        <v>438.0</v>
      </c>
      <c r="K642" s="255" t="s">
        <v>3888</v>
      </c>
      <c r="L642" s="255" t="s">
        <v>3888</v>
      </c>
      <c r="M642" s="255" t="s">
        <v>68</v>
      </c>
      <c r="N642" s="255">
        <v>70000.0</v>
      </c>
      <c r="P642" s="255" t="s">
        <v>2208</v>
      </c>
      <c r="Q642" s="255">
        <v>2.0</v>
      </c>
      <c r="R642" s="259">
        <v>46057.0</v>
      </c>
      <c r="S642" s="260" t="s">
        <v>2246</v>
      </c>
      <c r="T642" s="259">
        <v>46065.0</v>
      </c>
      <c r="U642" s="255">
        <v>390.0</v>
      </c>
    </row>
    <row r="643">
      <c r="A643" s="257">
        <v>46058.56849302084</v>
      </c>
      <c r="B643" s="258" t="s">
        <v>3889</v>
      </c>
      <c r="C643" s="259">
        <v>46058.0</v>
      </c>
      <c r="D643" s="255" t="s">
        <v>3890</v>
      </c>
      <c r="E643" s="255" t="s">
        <v>2565</v>
      </c>
      <c r="F643" s="255" t="s">
        <v>3890</v>
      </c>
      <c r="H643" s="255">
        <v>3000.0</v>
      </c>
      <c r="I643" s="255">
        <v>368.0</v>
      </c>
      <c r="K643" s="255" t="s">
        <v>2565</v>
      </c>
      <c r="L643" s="255" t="s">
        <v>2565</v>
      </c>
      <c r="M643" s="255" t="s">
        <v>68</v>
      </c>
      <c r="N643" s="255">
        <v>70000.0</v>
      </c>
      <c r="P643" s="255" t="s">
        <v>2208</v>
      </c>
      <c r="Q643" s="255">
        <v>2.0</v>
      </c>
      <c r="R643" s="259">
        <v>46058.0</v>
      </c>
      <c r="S643" s="260" t="s">
        <v>2221</v>
      </c>
      <c r="T643" s="259">
        <v>46079.0</v>
      </c>
      <c r="U643" s="255">
        <v>290.0</v>
      </c>
    </row>
    <row r="644">
      <c r="A644" s="257">
        <v>46059.260155254626</v>
      </c>
      <c r="B644" s="258" t="s">
        <v>3891</v>
      </c>
      <c r="C644" s="259">
        <v>46059.0</v>
      </c>
      <c r="D644" s="255" t="s">
        <v>3892</v>
      </c>
      <c r="E644" s="255" t="s">
        <v>3692</v>
      </c>
      <c r="H644" s="255">
        <v>7000.0</v>
      </c>
      <c r="I644" s="255">
        <v>981.0</v>
      </c>
      <c r="K644" s="255" t="s">
        <v>3692</v>
      </c>
      <c r="L644" s="255" t="s">
        <v>3692</v>
      </c>
      <c r="M644" s="255" t="s">
        <v>928</v>
      </c>
      <c r="N644" s="255">
        <v>120000.0</v>
      </c>
      <c r="P644" s="255" t="s">
        <v>2208</v>
      </c>
      <c r="Q644" s="255">
        <v>2.0</v>
      </c>
      <c r="R644" s="259">
        <v>46059.0</v>
      </c>
      <c r="S644" s="260" t="s">
        <v>2265</v>
      </c>
      <c r="T644" s="259">
        <v>46065.0</v>
      </c>
      <c r="U644" s="255">
        <v>290.0</v>
      </c>
    </row>
    <row r="645">
      <c r="A645" s="257">
        <v>46059.56206372685</v>
      </c>
      <c r="B645" s="258" t="s">
        <v>3893</v>
      </c>
      <c r="C645" s="259">
        <v>46059.0</v>
      </c>
      <c r="D645" s="255" t="s">
        <v>3894</v>
      </c>
      <c r="F645" s="255">
        <v>8.9806893269E10</v>
      </c>
      <c r="H645" s="255">
        <v>7000.0</v>
      </c>
      <c r="I645" s="255">
        <v>971.0</v>
      </c>
      <c r="K645" s="255" t="s">
        <v>2269</v>
      </c>
      <c r="L645" s="255" t="s">
        <v>2269</v>
      </c>
      <c r="M645" s="255" t="s">
        <v>971</v>
      </c>
      <c r="N645" s="255">
        <v>120000.0</v>
      </c>
      <c r="P645" s="255" t="s">
        <v>2208</v>
      </c>
      <c r="R645" s="259">
        <v>46072.0</v>
      </c>
      <c r="S645" s="260" t="s">
        <v>2265</v>
      </c>
      <c r="T645" s="259">
        <v>46079.0</v>
      </c>
      <c r="U645" s="255">
        <v>0.0</v>
      </c>
    </row>
    <row r="646">
      <c r="A646" s="257">
        <v>46059.68917799769</v>
      </c>
      <c r="B646" s="258" t="s">
        <v>3895</v>
      </c>
      <c r="C646" s="259">
        <v>46059.0</v>
      </c>
      <c r="D646" s="255" t="s">
        <v>3896</v>
      </c>
      <c r="E646" s="255" t="s">
        <v>3897</v>
      </c>
      <c r="F646" s="255" t="s">
        <v>3898</v>
      </c>
      <c r="H646" s="255">
        <v>15000.0</v>
      </c>
      <c r="I646" s="255">
        <v>1008.0</v>
      </c>
      <c r="K646" s="255" t="s">
        <v>3897</v>
      </c>
      <c r="L646" s="255" t="s">
        <v>3897</v>
      </c>
      <c r="M646" s="255" t="s">
        <v>461</v>
      </c>
      <c r="N646" s="255">
        <v>150000.0</v>
      </c>
      <c r="P646" s="255" t="s">
        <v>2208</v>
      </c>
      <c r="Q646" s="255">
        <v>2.0</v>
      </c>
      <c r="R646" s="259">
        <v>46059.0</v>
      </c>
      <c r="S646" s="260" t="s">
        <v>2246</v>
      </c>
      <c r="T646" s="259">
        <v>46067.0</v>
      </c>
      <c r="U646" s="255">
        <v>590.0</v>
      </c>
    </row>
    <row r="647">
      <c r="A647" s="257">
        <v>46060.3040271412</v>
      </c>
      <c r="B647" s="258" t="s">
        <v>3899</v>
      </c>
      <c r="C647" s="259">
        <v>46060.0</v>
      </c>
      <c r="D647" s="255" t="s">
        <v>3363</v>
      </c>
      <c r="E647" s="255" t="s">
        <v>2877</v>
      </c>
      <c r="F647" s="255" t="s">
        <v>3363</v>
      </c>
      <c r="H647" s="255">
        <v>5000.0</v>
      </c>
      <c r="I647" s="255">
        <v>595.0</v>
      </c>
      <c r="K647" s="255" t="s">
        <v>2269</v>
      </c>
      <c r="L647" s="255" t="s">
        <v>2269</v>
      </c>
      <c r="M647" s="255" t="s">
        <v>202</v>
      </c>
      <c r="N647" s="255">
        <v>90000.0</v>
      </c>
      <c r="P647" s="255" t="s">
        <v>2208</v>
      </c>
      <c r="Q647" s="255">
        <v>3.0</v>
      </c>
      <c r="R647" s="259">
        <v>46060.0</v>
      </c>
      <c r="S647" s="260" t="s">
        <v>2262</v>
      </c>
      <c r="T647" s="259">
        <v>46074.0</v>
      </c>
      <c r="U647" s="255">
        <v>0.0</v>
      </c>
    </row>
    <row r="648">
      <c r="A648" s="257">
        <v>46061.34143920139</v>
      </c>
      <c r="B648" s="258" t="s">
        <v>3900</v>
      </c>
      <c r="C648" s="259">
        <v>46061.0</v>
      </c>
      <c r="D648" s="255" t="s">
        <v>3717</v>
      </c>
      <c r="F648" s="255">
        <v>6.281226982991E12</v>
      </c>
      <c r="H648" s="255">
        <v>3000.0</v>
      </c>
      <c r="I648" s="255">
        <v>471.0</v>
      </c>
      <c r="K648" s="255" t="s">
        <v>2269</v>
      </c>
      <c r="L648" s="255" t="s">
        <v>3325</v>
      </c>
      <c r="M648" s="255" t="s">
        <v>56</v>
      </c>
      <c r="N648" s="255">
        <v>70000.0</v>
      </c>
      <c r="P648" s="255" t="s">
        <v>2208</v>
      </c>
      <c r="Q648" s="255">
        <v>2.0</v>
      </c>
      <c r="R648" s="259">
        <v>46061.0</v>
      </c>
      <c r="S648" s="260" t="s">
        <v>2262</v>
      </c>
      <c r="T648" s="259">
        <v>46066.0</v>
      </c>
      <c r="U648" s="255">
        <v>0.0</v>
      </c>
    </row>
    <row r="649">
      <c r="A649" s="257">
        <v>46061.34534734953</v>
      </c>
      <c r="B649" s="258" t="s">
        <v>3901</v>
      </c>
      <c r="C649" s="259">
        <v>46061.0</v>
      </c>
      <c r="D649" s="255" t="s">
        <v>3902</v>
      </c>
      <c r="E649" s="255" t="s">
        <v>3903</v>
      </c>
      <c r="F649" s="255">
        <v>8.912015586E10</v>
      </c>
      <c r="H649" s="255">
        <v>3000.0</v>
      </c>
      <c r="I649" s="255">
        <v>450.0</v>
      </c>
      <c r="K649" s="255" t="s">
        <v>3903</v>
      </c>
      <c r="L649" s="255" t="s">
        <v>3903</v>
      </c>
      <c r="M649" s="255" t="s">
        <v>44</v>
      </c>
      <c r="N649" s="255">
        <v>70000.0</v>
      </c>
      <c r="P649" s="255" t="s">
        <v>2208</v>
      </c>
      <c r="Q649" s="255">
        <v>2.0</v>
      </c>
      <c r="R649" s="259">
        <v>46061.0</v>
      </c>
      <c r="S649" s="260" t="s">
        <v>2235</v>
      </c>
      <c r="T649" s="259">
        <v>46071.0</v>
      </c>
      <c r="U649" s="255">
        <v>590.0</v>
      </c>
    </row>
    <row r="650">
      <c r="A650" s="257">
        <v>46063.57298207176</v>
      </c>
      <c r="B650" s="258" t="s">
        <v>3904</v>
      </c>
      <c r="C650" s="259">
        <v>46063.0</v>
      </c>
      <c r="D650" s="255" t="s">
        <v>3905</v>
      </c>
      <c r="E650" s="255" t="s">
        <v>3591</v>
      </c>
      <c r="F650" s="255" t="s">
        <v>3905</v>
      </c>
      <c r="H650" s="255">
        <v>3000.0</v>
      </c>
      <c r="I650" s="255">
        <v>450.0</v>
      </c>
      <c r="K650" s="255" t="s">
        <v>3591</v>
      </c>
      <c r="L650" s="255" t="s">
        <v>3591</v>
      </c>
      <c r="M650" s="255" t="s">
        <v>56</v>
      </c>
      <c r="N650" s="255">
        <v>70000.0</v>
      </c>
      <c r="P650" s="255" t="s">
        <v>2208</v>
      </c>
      <c r="Q650" s="255">
        <v>2.0</v>
      </c>
      <c r="R650" s="259">
        <v>46063.0</v>
      </c>
      <c r="S650" s="260" t="s">
        <v>2221</v>
      </c>
      <c r="T650" s="259">
        <v>46073.0</v>
      </c>
      <c r="U650" s="255">
        <v>490.0</v>
      </c>
    </row>
    <row r="651">
      <c r="A651" s="257">
        <v>46065.21264633102</v>
      </c>
      <c r="B651" s="258" t="s">
        <v>3906</v>
      </c>
      <c r="C651" s="259">
        <v>46065.0</v>
      </c>
      <c r="D651" s="255" t="s">
        <v>3907</v>
      </c>
      <c r="E651" s="255" t="s">
        <v>3908</v>
      </c>
      <c r="F651" s="255" t="s">
        <v>3909</v>
      </c>
      <c r="G651" s="255" t="s">
        <v>3910</v>
      </c>
      <c r="H651" s="255">
        <v>5000.0</v>
      </c>
      <c r="I651" s="255">
        <v>764.0</v>
      </c>
      <c r="K651" s="255" t="s">
        <v>3908</v>
      </c>
      <c r="L651" s="255" t="s">
        <v>3908</v>
      </c>
      <c r="M651" s="255" t="s">
        <v>92</v>
      </c>
      <c r="N651" s="255">
        <v>90000.0</v>
      </c>
      <c r="P651" s="255" t="s">
        <v>2208</v>
      </c>
      <c r="Q651" s="255">
        <v>2.0</v>
      </c>
      <c r="R651" s="259">
        <v>46065.0</v>
      </c>
      <c r="S651" s="260" t="s">
        <v>2324</v>
      </c>
      <c r="T651" s="259">
        <v>46074.0</v>
      </c>
      <c r="U651" s="255">
        <v>490.0</v>
      </c>
    </row>
    <row r="652">
      <c r="A652" s="257">
        <v>46065.21650440972</v>
      </c>
      <c r="B652" s="258" t="s">
        <v>3911</v>
      </c>
      <c r="C652" s="259">
        <v>46065.0</v>
      </c>
      <c r="D652" s="255" t="s">
        <v>3912</v>
      </c>
      <c r="E652" s="255" t="s">
        <v>3913</v>
      </c>
      <c r="F652" s="255">
        <v>8.91622149E10</v>
      </c>
      <c r="G652" s="255" t="s">
        <v>3914</v>
      </c>
      <c r="H652" s="255">
        <v>7000.0</v>
      </c>
      <c r="I652" s="255">
        <v>917.0</v>
      </c>
      <c r="K652" s="255" t="s">
        <v>3913</v>
      </c>
      <c r="L652" s="255" t="s">
        <v>3913</v>
      </c>
      <c r="M652" s="255" t="s">
        <v>974</v>
      </c>
      <c r="N652" s="255">
        <v>120000.0</v>
      </c>
      <c r="P652" s="255" t="s">
        <v>2208</v>
      </c>
      <c r="Q652" s="255">
        <v>0.0</v>
      </c>
      <c r="R652" s="259">
        <v>46065.0</v>
      </c>
      <c r="S652" s="260" t="s">
        <v>2221</v>
      </c>
      <c r="T652" s="259">
        <v>46073.0</v>
      </c>
      <c r="U652" s="255">
        <v>490.0</v>
      </c>
    </row>
    <row r="653">
      <c r="A653" s="257">
        <v>46067.24937917824</v>
      </c>
      <c r="B653" s="258" t="s">
        <v>3915</v>
      </c>
      <c r="C653" s="259">
        <v>46067.0</v>
      </c>
      <c r="D653" s="255" t="s">
        <v>3916</v>
      </c>
      <c r="E653" s="255" t="s">
        <v>3917</v>
      </c>
      <c r="F653" s="255" t="s">
        <v>3918</v>
      </c>
      <c r="G653" s="255" t="s">
        <v>3919</v>
      </c>
      <c r="H653" s="255">
        <v>3000.0</v>
      </c>
      <c r="I653" s="255">
        <v>494.0</v>
      </c>
      <c r="K653" s="255" t="s">
        <v>3917</v>
      </c>
      <c r="L653" s="255" t="s">
        <v>3917</v>
      </c>
      <c r="M653" s="255" t="s">
        <v>77</v>
      </c>
      <c r="N653" s="255">
        <v>70000.0</v>
      </c>
      <c r="P653" s="255" t="s">
        <v>2208</v>
      </c>
      <c r="Q653" s="255">
        <v>2.0</v>
      </c>
      <c r="R653" s="259">
        <v>46067.0</v>
      </c>
      <c r="S653" s="260" t="s">
        <v>2324</v>
      </c>
      <c r="T653" s="259">
        <v>46072.0</v>
      </c>
      <c r="U653" s="255">
        <v>290.0</v>
      </c>
    </row>
    <row r="654">
      <c r="A654" s="257">
        <v>46067.25304614584</v>
      </c>
      <c r="B654" s="258" t="s">
        <v>3920</v>
      </c>
      <c r="C654" s="259">
        <v>46067.0</v>
      </c>
      <c r="D654" s="255" t="s">
        <v>3185</v>
      </c>
      <c r="E654" s="255" t="s">
        <v>3186</v>
      </c>
      <c r="F654" s="260" t="s">
        <v>3203</v>
      </c>
      <c r="G654" s="255">
        <v>7.9951147696E10</v>
      </c>
      <c r="H654" s="255">
        <v>20000.0</v>
      </c>
      <c r="I654" s="255">
        <v>1500.0</v>
      </c>
      <c r="K654" s="255" t="s">
        <v>2269</v>
      </c>
      <c r="L654" s="255" t="s">
        <v>2269</v>
      </c>
      <c r="M654" s="255" t="s">
        <v>102</v>
      </c>
      <c r="N654" s="255">
        <v>250000.0</v>
      </c>
      <c r="P654" s="255" t="s">
        <v>2208</v>
      </c>
      <c r="Q654" s="255">
        <v>0.0</v>
      </c>
      <c r="R654" s="259">
        <v>46067.0</v>
      </c>
      <c r="S654" s="260" t="s">
        <v>2324</v>
      </c>
      <c r="T654" s="259">
        <v>46068.0</v>
      </c>
      <c r="U654" s="255">
        <v>0.0</v>
      </c>
    </row>
    <row r="655">
      <c r="A655" s="257">
        <v>46070.44349790509</v>
      </c>
      <c r="B655" s="258" t="s">
        <v>3921</v>
      </c>
      <c r="C655" s="259">
        <v>46070.0</v>
      </c>
      <c r="D655" s="255" t="s">
        <v>3673</v>
      </c>
      <c r="E655" s="255" t="s">
        <v>3922</v>
      </c>
      <c r="H655" s="255">
        <v>7000.0</v>
      </c>
      <c r="I655" s="255">
        <v>986.0</v>
      </c>
      <c r="K655" s="255" t="s">
        <v>3922</v>
      </c>
      <c r="L655" s="255" t="s">
        <v>3922</v>
      </c>
      <c r="M655" s="255" t="s">
        <v>928</v>
      </c>
      <c r="P655" s="255" t="s">
        <v>2208</v>
      </c>
      <c r="Q655" s="255">
        <v>0.0</v>
      </c>
      <c r="R655" s="259">
        <v>46070.0</v>
      </c>
      <c r="S655" s="260" t="s">
        <v>2330</v>
      </c>
      <c r="T655" s="259">
        <v>46074.0</v>
      </c>
      <c r="U655" s="255">
        <v>290.0</v>
      </c>
    </row>
    <row r="656">
      <c r="A656" s="257">
        <v>46071.51535425926</v>
      </c>
      <c r="B656" s="258" t="s">
        <v>3923</v>
      </c>
      <c r="C656" s="259">
        <v>46071.0</v>
      </c>
      <c r="D656" s="255" t="s">
        <v>2903</v>
      </c>
      <c r="E656" s="255" t="s">
        <v>3924</v>
      </c>
      <c r="H656" s="255">
        <v>3000.0</v>
      </c>
      <c r="I656" s="255">
        <v>429.0</v>
      </c>
      <c r="K656" s="255" t="s">
        <v>3924</v>
      </c>
      <c r="L656" s="255" t="s">
        <v>3924</v>
      </c>
      <c r="M656" s="255" t="s">
        <v>151</v>
      </c>
      <c r="P656" s="255" t="s">
        <v>2208</v>
      </c>
      <c r="Q656" s="255">
        <v>0.0</v>
      </c>
      <c r="R656" s="259">
        <v>46071.0</v>
      </c>
      <c r="S656" s="260" t="s">
        <v>2235</v>
      </c>
      <c r="T656" s="259">
        <v>46081.0</v>
      </c>
      <c r="U656" s="255">
        <v>0.0</v>
      </c>
    </row>
    <row r="657">
      <c r="A657" s="257">
        <v>46072.55074821759</v>
      </c>
      <c r="B657" s="258" t="s">
        <v>3925</v>
      </c>
      <c r="C657" s="259">
        <v>46072.0</v>
      </c>
      <c r="E657" s="255" t="s">
        <v>3926</v>
      </c>
      <c r="F657" s="255" t="s">
        <v>3927</v>
      </c>
      <c r="H657" s="255">
        <v>7000.0</v>
      </c>
      <c r="I657" s="255">
        <v>446.0</v>
      </c>
      <c r="K657" s="255" t="s">
        <v>3928</v>
      </c>
      <c r="L657" s="255" t="s">
        <v>3926</v>
      </c>
      <c r="M657" s="255" t="s">
        <v>279</v>
      </c>
      <c r="P657" s="255" t="s">
        <v>2208</v>
      </c>
      <c r="Q657" s="255">
        <v>0.0</v>
      </c>
      <c r="R657" s="259">
        <v>46072.0</v>
      </c>
      <c r="S657" s="260" t="s">
        <v>2246</v>
      </c>
      <c r="T657" s="259">
        <v>46087.0</v>
      </c>
      <c r="U657" s="255">
        <v>690.0</v>
      </c>
    </row>
    <row r="658">
      <c r="A658" s="257">
        <v>46072.972874513885</v>
      </c>
      <c r="B658" s="258" t="s">
        <v>3929</v>
      </c>
      <c r="C658" s="259">
        <v>46072.0</v>
      </c>
      <c r="D658" s="255" t="s">
        <v>3930</v>
      </c>
      <c r="E658" s="255" t="s">
        <v>3931</v>
      </c>
      <c r="F658" s="255" t="s">
        <v>3932</v>
      </c>
      <c r="G658" s="255" t="s">
        <v>3933</v>
      </c>
      <c r="H658" s="255">
        <v>3000.0</v>
      </c>
      <c r="I658" s="255">
        <v>386.0</v>
      </c>
      <c r="K658" s="255" t="s">
        <v>3931</v>
      </c>
      <c r="L658" s="255" t="s">
        <v>3931</v>
      </c>
      <c r="M658" s="255" t="s">
        <v>56</v>
      </c>
      <c r="N658" s="255">
        <v>70000.0</v>
      </c>
      <c r="P658" s="255" t="s">
        <v>2208</v>
      </c>
      <c r="Q658" s="255">
        <v>2.0</v>
      </c>
      <c r="R658" s="259">
        <v>46091.0</v>
      </c>
      <c r="S658" s="260" t="s">
        <v>2324</v>
      </c>
      <c r="T658" s="259">
        <v>46105.0</v>
      </c>
      <c r="U658" s="255">
        <v>490.0</v>
      </c>
    </row>
    <row r="659">
      <c r="A659" s="257">
        <v>46073.24698149305</v>
      </c>
      <c r="B659" s="258" t="s">
        <v>3934</v>
      </c>
      <c r="C659" s="259">
        <v>46073.0</v>
      </c>
      <c r="D659" s="255" t="s">
        <v>3185</v>
      </c>
      <c r="E659" s="255" t="s">
        <v>3202</v>
      </c>
      <c r="F659" s="255">
        <v>7.9951147696E10</v>
      </c>
      <c r="G659" s="260" t="s">
        <v>3203</v>
      </c>
      <c r="H659" s="255">
        <v>20000.0</v>
      </c>
      <c r="I659" s="255">
        <v>1500.0</v>
      </c>
      <c r="K659" s="255" t="s">
        <v>2269</v>
      </c>
      <c r="L659" s="255" t="s">
        <v>2269</v>
      </c>
      <c r="M659" s="255" t="s">
        <v>102</v>
      </c>
      <c r="N659" s="255">
        <v>250000.0</v>
      </c>
      <c r="P659" s="255" t="s">
        <v>2208</v>
      </c>
      <c r="Q659" s="255">
        <v>0.0</v>
      </c>
      <c r="R659" s="259">
        <v>46073.0</v>
      </c>
      <c r="S659" s="260" t="s">
        <v>2324</v>
      </c>
      <c r="T659" s="259">
        <v>46074.0</v>
      </c>
      <c r="U659" s="255">
        <v>0.0</v>
      </c>
    </row>
    <row r="660">
      <c r="A660" s="257">
        <v>46073.56113019676</v>
      </c>
      <c r="B660" s="258" t="s">
        <v>3935</v>
      </c>
      <c r="C660" s="259">
        <v>46073.0</v>
      </c>
      <c r="D660" s="255" t="s">
        <v>3185</v>
      </c>
      <c r="E660" s="255" t="s">
        <v>3202</v>
      </c>
      <c r="F660" s="255" t="s">
        <v>3936</v>
      </c>
      <c r="H660" s="255">
        <v>20000.0</v>
      </c>
      <c r="I660" s="255">
        <v>1500.0</v>
      </c>
      <c r="K660" s="255" t="s">
        <v>2269</v>
      </c>
      <c r="L660" s="255" t="s">
        <v>2269</v>
      </c>
      <c r="M660" s="255" t="s">
        <v>916</v>
      </c>
      <c r="N660" s="255">
        <v>250000.0</v>
      </c>
      <c r="P660" s="255" t="s">
        <v>2208</v>
      </c>
      <c r="Q660" s="255">
        <v>0.0</v>
      </c>
      <c r="R660" s="259">
        <v>46073.0</v>
      </c>
      <c r="S660" s="260" t="s">
        <v>2221</v>
      </c>
      <c r="T660" s="259">
        <v>46074.0</v>
      </c>
      <c r="U660" s="255">
        <v>0.0</v>
      </c>
    </row>
    <row r="661">
      <c r="A661" s="257">
        <v>46076.26117440972</v>
      </c>
      <c r="B661" s="258" t="s">
        <v>3937</v>
      </c>
      <c r="C661" s="259">
        <v>46076.0</v>
      </c>
      <c r="D661" s="255" t="s">
        <v>3938</v>
      </c>
      <c r="E661" s="255" t="s">
        <v>3939</v>
      </c>
      <c r="F661" s="255" t="s">
        <v>3938</v>
      </c>
      <c r="H661" s="255">
        <v>7000.0</v>
      </c>
      <c r="I661" s="255">
        <v>859.0</v>
      </c>
      <c r="K661" s="255" t="s">
        <v>3939</v>
      </c>
      <c r="L661" s="255" t="s">
        <v>3939</v>
      </c>
      <c r="M661" s="255" t="s">
        <v>923</v>
      </c>
      <c r="N661" s="255">
        <v>150000.0</v>
      </c>
      <c r="P661" s="255" t="s">
        <v>2208</v>
      </c>
      <c r="Q661" s="255">
        <v>2.0</v>
      </c>
      <c r="R661" s="259">
        <v>46076.0</v>
      </c>
      <c r="S661" s="260" t="s">
        <v>2324</v>
      </c>
      <c r="T661" s="259">
        <v>46090.0</v>
      </c>
      <c r="U661" s="255">
        <v>290.0</v>
      </c>
    </row>
    <row r="662">
      <c r="A662" s="257">
        <v>46076.26285820601</v>
      </c>
      <c r="B662" s="258" t="s">
        <v>3940</v>
      </c>
      <c r="C662" s="259">
        <v>46076.0</v>
      </c>
      <c r="D662" s="255" t="s">
        <v>2804</v>
      </c>
      <c r="E662" s="255" t="s">
        <v>3939</v>
      </c>
      <c r="F662" s="255" t="s">
        <v>2804</v>
      </c>
      <c r="H662" s="255">
        <v>7000.0</v>
      </c>
      <c r="I662" s="255">
        <v>809.0</v>
      </c>
      <c r="K662" s="255" t="s">
        <v>3939</v>
      </c>
      <c r="L662" s="255" t="s">
        <v>3939</v>
      </c>
      <c r="M662" s="255" t="s">
        <v>928</v>
      </c>
      <c r="N662" s="255">
        <v>120000.0</v>
      </c>
      <c r="P662" s="255" t="s">
        <v>2208</v>
      </c>
      <c r="Q662" s="255">
        <v>2.0</v>
      </c>
      <c r="R662" s="259">
        <v>46076.0</v>
      </c>
      <c r="S662" s="260" t="s">
        <v>2324</v>
      </c>
      <c r="T662" s="259">
        <v>46090.0</v>
      </c>
      <c r="U662" s="255">
        <v>290.0</v>
      </c>
    </row>
    <row r="663">
      <c r="A663" s="257">
        <v>46077.47769201389</v>
      </c>
      <c r="B663" s="258" t="s">
        <v>3941</v>
      </c>
      <c r="C663" s="259">
        <v>46077.0</v>
      </c>
      <c r="D663" s="255" t="s">
        <v>3942</v>
      </c>
      <c r="E663" s="255" t="s">
        <v>3943</v>
      </c>
      <c r="H663" s="255">
        <v>7000.0</v>
      </c>
      <c r="I663" s="255">
        <v>887.0</v>
      </c>
      <c r="K663" s="255" t="s">
        <v>3943</v>
      </c>
      <c r="L663" s="255" t="s">
        <v>3943</v>
      </c>
      <c r="M663" s="255" t="s">
        <v>1065</v>
      </c>
      <c r="N663" s="255">
        <v>180000.0</v>
      </c>
      <c r="O663" s="255">
        <v>17081.0</v>
      </c>
      <c r="P663" s="255" t="s">
        <v>2208</v>
      </c>
      <c r="Q663" s="255">
        <v>2.0</v>
      </c>
      <c r="R663" s="259">
        <v>46077.0</v>
      </c>
      <c r="S663" s="260" t="s">
        <v>2330</v>
      </c>
      <c r="T663" s="259">
        <v>46087.0</v>
      </c>
      <c r="U663" s="255">
        <v>290.0</v>
      </c>
    </row>
    <row r="664">
      <c r="A664" s="257">
        <v>46077.48066547453</v>
      </c>
      <c r="B664" s="258" t="s">
        <v>3944</v>
      </c>
      <c r="C664" s="259">
        <v>46077.0</v>
      </c>
      <c r="D664" s="255" t="s">
        <v>3942</v>
      </c>
      <c r="E664" s="255" t="s">
        <v>3943</v>
      </c>
      <c r="H664" s="255">
        <v>3000.0</v>
      </c>
      <c r="I664" s="255">
        <v>430.0</v>
      </c>
      <c r="K664" s="255" t="s">
        <v>3943</v>
      </c>
      <c r="L664" s="255" t="s">
        <v>3943</v>
      </c>
      <c r="M664" s="255" t="s">
        <v>73</v>
      </c>
      <c r="N664" s="255">
        <v>70000.0</v>
      </c>
      <c r="O664" s="255">
        <v>30000.0</v>
      </c>
      <c r="P664" s="255" t="s">
        <v>2208</v>
      </c>
      <c r="Q664" s="255">
        <v>2.0</v>
      </c>
      <c r="R664" s="259">
        <v>46077.0</v>
      </c>
      <c r="S664" s="260" t="s">
        <v>2330</v>
      </c>
      <c r="T664" s="259">
        <v>46084.0</v>
      </c>
      <c r="U664" s="255">
        <v>290.0</v>
      </c>
    </row>
    <row r="665">
      <c r="A665" s="257">
        <v>46080.250721805554</v>
      </c>
      <c r="B665" s="258" t="s">
        <v>3945</v>
      </c>
      <c r="C665" s="259">
        <v>46080.0</v>
      </c>
      <c r="D665" s="255" t="s">
        <v>3946</v>
      </c>
      <c r="E665" s="255" t="s">
        <v>3947</v>
      </c>
      <c r="F665" s="255" t="s">
        <v>3948</v>
      </c>
      <c r="H665" s="255" t="s">
        <v>912</v>
      </c>
      <c r="I665" s="255">
        <v>443.0</v>
      </c>
      <c r="K665" s="255" t="s">
        <v>3947</v>
      </c>
      <c r="L665" s="255" t="s">
        <v>3947</v>
      </c>
      <c r="M665" s="255" t="s">
        <v>48</v>
      </c>
      <c r="N665" s="255">
        <v>70000.0</v>
      </c>
      <c r="P665" s="255" t="s">
        <v>2208</v>
      </c>
      <c r="Q665" s="255">
        <v>1.0</v>
      </c>
      <c r="R665" s="259">
        <v>46081.0</v>
      </c>
      <c r="S665" s="260" t="s">
        <v>2324</v>
      </c>
      <c r="T665" s="259">
        <v>46087.0</v>
      </c>
      <c r="U665" s="255">
        <v>290.0</v>
      </c>
    </row>
    <row r="666">
      <c r="A666" s="257">
        <v>46081.20340787037</v>
      </c>
      <c r="B666" s="258" t="s">
        <v>3949</v>
      </c>
      <c r="C666" s="259">
        <v>46081.0</v>
      </c>
      <c r="D666" s="255" t="s">
        <v>3950</v>
      </c>
      <c r="E666" s="255" t="s">
        <v>2686</v>
      </c>
      <c r="F666" s="255">
        <v>8.9224120174E10</v>
      </c>
      <c r="H666" s="255">
        <v>3000.0</v>
      </c>
      <c r="I666" s="255">
        <v>433.0</v>
      </c>
      <c r="K666" s="255" t="s">
        <v>2686</v>
      </c>
      <c r="L666" s="255" t="s">
        <v>2686</v>
      </c>
      <c r="M666" s="255" t="s">
        <v>77</v>
      </c>
      <c r="N666" s="255">
        <v>70000.0</v>
      </c>
      <c r="P666" s="255" t="s">
        <v>2208</v>
      </c>
      <c r="Q666" s="255">
        <v>2.0</v>
      </c>
      <c r="R666" s="259">
        <v>46081.0</v>
      </c>
      <c r="S666" s="260" t="s">
        <v>2324</v>
      </c>
      <c r="T666" s="259">
        <v>46090.0</v>
      </c>
      <c r="U666" s="255">
        <v>290.0</v>
      </c>
    </row>
    <row r="667">
      <c r="A667" s="257">
        <v>46081.204811539355</v>
      </c>
      <c r="B667" s="258" t="s">
        <v>3951</v>
      </c>
      <c r="C667" s="259">
        <v>46081.0</v>
      </c>
      <c r="D667" s="255" t="s">
        <v>3950</v>
      </c>
      <c r="E667" s="255" t="s">
        <v>2686</v>
      </c>
      <c r="F667" s="255">
        <v>8.9224120174E10</v>
      </c>
      <c r="H667" s="255">
        <v>3000.0</v>
      </c>
      <c r="I667" s="255">
        <v>433.0</v>
      </c>
      <c r="K667" s="255" t="s">
        <v>2686</v>
      </c>
      <c r="L667" s="255" t="s">
        <v>2686</v>
      </c>
      <c r="M667" s="255" t="s">
        <v>56</v>
      </c>
      <c r="N667" s="255">
        <v>70000.0</v>
      </c>
      <c r="P667" s="255" t="s">
        <v>2208</v>
      </c>
      <c r="Q667" s="255">
        <v>2.0</v>
      </c>
      <c r="R667" s="259">
        <v>46081.0</v>
      </c>
      <c r="S667" s="260" t="s">
        <v>2324</v>
      </c>
      <c r="T667" s="259">
        <v>46090.0</v>
      </c>
      <c r="U667" s="255">
        <v>290.0</v>
      </c>
    </row>
    <row r="668">
      <c r="A668" s="257">
        <v>46081.451140034726</v>
      </c>
      <c r="B668" s="258" t="s">
        <v>3952</v>
      </c>
      <c r="C668" s="259">
        <v>46081.0</v>
      </c>
      <c r="D668" s="255" t="s">
        <v>3950</v>
      </c>
      <c r="E668" s="255" t="s">
        <v>3953</v>
      </c>
      <c r="F668" s="255">
        <v>8.9224120174E10</v>
      </c>
      <c r="H668" s="255">
        <v>3000.0</v>
      </c>
      <c r="I668" s="255">
        <v>433.0</v>
      </c>
      <c r="K668" s="255" t="s">
        <v>3953</v>
      </c>
      <c r="L668" s="255" t="s">
        <v>3953</v>
      </c>
      <c r="M668" s="255" t="s">
        <v>56</v>
      </c>
      <c r="P668" s="255" t="s">
        <v>2208</v>
      </c>
      <c r="Q668" s="255">
        <v>2.0</v>
      </c>
      <c r="R668" s="259">
        <v>46081.0</v>
      </c>
      <c r="S668" s="260" t="s">
        <v>2324</v>
      </c>
      <c r="T668" s="259">
        <v>46090.0</v>
      </c>
      <c r="U668" s="255">
        <v>290.0</v>
      </c>
    </row>
    <row r="669">
      <c r="A669" s="257">
        <v>46083.470239270835</v>
      </c>
      <c r="B669" s="258" t="s">
        <v>3954</v>
      </c>
      <c r="C669" s="259">
        <v>46083.0</v>
      </c>
      <c r="D669" s="255" t="s">
        <v>3955</v>
      </c>
      <c r="E669" s="255" t="s">
        <v>2240</v>
      </c>
      <c r="H669" s="255">
        <v>3000.0</v>
      </c>
      <c r="I669" s="255">
        <v>424.0</v>
      </c>
      <c r="K669" s="255" t="s">
        <v>2240</v>
      </c>
      <c r="L669" s="255" t="s">
        <v>2240</v>
      </c>
      <c r="M669" s="255" t="s">
        <v>48</v>
      </c>
      <c r="N669" s="255">
        <v>7000.0</v>
      </c>
      <c r="P669" s="255" t="s">
        <v>2208</v>
      </c>
      <c r="Q669" s="255">
        <v>2.0</v>
      </c>
      <c r="R669" s="259">
        <v>46083.0</v>
      </c>
      <c r="S669" s="260" t="s">
        <v>2265</v>
      </c>
      <c r="T669" s="259">
        <v>46094.0</v>
      </c>
      <c r="U669" s="255">
        <v>290.0</v>
      </c>
    </row>
    <row r="670">
      <c r="A670" s="257">
        <v>46084.26569375</v>
      </c>
      <c r="B670" s="258" t="s">
        <v>3956</v>
      </c>
      <c r="C670" s="259">
        <v>46084.0</v>
      </c>
      <c r="D670" s="255" t="s">
        <v>3957</v>
      </c>
      <c r="E670" s="255" t="s">
        <v>3958</v>
      </c>
      <c r="F670" s="255" t="s">
        <v>3957</v>
      </c>
      <c r="H670" s="255" t="s">
        <v>515</v>
      </c>
      <c r="I670" s="255">
        <v>1290.0</v>
      </c>
      <c r="K670" s="255" t="s">
        <v>3958</v>
      </c>
      <c r="L670" s="255" t="s">
        <v>3958</v>
      </c>
      <c r="M670" s="255" t="s">
        <v>967</v>
      </c>
      <c r="N670" s="255">
        <v>500000.0</v>
      </c>
      <c r="P670" s="255" t="s">
        <v>2208</v>
      </c>
      <c r="Q670" s="255">
        <v>1.0</v>
      </c>
      <c r="R670" s="259">
        <v>46084.0</v>
      </c>
      <c r="S670" s="260" t="s">
        <v>2265</v>
      </c>
      <c r="T670" s="259">
        <v>46112.0</v>
      </c>
      <c r="U670" s="255">
        <v>290.0</v>
      </c>
    </row>
    <row r="671">
      <c r="A671" s="257">
        <v>46084.2691356713</v>
      </c>
      <c r="B671" s="258" t="s">
        <v>3959</v>
      </c>
      <c r="C671" s="259">
        <v>46084.0</v>
      </c>
      <c r="D671" s="255" t="s">
        <v>3960</v>
      </c>
      <c r="E671" s="255" t="s">
        <v>3961</v>
      </c>
      <c r="F671" s="255">
        <v>8.9250177623E10</v>
      </c>
      <c r="H671" s="255">
        <v>7000.0</v>
      </c>
      <c r="I671" s="255">
        <v>803.0</v>
      </c>
      <c r="K671" s="255" t="s">
        <v>3961</v>
      </c>
      <c r="L671" s="255" t="s">
        <v>3961</v>
      </c>
      <c r="M671" s="255" t="s">
        <v>951</v>
      </c>
      <c r="N671" s="255">
        <v>120000.0</v>
      </c>
      <c r="P671" s="255" t="s">
        <v>2208</v>
      </c>
      <c r="Q671" s="255">
        <v>2.0</v>
      </c>
      <c r="R671" s="259">
        <v>46084.0</v>
      </c>
      <c r="S671" s="260" t="s">
        <v>2330</v>
      </c>
      <c r="T671" s="259">
        <v>46090.0</v>
      </c>
      <c r="U671" s="255">
        <v>290.0</v>
      </c>
    </row>
    <row r="672">
      <c r="A672" s="257">
        <v>46084.5684181713</v>
      </c>
      <c r="B672" s="258" t="s">
        <v>3962</v>
      </c>
      <c r="C672" s="259">
        <v>46084.0</v>
      </c>
      <c r="D672" s="255" t="s">
        <v>3963</v>
      </c>
      <c r="E672" s="255" t="s">
        <v>3964</v>
      </c>
      <c r="F672" s="255" t="s">
        <v>3965</v>
      </c>
      <c r="H672" s="255">
        <v>3000.0</v>
      </c>
      <c r="I672" s="255">
        <v>331.0</v>
      </c>
      <c r="K672" s="255" t="s">
        <v>2269</v>
      </c>
      <c r="L672" s="255" t="s">
        <v>2269</v>
      </c>
      <c r="M672" s="255" t="s">
        <v>151</v>
      </c>
      <c r="N672" s="255">
        <v>70000.0</v>
      </c>
      <c r="P672" s="255" t="s">
        <v>2208</v>
      </c>
      <c r="Q672" s="255">
        <v>1.0</v>
      </c>
      <c r="R672" s="259">
        <v>46084.0</v>
      </c>
      <c r="S672" s="260" t="s">
        <v>2221</v>
      </c>
      <c r="T672" s="259">
        <v>46098.0</v>
      </c>
      <c r="U672" s="255">
        <v>0.0</v>
      </c>
    </row>
    <row r="673">
      <c r="A673" s="257">
        <v>46084.57642442129</v>
      </c>
      <c r="B673" s="258" t="s">
        <v>3966</v>
      </c>
      <c r="C673" s="259">
        <v>46084.0</v>
      </c>
      <c r="D673" s="255" t="s">
        <v>2809</v>
      </c>
      <c r="E673" s="255" t="s">
        <v>3967</v>
      </c>
      <c r="F673" s="255">
        <v>8.9052653993E10</v>
      </c>
      <c r="H673" s="255">
        <v>7000.0</v>
      </c>
      <c r="I673" s="255">
        <v>700.0</v>
      </c>
      <c r="K673" s="255" t="s">
        <v>3967</v>
      </c>
      <c r="L673" s="255" t="s">
        <v>3967</v>
      </c>
      <c r="M673" s="255" t="s">
        <v>948</v>
      </c>
      <c r="N673" s="255">
        <v>150000.0</v>
      </c>
      <c r="P673" s="255" t="s">
        <v>2208</v>
      </c>
      <c r="Q673" s="255">
        <v>1.0</v>
      </c>
      <c r="R673" s="259">
        <v>46084.0</v>
      </c>
      <c r="S673" s="260" t="s">
        <v>2231</v>
      </c>
      <c r="T673" s="259">
        <v>46090.0</v>
      </c>
      <c r="U673" s="255">
        <v>290.0</v>
      </c>
    </row>
    <row r="674">
      <c r="A674" s="257">
        <v>46084.64999597222</v>
      </c>
      <c r="B674" s="258" t="s">
        <v>3968</v>
      </c>
      <c r="C674" s="259">
        <v>46084.0</v>
      </c>
      <c r="D674" s="255">
        <v>8.9521339999E10</v>
      </c>
      <c r="E674" s="255" t="s">
        <v>2890</v>
      </c>
      <c r="H674" s="255">
        <v>5000.0</v>
      </c>
      <c r="I674" s="255">
        <v>565.0</v>
      </c>
      <c r="K674" s="255" t="s">
        <v>2890</v>
      </c>
      <c r="L674" s="255" t="s">
        <v>2890</v>
      </c>
      <c r="M674" s="255" t="s">
        <v>202</v>
      </c>
      <c r="N674" s="255">
        <v>90000.0</v>
      </c>
      <c r="P674" s="255" t="s">
        <v>2208</v>
      </c>
      <c r="Q674" s="255">
        <v>2.0</v>
      </c>
      <c r="R674" s="259">
        <v>46084.0</v>
      </c>
      <c r="S674" s="260" t="s">
        <v>2215</v>
      </c>
      <c r="T674" s="259">
        <v>46094.0</v>
      </c>
      <c r="U674" s="255">
        <v>290.0</v>
      </c>
    </row>
    <row r="675">
      <c r="A675" s="257">
        <v>46085.253823182866</v>
      </c>
      <c r="B675" s="258" t="s">
        <v>3969</v>
      </c>
      <c r="C675" s="259">
        <v>46085.0</v>
      </c>
      <c r="D675" s="255" t="s">
        <v>3970</v>
      </c>
      <c r="E675" s="255" t="s">
        <v>3971</v>
      </c>
      <c r="H675" s="255">
        <v>3000.0</v>
      </c>
      <c r="I675" s="255">
        <v>443.0</v>
      </c>
      <c r="K675" s="255" t="s">
        <v>3971</v>
      </c>
      <c r="L675" s="255" t="s">
        <v>3971</v>
      </c>
      <c r="M675" s="255" t="s">
        <v>73</v>
      </c>
      <c r="N675" s="255">
        <v>70000.0</v>
      </c>
      <c r="P675" s="255" t="s">
        <v>2208</v>
      </c>
      <c r="Q675" s="255">
        <v>2.0</v>
      </c>
      <c r="R675" s="259">
        <v>46088.0</v>
      </c>
      <c r="S675" s="260" t="s">
        <v>2231</v>
      </c>
      <c r="T675" s="259">
        <v>46095.0</v>
      </c>
      <c r="U675" s="255">
        <v>290.0</v>
      </c>
    </row>
    <row r="676">
      <c r="A676" s="257">
        <v>46085.25608798611</v>
      </c>
      <c r="B676" s="258" t="s">
        <v>3972</v>
      </c>
      <c r="C676" s="259">
        <v>46088.0</v>
      </c>
      <c r="D676" s="255" t="s">
        <v>3973</v>
      </c>
      <c r="E676" s="255" t="s">
        <v>3974</v>
      </c>
      <c r="F676" s="255" t="s">
        <v>3973</v>
      </c>
      <c r="H676" s="255">
        <v>7000.0</v>
      </c>
      <c r="I676" s="255">
        <v>844.0</v>
      </c>
      <c r="K676" s="255" t="s">
        <v>3974</v>
      </c>
      <c r="L676" s="255" t="s">
        <v>3974</v>
      </c>
      <c r="M676" s="255" t="s">
        <v>941</v>
      </c>
      <c r="N676" s="255">
        <v>150000.0</v>
      </c>
      <c r="P676" s="255" t="s">
        <v>2208</v>
      </c>
      <c r="Q676" s="255">
        <v>2.0</v>
      </c>
      <c r="R676" s="259">
        <v>46093.0</v>
      </c>
      <c r="S676" s="260" t="s">
        <v>2324</v>
      </c>
      <c r="T676" s="259">
        <v>46100.0</v>
      </c>
      <c r="U676" s="255">
        <v>290.0</v>
      </c>
    </row>
    <row r="677">
      <c r="A677" s="257">
        <v>46085.59352181713</v>
      </c>
      <c r="B677" s="258" t="s">
        <v>3975</v>
      </c>
      <c r="C677" s="259">
        <v>46085.0</v>
      </c>
      <c r="D677" s="255" t="s">
        <v>3960</v>
      </c>
      <c r="E677" s="255" t="s">
        <v>3976</v>
      </c>
      <c r="H677" s="255">
        <v>13000.0</v>
      </c>
      <c r="I677" s="255">
        <v>1618.0</v>
      </c>
      <c r="K677" s="255" t="s">
        <v>3976</v>
      </c>
      <c r="L677" s="255" t="s">
        <v>3976</v>
      </c>
      <c r="M677" s="255" t="s">
        <v>102</v>
      </c>
      <c r="N677" s="255">
        <v>250000.0</v>
      </c>
      <c r="P677" s="255" t="s">
        <v>2208</v>
      </c>
      <c r="Q677" s="255">
        <v>2.0</v>
      </c>
      <c r="R677" s="259">
        <v>46085.0</v>
      </c>
      <c r="S677" s="260" t="s">
        <v>2231</v>
      </c>
      <c r="T677" s="259">
        <v>46090.0</v>
      </c>
      <c r="U677" s="255">
        <v>290.0</v>
      </c>
    </row>
    <row r="678">
      <c r="A678" s="257">
        <v>46086.27674782407</v>
      </c>
      <c r="B678" s="258" t="s">
        <v>3977</v>
      </c>
      <c r="C678" s="259">
        <v>46086.0</v>
      </c>
      <c r="E678" s="255" t="s">
        <v>3978</v>
      </c>
      <c r="F678" s="255" t="s">
        <v>3979</v>
      </c>
      <c r="H678" s="255">
        <v>20000.0</v>
      </c>
      <c r="I678" s="255">
        <v>1708.0</v>
      </c>
      <c r="K678" s="255" t="s">
        <v>3978</v>
      </c>
      <c r="L678" s="255" t="s">
        <v>3978</v>
      </c>
      <c r="M678" s="255" t="s">
        <v>916</v>
      </c>
      <c r="N678" s="255">
        <v>250000.0</v>
      </c>
      <c r="P678" s="255" t="s">
        <v>2208</v>
      </c>
      <c r="Q678" s="255">
        <v>2.0</v>
      </c>
      <c r="R678" s="259">
        <v>46086.0</v>
      </c>
      <c r="S678" s="260" t="s">
        <v>2324</v>
      </c>
      <c r="T678" s="259">
        <v>46091.0</v>
      </c>
      <c r="U678" s="255">
        <v>490.0</v>
      </c>
    </row>
    <row r="679">
      <c r="A679" s="257">
        <v>46086.28055555555</v>
      </c>
      <c r="B679" s="258" t="s">
        <v>3980</v>
      </c>
      <c r="C679" s="259">
        <v>46086.0</v>
      </c>
      <c r="D679" s="255" t="s">
        <v>3981</v>
      </c>
      <c r="E679" s="255" t="s">
        <v>2508</v>
      </c>
      <c r="F679" s="255" t="s">
        <v>3982</v>
      </c>
      <c r="H679" s="255">
        <v>7000.0</v>
      </c>
      <c r="I679" s="255">
        <v>898.0</v>
      </c>
      <c r="K679" s="255" t="s">
        <v>2508</v>
      </c>
      <c r="L679" s="255" t="s">
        <v>2508</v>
      </c>
      <c r="M679" s="255" t="s">
        <v>979</v>
      </c>
      <c r="N679" s="255">
        <v>150000.0</v>
      </c>
      <c r="P679" s="255" t="s">
        <v>2208</v>
      </c>
      <c r="Q679" s="255">
        <v>2.0</v>
      </c>
      <c r="R679" s="259">
        <v>46086.0</v>
      </c>
      <c r="S679" s="260" t="s">
        <v>2265</v>
      </c>
      <c r="T679" s="259">
        <v>46091.0</v>
      </c>
      <c r="U679" s="255">
        <v>290.0</v>
      </c>
    </row>
    <row r="680">
      <c r="A680" s="257">
        <v>46087.63201498843</v>
      </c>
      <c r="B680" s="258" t="s">
        <v>3983</v>
      </c>
      <c r="C680" s="259">
        <v>46087.0</v>
      </c>
      <c r="D680" s="255" t="s">
        <v>3984</v>
      </c>
      <c r="E680" s="255" t="s">
        <v>3985</v>
      </c>
      <c r="F680" s="260" t="s">
        <v>3986</v>
      </c>
      <c r="G680" s="260" t="s">
        <v>3987</v>
      </c>
      <c r="H680" s="255">
        <v>3000.0</v>
      </c>
      <c r="I680" s="255">
        <v>404.0</v>
      </c>
      <c r="K680" s="255" t="s">
        <v>2269</v>
      </c>
      <c r="L680" s="255" t="s">
        <v>2269</v>
      </c>
      <c r="M680" s="255" t="s">
        <v>98</v>
      </c>
      <c r="N680" s="255">
        <v>70000.0</v>
      </c>
      <c r="P680" s="255" t="s">
        <v>2208</v>
      </c>
      <c r="Q680" s="255">
        <v>2.0</v>
      </c>
      <c r="R680" s="259">
        <v>46087.0</v>
      </c>
      <c r="S680" s="260" t="s">
        <v>2235</v>
      </c>
      <c r="T680" s="259">
        <v>46092.0</v>
      </c>
      <c r="U680" s="255">
        <v>0.0</v>
      </c>
    </row>
    <row r="681">
      <c r="A681" s="257">
        <v>46088.18642803241</v>
      </c>
      <c r="B681" s="258" t="s">
        <v>3988</v>
      </c>
      <c r="C681" s="259">
        <v>46088.0</v>
      </c>
      <c r="D681" s="255" t="s">
        <v>3970</v>
      </c>
      <c r="E681" s="255" t="s">
        <v>3971</v>
      </c>
      <c r="H681" s="255">
        <v>3000.0</v>
      </c>
      <c r="I681" s="255">
        <v>443.0</v>
      </c>
      <c r="K681" s="255" t="s">
        <v>3971</v>
      </c>
      <c r="L681" s="255" t="s">
        <v>3971</v>
      </c>
      <c r="M681" s="255" t="s">
        <v>106</v>
      </c>
      <c r="N681" s="255">
        <v>70000.0</v>
      </c>
      <c r="P681" s="255" t="s">
        <v>2208</v>
      </c>
      <c r="Q681" s="255">
        <v>2.0</v>
      </c>
      <c r="R681" s="259">
        <v>46088.0</v>
      </c>
      <c r="S681" s="260" t="s">
        <v>2231</v>
      </c>
      <c r="T681" s="259">
        <v>46095.0</v>
      </c>
      <c r="U681" s="255">
        <v>290.0</v>
      </c>
    </row>
    <row r="682">
      <c r="A682" s="257">
        <v>46088.719340185184</v>
      </c>
      <c r="B682" s="258" t="s">
        <v>3989</v>
      </c>
      <c r="C682" s="259">
        <v>46088.0</v>
      </c>
      <c r="D682" s="255" t="s">
        <v>3990</v>
      </c>
      <c r="E682" s="255" t="s">
        <v>3077</v>
      </c>
      <c r="F682" s="255" t="s">
        <v>3990</v>
      </c>
      <c r="H682" s="255">
        <v>5000.0</v>
      </c>
      <c r="I682" s="255">
        <v>594.0</v>
      </c>
      <c r="K682" s="255" t="s">
        <v>2269</v>
      </c>
      <c r="L682" s="255" t="s">
        <v>2269</v>
      </c>
      <c r="M682" s="255" t="s">
        <v>64</v>
      </c>
      <c r="N682" s="255">
        <v>120000.0</v>
      </c>
      <c r="P682" s="255" t="s">
        <v>2208</v>
      </c>
      <c r="Q682" s="255">
        <v>2.0</v>
      </c>
      <c r="R682" s="259">
        <v>46088.0</v>
      </c>
      <c r="S682" s="260" t="s">
        <v>2215</v>
      </c>
      <c r="T682" s="259">
        <v>46095.0</v>
      </c>
      <c r="U682" s="255">
        <v>0.0</v>
      </c>
    </row>
    <row r="683">
      <c r="A683" s="257">
        <v>46088.76535192129</v>
      </c>
      <c r="B683" s="258" t="s">
        <v>3991</v>
      </c>
      <c r="C683" s="259">
        <v>46088.0</v>
      </c>
      <c r="D683" s="255" t="s">
        <v>3992</v>
      </c>
      <c r="H683" s="255">
        <v>5000.0</v>
      </c>
      <c r="I683" s="255">
        <v>594.0</v>
      </c>
      <c r="K683" s="255" t="s">
        <v>2269</v>
      </c>
      <c r="L683" s="255" t="s">
        <v>2269</v>
      </c>
      <c r="M683" s="255" t="s">
        <v>974</v>
      </c>
      <c r="N683" s="255">
        <v>15000.0</v>
      </c>
      <c r="P683" s="255" t="s">
        <v>2208</v>
      </c>
      <c r="Q683" s="255">
        <v>2.0</v>
      </c>
      <c r="R683" s="259">
        <v>46088.0</v>
      </c>
      <c r="S683" s="260" t="s">
        <v>2246</v>
      </c>
      <c r="T683" s="259">
        <v>46095.0</v>
      </c>
      <c r="U683" s="255">
        <v>0.0</v>
      </c>
    </row>
    <row r="684">
      <c r="A684" s="257">
        <v>46091.24429239583</v>
      </c>
      <c r="B684" s="258" t="s">
        <v>3993</v>
      </c>
      <c r="C684" s="259">
        <v>46091.0</v>
      </c>
      <c r="D684" s="255" t="s">
        <v>3994</v>
      </c>
      <c r="E684" s="255" t="s">
        <v>3943</v>
      </c>
      <c r="F684" s="255" t="s">
        <v>3994</v>
      </c>
      <c r="H684" s="255">
        <v>7000.0</v>
      </c>
      <c r="I684" s="255">
        <v>898.0</v>
      </c>
      <c r="K684" s="255" t="s">
        <v>3943</v>
      </c>
      <c r="L684" s="255" t="s">
        <v>3943</v>
      </c>
      <c r="M684" s="255" t="s">
        <v>981</v>
      </c>
      <c r="N684" s="255">
        <v>150000.0</v>
      </c>
      <c r="P684" s="255" t="s">
        <v>2208</v>
      </c>
      <c r="Q684" s="255">
        <v>2.0</v>
      </c>
      <c r="R684" s="259">
        <v>46091.0</v>
      </c>
      <c r="S684" s="260" t="s">
        <v>2262</v>
      </c>
      <c r="T684" s="259">
        <v>46093.0</v>
      </c>
      <c r="U684" s="255">
        <v>290.0</v>
      </c>
    </row>
    <row r="685">
      <c r="A685" s="257">
        <v>46091.42148606481</v>
      </c>
      <c r="B685" s="258" t="s">
        <v>3995</v>
      </c>
      <c r="C685" s="259">
        <v>46091.0</v>
      </c>
      <c r="E685" s="255" t="s">
        <v>3784</v>
      </c>
      <c r="F685" s="255" t="s">
        <v>3996</v>
      </c>
      <c r="I685" s="255">
        <v>700.0</v>
      </c>
      <c r="J685" s="255">
        <v>7000.0</v>
      </c>
      <c r="K685" s="255" t="s">
        <v>3784</v>
      </c>
      <c r="L685" s="255" t="s">
        <v>3784</v>
      </c>
      <c r="M685" s="255" t="s">
        <v>948</v>
      </c>
      <c r="P685" s="255" t="s">
        <v>2208</v>
      </c>
      <c r="Q685" s="255">
        <v>0.0</v>
      </c>
      <c r="R685" s="259">
        <v>46091.0</v>
      </c>
      <c r="S685" s="260" t="s">
        <v>2221</v>
      </c>
      <c r="T685" s="259">
        <v>46094.0</v>
      </c>
      <c r="U685" s="255">
        <v>290.0</v>
      </c>
    </row>
    <row r="686">
      <c r="A686" s="257">
        <v>46091.44590652778</v>
      </c>
      <c r="B686" s="258" t="s">
        <v>3997</v>
      </c>
      <c r="C686" s="259">
        <v>46091.0</v>
      </c>
      <c r="E686" s="255" t="s">
        <v>3943</v>
      </c>
      <c r="F686" s="255" t="s">
        <v>3998</v>
      </c>
      <c r="K686" s="255" t="s">
        <v>3943</v>
      </c>
      <c r="L686" s="255" t="s">
        <v>3943</v>
      </c>
      <c r="M686" s="255" t="s">
        <v>914</v>
      </c>
      <c r="P686" s="255" t="s">
        <v>2208</v>
      </c>
      <c r="Q686" s="255">
        <v>0.0</v>
      </c>
      <c r="R686" s="259">
        <v>46091.0</v>
      </c>
      <c r="S686" s="260" t="s">
        <v>2221</v>
      </c>
      <c r="T686" s="259">
        <v>46094.0</v>
      </c>
      <c r="U686" s="255">
        <v>0.0</v>
      </c>
    </row>
    <row r="687">
      <c r="A687" s="257">
        <v>46092.71640599537</v>
      </c>
      <c r="B687" s="258" t="s">
        <v>3999</v>
      </c>
      <c r="C687" s="259">
        <v>46092.0</v>
      </c>
      <c r="D687" s="255" t="s">
        <v>4000</v>
      </c>
      <c r="E687" s="255" t="s">
        <v>4001</v>
      </c>
      <c r="F687" s="255" t="s">
        <v>4000</v>
      </c>
      <c r="H687" s="255">
        <v>3000.0</v>
      </c>
      <c r="I687" s="255">
        <v>404.0</v>
      </c>
      <c r="K687" s="255" t="s">
        <v>4002</v>
      </c>
      <c r="L687" s="255" t="s">
        <v>4002</v>
      </c>
      <c r="M687" s="255" t="s">
        <v>48</v>
      </c>
      <c r="N687" s="255">
        <v>70000.0</v>
      </c>
      <c r="P687" s="255" t="s">
        <v>2208</v>
      </c>
      <c r="Q687" s="255">
        <v>2.0</v>
      </c>
      <c r="R687" s="259">
        <v>46092.0</v>
      </c>
      <c r="S687" s="260" t="s">
        <v>2246</v>
      </c>
      <c r="T687" s="259">
        <v>46097.0</v>
      </c>
      <c r="U687" s="255">
        <v>290.0</v>
      </c>
    </row>
    <row r="688">
      <c r="A688" s="257">
        <v>46093.48218038194</v>
      </c>
      <c r="B688" s="258" t="s">
        <v>4003</v>
      </c>
      <c r="C688" s="259">
        <v>46093.0</v>
      </c>
      <c r="D688" s="255" t="s">
        <v>4004</v>
      </c>
      <c r="E688" s="255" t="s">
        <v>3211</v>
      </c>
      <c r="F688" s="255" t="s">
        <v>3207</v>
      </c>
      <c r="H688" s="255">
        <v>20000.0</v>
      </c>
      <c r="I688" s="255">
        <v>1440.0</v>
      </c>
      <c r="K688" s="255" t="s">
        <v>4005</v>
      </c>
      <c r="L688" s="255" t="s">
        <v>4005</v>
      </c>
      <c r="M688" s="255" t="s">
        <v>102</v>
      </c>
      <c r="P688" s="255" t="s">
        <v>2208</v>
      </c>
      <c r="Q688" s="255">
        <v>2.0</v>
      </c>
      <c r="R688" s="259">
        <v>46093.0</v>
      </c>
      <c r="S688" s="260" t="s">
        <v>2231</v>
      </c>
      <c r="T688" s="259">
        <v>46095.0</v>
      </c>
      <c r="U688" s="255">
        <v>490.0</v>
      </c>
    </row>
    <row r="689">
      <c r="A689" s="257">
        <v>46095.736251689814</v>
      </c>
      <c r="B689" s="258" t="s">
        <v>4006</v>
      </c>
      <c r="C689" s="259">
        <v>46095.0</v>
      </c>
      <c r="D689" s="255" t="s">
        <v>4007</v>
      </c>
      <c r="F689" s="255" t="s">
        <v>4007</v>
      </c>
      <c r="H689" s="255">
        <v>3000.0</v>
      </c>
      <c r="I689" s="255">
        <v>400.0</v>
      </c>
      <c r="K689" s="255" t="s">
        <v>2207</v>
      </c>
      <c r="L689" s="255" t="s">
        <v>2207</v>
      </c>
      <c r="M689" s="255" t="s">
        <v>114</v>
      </c>
      <c r="N689" s="255">
        <v>70000.0</v>
      </c>
      <c r="P689" s="255" t="s">
        <v>2208</v>
      </c>
      <c r="Q689" s="255">
        <v>2.0</v>
      </c>
      <c r="R689" s="259">
        <v>46095.0</v>
      </c>
      <c r="S689" s="260" t="s">
        <v>2246</v>
      </c>
      <c r="T689" s="259">
        <v>46098.0</v>
      </c>
      <c r="U689" s="255">
        <v>0.0</v>
      </c>
    </row>
    <row r="690">
      <c r="A690" s="257">
        <v>46096.293703483796</v>
      </c>
      <c r="B690" s="258" t="s">
        <v>4008</v>
      </c>
      <c r="C690" s="259">
        <v>46096.0</v>
      </c>
      <c r="D690" s="255" t="s">
        <v>3280</v>
      </c>
      <c r="E690" s="255" t="s">
        <v>4009</v>
      </c>
      <c r="F690" s="255" t="s">
        <v>3366</v>
      </c>
      <c r="H690" s="255">
        <v>7000.0</v>
      </c>
      <c r="I690" s="255">
        <v>639.0</v>
      </c>
      <c r="K690" s="255" t="s">
        <v>4009</v>
      </c>
      <c r="L690" s="255" t="s">
        <v>4009</v>
      </c>
      <c r="M690" s="255" t="s">
        <v>928</v>
      </c>
      <c r="N690" s="255">
        <v>90000.0</v>
      </c>
      <c r="P690" s="255" t="s">
        <v>2208</v>
      </c>
      <c r="Q690" s="255">
        <v>2.0</v>
      </c>
      <c r="R690" s="259">
        <v>46096.0</v>
      </c>
      <c r="S690" s="260" t="s">
        <v>2246</v>
      </c>
      <c r="T690" s="259">
        <v>46116.0</v>
      </c>
      <c r="U690" s="255">
        <v>490.0</v>
      </c>
    </row>
    <row r="691">
      <c r="A691" s="257">
        <v>46096.51058030092</v>
      </c>
      <c r="B691" s="258" t="s">
        <v>4010</v>
      </c>
      <c r="C691" s="259">
        <v>46096.0</v>
      </c>
      <c r="D691" s="255" t="s">
        <v>4011</v>
      </c>
      <c r="E691" s="255" t="s">
        <v>4012</v>
      </c>
      <c r="H691" s="255">
        <v>3000.0</v>
      </c>
      <c r="I691" s="255">
        <v>404.0</v>
      </c>
      <c r="K691" s="255" t="s">
        <v>4012</v>
      </c>
      <c r="L691" s="255" t="s">
        <v>4012</v>
      </c>
      <c r="M691" s="255" t="s">
        <v>68</v>
      </c>
      <c r="N691" s="255">
        <v>70000.0</v>
      </c>
      <c r="P691" s="255" t="s">
        <v>2208</v>
      </c>
      <c r="Q691" s="255">
        <v>2.0</v>
      </c>
      <c r="R691" s="259">
        <v>46096.0</v>
      </c>
      <c r="S691" s="260" t="s">
        <v>2221</v>
      </c>
      <c r="T691" s="259">
        <v>46101.0</v>
      </c>
      <c r="U691" s="255">
        <v>290.0</v>
      </c>
    </row>
    <row r="692">
      <c r="A692" s="257">
        <v>46096.52027715278</v>
      </c>
      <c r="B692" s="258" t="s">
        <v>4013</v>
      </c>
      <c r="C692" s="259">
        <v>46096.0</v>
      </c>
      <c r="D692" s="255" t="s">
        <v>3132</v>
      </c>
      <c r="E692" s="255" t="s">
        <v>3908</v>
      </c>
      <c r="F692" s="255" t="s">
        <v>3132</v>
      </c>
      <c r="H692" s="255">
        <v>7000.0</v>
      </c>
      <c r="I692" s="255">
        <v>746.0</v>
      </c>
      <c r="K692" s="255" t="s">
        <v>3908</v>
      </c>
      <c r="L692" s="255" t="s">
        <v>3908</v>
      </c>
      <c r="M692" s="255" t="s">
        <v>974</v>
      </c>
      <c r="N692" s="255">
        <v>7000.0</v>
      </c>
      <c r="P692" s="255" t="s">
        <v>2208</v>
      </c>
      <c r="Q692" s="255">
        <v>2.0</v>
      </c>
      <c r="R692" s="259">
        <v>46096.0</v>
      </c>
      <c r="S692" s="260" t="s">
        <v>2235</v>
      </c>
      <c r="T692" s="259">
        <v>46103.0</v>
      </c>
      <c r="U692" s="255">
        <v>490.0</v>
      </c>
    </row>
    <row r="693">
      <c r="A693" s="257">
        <v>46097.473859571764</v>
      </c>
      <c r="B693" s="258" t="s">
        <v>4014</v>
      </c>
      <c r="C693" s="259">
        <v>46097.0</v>
      </c>
      <c r="D693" s="255" t="s">
        <v>4015</v>
      </c>
      <c r="E693" s="255" t="s">
        <v>4016</v>
      </c>
      <c r="F693" s="255" t="s">
        <v>4017</v>
      </c>
      <c r="H693" s="255" t="s">
        <v>912</v>
      </c>
      <c r="I693" s="255">
        <v>380.0</v>
      </c>
      <c r="K693" s="255" t="s">
        <v>4016</v>
      </c>
      <c r="L693" s="255" t="s">
        <v>4016</v>
      </c>
      <c r="M693" s="255" t="s">
        <v>48</v>
      </c>
      <c r="P693" s="255" t="s">
        <v>2208</v>
      </c>
      <c r="Q693" s="255">
        <v>2.0</v>
      </c>
      <c r="R693" s="259">
        <v>46097.0</v>
      </c>
      <c r="S693" s="260" t="s">
        <v>2330</v>
      </c>
      <c r="T693" s="259">
        <v>46103.0</v>
      </c>
      <c r="U693" s="255">
        <v>290.0</v>
      </c>
    </row>
    <row r="694">
      <c r="A694" s="257">
        <v>46097.753341400465</v>
      </c>
      <c r="B694" s="258" t="s">
        <v>4018</v>
      </c>
      <c r="C694" s="259">
        <v>46097.0</v>
      </c>
      <c r="D694" s="255" t="s">
        <v>4019</v>
      </c>
      <c r="E694" s="255" t="s">
        <v>4020</v>
      </c>
      <c r="F694" s="255" t="s">
        <v>4019</v>
      </c>
      <c r="H694" s="255">
        <v>7000.0</v>
      </c>
      <c r="I694" s="255">
        <v>817.0</v>
      </c>
      <c r="K694" s="255" t="s">
        <v>4020</v>
      </c>
      <c r="L694" s="255" t="s">
        <v>4020</v>
      </c>
      <c r="M694" s="255" t="s">
        <v>979</v>
      </c>
      <c r="N694" s="255">
        <v>150000.0</v>
      </c>
      <c r="P694" s="255" t="s">
        <v>2208</v>
      </c>
      <c r="Q694" s="255">
        <v>2.0</v>
      </c>
      <c r="R694" s="259">
        <v>46102.0</v>
      </c>
      <c r="S694" s="260" t="s">
        <v>2231</v>
      </c>
      <c r="T694" s="259">
        <v>46112.0</v>
      </c>
      <c r="U694" s="255">
        <v>290.0</v>
      </c>
    </row>
    <row r="695">
      <c r="A695" s="257">
        <v>46098.61029997685</v>
      </c>
      <c r="B695" s="258" t="s">
        <v>4021</v>
      </c>
      <c r="C695" s="259">
        <v>46098.0</v>
      </c>
      <c r="D695" s="255" t="s">
        <v>4022</v>
      </c>
      <c r="E695" s="255" t="s">
        <v>4023</v>
      </c>
      <c r="F695" s="255" t="s">
        <v>4022</v>
      </c>
      <c r="H695" s="255">
        <v>20000.0</v>
      </c>
      <c r="I695" s="255">
        <v>1440.0</v>
      </c>
      <c r="K695" s="255" t="s">
        <v>4023</v>
      </c>
      <c r="L695" s="255" t="s">
        <v>4023</v>
      </c>
      <c r="M695" s="255" t="s">
        <v>916</v>
      </c>
      <c r="N695" s="255">
        <v>250000.0</v>
      </c>
      <c r="P695" s="255" t="s">
        <v>2208</v>
      </c>
      <c r="Q695" s="255">
        <v>2.0</v>
      </c>
      <c r="R695" s="259">
        <v>46098.0</v>
      </c>
      <c r="S695" s="260" t="s">
        <v>2231</v>
      </c>
      <c r="T695" s="259">
        <v>46105.0</v>
      </c>
      <c r="U695" s="255">
        <v>490.0</v>
      </c>
    </row>
    <row r="696">
      <c r="A696" s="257">
        <v>46099.76779684028</v>
      </c>
      <c r="B696" s="258" t="s">
        <v>4024</v>
      </c>
      <c r="C696" s="259">
        <v>46099.0</v>
      </c>
      <c r="D696" s="255" t="s">
        <v>3567</v>
      </c>
      <c r="F696" s="255" t="s">
        <v>4025</v>
      </c>
      <c r="H696" s="255">
        <v>25000.0</v>
      </c>
      <c r="I696" s="255">
        <v>1985.0</v>
      </c>
      <c r="K696" s="255" t="s">
        <v>2269</v>
      </c>
      <c r="L696" s="255" t="s">
        <v>2269</v>
      </c>
      <c r="M696" s="255" t="s">
        <v>967</v>
      </c>
      <c r="N696" s="255">
        <v>500000.0</v>
      </c>
      <c r="P696" s="255" t="s">
        <v>2208</v>
      </c>
      <c r="Q696" s="255">
        <v>2.0</v>
      </c>
      <c r="R696" s="259">
        <v>46125.0</v>
      </c>
      <c r="S696" s="260" t="s">
        <v>2330</v>
      </c>
      <c r="T696" s="259">
        <v>46137.0</v>
      </c>
      <c r="U696" s="255">
        <v>0.0</v>
      </c>
    </row>
    <row r="697">
      <c r="A697" s="257">
        <v>46103.52744627315</v>
      </c>
      <c r="B697" s="258" t="s">
        <v>4026</v>
      </c>
      <c r="C697" s="259">
        <v>46103.0</v>
      </c>
      <c r="D697" s="260" t="s">
        <v>4027</v>
      </c>
      <c r="E697" s="255" t="s">
        <v>4028</v>
      </c>
      <c r="H697" s="255">
        <v>3000.0</v>
      </c>
      <c r="I697" s="255">
        <v>376.0</v>
      </c>
      <c r="K697" s="255" t="s">
        <v>4028</v>
      </c>
      <c r="L697" s="255" t="s">
        <v>4028</v>
      </c>
      <c r="M697" s="255" t="s">
        <v>56</v>
      </c>
      <c r="N697" s="255">
        <v>70000.0</v>
      </c>
      <c r="O697" s="255">
        <v>70000.0</v>
      </c>
      <c r="P697" s="255" t="s">
        <v>2208</v>
      </c>
      <c r="Q697" s="255">
        <v>2.0</v>
      </c>
      <c r="R697" s="259">
        <v>46103.0</v>
      </c>
      <c r="S697" s="260" t="s">
        <v>2330</v>
      </c>
      <c r="T697" s="259">
        <v>46111.0</v>
      </c>
      <c r="U697" s="255">
        <v>0.0</v>
      </c>
    </row>
    <row r="698">
      <c r="A698" s="257">
        <v>46103.5302484375</v>
      </c>
      <c r="B698" s="258" t="s">
        <v>4029</v>
      </c>
      <c r="C698" s="259">
        <v>46103.0</v>
      </c>
      <c r="D698" s="260" t="s">
        <v>4027</v>
      </c>
      <c r="E698" s="255" t="s">
        <v>4028</v>
      </c>
      <c r="H698" s="255">
        <v>3000.0</v>
      </c>
      <c r="I698" s="255">
        <v>376.0</v>
      </c>
      <c r="K698" s="255" t="s">
        <v>4028</v>
      </c>
      <c r="L698" s="255" t="s">
        <v>4028</v>
      </c>
      <c r="M698" s="255" t="s">
        <v>73</v>
      </c>
      <c r="N698" s="255">
        <v>70000.0</v>
      </c>
      <c r="P698" s="255" t="s">
        <v>2208</v>
      </c>
      <c r="Q698" s="255">
        <v>1.0</v>
      </c>
      <c r="R698" s="259">
        <v>46103.0</v>
      </c>
      <c r="S698" s="260" t="s">
        <v>2221</v>
      </c>
      <c r="T698" s="259">
        <v>46111.0</v>
      </c>
      <c r="U698" s="255">
        <v>0.0</v>
      </c>
    </row>
    <row r="699">
      <c r="A699" s="257">
        <v>46105.26699377315</v>
      </c>
      <c r="B699" s="258" t="s">
        <v>4030</v>
      </c>
      <c r="C699" s="259">
        <v>46105.0</v>
      </c>
      <c r="D699" s="255" t="s">
        <v>4031</v>
      </c>
      <c r="E699" s="255" t="s">
        <v>4032</v>
      </c>
      <c r="F699" s="255">
        <v>8.9527119944E10</v>
      </c>
      <c r="H699" s="255">
        <v>15000.0</v>
      </c>
      <c r="I699" s="255">
        <v>883.0</v>
      </c>
      <c r="K699" s="255" t="s">
        <v>2269</v>
      </c>
      <c r="L699" s="255" t="s">
        <v>2269</v>
      </c>
      <c r="M699" s="255" t="s">
        <v>468</v>
      </c>
      <c r="N699" s="255">
        <v>150000.0</v>
      </c>
      <c r="P699" s="255" t="s">
        <v>2208</v>
      </c>
      <c r="Q699" s="255">
        <v>2.0</v>
      </c>
      <c r="R699" s="259">
        <v>46105.0</v>
      </c>
      <c r="S699" s="260" t="s">
        <v>2324</v>
      </c>
      <c r="T699" s="259">
        <v>46111.0</v>
      </c>
      <c r="U699" s="255">
        <v>0.0</v>
      </c>
    </row>
    <row r="700">
      <c r="A700" s="257">
        <v>46105.26953706019</v>
      </c>
      <c r="B700" s="258" t="s">
        <v>4033</v>
      </c>
      <c r="C700" s="259">
        <v>46105.0</v>
      </c>
      <c r="D700" s="255" t="s">
        <v>4034</v>
      </c>
      <c r="E700" s="255" t="s">
        <v>4035</v>
      </c>
      <c r="F700" s="255" t="s">
        <v>4034</v>
      </c>
      <c r="H700" s="255">
        <v>7000.0</v>
      </c>
      <c r="I700" s="255">
        <v>844.0</v>
      </c>
      <c r="K700" s="255" t="s">
        <v>4035</v>
      </c>
      <c r="L700" s="255" t="s">
        <v>4035</v>
      </c>
      <c r="M700" s="255" t="s">
        <v>923</v>
      </c>
      <c r="N700" s="255">
        <v>150000.0</v>
      </c>
      <c r="P700" s="255" t="s">
        <v>2208</v>
      </c>
      <c r="Q700" s="255">
        <v>2.0</v>
      </c>
      <c r="R700" s="259">
        <v>46105.0</v>
      </c>
      <c r="S700" s="260" t="s">
        <v>2221</v>
      </c>
      <c r="T700" s="259">
        <v>46112.0</v>
      </c>
      <c r="U700" s="255">
        <v>490.0</v>
      </c>
    </row>
    <row r="701">
      <c r="A701" s="257">
        <v>46105.27218853009</v>
      </c>
      <c r="B701" s="258" t="s">
        <v>4036</v>
      </c>
      <c r="C701" s="259">
        <v>46105.0</v>
      </c>
      <c r="D701" s="255" t="s">
        <v>3003</v>
      </c>
      <c r="E701" s="255" t="s">
        <v>3609</v>
      </c>
      <c r="F701" s="255" t="s">
        <v>3005</v>
      </c>
      <c r="H701" s="255">
        <v>7000.0</v>
      </c>
      <c r="I701" s="255">
        <v>835.0</v>
      </c>
      <c r="K701" s="255" t="s">
        <v>3609</v>
      </c>
      <c r="L701" s="255" t="s">
        <v>3609</v>
      </c>
      <c r="M701" s="255" t="s">
        <v>941</v>
      </c>
      <c r="N701" s="255">
        <v>150000.0</v>
      </c>
      <c r="P701" s="255" t="s">
        <v>2208</v>
      </c>
      <c r="Q701" s="255">
        <v>2.0</v>
      </c>
      <c r="R701" s="259">
        <v>46105.0</v>
      </c>
      <c r="S701" s="260" t="s">
        <v>2330</v>
      </c>
      <c r="T701" s="259">
        <v>46113.0</v>
      </c>
      <c r="U701" s="255">
        <v>390.0</v>
      </c>
    </row>
    <row r="702">
      <c r="A702" s="257">
        <v>46105.508702604166</v>
      </c>
      <c r="B702" s="258" t="s">
        <v>4037</v>
      </c>
      <c r="C702" s="259">
        <v>46105.0</v>
      </c>
      <c r="D702" s="255" t="s">
        <v>4031</v>
      </c>
      <c r="E702" s="255" t="s">
        <v>3264</v>
      </c>
      <c r="F702" s="255">
        <v>8.9527119944E10</v>
      </c>
      <c r="H702" s="255" t="s">
        <v>600</v>
      </c>
      <c r="I702" s="255">
        <v>883.0</v>
      </c>
      <c r="K702" s="255" t="s">
        <v>2269</v>
      </c>
      <c r="L702" s="255" t="s">
        <v>2269</v>
      </c>
      <c r="M702" s="255" t="s">
        <v>468</v>
      </c>
      <c r="P702" s="255" t="s">
        <v>2208</v>
      </c>
      <c r="Q702" s="255">
        <v>2.0</v>
      </c>
      <c r="R702" s="259">
        <v>46105.0</v>
      </c>
      <c r="S702" s="260" t="s">
        <v>2330</v>
      </c>
      <c r="T702" s="259">
        <v>46111.0</v>
      </c>
      <c r="U702" s="255">
        <v>0.0</v>
      </c>
    </row>
    <row r="703">
      <c r="A703" s="257">
        <v>46106.27916377315</v>
      </c>
      <c r="B703" s="258" t="s">
        <v>4038</v>
      </c>
      <c r="C703" s="259">
        <v>46106.0</v>
      </c>
      <c r="D703" s="255" t="s">
        <v>4039</v>
      </c>
      <c r="E703" s="255" t="s">
        <v>3660</v>
      </c>
      <c r="F703" s="255" t="s">
        <v>4039</v>
      </c>
      <c r="H703" s="255">
        <v>7000.0</v>
      </c>
      <c r="I703" s="255">
        <v>693.0</v>
      </c>
      <c r="K703" s="255" t="s">
        <v>3660</v>
      </c>
      <c r="L703" s="255" t="s">
        <v>3660</v>
      </c>
      <c r="M703" s="255" t="s">
        <v>928</v>
      </c>
      <c r="N703" s="255">
        <v>120000.0</v>
      </c>
      <c r="P703" s="255" t="s">
        <v>2208</v>
      </c>
      <c r="Q703" s="255">
        <v>2.0</v>
      </c>
      <c r="R703" s="259">
        <v>46106.0</v>
      </c>
      <c r="S703" s="260" t="s">
        <v>2330</v>
      </c>
      <c r="T703" s="259">
        <v>46119.0</v>
      </c>
      <c r="U703" s="255">
        <v>390.0</v>
      </c>
    </row>
    <row r="704">
      <c r="A704" s="257">
        <v>46106.48786233796</v>
      </c>
      <c r="B704" s="258" t="s">
        <v>4040</v>
      </c>
      <c r="C704" s="259">
        <v>46106.0</v>
      </c>
      <c r="D704" s="255" t="s">
        <v>4041</v>
      </c>
      <c r="E704" s="255" t="s">
        <v>4042</v>
      </c>
      <c r="F704" s="255">
        <v>7.9024438592E10</v>
      </c>
      <c r="G704" s="255">
        <v>7.9122972153E10</v>
      </c>
      <c r="H704" s="255">
        <v>3000.0</v>
      </c>
      <c r="I704" s="255">
        <v>368.0</v>
      </c>
      <c r="K704" s="255" t="s">
        <v>4042</v>
      </c>
      <c r="L704" s="255" t="s">
        <v>4042</v>
      </c>
      <c r="M704" s="255" t="s">
        <v>44</v>
      </c>
      <c r="P704" s="255" t="s">
        <v>2208</v>
      </c>
      <c r="Q704" s="255">
        <v>2.0</v>
      </c>
      <c r="R704" s="259">
        <v>46106.0</v>
      </c>
      <c r="S704" s="260" t="s">
        <v>2330</v>
      </c>
      <c r="T704" s="259">
        <v>46116.0</v>
      </c>
      <c r="U704" s="255">
        <v>290.0</v>
      </c>
    </row>
    <row r="705">
      <c r="A705" s="257">
        <v>46107.65475423611</v>
      </c>
      <c r="B705" s="258" t="s">
        <v>4043</v>
      </c>
      <c r="C705" s="259">
        <v>46107.0</v>
      </c>
      <c r="D705" s="255" t="s">
        <v>4044</v>
      </c>
      <c r="E705" s="255" t="s">
        <v>4045</v>
      </c>
      <c r="H705" s="255">
        <v>5000.0</v>
      </c>
      <c r="I705" s="255">
        <v>672.0</v>
      </c>
      <c r="K705" s="255" t="s">
        <v>4045</v>
      </c>
      <c r="L705" s="255" t="s">
        <v>4045</v>
      </c>
      <c r="M705" s="255" t="s">
        <v>32</v>
      </c>
      <c r="N705" s="255">
        <v>90000.0</v>
      </c>
      <c r="P705" s="255" t="s">
        <v>2208</v>
      </c>
      <c r="Q705" s="255">
        <v>2.0</v>
      </c>
      <c r="R705" s="259">
        <v>46107.0</v>
      </c>
      <c r="S705" s="260" t="s">
        <v>2215</v>
      </c>
      <c r="T705" s="259">
        <v>46112.0</v>
      </c>
      <c r="U705" s="255">
        <v>590.0</v>
      </c>
    </row>
    <row r="706">
      <c r="A706" s="257">
        <v>46108.58415525463</v>
      </c>
      <c r="B706" s="258" t="s">
        <v>4046</v>
      </c>
      <c r="C706" s="259">
        <v>46108.0</v>
      </c>
      <c r="D706" s="255" t="s">
        <v>2528</v>
      </c>
      <c r="E706" s="255" t="s">
        <v>4047</v>
      </c>
      <c r="F706" s="255" t="s">
        <v>2530</v>
      </c>
      <c r="H706" s="255">
        <v>3000.0</v>
      </c>
      <c r="I706" s="255">
        <v>372.0</v>
      </c>
      <c r="K706" s="255" t="s">
        <v>4047</v>
      </c>
      <c r="L706" s="255" t="s">
        <v>4047</v>
      </c>
      <c r="M706" s="255" t="s">
        <v>68</v>
      </c>
      <c r="N706" s="255">
        <v>70000.0</v>
      </c>
      <c r="P706" s="255" t="s">
        <v>2208</v>
      </c>
      <c r="Q706" s="255">
        <v>3.0</v>
      </c>
      <c r="R706" s="259">
        <v>46108.0</v>
      </c>
      <c r="S706" s="260" t="s">
        <v>2235</v>
      </c>
      <c r="T706" s="259">
        <v>46117.0</v>
      </c>
      <c r="U706" s="255">
        <v>490.0</v>
      </c>
    </row>
    <row r="707">
      <c r="A707" s="257">
        <v>46110.46426331019</v>
      </c>
      <c r="B707" s="258" t="s">
        <v>4048</v>
      </c>
      <c r="C707" s="259">
        <v>46110.0</v>
      </c>
      <c r="D707" s="255" t="s">
        <v>4049</v>
      </c>
      <c r="E707" s="255" t="s">
        <v>4050</v>
      </c>
      <c r="F707" s="255" t="s">
        <v>4051</v>
      </c>
      <c r="H707" s="255">
        <v>7000.0</v>
      </c>
      <c r="I707" s="255">
        <v>750.0</v>
      </c>
      <c r="K707" s="255" t="s">
        <v>4052</v>
      </c>
      <c r="L707" s="255" t="s">
        <v>4052</v>
      </c>
      <c r="M707" s="255" t="s">
        <v>946</v>
      </c>
      <c r="P707" s="255" t="s">
        <v>2208</v>
      </c>
      <c r="Q707" s="255">
        <v>1.0</v>
      </c>
      <c r="R707" s="259">
        <v>46110.0</v>
      </c>
      <c r="S707" s="260" t="s">
        <v>2235</v>
      </c>
      <c r="T707" s="259">
        <v>46086.0</v>
      </c>
      <c r="U707" s="255">
        <v>290.0</v>
      </c>
    </row>
    <row r="708">
      <c r="A708" s="257">
        <v>46111.554295775466</v>
      </c>
      <c r="B708" s="258" t="s">
        <v>4053</v>
      </c>
      <c r="C708" s="259">
        <v>46111.0</v>
      </c>
      <c r="D708" s="255" t="s">
        <v>4054</v>
      </c>
      <c r="E708" s="255" t="s">
        <v>4055</v>
      </c>
      <c r="F708" s="255" t="s">
        <v>4054</v>
      </c>
      <c r="H708" s="255">
        <v>15000.0</v>
      </c>
      <c r="I708" s="255">
        <v>801.0</v>
      </c>
      <c r="K708" s="255" t="s">
        <v>4055</v>
      </c>
      <c r="L708" s="255" t="s">
        <v>4055</v>
      </c>
      <c r="M708" s="255" t="s">
        <v>461</v>
      </c>
      <c r="N708" s="255">
        <v>150000.0</v>
      </c>
      <c r="P708" s="255" t="s">
        <v>2208</v>
      </c>
      <c r="Q708" s="255">
        <v>2.0</v>
      </c>
      <c r="R708" s="259">
        <v>46111.0</v>
      </c>
      <c r="S708" s="260" t="s">
        <v>2221</v>
      </c>
      <c r="T708" s="259">
        <v>46114.0</v>
      </c>
      <c r="U708" s="255">
        <v>290.0</v>
      </c>
    </row>
    <row r="709">
      <c r="A709" s="257">
        <v>46111.7272032176</v>
      </c>
      <c r="B709" s="258" t="s">
        <v>4056</v>
      </c>
      <c r="C709" s="259">
        <v>46111.0</v>
      </c>
      <c r="D709" s="255" t="s">
        <v>4057</v>
      </c>
      <c r="E709" s="255" t="s">
        <v>4058</v>
      </c>
      <c r="H709" s="255">
        <v>5000.0</v>
      </c>
      <c r="J709" s="255">
        <v>15500.0</v>
      </c>
      <c r="K709" s="255" t="s">
        <v>2269</v>
      </c>
      <c r="L709" s="255" t="s">
        <v>2269</v>
      </c>
      <c r="M709" s="255" t="s">
        <v>948</v>
      </c>
      <c r="N709" s="255">
        <v>120000.0</v>
      </c>
      <c r="P709" s="255" t="s">
        <v>2208</v>
      </c>
      <c r="Q709" s="255">
        <v>2.0</v>
      </c>
      <c r="R709" s="259">
        <v>46111.0</v>
      </c>
      <c r="S709" s="260" t="s">
        <v>2246</v>
      </c>
      <c r="T709" s="259">
        <v>46142.0</v>
      </c>
      <c r="U709" s="255">
        <v>0.0</v>
      </c>
    </row>
    <row r="710">
      <c r="A710" s="257">
        <v>46111.75727112268</v>
      </c>
      <c r="B710" s="258" t="s">
        <v>4059</v>
      </c>
      <c r="C710" s="259">
        <v>46111.0</v>
      </c>
      <c r="D710" s="255" t="s">
        <v>4041</v>
      </c>
      <c r="E710" s="255" t="s">
        <v>4060</v>
      </c>
      <c r="F710" s="255">
        <v>7.901201253E10</v>
      </c>
      <c r="H710" s="255">
        <v>3000.0</v>
      </c>
      <c r="I710" s="255">
        <v>355.0</v>
      </c>
      <c r="K710" s="255" t="s">
        <v>4060</v>
      </c>
      <c r="L710" s="255" t="s">
        <v>4060</v>
      </c>
      <c r="M710" s="255" t="s">
        <v>73</v>
      </c>
      <c r="N710" s="255">
        <v>70000.0</v>
      </c>
      <c r="P710" s="255" t="s">
        <v>2208</v>
      </c>
      <c r="Q710" s="255">
        <v>2.0</v>
      </c>
      <c r="R710" s="259">
        <v>46111.0</v>
      </c>
      <c r="S710" s="260" t="s">
        <v>2250</v>
      </c>
      <c r="T710" s="259">
        <v>46119.0</v>
      </c>
      <c r="U710" s="255">
        <v>290.0</v>
      </c>
    </row>
    <row r="711">
      <c r="A711" s="257">
        <v>46112.62848888889</v>
      </c>
      <c r="B711" s="258" t="s">
        <v>4061</v>
      </c>
      <c r="C711" s="259">
        <v>46112.0</v>
      </c>
      <c r="D711" s="255" t="s">
        <v>4062</v>
      </c>
      <c r="E711" s="255" t="s">
        <v>4063</v>
      </c>
      <c r="F711" s="255" t="s">
        <v>4062</v>
      </c>
      <c r="H711" s="255">
        <v>3000.0</v>
      </c>
      <c r="I711" s="255">
        <v>404.0</v>
      </c>
      <c r="K711" s="255" t="s">
        <v>4063</v>
      </c>
      <c r="L711" s="255" t="s">
        <v>4063</v>
      </c>
      <c r="M711" s="255" t="s">
        <v>48</v>
      </c>
      <c r="N711" s="255">
        <v>70000.0</v>
      </c>
      <c r="P711" s="255" t="s">
        <v>2208</v>
      </c>
      <c r="Q711" s="255">
        <v>2.0</v>
      </c>
      <c r="R711" s="259">
        <v>46112.0</v>
      </c>
      <c r="S711" s="260" t="s">
        <v>2231</v>
      </c>
      <c r="T711" s="259">
        <v>46117.0</v>
      </c>
      <c r="U711" s="255">
        <v>290.0</v>
      </c>
    </row>
    <row r="712">
      <c r="A712" s="257">
        <v>46115.46837209491</v>
      </c>
      <c r="B712" s="258" t="s">
        <v>4064</v>
      </c>
      <c r="C712" s="259">
        <v>46115.0</v>
      </c>
      <c r="D712" s="255" t="s">
        <v>4065</v>
      </c>
      <c r="E712" s="255" t="s">
        <v>4066</v>
      </c>
      <c r="H712" s="255">
        <v>20000.0</v>
      </c>
      <c r="I712" s="255">
        <v>1650.0</v>
      </c>
      <c r="K712" s="255" t="s">
        <v>4066</v>
      </c>
      <c r="L712" s="255" t="s">
        <v>4066</v>
      </c>
      <c r="M712" s="255" t="s">
        <v>102</v>
      </c>
      <c r="P712" s="255" t="s">
        <v>2208</v>
      </c>
      <c r="Q712" s="255">
        <v>0.0</v>
      </c>
      <c r="R712" s="259">
        <v>46115.0</v>
      </c>
      <c r="S712" s="260" t="s">
        <v>2330</v>
      </c>
      <c r="T712" s="259">
        <v>46118.0</v>
      </c>
      <c r="U712" s="255">
        <v>590.0</v>
      </c>
    </row>
    <row r="713">
      <c r="A713" s="257">
        <v>46116.44059194444</v>
      </c>
      <c r="B713" s="258" t="s">
        <v>4067</v>
      </c>
      <c r="C713" s="259">
        <v>46116.0</v>
      </c>
      <c r="D713" s="255" t="s">
        <v>3960</v>
      </c>
      <c r="E713" s="255" t="s">
        <v>3961</v>
      </c>
      <c r="H713" s="255">
        <v>7000.0</v>
      </c>
      <c r="I713" s="255">
        <v>683.0</v>
      </c>
      <c r="K713" s="255" t="s">
        <v>3961</v>
      </c>
      <c r="L713" s="255" t="s">
        <v>3961</v>
      </c>
      <c r="M713" s="255" t="s">
        <v>951</v>
      </c>
      <c r="P713" s="255" t="s">
        <v>2208</v>
      </c>
      <c r="Q713" s="255">
        <v>0.0</v>
      </c>
      <c r="R713" s="259">
        <v>46116.0</v>
      </c>
      <c r="S713" s="260" t="s">
        <v>2265</v>
      </c>
      <c r="T713" s="259">
        <v>46126.0</v>
      </c>
      <c r="U713" s="255">
        <v>290.0</v>
      </c>
    </row>
    <row r="714">
      <c r="A714" s="257">
        <v>46116.567370613426</v>
      </c>
      <c r="B714" s="258" t="s">
        <v>4068</v>
      </c>
      <c r="C714" s="259">
        <v>46122.0</v>
      </c>
      <c r="D714" s="255" t="s">
        <v>4069</v>
      </c>
      <c r="H714" s="255">
        <v>7000.0</v>
      </c>
      <c r="I714" s="255">
        <v>629.0</v>
      </c>
      <c r="K714" s="255" t="s">
        <v>2269</v>
      </c>
      <c r="L714" s="255" t="s">
        <v>2269</v>
      </c>
      <c r="M714" s="255" t="s">
        <v>941</v>
      </c>
      <c r="P714" s="255" t="s">
        <v>2208</v>
      </c>
      <c r="Q714" s="255">
        <v>2.0</v>
      </c>
      <c r="R714" s="259">
        <v>46116.0</v>
      </c>
      <c r="S714" s="260" t="s">
        <v>2235</v>
      </c>
      <c r="T714" s="259">
        <v>46133.0</v>
      </c>
      <c r="U714" s="255">
        <v>0.0</v>
      </c>
    </row>
    <row r="715">
      <c r="A715" s="257">
        <v>46116.732855775466</v>
      </c>
      <c r="B715" s="258" t="s">
        <v>4070</v>
      </c>
      <c r="C715" s="259">
        <v>46116.0</v>
      </c>
      <c r="D715" s="255" t="s">
        <v>4071</v>
      </c>
      <c r="F715" s="255" t="s">
        <v>4071</v>
      </c>
      <c r="H715" s="255">
        <v>25000.0</v>
      </c>
      <c r="I715" s="255">
        <v>1600.0</v>
      </c>
      <c r="K715" s="255" t="s">
        <v>2269</v>
      </c>
      <c r="L715" s="255" t="s">
        <v>2269</v>
      </c>
      <c r="M715" s="255" t="s">
        <v>914</v>
      </c>
      <c r="N715" s="255">
        <v>500000.0</v>
      </c>
      <c r="P715" s="255" t="s">
        <v>2208</v>
      </c>
      <c r="Q715" s="255">
        <v>2.0</v>
      </c>
      <c r="R715" s="259">
        <v>46116.0</v>
      </c>
      <c r="S715" s="260" t="s">
        <v>2246</v>
      </c>
      <c r="T715" s="259">
        <v>46133.0</v>
      </c>
      <c r="U715" s="255">
        <v>0.0</v>
      </c>
    </row>
    <row r="716">
      <c r="A716" s="257">
        <v>46117.40677502315</v>
      </c>
      <c r="B716" s="258" t="s">
        <v>4072</v>
      </c>
      <c r="C716" s="259">
        <v>46117.0</v>
      </c>
      <c r="D716" s="255" t="s">
        <v>4073</v>
      </c>
      <c r="E716" s="255" t="s">
        <v>4074</v>
      </c>
      <c r="H716" s="255">
        <v>3000.0</v>
      </c>
      <c r="I716" s="255">
        <v>323.0</v>
      </c>
      <c r="K716" s="255" t="s">
        <v>4074</v>
      </c>
      <c r="L716" s="255" t="s">
        <v>4075</v>
      </c>
      <c r="M716" s="255" t="s">
        <v>151</v>
      </c>
      <c r="N716" s="255">
        <v>70000.0</v>
      </c>
      <c r="P716" s="255" t="s">
        <v>2208</v>
      </c>
      <c r="Q716" s="255">
        <v>2.0</v>
      </c>
      <c r="R716" s="259">
        <v>46117.0</v>
      </c>
      <c r="S716" s="260" t="s">
        <v>2330</v>
      </c>
      <c r="T716" s="259">
        <v>46128.0</v>
      </c>
      <c r="U716" s="255">
        <v>490.0</v>
      </c>
    </row>
    <row r="717">
      <c r="A717" s="257">
        <v>46118.506971435185</v>
      </c>
      <c r="B717" s="258" t="s">
        <v>4076</v>
      </c>
      <c r="C717" s="259">
        <v>46118.0</v>
      </c>
      <c r="E717" s="255" t="s">
        <v>2346</v>
      </c>
      <c r="H717" s="255">
        <v>7000.0</v>
      </c>
      <c r="I717" s="255">
        <v>550.0</v>
      </c>
      <c r="K717" s="255" t="s">
        <v>2346</v>
      </c>
      <c r="L717" s="255" t="s">
        <v>2346</v>
      </c>
      <c r="M717" s="255" t="s">
        <v>960</v>
      </c>
      <c r="P717" s="255" t="s">
        <v>2208</v>
      </c>
      <c r="Q717" s="255">
        <v>0.0</v>
      </c>
      <c r="R717" s="259">
        <v>46118.0</v>
      </c>
      <c r="S717" s="260" t="s">
        <v>2221</v>
      </c>
      <c r="T717" s="259">
        <v>46154.0</v>
      </c>
      <c r="U717" s="255">
        <v>290.0</v>
      </c>
    </row>
    <row r="718">
      <c r="A718" s="257">
        <v>46119.30738565972</v>
      </c>
      <c r="B718" s="258" t="s">
        <v>4077</v>
      </c>
      <c r="C718" s="259">
        <v>46119.0</v>
      </c>
      <c r="D718" s="255" t="s">
        <v>4078</v>
      </c>
      <c r="E718" s="255" t="s">
        <v>4079</v>
      </c>
      <c r="F718" s="255" t="s">
        <v>4078</v>
      </c>
      <c r="H718" s="255">
        <v>7000.0</v>
      </c>
      <c r="I718" s="255">
        <v>750.0</v>
      </c>
      <c r="K718" s="255" t="s">
        <v>2269</v>
      </c>
      <c r="L718" s="255" t="s">
        <v>2269</v>
      </c>
      <c r="M718" s="255" t="s">
        <v>923</v>
      </c>
      <c r="N718" s="255">
        <v>120000.0</v>
      </c>
      <c r="P718" s="255" t="s">
        <v>2208</v>
      </c>
      <c r="Q718" s="255">
        <v>2.0</v>
      </c>
      <c r="R718" s="259">
        <v>46119.0</v>
      </c>
      <c r="S718" s="260" t="s">
        <v>2330</v>
      </c>
      <c r="T718" s="259">
        <v>46126.0</v>
      </c>
      <c r="U718" s="255">
        <v>0.0</v>
      </c>
    </row>
    <row r="719">
      <c r="A719" s="257">
        <v>46119.72394664352</v>
      </c>
      <c r="B719" s="258" t="s">
        <v>4080</v>
      </c>
      <c r="C719" s="259">
        <v>46119.0</v>
      </c>
      <c r="D719" s="255" t="s">
        <v>4081</v>
      </c>
      <c r="E719" s="255" t="s">
        <v>4082</v>
      </c>
      <c r="F719" s="260" t="s">
        <v>4083</v>
      </c>
      <c r="H719" s="255">
        <v>7000.0</v>
      </c>
      <c r="J719" s="255">
        <v>7900.0</v>
      </c>
      <c r="K719" s="255" t="s">
        <v>4082</v>
      </c>
      <c r="L719" s="255" t="s">
        <v>4082</v>
      </c>
      <c r="M719" s="255" t="s">
        <v>279</v>
      </c>
      <c r="N719" s="255">
        <v>70000.0</v>
      </c>
      <c r="O719" s="255">
        <v>12500.0</v>
      </c>
      <c r="P719" s="255" t="s">
        <v>2208</v>
      </c>
      <c r="Q719" s="255">
        <v>0.0</v>
      </c>
      <c r="R719" s="259">
        <v>46119.0</v>
      </c>
      <c r="S719" s="260" t="s">
        <v>2246</v>
      </c>
      <c r="T719" s="259">
        <v>46149.0</v>
      </c>
      <c r="U719" s="255">
        <v>390.0</v>
      </c>
    </row>
    <row r="720">
      <c r="A720" s="257">
        <v>46124.743460937505</v>
      </c>
      <c r="B720" s="258" t="s">
        <v>4084</v>
      </c>
      <c r="C720" s="259">
        <v>46124.0</v>
      </c>
      <c r="D720" s="255" t="s">
        <v>4085</v>
      </c>
      <c r="E720" s="255" t="s">
        <v>4086</v>
      </c>
      <c r="F720" s="255" t="s">
        <v>4085</v>
      </c>
      <c r="H720" s="255">
        <v>3000.0</v>
      </c>
      <c r="I720" s="255">
        <v>337.0</v>
      </c>
      <c r="K720" s="255" t="s">
        <v>2207</v>
      </c>
      <c r="L720" s="255" t="s">
        <v>2207</v>
      </c>
      <c r="M720" s="255" t="s">
        <v>68</v>
      </c>
      <c r="N720" s="255">
        <v>70000.0</v>
      </c>
      <c r="P720" s="255" t="s">
        <v>2208</v>
      </c>
      <c r="Q720" s="255">
        <v>2.0</v>
      </c>
      <c r="R720" s="259">
        <v>46124.0</v>
      </c>
      <c r="S720" s="260" t="s">
        <v>2246</v>
      </c>
      <c r="T720" s="259">
        <v>46131.0</v>
      </c>
      <c r="U720" s="255">
        <v>0.0</v>
      </c>
    </row>
    <row r="721">
      <c r="A721" s="257">
        <v>46127.10721238426</v>
      </c>
      <c r="B721" s="258" t="s">
        <v>4087</v>
      </c>
      <c r="C721" s="259">
        <v>46127.0</v>
      </c>
      <c r="D721" s="255" t="s">
        <v>4088</v>
      </c>
      <c r="E721" s="255" t="s">
        <v>4089</v>
      </c>
      <c r="F721" s="255" t="s">
        <v>4090</v>
      </c>
      <c r="H721" s="255">
        <v>0.0</v>
      </c>
      <c r="I721" s="255">
        <v>550.0</v>
      </c>
      <c r="K721" s="255" t="s">
        <v>4089</v>
      </c>
      <c r="L721" s="255" t="s">
        <v>4089</v>
      </c>
      <c r="M721" s="255" t="s">
        <v>941</v>
      </c>
      <c r="N721" s="255" t="s">
        <v>4091</v>
      </c>
      <c r="P721" s="255" t="s">
        <v>2208</v>
      </c>
      <c r="Q721" s="255">
        <v>2.0</v>
      </c>
      <c r="R721" s="259">
        <v>46127.0</v>
      </c>
      <c r="S721" s="260" t="s">
        <v>2209</v>
      </c>
      <c r="T721" s="259">
        <v>46158.0</v>
      </c>
      <c r="U721" s="255">
        <v>290.0</v>
      </c>
    </row>
    <row r="722">
      <c r="A722" s="257">
        <v>46128.92318199074</v>
      </c>
      <c r="B722" s="258" t="s">
        <v>4092</v>
      </c>
      <c r="C722" s="259">
        <v>46158.0</v>
      </c>
      <c r="E722" s="255" t="s">
        <v>4093</v>
      </c>
      <c r="H722" s="255">
        <v>7000.0</v>
      </c>
      <c r="I722" s="255">
        <v>650.0</v>
      </c>
      <c r="K722" s="255" t="s">
        <v>4093</v>
      </c>
      <c r="L722" s="255" t="s">
        <v>4093</v>
      </c>
      <c r="M722" s="255" t="s">
        <v>948</v>
      </c>
      <c r="P722" s="255" t="s">
        <v>2208</v>
      </c>
      <c r="Q722" s="255">
        <v>1.0</v>
      </c>
      <c r="R722" s="259">
        <v>46139.0</v>
      </c>
      <c r="S722" s="260" t="s">
        <v>2330</v>
      </c>
      <c r="T722" s="259">
        <v>46151.0</v>
      </c>
      <c r="U722" s="255">
        <v>290.0</v>
      </c>
    </row>
    <row r="723">
      <c r="A723" s="257">
        <v>46128.9315406713</v>
      </c>
      <c r="B723" s="258" t="s">
        <v>4094</v>
      </c>
      <c r="C723" s="259">
        <v>46128.0</v>
      </c>
      <c r="E723" s="255" t="s">
        <v>4095</v>
      </c>
      <c r="F723" s="255" t="s">
        <v>4096</v>
      </c>
      <c r="H723" s="255">
        <v>25000.0</v>
      </c>
      <c r="I723" s="255">
        <v>1700.0</v>
      </c>
      <c r="K723" s="255" t="s">
        <v>4095</v>
      </c>
      <c r="L723" s="255" t="s">
        <v>4095</v>
      </c>
      <c r="M723" s="255" t="s">
        <v>967</v>
      </c>
      <c r="P723" s="255" t="s">
        <v>2208</v>
      </c>
      <c r="Q723" s="255">
        <v>0.0</v>
      </c>
      <c r="R723" s="259">
        <v>46149.0</v>
      </c>
      <c r="T723" s="259">
        <v>46166.0</v>
      </c>
      <c r="U723" s="255">
        <v>290.0</v>
      </c>
    </row>
    <row r="724">
      <c r="A724" s="257">
        <v>46129.8050278588</v>
      </c>
      <c r="B724" s="258" t="s">
        <v>4097</v>
      </c>
      <c r="C724" s="259">
        <v>46129.0</v>
      </c>
      <c r="E724" s="255" t="s">
        <v>4098</v>
      </c>
      <c r="F724" s="255" t="s">
        <v>4099</v>
      </c>
      <c r="H724" s="255">
        <v>20000.0</v>
      </c>
      <c r="J724" s="255">
        <v>33900.0</v>
      </c>
      <c r="K724" s="255" t="s">
        <v>4098</v>
      </c>
      <c r="L724" s="255" t="s">
        <v>4098</v>
      </c>
      <c r="M724" s="255" t="s">
        <v>914</v>
      </c>
      <c r="P724" s="255" t="s">
        <v>2208</v>
      </c>
      <c r="Q724" s="255">
        <v>0.0</v>
      </c>
      <c r="R724" s="259">
        <v>46134.0</v>
      </c>
      <c r="S724" s="260" t="s">
        <v>2330</v>
      </c>
      <c r="T724" s="259">
        <v>46188.0</v>
      </c>
      <c r="U724" s="255">
        <v>0.0</v>
      </c>
    </row>
    <row r="725">
      <c r="A725" s="257">
        <v>46129.95712907407</v>
      </c>
      <c r="B725" s="258" t="s">
        <v>4100</v>
      </c>
      <c r="C725" s="259">
        <v>46129.0</v>
      </c>
      <c r="D725" s="255" t="s">
        <v>4065</v>
      </c>
      <c r="E725" s="255" t="s">
        <v>4101</v>
      </c>
      <c r="H725" s="255">
        <v>20000.0</v>
      </c>
      <c r="I725" s="255">
        <v>1650.0</v>
      </c>
      <c r="K725" s="255" t="s">
        <v>4101</v>
      </c>
      <c r="L725" s="255" t="s">
        <v>4101</v>
      </c>
      <c r="M725" s="255" t="s">
        <v>102</v>
      </c>
      <c r="P725" s="255" t="s">
        <v>2208</v>
      </c>
      <c r="Q725" s="255">
        <v>0.0</v>
      </c>
      <c r="R725" s="259">
        <v>46130.0</v>
      </c>
      <c r="S725" s="260" t="s">
        <v>2330</v>
      </c>
      <c r="T725" s="259">
        <v>46133.0</v>
      </c>
      <c r="U725" s="255">
        <v>590.0</v>
      </c>
    </row>
    <row r="726">
      <c r="A726" s="257">
        <v>46130.99893634259</v>
      </c>
      <c r="B726" s="258" t="s">
        <v>4102</v>
      </c>
      <c r="C726" s="259">
        <v>46130.0</v>
      </c>
      <c r="F726" s="255" t="s">
        <v>4103</v>
      </c>
      <c r="H726" s="255">
        <v>7000.0</v>
      </c>
      <c r="I726" s="255">
        <v>750.0</v>
      </c>
      <c r="K726" s="255" t="s">
        <v>4104</v>
      </c>
      <c r="L726" s="255" t="s">
        <v>4104</v>
      </c>
      <c r="M726" s="255" t="s">
        <v>951</v>
      </c>
      <c r="P726" s="255" t="s">
        <v>2208</v>
      </c>
      <c r="Q726" s="255">
        <v>1.0</v>
      </c>
      <c r="R726" s="259">
        <v>46131.0</v>
      </c>
      <c r="S726" s="260" t="s">
        <v>2221</v>
      </c>
      <c r="T726" s="259">
        <v>46144.0</v>
      </c>
      <c r="U726" s="255">
        <v>290.0</v>
      </c>
    </row>
    <row r="727">
      <c r="A727" s="257">
        <v>46134.556394942134</v>
      </c>
      <c r="B727" s="258" t="s">
        <v>4105</v>
      </c>
      <c r="C727" s="259">
        <v>46134.0</v>
      </c>
      <c r="D727" s="255" t="s">
        <v>4106</v>
      </c>
      <c r="E727" s="255" t="s">
        <v>4107</v>
      </c>
      <c r="H727" s="255">
        <v>3000.0</v>
      </c>
      <c r="I727" s="255">
        <v>382.0</v>
      </c>
      <c r="K727" s="255" t="s">
        <v>4108</v>
      </c>
      <c r="L727" s="255" t="s">
        <v>4108</v>
      </c>
      <c r="M727" s="255" t="s">
        <v>44</v>
      </c>
      <c r="N727" s="255">
        <v>70000.0</v>
      </c>
      <c r="P727" s="255" t="s">
        <v>2208</v>
      </c>
      <c r="Q727" s="255">
        <v>1.0</v>
      </c>
      <c r="R727" s="259">
        <v>46134.0</v>
      </c>
      <c r="S727" s="260" t="s">
        <v>2235</v>
      </c>
      <c r="T727" s="259">
        <v>46138.0</v>
      </c>
      <c r="U727" s="255">
        <v>290.0</v>
      </c>
    </row>
    <row r="728">
      <c r="A728" s="257">
        <v>46139.57604837963</v>
      </c>
      <c r="B728" s="258" t="s">
        <v>4109</v>
      </c>
      <c r="C728" s="259">
        <v>46139.0</v>
      </c>
      <c r="D728" s="255" t="s">
        <v>4110</v>
      </c>
      <c r="E728" s="255" t="s">
        <v>4111</v>
      </c>
      <c r="F728" s="255" t="s">
        <v>4110</v>
      </c>
      <c r="H728" s="255">
        <v>7000.0</v>
      </c>
      <c r="I728" s="255">
        <v>798.0</v>
      </c>
      <c r="K728" s="255" t="s">
        <v>4111</v>
      </c>
      <c r="L728" s="255" t="s">
        <v>4111</v>
      </c>
      <c r="M728" s="255" t="s">
        <v>1028</v>
      </c>
      <c r="N728" s="255">
        <v>120000.0</v>
      </c>
      <c r="P728" s="255" t="s">
        <v>2208</v>
      </c>
      <c r="Q728" s="255">
        <v>2.0</v>
      </c>
      <c r="R728" s="259">
        <v>46139.0</v>
      </c>
      <c r="S728" s="260" t="s">
        <v>2235</v>
      </c>
      <c r="T728" s="259">
        <v>46144.0</v>
      </c>
      <c r="U728" s="255">
        <v>290.0</v>
      </c>
    </row>
    <row r="729">
      <c r="A729" s="257">
        <v>46139.588109247685</v>
      </c>
      <c r="B729" s="258" t="s">
        <v>4112</v>
      </c>
      <c r="C729" s="259">
        <v>46139.0</v>
      </c>
      <c r="D729" s="255" t="s">
        <v>4110</v>
      </c>
      <c r="E729" s="255" t="s">
        <v>4111</v>
      </c>
      <c r="F729" s="255" t="s">
        <v>4110</v>
      </c>
      <c r="H729" s="255">
        <v>7000.0</v>
      </c>
      <c r="I729" s="255">
        <v>848.0</v>
      </c>
      <c r="K729" s="255" t="s">
        <v>4111</v>
      </c>
      <c r="L729" s="255" t="s">
        <v>4111</v>
      </c>
      <c r="M729" s="255" t="s">
        <v>981</v>
      </c>
      <c r="N729" s="255">
        <v>150000.0</v>
      </c>
      <c r="P729" s="255" t="s">
        <v>2208</v>
      </c>
      <c r="Q729" s="255">
        <v>2.0</v>
      </c>
      <c r="R729" s="259">
        <v>46139.0</v>
      </c>
      <c r="S729" s="260" t="s">
        <v>2235</v>
      </c>
      <c r="T729" s="259">
        <v>46144.0</v>
      </c>
      <c r="U729" s="255">
        <v>290.0</v>
      </c>
    </row>
    <row r="730">
      <c r="A730" s="257">
        <v>46139.66835613426</v>
      </c>
      <c r="B730" s="258" t="s">
        <v>4113</v>
      </c>
      <c r="C730" s="259">
        <v>46139.0</v>
      </c>
      <c r="D730" s="255" t="s">
        <v>2382</v>
      </c>
      <c r="E730" s="255" t="s">
        <v>4114</v>
      </c>
      <c r="I730" s="255">
        <v>650.0</v>
      </c>
      <c r="K730" s="255" t="s">
        <v>4114</v>
      </c>
      <c r="L730" s="255" t="s">
        <v>4114</v>
      </c>
      <c r="M730" s="255" t="s">
        <v>1065</v>
      </c>
      <c r="N730" s="255">
        <v>150000.0</v>
      </c>
      <c r="P730" s="255" t="s">
        <v>2208</v>
      </c>
      <c r="Q730" s="255">
        <v>0.0</v>
      </c>
      <c r="R730" s="259">
        <v>46139.0</v>
      </c>
      <c r="S730" s="260" t="s">
        <v>2215</v>
      </c>
      <c r="T730" s="259">
        <v>46151.0</v>
      </c>
      <c r="U730" s="255">
        <v>290.0</v>
      </c>
    </row>
    <row r="731">
      <c r="A731" s="257">
        <v>46142.22962366898</v>
      </c>
      <c r="B731" s="258" t="s">
        <v>4115</v>
      </c>
      <c r="C731" s="259">
        <v>46142.0</v>
      </c>
      <c r="D731" s="255" t="s">
        <v>4116</v>
      </c>
      <c r="E731" s="255" t="s">
        <v>4117</v>
      </c>
      <c r="F731" s="255" t="s">
        <v>4118</v>
      </c>
      <c r="H731" s="255">
        <v>20000.0</v>
      </c>
      <c r="I731" s="255">
        <v>1618.0</v>
      </c>
      <c r="K731" s="255" t="s">
        <v>2269</v>
      </c>
      <c r="L731" s="255" t="s">
        <v>2269</v>
      </c>
      <c r="M731" s="255" t="s">
        <v>102</v>
      </c>
      <c r="N731" s="255">
        <v>250000.0</v>
      </c>
      <c r="P731" s="255" t="s">
        <v>2208</v>
      </c>
      <c r="Q731" s="255">
        <v>1.0</v>
      </c>
      <c r="R731" s="259">
        <v>46142.0</v>
      </c>
      <c r="S731" s="260" t="s">
        <v>2265</v>
      </c>
      <c r="T731" s="259">
        <v>46145.0</v>
      </c>
      <c r="U731" s="255">
        <v>0.0</v>
      </c>
    </row>
    <row r="732">
      <c r="A732" s="257">
        <v>46143.49607388889</v>
      </c>
      <c r="B732" s="258" t="s">
        <v>4119</v>
      </c>
      <c r="C732" s="259">
        <v>46143.0</v>
      </c>
      <c r="E732" s="255" t="s">
        <v>2533</v>
      </c>
      <c r="F732" s="255" t="s">
        <v>4120</v>
      </c>
      <c r="I732" s="255">
        <v>650.0</v>
      </c>
      <c r="K732" s="255" t="s">
        <v>2533</v>
      </c>
      <c r="L732" s="255" t="s">
        <v>2533</v>
      </c>
      <c r="M732" s="255" t="s">
        <v>923</v>
      </c>
      <c r="P732" s="255" t="s">
        <v>2208</v>
      </c>
      <c r="Q732" s="255">
        <v>2.0</v>
      </c>
      <c r="R732" s="259">
        <v>46143.0</v>
      </c>
      <c r="S732" s="260" t="s">
        <v>2215</v>
      </c>
      <c r="T732" s="259">
        <v>46152.0</v>
      </c>
      <c r="U732" s="255">
        <v>290.0</v>
      </c>
    </row>
    <row r="733">
      <c r="A733" s="257">
        <v>46146.58315199074</v>
      </c>
      <c r="B733" s="258" t="s">
        <v>4121</v>
      </c>
      <c r="C733" s="259">
        <v>46146.0</v>
      </c>
      <c r="D733" s="255" t="s">
        <v>4122</v>
      </c>
      <c r="F733" s="255" t="s">
        <v>4122</v>
      </c>
      <c r="H733" s="255">
        <v>25000.0</v>
      </c>
      <c r="I733" s="255">
        <v>2000.0</v>
      </c>
      <c r="K733" s="255" t="s">
        <v>2269</v>
      </c>
      <c r="L733" s="255" t="s">
        <v>2269</v>
      </c>
      <c r="M733" s="255" t="s">
        <v>914</v>
      </c>
      <c r="N733" s="255">
        <v>500000.0</v>
      </c>
      <c r="P733" s="255" t="s">
        <v>2208</v>
      </c>
      <c r="Q733" s="255">
        <v>2.0</v>
      </c>
      <c r="R733" s="259">
        <v>46146.0</v>
      </c>
      <c r="S733" s="260" t="s">
        <v>2221</v>
      </c>
      <c r="T733" s="259">
        <v>46149.0</v>
      </c>
      <c r="U733" s="255">
        <v>0.0</v>
      </c>
    </row>
    <row r="734">
      <c r="A734" s="257">
        <v>46149.494854398145</v>
      </c>
      <c r="B734" s="258" t="s">
        <v>4123</v>
      </c>
      <c r="C734" s="259">
        <v>46149.0</v>
      </c>
      <c r="F734" s="255" t="s">
        <v>3994</v>
      </c>
      <c r="H734" s="255">
        <v>25000.0</v>
      </c>
      <c r="J734" s="255">
        <v>39000.0</v>
      </c>
      <c r="K734" s="255" t="s">
        <v>4124</v>
      </c>
      <c r="L734" s="255" t="s">
        <v>4124</v>
      </c>
      <c r="M734" s="255" t="s">
        <v>967</v>
      </c>
      <c r="P734" s="255" t="s">
        <v>2208</v>
      </c>
      <c r="Q734" s="255">
        <v>1.0</v>
      </c>
      <c r="R734" s="259">
        <v>46149.0</v>
      </c>
      <c r="S734" s="260" t="s">
        <v>2221</v>
      </c>
      <c r="T734" s="259">
        <v>46180.0</v>
      </c>
      <c r="U734" s="255">
        <v>290.0</v>
      </c>
    </row>
    <row r="735">
      <c r="A735" s="257">
        <v>46149.57057028935</v>
      </c>
      <c r="B735" s="258" t="s">
        <v>4125</v>
      </c>
      <c r="C735" s="259">
        <v>46149.0</v>
      </c>
      <c r="E735" s="255" t="s">
        <v>4124</v>
      </c>
      <c r="F735" s="255" t="s">
        <v>4126</v>
      </c>
      <c r="H735" s="255">
        <v>7000.0</v>
      </c>
      <c r="I735" s="255">
        <v>500.0</v>
      </c>
      <c r="K735" s="255" t="s">
        <v>4124</v>
      </c>
      <c r="L735" s="255" t="s">
        <v>4124</v>
      </c>
      <c r="M735" s="255" t="s">
        <v>981</v>
      </c>
      <c r="P735" s="255" t="s">
        <v>2208</v>
      </c>
      <c r="Q735" s="255">
        <v>2.0</v>
      </c>
      <c r="R735" s="259">
        <v>46149.0</v>
      </c>
      <c r="S735" s="260" t="s">
        <v>2231</v>
      </c>
      <c r="T735" s="259">
        <v>46155.0</v>
      </c>
      <c r="U735" s="255">
        <v>290.0</v>
      </c>
    </row>
    <row r="736">
      <c r="A736" s="257">
        <v>46158.23310709491</v>
      </c>
      <c r="B736" s="258" t="s">
        <v>4127</v>
      </c>
      <c r="C736" s="259">
        <v>46158.0</v>
      </c>
      <c r="D736" s="255" t="s">
        <v>4128</v>
      </c>
      <c r="E736" s="255" t="s">
        <v>3476</v>
      </c>
      <c r="H736" s="255">
        <v>7000.0</v>
      </c>
      <c r="I736" s="255">
        <v>835.0</v>
      </c>
      <c r="K736" s="255" t="s">
        <v>3476</v>
      </c>
      <c r="L736" s="255" t="s">
        <v>3476</v>
      </c>
      <c r="M736" s="255" t="s">
        <v>941</v>
      </c>
      <c r="N736" s="255">
        <v>150000.0</v>
      </c>
      <c r="P736" s="255" t="s">
        <v>2208</v>
      </c>
      <c r="Q736" s="255">
        <v>2.0</v>
      </c>
      <c r="R736" s="259">
        <v>46158.0</v>
      </c>
      <c r="S736" s="260" t="s">
        <v>2324</v>
      </c>
      <c r="T736" s="259">
        <v>46166.0</v>
      </c>
      <c r="U736" s="255">
        <v>290.0</v>
      </c>
    </row>
    <row r="737">
      <c r="A737" s="257">
        <v>46159.72782208333</v>
      </c>
      <c r="B737" s="258" t="s">
        <v>4129</v>
      </c>
      <c r="C737" s="259">
        <v>46159.0</v>
      </c>
      <c r="D737" s="255" t="s">
        <v>4130</v>
      </c>
      <c r="E737" s="255" t="s">
        <v>4131</v>
      </c>
      <c r="F737" s="255" t="s">
        <v>4130</v>
      </c>
      <c r="H737" s="255" t="s">
        <v>515</v>
      </c>
      <c r="I737" s="255">
        <v>950.0</v>
      </c>
      <c r="K737" s="255" t="s">
        <v>4131</v>
      </c>
      <c r="L737" s="255" t="s">
        <v>4131</v>
      </c>
      <c r="M737" s="255" t="s">
        <v>438</v>
      </c>
      <c r="N737" s="255">
        <v>200000.0</v>
      </c>
      <c r="P737" s="255" t="s">
        <v>2208</v>
      </c>
      <c r="R737" s="259">
        <v>46159.0</v>
      </c>
      <c r="S737" s="260" t="s">
        <v>2246</v>
      </c>
      <c r="T737" s="259">
        <v>46166.0</v>
      </c>
      <c r="U737" s="255">
        <v>490.0</v>
      </c>
    </row>
    <row r="738">
      <c r="A738" s="257">
        <v>46169.530741828705</v>
      </c>
      <c r="B738" s="258" t="s">
        <v>4132</v>
      </c>
      <c r="C738" s="259">
        <v>46169.0</v>
      </c>
      <c r="E738" s="255" t="s">
        <v>4133</v>
      </c>
      <c r="F738" s="255" t="s">
        <v>4134</v>
      </c>
      <c r="H738" s="255" t="s">
        <v>600</v>
      </c>
      <c r="I738" s="255">
        <v>700.0</v>
      </c>
      <c r="K738" s="255" t="s">
        <v>2269</v>
      </c>
      <c r="L738" s="255" t="s">
        <v>2269</v>
      </c>
      <c r="M738" s="255" t="s">
        <v>981</v>
      </c>
      <c r="P738" s="255" t="s">
        <v>2208</v>
      </c>
      <c r="Q738" s="255">
        <v>1.0</v>
      </c>
      <c r="R738" s="259">
        <v>46169.0</v>
      </c>
      <c r="S738" s="260" t="s">
        <v>2330</v>
      </c>
      <c r="T738" s="259">
        <v>46178.0</v>
      </c>
      <c r="U738" s="255">
        <v>0.0</v>
      </c>
    </row>
    <row r="739">
      <c r="A739" s="257">
        <v>46169.58842903935</v>
      </c>
      <c r="B739" s="258" t="s">
        <v>4135</v>
      </c>
      <c r="C739" s="259">
        <v>46169.0</v>
      </c>
      <c r="D739" s="255" t="s">
        <v>4136</v>
      </c>
      <c r="E739" s="255" t="s">
        <v>3851</v>
      </c>
      <c r="F739" s="255" t="s">
        <v>4136</v>
      </c>
      <c r="H739" s="255">
        <v>3000.0</v>
      </c>
      <c r="I739" s="255">
        <v>300.0</v>
      </c>
      <c r="K739" s="255" t="s">
        <v>2269</v>
      </c>
      <c r="L739" s="255" t="s">
        <v>2269</v>
      </c>
      <c r="M739" s="255" t="s">
        <v>73</v>
      </c>
      <c r="N739" s="255">
        <v>70000.0</v>
      </c>
      <c r="P739" s="255" t="s">
        <v>2208</v>
      </c>
      <c r="Q739" s="255">
        <v>2.0</v>
      </c>
      <c r="R739" s="259">
        <v>46169.0</v>
      </c>
      <c r="S739" s="260" t="s">
        <v>2221</v>
      </c>
      <c r="T739" s="259">
        <v>46174.0</v>
      </c>
      <c r="U739" s="255">
        <v>0.0</v>
      </c>
    </row>
    <row r="740">
      <c r="A740" s="257">
        <v>46172.73582711806</v>
      </c>
      <c r="B740" s="258" t="s">
        <v>4137</v>
      </c>
      <c r="C740" s="259">
        <v>46172.0</v>
      </c>
      <c r="D740" s="255" t="s">
        <v>4138</v>
      </c>
      <c r="E740" s="255" t="s">
        <v>4139</v>
      </c>
      <c r="F740" s="255" t="s">
        <v>4138</v>
      </c>
      <c r="H740" s="255">
        <v>3000.0</v>
      </c>
      <c r="J740" s="255">
        <v>5000.0</v>
      </c>
      <c r="K740" s="255" t="s">
        <v>3325</v>
      </c>
      <c r="L740" s="255" t="s">
        <v>3325</v>
      </c>
      <c r="M740" s="255" t="s">
        <v>44</v>
      </c>
      <c r="N740" s="255">
        <v>70000.0</v>
      </c>
      <c r="P740" s="255" t="s">
        <v>2208</v>
      </c>
      <c r="Q740" s="255">
        <v>2.0</v>
      </c>
      <c r="R740" s="259">
        <v>46172.0</v>
      </c>
      <c r="S740" s="260" t="s">
        <v>2250</v>
      </c>
      <c r="T740" s="259">
        <v>46203.0</v>
      </c>
      <c r="U740" s="255">
        <v>690.0</v>
      </c>
    </row>
    <row r="741">
      <c r="A741" s="257">
        <v>46174.636733437495</v>
      </c>
      <c r="B741" s="258" t="s">
        <v>4140</v>
      </c>
      <c r="C741" s="259">
        <v>46174.0</v>
      </c>
      <c r="D741" s="255" t="s">
        <v>4141</v>
      </c>
      <c r="E741" s="255" t="s">
        <v>4142</v>
      </c>
      <c r="F741" s="255" t="s">
        <v>4143</v>
      </c>
      <c r="H741" s="255">
        <v>3000.0</v>
      </c>
      <c r="J741" s="255">
        <v>5000.0</v>
      </c>
      <c r="K741" s="255" t="s">
        <v>2269</v>
      </c>
      <c r="L741" s="255" t="s">
        <v>2269</v>
      </c>
      <c r="M741" s="255" t="s">
        <v>73</v>
      </c>
      <c r="N741" s="255">
        <v>70000.0</v>
      </c>
      <c r="P741" s="255" t="s">
        <v>2208</v>
      </c>
      <c r="Q741" s="255">
        <v>2.0</v>
      </c>
      <c r="R741" s="259">
        <v>46174.0</v>
      </c>
      <c r="S741" s="260" t="s">
        <v>2235</v>
      </c>
      <c r="T741" s="259">
        <v>46204.0</v>
      </c>
      <c r="U741" s="255">
        <v>0.0</v>
      </c>
    </row>
    <row r="742">
      <c r="A742" s="257">
        <v>46180.325260300924</v>
      </c>
      <c r="B742" s="258" t="s">
        <v>4144</v>
      </c>
      <c r="C742" s="259">
        <v>46180.0</v>
      </c>
      <c r="D742" s="255" t="s">
        <v>4145</v>
      </c>
      <c r="E742" s="255" t="s">
        <v>3778</v>
      </c>
      <c r="F742" s="255" t="s">
        <v>4146</v>
      </c>
      <c r="H742" s="255">
        <v>3000.0</v>
      </c>
      <c r="J742" s="255">
        <v>5000.0</v>
      </c>
      <c r="K742" s="255" t="s">
        <v>3778</v>
      </c>
      <c r="L742" s="255" t="s">
        <v>3778</v>
      </c>
      <c r="M742" s="255" t="s">
        <v>68</v>
      </c>
      <c r="N742" s="255">
        <v>70000.0</v>
      </c>
      <c r="P742" s="255" t="s">
        <v>2208</v>
      </c>
      <c r="Q742" s="255">
        <v>1.0</v>
      </c>
      <c r="R742" s="259">
        <v>46180.0</v>
      </c>
      <c r="S742" s="260" t="s">
        <v>2221</v>
      </c>
      <c r="T742" s="259">
        <v>46190.0</v>
      </c>
      <c r="U742" s="255">
        <v>290.0</v>
      </c>
    </row>
    <row r="743">
      <c r="A743" s="257">
        <v>46184.67625371528</v>
      </c>
      <c r="B743" s="258" t="s">
        <v>4147</v>
      </c>
      <c r="C743" s="259">
        <v>46184.0</v>
      </c>
      <c r="D743" s="255" t="s">
        <v>4148</v>
      </c>
      <c r="F743" s="255" t="s">
        <v>4148</v>
      </c>
      <c r="H743" s="255">
        <v>3000.0</v>
      </c>
      <c r="J743" s="255">
        <v>5000.0</v>
      </c>
      <c r="K743" s="255" t="s">
        <v>4023</v>
      </c>
      <c r="L743" s="255" t="s">
        <v>4023</v>
      </c>
      <c r="M743" s="255" t="s">
        <v>48</v>
      </c>
      <c r="N743" s="255">
        <v>70000.0</v>
      </c>
      <c r="P743" s="255" t="s">
        <v>2208</v>
      </c>
      <c r="Q743" s="255">
        <v>2.0</v>
      </c>
      <c r="R743" s="259">
        <v>46184.0</v>
      </c>
      <c r="S743" s="260" t="s">
        <v>2215</v>
      </c>
      <c r="T743" s="259">
        <v>46214.0</v>
      </c>
      <c r="U743" s="255">
        <v>590.0</v>
      </c>
    </row>
    <row r="744">
      <c r="A744" s="257">
        <v>46184.677328935184</v>
      </c>
      <c r="B744" s="258" t="s">
        <v>4149</v>
      </c>
      <c r="C744" s="259">
        <v>46184.0</v>
      </c>
      <c r="D744" s="255" t="s">
        <v>4148</v>
      </c>
      <c r="E744" s="255" t="s">
        <v>4023</v>
      </c>
      <c r="F744" s="255" t="s">
        <v>4148</v>
      </c>
      <c r="H744" s="255">
        <v>3000.0</v>
      </c>
      <c r="J744" s="255">
        <v>5000.0</v>
      </c>
      <c r="K744" s="255" t="s">
        <v>4023</v>
      </c>
      <c r="L744" s="255" t="s">
        <v>4023</v>
      </c>
      <c r="M744" s="255" t="s">
        <v>77</v>
      </c>
      <c r="N744" s="255">
        <v>70000.0</v>
      </c>
      <c r="P744" s="255" t="s">
        <v>2208</v>
      </c>
      <c r="Q744" s="255">
        <v>0.0</v>
      </c>
      <c r="R744" s="259">
        <v>46184.0</v>
      </c>
      <c r="S744" s="260" t="s">
        <v>2215</v>
      </c>
      <c r="T744" s="259">
        <v>46214.0</v>
      </c>
      <c r="U744" s="255">
        <v>590.0</v>
      </c>
    </row>
    <row r="745">
      <c r="A745" s="257">
        <v>46186.463797881945</v>
      </c>
      <c r="B745" s="258" t="s">
        <v>4150</v>
      </c>
      <c r="C745" s="259">
        <v>46186.0</v>
      </c>
      <c r="E745" s="255" t="s">
        <v>2890</v>
      </c>
      <c r="F745" s="255" t="s">
        <v>4151</v>
      </c>
      <c r="H745" s="255">
        <v>10000.0</v>
      </c>
      <c r="J745" s="255">
        <v>12900.0</v>
      </c>
      <c r="K745" s="255" t="s">
        <v>2890</v>
      </c>
      <c r="L745" s="255" t="s">
        <v>2890</v>
      </c>
      <c r="M745" s="255" t="s">
        <v>468</v>
      </c>
      <c r="P745" s="255" t="s">
        <v>2208</v>
      </c>
      <c r="Q745" s="255">
        <v>1.0</v>
      </c>
      <c r="R745" s="259">
        <v>46186.0</v>
      </c>
      <c r="S745" s="260" t="s">
        <v>2330</v>
      </c>
      <c r="T745" s="259">
        <v>46216.0</v>
      </c>
      <c r="U745" s="255">
        <v>290.0</v>
      </c>
    </row>
    <row r="746">
      <c r="A746" s="257">
        <v>46189.422922199075</v>
      </c>
      <c r="B746" s="258" t="s">
        <v>4152</v>
      </c>
      <c r="C746" s="259">
        <v>46189.0</v>
      </c>
      <c r="D746" s="255" t="s">
        <v>2886</v>
      </c>
      <c r="E746" s="255" t="s">
        <v>4153</v>
      </c>
      <c r="H746" s="255">
        <v>20000.0</v>
      </c>
      <c r="J746" s="255">
        <v>11900.0</v>
      </c>
      <c r="K746" s="255" t="s">
        <v>4153</v>
      </c>
      <c r="L746" s="255" t="s">
        <v>4153</v>
      </c>
      <c r="M746" s="255" t="s">
        <v>438</v>
      </c>
      <c r="P746" s="255" t="s">
        <v>2208</v>
      </c>
      <c r="Q746" s="255">
        <v>1.0</v>
      </c>
      <c r="R746" s="259">
        <v>46189.0</v>
      </c>
      <c r="S746" s="260" t="s">
        <v>2324</v>
      </c>
      <c r="T746" s="259">
        <v>46219.0</v>
      </c>
      <c r="U746" s="255">
        <v>390.0</v>
      </c>
    </row>
    <row r="747">
      <c r="A747" s="257">
        <v>46190.270429641205</v>
      </c>
      <c r="B747" s="258" t="s">
        <v>4154</v>
      </c>
      <c r="C747" s="259">
        <v>46190.0</v>
      </c>
      <c r="D747" s="255" t="s">
        <v>4155</v>
      </c>
      <c r="E747" s="255" t="s">
        <v>3461</v>
      </c>
      <c r="F747" s="255" t="s">
        <v>4155</v>
      </c>
      <c r="H747" s="255">
        <v>15000.0</v>
      </c>
      <c r="I747" s="255">
        <v>650.0</v>
      </c>
      <c r="K747" s="255" t="s">
        <v>3461</v>
      </c>
      <c r="L747" s="255" t="s">
        <v>3461</v>
      </c>
      <c r="M747" s="255" t="s">
        <v>461</v>
      </c>
      <c r="N747" s="255">
        <v>150000.0</v>
      </c>
      <c r="P747" s="255" t="s">
        <v>2208</v>
      </c>
      <c r="Q747" s="255">
        <v>2.0</v>
      </c>
      <c r="R747" s="259">
        <v>46190.0</v>
      </c>
      <c r="S747" s="260" t="s">
        <v>2265</v>
      </c>
      <c r="T747" s="259">
        <v>46194.0</v>
      </c>
      <c r="U747" s="255">
        <v>390.0</v>
      </c>
    </row>
    <row r="748">
      <c r="A748" s="257">
        <v>46193.6341609838</v>
      </c>
      <c r="B748" s="258" t="s">
        <v>4156</v>
      </c>
      <c r="C748" s="259">
        <v>46193.0</v>
      </c>
      <c r="E748" s="255" t="s">
        <v>4157</v>
      </c>
      <c r="F748" s="255" t="s">
        <v>4158</v>
      </c>
      <c r="H748" s="255" t="s">
        <v>600</v>
      </c>
      <c r="I748" s="255">
        <v>649.0</v>
      </c>
      <c r="K748" s="255" t="s">
        <v>2269</v>
      </c>
      <c r="L748" s="255" t="s">
        <v>2269</v>
      </c>
      <c r="M748" s="255" t="s">
        <v>946</v>
      </c>
      <c r="P748" s="255" t="s">
        <v>2208</v>
      </c>
      <c r="Q748" s="255">
        <v>2.0</v>
      </c>
      <c r="R748" s="259">
        <v>46193.0</v>
      </c>
      <c r="S748" s="260" t="s">
        <v>2215</v>
      </c>
      <c r="T748" s="259">
        <v>46200.0</v>
      </c>
      <c r="U748" s="255">
        <v>0.0</v>
      </c>
    </row>
    <row r="749">
      <c r="A749" s="257">
        <v>46193.65486189815</v>
      </c>
      <c r="B749" s="258" t="s">
        <v>4159</v>
      </c>
      <c r="C749" s="259">
        <v>46193.0</v>
      </c>
      <c r="D749" s="255" t="s">
        <v>3185</v>
      </c>
      <c r="H749" s="255" t="s">
        <v>600</v>
      </c>
      <c r="I749" s="255">
        <v>1400.0</v>
      </c>
      <c r="K749" s="255" t="s">
        <v>2269</v>
      </c>
      <c r="L749" s="255" t="s">
        <v>2269</v>
      </c>
      <c r="M749" s="255" t="s">
        <v>102</v>
      </c>
      <c r="P749" s="255" t="s">
        <v>2208</v>
      </c>
      <c r="Q749" s="255">
        <v>0.0</v>
      </c>
      <c r="R749" s="259">
        <v>46193.0</v>
      </c>
      <c r="S749" s="260" t="s">
        <v>2215</v>
      </c>
      <c r="T749" s="259">
        <v>46194.0</v>
      </c>
      <c r="U749" s="255">
        <v>0.0</v>
      </c>
    </row>
    <row r="750">
      <c r="A750" s="257">
        <v>46198.49103443287</v>
      </c>
      <c r="B750" s="258" t="s">
        <v>4160</v>
      </c>
      <c r="C750" s="259">
        <v>46198.0</v>
      </c>
      <c r="E750" s="255" t="s">
        <v>4161</v>
      </c>
      <c r="F750" s="255" t="s">
        <v>4162</v>
      </c>
      <c r="H750" s="255">
        <v>15000.0</v>
      </c>
      <c r="I750" s="255">
        <v>643.0</v>
      </c>
      <c r="K750" s="255" t="s">
        <v>2269</v>
      </c>
      <c r="L750" s="255" t="s">
        <v>2269</v>
      </c>
      <c r="M750" s="255" t="s">
        <v>461</v>
      </c>
      <c r="P750" s="255" t="s">
        <v>2208</v>
      </c>
      <c r="Q750" s="255">
        <v>2.0</v>
      </c>
      <c r="R750" s="259">
        <v>46198.0</v>
      </c>
      <c r="S750" s="260" t="s">
        <v>2330</v>
      </c>
      <c r="T750" s="259">
        <v>46209.0</v>
      </c>
      <c r="U750" s="255">
        <v>0.0</v>
      </c>
    </row>
    <row r="751">
      <c r="A751" s="257">
        <v>46200.86177482639</v>
      </c>
      <c r="B751" s="258" t="s">
        <v>4163</v>
      </c>
      <c r="C751" s="259">
        <v>49853.0</v>
      </c>
      <c r="D751" s="255" t="s">
        <v>4164</v>
      </c>
      <c r="E751" s="255" t="s">
        <v>4165</v>
      </c>
      <c r="H751" s="255">
        <v>5000.0</v>
      </c>
      <c r="I751" s="255">
        <v>700.0</v>
      </c>
      <c r="K751" s="255" t="s">
        <v>2269</v>
      </c>
      <c r="L751" s="255" t="s">
        <v>2269</v>
      </c>
      <c r="M751" s="255" t="s">
        <v>948</v>
      </c>
      <c r="P751" s="255" t="s">
        <v>2208</v>
      </c>
      <c r="Q751" s="255">
        <v>1.0</v>
      </c>
      <c r="R751" s="259">
        <v>46200.0</v>
      </c>
      <c r="S751" s="260" t="s">
        <v>2470</v>
      </c>
      <c r="T751" s="259">
        <v>46207.0</v>
      </c>
      <c r="U751" s="255">
        <v>0.0</v>
      </c>
    </row>
    <row r="752">
      <c r="A752" s="257">
        <v>46200.86332365741</v>
      </c>
      <c r="B752" s="258" t="s">
        <v>4166</v>
      </c>
      <c r="C752" s="259">
        <v>46200.0</v>
      </c>
      <c r="E752" s="255" t="s">
        <v>4165</v>
      </c>
      <c r="F752" s="255" t="s">
        <v>4164</v>
      </c>
      <c r="H752" s="255">
        <v>5000.0</v>
      </c>
      <c r="I752" s="255">
        <v>700.0</v>
      </c>
      <c r="K752" s="255" t="s">
        <v>2207</v>
      </c>
      <c r="L752" s="255" t="s">
        <v>2207</v>
      </c>
      <c r="M752" s="255" t="s">
        <v>974</v>
      </c>
      <c r="P752" s="255" t="s">
        <v>2208</v>
      </c>
      <c r="Q752" s="255">
        <v>1.0</v>
      </c>
      <c r="R752" s="259">
        <v>46200.0</v>
      </c>
      <c r="S752" s="260" t="s">
        <v>2470</v>
      </c>
      <c r="U752" s="255">
        <v>0.0</v>
      </c>
    </row>
    <row r="753">
      <c r="A753" s="257">
        <v>46203.545138217596</v>
      </c>
      <c r="B753" s="258" t="s">
        <v>4167</v>
      </c>
      <c r="C753" s="259">
        <v>46203.0</v>
      </c>
      <c r="D753" s="255" t="s">
        <v>4168</v>
      </c>
      <c r="E753" s="255" t="s">
        <v>2240</v>
      </c>
      <c r="F753" s="255" t="s">
        <v>4169</v>
      </c>
      <c r="H753" s="255">
        <v>7000.0</v>
      </c>
      <c r="I753" s="255">
        <v>502.0</v>
      </c>
      <c r="K753" s="255" t="s">
        <v>4170</v>
      </c>
      <c r="L753" s="255" t="s">
        <v>4170</v>
      </c>
      <c r="M753" s="255" t="s">
        <v>279</v>
      </c>
      <c r="N753" s="255">
        <v>70000.0</v>
      </c>
      <c r="O753" s="255">
        <v>13000.0</v>
      </c>
      <c r="P753" s="255" t="s">
        <v>2208</v>
      </c>
      <c r="Q753" s="255">
        <v>1.0</v>
      </c>
      <c r="R753" s="259">
        <v>46203.0</v>
      </c>
      <c r="S753" s="260" t="s">
        <v>2221</v>
      </c>
      <c r="T753" s="259">
        <v>46206.0</v>
      </c>
      <c r="U753" s="255">
        <v>290.0</v>
      </c>
    </row>
  </sheetData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5"/>
    <hyperlink r:id="rId18" ref="B27"/>
    <hyperlink r:id="rId19" ref="B29"/>
    <hyperlink r:id="rId20" ref="B30"/>
    <hyperlink r:id="rId21" ref="B31"/>
    <hyperlink r:id="rId22" ref="B32"/>
    <hyperlink r:id="rId23" ref="B33"/>
    <hyperlink r:id="rId24" ref="B34"/>
    <hyperlink r:id="rId25" ref="B35"/>
    <hyperlink r:id="rId26" ref="B36"/>
    <hyperlink r:id="rId27" ref="B37"/>
    <hyperlink r:id="rId28" ref="B38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2"/>
    <hyperlink r:id="rId52" ref="B63"/>
    <hyperlink r:id="rId53" ref="B64"/>
    <hyperlink r:id="rId54" ref="B65"/>
    <hyperlink r:id="rId55" ref="B66"/>
    <hyperlink r:id="rId56" ref="B67"/>
    <hyperlink r:id="rId57" ref="B68"/>
    <hyperlink r:id="rId58" ref="B69"/>
    <hyperlink r:id="rId59" ref="B70"/>
    <hyperlink r:id="rId60" ref="B71"/>
    <hyperlink r:id="rId61" ref="B72"/>
    <hyperlink r:id="rId62" ref="B73"/>
    <hyperlink r:id="rId63" ref="B74"/>
    <hyperlink r:id="rId64" ref="B75"/>
    <hyperlink r:id="rId65" ref="B76"/>
    <hyperlink r:id="rId66" ref="B77"/>
    <hyperlink r:id="rId67" ref="B78"/>
    <hyperlink r:id="rId68" ref="B79"/>
    <hyperlink r:id="rId69" ref="B80"/>
    <hyperlink r:id="rId70" ref="B81"/>
    <hyperlink r:id="rId71" ref="B82"/>
    <hyperlink r:id="rId72" ref="B83"/>
    <hyperlink r:id="rId73" ref="B84"/>
    <hyperlink r:id="rId74" ref="B85"/>
    <hyperlink r:id="rId75" ref="B86"/>
    <hyperlink r:id="rId76" ref="B87"/>
    <hyperlink r:id="rId77" ref="B88"/>
    <hyperlink r:id="rId78" ref="B89"/>
    <hyperlink r:id="rId79" ref="B90"/>
    <hyperlink r:id="rId80" ref="B91"/>
    <hyperlink r:id="rId81" ref="B92"/>
    <hyperlink r:id="rId82" ref="B93"/>
    <hyperlink r:id="rId83" ref="B94"/>
    <hyperlink r:id="rId84" ref="B95"/>
    <hyperlink r:id="rId85" ref="B96"/>
    <hyperlink r:id="rId86" ref="B97"/>
    <hyperlink r:id="rId87" ref="B98"/>
    <hyperlink r:id="rId88" ref="B99"/>
    <hyperlink r:id="rId89" ref="B100"/>
    <hyperlink r:id="rId90" ref="B101"/>
    <hyperlink r:id="rId91" ref="B102"/>
    <hyperlink r:id="rId92" ref="B103"/>
    <hyperlink r:id="rId93" ref="B104"/>
    <hyperlink r:id="rId94" ref="B105"/>
    <hyperlink r:id="rId95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0"/>
    <hyperlink r:id="rId110" ref="B121"/>
    <hyperlink r:id="rId111" ref="B122"/>
    <hyperlink r:id="rId112" ref="B123"/>
    <hyperlink r:id="rId113" ref="B124"/>
    <hyperlink r:id="rId114" ref="B125"/>
    <hyperlink r:id="rId115" ref="B126"/>
    <hyperlink r:id="rId116" ref="B127"/>
    <hyperlink r:id="rId117" ref="B128"/>
    <hyperlink r:id="rId118" ref="B129"/>
    <hyperlink r:id="rId119" ref="B130"/>
    <hyperlink r:id="rId120" ref="B131"/>
    <hyperlink r:id="rId121" ref="B132"/>
    <hyperlink r:id="rId122" ref="B133"/>
    <hyperlink r:id="rId123" ref="B134"/>
    <hyperlink r:id="rId124" ref="B135"/>
    <hyperlink r:id="rId125" ref="B136"/>
    <hyperlink r:id="rId126" ref="B137"/>
    <hyperlink r:id="rId127" ref="B138"/>
    <hyperlink r:id="rId128" ref="B139"/>
    <hyperlink r:id="rId129" ref="B140"/>
    <hyperlink r:id="rId130" ref="B141"/>
    <hyperlink r:id="rId131" ref="B142"/>
    <hyperlink r:id="rId132" ref="B143"/>
    <hyperlink r:id="rId133" ref="B144"/>
    <hyperlink r:id="rId134" ref="B145"/>
    <hyperlink r:id="rId135" ref="B146"/>
    <hyperlink r:id="rId136" ref="B147"/>
    <hyperlink r:id="rId137" ref="B148"/>
    <hyperlink r:id="rId138" ref="B149"/>
    <hyperlink r:id="rId139" ref="B150"/>
    <hyperlink r:id="rId140" ref="B151"/>
    <hyperlink r:id="rId141" ref="B152"/>
    <hyperlink r:id="rId142" ref="B153"/>
    <hyperlink r:id="rId143" ref="B154"/>
    <hyperlink r:id="rId144" ref="B155"/>
    <hyperlink r:id="rId145" ref="B156"/>
    <hyperlink r:id="rId146" ref="B157"/>
    <hyperlink r:id="rId147" ref="B158"/>
    <hyperlink r:id="rId148" ref="B159"/>
    <hyperlink r:id="rId149" ref="B160"/>
    <hyperlink r:id="rId150" ref="B161"/>
    <hyperlink r:id="rId151" ref="B162"/>
    <hyperlink r:id="rId152" ref="B163"/>
    <hyperlink r:id="rId153" ref="B164"/>
    <hyperlink r:id="rId154" ref="B165"/>
    <hyperlink r:id="rId155" ref="B166"/>
    <hyperlink r:id="rId156" ref="B167"/>
    <hyperlink r:id="rId157" ref="B168"/>
    <hyperlink r:id="rId158" ref="B169"/>
    <hyperlink r:id="rId159" ref="B170"/>
    <hyperlink r:id="rId160" ref="B171"/>
    <hyperlink r:id="rId161" ref="B172"/>
    <hyperlink r:id="rId162" ref="B173"/>
    <hyperlink r:id="rId163" ref="B174"/>
    <hyperlink r:id="rId164" ref="B175"/>
    <hyperlink r:id="rId165" ref="B176"/>
    <hyperlink r:id="rId166" ref="B177"/>
    <hyperlink r:id="rId167" ref="B178"/>
    <hyperlink r:id="rId168" ref="B179"/>
    <hyperlink r:id="rId169" ref="B180"/>
    <hyperlink r:id="rId170" ref="B181"/>
    <hyperlink r:id="rId171" ref="B182"/>
    <hyperlink r:id="rId172" ref="B183"/>
    <hyperlink r:id="rId173" ref="B184"/>
    <hyperlink r:id="rId174" ref="B185"/>
    <hyperlink r:id="rId175" ref="B186"/>
    <hyperlink r:id="rId176" ref="B187"/>
    <hyperlink r:id="rId177" ref="B188"/>
    <hyperlink r:id="rId178" ref="B189"/>
    <hyperlink r:id="rId179" ref="B190"/>
    <hyperlink r:id="rId180" ref="B191"/>
    <hyperlink r:id="rId181" ref="B192"/>
    <hyperlink r:id="rId182" ref="B193"/>
    <hyperlink r:id="rId183" ref="B194"/>
    <hyperlink r:id="rId184" ref="B195"/>
    <hyperlink r:id="rId185" ref="B196"/>
    <hyperlink r:id="rId186" ref="B197"/>
    <hyperlink r:id="rId187" ref="B198"/>
    <hyperlink r:id="rId188" ref="B199"/>
    <hyperlink r:id="rId189" ref="B200"/>
    <hyperlink r:id="rId190" ref="B201"/>
    <hyperlink r:id="rId191" ref="B202"/>
    <hyperlink r:id="rId192" ref="B203"/>
    <hyperlink r:id="rId193" ref="B204"/>
    <hyperlink r:id="rId194" ref="B205"/>
    <hyperlink r:id="rId195" ref="B206"/>
    <hyperlink r:id="rId196" ref="B207"/>
    <hyperlink r:id="rId197" ref="B208"/>
    <hyperlink r:id="rId198" ref="B209"/>
    <hyperlink r:id="rId199" ref="B210"/>
    <hyperlink r:id="rId200" ref="B211"/>
    <hyperlink r:id="rId201" ref="B212"/>
    <hyperlink r:id="rId202" ref="B213"/>
    <hyperlink r:id="rId203" ref="B214"/>
    <hyperlink r:id="rId204" ref="B215"/>
    <hyperlink r:id="rId205" ref="B216"/>
    <hyperlink r:id="rId206" ref="B217"/>
    <hyperlink r:id="rId207" ref="B218"/>
    <hyperlink r:id="rId208" ref="B219"/>
    <hyperlink r:id="rId209" ref="B220"/>
    <hyperlink r:id="rId210" ref="B221"/>
    <hyperlink r:id="rId211" ref="B222"/>
    <hyperlink r:id="rId212" ref="B223"/>
    <hyperlink r:id="rId213" ref="B224"/>
    <hyperlink r:id="rId214" ref="B225"/>
    <hyperlink r:id="rId215" ref="B227"/>
    <hyperlink r:id="rId216" ref="B228"/>
    <hyperlink r:id="rId217" ref="B229"/>
    <hyperlink r:id="rId218" ref="B230"/>
    <hyperlink r:id="rId219" ref="B231"/>
    <hyperlink r:id="rId220" ref="B232"/>
    <hyperlink r:id="rId221" ref="B233"/>
    <hyperlink r:id="rId222" ref="B234"/>
    <hyperlink r:id="rId223" ref="B235"/>
    <hyperlink r:id="rId224" ref="B236"/>
    <hyperlink r:id="rId225" ref="B237"/>
    <hyperlink r:id="rId226" ref="B238"/>
    <hyperlink r:id="rId227" ref="B239"/>
    <hyperlink r:id="rId228" ref="B240"/>
    <hyperlink r:id="rId229" ref="B241"/>
    <hyperlink r:id="rId230" ref="B242"/>
    <hyperlink r:id="rId231" ref="B243"/>
    <hyperlink r:id="rId232" ref="B244"/>
    <hyperlink r:id="rId233" ref="B245"/>
    <hyperlink r:id="rId234" ref="B246"/>
    <hyperlink r:id="rId235" ref="B247"/>
    <hyperlink r:id="rId236" ref="B248"/>
    <hyperlink r:id="rId237" ref="B249"/>
    <hyperlink r:id="rId238" ref="B250"/>
    <hyperlink r:id="rId239" ref="B251"/>
    <hyperlink r:id="rId240" ref="B252"/>
    <hyperlink r:id="rId241" ref="B253"/>
    <hyperlink r:id="rId242" ref="B254"/>
    <hyperlink r:id="rId243" ref="B255"/>
    <hyperlink r:id="rId244" ref="B256"/>
    <hyperlink r:id="rId245" ref="B257"/>
    <hyperlink r:id="rId246" ref="B258"/>
    <hyperlink r:id="rId247" ref="B259"/>
    <hyperlink r:id="rId248" ref="B260"/>
    <hyperlink r:id="rId249" ref="B261"/>
    <hyperlink r:id="rId250" ref="B262"/>
    <hyperlink r:id="rId251" ref="B263"/>
    <hyperlink r:id="rId252" ref="B264"/>
    <hyperlink r:id="rId253" ref="B265"/>
    <hyperlink r:id="rId254" ref="B266"/>
    <hyperlink r:id="rId255" ref="B267"/>
    <hyperlink r:id="rId256" ref="B268"/>
    <hyperlink r:id="rId257" ref="B269"/>
    <hyperlink r:id="rId258" ref="B270"/>
    <hyperlink r:id="rId259" ref="B271"/>
    <hyperlink r:id="rId260" ref="B272"/>
    <hyperlink r:id="rId261" ref="B273"/>
    <hyperlink r:id="rId262" ref="B274"/>
    <hyperlink r:id="rId263" ref="B275"/>
    <hyperlink r:id="rId264" ref="B276"/>
    <hyperlink r:id="rId265" ref="B277"/>
    <hyperlink r:id="rId266" ref="B278"/>
    <hyperlink r:id="rId267" ref="B279"/>
    <hyperlink r:id="rId268" ref="B280"/>
    <hyperlink r:id="rId269" ref="B281"/>
    <hyperlink r:id="rId270" ref="B282"/>
    <hyperlink r:id="rId271" ref="B283"/>
    <hyperlink r:id="rId272" ref="B284"/>
    <hyperlink r:id="rId273" ref="B285"/>
    <hyperlink r:id="rId274" ref="B286"/>
    <hyperlink r:id="rId275" ref="B287"/>
    <hyperlink r:id="rId276" ref="B289"/>
    <hyperlink r:id="rId277" ref="B290"/>
    <hyperlink r:id="rId278" ref="B291"/>
    <hyperlink r:id="rId279" ref="B292"/>
    <hyperlink r:id="rId280" ref="B293"/>
    <hyperlink r:id="rId281" ref="B294"/>
    <hyperlink r:id="rId282" ref="B295"/>
    <hyperlink r:id="rId283" ref="B296"/>
    <hyperlink r:id="rId284" ref="B297"/>
    <hyperlink r:id="rId285" ref="B298"/>
    <hyperlink r:id="rId286" ref="B299"/>
    <hyperlink r:id="rId287" ref="B300"/>
    <hyperlink r:id="rId288" ref="B301"/>
    <hyperlink r:id="rId289" ref="B302"/>
    <hyperlink r:id="rId290" ref="B303"/>
    <hyperlink r:id="rId291" ref="B304"/>
    <hyperlink r:id="rId292" ref="B305"/>
    <hyperlink r:id="rId293" ref="B306"/>
    <hyperlink r:id="rId294" ref="B307"/>
    <hyperlink r:id="rId295" ref="B308"/>
    <hyperlink r:id="rId296" ref="B309"/>
    <hyperlink r:id="rId297" ref="B310"/>
    <hyperlink r:id="rId298" ref="B311"/>
    <hyperlink r:id="rId299" ref="B312"/>
    <hyperlink r:id="rId300" ref="B313"/>
    <hyperlink r:id="rId301" ref="B314"/>
    <hyperlink r:id="rId302" ref="B315"/>
    <hyperlink r:id="rId303" ref="B316"/>
    <hyperlink r:id="rId304" ref="B317"/>
    <hyperlink r:id="rId305" ref="B318"/>
    <hyperlink r:id="rId306" ref="B319"/>
    <hyperlink r:id="rId307" ref="B320"/>
    <hyperlink r:id="rId308" ref="B321"/>
    <hyperlink r:id="rId309" ref="B322"/>
    <hyperlink r:id="rId310" ref="B323"/>
    <hyperlink r:id="rId311" ref="B324"/>
    <hyperlink r:id="rId312" ref="B325"/>
    <hyperlink r:id="rId313" ref="B326"/>
    <hyperlink r:id="rId314" ref="B327"/>
    <hyperlink r:id="rId315" ref="B328"/>
    <hyperlink r:id="rId316" ref="B329"/>
    <hyperlink r:id="rId317" ref="B330"/>
    <hyperlink r:id="rId318" ref="B331"/>
    <hyperlink r:id="rId319" ref="B332"/>
    <hyperlink r:id="rId320" ref="B333"/>
    <hyperlink r:id="rId321" ref="B334"/>
    <hyperlink r:id="rId322" ref="B335"/>
    <hyperlink r:id="rId323" ref="B336"/>
    <hyperlink r:id="rId324" ref="B337"/>
    <hyperlink r:id="rId325" ref="B338"/>
    <hyperlink r:id="rId326" ref="B339"/>
    <hyperlink r:id="rId327" ref="B340"/>
    <hyperlink r:id="rId328" ref="B341"/>
    <hyperlink r:id="rId329" ref="B342"/>
    <hyperlink r:id="rId330" ref="B343"/>
    <hyperlink r:id="rId331" ref="B344"/>
    <hyperlink r:id="rId332" ref="B345"/>
    <hyperlink r:id="rId333" ref="B346"/>
    <hyperlink r:id="rId334" ref="B347"/>
    <hyperlink r:id="rId335" ref="B348"/>
    <hyperlink r:id="rId336" ref="B349"/>
    <hyperlink r:id="rId337" ref="B350"/>
    <hyperlink r:id="rId338" ref="B352"/>
    <hyperlink r:id="rId339" ref="B353"/>
    <hyperlink r:id="rId340" ref="B354"/>
    <hyperlink r:id="rId341" ref="B355"/>
    <hyperlink r:id="rId342" ref="B356"/>
    <hyperlink r:id="rId343" ref="B357"/>
    <hyperlink r:id="rId344" ref="B358"/>
    <hyperlink r:id="rId345" ref="B359"/>
    <hyperlink r:id="rId346" ref="B360"/>
    <hyperlink r:id="rId347" ref="B361"/>
    <hyperlink r:id="rId348" ref="B362"/>
    <hyperlink r:id="rId349" ref="B363"/>
    <hyperlink r:id="rId350" ref="B364"/>
    <hyperlink r:id="rId351" ref="B365"/>
    <hyperlink r:id="rId352" ref="B366"/>
    <hyperlink r:id="rId353" ref="B367"/>
    <hyperlink r:id="rId354" ref="B368"/>
    <hyperlink r:id="rId355" ref="B369"/>
    <hyperlink r:id="rId356" ref="B370"/>
    <hyperlink r:id="rId357" ref="B371"/>
    <hyperlink r:id="rId358" ref="B372"/>
    <hyperlink r:id="rId359" ref="B373"/>
    <hyperlink r:id="rId360" ref="B374"/>
    <hyperlink r:id="rId361" ref="B375"/>
    <hyperlink r:id="rId362" ref="B376"/>
    <hyperlink r:id="rId363" ref="B377"/>
    <hyperlink r:id="rId364" ref="B378"/>
    <hyperlink r:id="rId365" ref="B379"/>
    <hyperlink r:id="rId366" ref="B380"/>
    <hyperlink r:id="rId367" ref="B381"/>
    <hyperlink r:id="rId368" ref="B382"/>
    <hyperlink r:id="rId369" ref="B383"/>
    <hyperlink r:id="rId370" ref="B384"/>
    <hyperlink r:id="rId371" ref="B385"/>
    <hyperlink r:id="rId372" ref="B386"/>
    <hyperlink r:id="rId373" ref="B387"/>
    <hyperlink r:id="rId374" ref="B388"/>
    <hyperlink r:id="rId375" ref="B389"/>
    <hyperlink r:id="rId376" ref="B390"/>
    <hyperlink r:id="rId377" ref="B391"/>
    <hyperlink r:id="rId378" ref="B392"/>
    <hyperlink r:id="rId379" ref="B393"/>
    <hyperlink r:id="rId380" ref="B394"/>
    <hyperlink r:id="rId381" ref="B395"/>
    <hyperlink r:id="rId382" ref="B396"/>
    <hyperlink r:id="rId383" ref="B397"/>
    <hyperlink r:id="rId384" ref="B398"/>
    <hyperlink r:id="rId385" ref="B399"/>
    <hyperlink r:id="rId386" ref="B400"/>
    <hyperlink r:id="rId387" ref="B401"/>
    <hyperlink r:id="rId388" ref="B402"/>
    <hyperlink r:id="rId389" ref="B403"/>
    <hyperlink r:id="rId390" ref="B404"/>
    <hyperlink r:id="rId391" ref="B405"/>
    <hyperlink r:id="rId392" ref="B406"/>
    <hyperlink r:id="rId393" ref="B407"/>
    <hyperlink r:id="rId394" ref="B408"/>
    <hyperlink r:id="rId395" ref="B409"/>
    <hyperlink r:id="rId396" ref="B410"/>
    <hyperlink r:id="rId397" ref="B411"/>
    <hyperlink r:id="rId398" ref="B412"/>
    <hyperlink r:id="rId399" ref="B413"/>
    <hyperlink r:id="rId400" ref="B414"/>
    <hyperlink r:id="rId401" ref="B415"/>
    <hyperlink r:id="rId402" ref="B416"/>
    <hyperlink r:id="rId403" ref="B417"/>
    <hyperlink r:id="rId404" ref="B418"/>
    <hyperlink r:id="rId405" ref="B419"/>
    <hyperlink r:id="rId406" ref="B420"/>
    <hyperlink r:id="rId407" ref="B421"/>
    <hyperlink r:id="rId408" ref="B422"/>
    <hyperlink r:id="rId409" ref="B423"/>
    <hyperlink r:id="rId410" ref="B424"/>
    <hyperlink r:id="rId411" ref="B425"/>
    <hyperlink r:id="rId412" ref="B426"/>
    <hyperlink r:id="rId413" ref="B427"/>
    <hyperlink r:id="rId414" ref="B428"/>
    <hyperlink r:id="rId415" ref="B429"/>
    <hyperlink r:id="rId416" ref="B430"/>
    <hyperlink r:id="rId417" ref="B431"/>
    <hyperlink r:id="rId418" ref="B432"/>
    <hyperlink r:id="rId419" ref="B433"/>
    <hyperlink r:id="rId420" ref="B434"/>
    <hyperlink r:id="rId421" ref="B435"/>
    <hyperlink r:id="rId422" ref="B436"/>
    <hyperlink r:id="rId423" ref="B437"/>
    <hyperlink r:id="rId424" ref="B438"/>
    <hyperlink r:id="rId425" ref="B439"/>
    <hyperlink r:id="rId426" ref="B440"/>
    <hyperlink r:id="rId427" ref="B441"/>
    <hyperlink r:id="rId428" ref="B442"/>
    <hyperlink r:id="rId429" ref="B443"/>
    <hyperlink r:id="rId430" ref="B444"/>
    <hyperlink r:id="rId431" ref="B445"/>
    <hyperlink r:id="rId432" ref="B446"/>
    <hyperlink r:id="rId433" ref="B447"/>
    <hyperlink r:id="rId434" ref="B448"/>
    <hyperlink r:id="rId435" ref="B449"/>
    <hyperlink r:id="rId436" ref="B450"/>
    <hyperlink r:id="rId437" ref="B451"/>
    <hyperlink r:id="rId438" ref="B452"/>
    <hyperlink r:id="rId439" ref="B453"/>
    <hyperlink r:id="rId440" ref="B454"/>
    <hyperlink r:id="rId441" ref="B455"/>
    <hyperlink r:id="rId442" ref="B457"/>
    <hyperlink r:id="rId443" ref="B458"/>
    <hyperlink r:id="rId444" ref="B459"/>
    <hyperlink r:id="rId445" ref="B460"/>
    <hyperlink r:id="rId446" ref="B461"/>
    <hyperlink r:id="rId447" ref="B462"/>
    <hyperlink r:id="rId448" ref="B463"/>
    <hyperlink r:id="rId449" ref="B464"/>
    <hyperlink r:id="rId450" ref="B465"/>
    <hyperlink r:id="rId451" ref="B466"/>
    <hyperlink r:id="rId452" ref="B467"/>
    <hyperlink r:id="rId453" ref="B468"/>
    <hyperlink r:id="rId454" ref="B469"/>
    <hyperlink r:id="rId455" ref="B470"/>
    <hyperlink r:id="rId456" ref="B471"/>
    <hyperlink r:id="rId457" ref="B472"/>
    <hyperlink r:id="rId458" ref="B473"/>
    <hyperlink r:id="rId459" ref="B474"/>
    <hyperlink r:id="rId460" ref="B475"/>
    <hyperlink r:id="rId461" ref="B476"/>
    <hyperlink r:id="rId462" ref="B477"/>
    <hyperlink r:id="rId463" ref="B478"/>
    <hyperlink r:id="rId464" ref="B479"/>
    <hyperlink r:id="rId465" ref="B480"/>
    <hyperlink r:id="rId466" ref="B481"/>
    <hyperlink r:id="rId467" ref="B482"/>
    <hyperlink r:id="rId468" ref="B483"/>
    <hyperlink r:id="rId469" ref="B484"/>
    <hyperlink r:id="rId470" ref="B485"/>
    <hyperlink r:id="rId471" ref="B486"/>
    <hyperlink r:id="rId472" ref="B487"/>
    <hyperlink r:id="rId473" ref="B488"/>
    <hyperlink r:id="rId474" ref="B489"/>
    <hyperlink r:id="rId475" ref="B490"/>
    <hyperlink r:id="rId476" ref="B491"/>
    <hyperlink r:id="rId477" ref="B492"/>
    <hyperlink r:id="rId478" ref="B493"/>
    <hyperlink r:id="rId479" ref="B494"/>
    <hyperlink r:id="rId480" ref="B495"/>
    <hyperlink r:id="rId481" ref="B496"/>
    <hyperlink r:id="rId482" ref="B497"/>
    <hyperlink r:id="rId483" ref="B498"/>
    <hyperlink r:id="rId484" ref="B499"/>
    <hyperlink r:id="rId485" ref="B500"/>
    <hyperlink r:id="rId486" ref="B501"/>
    <hyperlink r:id="rId487" ref="B502"/>
    <hyperlink r:id="rId488" ref="B503"/>
    <hyperlink r:id="rId489" ref="B504"/>
    <hyperlink r:id="rId490" ref="B505"/>
    <hyperlink r:id="rId491" ref="B506"/>
    <hyperlink r:id="rId492" ref="B507"/>
    <hyperlink r:id="rId493" ref="B508"/>
    <hyperlink r:id="rId494" ref="B509"/>
    <hyperlink r:id="rId495" ref="B510"/>
    <hyperlink r:id="rId496" ref="B511"/>
    <hyperlink r:id="rId497" ref="B512"/>
    <hyperlink r:id="rId498" ref="B513"/>
    <hyperlink r:id="rId499" ref="B514"/>
    <hyperlink r:id="rId500" ref="B515"/>
    <hyperlink r:id="rId501" ref="B516"/>
    <hyperlink r:id="rId502" ref="B517"/>
    <hyperlink r:id="rId503" ref="B518"/>
    <hyperlink r:id="rId504" ref="B519"/>
    <hyperlink r:id="rId505" ref="B520"/>
    <hyperlink r:id="rId506" ref="B521"/>
    <hyperlink r:id="rId507" ref="B522"/>
    <hyperlink r:id="rId508" ref="B523"/>
    <hyperlink r:id="rId509" ref="B524"/>
    <hyperlink r:id="rId510" ref="B525"/>
    <hyperlink r:id="rId511" ref="B526"/>
    <hyperlink r:id="rId512" ref="B527"/>
    <hyperlink r:id="rId513" ref="B528"/>
    <hyperlink r:id="rId514" ref="B529"/>
    <hyperlink r:id="rId515" ref="B530"/>
    <hyperlink r:id="rId516" ref="B531"/>
    <hyperlink r:id="rId517" ref="B532"/>
    <hyperlink r:id="rId518" ref="B533"/>
    <hyperlink r:id="rId519" ref="B534"/>
    <hyperlink r:id="rId520" ref="B535"/>
    <hyperlink r:id="rId521" ref="B536"/>
    <hyperlink r:id="rId522" ref="B537"/>
    <hyperlink r:id="rId523" ref="B538"/>
    <hyperlink r:id="rId524" ref="B539"/>
    <hyperlink r:id="rId525" ref="B540"/>
    <hyperlink r:id="rId526" ref="B541"/>
    <hyperlink r:id="rId527" ref="B542"/>
    <hyperlink r:id="rId528" ref="B543"/>
    <hyperlink r:id="rId529" ref="B544"/>
    <hyperlink r:id="rId530" ref="B545"/>
    <hyperlink r:id="rId531" ref="B546"/>
    <hyperlink r:id="rId532" ref="B547"/>
    <hyperlink r:id="rId533" ref="B548"/>
    <hyperlink r:id="rId534" ref="B550"/>
    <hyperlink r:id="rId535" ref="B551"/>
    <hyperlink r:id="rId536" ref="B552"/>
    <hyperlink r:id="rId537" ref="B553"/>
    <hyperlink r:id="rId538" ref="B554"/>
    <hyperlink r:id="rId539" ref="B555"/>
    <hyperlink r:id="rId540" ref="B556"/>
    <hyperlink r:id="rId541" ref="B557"/>
    <hyperlink r:id="rId542" ref="B559"/>
    <hyperlink r:id="rId543" ref="B560"/>
    <hyperlink r:id="rId544" ref="B561"/>
    <hyperlink r:id="rId545" ref="B562"/>
    <hyperlink r:id="rId546" ref="B563"/>
    <hyperlink r:id="rId547" ref="B564"/>
    <hyperlink r:id="rId548" ref="B565"/>
    <hyperlink r:id="rId549" ref="B566"/>
    <hyperlink r:id="rId550" ref="B567"/>
    <hyperlink r:id="rId551" ref="B568"/>
    <hyperlink r:id="rId552" ref="B569"/>
    <hyperlink r:id="rId553" ref="B570"/>
    <hyperlink r:id="rId554" ref="B571"/>
    <hyperlink r:id="rId555" ref="B572"/>
    <hyperlink r:id="rId556" ref="B573"/>
    <hyperlink r:id="rId557" ref="B574"/>
    <hyperlink r:id="rId558" ref="B575"/>
    <hyperlink r:id="rId559" ref="B576"/>
    <hyperlink r:id="rId560" ref="B577"/>
    <hyperlink r:id="rId561" ref="B578"/>
    <hyperlink r:id="rId562" ref="B579"/>
    <hyperlink r:id="rId563" ref="B580"/>
    <hyperlink r:id="rId564" ref="B581"/>
    <hyperlink r:id="rId565" ref="B582"/>
    <hyperlink r:id="rId566" ref="B583"/>
    <hyperlink r:id="rId567" ref="B584"/>
    <hyperlink r:id="rId568" ref="B585"/>
    <hyperlink r:id="rId569" ref="B586"/>
    <hyperlink r:id="rId570" ref="B587"/>
    <hyperlink r:id="rId571" ref="B588"/>
    <hyperlink r:id="rId572" ref="B589"/>
    <hyperlink r:id="rId573" ref="B590"/>
    <hyperlink r:id="rId574" ref="B591"/>
    <hyperlink r:id="rId575" ref="B592"/>
    <hyperlink r:id="rId576" ref="B593"/>
    <hyperlink r:id="rId577" ref="B594"/>
    <hyperlink r:id="rId578" ref="B595"/>
    <hyperlink r:id="rId579" ref="B596"/>
    <hyperlink r:id="rId580" ref="B597"/>
    <hyperlink r:id="rId581" ref="B598"/>
    <hyperlink r:id="rId582" ref="B599"/>
    <hyperlink r:id="rId583" ref="B600"/>
    <hyperlink r:id="rId584" ref="B601"/>
    <hyperlink r:id="rId585" ref="B602"/>
    <hyperlink r:id="rId586" ref="B603"/>
    <hyperlink r:id="rId587" ref="B604"/>
    <hyperlink r:id="rId588" ref="B605"/>
    <hyperlink r:id="rId589" ref="B606"/>
    <hyperlink r:id="rId590" ref="B607"/>
    <hyperlink r:id="rId591" ref="B608"/>
    <hyperlink r:id="rId592" ref="B609"/>
    <hyperlink r:id="rId593" ref="B610"/>
    <hyperlink r:id="rId594" ref="B611"/>
    <hyperlink r:id="rId595" ref="B612"/>
    <hyperlink r:id="rId596" ref="B613"/>
    <hyperlink r:id="rId597" ref="B614"/>
    <hyperlink r:id="rId598" ref="B615"/>
    <hyperlink r:id="rId599" ref="B616"/>
    <hyperlink r:id="rId600" ref="B617"/>
    <hyperlink r:id="rId601" ref="B618"/>
    <hyperlink r:id="rId602" ref="B619"/>
    <hyperlink r:id="rId603" ref="B620"/>
    <hyperlink r:id="rId604" ref="B621"/>
    <hyperlink r:id="rId605" ref="B622"/>
    <hyperlink r:id="rId606" ref="B623"/>
    <hyperlink r:id="rId607" ref="B624"/>
    <hyperlink r:id="rId608" ref="B625"/>
    <hyperlink r:id="rId609" ref="B626"/>
    <hyperlink r:id="rId610" ref="B627"/>
    <hyperlink r:id="rId611" ref="B628"/>
    <hyperlink r:id="rId612" ref="B629"/>
    <hyperlink r:id="rId613" ref="B630"/>
    <hyperlink r:id="rId614" ref="B631"/>
    <hyperlink r:id="rId615" ref="B632"/>
    <hyperlink r:id="rId616" ref="B633"/>
    <hyperlink r:id="rId617" ref="B634"/>
    <hyperlink r:id="rId618" ref="B635"/>
    <hyperlink r:id="rId619" ref="B636"/>
    <hyperlink r:id="rId620" ref="B637"/>
    <hyperlink r:id="rId621" ref="B638"/>
    <hyperlink r:id="rId622" ref="B639"/>
    <hyperlink r:id="rId623" ref="B640"/>
    <hyperlink r:id="rId624" ref="B641"/>
    <hyperlink r:id="rId625" ref="B642"/>
    <hyperlink r:id="rId626" ref="B643"/>
    <hyperlink r:id="rId627" ref="B644"/>
    <hyperlink r:id="rId628" ref="B645"/>
    <hyperlink r:id="rId629" ref="B646"/>
    <hyperlink r:id="rId630" ref="B647"/>
    <hyperlink r:id="rId631" ref="B648"/>
    <hyperlink r:id="rId632" ref="B649"/>
    <hyperlink r:id="rId633" ref="B650"/>
    <hyperlink r:id="rId634" ref="B651"/>
    <hyperlink r:id="rId635" ref="B652"/>
    <hyperlink r:id="rId636" ref="B653"/>
    <hyperlink r:id="rId637" ref="B654"/>
    <hyperlink r:id="rId638" ref="B655"/>
    <hyperlink r:id="rId639" ref="B656"/>
    <hyperlink r:id="rId640" ref="B657"/>
    <hyperlink r:id="rId641" ref="B658"/>
    <hyperlink r:id="rId642" ref="B659"/>
    <hyperlink r:id="rId643" ref="B660"/>
    <hyperlink r:id="rId644" ref="B661"/>
    <hyperlink r:id="rId645" ref="B662"/>
    <hyperlink r:id="rId646" ref="B663"/>
    <hyperlink r:id="rId647" ref="B664"/>
    <hyperlink r:id="rId648" ref="B665"/>
    <hyperlink r:id="rId649" ref="B666"/>
    <hyperlink r:id="rId650" ref="B667"/>
    <hyperlink r:id="rId651" ref="B668"/>
    <hyperlink r:id="rId652" ref="B669"/>
    <hyperlink r:id="rId653" ref="B670"/>
    <hyperlink r:id="rId654" ref="B671"/>
    <hyperlink r:id="rId655" ref="B672"/>
    <hyperlink r:id="rId656" ref="B673"/>
    <hyperlink r:id="rId657" ref="B674"/>
    <hyperlink r:id="rId658" ref="B675"/>
    <hyperlink r:id="rId659" ref="B676"/>
    <hyperlink r:id="rId660" ref="B677"/>
    <hyperlink r:id="rId661" ref="B678"/>
    <hyperlink r:id="rId662" ref="B679"/>
    <hyperlink r:id="rId663" ref="B680"/>
    <hyperlink r:id="rId664" ref="B681"/>
    <hyperlink r:id="rId665" ref="B682"/>
    <hyperlink r:id="rId666" ref="B683"/>
    <hyperlink r:id="rId667" ref="B684"/>
    <hyperlink r:id="rId668" ref="B685"/>
    <hyperlink r:id="rId669" ref="B686"/>
    <hyperlink r:id="rId670" ref="B687"/>
    <hyperlink r:id="rId671" ref="B688"/>
    <hyperlink r:id="rId672" ref="B689"/>
    <hyperlink r:id="rId673" ref="B690"/>
    <hyperlink r:id="rId674" ref="B691"/>
    <hyperlink r:id="rId675" ref="B692"/>
    <hyperlink r:id="rId676" ref="B693"/>
    <hyperlink r:id="rId677" ref="B694"/>
    <hyperlink r:id="rId678" ref="B695"/>
    <hyperlink r:id="rId679" ref="B696"/>
    <hyperlink r:id="rId680" ref="B697"/>
    <hyperlink r:id="rId681" ref="B698"/>
    <hyperlink r:id="rId682" ref="B699"/>
    <hyperlink r:id="rId683" ref="B700"/>
    <hyperlink r:id="rId684" ref="B701"/>
    <hyperlink r:id="rId685" ref="B702"/>
    <hyperlink r:id="rId686" ref="B703"/>
    <hyperlink r:id="rId687" ref="B704"/>
    <hyperlink r:id="rId688" ref="B705"/>
    <hyperlink r:id="rId689" ref="B706"/>
    <hyperlink r:id="rId690" ref="B707"/>
    <hyperlink r:id="rId691" ref="B708"/>
    <hyperlink r:id="rId692" ref="B709"/>
    <hyperlink r:id="rId693" ref="B710"/>
    <hyperlink r:id="rId694" ref="B711"/>
    <hyperlink r:id="rId695" ref="B712"/>
    <hyperlink r:id="rId696" ref="B713"/>
    <hyperlink r:id="rId697" ref="B714"/>
    <hyperlink r:id="rId698" ref="B715"/>
    <hyperlink r:id="rId699" ref="B716"/>
    <hyperlink r:id="rId700" ref="B717"/>
    <hyperlink r:id="rId701" ref="B718"/>
    <hyperlink r:id="rId702" ref="B719"/>
    <hyperlink r:id="rId703" ref="B720"/>
    <hyperlink r:id="rId704" ref="B721"/>
    <hyperlink r:id="rId705" ref="B722"/>
    <hyperlink r:id="rId706" ref="B723"/>
    <hyperlink r:id="rId707" ref="B724"/>
    <hyperlink r:id="rId708" ref="B725"/>
    <hyperlink r:id="rId709" ref="B726"/>
    <hyperlink r:id="rId710" ref="B727"/>
    <hyperlink r:id="rId711" ref="B728"/>
    <hyperlink r:id="rId712" ref="B729"/>
    <hyperlink r:id="rId713" ref="B730"/>
    <hyperlink r:id="rId714" ref="B731"/>
    <hyperlink r:id="rId715" ref="B732"/>
    <hyperlink r:id="rId716" ref="B733"/>
    <hyperlink r:id="rId717" ref="B734"/>
    <hyperlink r:id="rId718" ref="B735"/>
    <hyperlink r:id="rId719" ref="B736"/>
    <hyperlink r:id="rId720" ref="B737"/>
    <hyperlink r:id="rId721" ref="B738"/>
    <hyperlink r:id="rId722" ref="B739"/>
    <hyperlink r:id="rId723" ref="B740"/>
    <hyperlink r:id="rId724" ref="B741"/>
    <hyperlink r:id="rId725" ref="B742"/>
    <hyperlink r:id="rId726" ref="B743"/>
    <hyperlink r:id="rId727" ref="B744"/>
    <hyperlink r:id="rId728" ref="B745"/>
    <hyperlink r:id="rId729" ref="B746"/>
    <hyperlink r:id="rId730" ref="B747"/>
    <hyperlink r:id="rId731" ref="B748"/>
    <hyperlink r:id="rId732" ref="B749"/>
    <hyperlink r:id="rId733" ref="B750"/>
    <hyperlink r:id="rId734" ref="B751"/>
    <hyperlink r:id="rId735" ref="B752"/>
    <hyperlink r:id="rId736" ref="B753"/>
  </hyperlinks>
  <drawing r:id="rId73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29" width="16.78"/>
    <col customWidth="1" min="30" max="30" width="68.56"/>
    <col customWidth="1" min="31" max="42" width="16.78"/>
  </cols>
  <sheetData>
    <row r="1">
      <c r="A1" s="264" t="s">
        <v>2184</v>
      </c>
      <c r="B1" s="264" t="s">
        <v>2185</v>
      </c>
      <c r="C1" s="264" t="s">
        <v>4171</v>
      </c>
      <c r="D1" s="264" t="s">
        <v>4172</v>
      </c>
      <c r="E1" s="264" t="s">
        <v>4173</v>
      </c>
      <c r="F1" s="264" t="s">
        <v>2186</v>
      </c>
      <c r="G1" s="264" t="s">
        <v>2187</v>
      </c>
      <c r="H1" s="264" t="s">
        <v>2188</v>
      </c>
      <c r="I1" s="264" t="s">
        <v>2189</v>
      </c>
      <c r="J1" s="264" t="s">
        <v>4174</v>
      </c>
      <c r="K1" s="264" t="s">
        <v>4175</v>
      </c>
      <c r="L1" s="264" t="s">
        <v>4176</v>
      </c>
      <c r="M1" s="264" t="s">
        <v>2190</v>
      </c>
      <c r="N1" s="264" t="s">
        <v>2191</v>
      </c>
      <c r="O1" s="264" t="s">
        <v>4177</v>
      </c>
      <c r="P1" s="264" t="s">
        <v>4178</v>
      </c>
      <c r="Q1" s="264" t="s">
        <v>2193</v>
      </c>
      <c r="R1" s="264" t="s">
        <v>2194</v>
      </c>
      <c r="S1" s="264" t="s">
        <v>2195</v>
      </c>
      <c r="T1" s="264" t="s">
        <v>2196</v>
      </c>
      <c r="U1" s="264" t="s">
        <v>2197</v>
      </c>
      <c r="V1" s="264" t="s">
        <v>2199</v>
      </c>
      <c r="W1" s="264" t="s">
        <v>2200</v>
      </c>
      <c r="X1" s="264" t="s">
        <v>2201</v>
      </c>
      <c r="Y1" s="264" t="s">
        <v>2202</v>
      </c>
      <c r="Z1" s="264" t="s">
        <v>4179</v>
      </c>
      <c r="AA1" s="264" t="s">
        <v>2204</v>
      </c>
      <c r="AB1" s="265" t="s">
        <v>2191</v>
      </c>
      <c r="AC1" s="265" t="s">
        <v>2192</v>
      </c>
      <c r="AD1" s="265" t="s">
        <v>515</v>
      </c>
      <c r="AE1" s="265" t="s">
        <v>2195</v>
      </c>
      <c r="AF1" s="265" t="s">
        <v>2198</v>
      </c>
      <c r="AG1" s="265" t="s">
        <v>2203</v>
      </c>
      <c r="AH1" s="265" t="s">
        <v>4180</v>
      </c>
      <c r="AI1" s="265" t="s">
        <v>515</v>
      </c>
      <c r="AJ1" s="265" t="s">
        <v>4181</v>
      </c>
    </row>
    <row r="2">
      <c r="A2" s="257">
        <v>45108.84569884259</v>
      </c>
      <c r="B2" s="259">
        <v>45119.0</v>
      </c>
      <c r="C2" s="255" t="s">
        <v>4182</v>
      </c>
      <c r="D2" s="255" t="s">
        <v>4182</v>
      </c>
      <c r="E2" s="255" t="s">
        <v>4183</v>
      </c>
      <c r="F2" s="255">
        <v>1.0</v>
      </c>
      <c r="G2" s="255">
        <v>1.0</v>
      </c>
      <c r="H2" s="255">
        <v>1.0</v>
      </c>
      <c r="I2" s="255">
        <v>1.0</v>
      </c>
      <c r="K2" s="259">
        <v>45112.0</v>
      </c>
      <c r="L2" s="259">
        <v>45120.0</v>
      </c>
      <c r="M2" s="255">
        <v>1.0</v>
      </c>
      <c r="O2" s="255">
        <v>1.0</v>
      </c>
      <c r="Q2" s="255" t="s">
        <v>2207</v>
      </c>
      <c r="R2" s="255" t="s">
        <v>2207</v>
      </c>
      <c r="S2" s="255" t="s">
        <v>4184</v>
      </c>
      <c r="T2" s="255">
        <v>1.0</v>
      </c>
      <c r="U2" s="255">
        <v>1.0</v>
      </c>
      <c r="V2" s="255">
        <v>1.0</v>
      </c>
      <c r="W2" s="259">
        <v>45134.0</v>
      </c>
      <c r="X2" s="266">
        <v>0.9319444444408873</v>
      </c>
      <c r="Y2" s="259">
        <v>45108.0</v>
      </c>
      <c r="Z2" s="266">
        <v>0.9319444444408873</v>
      </c>
    </row>
    <row r="3">
      <c r="A3" s="257">
        <v>45108.87791837963</v>
      </c>
      <c r="B3" s="259">
        <v>45106.0</v>
      </c>
      <c r="C3" s="255" t="s">
        <v>4182</v>
      </c>
      <c r="D3" s="255" t="s">
        <v>4182</v>
      </c>
      <c r="E3" s="255" t="s">
        <v>4185</v>
      </c>
      <c r="F3" s="255" t="s">
        <v>4186</v>
      </c>
      <c r="G3" s="255" t="s">
        <v>4187</v>
      </c>
      <c r="H3" s="260" t="s">
        <v>4188</v>
      </c>
      <c r="I3" s="260" t="s">
        <v>4188</v>
      </c>
      <c r="J3" s="255">
        <v>7.53841254E8</v>
      </c>
      <c r="K3" s="259">
        <v>45120.0</v>
      </c>
      <c r="L3" s="259">
        <v>45134.0</v>
      </c>
      <c r="M3" s="255">
        <v>5000.0</v>
      </c>
      <c r="O3" s="255" t="s">
        <v>4189</v>
      </c>
      <c r="Q3" s="255" t="s">
        <v>2207</v>
      </c>
      <c r="R3" s="255" t="s">
        <v>2207</v>
      </c>
      <c r="S3" s="255" t="s">
        <v>4190</v>
      </c>
      <c r="T3" s="255">
        <v>140000.0</v>
      </c>
      <c r="U3" s="255">
        <v>23000.0</v>
      </c>
      <c r="V3" s="255">
        <v>2.0</v>
      </c>
      <c r="W3" s="259">
        <v>45106.0</v>
      </c>
      <c r="X3" s="266">
        <v>0.9319444444408873</v>
      </c>
      <c r="Y3" s="259">
        <v>45120.0</v>
      </c>
      <c r="Z3" s="266">
        <v>0.9319444444408873</v>
      </c>
    </row>
    <row r="4">
      <c r="A4" s="257">
        <v>45108.95169891204</v>
      </c>
      <c r="B4" s="259">
        <v>45122.0</v>
      </c>
      <c r="C4" s="255" t="s">
        <v>4182</v>
      </c>
      <c r="D4" s="255" t="s">
        <v>4182</v>
      </c>
      <c r="E4" s="255" t="s">
        <v>4191</v>
      </c>
      <c r="F4" s="255">
        <v>2.0</v>
      </c>
      <c r="G4" s="255">
        <v>2.0</v>
      </c>
      <c r="H4" s="255">
        <v>2.0</v>
      </c>
      <c r="I4" s="255">
        <v>2.0</v>
      </c>
      <c r="J4" s="255">
        <v>2.0</v>
      </c>
      <c r="K4" s="259">
        <v>45111.0</v>
      </c>
      <c r="L4" s="259">
        <v>45113.0</v>
      </c>
      <c r="M4" s="255">
        <v>2.0</v>
      </c>
      <c r="O4" s="255">
        <v>2.0</v>
      </c>
      <c r="Q4" s="255" t="s">
        <v>2207</v>
      </c>
      <c r="R4" s="255" t="s">
        <v>2207</v>
      </c>
      <c r="S4" s="255" t="s">
        <v>4192</v>
      </c>
      <c r="T4" s="255">
        <v>2.0</v>
      </c>
      <c r="U4" s="255">
        <v>2.0</v>
      </c>
      <c r="V4" s="255">
        <v>2.0</v>
      </c>
      <c r="W4" s="259">
        <v>45120.0</v>
      </c>
      <c r="X4" s="266">
        <v>0.9319444444408873</v>
      </c>
      <c r="Y4" s="259">
        <v>45112.0</v>
      </c>
      <c r="Z4" s="266">
        <v>0.9319444444408873</v>
      </c>
    </row>
    <row r="5">
      <c r="A5" s="257">
        <v>45108.961025254626</v>
      </c>
      <c r="B5" s="259">
        <v>45104.0</v>
      </c>
      <c r="C5" s="255" t="s">
        <v>4182</v>
      </c>
      <c r="D5" s="255" t="s">
        <v>4182</v>
      </c>
      <c r="E5" s="255">
        <v>4.0</v>
      </c>
      <c r="F5" s="255">
        <v>4.0</v>
      </c>
      <c r="G5" s="255">
        <v>4.0</v>
      </c>
      <c r="H5" s="255">
        <v>4.0</v>
      </c>
      <c r="I5" s="255">
        <v>4.0</v>
      </c>
      <c r="J5" s="255">
        <v>4.0</v>
      </c>
      <c r="K5" s="259">
        <v>45119.0</v>
      </c>
      <c r="L5" s="259">
        <v>45121.0</v>
      </c>
      <c r="M5" s="255">
        <v>4.0</v>
      </c>
      <c r="O5" s="255">
        <v>4.0</v>
      </c>
      <c r="Q5" s="255" t="s">
        <v>2207</v>
      </c>
      <c r="R5" s="255" t="s">
        <v>2207</v>
      </c>
      <c r="S5" s="255" t="s">
        <v>4193</v>
      </c>
      <c r="T5" s="255">
        <v>4.0</v>
      </c>
      <c r="U5" s="255">
        <v>4.0</v>
      </c>
      <c r="V5" s="255">
        <v>1.0</v>
      </c>
      <c r="W5" s="259">
        <v>45127.0</v>
      </c>
      <c r="X5" s="266">
        <v>0.9472222222248092</v>
      </c>
      <c r="Y5" s="259">
        <v>45112.0</v>
      </c>
      <c r="Z5" s="266">
        <v>0.9319444444408873</v>
      </c>
    </row>
    <row r="6">
      <c r="A6" s="257">
        <v>45108.96713483796</v>
      </c>
      <c r="B6" s="259">
        <v>45121.0</v>
      </c>
      <c r="C6" s="255" t="s">
        <v>4182</v>
      </c>
      <c r="D6" s="255" t="s">
        <v>4182</v>
      </c>
      <c r="E6" s="255">
        <v>1.0</v>
      </c>
      <c r="F6" s="255">
        <v>1.0</v>
      </c>
      <c r="G6" s="255">
        <v>1.0</v>
      </c>
      <c r="H6" s="255">
        <v>1.0</v>
      </c>
      <c r="J6" s="255">
        <v>1.0</v>
      </c>
      <c r="K6" s="259">
        <v>45113.0</v>
      </c>
      <c r="L6" s="259">
        <v>45129.0</v>
      </c>
      <c r="M6" s="255">
        <v>1.0</v>
      </c>
      <c r="O6" s="255">
        <v>1.0</v>
      </c>
      <c r="Q6" s="255" t="s">
        <v>2207</v>
      </c>
      <c r="R6" s="255" t="s">
        <v>2207</v>
      </c>
      <c r="S6" s="255" t="s">
        <v>4190</v>
      </c>
      <c r="T6" s="255">
        <v>1.0</v>
      </c>
      <c r="U6" s="255">
        <v>1.0</v>
      </c>
      <c r="V6" s="255">
        <v>2.0</v>
      </c>
      <c r="W6" s="259">
        <v>45126.0</v>
      </c>
      <c r="X6" s="266">
        <v>0.46597222222044365</v>
      </c>
      <c r="Y6" s="259">
        <v>45126.0</v>
      </c>
      <c r="Z6" s="266">
        <v>0.46597222222044365</v>
      </c>
    </row>
    <row r="7">
      <c r="A7" s="257">
        <v>45108.97605052083</v>
      </c>
      <c r="B7" s="259">
        <v>45106.0</v>
      </c>
      <c r="C7" s="255" t="s">
        <v>4182</v>
      </c>
      <c r="D7" s="255" t="s">
        <v>4182</v>
      </c>
      <c r="E7" s="255" t="s">
        <v>4194</v>
      </c>
      <c r="F7" s="255" t="s">
        <v>4194</v>
      </c>
      <c r="G7" s="255" t="s">
        <v>4194</v>
      </c>
      <c r="H7" s="255">
        <v>1.0</v>
      </c>
      <c r="J7" s="255">
        <v>1.0</v>
      </c>
      <c r="K7" s="259">
        <v>45105.0</v>
      </c>
      <c r="L7" s="259">
        <v>45119.0</v>
      </c>
      <c r="M7" s="255">
        <v>1.0</v>
      </c>
      <c r="O7" s="255">
        <v>1.0</v>
      </c>
      <c r="Q7" s="255" t="s">
        <v>2207</v>
      </c>
      <c r="R7" s="255" t="s">
        <v>2207</v>
      </c>
      <c r="S7" s="255" t="s">
        <v>4195</v>
      </c>
      <c r="T7" s="255">
        <v>1.0</v>
      </c>
      <c r="U7" s="255">
        <v>1.0</v>
      </c>
      <c r="V7" s="255">
        <v>1.0</v>
      </c>
      <c r="W7" s="259">
        <v>45113.0</v>
      </c>
      <c r="X7" s="266">
        <v>0.46597222222044365</v>
      </c>
      <c r="Y7" s="259">
        <v>45127.0</v>
      </c>
      <c r="Z7" s="266">
        <v>0.46597222222044365</v>
      </c>
    </row>
    <row r="8">
      <c r="A8" s="257">
        <v>45108.97762980324</v>
      </c>
      <c r="B8" s="259">
        <v>45105.0</v>
      </c>
      <c r="C8" s="255" t="s">
        <v>4182</v>
      </c>
      <c r="D8" s="255" t="s">
        <v>4182</v>
      </c>
      <c r="E8" s="255">
        <v>5.0</v>
      </c>
      <c r="F8" s="255">
        <v>5.0</v>
      </c>
      <c r="G8" s="255">
        <v>5.0</v>
      </c>
      <c r="H8" s="255">
        <v>5.0</v>
      </c>
      <c r="J8" s="255">
        <v>5.0</v>
      </c>
      <c r="K8" s="259">
        <v>45105.0</v>
      </c>
      <c r="L8" s="259">
        <v>45119.0</v>
      </c>
      <c r="M8" s="255">
        <v>5.0</v>
      </c>
      <c r="O8" s="255">
        <v>5.0</v>
      </c>
      <c r="Q8" s="255" t="s">
        <v>2207</v>
      </c>
      <c r="R8" s="255" t="s">
        <v>2207</v>
      </c>
      <c r="S8" s="255" t="s">
        <v>4196</v>
      </c>
      <c r="T8" s="255">
        <v>5.0</v>
      </c>
      <c r="U8" s="255">
        <v>5.0</v>
      </c>
      <c r="V8" s="255">
        <v>1.0</v>
      </c>
      <c r="W8" s="259">
        <v>45111.0</v>
      </c>
      <c r="X8" s="266">
        <v>0.9319444444408873</v>
      </c>
      <c r="Y8" s="259">
        <v>45126.0</v>
      </c>
      <c r="Z8" s="266">
        <v>0.9319444444408873</v>
      </c>
    </row>
    <row r="9">
      <c r="A9" s="257">
        <v>45108.98215950231</v>
      </c>
      <c r="B9" s="259">
        <v>45113.0</v>
      </c>
      <c r="C9" s="255" t="s">
        <v>4182</v>
      </c>
      <c r="D9" s="255" t="s">
        <v>4182</v>
      </c>
      <c r="E9" s="255">
        <v>5.0</v>
      </c>
      <c r="F9" s="255">
        <v>5.0</v>
      </c>
      <c r="G9" s="255">
        <v>5.0</v>
      </c>
      <c r="H9" s="255">
        <v>3.0</v>
      </c>
      <c r="J9" s="255">
        <v>4.0</v>
      </c>
      <c r="K9" s="259">
        <v>45105.0</v>
      </c>
      <c r="L9" s="259">
        <v>45120.0</v>
      </c>
      <c r="M9" s="255">
        <v>5.0</v>
      </c>
      <c r="O9" s="255">
        <v>5.0</v>
      </c>
      <c r="Q9" s="255" t="s">
        <v>2207</v>
      </c>
      <c r="R9" s="255" t="s">
        <v>2207</v>
      </c>
      <c r="S9" s="255" t="s">
        <v>4197</v>
      </c>
      <c r="T9" s="255">
        <v>5.0</v>
      </c>
      <c r="U9" s="255">
        <v>5.0</v>
      </c>
      <c r="V9" s="255">
        <v>1.0</v>
      </c>
      <c r="W9" s="259">
        <v>45121.0</v>
      </c>
      <c r="X9" s="266">
        <v>0.9319444444408873</v>
      </c>
      <c r="Y9" s="259">
        <v>45126.0</v>
      </c>
      <c r="Z9" s="266">
        <v>0.9395833333328483</v>
      </c>
    </row>
    <row r="10">
      <c r="A10" s="257">
        <v>45108.98777543982</v>
      </c>
      <c r="B10" s="259">
        <v>45103.0</v>
      </c>
      <c r="C10" s="255" t="s">
        <v>4182</v>
      </c>
      <c r="D10" s="255" t="s">
        <v>4182</v>
      </c>
      <c r="E10" s="255" t="s">
        <v>4198</v>
      </c>
      <c r="F10" s="255" t="s">
        <v>4198</v>
      </c>
      <c r="G10" s="255" t="s">
        <v>4198</v>
      </c>
      <c r="H10" s="255">
        <v>4.0</v>
      </c>
      <c r="J10" s="255" t="s">
        <v>4199</v>
      </c>
      <c r="K10" s="259">
        <v>45112.0</v>
      </c>
      <c r="L10" s="259">
        <v>45125.0</v>
      </c>
      <c r="M10" s="255" t="s">
        <v>4200</v>
      </c>
      <c r="O10" s="255" t="s">
        <v>4200</v>
      </c>
      <c r="Q10" s="255" t="s">
        <v>2207</v>
      </c>
      <c r="R10" s="255" t="s">
        <v>2207</v>
      </c>
      <c r="S10" s="255" t="s">
        <v>4190</v>
      </c>
      <c r="T10" s="255" t="s">
        <v>4200</v>
      </c>
      <c r="U10" s="255" t="s">
        <v>4200</v>
      </c>
      <c r="V10" s="255">
        <v>1.0</v>
      </c>
      <c r="W10" s="259">
        <v>45120.0</v>
      </c>
      <c r="X10" s="266">
        <v>0.9319444444408873</v>
      </c>
      <c r="Y10" s="259">
        <v>45126.0</v>
      </c>
      <c r="Z10" s="266">
        <v>0.9319444444408873</v>
      </c>
    </row>
    <row r="11">
      <c r="A11" s="257">
        <v>45109.008205011574</v>
      </c>
      <c r="B11" s="259">
        <v>45109.0</v>
      </c>
      <c r="C11" s="255" t="s">
        <v>4182</v>
      </c>
      <c r="D11" s="255" t="s">
        <v>4182</v>
      </c>
      <c r="E11" s="255" t="s">
        <v>4185</v>
      </c>
      <c r="F11" s="255" t="s">
        <v>4201</v>
      </c>
      <c r="G11" s="255" t="s">
        <v>4202</v>
      </c>
      <c r="H11" s="260" t="s">
        <v>4188</v>
      </c>
      <c r="I11" s="255">
        <v>253612.0</v>
      </c>
      <c r="J11" s="255">
        <v>7.53841254E8</v>
      </c>
      <c r="K11" s="259">
        <v>32766.0</v>
      </c>
      <c r="L11" s="259">
        <v>45121.0</v>
      </c>
      <c r="M11" s="255">
        <v>3000.0</v>
      </c>
      <c r="O11" s="255" t="s">
        <v>4203</v>
      </c>
      <c r="Q11" s="255" t="s">
        <v>2207</v>
      </c>
      <c r="R11" s="255" t="s">
        <v>2207</v>
      </c>
      <c r="S11" s="255" t="s">
        <v>4204</v>
      </c>
      <c r="T11" s="255">
        <v>140000.0</v>
      </c>
      <c r="U11" s="255">
        <v>34000.0</v>
      </c>
      <c r="V11" s="255">
        <v>2.0</v>
      </c>
      <c r="W11" s="259">
        <v>45109.0</v>
      </c>
      <c r="X11" s="266">
        <v>0.9166666666642413</v>
      </c>
      <c r="Y11" s="259">
        <v>45128.0</v>
      </c>
      <c r="Z11" s="266">
        <v>0.9166666666642413</v>
      </c>
    </row>
    <row r="12">
      <c r="A12" s="257">
        <v>45109.96618175926</v>
      </c>
      <c r="B12" s="259">
        <v>45109.0</v>
      </c>
      <c r="C12" s="255" t="s">
        <v>4182</v>
      </c>
      <c r="D12" s="255" t="s">
        <v>4182</v>
      </c>
      <c r="E12" s="255" t="s">
        <v>4185</v>
      </c>
      <c r="F12" s="255" t="s">
        <v>4205</v>
      </c>
      <c r="G12" s="255" t="s">
        <v>4206</v>
      </c>
      <c r="H12" s="260" t="s">
        <v>4188</v>
      </c>
      <c r="I12" s="255" t="s">
        <v>4207</v>
      </c>
      <c r="J12" s="255">
        <v>7.53841254E8</v>
      </c>
      <c r="K12" s="259">
        <v>32766.0</v>
      </c>
      <c r="L12" s="259">
        <v>46202.0</v>
      </c>
      <c r="M12" s="255" t="s">
        <v>4208</v>
      </c>
      <c r="O12" s="255" t="s">
        <v>4203</v>
      </c>
      <c r="Q12" s="255" t="s">
        <v>2207</v>
      </c>
      <c r="R12" s="255" t="s">
        <v>4209</v>
      </c>
      <c r="S12" s="255" t="s">
        <v>4190</v>
      </c>
      <c r="T12" s="255">
        <v>80000.0</v>
      </c>
      <c r="U12" s="255">
        <v>12400.0</v>
      </c>
      <c r="V12" s="255">
        <v>2.0</v>
      </c>
      <c r="W12" s="259">
        <v>45126.0</v>
      </c>
      <c r="X12" s="266">
        <v>0.41666666666424135</v>
      </c>
      <c r="Y12" s="259">
        <v>45700.0</v>
      </c>
      <c r="Z12" s="266">
        <v>0.45833333333575865</v>
      </c>
    </row>
    <row r="13">
      <c r="A13" s="257">
        <v>45110.47406965277</v>
      </c>
      <c r="B13" s="259">
        <v>45112.0</v>
      </c>
      <c r="C13" s="255" t="s">
        <v>4182</v>
      </c>
      <c r="D13" s="255" t="s">
        <v>4182</v>
      </c>
      <c r="E13" s="255" t="s">
        <v>4210</v>
      </c>
      <c r="F13" s="255" t="s">
        <v>4186</v>
      </c>
      <c r="G13" s="255" t="s">
        <v>4211</v>
      </c>
      <c r="H13" s="260" t="s">
        <v>4188</v>
      </c>
      <c r="I13" s="255" t="s">
        <v>4207</v>
      </c>
      <c r="J13" s="255">
        <v>3.42352455E8</v>
      </c>
      <c r="K13" s="259">
        <v>45127.0</v>
      </c>
      <c r="L13" s="259">
        <v>45136.0</v>
      </c>
      <c r="M13" s="255">
        <v>5000.0</v>
      </c>
      <c r="O13" s="255">
        <v>3000.0</v>
      </c>
      <c r="P13" s="255">
        <v>3000.0</v>
      </c>
      <c r="Q13" s="255" t="s">
        <v>2207</v>
      </c>
      <c r="R13" s="255" t="s">
        <v>2207</v>
      </c>
      <c r="S13" s="255" t="s">
        <v>52</v>
      </c>
      <c r="T13" s="255">
        <v>30000.0</v>
      </c>
      <c r="U13" s="255">
        <v>30000.0</v>
      </c>
      <c r="V13" s="255">
        <v>2.0</v>
      </c>
      <c r="W13" s="259">
        <v>45129.0</v>
      </c>
      <c r="X13" s="266">
        <v>0.8333333333357587</v>
      </c>
      <c r="Y13" s="259">
        <v>45136.0</v>
      </c>
      <c r="Z13" s="266">
        <v>0.8333333333357587</v>
      </c>
      <c r="AA13" s="255" t="s">
        <v>4212</v>
      </c>
      <c r="AB13" s="256"/>
      <c r="AC13" s="256"/>
      <c r="AD13" s="256"/>
      <c r="AE13" s="256"/>
      <c r="AF13" s="256"/>
      <c r="AG13" s="256"/>
      <c r="AH13" s="256"/>
      <c r="AI13" s="256"/>
      <c r="AJ13" s="256"/>
    </row>
    <row r="14">
      <c r="A14" s="257">
        <v>45110.577762870365</v>
      </c>
      <c r="B14" s="259">
        <v>45107.0</v>
      </c>
      <c r="C14" s="255" t="s">
        <v>4182</v>
      </c>
      <c r="D14" s="255" t="s">
        <v>4182</v>
      </c>
      <c r="E14" s="255">
        <v>33.0</v>
      </c>
      <c r="F14" s="255">
        <v>33.0</v>
      </c>
      <c r="G14" s="255">
        <v>33.0</v>
      </c>
      <c r="H14" s="255">
        <v>33.0</v>
      </c>
      <c r="I14" s="255">
        <v>33.0</v>
      </c>
      <c r="J14" s="255">
        <v>33.0</v>
      </c>
      <c r="K14" s="259">
        <v>45350.0</v>
      </c>
      <c r="L14" s="259">
        <v>45121.0</v>
      </c>
      <c r="M14" s="255">
        <v>2.0</v>
      </c>
      <c r="N14" s="255">
        <v>2.0</v>
      </c>
      <c r="O14" s="255">
        <v>3.0</v>
      </c>
      <c r="P14" s="255">
        <v>3.0</v>
      </c>
      <c r="Q14" s="255" t="s">
        <v>2207</v>
      </c>
      <c r="R14" s="255" t="s">
        <v>2207</v>
      </c>
      <c r="S14" s="255" t="s">
        <v>88</v>
      </c>
      <c r="T14" s="255">
        <v>4.0</v>
      </c>
      <c r="U14" s="255">
        <v>3.0</v>
      </c>
      <c r="V14" s="255">
        <v>2.0</v>
      </c>
      <c r="W14" s="259">
        <v>45127.0</v>
      </c>
      <c r="X14" s="266">
        <v>0.9319444444408873</v>
      </c>
      <c r="Y14" s="259">
        <v>45141.0</v>
      </c>
      <c r="Z14" s="266">
        <v>0.9319444444408873</v>
      </c>
      <c r="AA14" s="255">
        <v>33.0</v>
      </c>
      <c r="AB14" s="256"/>
      <c r="AC14" s="256"/>
      <c r="AD14" s="256"/>
      <c r="AE14" s="256"/>
      <c r="AF14" s="256"/>
      <c r="AG14" s="256"/>
      <c r="AH14" s="256"/>
      <c r="AI14" s="256"/>
      <c r="AJ14" s="256"/>
    </row>
    <row r="15">
      <c r="A15" s="257">
        <v>45110.69776422453</v>
      </c>
      <c r="B15" s="259">
        <v>45129.0</v>
      </c>
      <c r="C15" s="255" t="s">
        <v>4182</v>
      </c>
      <c r="D15" s="255" t="s">
        <v>4182</v>
      </c>
      <c r="E15" s="255" t="s">
        <v>4213</v>
      </c>
      <c r="F15" s="255" t="s">
        <v>4214</v>
      </c>
      <c r="G15" s="255" t="s">
        <v>4215</v>
      </c>
      <c r="H15" s="260" t="s">
        <v>4188</v>
      </c>
      <c r="I15" s="255" t="s">
        <v>4207</v>
      </c>
      <c r="J15" s="255">
        <v>7.53841254E8</v>
      </c>
      <c r="K15" s="259">
        <v>45121.0</v>
      </c>
      <c r="L15" s="259">
        <v>45120.0</v>
      </c>
      <c r="M15" s="255">
        <v>4000.0</v>
      </c>
      <c r="N15" s="255">
        <v>300.0</v>
      </c>
      <c r="O15" s="255">
        <v>3000.0</v>
      </c>
      <c r="P15" s="255">
        <v>4000.0</v>
      </c>
      <c r="Q15" s="255" t="s">
        <v>2207</v>
      </c>
      <c r="R15" s="255" t="s">
        <v>2207</v>
      </c>
      <c r="S15" s="255" t="s">
        <v>60</v>
      </c>
      <c r="T15" s="255">
        <v>40000.0</v>
      </c>
      <c r="U15" s="255">
        <v>30000.0</v>
      </c>
      <c r="V15" s="255">
        <v>3.0</v>
      </c>
      <c r="W15" s="259">
        <v>45126.0</v>
      </c>
      <c r="X15" s="266">
        <v>0.9395833333328483</v>
      </c>
      <c r="Y15" s="259">
        <v>45127.0</v>
      </c>
      <c r="Z15" s="266">
        <v>0.46597222222044365</v>
      </c>
      <c r="AA15" s="255" t="s">
        <v>4216</v>
      </c>
      <c r="AB15" s="256"/>
      <c r="AC15" s="256"/>
      <c r="AD15" s="256"/>
      <c r="AE15" s="256"/>
      <c r="AF15" s="256"/>
      <c r="AG15" s="256"/>
      <c r="AH15" s="256"/>
      <c r="AI15" s="256"/>
      <c r="AJ15" s="256"/>
    </row>
    <row r="16">
      <c r="A16" s="257">
        <v>45110.796468506946</v>
      </c>
      <c r="B16" s="259">
        <v>45106.0</v>
      </c>
      <c r="C16" s="255" t="s">
        <v>4182</v>
      </c>
      <c r="D16" s="255" t="s">
        <v>4182</v>
      </c>
      <c r="E16" s="255" t="s">
        <v>4185</v>
      </c>
      <c r="F16" s="255" t="s">
        <v>4217</v>
      </c>
      <c r="G16" s="255" t="s">
        <v>4218</v>
      </c>
      <c r="H16" s="260" t="s">
        <v>4188</v>
      </c>
      <c r="I16" s="255" t="s">
        <v>4207</v>
      </c>
      <c r="J16" s="255">
        <v>7.53841254E8</v>
      </c>
      <c r="K16" s="259">
        <v>45126.0</v>
      </c>
      <c r="L16" s="259">
        <v>45133.0</v>
      </c>
      <c r="M16" s="255">
        <v>3000.0</v>
      </c>
      <c r="N16" s="255">
        <v>3000.0</v>
      </c>
      <c r="P16" s="255">
        <v>3000.0</v>
      </c>
      <c r="Q16" s="255" t="s">
        <v>2207</v>
      </c>
      <c r="R16" s="255" t="s">
        <v>2207</v>
      </c>
      <c r="S16" s="255" t="s">
        <v>52</v>
      </c>
      <c r="T16" s="255">
        <v>100000.0</v>
      </c>
      <c r="U16" s="255">
        <v>100000.0</v>
      </c>
      <c r="V16" s="255">
        <v>2.0</v>
      </c>
      <c r="W16" s="259">
        <v>45126.0</v>
      </c>
      <c r="X16" s="266">
        <v>0.9319444444408873</v>
      </c>
      <c r="Y16" s="259">
        <v>45128.0</v>
      </c>
      <c r="Z16" s="266">
        <v>0.9166666666642413</v>
      </c>
      <c r="AA16" s="255" t="s">
        <v>4219</v>
      </c>
      <c r="AB16" s="256"/>
      <c r="AC16" s="256"/>
      <c r="AD16" s="256"/>
      <c r="AE16" s="256"/>
      <c r="AF16" s="256"/>
      <c r="AG16" s="256"/>
      <c r="AH16" s="256"/>
      <c r="AI16" s="256"/>
      <c r="AJ16" s="256"/>
    </row>
    <row r="17">
      <c r="A17" s="257">
        <v>45110.98676988426</v>
      </c>
      <c r="B17" s="259">
        <v>45112.0</v>
      </c>
      <c r="C17" s="255" t="s">
        <v>4182</v>
      </c>
      <c r="D17" s="255" t="s">
        <v>4182</v>
      </c>
      <c r="E17" s="255" t="s">
        <v>4220</v>
      </c>
      <c r="F17" s="255" t="s">
        <v>4220</v>
      </c>
      <c r="G17" s="255" t="s">
        <v>4220</v>
      </c>
      <c r="H17" s="255">
        <v>2.0</v>
      </c>
      <c r="I17" s="255">
        <v>2.0</v>
      </c>
      <c r="J17" s="255">
        <v>2.0</v>
      </c>
      <c r="K17" s="259">
        <v>45120.0</v>
      </c>
      <c r="L17" s="259">
        <v>45134.0</v>
      </c>
      <c r="M17" s="255">
        <v>2.0</v>
      </c>
      <c r="P17" s="255">
        <v>2.0</v>
      </c>
      <c r="Q17" s="255" t="s">
        <v>2207</v>
      </c>
      <c r="R17" s="255" t="s">
        <v>2207</v>
      </c>
      <c r="S17" s="255" t="s">
        <v>68</v>
      </c>
      <c r="T17" s="255">
        <v>2.0</v>
      </c>
      <c r="U17" s="255">
        <v>2.0</v>
      </c>
      <c r="V17" s="255">
        <v>2.0</v>
      </c>
      <c r="W17" s="259">
        <v>45112.0</v>
      </c>
      <c r="X17" s="266">
        <v>0.9319444444408873</v>
      </c>
      <c r="Y17" s="259">
        <v>45121.0</v>
      </c>
      <c r="Z17" s="266">
        <v>0.9319444444408873</v>
      </c>
      <c r="AA17" s="255">
        <v>222.0</v>
      </c>
      <c r="AB17" s="256"/>
      <c r="AC17" s="256"/>
      <c r="AD17" s="256"/>
      <c r="AE17" s="256"/>
      <c r="AF17" s="256"/>
      <c r="AG17" s="256"/>
      <c r="AH17" s="256"/>
      <c r="AI17" s="256"/>
    </row>
    <row r="18">
      <c r="A18" s="257">
        <v>45111.001762025466</v>
      </c>
      <c r="B18" s="259">
        <v>45112.0</v>
      </c>
      <c r="C18" s="255" t="s">
        <v>4182</v>
      </c>
      <c r="D18" s="255" t="s">
        <v>4182</v>
      </c>
      <c r="E18" s="255">
        <v>4.0</v>
      </c>
      <c r="F18" s="255">
        <v>4.0</v>
      </c>
      <c r="G18" s="255">
        <v>4.0</v>
      </c>
      <c r="H18" s="255">
        <v>4.0</v>
      </c>
      <c r="I18" s="255">
        <v>4.0</v>
      </c>
      <c r="J18" s="255">
        <v>4.0</v>
      </c>
      <c r="K18" s="259">
        <v>45111.0</v>
      </c>
      <c r="L18" s="259">
        <v>45129.0</v>
      </c>
      <c r="M18" s="255">
        <v>4.0</v>
      </c>
      <c r="P18" s="255">
        <v>4.0</v>
      </c>
      <c r="Q18" s="255" t="s">
        <v>2207</v>
      </c>
      <c r="R18" s="255" t="s">
        <v>2207</v>
      </c>
      <c r="S18" s="255" t="s">
        <v>88</v>
      </c>
      <c r="T18" s="255">
        <v>4.0</v>
      </c>
      <c r="U18" s="255">
        <v>4.0</v>
      </c>
      <c r="V18" s="255">
        <v>2.0</v>
      </c>
      <c r="W18" s="259">
        <v>45127.0</v>
      </c>
      <c r="X18" s="266">
        <v>0.9319444444408873</v>
      </c>
      <c r="Y18" s="259">
        <v>45121.0</v>
      </c>
      <c r="Z18" s="266">
        <v>0.9395833333328483</v>
      </c>
      <c r="AA18" s="255">
        <v>33.0</v>
      </c>
      <c r="AB18" s="256"/>
      <c r="AC18" s="256"/>
      <c r="AD18" s="256"/>
      <c r="AE18" s="256"/>
      <c r="AF18" s="256"/>
      <c r="AG18" s="256"/>
      <c r="AH18" s="256"/>
      <c r="AI18" s="256"/>
      <c r="AJ18" s="255">
        <v>2.0</v>
      </c>
    </row>
    <row r="19">
      <c r="A19" s="257">
        <v>45111.01102466435</v>
      </c>
      <c r="B19" s="259">
        <v>45120.0</v>
      </c>
      <c r="C19" s="255" t="s">
        <v>4182</v>
      </c>
      <c r="D19" s="255" t="s">
        <v>4182</v>
      </c>
      <c r="E19" s="255" t="s">
        <v>4221</v>
      </c>
      <c r="F19" s="255" t="s">
        <v>4221</v>
      </c>
      <c r="G19" s="255" t="s">
        <v>4221</v>
      </c>
      <c r="H19" s="255" t="s">
        <v>4221</v>
      </c>
      <c r="I19" s="255" t="s">
        <v>4221</v>
      </c>
      <c r="J19" s="255" t="s">
        <v>4221</v>
      </c>
      <c r="K19" s="259">
        <v>45113.0</v>
      </c>
      <c r="L19" s="259">
        <v>45115.0</v>
      </c>
      <c r="M19" s="255" t="s">
        <v>4221</v>
      </c>
      <c r="P19" s="255" t="s">
        <v>4221</v>
      </c>
      <c r="Q19" s="255" t="s">
        <v>2207</v>
      </c>
      <c r="R19" s="255" t="s">
        <v>2207</v>
      </c>
      <c r="S19" s="255" t="s">
        <v>52</v>
      </c>
      <c r="T19" s="255" t="s">
        <v>4221</v>
      </c>
      <c r="U19" s="255" t="s">
        <v>4221</v>
      </c>
      <c r="V19" s="255">
        <v>2.0</v>
      </c>
      <c r="W19" s="259">
        <v>45120.0</v>
      </c>
      <c r="X19" s="266">
        <v>0.9319444444408873</v>
      </c>
      <c r="Y19" s="259">
        <v>45129.0</v>
      </c>
      <c r="Z19" s="266">
        <v>0.9319444444408873</v>
      </c>
      <c r="AA19" s="255" t="s">
        <v>4221</v>
      </c>
      <c r="AB19" s="255">
        <v>6.0</v>
      </c>
    </row>
    <row r="20">
      <c r="A20" s="257">
        <v>45111.03216405092</v>
      </c>
      <c r="B20" s="259">
        <v>45111.0</v>
      </c>
      <c r="C20" s="255" t="s">
        <v>4182</v>
      </c>
      <c r="D20" s="255" t="s">
        <v>4182</v>
      </c>
      <c r="E20" s="255" t="s">
        <v>4222</v>
      </c>
      <c r="F20" s="255" t="s">
        <v>4223</v>
      </c>
      <c r="G20" s="255" t="s">
        <v>4224</v>
      </c>
      <c r="H20" s="255">
        <v>7.777777777E9</v>
      </c>
      <c r="I20" s="255">
        <v>8.88888888E8</v>
      </c>
      <c r="J20" s="255">
        <v>8.8888888888E10</v>
      </c>
      <c r="K20" s="259">
        <v>45110.0</v>
      </c>
      <c r="L20" s="259">
        <v>45129.0</v>
      </c>
      <c r="M20" s="255">
        <v>6000.0</v>
      </c>
      <c r="P20" s="255">
        <v>500.0</v>
      </c>
      <c r="Q20" s="255" t="s">
        <v>2207</v>
      </c>
      <c r="R20" s="255" t="s">
        <v>2207</v>
      </c>
      <c r="S20" s="255" t="s">
        <v>142</v>
      </c>
      <c r="T20" s="255">
        <v>300000.0</v>
      </c>
      <c r="U20" s="255">
        <v>30000.0</v>
      </c>
      <c r="V20" s="255">
        <v>2.0</v>
      </c>
      <c r="W20" s="259">
        <v>45111.0</v>
      </c>
      <c r="X20" s="266">
        <v>0.9319444444408873</v>
      </c>
      <c r="Y20" s="259">
        <v>45112.0</v>
      </c>
      <c r="Z20" s="266">
        <v>0.9319444444408873</v>
      </c>
      <c r="AA20" s="255" t="s">
        <v>4225</v>
      </c>
      <c r="AB20" s="255">
        <v>500.0</v>
      </c>
    </row>
    <row r="21">
      <c r="A21" s="257">
        <v>45111.033758958336</v>
      </c>
      <c r="B21" s="259">
        <v>45128.0</v>
      </c>
      <c r="C21" s="255" t="s">
        <v>4182</v>
      </c>
      <c r="D21" s="255" t="s">
        <v>4182</v>
      </c>
      <c r="E21" s="255">
        <v>5356.0</v>
      </c>
      <c r="F21" s="255">
        <v>356.0</v>
      </c>
      <c r="G21" s="255">
        <v>34563.0</v>
      </c>
      <c r="H21" s="255">
        <v>356.0</v>
      </c>
      <c r="I21" s="255">
        <v>3456.0</v>
      </c>
      <c r="J21" s="255">
        <v>345634.0</v>
      </c>
      <c r="K21" s="259">
        <v>45113.0</v>
      </c>
      <c r="L21" s="259">
        <v>45114.0</v>
      </c>
      <c r="M21" s="255">
        <v>345653.0</v>
      </c>
      <c r="P21" s="255">
        <v>35463.0</v>
      </c>
      <c r="Q21" s="255" t="s">
        <v>2207</v>
      </c>
      <c r="R21" s="255" t="s">
        <v>2207</v>
      </c>
      <c r="S21" s="255" t="s">
        <v>88</v>
      </c>
      <c r="T21" s="255">
        <v>345634.0</v>
      </c>
      <c r="U21" s="255">
        <v>345634.0</v>
      </c>
      <c r="V21" s="255">
        <v>2.0</v>
      </c>
      <c r="W21" s="259">
        <v>45120.0</v>
      </c>
      <c r="X21" s="266">
        <v>0.9472222222248092</v>
      </c>
      <c r="Y21" s="259">
        <v>45128.0</v>
      </c>
      <c r="Z21" s="266">
        <v>0.9395833333328483</v>
      </c>
      <c r="AA21" s="255">
        <v>6666.0</v>
      </c>
      <c r="AC21" s="255">
        <v>34563.0</v>
      </c>
      <c r="AD21" s="256"/>
      <c r="AE21" s="256"/>
      <c r="AF21" s="256"/>
      <c r="AG21" s="256"/>
      <c r="AH21" s="256"/>
      <c r="AI21" s="256"/>
    </row>
    <row r="22">
      <c r="A22" s="257">
        <v>45115.59441164352</v>
      </c>
      <c r="B22" s="259">
        <v>45120.0</v>
      </c>
      <c r="L22" s="259">
        <v>45121.0</v>
      </c>
      <c r="M22" s="255">
        <v>4.0</v>
      </c>
      <c r="Q22" s="255" t="s">
        <v>2207</v>
      </c>
      <c r="R22" s="255" t="s">
        <v>2207</v>
      </c>
      <c r="S22" s="255" t="s">
        <v>88</v>
      </c>
      <c r="T22" s="255">
        <v>44.0</v>
      </c>
      <c r="W22" s="259" t="s">
        <v>4226</v>
      </c>
      <c r="X22" s="266">
        <v>0.086111111115315</v>
      </c>
      <c r="Y22" s="259">
        <v>45105.0</v>
      </c>
      <c r="Z22" s="266">
        <v>0.9319444444408873</v>
      </c>
      <c r="AA22" s="255">
        <v>22.0</v>
      </c>
      <c r="AD22" s="258" t="s">
        <v>4227</v>
      </c>
      <c r="AE22" s="256"/>
      <c r="AF22" s="256"/>
      <c r="AG22" s="256"/>
      <c r="AH22" s="256"/>
    </row>
    <row r="23">
      <c r="A23" s="257">
        <v>45115.60008643518</v>
      </c>
      <c r="AD23" s="258" t="s">
        <v>4228</v>
      </c>
      <c r="AE23" s="256"/>
      <c r="AF23" s="256"/>
      <c r="AG23" s="256"/>
      <c r="AH23" s="256"/>
    </row>
    <row r="24">
      <c r="A24" s="257">
        <v>45115.60143072916</v>
      </c>
      <c r="AD24" s="258" t="s">
        <v>4229</v>
      </c>
      <c r="AE24" s="256"/>
      <c r="AF24" s="256"/>
      <c r="AG24" s="256"/>
      <c r="AH24" s="256"/>
    </row>
    <row r="25">
      <c r="A25" s="257">
        <v>45115.60298678241</v>
      </c>
      <c r="AD25" s="258" t="s">
        <v>4230</v>
      </c>
      <c r="AE25" s="256"/>
      <c r="AF25" s="256"/>
      <c r="AG25" s="256"/>
      <c r="AH25" s="256"/>
    </row>
    <row r="26">
      <c r="A26" s="257">
        <v>45115.60777644676</v>
      </c>
      <c r="AD26" s="258" t="s">
        <v>4231</v>
      </c>
      <c r="AE26" s="256"/>
      <c r="AF26" s="256"/>
      <c r="AG26" s="256"/>
      <c r="AH26" s="256"/>
    </row>
    <row r="27">
      <c r="A27" s="257">
        <v>45115.631701122686</v>
      </c>
      <c r="AD27" s="258" t="s">
        <v>4232</v>
      </c>
      <c r="AE27" s="256"/>
      <c r="AF27" s="256"/>
      <c r="AG27" s="256"/>
      <c r="AH27" s="256"/>
    </row>
    <row r="28">
      <c r="A28" s="257">
        <v>45115.76073583333</v>
      </c>
      <c r="C28" s="255" t="s">
        <v>4182</v>
      </c>
      <c r="D28" s="255" t="s">
        <v>4182</v>
      </c>
      <c r="Q28" s="255" t="s">
        <v>2207</v>
      </c>
    </row>
    <row r="29">
      <c r="A29" s="257">
        <v>45115.76158792824</v>
      </c>
      <c r="C29" s="255" t="s">
        <v>4182</v>
      </c>
      <c r="D29" s="255" t="s">
        <v>4182</v>
      </c>
      <c r="E29" s="255" t="s">
        <v>4233</v>
      </c>
    </row>
    <row r="30">
      <c r="A30" s="257">
        <v>45115.76511606482</v>
      </c>
      <c r="C30" s="255" t="s">
        <v>4182</v>
      </c>
      <c r="D30" s="255" t="s">
        <v>4182</v>
      </c>
      <c r="E30" s="255" t="s">
        <v>4234</v>
      </c>
      <c r="S30" s="255" t="s">
        <v>132</v>
      </c>
    </row>
    <row r="31">
      <c r="A31" s="257">
        <v>45115.76776982639</v>
      </c>
      <c r="C31" s="255" t="s">
        <v>4182</v>
      </c>
      <c r="D31" s="255" t="s">
        <v>4182</v>
      </c>
      <c r="E31" s="255" t="s">
        <v>4216</v>
      </c>
      <c r="Q31" s="255" t="s">
        <v>2207</v>
      </c>
      <c r="R31" s="255" t="s">
        <v>2207</v>
      </c>
      <c r="S31" s="255" t="s">
        <v>102</v>
      </c>
    </row>
    <row r="32">
      <c r="A32" s="257">
        <v>45115.77756528935</v>
      </c>
      <c r="C32" s="255" t="s">
        <v>4182</v>
      </c>
      <c r="E32" s="255">
        <v>6546.0</v>
      </c>
      <c r="R32" s="255" t="s">
        <v>2207</v>
      </c>
      <c r="S32" s="255" t="s">
        <v>102</v>
      </c>
    </row>
    <row r="33">
      <c r="A33" s="257">
        <v>45115.79528627315</v>
      </c>
      <c r="C33" s="255" t="s">
        <v>4182</v>
      </c>
      <c r="D33" s="255" t="s">
        <v>4182</v>
      </c>
      <c r="E33" s="255">
        <v>5464.0</v>
      </c>
      <c r="S33" s="255" t="s">
        <v>88</v>
      </c>
    </row>
    <row r="34">
      <c r="A34" s="257">
        <v>45115.79826273148</v>
      </c>
      <c r="AD34" s="258" t="s">
        <v>4235</v>
      </c>
      <c r="AE34" s="256"/>
      <c r="AF34" s="256"/>
      <c r="AG34" s="256"/>
      <c r="AH34" s="256"/>
    </row>
    <row r="35">
      <c r="A35" s="257">
        <v>45115.82169226852</v>
      </c>
      <c r="P35" s="255">
        <v>5000.0</v>
      </c>
      <c r="AD35" s="258" t="s">
        <v>4236</v>
      </c>
      <c r="AE35" s="256"/>
      <c r="AF35" s="256"/>
      <c r="AG35" s="256"/>
      <c r="AH35" s="256"/>
    </row>
    <row r="36">
      <c r="A36" s="257">
        <v>45115.83059537037</v>
      </c>
      <c r="AD36" s="258" t="s">
        <v>4237</v>
      </c>
      <c r="AE36" s="256"/>
      <c r="AF36" s="256"/>
      <c r="AG36" s="256"/>
      <c r="AH36" s="256"/>
    </row>
    <row r="37">
      <c r="A37" s="257">
        <v>45115.836376770836</v>
      </c>
      <c r="AD37" s="258" t="s">
        <v>4238</v>
      </c>
      <c r="AE37" s="256"/>
      <c r="AF37" s="256"/>
      <c r="AG37" s="256"/>
      <c r="AH37" s="256"/>
    </row>
    <row r="38">
      <c r="A38" s="257">
        <v>45115.86254990741</v>
      </c>
      <c r="F38" s="255" t="s">
        <v>4239</v>
      </c>
      <c r="G38" s="255" t="s">
        <v>4240</v>
      </c>
      <c r="AD38" s="258" t="s">
        <v>4241</v>
      </c>
      <c r="AE38" s="256"/>
      <c r="AF38" s="256"/>
      <c r="AG38" s="256"/>
      <c r="AH38" s="256"/>
    </row>
    <row r="39">
      <c r="A39" s="257">
        <v>45115.93888180556</v>
      </c>
      <c r="B39" s="259">
        <v>45115.0</v>
      </c>
      <c r="F39" s="255" t="s">
        <v>4242</v>
      </c>
      <c r="G39" s="255">
        <v>1.0</v>
      </c>
      <c r="H39" s="255">
        <v>2423.0</v>
      </c>
      <c r="I39" s="255">
        <v>23423.0</v>
      </c>
      <c r="M39" s="255">
        <v>23423.0</v>
      </c>
      <c r="P39" s="255">
        <v>234234.0</v>
      </c>
      <c r="Q39" s="255" t="s">
        <v>2207</v>
      </c>
      <c r="R39" s="255" t="s">
        <v>2207</v>
      </c>
      <c r="S39" s="255" t="s">
        <v>56</v>
      </c>
      <c r="T39" s="255">
        <v>23423.0</v>
      </c>
      <c r="U39" s="255">
        <v>324234.0</v>
      </c>
      <c r="V39" s="255">
        <v>3.0</v>
      </c>
      <c r="W39" s="259">
        <v>45135.0</v>
      </c>
      <c r="X39" s="266">
        <v>0.9319444444408873</v>
      </c>
      <c r="Y39" s="259">
        <v>45130.0</v>
      </c>
      <c r="Z39" s="266">
        <v>0.9319444444408873</v>
      </c>
      <c r="AA39" s="255">
        <v>324234.0</v>
      </c>
      <c r="AB39" s="255">
        <v>23423.0</v>
      </c>
      <c r="AD39" s="258" t="s">
        <v>4243</v>
      </c>
      <c r="AE39" s="256"/>
      <c r="AF39" s="256"/>
      <c r="AG39" s="256"/>
      <c r="AH39" s="256"/>
    </row>
    <row r="40">
      <c r="A40" s="257">
        <v>45115.9560188426</v>
      </c>
      <c r="AD40" s="258" t="s">
        <v>4244</v>
      </c>
      <c r="AE40" s="256"/>
      <c r="AF40" s="256"/>
      <c r="AG40" s="256"/>
      <c r="AH40" s="256"/>
    </row>
    <row r="41">
      <c r="A41" s="257">
        <v>45115.96298028935</v>
      </c>
      <c r="AD41" s="258" t="s">
        <v>4245</v>
      </c>
      <c r="AE41" s="256"/>
      <c r="AF41" s="256"/>
      <c r="AG41" s="256"/>
      <c r="AH41" s="256"/>
    </row>
    <row r="42">
      <c r="A42" s="257">
        <v>45115.970628587966</v>
      </c>
      <c r="AD42" s="258" t="s">
        <v>4246</v>
      </c>
      <c r="AE42" s="256"/>
      <c r="AF42" s="256"/>
      <c r="AG42" s="256"/>
      <c r="AH42" s="256"/>
    </row>
    <row r="43">
      <c r="A43" s="257">
        <v>45115.98102048611</v>
      </c>
      <c r="AD43" s="258" t="s">
        <v>4247</v>
      </c>
      <c r="AE43" s="256"/>
      <c r="AF43" s="256"/>
      <c r="AG43" s="256"/>
      <c r="AH43" s="256"/>
    </row>
    <row r="44">
      <c r="A44" s="257">
        <v>45115.98441092593</v>
      </c>
      <c r="AD44" s="258" t="s">
        <v>4248</v>
      </c>
      <c r="AE44" s="256"/>
      <c r="AF44" s="256"/>
      <c r="AG44" s="256"/>
      <c r="AH44" s="256"/>
    </row>
    <row r="45">
      <c r="A45" s="257">
        <v>45115.98734951389</v>
      </c>
      <c r="AD45" s="258" t="s">
        <v>4249</v>
      </c>
      <c r="AE45" s="256"/>
      <c r="AF45" s="256"/>
      <c r="AG45" s="256"/>
      <c r="AH45" s="256"/>
    </row>
    <row r="46">
      <c r="A46" s="257">
        <v>45116.04680150463</v>
      </c>
      <c r="AD46" s="258" t="s">
        <v>4250</v>
      </c>
      <c r="AE46" s="256"/>
      <c r="AF46" s="256"/>
      <c r="AG46" s="256"/>
      <c r="AH46" s="256"/>
    </row>
    <row r="47">
      <c r="A47" s="257">
        <v>45116.07888025463</v>
      </c>
      <c r="AD47" s="258" t="s">
        <v>4251</v>
      </c>
      <c r="AE47" s="256"/>
      <c r="AF47" s="256"/>
      <c r="AG47" s="256"/>
      <c r="AH47" s="256"/>
    </row>
    <row r="48">
      <c r="A48" s="257">
        <v>45116.62818745371</v>
      </c>
      <c r="B48" s="259">
        <v>45134.0</v>
      </c>
      <c r="C48" s="255" t="s">
        <v>4182</v>
      </c>
      <c r="D48" s="255" t="s">
        <v>4182</v>
      </c>
      <c r="E48" s="255" t="s">
        <v>4252</v>
      </c>
      <c r="F48" s="255">
        <v>34534.0</v>
      </c>
      <c r="G48" s="255">
        <v>3453.0</v>
      </c>
      <c r="H48" s="255">
        <v>34534.0</v>
      </c>
      <c r="I48" s="255">
        <v>345.0</v>
      </c>
      <c r="J48" s="255">
        <v>34636.0</v>
      </c>
      <c r="K48" s="259">
        <v>45119.0</v>
      </c>
      <c r="L48" s="259">
        <v>45135.0</v>
      </c>
      <c r="M48" s="255">
        <v>34534.0</v>
      </c>
      <c r="P48" s="255">
        <v>23423.0</v>
      </c>
      <c r="Q48" s="255" t="s">
        <v>2207</v>
      </c>
      <c r="R48" s="255" t="s">
        <v>2207</v>
      </c>
      <c r="S48" s="255" t="s">
        <v>88</v>
      </c>
      <c r="T48" s="255">
        <v>23423.0</v>
      </c>
      <c r="U48" s="255">
        <v>234.0</v>
      </c>
      <c r="V48" s="255">
        <v>2.0</v>
      </c>
      <c r="W48" s="259">
        <v>45120.0</v>
      </c>
      <c r="X48" s="266">
        <v>0.9319444444408873</v>
      </c>
      <c r="Y48" s="259">
        <v>45118.0</v>
      </c>
      <c r="Z48" s="266">
        <v>0.9319444444408873</v>
      </c>
      <c r="AA48" s="255">
        <v>2.3123124E7</v>
      </c>
      <c r="AB48" s="255">
        <v>34534.0</v>
      </c>
    </row>
    <row r="49">
      <c r="A49" s="257">
        <v>45116.65294922453</v>
      </c>
      <c r="B49" s="259">
        <v>45103.0</v>
      </c>
      <c r="C49" s="255" t="s">
        <v>4182</v>
      </c>
      <c r="D49" s="255" t="s">
        <v>4182</v>
      </c>
      <c r="E49" s="255" t="s">
        <v>4253</v>
      </c>
      <c r="J49" s="255">
        <v>342.0</v>
      </c>
      <c r="M49" s="255">
        <v>234.0</v>
      </c>
    </row>
    <row r="50">
      <c r="A50" s="257">
        <v>45116.65696232639</v>
      </c>
      <c r="C50" s="255" t="s">
        <v>4182</v>
      </c>
      <c r="D50" s="255" t="s">
        <v>4182</v>
      </c>
      <c r="F50" s="255">
        <v>2345345.0</v>
      </c>
      <c r="I50" s="255">
        <v>345345.0</v>
      </c>
      <c r="J50" s="255">
        <v>346532.0</v>
      </c>
      <c r="R50" s="255" t="s">
        <v>2207</v>
      </c>
    </row>
    <row r="51">
      <c r="A51" s="257">
        <v>45116.66065482639</v>
      </c>
      <c r="D51" s="255" t="s">
        <v>4182</v>
      </c>
      <c r="E51" s="255" t="s">
        <v>4254</v>
      </c>
      <c r="J51" s="255" t="s">
        <v>4255</v>
      </c>
      <c r="P51" s="255">
        <v>456456.0</v>
      </c>
      <c r="Q51" s="255" t="s">
        <v>2207</v>
      </c>
      <c r="R51" s="255" t="s">
        <v>2207</v>
      </c>
      <c r="AC51" s="255">
        <v>56546.0</v>
      </c>
    </row>
    <row r="52">
      <c r="A52" s="257">
        <v>45116.66269599537</v>
      </c>
      <c r="B52" s="259">
        <v>45128.0</v>
      </c>
      <c r="C52" s="255" t="s">
        <v>4182</v>
      </c>
      <c r="E52" s="255">
        <v>45646.0</v>
      </c>
      <c r="H52" s="255">
        <v>4564.0</v>
      </c>
      <c r="K52" s="259">
        <v>45112.0</v>
      </c>
      <c r="M52" s="255">
        <v>45645.0</v>
      </c>
      <c r="P52" s="255">
        <v>456.0</v>
      </c>
      <c r="Q52" s="255" t="s">
        <v>2207</v>
      </c>
      <c r="AC52" s="255">
        <v>4564.0</v>
      </c>
    </row>
    <row r="53">
      <c r="A53" s="257">
        <v>45116.66396475694</v>
      </c>
      <c r="M53" s="255">
        <v>5000.0</v>
      </c>
      <c r="AD53" s="258" t="s">
        <v>4256</v>
      </c>
      <c r="AE53" s="256"/>
      <c r="AF53" s="256"/>
      <c r="AG53" s="256"/>
      <c r="AH53" s="256"/>
    </row>
    <row r="54">
      <c r="A54" s="257">
        <v>45116.66607508102</v>
      </c>
      <c r="M54" s="255">
        <v>5000.0</v>
      </c>
      <c r="AD54" s="258" t="s">
        <v>4257</v>
      </c>
      <c r="AE54" s="256"/>
      <c r="AF54" s="256"/>
      <c r="AG54" s="256"/>
      <c r="AH54" s="256"/>
    </row>
    <row r="55">
      <c r="A55" s="257">
        <v>45116.67298894676</v>
      </c>
      <c r="AD55" s="258" t="s">
        <v>4258</v>
      </c>
      <c r="AE55" s="256"/>
      <c r="AF55" s="256"/>
      <c r="AG55" s="256"/>
      <c r="AH55" s="256"/>
    </row>
    <row r="56">
      <c r="A56" s="257">
        <v>45116.68533611111</v>
      </c>
      <c r="AD56" s="258" t="s">
        <v>4259</v>
      </c>
      <c r="AE56" s="256"/>
      <c r="AF56" s="256"/>
      <c r="AG56" s="256"/>
      <c r="AH56" s="256"/>
    </row>
    <row r="57">
      <c r="A57" s="257">
        <v>45116.69802947917</v>
      </c>
      <c r="AD57" s="258" t="s">
        <v>4260</v>
      </c>
      <c r="AE57" s="256"/>
      <c r="AF57" s="256"/>
      <c r="AG57" s="256"/>
      <c r="AH57" s="256"/>
    </row>
    <row r="58">
      <c r="A58" s="257">
        <v>45116.699710671295</v>
      </c>
      <c r="AD58" s="258" t="s">
        <v>4261</v>
      </c>
      <c r="AE58" s="256"/>
      <c r="AF58" s="256"/>
      <c r="AG58" s="256"/>
      <c r="AH58" s="256"/>
    </row>
    <row r="59">
      <c r="A59" s="257">
        <v>45116.70121130787</v>
      </c>
      <c r="C59" s="255" t="s">
        <v>4182</v>
      </c>
      <c r="D59" s="255" t="s">
        <v>4182</v>
      </c>
      <c r="E59" s="255" t="s">
        <v>4252</v>
      </c>
      <c r="M59" s="255">
        <v>6000.0</v>
      </c>
      <c r="AD59" s="258" t="s">
        <v>4262</v>
      </c>
      <c r="AE59" s="256"/>
      <c r="AF59" s="256"/>
      <c r="AG59" s="256"/>
      <c r="AH59" s="256"/>
    </row>
    <row r="60">
      <c r="A60" s="257">
        <v>45116.704486875</v>
      </c>
      <c r="M60" s="255">
        <v>5000.0</v>
      </c>
      <c r="AD60" s="258" t="s">
        <v>4263</v>
      </c>
      <c r="AE60" s="256"/>
      <c r="AF60" s="256"/>
      <c r="AG60" s="256"/>
      <c r="AH60" s="256"/>
    </row>
    <row r="61">
      <c r="A61" s="257">
        <v>45116.707588171295</v>
      </c>
      <c r="M61" s="255">
        <v>5000.0</v>
      </c>
      <c r="AD61" s="258" t="s">
        <v>4264</v>
      </c>
      <c r="AE61" s="256"/>
      <c r="AF61" s="256"/>
      <c r="AG61" s="256"/>
      <c r="AH61" s="256"/>
    </row>
    <row r="62">
      <c r="A62" s="257">
        <v>45116.71429145834</v>
      </c>
      <c r="M62" s="255">
        <v>5000.0</v>
      </c>
      <c r="AD62" s="258" t="s">
        <v>4265</v>
      </c>
      <c r="AE62" s="256"/>
      <c r="AF62" s="256"/>
      <c r="AG62" s="256"/>
      <c r="AH62" s="256"/>
    </row>
    <row r="63">
      <c r="A63" s="257">
        <v>45116.7224817824</v>
      </c>
      <c r="V63" s="255">
        <v>2.0</v>
      </c>
      <c r="AD63" s="258" t="s">
        <v>4266</v>
      </c>
      <c r="AE63" s="256"/>
      <c r="AF63" s="256"/>
      <c r="AG63" s="256"/>
      <c r="AH63" s="256"/>
    </row>
    <row r="64">
      <c r="A64" s="257">
        <v>45116.72578408565</v>
      </c>
      <c r="M64" s="255">
        <v>5000.0</v>
      </c>
      <c r="AD64" s="258" t="s">
        <v>4267</v>
      </c>
      <c r="AE64" s="256"/>
      <c r="AF64" s="256"/>
      <c r="AG64" s="256"/>
      <c r="AH64" s="256"/>
    </row>
    <row r="65">
      <c r="A65" s="257">
        <v>45116.72832711806</v>
      </c>
      <c r="M65" s="255">
        <v>5000.0</v>
      </c>
      <c r="AD65" s="258" t="s">
        <v>4268</v>
      </c>
      <c r="AE65" s="256"/>
      <c r="AF65" s="256"/>
      <c r="AG65" s="256"/>
      <c r="AH65" s="256"/>
    </row>
    <row r="66">
      <c r="A66" s="257">
        <v>45116.87612528935</v>
      </c>
      <c r="M66" s="255">
        <v>5000.0</v>
      </c>
      <c r="AD66" s="258" t="s">
        <v>4269</v>
      </c>
      <c r="AE66" s="256"/>
      <c r="AF66" s="256"/>
      <c r="AG66" s="256"/>
      <c r="AH66" s="256"/>
    </row>
    <row r="67">
      <c r="A67" s="257">
        <v>45116.88061017361</v>
      </c>
      <c r="M67" s="255">
        <v>5000.0</v>
      </c>
      <c r="AD67" s="258" t="s">
        <v>4270</v>
      </c>
      <c r="AE67" s="256"/>
      <c r="AF67" s="256"/>
      <c r="AG67" s="256"/>
      <c r="AH67" s="256"/>
    </row>
    <row r="68">
      <c r="A68" s="257">
        <v>45116.88327690972</v>
      </c>
      <c r="M68" s="255">
        <v>5000.0</v>
      </c>
      <c r="AD68" s="258" t="s">
        <v>4271</v>
      </c>
      <c r="AE68" s="256"/>
      <c r="AF68" s="256"/>
      <c r="AG68" s="256"/>
      <c r="AH68" s="256"/>
    </row>
    <row r="69">
      <c r="A69" s="257">
        <v>45116.90814694444</v>
      </c>
      <c r="M69" s="255">
        <v>5000.0</v>
      </c>
      <c r="AD69" s="258" t="s">
        <v>4272</v>
      </c>
      <c r="AE69" s="256"/>
      <c r="AF69" s="256"/>
      <c r="AG69" s="256"/>
      <c r="AH69" s="256"/>
    </row>
    <row r="70">
      <c r="A70" s="257">
        <v>45116.912759259256</v>
      </c>
      <c r="M70" s="255">
        <v>5000.0</v>
      </c>
      <c r="AD70" s="258" t="s">
        <v>4273</v>
      </c>
      <c r="AE70" s="256"/>
      <c r="AF70" s="256"/>
      <c r="AG70" s="256"/>
      <c r="AH70" s="256"/>
    </row>
    <row r="71">
      <c r="A71" s="257">
        <v>45116.91778467593</v>
      </c>
      <c r="M71" s="255">
        <v>5000.0</v>
      </c>
      <c r="AD71" s="258" t="s">
        <v>4274</v>
      </c>
      <c r="AE71" s="256"/>
      <c r="AF71" s="256"/>
      <c r="AG71" s="256"/>
      <c r="AH71" s="256"/>
    </row>
    <row r="72">
      <c r="A72" s="257">
        <v>45116.9187400463</v>
      </c>
      <c r="V72" s="255">
        <v>2.0</v>
      </c>
      <c r="AD72" s="258" t="s">
        <v>4275</v>
      </c>
      <c r="AE72" s="256"/>
      <c r="AF72" s="256"/>
      <c r="AG72" s="256"/>
      <c r="AH72" s="256"/>
    </row>
    <row r="73">
      <c r="A73" s="257">
        <v>45116.92333585648</v>
      </c>
      <c r="M73" s="255">
        <v>5000.0</v>
      </c>
      <c r="AD73" s="258" t="s">
        <v>4276</v>
      </c>
      <c r="AE73" s="256"/>
      <c r="AF73" s="256"/>
      <c r="AG73" s="256"/>
      <c r="AH73" s="256"/>
    </row>
    <row r="74">
      <c r="A74" s="257">
        <v>45116.933561909726</v>
      </c>
      <c r="M74" s="255">
        <v>5000.0</v>
      </c>
      <c r="AD74" s="258" t="s">
        <v>4277</v>
      </c>
      <c r="AE74" s="256"/>
      <c r="AF74" s="256"/>
      <c r="AG74" s="256"/>
      <c r="AH74" s="256"/>
    </row>
    <row r="75">
      <c r="A75" s="257">
        <v>45116.93451542824</v>
      </c>
      <c r="V75" s="255">
        <v>2.0</v>
      </c>
      <c r="AD75" s="258" t="s">
        <v>4278</v>
      </c>
      <c r="AE75" s="256"/>
      <c r="AF75" s="256"/>
      <c r="AG75" s="256"/>
      <c r="AH75" s="256"/>
    </row>
    <row r="76">
      <c r="A76" s="257">
        <v>45116.95067863426</v>
      </c>
      <c r="V76" s="255">
        <v>2.0</v>
      </c>
      <c r="AD76" s="258" t="s">
        <v>4279</v>
      </c>
      <c r="AE76" s="256"/>
      <c r="AF76" s="256"/>
      <c r="AG76" s="256"/>
      <c r="AH76" s="256"/>
    </row>
    <row r="77">
      <c r="A77" s="257">
        <v>45116.96673664352</v>
      </c>
      <c r="V77" s="255">
        <v>2.0</v>
      </c>
      <c r="AD77" s="258" t="s">
        <v>4280</v>
      </c>
      <c r="AE77" s="256"/>
      <c r="AF77" s="256"/>
      <c r="AG77" s="256"/>
      <c r="AH77" s="256"/>
    </row>
    <row r="78">
      <c r="A78" s="257">
        <v>45117.062722476854</v>
      </c>
      <c r="B78" s="259">
        <v>45121.0</v>
      </c>
      <c r="F78" s="255" t="s">
        <v>4281</v>
      </c>
      <c r="G78" s="255" t="s">
        <v>4216</v>
      </c>
      <c r="H78" s="255">
        <v>564564.0</v>
      </c>
      <c r="I78" s="255">
        <v>4.564564564E9</v>
      </c>
      <c r="M78" s="255">
        <v>5000.0</v>
      </c>
      <c r="P78" s="255">
        <v>500.0</v>
      </c>
      <c r="Q78" s="255" t="s">
        <v>2207</v>
      </c>
      <c r="R78" s="255" t="s">
        <v>2207</v>
      </c>
      <c r="S78" s="255" t="s">
        <v>68</v>
      </c>
      <c r="T78" s="255">
        <v>3423455.0</v>
      </c>
      <c r="U78" s="255">
        <v>2.35235345E8</v>
      </c>
      <c r="V78" s="255">
        <v>3.0</v>
      </c>
      <c r="W78" s="259">
        <v>45134.0</v>
      </c>
      <c r="X78" s="266">
        <v>0.9319444444408873</v>
      </c>
      <c r="Y78" s="259">
        <v>45125.0</v>
      </c>
      <c r="Z78" s="266">
        <v>0.9319444444408873</v>
      </c>
      <c r="AA78" s="255" t="s">
        <v>4282</v>
      </c>
      <c r="AC78" s="255">
        <v>5000.0</v>
      </c>
      <c r="AD78" s="258" t="s">
        <v>4283</v>
      </c>
      <c r="AE78" s="256"/>
      <c r="AF78" s="256"/>
      <c r="AG78" s="256"/>
      <c r="AH78" s="256"/>
    </row>
    <row r="79">
      <c r="A79" s="257">
        <v>45117.87704759259</v>
      </c>
      <c r="B79" s="259">
        <v>45117.0</v>
      </c>
      <c r="V79" s="255">
        <v>2.0</v>
      </c>
      <c r="AD79" s="258" t="s">
        <v>4284</v>
      </c>
      <c r="AE79" s="256"/>
      <c r="AF79" s="256"/>
      <c r="AG79" s="256"/>
      <c r="AH79" s="256"/>
    </row>
    <row r="80">
      <c r="A80" s="257">
        <v>45117.90956049769</v>
      </c>
      <c r="B80" s="259">
        <v>45118.0</v>
      </c>
      <c r="F80" s="255" t="s">
        <v>4186</v>
      </c>
      <c r="G80" s="255" t="s">
        <v>4170</v>
      </c>
      <c r="H80" s="255" t="s">
        <v>4285</v>
      </c>
      <c r="I80" s="260" t="s">
        <v>4188</v>
      </c>
      <c r="M80" s="255">
        <v>5000.0</v>
      </c>
      <c r="P80" s="255">
        <v>4000.0</v>
      </c>
      <c r="Q80" s="255" t="s">
        <v>2207</v>
      </c>
      <c r="R80" s="255" t="s">
        <v>2207</v>
      </c>
      <c r="S80" s="255" t="s">
        <v>52</v>
      </c>
      <c r="T80" s="255">
        <v>130000.0</v>
      </c>
      <c r="U80" s="255">
        <v>13000.0</v>
      </c>
      <c r="V80" s="255">
        <v>3.0</v>
      </c>
      <c r="W80" s="259">
        <v>45121.0</v>
      </c>
      <c r="X80" s="266">
        <v>0.8333333333357587</v>
      </c>
      <c r="Y80" s="259">
        <v>45134.0</v>
      </c>
      <c r="Z80" s="266">
        <v>0.8486111111124046</v>
      </c>
      <c r="AA80" s="255" t="s">
        <v>4286</v>
      </c>
      <c r="AC80" s="255">
        <v>4000.0</v>
      </c>
      <c r="AD80" s="258" t="s">
        <v>4287</v>
      </c>
      <c r="AE80" s="256"/>
      <c r="AF80" s="256"/>
      <c r="AG80" s="256"/>
    </row>
    <row r="81">
      <c r="A81" s="257">
        <v>45117.931739479165</v>
      </c>
      <c r="AD81" s="258" t="s">
        <v>4288</v>
      </c>
      <c r="AE81" s="256"/>
      <c r="AF81" s="256"/>
      <c r="AG81" s="256"/>
    </row>
    <row r="82">
      <c r="A82" s="257">
        <v>45117.942897719906</v>
      </c>
      <c r="B82" s="259">
        <v>45132.0</v>
      </c>
      <c r="F82" s="255" t="s">
        <v>4289</v>
      </c>
      <c r="G82" s="255">
        <v>345345.0</v>
      </c>
      <c r="H82" s="255">
        <v>3453454.0</v>
      </c>
      <c r="I82" s="255">
        <v>345345.0</v>
      </c>
      <c r="M82" s="255">
        <v>345345.0</v>
      </c>
      <c r="P82" s="255">
        <v>345345.0</v>
      </c>
      <c r="Q82" s="255" t="s">
        <v>2207</v>
      </c>
      <c r="R82" s="255" t="s">
        <v>2207</v>
      </c>
      <c r="S82" s="255" t="s">
        <v>52</v>
      </c>
      <c r="T82" s="255">
        <v>435345.0</v>
      </c>
      <c r="U82" s="255">
        <v>3453.0</v>
      </c>
      <c r="V82" s="255">
        <v>3.0</v>
      </c>
      <c r="W82" s="259">
        <v>45112.0</v>
      </c>
      <c r="X82" s="266">
        <v>0.9319444444408873</v>
      </c>
      <c r="Y82" s="259">
        <v>45133.0</v>
      </c>
      <c r="Z82" s="266">
        <v>0.9319444444408873</v>
      </c>
      <c r="AA82" s="255" t="s">
        <v>4290</v>
      </c>
      <c r="AC82" s="255">
        <v>345345.0</v>
      </c>
      <c r="AD82" s="258" t="s">
        <v>4291</v>
      </c>
      <c r="AE82" s="256"/>
      <c r="AF82" s="256"/>
      <c r="AG82" s="256"/>
    </row>
    <row r="83">
      <c r="A83" s="257">
        <v>45117.978148263894</v>
      </c>
      <c r="AD83" s="258" t="s">
        <v>4292</v>
      </c>
      <c r="AE83" s="256"/>
      <c r="AF83" s="256"/>
      <c r="AG83" s="256"/>
    </row>
    <row r="84">
      <c r="A84" s="257">
        <v>45117.98920946759</v>
      </c>
      <c r="AD84" s="258" t="s">
        <v>4293</v>
      </c>
      <c r="AE84" s="256"/>
      <c r="AF84" s="256"/>
      <c r="AG84" s="256"/>
    </row>
    <row r="85">
      <c r="A85" s="257">
        <v>45118.53627996528</v>
      </c>
      <c r="B85" s="259">
        <v>45133.0</v>
      </c>
      <c r="F85" s="255" t="s">
        <v>4294</v>
      </c>
      <c r="G85" s="255" t="s">
        <v>4295</v>
      </c>
      <c r="H85" s="255" t="s">
        <v>4296</v>
      </c>
      <c r="I85" s="255" t="s">
        <v>4296</v>
      </c>
      <c r="M85" s="255">
        <v>10000.0</v>
      </c>
      <c r="P85" s="255">
        <v>5000.0</v>
      </c>
      <c r="Q85" s="255" t="s">
        <v>2207</v>
      </c>
      <c r="R85" s="255" t="s">
        <v>2207</v>
      </c>
      <c r="S85" s="255" t="s">
        <v>56</v>
      </c>
      <c r="T85" s="255">
        <v>140000.0</v>
      </c>
      <c r="U85" s="255">
        <v>14000.0</v>
      </c>
      <c r="V85" s="255">
        <v>3.0</v>
      </c>
      <c r="W85" s="259">
        <v>45133.0</v>
      </c>
      <c r="X85" s="266">
        <v>0.9319444444408873</v>
      </c>
      <c r="Y85" s="259">
        <v>45134.0</v>
      </c>
      <c r="Z85" s="266">
        <v>0.9319444444408873</v>
      </c>
      <c r="AA85" s="255">
        <v>23425.0</v>
      </c>
      <c r="AC85" s="255">
        <v>5000.0</v>
      </c>
      <c r="AD85" s="258" t="s">
        <v>4297</v>
      </c>
      <c r="AE85" s="256"/>
      <c r="AF85" s="256"/>
      <c r="AG85" s="256"/>
    </row>
    <row r="86">
      <c r="A86" s="257">
        <v>45118.65982755787</v>
      </c>
      <c r="C86" s="255" t="s">
        <v>4182</v>
      </c>
      <c r="AD86" s="258" t="s">
        <v>4297</v>
      </c>
      <c r="AE86" s="256"/>
      <c r="AF86" s="256"/>
      <c r="AG86" s="256"/>
    </row>
    <row r="87">
      <c r="A87" s="255" t="s">
        <v>4298</v>
      </c>
      <c r="C87" s="255" t="s">
        <v>4182</v>
      </c>
    </row>
    <row r="88">
      <c r="A88" s="255" t="s">
        <v>4299</v>
      </c>
      <c r="M88" s="255">
        <v>5000.0</v>
      </c>
      <c r="AD88" s="258" t="s">
        <v>4300</v>
      </c>
      <c r="AE88" s="256"/>
      <c r="AF88" s="256"/>
      <c r="AG88" s="256"/>
    </row>
    <row r="89">
      <c r="A89" s="255" t="s">
        <v>4301</v>
      </c>
      <c r="C89" s="255" t="s">
        <v>4182</v>
      </c>
    </row>
    <row r="90">
      <c r="A90" s="255" t="s">
        <v>4302</v>
      </c>
      <c r="E90" s="255" t="s">
        <v>4303</v>
      </c>
    </row>
    <row r="91">
      <c r="A91" s="255" t="s">
        <v>4304</v>
      </c>
      <c r="E91" s="255" t="s">
        <v>4252</v>
      </c>
    </row>
    <row r="92">
      <c r="A92" s="257">
        <v>45119.07393953703</v>
      </c>
      <c r="D92" s="255" t="s">
        <v>4182</v>
      </c>
      <c r="AD92" s="258" t="s">
        <v>4305</v>
      </c>
      <c r="AE92" s="256"/>
      <c r="AF92" s="256"/>
      <c r="AG92" s="256"/>
    </row>
    <row r="93">
      <c r="A93" s="257">
        <v>45119.50160350694</v>
      </c>
      <c r="E93" s="255" t="s">
        <v>4306</v>
      </c>
    </row>
    <row r="94">
      <c r="A94" s="257">
        <v>45119.51341921296</v>
      </c>
      <c r="E94" s="255" t="s">
        <v>4307</v>
      </c>
    </row>
    <row r="95">
      <c r="A95" s="257">
        <v>45119.514079050925</v>
      </c>
      <c r="AD95" s="258" t="s">
        <v>4308</v>
      </c>
      <c r="AE95" s="256"/>
      <c r="AF95" s="256"/>
      <c r="AG95" s="256"/>
    </row>
    <row r="96">
      <c r="A96" s="257">
        <v>45119.519553252314</v>
      </c>
      <c r="E96" s="255" t="s">
        <v>4309</v>
      </c>
    </row>
    <row r="97">
      <c r="A97" s="257">
        <v>45119.52036165509</v>
      </c>
      <c r="AD97" s="258" t="s">
        <v>4310</v>
      </c>
      <c r="AE97" s="256"/>
      <c r="AF97" s="256"/>
      <c r="AG97" s="256"/>
    </row>
    <row r="98">
      <c r="A98" s="257">
        <v>45119.605945601856</v>
      </c>
      <c r="Q98" s="255" t="s">
        <v>2207</v>
      </c>
      <c r="R98" s="255" t="s">
        <v>2207</v>
      </c>
      <c r="V98" s="255">
        <v>3.0</v>
      </c>
      <c r="AD98" s="258" t="s">
        <v>4311</v>
      </c>
      <c r="AE98" s="256"/>
      <c r="AF98" s="256"/>
      <c r="AG98" s="256"/>
    </row>
    <row r="99">
      <c r="A99" s="257">
        <v>45119.663047442125</v>
      </c>
      <c r="B99" s="259">
        <v>45128.0</v>
      </c>
      <c r="C99" s="255" t="s">
        <v>4182</v>
      </c>
      <c r="D99" s="255" t="s">
        <v>4182</v>
      </c>
      <c r="E99" s="255" t="s">
        <v>4312</v>
      </c>
      <c r="F99" s="255" t="s">
        <v>4313</v>
      </c>
      <c r="G99" s="255" t="s">
        <v>4314</v>
      </c>
      <c r="H99" s="255" t="s">
        <v>4207</v>
      </c>
      <c r="I99" s="255" t="s">
        <v>4207</v>
      </c>
      <c r="J99" s="255">
        <v>326536.0</v>
      </c>
      <c r="K99" s="259">
        <v>45121.0</v>
      </c>
      <c r="L99" s="259">
        <v>45127.0</v>
      </c>
      <c r="M99" s="255">
        <v>5000.0</v>
      </c>
      <c r="P99" s="255">
        <v>5000.0</v>
      </c>
      <c r="Q99" s="255" t="s">
        <v>2207</v>
      </c>
      <c r="R99" s="255" t="s">
        <v>2207</v>
      </c>
      <c r="S99" s="255" t="s">
        <v>88</v>
      </c>
      <c r="T99" s="255">
        <v>130000.0</v>
      </c>
      <c r="U99" s="255">
        <v>14000.0</v>
      </c>
      <c r="V99" s="255">
        <v>2.0</v>
      </c>
      <c r="W99" s="259">
        <v>45128.0</v>
      </c>
      <c r="X99" s="266">
        <v>0.46597222222044365</v>
      </c>
      <c r="Y99" s="259">
        <v>45120.0</v>
      </c>
      <c r="Z99" s="266">
        <v>0.46597222222044365</v>
      </c>
      <c r="AA99" s="255" t="s">
        <v>4315</v>
      </c>
      <c r="AC99" s="255">
        <v>4000.0</v>
      </c>
    </row>
    <row r="100">
      <c r="A100" s="257">
        <v>45119.68157561343</v>
      </c>
      <c r="C100" s="255" t="s">
        <v>4182</v>
      </c>
      <c r="D100" s="255" t="s">
        <v>4182</v>
      </c>
      <c r="E100" s="255" t="s">
        <v>4316</v>
      </c>
      <c r="J100" s="255">
        <v>45345.0</v>
      </c>
      <c r="AB100" s="255">
        <v>500.0</v>
      </c>
    </row>
    <row r="101">
      <c r="A101" s="257">
        <v>45119.703674895834</v>
      </c>
      <c r="M101" s="255">
        <v>5000.0</v>
      </c>
    </row>
    <row r="102">
      <c r="A102" s="257">
        <v>45119.89583356481</v>
      </c>
      <c r="AD102" s="258" t="s">
        <v>4317</v>
      </c>
      <c r="AE102" s="256"/>
      <c r="AF102" s="256"/>
      <c r="AG102" s="256"/>
    </row>
    <row r="103">
      <c r="A103" s="257">
        <v>45120.66814775463</v>
      </c>
      <c r="M103" s="255">
        <v>5000.0</v>
      </c>
    </row>
    <row r="104">
      <c r="A104" s="257">
        <v>45120.67441332176</v>
      </c>
      <c r="B104" s="259">
        <v>45133.0</v>
      </c>
      <c r="C104" s="255" t="s">
        <v>4182</v>
      </c>
      <c r="D104" s="255" t="s">
        <v>4182</v>
      </c>
      <c r="E104" s="255" t="s">
        <v>4318</v>
      </c>
      <c r="F104" s="255" t="s">
        <v>4319</v>
      </c>
      <c r="G104" s="255" t="s">
        <v>4320</v>
      </c>
      <c r="H104" s="255" t="s">
        <v>4321</v>
      </c>
      <c r="I104" s="255" t="s">
        <v>4321</v>
      </c>
      <c r="J104" s="255">
        <v>7.53841254E8</v>
      </c>
      <c r="K104" s="259">
        <v>45127.0</v>
      </c>
      <c r="L104" s="259">
        <v>45134.0</v>
      </c>
      <c r="M104" s="255">
        <v>60000.0</v>
      </c>
      <c r="P104" s="255">
        <v>120000.0</v>
      </c>
      <c r="Q104" s="255" t="s">
        <v>2207</v>
      </c>
      <c r="R104" s="255" t="s">
        <v>2207</v>
      </c>
      <c r="S104" s="255" t="s">
        <v>52</v>
      </c>
      <c r="T104" s="255">
        <v>140000.0</v>
      </c>
      <c r="U104" s="255">
        <v>15000.0</v>
      </c>
      <c r="V104" s="255">
        <v>2.0</v>
      </c>
      <c r="W104" s="259">
        <v>45121.0</v>
      </c>
      <c r="X104" s="266">
        <v>0.9319444444408873</v>
      </c>
      <c r="Y104" s="259">
        <v>45120.0</v>
      </c>
      <c r="Z104" s="266">
        <v>0.46597222222044365</v>
      </c>
      <c r="AA104" s="255" t="s">
        <v>4322</v>
      </c>
      <c r="AB104" s="255">
        <v>3000.0</v>
      </c>
    </row>
    <row r="105">
      <c r="A105" s="257">
        <v>45120.918030636574</v>
      </c>
      <c r="AD105" s="258" t="s">
        <v>4323</v>
      </c>
      <c r="AE105" s="256"/>
      <c r="AF105" s="256"/>
      <c r="AG105" s="256"/>
    </row>
    <row r="106">
      <c r="A106" s="257">
        <v>45121.710094016205</v>
      </c>
      <c r="C106" s="255" t="s">
        <v>4182</v>
      </c>
      <c r="D106" s="255" t="s">
        <v>4182</v>
      </c>
      <c r="E106" s="255" t="s">
        <v>4324</v>
      </c>
      <c r="J106" s="255">
        <v>4.6456456E7</v>
      </c>
      <c r="K106" s="259">
        <v>45129.0</v>
      </c>
      <c r="L106" s="259">
        <v>45130.0</v>
      </c>
      <c r="M106" s="255">
        <v>5000.0</v>
      </c>
      <c r="Q106" s="255" t="s">
        <v>2207</v>
      </c>
      <c r="R106" s="255" t="s">
        <v>2207</v>
      </c>
      <c r="S106" s="255" t="s">
        <v>142</v>
      </c>
      <c r="AC106" s="255">
        <v>4000.0</v>
      </c>
    </row>
    <row r="107">
      <c r="A107" s="257">
        <v>45121.7119075</v>
      </c>
      <c r="AC107" s="255">
        <v>4000.0</v>
      </c>
    </row>
    <row r="108">
      <c r="A108" s="257">
        <v>45121.74801701389</v>
      </c>
      <c r="AB108" s="255">
        <v>4000.0</v>
      </c>
    </row>
    <row r="109">
      <c r="A109" s="257">
        <v>45121.766539317134</v>
      </c>
      <c r="AB109" s="255">
        <v>400.0</v>
      </c>
    </row>
    <row r="110">
      <c r="A110" s="257">
        <v>45121.76733177083</v>
      </c>
      <c r="AC110" s="255">
        <v>400.0</v>
      </c>
    </row>
    <row r="111">
      <c r="A111" s="257">
        <v>45121.78629069444</v>
      </c>
      <c r="B111" s="259">
        <v>45121.0</v>
      </c>
      <c r="C111" s="255" t="s">
        <v>4182</v>
      </c>
      <c r="D111" s="255" t="s">
        <v>4182</v>
      </c>
      <c r="E111" s="255" t="s">
        <v>4325</v>
      </c>
      <c r="F111" s="255" t="s">
        <v>4326</v>
      </c>
      <c r="H111" s="255" t="s">
        <v>4207</v>
      </c>
      <c r="I111" s="255" t="s">
        <v>4207</v>
      </c>
      <c r="J111" s="255">
        <v>7.53841254E8</v>
      </c>
      <c r="K111" s="259">
        <v>32766.0</v>
      </c>
      <c r="L111" s="259">
        <v>46305.0</v>
      </c>
      <c r="M111" s="255">
        <v>5000.0</v>
      </c>
      <c r="P111" s="255">
        <v>5000.0</v>
      </c>
      <c r="Q111" s="255" t="s">
        <v>2207</v>
      </c>
      <c r="R111" s="255" t="s">
        <v>2207</v>
      </c>
      <c r="S111" s="255" t="s">
        <v>52</v>
      </c>
      <c r="T111" s="255">
        <v>75000.0</v>
      </c>
      <c r="V111" s="255">
        <v>2.0</v>
      </c>
      <c r="W111" s="259">
        <v>45121.0</v>
      </c>
      <c r="X111" s="266">
        <v>0.9319444444408873</v>
      </c>
      <c r="Y111" s="259">
        <v>45129.0</v>
      </c>
      <c r="Z111" s="266">
        <v>0.46597222222044365</v>
      </c>
      <c r="AA111" s="255" t="s">
        <v>4327</v>
      </c>
      <c r="AC111" s="255">
        <v>5000.0</v>
      </c>
    </row>
    <row r="112">
      <c r="A112" s="257">
        <v>45121.851944270835</v>
      </c>
      <c r="AD112" s="258" t="s">
        <v>4328</v>
      </c>
      <c r="AE112" s="256"/>
      <c r="AF112" s="256"/>
      <c r="AG112" s="256"/>
    </row>
    <row r="113">
      <c r="A113" s="257">
        <v>45121.87275523148</v>
      </c>
      <c r="B113" s="259">
        <v>45121.0</v>
      </c>
      <c r="E113" s="255" t="s">
        <v>449</v>
      </c>
      <c r="F113" s="255" t="s">
        <v>4329</v>
      </c>
      <c r="M113" s="255" t="s">
        <v>450</v>
      </c>
      <c r="P113" s="255">
        <v>4000.0</v>
      </c>
      <c r="Q113" s="255" t="s">
        <v>2207</v>
      </c>
      <c r="R113" s="255" t="s">
        <v>2207</v>
      </c>
      <c r="S113" s="255" t="s">
        <v>102</v>
      </c>
      <c r="T113" s="255">
        <v>220000.0</v>
      </c>
      <c r="U113" s="255">
        <v>33000.0</v>
      </c>
      <c r="V113" s="255">
        <v>0.0</v>
      </c>
      <c r="W113" s="259">
        <v>45121.0</v>
      </c>
      <c r="X113" s="266">
        <v>0.875</v>
      </c>
      <c r="Y113" s="259">
        <v>45124.0</v>
      </c>
      <c r="Z113" s="266">
        <v>0.875</v>
      </c>
      <c r="AA113" s="255" t="s">
        <v>452</v>
      </c>
      <c r="AB113" s="255">
        <v>1333.0</v>
      </c>
    </row>
    <row r="114">
      <c r="A114" s="257">
        <v>45121.88293655093</v>
      </c>
      <c r="AD114" s="258" t="s">
        <v>4330</v>
      </c>
      <c r="AE114" s="256"/>
      <c r="AF114" s="256"/>
      <c r="AG114" s="256"/>
    </row>
    <row r="115">
      <c r="A115" s="257">
        <v>45121.89115671296</v>
      </c>
      <c r="AD115" s="258" t="s">
        <v>4331</v>
      </c>
      <c r="AE115" s="256"/>
      <c r="AF115" s="256"/>
      <c r="AG115" s="256"/>
    </row>
    <row r="116">
      <c r="A116" s="257">
        <v>45121.89354659722</v>
      </c>
      <c r="S116" s="255" t="s">
        <v>286</v>
      </c>
      <c r="T116" s="255">
        <v>75000.0</v>
      </c>
      <c r="AD116" s="258" t="s">
        <v>4332</v>
      </c>
      <c r="AE116" s="256"/>
      <c r="AF116" s="256"/>
      <c r="AG116" s="256"/>
    </row>
    <row r="117">
      <c r="A117" s="257">
        <v>45121.899408240744</v>
      </c>
      <c r="E117" s="255" t="s">
        <v>4333</v>
      </c>
    </row>
    <row r="118">
      <c r="A118" s="257">
        <v>45121.90520459491</v>
      </c>
      <c r="AD118" s="258" t="s">
        <v>4334</v>
      </c>
      <c r="AE118" s="256"/>
      <c r="AF118" s="256"/>
      <c r="AG118" s="256"/>
    </row>
    <row r="119">
      <c r="A119" s="257">
        <v>45121.94137056713</v>
      </c>
      <c r="AD119" s="258" t="s">
        <v>4335</v>
      </c>
      <c r="AE119" s="256"/>
      <c r="AF119" s="256"/>
      <c r="AG119" s="256"/>
    </row>
    <row r="120">
      <c r="A120" s="257">
        <v>45121.95001260417</v>
      </c>
      <c r="B120" s="259">
        <v>45118.0</v>
      </c>
      <c r="F120" s="255" t="s">
        <v>447</v>
      </c>
      <c r="G120" s="255" t="s">
        <v>4336</v>
      </c>
      <c r="M120" s="255">
        <v>3000.0</v>
      </c>
      <c r="P120" s="255">
        <v>5000.0</v>
      </c>
      <c r="Q120" s="255" t="s">
        <v>2207</v>
      </c>
      <c r="R120" s="255" t="s">
        <v>2207</v>
      </c>
      <c r="S120" s="255" t="s">
        <v>151</v>
      </c>
      <c r="T120" s="255">
        <v>75000.0</v>
      </c>
      <c r="U120" s="255">
        <v>20550.0</v>
      </c>
      <c r="V120" s="255">
        <v>2.0</v>
      </c>
      <c r="W120" s="259">
        <v>45118.0</v>
      </c>
      <c r="X120" s="266">
        <v>0.7916666666642413</v>
      </c>
      <c r="Y120" s="259">
        <v>45118.0</v>
      </c>
      <c r="Z120" s="266">
        <v>0.7916666666642413</v>
      </c>
      <c r="AA120" s="255" t="s">
        <v>4337</v>
      </c>
      <c r="AC120" s="255">
        <v>5000.0</v>
      </c>
      <c r="AD120" s="258" t="s">
        <v>4338</v>
      </c>
      <c r="AE120" s="256"/>
      <c r="AF120" s="256"/>
      <c r="AG120" s="256"/>
    </row>
    <row r="121">
      <c r="A121" s="257">
        <v>45125.08062846065</v>
      </c>
      <c r="AC121" s="255">
        <v>4000.0</v>
      </c>
    </row>
    <row r="122">
      <c r="A122" s="257">
        <v>45125.85025628472</v>
      </c>
      <c r="B122" s="259">
        <v>45125.0</v>
      </c>
      <c r="C122" s="255" t="s">
        <v>4182</v>
      </c>
      <c r="D122" s="255" t="s">
        <v>4182</v>
      </c>
      <c r="E122" s="255" t="s">
        <v>4339</v>
      </c>
      <c r="F122" s="255" t="s">
        <v>4340</v>
      </c>
      <c r="G122" s="255" t="s">
        <v>4341</v>
      </c>
      <c r="H122" s="255" t="s">
        <v>4207</v>
      </c>
      <c r="I122" s="255" t="s">
        <v>4207</v>
      </c>
      <c r="J122" s="255">
        <v>7.53841254E8</v>
      </c>
      <c r="K122" s="259">
        <v>44604.0</v>
      </c>
      <c r="L122" s="259">
        <v>45280.0</v>
      </c>
      <c r="M122" s="255">
        <v>5000.0</v>
      </c>
      <c r="P122" s="255">
        <v>10000.0</v>
      </c>
      <c r="Q122" s="255" t="s">
        <v>2207</v>
      </c>
      <c r="R122" s="255" t="s">
        <v>2207</v>
      </c>
      <c r="S122" s="255" t="s">
        <v>88</v>
      </c>
      <c r="T122" s="255">
        <v>75000.0</v>
      </c>
      <c r="U122" s="255">
        <v>13500.0</v>
      </c>
      <c r="V122" s="255">
        <v>3.0</v>
      </c>
      <c r="W122" s="259">
        <v>45127.0</v>
      </c>
      <c r="X122" s="266">
        <v>0.9166666666642413</v>
      </c>
      <c r="Y122" s="259">
        <v>45137.0</v>
      </c>
      <c r="Z122" s="266">
        <v>0.8333333333357587</v>
      </c>
      <c r="AA122" s="255" t="s">
        <v>4342</v>
      </c>
      <c r="AC122" s="255">
        <v>5000.0</v>
      </c>
    </row>
    <row r="123">
      <c r="A123" s="257">
        <v>45136.63743488426</v>
      </c>
      <c r="AD123" s="258" t="s">
        <v>4343</v>
      </c>
      <c r="AE123" s="256"/>
      <c r="AF123" s="256"/>
      <c r="AG123" s="256"/>
    </row>
    <row r="124">
      <c r="A124" s="257">
        <v>45136.6851146875</v>
      </c>
      <c r="B124" s="259">
        <v>45140.0</v>
      </c>
      <c r="H124" s="255" t="s">
        <v>4344</v>
      </c>
      <c r="M124" s="255">
        <v>10000.0</v>
      </c>
      <c r="P124" s="255">
        <v>9000.0</v>
      </c>
      <c r="Q124" s="255" t="s">
        <v>2207</v>
      </c>
      <c r="R124" s="255" t="s">
        <v>2207</v>
      </c>
      <c r="S124" s="255" t="s">
        <v>102</v>
      </c>
      <c r="T124" s="255">
        <v>90000.0</v>
      </c>
      <c r="U124" s="255">
        <v>22000.0</v>
      </c>
      <c r="V124" s="255">
        <v>0.0</v>
      </c>
      <c r="W124" s="259">
        <v>45140.0</v>
      </c>
      <c r="X124" s="266">
        <v>0.75</v>
      </c>
      <c r="Y124" s="259">
        <v>45171.0</v>
      </c>
      <c r="Z124" s="266">
        <v>0.75</v>
      </c>
      <c r="AA124" s="255" t="s">
        <v>4345</v>
      </c>
      <c r="AC124" s="255">
        <v>9000.0</v>
      </c>
      <c r="AD124" s="258" t="s">
        <v>4346</v>
      </c>
      <c r="AE124" s="256"/>
      <c r="AF124" s="256"/>
      <c r="AG124" s="256"/>
    </row>
    <row r="125">
      <c r="A125" s="257">
        <v>45136.837630567126</v>
      </c>
      <c r="AC125" s="255">
        <v>600.0</v>
      </c>
      <c r="AD125" s="258" t="s">
        <v>4347</v>
      </c>
      <c r="AE125" s="256"/>
      <c r="AF125" s="256"/>
      <c r="AG125" s="256"/>
    </row>
    <row r="126">
      <c r="A126" s="257">
        <v>45138.454895821764</v>
      </c>
      <c r="B126" s="259">
        <v>45141.0</v>
      </c>
      <c r="F126" s="255" t="s">
        <v>4348</v>
      </c>
      <c r="G126" s="255" t="s">
        <v>4349</v>
      </c>
      <c r="H126" s="255" t="s">
        <v>4350</v>
      </c>
      <c r="M126" s="255">
        <v>10000.0</v>
      </c>
      <c r="P126" s="255">
        <v>3500.0</v>
      </c>
      <c r="Q126" s="255" t="s">
        <v>4349</v>
      </c>
      <c r="R126" s="255" t="s">
        <v>2207</v>
      </c>
      <c r="S126" s="255" t="s">
        <v>427</v>
      </c>
      <c r="T126" s="255">
        <v>95000.0</v>
      </c>
      <c r="U126" s="255">
        <v>14300.0</v>
      </c>
      <c r="V126" s="255">
        <v>2.0</v>
      </c>
      <c r="W126" s="259">
        <v>45141.0</v>
      </c>
      <c r="X126" s="266">
        <v>0.5416666666642413</v>
      </c>
      <c r="Y126" s="259">
        <v>45172.0</v>
      </c>
      <c r="Z126" s="266">
        <v>0.5416666666642413</v>
      </c>
      <c r="AA126" s="255" t="s">
        <v>467</v>
      </c>
      <c r="AB126" s="255">
        <v>500.0</v>
      </c>
      <c r="AD126" s="258" t="s">
        <v>4351</v>
      </c>
      <c r="AE126" s="256"/>
      <c r="AF126" s="256"/>
      <c r="AG126" s="256"/>
    </row>
    <row r="127">
      <c r="A127" s="257">
        <v>45145.627777974536</v>
      </c>
      <c r="B127" s="259">
        <v>45145.0</v>
      </c>
      <c r="F127" s="255" t="s">
        <v>2903</v>
      </c>
      <c r="G127" s="255" t="s">
        <v>4352</v>
      </c>
      <c r="H127" s="255" t="s">
        <v>4353</v>
      </c>
      <c r="M127" s="255">
        <v>10000.0</v>
      </c>
      <c r="P127" s="255">
        <v>11000.0</v>
      </c>
      <c r="Q127" s="255" t="s">
        <v>2207</v>
      </c>
      <c r="R127" s="255" t="s">
        <v>2207</v>
      </c>
      <c r="S127" s="255" t="s">
        <v>4354</v>
      </c>
      <c r="T127" s="255">
        <v>125000.0</v>
      </c>
      <c r="U127" s="255">
        <v>14000.0</v>
      </c>
      <c r="V127" s="255">
        <v>2.0</v>
      </c>
      <c r="W127" s="259">
        <v>45145.0</v>
      </c>
      <c r="X127" s="266">
        <v>0.8333333333357587</v>
      </c>
      <c r="Y127" s="259">
        <v>45176.0</v>
      </c>
      <c r="Z127" s="266">
        <v>0.8333333333357587</v>
      </c>
      <c r="AA127" s="255" t="s">
        <v>471</v>
      </c>
      <c r="AC127" s="255">
        <v>11000.0</v>
      </c>
      <c r="AD127" s="258" t="s">
        <v>4355</v>
      </c>
      <c r="AE127" s="256"/>
      <c r="AF127" s="256"/>
      <c r="AG127" s="256"/>
    </row>
    <row r="128">
      <c r="A128" s="257">
        <v>45149.88081428241</v>
      </c>
      <c r="AB128" s="255">
        <v>500.0</v>
      </c>
      <c r="AD128" s="258" t="s">
        <v>4356</v>
      </c>
      <c r="AE128" s="256"/>
      <c r="AF128" s="256"/>
      <c r="AG128" s="256"/>
    </row>
    <row r="129">
      <c r="A129" s="257">
        <v>45149.88225688657</v>
      </c>
      <c r="C129" s="255" t="s">
        <v>4182</v>
      </c>
      <c r="D129" s="255" t="s">
        <v>4182</v>
      </c>
      <c r="E129" s="255" t="s">
        <v>4357</v>
      </c>
      <c r="AB129" s="255">
        <v>500.0</v>
      </c>
    </row>
    <row r="130">
      <c r="A130" s="257">
        <v>45149.90031025463</v>
      </c>
      <c r="C130" s="255" t="s">
        <v>4182</v>
      </c>
      <c r="D130" s="255" t="s">
        <v>4182</v>
      </c>
      <c r="E130" s="255" t="s">
        <v>4357</v>
      </c>
      <c r="AB130" s="255">
        <v>700.0</v>
      </c>
    </row>
    <row r="131">
      <c r="A131" s="257">
        <v>45149.98713873843</v>
      </c>
      <c r="AD131" s="258" t="s">
        <v>4358</v>
      </c>
      <c r="AE131" s="256"/>
      <c r="AF131" s="256"/>
      <c r="AG131" s="256"/>
    </row>
    <row r="132">
      <c r="A132" s="257">
        <v>45150.02274101852</v>
      </c>
      <c r="AD132" s="258" t="s">
        <v>4359</v>
      </c>
      <c r="AE132" s="256"/>
      <c r="AF132" s="256"/>
      <c r="AG132" s="256"/>
    </row>
    <row r="133">
      <c r="A133" s="257">
        <v>45150.02803434028</v>
      </c>
      <c r="AD133" s="258" t="s">
        <v>4360</v>
      </c>
      <c r="AE133" s="256"/>
      <c r="AF133" s="256"/>
      <c r="AG133" s="256"/>
    </row>
    <row r="134">
      <c r="A134" s="257">
        <v>45150.0407543287</v>
      </c>
      <c r="AD134" s="258" t="s">
        <v>4361</v>
      </c>
      <c r="AE134" s="256"/>
      <c r="AF134" s="256"/>
      <c r="AG134" s="256"/>
    </row>
    <row r="135">
      <c r="A135" s="257">
        <v>45150.67062878472</v>
      </c>
      <c r="M135" s="255">
        <v>5000.0</v>
      </c>
      <c r="AB135" s="255">
        <v>500.0</v>
      </c>
      <c r="AD135" s="258" t="s">
        <v>4362</v>
      </c>
      <c r="AE135" s="256"/>
      <c r="AF135" s="256"/>
      <c r="AG135" s="256"/>
    </row>
    <row r="136">
      <c r="A136" s="257">
        <v>45150.727647164356</v>
      </c>
      <c r="C136" s="255" t="s">
        <v>4182</v>
      </c>
      <c r="D136" s="255" t="s">
        <v>4182</v>
      </c>
      <c r="E136" s="255" t="s">
        <v>4363</v>
      </c>
      <c r="AC136" s="255">
        <v>1000.0</v>
      </c>
    </row>
    <row r="137">
      <c r="A137" s="257">
        <v>45150.77591923611</v>
      </c>
      <c r="B137" s="259">
        <v>45150.0</v>
      </c>
      <c r="F137" s="255" t="s">
        <v>4364</v>
      </c>
      <c r="M137" s="255">
        <v>11000.0</v>
      </c>
      <c r="P137" s="255">
        <v>2100.0</v>
      </c>
      <c r="Q137" s="255" t="s">
        <v>2207</v>
      </c>
      <c r="R137" s="255" t="s">
        <v>2207</v>
      </c>
      <c r="S137" s="255" t="s">
        <v>4354</v>
      </c>
      <c r="T137" s="255">
        <v>125000.0</v>
      </c>
      <c r="V137" s="255">
        <v>0.0</v>
      </c>
      <c r="W137" s="259">
        <v>45150.0</v>
      </c>
      <c r="X137" s="266">
        <v>0.8333333333357587</v>
      </c>
      <c r="Y137" s="259">
        <v>45153.0</v>
      </c>
      <c r="Z137" s="266">
        <v>0.8333333333357587</v>
      </c>
      <c r="AA137" s="255" t="s">
        <v>4365</v>
      </c>
      <c r="AB137" s="255">
        <v>700.0</v>
      </c>
      <c r="AD137" s="267" t="s">
        <v>4366</v>
      </c>
      <c r="AE137" s="268"/>
      <c r="AF137" s="268"/>
      <c r="AG137" s="268"/>
    </row>
    <row r="138">
      <c r="A138" s="257">
        <v>45151.08415342592</v>
      </c>
      <c r="AB138" s="255">
        <v>500.0</v>
      </c>
      <c r="AD138" s="258" t="s">
        <v>4367</v>
      </c>
      <c r="AE138" s="256"/>
      <c r="AF138" s="256"/>
      <c r="AG138" s="256"/>
    </row>
    <row r="139">
      <c r="A139" s="257">
        <v>45151.6888146412</v>
      </c>
      <c r="B139" s="259">
        <v>45151.0</v>
      </c>
      <c r="G139" s="255" t="s">
        <v>4368</v>
      </c>
      <c r="H139" s="260" t="s">
        <v>4369</v>
      </c>
      <c r="M139" s="255">
        <v>5000.0</v>
      </c>
      <c r="P139" s="255">
        <v>3000.0</v>
      </c>
      <c r="Q139" s="255" t="s">
        <v>2207</v>
      </c>
      <c r="R139" s="255" t="s">
        <v>2207</v>
      </c>
      <c r="S139" s="255" t="s">
        <v>173</v>
      </c>
      <c r="T139" s="255">
        <v>70000.0</v>
      </c>
      <c r="U139" s="255">
        <v>11140.0</v>
      </c>
      <c r="V139" s="255">
        <v>1.0</v>
      </c>
      <c r="W139" s="259">
        <v>45151.0</v>
      </c>
      <c r="X139" s="266">
        <v>0.7083333333357587</v>
      </c>
      <c r="Y139" s="259">
        <v>45158.0</v>
      </c>
      <c r="Z139" s="266">
        <v>0.7083333333357587</v>
      </c>
      <c r="AA139" s="255" t="s">
        <v>489</v>
      </c>
      <c r="AB139" s="255">
        <v>428.0</v>
      </c>
      <c r="AD139" s="258" t="s">
        <v>4370</v>
      </c>
      <c r="AE139" s="256"/>
      <c r="AF139" s="256"/>
      <c r="AG139" s="256"/>
    </row>
    <row r="140">
      <c r="A140" s="257">
        <v>45151.839265787035</v>
      </c>
      <c r="B140" s="259">
        <v>45150.0</v>
      </c>
      <c r="H140" s="260" t="s">
        <v>4371</v>
      </c>
      <c r="AF140" s="255" t="s">
        <v>2242</v>
      </c>
      <c r="AG140" s="256"/>
    </row>
    <row r="141">
      <c r="A141" s="257">
        <v>45151.850319247686</v>
      </c>
      <c r="Q141" s="255" t="s">
        <v>2207</v>
      </c>
      <c r="AF141" s="255" t="s">
        <v>2208</v>
      </c>
      <c r="AG141" s="256"/>
    </row>
    <row r="142">
      <c r="A142" s="257">
        <v>45151.856406666666</v>
      </c>
      <c r="AF142" s="255" t="s">
        <v>2242</v>
      </c>
      <c r="AG142" s="256"/>
    </row>
    <row r="143">
      <c r="A143" s="257">
        <v>45151.86354381945</v>
      </c>
      <c r="AF143" s="255" t="s">
        <v>2273</v>
      </c>
      <c r="AG143" s="256"/>
    </row>
    <row r="144">
      <c r="A144" s="257">
        <v>45151.865473935184</v>
      </c>
      <c r="AF144" s="255" t="s">
        <v>2208</v>
      </c>
      <c r="AG144" s="256"/>
    </row>
    <row r="145">
      <c r="A145" s="257">
        <v>45152.88674478009</v>
      </c>
      <c r="B145" s="259">
        <v>45150.0</v>
      </c>
      <c r="F145" s="255" t="s">
        <v>4372</v>
      </c>
      <c r="G145" s="255" t="s">
        <v>4373</v>
      </c>
      <c r="H145" s="260" t="s">
        <v>4374</v>
      </c>
      <c r="M145" s="255" t="s">
        <v>4375</v>
      </c>
      <c r="Q145" s="255" t="s">
        <v>2207</v>
      </c>
      <c r="R145" s="255" t="s">
        <v>2207</v>
      </c>
      <c r="T145" s="255">
        <v>125000.0</v>
      </c>
      <c r="U145" s="255">
        <v>14750.0</v>
      </c>
      <c r="V145" s="255">
        <v>0.0</v>
      </c>
      <c r="W145" s="259">
        <v>45150.0</v>
      </c>
      <c r="X145" s="260" t="s">
        <v>2209</v>
      </c>
      <c r="Y145" s="259">
        <v>45153.0</v>
      </c>
      <c r="AA145" s="255" t="s">
        <v>476</v>
      </c>
      <c r="AB145" s="255">
        <v>700.0</v>
      </c>
      <c r="AD145" s="258" t="s">
        <v>4376</v>
      </c>
      <c r="AE145" s="255" t="s">
        <v>472</v>
      </c>
      <c r="AF145" s="255" t="s">
        <v>2242</v>
      </c>
      <c r="AG145" s="256"/>
    </row>
    <row r="146">
      <c r="A146" s="257">
        <v>45152.988361041665</v>
      </c>
      <c r="B146" s="259">
        <v>45150.0</v>
      </c>
      <c r="F146" s="255" t="s">
        <v>4372</v>
      </c>
      <c r="G146" s="255" t="s">
        <v>4377</v>
      </c>
      <c r="H146" s="260" t="s">
        <v>4374</v>
      </c>
      <c r="M146" s="255" t="s">
        <v>474</v>
      </c>
      <c r="P146" s="255">
        <v>2100.0</v>
      </c>
      <c r="Q146" s="255" t="s">
        <v>2207</v>
      </c>
      <c r="R146" s="255" t="s">
        <v>2207</v>
      </c>
      <c r="V146" s="255">
        <v>0.0</v>
      </c>
      <c r="W146" s="259">
        <v>45150.0</v>
      </c>
      <c r="X146" s="260" t="s">
        <v>2209</v>
      </c>
      <c r="Y146" s="259">
        <v>45153.0</v>
      </c>
      <c r="AA146" s="255" t="s">
        <v>476</v>
      </c>
      <c r="AB146" s="255">
        <v>700.0</v>
      </c>
      <c r="AD146" s="258" t="s">
        <v>4378</v>
      </c>
      <c r="AE146" s="255" t="s">
        <v>472</v>
      </c>
      <c r="AF146" s="255" t="s">
        <v>2242</v>
      </c>
      <c r="AG146" s="256"/>
    </row>
    <row r="147">
      <c r="A147" s="257">
        <v>45154.387354074075</v>
      </c>
      <c r="B147" s="259">
        <v>45154.0</v>
      </c>
      <c r="M147" s="255" t="s">
        <v>481</v>
      </c>
      <c r="P147" s="255">
        <v>3000.0</v>
      </c>
      <c r="Q147" s="255" t="s">
        <v>2207</v>
      </c>
      <c r="R147" s="255" t="s">
        <v>2207</v>
      </c>
      <c r="U147" s="255">
        <v>34405.0</v>
      </c>
      <c r="V147" s="255">
        <v>1.0</v>
      </c>
      <c r="W147" s="259">
        <v>45154.0</v>
      </c>
      <c r="X147" s="260" t="s">
        <v>2262</v>
      </c>
      <c r="Y147" s="259">
        <v>45157.0</v>
      </c>
      <c r="AB147" s="255">
        <v>1000.0</v>
      </c>
      <c r="AD147" s="258" t="s">
        <v>4379</v>
      </c>
      <c r="AE147" s="255" t="s">
        <v>102</v>
      </c>
      <c r="AF147" s="255" t="s">
        <v>3177</v>
      </c>
      <c r="AG147" s="256"/>
    </row>
    <row r="148">
      <c r="A148" s="257">
        <v>45155.10425056713</v>
      </c>
      <c r="B148" s="259">
        <v>45155.0</v>
      </c>
      <c r="M148" s="255" t="s">
        <v>430</v>
      </c>
      <c r="P148" s="255">
        <v>2000.0</v>
      </c>
      <c r="Q148" s="255" t="s">
        <v>2207</v>
      </c>
      <c r="R148" s="255" t="s">
        <v>2207</v>
      </c>
      <c r="T148" s="255">
        <v>180000.0</v>
      </c>
      <c r="U148" s="255">
        <v>18500.0</v>
      </c>
      <c r="V148" s="255">
        <v>1.0</v>
      </c>
      <c r="W148" s="259">
        <v>45155.0</v>
      </c>
      <c r="X148" s="260" t="s">
        <v>2330</v>
      </c>
      <c r="Y148" s="259">
        <v>45157.0</v>
      </c>
      <c r="AB148" s="255">
        <v>1000.0</v>
      </c>
      <c r="AD148" s="258" t="s">
        <v>4380</v>
      </c>
      <c r="AE148" s="255" t="s">
        <v>483</v>
      </c>
      <c r="AF148" s="255" t="s">
        <v>2320</v>
      </c>
      <c r="AG148" s="256"/>
    </row>
    <row r="149">
      <c r="A149" s="257">
        <v>45156.856184027776</v>
      </c>
      <c r="B149" s="259">
        <v>45156.0</v>
      </c>
      <c r="E149" s="255" t="s">
        <v>484</v>
      </c>
      <c r="F149" s="255" t="s">
        <v>4381</v>
      </c>
      <c r="M149" s="255">
        <v>0.0</v>
      </c>
      <c r="P149" s="255">
        <v>1400.0</v>
      </c>
      <c r="T149" s="255">
        <v>33000.0</v>
      </c>
      <c r="U149" s="255">
        <v>29500.0</v>
      </c>
      <c r="V149" s="255">
        <v>1.0</v>
      </c>
      <c r="W149" s="259">
        <v>45156.0</v>
      </c>
      <c r="X149" s="260" t="s">
        <v>2246</v>
      </c>
      <c r="Y149" s="259">
        <v>45163.0</v>
      </c>
      <c r="AA149" s="255" t="s">
        <v>4382</v>
      </c>
      <c r="AB149" s="255">
        <v>200.0</v>
      </c>
      <c r="AE149" s="255" t="s">
        <v>52</v>
      </c>
    </row>
    <row r="150">
      <c r="A150" s="257">
        <v>45156.99464215278</v>
      </c>
      <c r="AD150" s="258" t="s">
        <v>4383</v>
      </c>
    </row>
    <row r="151">
      <c r="A151" s="257">
        <v>45157.03475040509</v>
      </c>
      <c r="B151" s="259">
        <v>45157.0</v>
      </c>
      <c r="F151" s="255">
        <v>3453453.0</v>
      </c>
      <c r="H151" s="255">
        <v>345345.0</v>
      </c>
      <c r="I151" s="255">
        <v>345345.0</v>
      </c>
      <c r="M151" s="255">
        <v>345345.0</v>
      </c>
      <c r="P151" s="255">
        <v>2342.0</v>
      </c>
      <c r="Q151" s="255" t="s">
        <v>2207</v>
      </c>
      <c r="R151" s="255" t="s">
        <v>2207</v>
      </c>
      <c r="T151" s="255">
        <v>234234.0</v>
      </c>
      <c r="U151" s="255">
        <v>234234.0</v>
      </c>
      <c r="V151" s="255">
        <v>2.0</v>
      </c>
      <c r="W151" s="259">
        <v>45157.0</v>
      </c>
      <c r="X151" s="260" t="s">
        <v>2235</v>
      </c>
      <c r="Y151" s="259">
        <v>45157.0</v>
      </c>
      <c r="AA151" s="255">
        <v>2.3423423E7</v>
      </c>
      <c r="AB151" s="255">
        <v>345.0</v>
      </c>
      <c r="AD151" s="258" t="s">
        <v>4384</v>
      </c>
      <c r="AE151" s="255" t="s">
        <v>60</v>
      </c>
    </row>
    <row r="152">
      <c r="A152" s="257">
        <v>45160.635200370365</v>
      </c>
      <c r="B152" s="259">
        <v>45160.0</v>
      </c>
      <c r="G152" s="255" t="s">
        <v>2256</v>
      </c>
      <c r="I152" s="255" t="s">
        <v>4385</v>
      </c>
      <c r="M152" s="255" t="s">
        <v>4386</v>
      </c>
      <c r="P152" s="255">
        <v>1400.0</v>
      </c>
      <c r="Q152" s="255" t="s">
        <v>2207</v>
      </c>
      <c r="R152" s="255" t="s">
        <v>2207</v>
      </c>
      <c r="T152" s="255">
        <v>130000.0</v>
      </c>
      <c r="U152" s="255">
        <v>15150.0</v>
      </c>
      <c r="V152" s="255">
        <v>0.0</v>
      </c>
      <c r="W152" s="259">
        <v>45160.0</v>
      </c>
      <c r="X152" s="260" t="s">
        <v>2231</v>
      </c>
      <c r="Y152" s="259">
        <v>45160.0</v>
      </c>
      <c r="AA152" s="255" t="s">
        <v>489</v>
      </c>
      <c r="AB152" s="255">
        <v>700.0</v>
      </c>
      <c r="AD152" s="258" t="s">
        <v>4387</v>
      </c>
      <c r="AE152" s="255" t="s">
        <v>472</v>
      </c>
      <c r="AF152" s="255" t="s">
        <v>2208</v>
      </c>
      <c r="AG152" s="256"/>
    </row>
    <row r="153">
      <c r="A153" s="257">
        <v>45161.82432092592</v>
      </c>
      <c r="B153" s="259">
        <v>45161.0</v>
      </c>
      <c r="M153" s="255">
        <v>10000.0</v>
      </c>
      <c r="Q153" s="255" t="s">
        <v>2207</v>
      </c>
      <c r="R153" s="255" t="s">
        <v>2207</v>
      </c>
      <c r="T153" s="255">
        <v>120000.0</v>
      </c>
      <c r="V153" s="255">
        <v>0.0</v>
      </c>
      <c r="W153" s="259">
        <v>45161.0</v>
      </c>
      <c r="X153" s="260" t="s">
        <v>2231</v>
      </c>
      <c r="Y153" s="259">
        <v>45171.0</v>
      </c>
      <c r="AC153" s="255">
        <v>11000.0</v>
      </c>
      <c r="AD153" s="258" t="s">
        <v>4388</v>
      </c>
      <c r="AE153" s="255" t="s">
        <v>4354</v>
      </c>
      <c r="AF153" s="255" t="s">
        <v>2279</v>
      </c>
      <c r="AG153" s="256"/>
    </row>
    <row r="154">
      <c r="A154" s="257">
        <v>45162.386041527774</v>
      </c>
      <c r="B154" s="259">
        <v>45162.0</v>
      </c>
      <c r="F154" s="255" t="s">
        <v>4389</v>
      </c>
      <c r="G154" s="255" t="s">
        <v>4390</v>
      </c>
      <c r="H154" s="260" t="s">
        <v>4391</v>
      </c>
      <c r="M154" s="255" t="s">
        <v>4392</v>
      </c>
      <c r="P154" s="255">
        <v>7000.0</v>
      </c>
      <c r="Q154" s="255" t="s">
        <v>2207</v>
      </c>
      <c r="R154" s="255" t="s">
        <v>2207</v>
      </c>
      <c r="T154" s="255">
        <v>100000.0</v>
      </c>
      <c r="U154" s="255">
        <v>23127.0</v>
      </c>
      <c r="V154" s="255">
        <v>1.0</v>
      </c>
      <c r="W154" s="259">
        <v>45162.0</v>
      </c>
      <c r="X154" s="260" t="s">
        <v>2265</v>
      </c>
      <c r="Y154" s="259">
        <v>45173.0</v>
      </c>
      <c r="AA154" s="255" t="s">
        <v>495</v>
      </c>
      <c r="AB154" s="255">
        <v>637.0</v>
      </c>
      <c r="AE154" s="255" t="s">
        <v>461</v>
      </c>
      <c r="AF154" s="255" t="s">
        <v>2208</v>
      </c>
      <c r="AG154" s="256"/>
    </row>
    <row r="155">
      <c r="A155" s="257">
        <v>45162.51313755787</v>
      </c>
      <c r="B155" s="259">
        <v>45162.0</v>
      </c>
      <c r="G155" s="255" t="s">
        <v>4393</v>
      </c>
      <c r="H155" s="260" t="s">
        <v>4394</v>
      </c>
      <c r="M155" s="255" t="s">
        <v>4395</v>
      </c>
      <c r="P155" s="255">
        <v>7500.0</v>
      </c>
      <c r="Q155" s="255" t="s">
        <v>2207</v>
      </c>
      <c r="R155" s="255" t="s">
        <v>2207</v>
      </c>
      <c r="T155" s="255">
        <v>75000.0</v>
      </c>
      <c r="U155" s="255">
        <v>6150.0</v>
      </c>
      <c r="V155" s="255">
        <v>1.0</v>
      </c>
      <c r="W155" s="259">
        <v>45162.0</v>
      </c>
      <c r="X155" s="260" t="s">
        <v>2330</v>
      </c>
      <c r="Y155" s="259">
        <v>45193.0</v>
      </c>
      <c r="AA155" s="255" t="s">
        <v>498</v>
      </c>
      <c r="AC155" s="255">
        <v>7500.0</v>
      </c>
      <c r="AD155" s="258" t="s">
        <v>4396</v>
      </c>
      <c r="AE155" s="255" t="s">
        <v>279</v>
      </c>
      <c r="AF155" s="255" t="s">
        <v>2227</v>
      </c>
      <c r="AG155" s="256"/>
    </row>
    <row r="156">
      <c r="A156" s="257">
        <v>45165.6572024537</v>
      </c>
      <c r="B156" s="259">
        <v>45165.0</v>
      </c>
      <c r="F156" s="255" t="s">
        <v>4397</v>
      </c>
      <c r="G156" s="255" t="s">
        <v>4398</v>
      </c>
      <c r="H156" s="255" t="s">
        <v>4399</v>
      </c>
      <c r="M156" s="255" t="s">
        <v>4400</v>
      </c>
      <c r="P156" s="255">
        <v>3200.0</v>
      </c>
      <c r="Q156" s="255" t="s">
        <v>4398</v>
      </c>
      <c r="R156" s="255" t="s">
        <v>2207</v>
      </c>
      <c r="T156" s="255">
        <v>100000.0</v>
      </c>
      <c r="V156" s="255">
        <v>2.0</v>
      </c>
      <c r="W156" s="259">
        <v>45165.0</v>
      </c>
      <c r="X156" s="260" t="s">
        <v>2246</v>
      </c>
      <c r="Y156" s="259">
        <v>45169.0</v>
      </c>
      <c r="AA156" s="255" t="s">
        <v>501</v>
      </c>
      <c r="AB156" s="255">
        <v>800.0</v>
      </c>
      <c r="AD156" s="258" t="s">
        <v>4401</v>
      </c>
      <c r="AE156" s="255" t="s">
        <v>461</v>
      </c>
    </row>
    <row r="157">
      <c r="A157" s="257">
        <v>45168.89435569444</v>
      </c>
      <c r="B157" s="259">
        <v>45169.0</v>
      </c>
      <c r="F157" s="255" t="s">
        <v>4402</v>
      </c>
      <c r="G157" s="255" t="s">
        <v>4398</v>
      </c>
      <c r="H157" s="255" t="s">
        <v>4399</v>
      </c>
      <c r="M157" s="255" t="s">
        <v>4400</v>
      </c>
      <c r="P157" s="255">
        <v>2000.0</v>
      </c>
      <c r="Q157" s="255" t="s">
        <v>2207</v>
      </c>
      <c r="R157" s="255" t="s">
        <v>2207</v>
      </c>
      <c r="T157" s="255">
        <v>180000.0</v>
      </c>
      <c r="U157" s="255">
        <v>20000.0</v>
      </c>
      <c r="V157" s="255">
        <v>0.0</v>
      </c>
      <c r="W157" s="259">
        <v>45169.0</v>
      </c>
      <c r="X157" s="260" t="s">
        <v>2470</v>
      </c>
      <c r="Y157" s="259">
        <v>45170.0</v>
      </c>
      <c r="AA157" s="255" t="s">
        <v>504</v>
      </c>
      <c r="AB157" s="255">
        <v>2000.0</v>
      </c>
      <c r="AD157" s="258" t="s">
        <v>4403</v>
      </c>
      <c r="AE157" s="255" t="s">
        <v>483</v>
      </c>
      <c r="AF157" s="255" t="s">
        <v>2320</v>
      </c>
      <c r="AG157" s="256"/>
    </row>
    <row r="158">
      <c r="A158" s="257">
        <v>45170.65603883102</v>
      </c>
      <c r="B158" s="259">
        <v>45170.0</v>
      </c>
      <c r="M158" s="255">
        <v>5000.0</v>
      </c>
      <c r="P158" s="255">
        <v>3668.0</v>
      </c>
      <c r="Q158" s="255" t="s">
        <v>2207</v>
      </c>
      <c r="R158" s="255" t="s">
        <v>2207</v>
      </c>
      <c r="T158" s="255">
        <v>140000.0</v>
      </c>
      <c r="U158" s="255">
        <v>19539.0</v>
      </c>
      <c r="V158" s="255">
        <v>1.0</v>
      </c>
      <c r="W158" s="259">
        <v>45170.0</v>
      </c>
      <c r="X158" s="260" t="s">
        <v>2215</v>
      </c>
      <c r="Y158" s="259">
        <v>45177.0</v>
      </c>
      <c r="AA158" s="255" t="s">
        <v>4404</v>
      </c>
      <c r="AB158" s="255">
        <v>500.0</v>
      </c>
      <c r="AD158" s="258" t="s">
        <v>4405</v>
      </c>
      <c r="AE158" s="255" t="s">
        <v>32</v>
      </c>
      <c r="AF158" s="255" t="s">
        <v>2279</v>
      </c>
      <c r="AG158" s="256"/>
    </row>
    <row r="159">
      <c r="A159" s="257">
        <v>45171.59989254629</v>
      </c>
      <c r="B159" s="259">
        <v>45171.0</v>
      </c>
      <c r="F159" s="255" t="s">
        <v>4406</v>
      </c>
      <c r="G159" s="255" t="s">
        <v>4170</v>
      </c>
      <c r="H159" s="255" t="s">
        <v>4407</v>
      </c>
      <c r="M159" s="255">
        <v>10000.0</v>
      </c>
      <c r="P159" s="255">
        <v>2100.0</v>
      </c>
      <c r="Q159" s="255" t="s">
        <v>2207</v>
      </c>
      <c r="R159" s="255" t="s">
        <v>2207</v>
      </c>
      <c r="T159" s="255">
        <v>100000.0</v>
      </c>
      <c r="U159" s="255">
        <v>23730.0</v>
      </c>
      <c r="V159" s="255">
        <v>0.0</v>
      </c>
      <c r="W159" s="259">
        <v>45171.0</v>
      </c>
      <c r="X159" s="260" t="s">
        <v>2231</v>
      </c>
      <c r="Y159" s="259">
        <v>45174.0</v>
      </c>
      <c r="AB159" s="255">
        <v>700.0</v>
      </c>
      <c r="AD159" s="258" t="s">
        <v>4408</v>
      </c>
      <c r="AE159" s="255" t="s">
        <v>461</v>
      </c>
      <c r="AF159" s="255" t="s">
        <v>2208</v>
      </c>
      <c r="AG159" s="256"/>
    </row>
    <row r="160">
      <c r="A160" s="257">
        <v>45171.62735974537</v>
      </c>
      <c r="B160" s="259">
        <v>45172.0</v>
      </c>
      <c r="M160" s="255" t="s">
        <v>1980</v>
      </c>
      <c r="P160" s="255">
        <v>17000.0</v>
      </c>
      <c r="Q160" s="255" t="s">
        <v>2207</v>
      </c>
      <c r="R160" s="255" t="s">
        <v>2207</v>
      </c>
      <c r="T160" s="255">
        <v>190000.0</v>
      </c>
      <c r="U160" s="255">
        <v>20000.0</v>
      </c>
      <c r="V160" s="255">
        <v>2.0</v>
      </c>
      <c r="W160" s="259">
        <v>45172.0</v>
      </c>
      <c r="X160" s="260" t="s">
        <v>2215</v>
      </c>
      <c r="Y160" s="259">
        <v>45202.0</v>
      </c>
      <c r="AA160" s="255" t="s">
        <v>4409</v>
      </c>
      <c r="AC160" s="255">
        <v>17000.0</v>
      </c>
      <c r="AD160" s="258" t="s">
        <v>4410</v>
      </c>
      <c r="AE160" s="255" t="s">
        <v>483</v>
      </c>
      <c r="AF160" s="255" t="s">
        <v>2270</v>
      </c>
      <c r="AG160" s="256"/>
    </row>
    <row r="161">
      <c r="A161" s="257">
        <v>45171.630825671295</v>
      </c>
      <c r="B161" s="259">
        <v>45172.0</v>
      </c>
      <c r="F161" s="255" t="s">
        <v>4411</v>
      </c>
      <c r="M161" s="255" t="s">
        <v>1980</v>
      </c>
      <c r="P161" s="255">
        <v>17000.0</v>
      </c>
      <c r="Q161" s="255" t="s">
        <v>2207</v>
      </c>
      <c r="R161" s="255" t="s">
        <v>2207</v>
      </c>
      <c r="T161" s="255">
        <v>190000.0</v>
      </c>
      <c r="U161" s="255">
        <v>20500.0</v>
      </c>
      <c r="V161" s="255">
        <v>2.0</v>
      </c>
      <c r="W161" s="259">
        <v>45172.0</v>
      </c>
      <c r="X161" s="260" t="s">
        <v>2215</v>
      </c>
      <c r="Y161" s="259">
        <v>45202.0</v>
      </c>
      <c r="AA161" s="255" t="s">
        <v>510</v>
      </c>
      <c r="AC161" s="255">
        <v>17000.0</v>
      </c>
      <c r="AD161" s="258" t="s">
        <v>4412</v>
      </c>
      <c r="AE161" s="255" t="s">
        <v>483</v>
      </c>
      <c r="AF161" s="255" t="s">
        <v>2270</v>
      </c>
      <c r="AG161" s="256"/>
    </row>
    <row r="162">
      <c r="A162" s="257">
        <v>45172.64667519676</v>
      </c>
      <c r="B162" s="259">
        <v>45172.0</v>
      </c>
      <c r="F162" s="255" t="s">
        <v>4413</v>
      </c>
      <c r="G162" s="255" t="s">
        <v>3723</v>
      </c>
      <c r="M162" s="255">
        <v>10000.0</v>
      </c>
      <c r="P162" s="255">
        <v>10000.0</v>
      </c>
      <c r="Q162" s="255" t="s">
        <v>4414</v>
      </c>
      <c r="R162" s="255" t="s">
        <v>2207</v>
      </c>
      <c r="T162" s="255">
        <v>100000.0</v>
      </c>
      <c r="U162" s="255">
        <v>15000.0</v>
      </c>
      <c r="V162" s="255">
        <v>0.0</v>
      </c>
      <c r="W162" s="259">
        <v>45172.0</v>
      </c>
      <c r="X162" s="260" t="s">
        <v>2215</v>
      </c>
      <c r="Y162" s="259">
        <v>45202.0</v>
      </c>
      <c r="AA162" s="255" t="s">
        <v>513</v>
      </c>
      <c r="AC162" s="255">
        <v>10000.0</v>
      </c>
      <c r="AD162" s="258" t="s">
        <v>4415</v>
      </c>
      <c r="AE162" s="255" t="s">
        <v>427</v>
      </c>
      <c r="AF162" s="255" t="s">
        <v>2208</v>
      </c>
      <c r="AG162" s="256"/>
    </row>
    <row r="163">
      <c r="A163" s="257">
        <v>45174.53211181713</v>
      </c>
      <c r="B163" s="259">
        <v>45174.0</v>
      </c>
      <c r="M163" s="255" t="s">
        <v>515</v>
      </c>
      <c r="P163" s="255">
        <v>5500.0</v>
      </c>
      <c r="Q163" s="255" t="s">
        <v>2207</v>
      </c>
      <c r="R163" s="255" t="s">
        <v>2207</v>
      </c>
      <c r="T163" s="255">
        <v>120000.0</v>
      </c>
      <c r="U163" s="255">
        <v>10500.0</v>
      </c>
      <c r="V163" s="255">
        <v>1.0</v>
      </c>
      <c r="W163" s="259">
        <v>45174.0</v>
      </c>
      <c r="X163" s="260" t="s">
        <v>2221</v>
      </c>
      <c r="Y163" s="259">
        <v>45186.0</v>
      </c>
      <c r="AA163" s="255" t="s">
        <v>517</v>
      </c>
      <c r="AB163" s="255">
        <v>458.0</v>
      </c>
      <c r="AD163" s="258" t="s">
        <v>4416</v>
      </c>
      <c r="AE163" s="255" t="s">
        <v>4417</v>
      </c>
      <c r="AF163" s="255" t="s">
        <v>3177</v>
      </c>
      <c r="AG163" s="256"/>
    </row>
    <row r="164">
      <c r="A164" s="257">
        <v>45175.46784629629</v>
      </c>
      <c r="B164" s="259">
        <v>45175.0</v>
      </c>
      <c r="F164" s="255" t="s">
        <v>4418</v>
      </c>
      <c r="G164" s="255" t="s">
        <v>4419</v>
      </c>
      <c r="H164" s="260" t="s">
        <v>4420</v>
      </c>
      <c r="M164" s="255" t="s">
        <v>515</v>
      </c>
      <c r="P164" s="255">
        <v>2400.0</v>
      </c>
      <c r="Q164" s="255" t="s">
        <v>2207</v>
      </c>
      <c r="R164" s="255" t="s">
        <v>2207</v>
      </c>
      <c r="T164" s="255">
        <v>130000.0</v>
      </c>
      <c r="U164" s="255">
        <v>15640.0</v>
      </c>
      <c r="V164" s="255">
        <v>0.0</v>
      </c>
      <c r="W164" s="259">
        <v>45175.0</v>
      </c>
      <c r="X164" s="260" t="s">
        <v>2265</v>
      </c>
      <c r="Y164" s="259">
        <v>45178.0</v>
      </c>
      <c r="AA164" s="255" t="s">
        <v>4421</v>
      </c>
      <c r="AB164" s="255">
        <v>800.0</v>
      </c>
      <c r="AD164" s="258" t="s">
        <v>4422</v>
      </c>
      <c r="AE164" s="255" t="s">
        <v>472</v>
      </c>
      <c r="AF164" s="255" t="s">
        <v>2279</v>
      </c>
      <c r="AG164" s="256"/>
    </row>
    <row r="165">
      <c r="A165" s="257">
        <v>45176.63437332176</v>
      </c>
      <c r="B165" s="259">
        <v>45176.0</v>
      </c>
      <c r="F165" s="255" t="s">
        <v>4423</v>
      </c>
      <c r="G165" s="255" t="s">
        <v>4424</v>
      </c>
      <c r="H165" s="260" t="s">
        <v>4425</v>
      </c>
      <c r="M165" s="255" t="s">
        <v>912</v>
      </c>
      <c r="P165" s="255">
        <v>4500.0</v>
      </c>
      <c r="Q165" s="255" t="s">
        <v>4426</v>
      </c>
      <c r="R165" s="255" t="s">
        <v>2207</v>
      </c>
      <c r="T165" s="255">
        <v>75000.0</v>
      </c>
      <c r="U165" s="255">
        <v>19300.0</v>
      </c>
      <c r="V165" s="255">
        <v>2.0</v>
      </c>
      <c r="W165" s="259">
        <v>45176.0</v>
      </c>
      <c r="X165" s="260" t="s">
        <v>2250</v>
      </c>
      <c r="Y165" s="259">
        <v>45192.0</v>
      </c>
      <c r="AA165" s="255" t="s">
        <v>524</v>
      </c>
      <c r="AB165" s="255">
        <v>281.0</v>
      </c>
      <c r="AD165" s="258" t="s">
        <v>4427</v>
      </c>
      <c r="AE165" s="255" t="s">
        <v>48</v>
      </c>
      <c r="AF165" s="255" t="s">
        <v>2208</v>
      </c>
      <c r="AG165" s="256"/>
    </row>
    <row r="166">
      <c r="A166" s="257">
        <v>45178.630120428235</v>
      </c>
      <c r="AD166" s="258" t="s">
        <v>4428</v>
      </c>
      <c r="AE166" s="255" t="s">
        <v>37</v>
      </c>
    </row>
    <row r="167">
      <c r="A167" s="257">
        <v>45180.458695312496</v>
      </c>
      <c r="B167" s="259">
        <v>45180.0</v>
      </c>
      <c r="F167" s="255" t="s">
        <v>4429</v>
      </c>
      <c r="M167" s="255">
        <v>3000.0</v>
      </c>
      <c r="P167" s="255">
        <v>5000.0</v>
      </c>
      <c r="Q167" s="255" t="s">
        <v>2207</v>
      </c>
      <c r="R167" s="255" t="s">
        <v>2207</v>
      </c>
      <c r="T167" s="255">
        <v>75000.0</v>
      </c>
      <c r="U167" s="255">
        <v>17000.0</v>
      </c>
      <c r="V167" s="255">
        <v>0.0</v>
      </c>
      <c r="W167" s="259">
        <v>45180.0</v>
      </c>
      <c r="X167" s="260" t="s">
        <v>2330</v>
      </c>
      <c r="Y167" s="259">
        <v>45241.0</v>
      </c>
      <c r="AA167" s="255" t="s">
        <v>529</v>
      </c>
      <c r="AC167" s="255">
        <v>5000.0</v>
      </c>
      <c r="AD167" s="258" t="s">
        <v>4430</v>
      </c>
      <c r="AE167" s="255" t="s">
        <v>56</v>
      </c>
      <c r="AF167" s="255" t="s">
        <v>2208</v>
      </c>
      <c r="AG167" s="256"/>
    </row>
    <row r="168">
      <c r="A168" s="257">
        <v>45180.72789879629</v>
      </c>
      <c r="B168" s="259">
        <v>45183.0</v>
      </c>
      <c r="G168" s="255" t="s">
        <v>4431</v>
      </c>
      <c r="H168" s="255" t="s">
        <v>4432</v>
      </c>
      <c r="M168" s="255">
        <v>5000.0</v>
      </c>
      <c r="P168" s="255">
        <v>4200.0</v>
      </c>
      <c r="Q168" s="255" t="s">
        <v>4433</v>
      </c>
      <c r="R168" s="255" t="s">
        <v>2207</v>
      </c>
      <c r="T168" s="255">
        <v>145000.0</v>
      </c>
      <c r="U168" s="255">
        <v>23500.0</v>
      </c>
      <c r="V168" s="255">
        <v>2.0</v>
      </c>
      <c r="W168" s="259">
        <v>45183.0</v>
      </c>
      <c r="X168" s="260" t="s">
        <v>2231</v>
      </c>
      <c r="Y168" s="259">
        <v>45190.0</v>
      </c>
      <c r="AA168" s="255" t="s">
        <v>532</v>
      </c>
      <c r="AB168" s="255">
        <v>600.0</v>
      </c>
      <c r="AD168" s="258" t="s">
        <v>4434</v>
      </c>
      <c r="AE168" s="255" t="s">
        <v>113</v>
      </c>
      <c r="AF168" s="255" t="s">
        <v>2208</v>
      </c>
      <c r="AG168" s="256"/>
    </row>
    <row r="169">
      <c r="A169" s="257">
        <v>45187.43093795139</v>
      </c>
      <c r="B169" s="259">
        <v>45187.0</v>
      </c>
      <c r="F169" s="255" t="s">
        <v>4435</v>
      </c>
      <c r="M169" s="255">
        <v>5000.0</v>
      </c>
      <c r="P169" s="255">
        <v>3500.0</v>
      </c>
      <c r="Q169" s="255" t="s">
        <v>2207</v>
      </c>
      <c r="R169" s="255" t="s">
        <v>2207</v>
      </c>
      <c r="T169" s="255">
        <v>140000.0</v>
      </c>
      <c r="U169" s="255">
        <v>25637.0</v>
      </c>
      <c r="V169" s="255">
        <v>0.0</v>
      </c>
      <c r="W169" s="259">
        <v>45187.0</v>
      </c>
      <c r="X169" s="260" t="s">
        <v>2265</v>
      </c>
      <c r="Y169" s="259">
        <v>45194.0</v>
      </c>
      <c r="AA169" s="255" t="s">
        <v>534</v>
      </c>
      <c r="AB169" s="255">
        <v>500.0</v>
      </c>
      <c r="AD169" s="258" t="s">
        <v>4436</v>
      </c>
      <c r="AE169" s="255" t="s">
        <v>155</v>
      </c>
      <c r="AF169" s="255" t="s">
        <v>2270</v>
      </c>
      <c r="AG169" s="256"/>
    </row>
    <row r="170">
      <c r="A170" s="257">
        <v>45188.696478935184</v>
      </c>
      <c r="B170" s="259">
        <v>45281.0</v>
      </c>
      <c r="F170" s="255" t="s">
        <v>4437</v>
      </c>
      <c r="M170" s="255">
        <v>5000.0</v>
      </c>
      <c r="P170" s="255">
        <v>3000.0</v>
      </c>
      <c r="Q170" s="255" t="s">
        <v>2207</v>
      </c>
      <c r="R170" s="255" t="s">
        <v>2207</v>
      </c>
      <c r="T170" s="255">
        <v>140000.0</v>
      </c>
      <c r="V170" s="255">
        <v>2.0</v>
      </c>
      <c r="W170" s="259">
        <v>45281.0</v>
      </c>
      <c r="X170" s="260" t="s">
        <v>2265</v>
      </c>
      <c r="Y170" s="259">
        <v>45307.0</v>
      </c>
      <c r="AA170" s="255" t="s">
        <v>749</v>
      </c>
      <c r="AB170" s="255">
        <v>600.0</v>
      </c>
      <c r="AD170" s="258" t="s">
        <v>4438</v>
      </c>
      <c r="AE170" s="255" t="s">
        <v>113</v>
      </c>
      <c r="AF170" s="255" t="s">
        <v>2208</v>
      </c>
      <c r="AG170" s="256"/>
    </row>
    <row r="171">
      <c r="A171" s="257">
        <v>45193.42613465278</v>
      </c>
      <c r="B171" s="259">
        <v>45193.0</v>
      </c>
      <c r="F171" s="255" t="s">
        <v>4439</v>
      </c>
      <c r="G171" s="255" t="s">
        <v>4440</v>
      </c>
      <c r="H171" s="260" t="s">
        <v>4441</v>
      </c>
      <c r="I171" s="255" t="s">
        <v>4442</v>
      </c>
      <c r="M171" s="255">
        <v>10000.0</v>
      </c>
      <c r="P171" s="255">
        <v>12000.0</v>
      </c>
      <c r="Q171" s="255" t="s">
        <v>4443</v>
      </c>
      <c r="R171" s="255" t="s">
        <v>2207</v>
      </c>
      <c r="T171" s="255">
        <v>130000.0</v>
      </c>
      <c r="U171" s="255">
        <v>10900.0</v>
      </c>
      <c r="V171" s="255">
        <v>1.0</v>
      </c>
      <c r="W171" s="259">
        <v>45193.0</v>
      </c>
      <c r="X171" s="260" t="s">
        <v>2330</v>
      </c>
      <c r="Y171" s="259">
        <v>45223.0</v>
      </c>
      <c r="AA171" s="255" t="s">
        <v>537</v>
      </c>
      <c r="AC171" s="255">
        <v>12000.0</v>
      </c>
      <c r="AD171" s="258" t="s">
        <v>4444</v>
      </c>
      <c r="AE171" s="255" t="s">
        <v>4417</v>
      </c>
      <c r="AF171" s="255" t="s">
        <v>2208</v>
      </c>
      <c r="AG171" s="256"/>
    </row>
    <row r="172">
      <c r="A172" s="257">
        <v>45196.598814745375</v>
      </c>
      <c r="B172" s="259">
        <v>45196.0</v>
      </c>
      <c r="C172" s="255" t="s">
        <v>4445</v>
      </c>
      <c r="D172" s="255" t="s">
        <v>4445</v>
      </c>
      <c r="E172" s="255" t="s">
        <v>538</v>
      </c>
      <c r="H172" s="260" t="s">
        <v>4446</v>
      </c>
      <c r="J172" s="255" t="s">
        <v>4447</v>
      </c>
      <c r="K172" s="259">
        <v>34491.0</v>
      </c>
      <c r="L172" s="259">
        <v>48223.0</v>
      </c>
      <c r="M172" s="255">
        <v>3000.0</v>
      </c>
      <c r="P172" s="255">
        <v>1000.0</v>
      </c>
      <c r="Q172" s="255" t="s">
        <v>2207</v>
      </c>
      <c r="R172" s="255" t="s">
        <v>2207</v>
      </c>
      <c r="T172" s="255">
        <v>75000.0</v>
      </c>
      <c r="U172" s="255">
        <v>19715.0</v>
      </c>
      <c r="V172" s="255">
        <v>2.0</v>
      </c>
      <c r="W172" s="259">
        <v>45196.0</v>
      </c>
      <c r="X172" s="260" t="s">
        <v>3126</v>
      </c>
      <c r="Y172" s="259">
        <v>45199.0</v>
      </c>
      <c r="AB172" s="255">
        <v>250.0</v>
      </c>
      <c r="AE172" s="255" t="s">
        <v>48</v>
      </c>
      <c r="AF172" s="255" t="s">
        <v>2208</v>
      </c>
      <c r="AG172" s="256"/>
    </row>
    <row r="173">
      <c r="A173" s="257">
        <v>45198.88116986111</v>
      </c>
      <c r="B173" s="259">
        <v>45198.0</v>
      </c>
      <c r="F173" s="255" t="s">
        <v>4448</v>
      </c>
      <c r="M173" s="255">
        <v>8000.0</v>
      </c>
      <c r="P173" s="255">
        <v>1800.0</v>
      </c>
      <c r="Q173" s="255" t="s">
        <v>2207</v>
      </c>
      <c r="R173" s="255" t="s">
        <v>2207</v>
      </c>
      <c r="T173" s="255">
        <v>75000.0</v>
      </c>
      <c r="U173" s="255">
        <v>8900.0</v>
      </c>
      <c r="V173" s="255">
        <v>0.0</v>
      </c>
      <c r="W173" s="259">
        <v>45198.0</v>
      </c>
      <c r="X173" s="260" t="s">
        <v>3213</v>
      </c>
      <c r="Y173" s="259">
        <v>45201.0</v>
      </c>
      <c r="AA173" s="255" t="s">
        <v>541</v>
      </c>
      <c r="AB173" s="255">
        <v>600.0</v>
      </c>
      <c r="AD173" s="258" t="s">
        <v>4449</v>
      </c>
      <c r="AE173" s="255" t="s">
        <v>286</v>
      </c>
      <c r="AF173" s="255" t="s">
        <v>2279</v>
      </c>
      <c r="AG173" s="256"/>
    </row>
    <row r="174">
      <c r="A174" s="257">
        <v>45198.900575694446</v>
      </c>
      <c r="B174" s="259">
        <v>45198.0</v>
      </c>
      <c r="F174" s="255" t="s">
        <v>4448</v>
      </c>
      <c r="M174" s="255">
        <v>8000.0</v>
      </c>
      <c r="P174" s="255">
        <v>1800.0</v>
      </c>
      <c r="Q174" s="255" t="s">
        <v>2207</v>
      </c>
      <c r="R174" s="255" t="s">
        <v>2207</v>
      </c>
      <c r="T174" s="255">
        <v>75000.0</v>
      </c>
      <c r="U174" s="255">
        <v>8900.0</v>
      </c>
      <c r="V174" s="255">
        <v>0.0</v>
      </c>
      <c r="W174" s="259">
        <v>45198.0</v>
      </c>
      <c r="X174" s="260" t="s">
        <v>3213</v>
      </c>
      <c r="Y174" s="259">
        <v>45201.0</v>
      </c>
      <c r="AA174" s="255" t="s">
        <v>541</v>
      </c>
      <c r="AB174" s="255">
        <v>600.0</v>
      </c>
      <c r="AD174" s="258" t="s">
        <v>4450</v>
      </c>
      <c r="AE174" s="255" t="s">
        <v>286</v>
      </c>
      <c r="AF174" s="255" t="s">
        <v>2279</v>
      </c>
      <c r="AG174" s="256"/>
    </row>
    <row r="175">
      <c r="A175" s="257">
        <v>45198.91695491898</v>
      </c>
      <c r="B175" s="259">
        <v>45198.0</v>
      </c>
      <c r="M175" s="255">
        <v>8000.0</v>
      </c>
      <c r="P175" s="255">
        <v>1800.0</v>
      </c>
      <c r="Q175" s="255" t="s">
        <v>2207</v>
      </c>
      <c r="R175" s="255" t="s">
        <v>2207</v>
      </c>
      <c r="T175" s="255">
        <v>75000.0</v>
      </c>
      <c r="U175" s="255">
        <v>8900.0</v>
      </c>
      <c r="V175" s="255">
        <v>0.0</v>
      </c>
      <c r="W175" s="259">
        <v>45198.0</v>
      </c>
      <c r="X175" s="260" t="s">
        <v>3213</v>
      </c>
      <c r="Y175" s="259">
        <v>45201.0</v>
      </c>
      <c r="AA175" s="255" t="s">
        <v>4451</v>
      </c>
      <c r="AB175" s="255">
        <v>600.0</v>
      </c>
      <c r="AD175" s="267" t="s">
        <v>4452</v>
      </c>
      <c r="AE175" s="255" t="s">
        <v>286</v>
      </c>
      <c r="AF175" s="255" t="s">
        <v>2279</v>
      </c>
      <c r="AG175" s="256"/>
    </row>
    <row r="176">
      <c r="A176" s="257">
        <v>45198.93522855324</v>
      </c>
      <c r="B176" s="259">
        <v>45198.0</v>
      </c>
      <c r="M176" s="255">
        <v>8000.0</v>
      </c>
      <c r="P176" s="255">
        <v>1800.0</v>
      </c>
      <c r="Q176" s="255" t="s">
        <v>2207</v>
      </c>
      <c r="R176" s="255" t="s">
        <v>2207</v>
      </c>
      <c r="T176" s="255">
        <v>75000.0</v>
      </c>
      <c r="U176" s="255">
        <v>8900.0</v>
      </c>
      <c r="V176" s="255">
        <v>0.0</v>
      </c>
      <c r="W176" s="259">
        <v>45198.0</v>
      </c>
      <c r="X176" s="260" t="s">
        <v>3213</v>
      </c>
      <c r="Y176" s="259">
        <v>45201.0</v>
      </c>
      <c r="AA176" s="255" t="s">
        <v>541</v>
      </c>
      <c r="AB176" s="255">
        <v>600.0</v>
      </c>
      <c r="AD176" s="267" t="s">
        <v>4452</v>
      </c>
      <c r="AE176" s="255" t="s">
        <v>286</v>
      </c>
      <c r="AF176" s="255" t="s">
        <v>2279</v>
      </c>
      <c r="AG176" s="256"/>
    </row>
    <row r="177">
      <c r="A177" s="257">
        <v>45200.47624758102</v>
      </c>
      <c r="B177" s="259">
        <v>45200.0</v>
      </c>
      <c r="F177" s="255" t="s">
        <v>4453</v>
      </c>
      <c r="G177" s="255" t="s">
        <v>4454</v>
      </c>
      <c r="H177" s="260" t="s">
        <v>4455</v>
      </c>
      <c r="M177" s="255">
        <v>7500.0</v>
      </c>
      <c r="P177" s="255">
        <v>1800.0</v>
      </c>
      <c r="Q177" s="255" t="s">
        <v>4456</v>
      </c>
      <c r="R177" s="255" t="s">
        <v>2207</v>
      </c>
      <c r="T177" s="255">
        <v>75000.0</v>
      </c>
      <c r="V177" s="255">
        <v>2.0</v>
      </c>
      <c r="W177" s="259">
        <v>45200.0</v>
      </c>
      <c r="X177" s="260" t="s">
        <v>2221</v>
      </c>
      <c r="Y177" s="259">
        <v>45203.0</v>
      </c>
      <c r="AA177" s="255" t="s">
        <v>4457</v>
      </c>
      <c r="AB177" s="255">
        <v>600.0</v>
      </c>
      <c r="AD177" s="258" t="s">
        <v>4458</v>
      </c>
      <c r="AE177" s="255" t="s">
        <v>193</v>
      </c>
      <c r="AF177" s="255" t="s">
        <v>2208</v>
      </c>
      <c r="AG177" s="256"/>
    </row>
    <row r="178">
      <c r="A178" s="257">
        <v>45202.59842869213</v>
      </c>
      <c r="B178" s="259">
        <v>45202.0</v>
      </c>
      <c r="F178" s="255" t="s">
        <v>4413</v>
      </c>
      <c r="G178" s="255" t="s">
        <v>4459</v>
      </c>
      <c r="M178" s="255">
        <v>10000.0</v>
      </c>
      <c r="P178" s="255">
        <v>9000.0</v>
      </c>
      <c r="Q178" s="255" t="s">
        <v>4170</v>
      </c>
      <c r="R178" s="255" t="s">
        <v>2207</v>
      </c>
      <c r="T178" s="255">
        <v>180000.0</v>
      </c>
      <c r="U178" s="255">
        <v>21220.0</v>
      </c>
      <c r="V178" s="255">
        <v>0.0</v>
      </c>
      <c r="W178" s="259">
        <v>45202.0</v>
      </c>
      <c r="X178" s="260" t="s">
        <v>2215</v>
      </c>
      <c r="Y178" s="259">
        <v>45233.0</v>
      </c>
      <c r="AA178" s="255" t="s">
        <v>513</v>
      </c>
      <c r="AC178" s="255">
        <v>17000.0</v>
      </c>
      <c r="AD178" s="258" t="s">
        <v>4460</v>
      </c>
      <c r="AE178" s="255" t="s">
        <v>483</v>
      </c>
      <c r="AF178" s="255" t="s">
        <v>2208</v>
      </c>
      <c r="AG178" s="256"/>
    </row>
    <row r="179">
      <c r="A179" s="257">
        <v>45204.65133806713</v>
      </c>
      <c r="B179" s="259">
        <v>45204.0</v>
      </c>
      <c r="F179" s="255" t="s">
        <v>4461</v>
      </c>
      <c r="G179" s="255" t="s">
        <v>4462</v>
      </c>
      <c r="H179" s="255" t="s">
        <v>4463</v>
      </c>
      <c r="M179" s="255">
        <v>5000.0</v>
      </c>
      <c r="P179" s="255">
        <v>4000.0</v>
      </c>
      <c r="Q179" s="255" t="s">
        <v>4464</v>
      </c>
      <c r="R179" s="255" t="s">
        <v>2207</v>
      </c>
      <c r="T179" s="255">
        <v>140000.0</v>
      </c>
      <c r="U179" s="255">
        <v>16500.0</v>
      </c>
      <c r="V179" s="255">
        <v>2.0</v>
      </c>
      <c r="W179" s="259">
        <v>45204.0</v>
      </c>
      <c r="X179" s="260" t="s">
        <v>2215</v>
      </c>
      <c r="Y179" s="259">
        <v>45211.0</v>
      </c>
      <c r="AA179" s="255" t="s">
        <v>547</v>
      </c>
      <c r="AB179" s="255">
        <v>571.0</v>
      </c>
      <c r="AD179" s="258" t="s">
        <v>4465</v>
      </c>
      <c r="AE179" s="255" t="s">
        <v>64</v>
      </c>
      <c r="AF179" s="255" t="s">
        <v>2208</v>
      </c>
      <c r="AG179" s="256"/>
    </row>
    <row r="180">
      <c r="A180" s="257">
        <v>45208.52559315972</v>
      </c>
      <c r="B180" s="259">
        <v>45208.0</v>
      </c>
      <c r="F180" s="255" t="s">
        <v>4466</v>
      </c>
      <c r="H180" s="260" t="s">
        <v>4467</v>
      </c>
      <c r="M180" s="255">
        <v>5000.0</v>
      </c>
      <c r="P180" s="255">
        <v>1800.0</v>
      </c>
      <c r="Q180" s="255" t="s">
        <v>2207</v>
      </c>
      <c r="R180" s="255" t="s">
        <v>2207</v>
      </c>
      <c r="T180" s="255">
        <v>70000.0</v>
      </c>
      <c r="U180" s="255">
        <v>6500.0</v>
      </c>
      <c r="V180" s="255">
        <v>0.0</v>
      </c>
      <c r="W180" s="259">
        <v>45208.0</v>
      </c>
      <c r="X180" s="260" t="s">
        <v>2330</v>
      </c>
      <c r="Y180" s="259">
        <v>45211.0</v>
      </c>
      <c r="AB180" s="255">
        <v>600.0</v>
      </c>
      <c r="AD180" s="258" t="s">
        <v>4468</v>
      </c>
      <c r="AE180" s="255" t="s">
        <v>279</v>
      </c>
      <c r="AF180" s="255" t="s">
        <v>2208</v>
      </c>
      <c r="AG180" s="256"/>
    </row>
    <row r="181">
      <c r="A181" s="257">
        <v>45210.608320555555</v>
      </c>
      <c r="B181" s="259">
        <v>45210.0</v>
      </c>
      <c r="F181" s="255" t="s">
        <v>4469</v>
      </c>
      <c r="G181" s="255" t="s">
        <v>4470</v>
      </c>
      <c r="H181" s="255" t="s">
        <v>4471</v>
      </c>
      <c r="M181" s="255">
        <v>10000.0</v>
      </c>
      <c r="P181" s="255">
        <v>2400.0</v>
      </c>
      <c r="Q181" s="255" t="s">
        <v>2207</v>
      </c>
      <c r="R181" s="255" t="s">
        <v>2207</v>
      </c>
      <c r="T181" s="255">
        <v>100000.0</v>
      </c>
      <c r="U181" s="255">
        <v>15500.0</v>
      </c>
      <c r="V181" s="255">
        <v>2.0</v>
      </c>
      <c r="W181" s="259">
        <v>45210.0</v>
      </c>
      <c r="X181" s="260" t="s">
        <v>2231</v>
      </c>
      <c r="Y181" s="259">
        <v>45213.0</v>
      </c>
      <c r="AB181" s="255">
        <v>800.0</v>
      </c>
      <c r="AD181" s="258" t="s">
        <v>4472</v>
      </c>
      <c r="AE181" s="255" t="s">
        <v>427</v>
      </c>
      <c r="AF181" s="255" t="s">
        <v>2242</v>
      </c>
      <c r="AG181" s="256"/>
    </row>
    <row r="182">
      <c r="A182" s="257">
        <v>45210.8781041551</v>
      </c>
      <c r="B182" s="259">
        <v>45211.0</v>
      </c>
      <c r="F182" s="255" t="s">
        <v>4473</v>
      </c>
      <c r="G182" s="255" t="s">
        <v>4474</v>
      </c>
      <c r="H182" s="255" t="s">
        <v>4475</v>
      </c>
      <c r="M182" s="255">
        <v>3000.0</v>
      </c>
      <c r="P182" s="255">
        <v>1500.0</v>
      </c>
      <c r="Q182" s="255" t="s">
        <v>4474</v>
      </c>
      <c r="R182" s="255" t="s">
        <v>2207</v>
      </c>
      <c r="T182" s="255">
        <v>75000.0</v>
      </c>
      <c r="U182" s="255">
        <v>17000.0</v>
      </c>
      <c r="V182" s="255">
        <v>2.0</v>
      </c>
      <c r="W182" s="259">
        <v>45211.0</v>
      </c>
      <c r="X182" s="260" t="s">
        <v>2265</v>
      </c>
      <c r="Y182" s="259">
        <v>45216.0</v>
      </c>
      <c r="AA182" s="255" t="s">
        <v>554</v>
      </c>
      <c r="AB182" s="255">
        <v>300.0</v>
      </c>
      <c r="AD182" s="258" t="s">
        <v>4476</v>
      </c>
      <c r="AE182" s="255" t="s">
        <v>68</v>
      </c>
      <c r="AF182" s="255" t="s">
        <v>2208</v>
      </c>
      <c r="AG182" s="256"/>
    </row>
    <row r="183">
      <c r="A183" s="257">
        <v>45212.93397327546</v>
      </c>
      <c r="B183" s="259">
        <v>45213.0</v>
      </c>
      <c r="F183" s="255" t="s">
        <v>2311</v>
      </c>
      <c r="G183" s="255" t="s">
        <v>4352</v>
      </c>
      <c r="M183" s="255">
        <v>12000.0</v>
      </c>
      <c r="P183" s="255">
        <v>2000.0</v>
      </c>
      <c r="Q183" s="255" t="s">
        <v>2207</v>
      </c>
      <c r="R183" s="255" t="s">
        <v>2207</v>
      </c>
      <c r="T183" s="255">
        <v>140000.0</v>
      </c>
      <c r="U183" s="255">
        <v>14800.0</v>
      </c>
      <c r="V183" s="255">
        <v>1.0</v>
      </c>
      <c r="W183" s="259">
        <v>45213.0</v>
      </c>
      <c r="X183" s="260" t="s">
        <v>2215</v>
      </c>
      <c r="Y183" s="259">
        <v>45215.0</v>
      </c>
      <c r="AA183" s="255" t="s">
        <v>557</v>
      </c>
      <c r="AB183" s="255">
        <v>1000.0</v>
      </c>
      <c r="AD183" s="258" t="s">
        <v>4477</v>
      </c>
      <c r="AE183" s="255" t="s">
        <v>438</v>
      </c>
      <c r="AF183" s="255" t="s">
        <v>2208</v>
      </c>
      <c r="AG183" s="256"/>
    </row>
    <row r="184">
      <c r="A184" s="257">
        <v>45213.06820825231</v>
      </c>
      <c r="B184" s="259">
        <v>45214.0</v>
      </c>
      <c r="F184" s="255" t="s">
        <v>2327</v>
      </c>
      <c r="G184" s="255" t="s">
        <v>4478</v>
      </c>
      <c r="H184" s="255" t="s">
        <v>4479</v>
      </c>
      <c r="M184" s="255">
        <v>3000.0</v>
      </c>
      <c r="P184" s="255">
        <v>7000.0</v>
      </c>
      <c r="Q184" s="255" t="s">
        <v>2207</v>
      </c>
      <c r="R184" s="255" t="s">
        <v>2207</v>
      </c>
      <c r="T184" s="255">
        <v>75000.0</v>
      </c>
      <c r="U184" s="255">
        <v>19900.0</v>
      </c>
      <c r="V184" s="255">
        <v>2.0</v>
      </c>
      <c r="W184" s="259">
        <v>45214.0</v>
      </c>
      <c r="X184" s="260" t="s">
        <v>2265</v>
      </c>
      <c r="Y184" s="259">
        <v>45245.0</v>
      </c>
      <c r="AA184" s="255" t="s">
        <v>567</v>
      </c>
      <c r="AC184" s="255">
        <v>7000.0</v>
      </c>
      <c r="AD184" s="258" t="s">
        <v>4480</v>
      </c>
      <c r="AE184" s="255" t="s">
        <v>48</v>
      </c>
      <c r="AF184" s="255" t="s">
        <v>2208</v>
      </c>
      <c r="AG184" s="256"/>
    </row>
    <row r="185">
      <c r="A185" s="257">
        <v>45213.07609025463</v>
      </c>
      <c r="B185" s="259">
        <v>45214.0</v>
      </c>
      <c r="C185" s="255" t="s">
        <v>4182</v>
      </c>
      <c r="D185" s="255" t="s">
        <v>4182</v>
      </c>
      <c r="E185" s="255" t="s">
        <v>561</v>
      </c>
      <c r="F185" s="255" t="s">
        <v>4481</v>
      </c>
      <c r="G185" s="255" t="s">
        <v>4482</v>
      </c>
      <c r="H185" s="255" t="s">
        <v>4483</v>
      </c>
      <c r="J185" s="255">
        <v>7.64094474E8</v>
      </c>
      <c r="L185" s="259">
        <v>47922.0</v>
      </c>
      <c r="M185" s="255" t="s">
        <v>4484</v>
      </c>
      <c r="P185" s="255">
        <v>8000.0</v>
      </c>
      <c r="Q185" s="255" t="s">
        <v>4485</v>
      </c>
      <c r="R185" s="255" t="s">
        <v>2207</v>
      </c>
      <c r="T185" s="255">
        <v>70000.0</v>
      </c>
      <c r="U185" s="255">
        <v>10500.0</v>
      </c>
      <c r="V185" s="255">
        <v>1.0</v>
      </c>
      <c r="W185" s="259">
        <v>45214.0</v>
      </c>
      <c r="X185" s="260" t="s">
        <v>2265</v>
      </c>
      <c r="Y185" s="259">
        <v>45245.0</v>
      </c>
      <c r="AA185" s="255" t="s">
        <v>563</v>
      </c>
      <c r="AC185" s="255">
        <v>8000.0</v>
      </c>
      <c r="AE185" s="255" t="s">
        <v>193</v>
      </c>
      <c r="AF185" s="255" t="s">
        <v>2208</v>
      </c>
      <c r="AG185" s="256"/>
    </row>
    <row r="186">
      <c r="A186" s="257">
        <v>45214.56278956019</v>
      </c>
      <c r="B186" s="259">
        <v>45214.0</v>
      </c>
      <c r="M186" s="255">
        <v>15000.0</v>
      </c>
      <c r="P186" s="255">
        <v>2000.0</v>
      </c>
      <c r="Q186" s="255" t="s">
        <v>2207</v>
      </c>
      <c r="R186" s="255" t="s">
        <v>2207</v>
      </c>
      <c r="T186" s="255">
        <v>140000.0</v>
      </c>
      <c r="U186" s="255">
        <v>14800.0</v>
      </c>
      <c r="V186" s="255">
        <v>0.0</v>
      </c>
      <c r="W186" s="259">
        <v>45214.0</v>
      </c>
      <c r="X186" s="260" t="s">
        <v>2235</v>
      </c>
      <c r="Y186" s="259">
        <v>45216.0</v>
      </c>
      <c r="AB186" s="255">
        <v>1000.0</v>
      </c>
      <c r="AD186" s="258" t="s">
        <v>4486</v>
      </c>
      <c r="AE186" s="255" t="s">
        <v>438</v>
      </c>
      <c r="AF186" s="255" t="s">
        <v>2208</v>
      </c>
      <c r="AG186" s="256"/>
    </row>
    <row r="187">
      <c r="A187" s="257">
        <v>45214.65223393519</v>
      </c>
      <c r="B187" s="259">
        <v>45214.0</v>
      </c>
      <c r="F187" s="255" t="s">
        <v>4487</v>
      </c>
      <c r="H187" s="260" t="s">
        <v>4488</v>
      </c>
      <c r="M187" s="255" t="s">
        <v>4489</v>
      </c>
      <c r="P187" s="255">
        <v>1800.0</v>
      </c>
      <c r="Q187" s="255" t="s">
        <v>2207</v>
      </c>
      <c r="R187" s="255" t="s">
        <v>2207</v>
      </c>
      <c r="T187" s="255">
        <v>140000.0</v>
      </c>
      <c r="U187" s="255">
        <v>16742.0</v>
      </c>
      <c r="V187" s="255">
        <v>2.0</v>
      </c>
      <c r="W187" s="259">
        <v>45214.0</v>
      </c>
      <c r="X187" s="260" t="s">
        <v>2215</v>
      </c>
      <c r="Y187" s="259">
        <v>45217.0</v>
      </c>
      <c r="AA187" s="255" t="s">
        <v>560</v>
      </c>
      <c r="AB187" s="255">
        <v>600.0</v>
      </c>
      <c r="AD187" s="258" t="s">
        <v>4490</v>
      </c>
      <c r="AE187" s="255" t="s">
        <v>64</v>
      </c>
      <c r="AF187" s="255" t="s">
        <v>2208</v>
      </c>
      <c r="AG187" s="256"/>
    </row>
    <row r="188">
      <c r="A188" s="257">
        <v>45216.634597627315</v>
      </c>
      <c r="B188" s="259">
        <v>45216.0</v>
      </c>
      <c r="F188" s="255" t="s">
        <v>4448</v>
      </c>
      <c r="M188" s="255">
        <v>12000.0</v>
      </c>
      <c r="P188" s="255">
        <v>1600.0</v>
      </c>
      <c r="Q188" s="255" t="s">
        <v>2207</v>
      </c>
      <c r="R188" s="255" t="s">
        <v>2207</v>
      </c>
      <c r="T188" s="255">
        <v>130000.0</v>
      </c>
      <c r="U188" s="255">
        <v>18200.0</v>
      </c>
      <c r="W188" s="259">
        <v>45216.0</v>
      </c>
      <c r="X188" s="260" t="s">
        <v>2215</v>
      </c>
      <c r="Y188" s="259">
        <v>45218.0</v>
      </c>
      <c r="AB188" s="255">
        <v>800.0</v>
      </c>
      <c r="AD188" s="258" t="s">
        <v>4491</v>
      </c>
      <c r="AE188" s="255" t="s">
        <v>472</v>
      </c>
      <c r="AF188" s="255" t="s">
        <v>2270</v>
      </c>
      <c r="AG188" s="256"/>
    </row>
    <row r="189">
      <c r="A189" s="257">
        <v>45218.50560917824</v>
      </c>
      <c r="B189" s="259">
        <v>45218.0</v>
      </c>
      <c r="H189" s="260" t="s">
        <v>4492</v>
      </c>
      <c r="M189" s="255">
        <v>1000.0</v>
      </c>
      <c r="P189" s="255">
        <v>200.0</v>
      </c>
      <c r="Q189" s="255" t="s">
        <v>2207</v>
      </c>
      <c r="R189" s="255" t="s">
        <v>2207</v>
      </c>
      <c r="T189" s="255">
        <v>30000.0</v>
      </c>
      <c r="U189" s="255">
        <v>30000.0</v>
      </c>
      <c r="V189" s="255">
        <v>1.0</v>
      </c>
      <c r="W189" s="259">
        <v>45218.0</v>
      </c>
      <c r="X189" s="260" t="s">
        <v>2221</v>
      </c>
      <c r="Y189" s="259">
        <v>45219.0</v>
      </c>
      <c r="AB189" s="255">
        <v>200.0</v>
      </c>
      <c r="AD189" s="258" t="s">
        <v>4493</v>
      </c>
      <c r="AE189" s="255" t="s">
        <v>52</v>
      </c>
      <c r="AF189" s="255" t="s">
        <v>3177</v>
      </c>
      <c r="AG189" s="256"/>
    </row>
    <row r="190">
      <c r="A190" s="257">
        <v>45218.50808115741</v>
      </c>
      <c r="B190" s="259">
        <v>45218.0</v>
      </c>
      <c r="F190" s="255" t="s">
        <v>4494</v>
      </c>
      <c r="G190" s="255" t="s">
        <v>4495</v>
      </c>
      <c r="H190" s="260" t="s">
        <v>4496</v>
      </c>
      <c r="M190" s="255">
        <v>3000.0</v>
      </c>
      <c r="P190" s="255">
        <v>200.0</v>
      </c>
      <c r="Q190" s="255" t="s">
        <v>2207</v>
      </c>
      <c r="R190" s="255" t="s">
        <v>2207</v>
      </c>
      <c r="T190" s="255">
        <v>75000.0</v>
      </c>
      <c r="U190" s="255">
        <v>17700.0</v>
      </c>
      <c r="V190" s="255">
        <v>2.0</v>
      </c>
      <c r="W190" s="259">
        <v>45218.0</v>
      </c>
      <c r="X190" s="260" t="s">
        <v>2221</v>
      </c>
      <c r="Y190" s="259">
        <v>45221.0</v>
      </c>
      <c r="AA190" s="255" t="s">
        <v>572</v>
      </c>
      <c r="AB190" s="255">
        <v>300.0</v>
      </c>
      <c r="AD190" s="258" t="s">
        <v>4497</v>
      </c>
      <c r="AE190" s="255" t="s">
        <v>68</v>
      </c>
      <c r="AF190" s="255" t="s">
        <v>2279</v>
      </c>
      <c r="AG190" s="256"/>
    </row>
    <row r="191">
      <c r="A191" s="257">
        <v>45219.94233430555</v>
      </c>
      <c r="B191" s="259">
        <v>45219.0</v>
      </c>
      <c r="F191" s="255" t="s">
        <v>4498</v>
      </c>
      <c r="G191" s="255" t="s">
        <v>4499</v>
      </c>
      <c r="M191" s="255">
        <v>3000.0</v>
      </c>
      <c r="P191" s="255">
        <v>3000.0</v>
      </c>
      <c r="Q191" s="255" t="s">
        <v>2207</v>
      </c>
      <c r="R191" s="255" t="s">
        <v>2207</v>
      </c>
      <c r="T191" s="255">
        <v>74000.0</v>
      </c>
      <c r="U191" s="255">
        <v>17700.0</v>
      </c>
      <c r="V191" s="255">
        <v>2.0</v>
      </c>
      <c r="W191" s="259">
        <v>45219.0</v>
      </c>
      <c r="X191" s="260" t="s">
        <v>3213</v>
      </c>
      <c r="Y191" s="259">
        <v>45223.0</v>
      </c>
      <c r="AA191" s="255" t="s">
        <v>575</v>
      </c>
      <c r="AB191" s="255">
        <v>250.0</v>
      </c>
      <c r="AD191" s="258" t="s">
        <v>4500</v>
      </c>
      <c r="AE191" s="255" t="s">
        <v>68</v>
      </c>
      <c r="AF191" s="255" t="s">
        <v>2279</v>
      </c>
      <c r="AG191" s="256"/>
    </row>
    <row r="192">
      <c r="A192" s="257">
        <v>45221.89104634259</v>
      </c>
      <c r="B192" s="259">
        <v>45222.0</v>
      </c>
      <c r="F192" s="255" t="s">
        <v>4501</v>
      </c>
      <c r="G192" s="255" t="s">
        <v>2343</v>
      </c>
      <c r="M192" s="255">
        <v>5000.0</v>
      </c>
      <c r="P192" s="255">
        <v>6500.0</v>
      </c>
      <c r="Q192" s="255" t="s">
        <v>2343</v>
      </c>
      <c r="R192" s="255" t="s">
        <v>2207</v>
      </c>
      <c r="T192" s="255">
        <v>140000.0</v>
      </c>
      <c r="U192" s="255">
        <v>26200.0</v>
      </c>
      <c r="V192" s="255">
        <v>2.0</v>
      </c>
      <c r="W192" s="259">
        <v>45222.0</v>
      </c>
      <c r="X192" s="260" t="s">
        <v>2265</v>
      </c>
      <c r="Y192" s="259">
        <v>45236.0</v>
      </c>
      <c r="AB192" s="255">
        <v>464.0</v>
      </c>
      <c r="AD192" s="258" t="s">
        <v>4502</v>
      </c>
      <c r="AE192" s="255" t="s">
        <v>155</v>
      </c>
      <c r="AF192" s="255" t="s">
        <v>2270</v>
      </c>
      <c r="AG192" s="256"/>
    </row>
    <row r="193">
      <c r="A193" s="257">
        <v>45222.96556311342</v>
      </c>
      <c r="B193" s="259">
        <v>45222.0</v>
      </c>
      <c r="F193" s="255" t="s">
        <v>4406</v>
      </c>
      <c r="M193" s="255">
        <v>5000.0</v>
      </c>
      <c r="P193" s="255">
        <v>2000.0</v>
      </c>
      <c r="Q193" s="255" t="s">
        <v>2207</v>
      </c>
      <c r="R193" s="255" t="s">
        <v>2207</v>
      </c>
      <c r="T193" s="255">
        <v>140000.0</v>
      </c>
      <c r="U193" s="255">
        <v>15150.0</v>
      </c>
      <c r="V193" s="255">
        <v>0.0</v>
      </c>
      <c r="W193" s="259">
        <v>45222.0</v>
      </c>
      <c r="X193" s="260" t="s">
        <v>4503</v>
      </c>
      <c r="Y193" s="259">
        <v>45224.0</v>
      </c>
      <c r="AB193" s="255">
        <v>1000.0</v>
      </c>
      <c r="AD193" s="258" t="s">
        <v>4504</v>
      </c>
      <c r="AE193" s="255" t="s">
        <v>438</v>
      </c>
      <c r="AF193" s="255" t="s">
        <v>2208</v>
      </c>
      <c r="AG193" s="256"/>
    </row>
    <row r="194">
      <c r="A194" s="257">
        <v>45223.63811244213</v>
      </c>
      <c r="B194" s="259">
        <v>45223.0</v>
      </c>
      <c r="F194" s="255" t="s">
        <v>4505</v>
      </c>
      <c r="G194" s="255" t="s">
        <v>4506</v>
      </c>
      <c r="I194" s="255">
        <v>6.6902102221E10</v>
      </c>
      <c r="M194" s="255" t="s">
        <v>4484</v>
      </c>
      <c r="P194" s="255">
        <v>1800.0</v>
      </c>
      <c r="Q194" s="255" t="s">
        <v>2207</v>
      </c>
      <c r="R194" s="255" t="s">
        <v>2207</v>
      </c>
      <c r="T194" s="255">
        <v>70000.0</v>
      </c>
      <c r="U194" s="255">
        <v>6500.0</v>
      </c>
      <c r="V194" s="255">
        <v>2.0</v>
      </c>
      <c r="W194" s="259">
        <v>45223.0</v>
      </c>
      <c r="X194" s="260" t="s">
        <v>2231</v>
      </c>
      <c r="Y194" s="259">
        <v>45226.0</v>
      </c>
      <c r="AB194" s="255">
        <v>600.0</v>
      </c>
      <c r="AD194" s="258" t="s">
        <v>4507</v>
      </c>
      <c r="AE194" s="255" t="s">
        <v>193</v>
      </c>
      <c r="AF194" s="255" t="s">
        <v>2208</v>
      </c>
      <c r="AG194" s="256"/>
    </row>
    <row r="195">
      <c r="A195" s="257">
        <v>45224.63943270833</v>
      </c>
      <c r="B195" s="259">
        <v>45224.0</v>
      </c>
      <c r="F195" s="255" t="s">
        <v>4508</v>
      </c>
      <c r="G195" s="255" t="s">
        <v>4509</v>
      </c>
      <c r="H195" s="260" t="s">
        <v>4510</v>
      </c>
      <c r="M195" s="255" t="s">
        <v>4511</v>
      </c>
      <c r="P195" s="255">
        <v>3500.0</v>
      </c>
      <c r="Q195" s="255" t="s">
        <v>2207</v>
      </c>
      <c r="R195" s="255" t="s">
        <v>2207</v>
      </c>
      <c r="T195" s="255">
        <v>140000.0</v>
      </c>
      <c r="U195" s="255">
        <v>24200.0</v>
      </c>
      <c r="V195" s="255">
        <v>2.0</v>
      </c>
      <c r="W195" s="259">
        <v>45224.0</v>
      </c>
      <c r="X195" s="260" t="s">
        <v>2215</v>
      </c>
      <c r="Y195" s="259">
        <v>45231.0</v>
      </c>
      <c r="AB195" s="255">
        <v>500.0</v>
      </c>
      <c r="AD195" s="258" t="s">
        <v>4512</v>
      </c>
      <c r="AE195" s="255" t="s">
        <v>113</v>
      </c>
      <c r="AF195" s="255" t="s">
        <v>2279</v>
      </c>
      <c r="AG195" s="256"/>
    </row>
    <row r="196">
      <c r="A196" s="257">
        <v>45224.674577812504</v>
      </c>
      <c r="B196" s="259">
        <v>45224.0</v>
      </c>
      <c r="F196" s="255" t="s">
        <v>4513</v>
      </c>
      <c r="M196" s="255" t="s">
        <v>515</v>
      </c>
      <c r="P196" s="255">
        <v>4500.0</v>
      </c>
      <c r="Q196" s="255" t="s">
        <v>2207</v>
      </c>
      <c r="R196" s="255" t="s">
        <v>2207</v>
      </c>
      <c r="T196" s="255">
        <v>220000.0</v>
      </c>
      <c r="U196" s="255">
        <v>34500.0</v>
      </c>
      <c r="V196" s="255">
        <v>1.0</v>
      </c>
      <c r="W196" s="259">
        <v>45224.0</v>
      </c>
      <c r="X196" s="260" t="s">
        <v>2215</v>
      </c>
      <c r="Y196" s="259">
        <v>45227.0</v>
      </c>
      <c r="AB196" s="255">
        <v>1500.0</v>
      </c>
      <c r="AD196" s="258" t="s">
        <v>4514</v>
      </c>
      <c r="AE196" s="255" t="s">
        <v>102</v>
      </c>
      <c r="AF196" s="255" t="s">
        <v>2227</v>
      </c>
      <c r="AG196" s="256"/>
    </row>
    <row r="197">
      <c r="A197" s="257">
        <v>45225.516523680555</v>
      </c>
      <c r="B197" s="259">
        <v>45225.0</v>
      </c>
      <c r="F197" s="255" t="s">
        <v>4515</v>
      </c>
      <c r="G197" s="255" t="s">
        <v>4516</v>
      </c>
      <c r="H197" s="260" t="s">
        <v>4517</v>
      </c>
      <c r="M197" s="255">
        <v>3000.0</v>
      </c>
      <c r="P197" s="255">
        <v>900.0</v>
      </c>
      <c r="Q197" s="255" t="s">
        <v>2207</v>
      </c>
      <c r="R197" s="255" t="s">
        <v>2207</v>
      </c>
      <c r="T197" s="255">
        <v>75000.0</v>
      </c>
      <c r="U197" s="255">
        <v>17600.0</v>
      </c>
      <c r="V197" s="255">
        <v>1.0</v>
      </c>
      <c r="W197" s="259">
        <v>45225.0</v>
      </c>
      <c r="X197" s="260" t="s">
        <v>2330</v>
      </c>
      <c r="Y197" s="259">
        <v>45228.0</v>
      </c>
      <c r="AA197" s="255" t="s">
        <v>589</v>
      </c>
      <c r="AB197" s="255">
        <v>300.0</v>
      </c>
      <c r="AD197" s="258" t="s">
        <v>4518</v>
      </c>
      <c r="AE197" s="255" t="s">
        <v>68</v>
      </c>
      <c r="AF197" s="255" t="s">
        <v>2242</v>
      </c>
      <c r="AG197" s="256"/>
    </row>
    <row r="198">
      <c r="A198" s="257">
        <v>45225.84633965278</v>
      </c>
      <c r="B198" s="259">
        <v>45270.0</v>
      </c>
      <c r="F198" s="255" t="s">
        <v>4519</v>
      </c>
      <c r="G198" s="255" t="s">
        <v>4520</v>
      </c>
      <c r="H198" s="255" t="s">
        <v>4521</v>
      </c>
      <c r="M198" s="255" t="s">
        <v>4400</v>
      </c>
      <c r="P198" s="255">
        <v>1000.0</v>
      </c>
      <c r="Q198" s="255" t="s">
        <v>4520</v>
      </c>
      <c r="R198" s="255" t="s">
        <v>2207</v>
      </c>
      <c r="T198" s="255">
        <v>100000.0</v>
      </c>
      <c r="V198" s="255">
        <v>2.0</v>
      </c>
      <c r="W198" s="259">
        <v>45270.0</v>
      </c>
      <c r="X198" s="260" t="s">
        <v>2324</v>
      </c>
      <c r="Y198" s="259">
        <v>45275.0</v>
      </c>
      <c r="AA198" s="255" t="s">
        <v>720</v>
      </c>
      <c r="AB198" s="255">
        <v>1000.0</v>
      </c>
      <c r="AD198" s="258" t="s">
        <v>4522</v>
      </c>
      <c r="AE198" s="255" t="s">
        <v>427</v>
      </c>
      <c r="AF198" s="255" t="s">
        <v>2208</v>
      </c>
      <c r="AG198" s="256"/>
    </row>
    <row r="199">
      <c r="A199" s="257">
        <v>45225.865122083334</v>
      </c>
      <c r="B199" s="259">
        <v>45232.0</v>
      </c>
      <c r="F199" s="255" t="s">
        <v>4406</v>
      </c>
      <c r="M199" s="255">
        <v>15000.0</v>
      </c>
      <c r="P199" s="255">
        <v>16000.0</v>
      </c>
      <c r="Q199" s="255" t="s">
        <v>2207</v>
      </c>
      <c r="R199" s="255" t="s">
        <v>2207</v>
      </c>
      <c r="T199" s="255">
        <v>145000.0</v>
      </c>
      <c r="U199" s="255">
        <v>15600.0</v>
      </c>
      <c r="V199" s="255">
        <v>0.0</v>
      </c>
      <c r="W199" s="259">
        <v>45232.0</v>
      </c>
      <c r="X199" s="260" t="s">
        <v>2215</v>
      </c>
      <c r="Y199" s="259">
        <v>45262.0</v>
      </c>
      <c r="AC199" s="255">
        <v>16000.0</v>
      </c>
      <c r="AD199" s="258" t="s">
        <v>4523</v>
      </c>
      <c r="AE199" s="255" t="s">
        <v>438</v>
      </c>
      <c r="AF199" s="255" t="s">
        <v>2208</v>
      </c>
      <c r="AG199" s="256"/>
    </row>
    <row r="200">
      <c r="A200" s="257">
        <v>45226.53269003472</v>
      </c>
      <c r="B200" s="259">
        <v>45225.0</v>
      </c>
      <c r="M200" s="255">
        <v>5000.0</v>
      </c>
      <c r="P200" s="255">
        <v>500.0</v>
      </c>
      <c r="Q200" s="255" t="s">
        <v>2207</v>
      </c>
      <c r="R200" s="255" t="s">
        <v>2207</v>
      </c>
      <c r="T200" s="255">
        <v>135000.0</v>
      </c>
      <c r="U200" s="255">
        <v>21000.0</v>
      </c>
      <c r="V200" s="255">
        <v>1.0</v>
      </c>
      <c r="W200" s="259">
        <v>45226.0</v>
      </c>
      <c r="X200" s="260" t="s">
        <v>3213</v>
      </c>
      <c r="Y200" s="259">
        <v>45228.0</v>
      </c>
      <c r="AA200" s="255" t="s">
        <v>586</v>
      </c>
      <c r="AB200" s="255">
        <v>500.0</v>
      </c>
      <c r="AD200" s="258" t="s">
        <v>4524</v>
      </c>
      <c r="AE200" s="255" t="s">
        <v>92</v>
      </c>
      <c r="AF200" s="255" t="s">
        <v>2242</v>
      </c>
      <c r="AG200" s="256"/>
    </row>
    <row r="201">
      <c r="A201" s="257">
        <v>45226.65129268519</v>
      </c>
      <c r="B201" s="259">
        <v>45226.0</v>
      </c>
      <c r="F201" s="255" t="s">
        <v>4448</v>
      </c>
      <c r="M201" s="255">
        <v>8000.0</v>
      </c>
      <c r="P201" s="255">
        <v>1200.0</v>
      </c>
      <c r="Q201" s="255" t="s">
        <v>2207</v>
      </c>
      <c r="R201" s="255" t="s">
        <v>2207</v>
      </c>
      <c r="T201" s="255">
        <v>70000.0</v>
      </c>
      <c r="U201" s="255">
        <v>9280.0</v>
      </c>
      <c r="V201" s="255">
        <v>0.0</v>
      </c>
      <c r="W201" s="259">
        <v>45226.0</v>
      </c>
      <c r="X201" s="260" t="s">
        <v>2215</v>
      </c>
      <c r="Y201" s="259">
        <v>45228.0</v>
      </c>
      <c r="AB201" s="255">
        <v>600.0</v>
      </c>
      <c r="AD201" s="258" t="s">
        <v>4525</v>
      </c>
      <c r="AE201" s="255" t="s">
        <v>286</v>
      </c>
      <c r="AF201" s="255" t="s">
        <v>2242</v>
      </c>
      <c r="AG201" s="256"/>
    </row>
    <row r="202">
      <c r="A202" s="257">
        <v>45226.7771469213</v>
      </c>
      <c r="B202" s="259">
        <v>45226.0</v>
      </c>
      <c r="M202" s="255">
        <v>15000.0</v>
      </c>
      <c r="P202" s="255">
        <v>2000.0</v>
      </c>
      <c r="Q202" s="255" t="s">
        <v>2207</v>
      </c>
      <c r="R202" s="255" t="s">
        <v>2207</v>
      </c>
      <c r="T202" s="255">
        <v>140000.0</v>
      </c>
      <c r="U202" s="255">
        <v>15600.0</v>
      </c>
      <c r="W202" s="259">
        <v>45226.0</v>
      </c>
      <c r="X202" s="260" t="s">
        <v>2250</v>
      </c>
      <c r="Y202" s="259">
        <v>45228.0</v>
      </c>
      <c r="AB202" s="255">
        <v>1000.0</v>
      </c>
      <c r="AD202" s="258" t="s">
        <v>4526</v>
      </c>
      <c r="AE202" s="255" t="s">
        <v>438</v>
      </c>
      <c r="AF202" s="255" t="s">
        <v>2208</v>
      </c>
      <c r="AG202" s="256"/>
    </row>
    <row r="203">
      <c r="A203" s="257">
        <v>45227.79441711806</v>
      </c>
      <c r="B203" s="259">
        <v>45227.0</v>
      </c>
      <c r="F203" s="255" t="s">
        <v>4527</v>
      </c>
      <c r="G203" s="255" t="s">
        <v>4528</v>
      </c>
      <c r="H203" s="255" t="s">
        <v>4529</v>
      </c>
      <c r="M203" s="255">
        <v>5000.0</v>
      </c>
      <c r="P203" s="255">
        <v>1800.0</v>
      </c>
      <c r="Q203" s="255" t="s">
        <v>2207</v>
      </c>
      <c r="R203" s="255" t="s">
        <v>2207</v>
      </c>
      <c r="T203" s="255">
        <v>140000.0</v>
      </c>
      <c r="U203" s="255">
        <v>19610.0</v>
      </c>
      <c r="V203" s="255">
        <v>2.0</v>
      </c>
      <c r="W203" s="259">
        <v>45227.0</v>
      </c>
      <c r="X203" s="260" t="s">
        <v>2209</v>
      </c>
      <c r="Y203" s="259">
        <v>45230.0</v>
      </c>
      <c r="AB203" s="255">
        <v>600.0</v>
      </c>
      <c r="AD203" s="258" t="s">
        <v>4530</v>
      </c>
      <c r="AE203" s="255" t="s">
        <v>32</v>
      </c>
      <c r="AF203" s="255" t="s">
        <v>2242</v>
      </c>
      <c r="AG203" s="256"/>
    </row>
    <row r="204">
      <c r="A204" s="257">
        <v>45228.62388850695</v>
      </c>
      <c r="B204" s="259">
        <v>45228.0</v>
      </c>
      <c r="F204" s="255" t="s">
        <v>4505</v>
      </c>
      <c r="M204" s="255" t="s">
        <v>4531</v>
      </c>
      <c r="P204" s="255">
        <v>900.0</v>
      </c>
      <c r="Q204" s="255" t="s">
        <v>2207</v>
      </c>
      <c r="R204" s="255" t="s">
        <v>2207</v>
      </c>
      <c r="T204" s="255">
        <v>130000.0</v>
      </c>
      <c r="U204" s="255">
        <v>18200.0</v>
      </c>
      <c r="V204" s="255">
        <v>1.0</v>
      </c>
      <c r="W204" s="259">
        <v>45228.0</v>
      </c>
      <c r="X204" s="260" t="s">
        <v>2235</v>
      </c>
      <c r="Y204" s="259">
        <v>45229.0</v>
      </c>
      <c r="AB204" s="255">
        <v>900.0</v>
      </c>
      <c r="AD204" s="258" t="s">
        <v>4532</v>
      </c>
      <c r="AE204" s="255" t="s">
        <v>472</v>
      </c>
      <c r="AF204" s="255" t="s">
        <v>2279</v>
      </c>
      <c r="AG204" s="256"/>
    </row>
    <row r="205">
      <c r="A205" s="257">
        <v>45228.62525479167</v>
      </c>
      <c r="B205" s="259">
        <v>45229.0</v>
      </c>
      <c r="F205" s="255" t="s">
        <v>4505</v>
      </c>
      <c r="M205" s="255" t="s">
        <v>4533</v>
      </c>
      <c r="P205" s="255">
        <v>1000.0</v>
      </c>
      <c r="Q205" s="255" t="s">
        <v>2207</v>
      </c>
      <c r="R205" s="255" t="s">
        <v>2207</v>
      </c>
      <c r="U205" s="255">
        <v>16000.0</v>
      </c>
      <c r="V205" s="255">
        <v>1.0</v>
      </c>
      <c r="W205" s="259">
        <v>45229.0</v>
      </c>
      <c r="X205" s="260" t="s">
        <v>2235</v>
      </c>
      <c r="Y205" s="259">
        <v>45230.0</v>
      </c>
      <c r="AA205" s="255" t="s">
        <v>594</v>
      </c>
      <c r="AD205" s="258" t="s">
        <v>4534</v>
      </c>
      <c r="AE205" s="255" t="s">
        <v>438</v>
      </c>
      <c r="AF205" s="255" t="s">
        <v>2208</v>
      </c>
      <c r="AG205" s="256"/>
    </row>
    <row r="206">
      <c r="A206" s="257">
        <v>45229.69647575232</v>
      </c>
      <c r="B206" s="259">
        <v>45229.0</v>
      </c>
      <c r="M206" s="255">
        <v>15000.0</v>
      </c>
      <c r="P206" s="255">
        <v>1800.0</v>
      </c>
      <c r="Q206" s="255" t="s">
        <v>2207</v>
      </c>
      <c r="R206" s="255" t="s">
        <v>2207</v>
      </c>
      <c r="T206" s="255">
        <v>130000.0</v>
      </c>
      <c r="U206" s="255">
        <v>18600.0</v>
      </c>
      <c r="V206" s="255">
        <v>0.0</v>
      </c>
      <c r="W206" s="259">
        <v>45229.0</v>
      </c>
      <c r="X206" s="260" t="s">
        <v>2215</v>
      </c>
      <c r="Y206" s="259">
        <v>45231.0</v>
      </c>
      <c r="AB206" s="255">
        <v>900.0</v>
      </c>
      <c r="AD206" s="258" t="s">
        <v>4535</v>
      </c>
      <c r="AE206" s="255" t="s">
        <v>472</v>
      </c>
      <c r="AF206" s="255" t="s">
        <v>2320</v>
      </c>
      <c r="AG206" s="256"/>
    </row>
    <row r="207">
      <c r="A207" s="257">
        <v>45232.31210303241</v>
      </c>
      <c r="B207" s="259">
        <v>45232.0</v>
      </c>
      <c r="F207" s="255" t="s">
        <v>4406</v>
      </c>
      <c r="M207" s="255">
        <v>20000.0</v>
      </c>
      <c r="P207" s="255">
        <v>16000.0</v>
      </c>
      <c r="Q207" s="255" t="s">
        <v>2207</v>
      </c>
      <c r="R207" s="255" t="s">
        <v>2207</v>
      </c>
      <c r="T207" s="255">
        <v>140000.0</v>
      </c>
      <c r="U207" s="255">
        <v>15500.0</v>
      </c>
      <c r="V207" s="255">
        <v>0.0</v>
      </c>
      <c r="W207" s="259">
        <v>45232.0</v>
      </c>
      <c r="X207" s="260" t="s">
        <v>2231</v>
      </c>
      <c r="Y207" s="259">
        <v>45262.0</v>
      </c>
      <c r="AC207" s="255">
        <v>16000.0</v>
      </c>
      <c r="AD207" s="258" t="s">
        <v>4536</v>
      </c>
      <c r="AE207" s="255" t="s">
        <v>438</v>
      </c>
      <c r="AF207" s="255" t="s">
        <v>2227</v>
      </c>
      <c r="AG207" s="256"/>
    </row>
    <row r="208">
      <c r="A208" s="257">
        <v>45232.31745440973</v>
      </c>
      <c r="B208" s="259">
        <v>45233.0</v>
      </c>
      <c r="F208" s="255" t="s">
        <v>4413</v>
      </c>
      <c r="M208" s="255">
        <v>5000.0</v>
      </c>
      <c r="P208" s="255">
        <v>11000.0</v>
      </c>
      <c r="Q208" s="255" t="s">
        <v>4537</v>
      </c>
      <c r="R208" s="255" t="s">
        <v>2207</v>
      </c>
      <c r="T208" s="255">
        <v>140000.0</v>
      </c>
      <c r="U208" s="255">
        <v>25200.0</v>
      </c>
      <c r="V208" s="255">
        <v>0.0</v>
      </c>
      <c r="W208" s="259">
        <v>45233.0</v>
      </c>
      <c r="X208" s="260" t="s">
        <v>2215</v>
      </c>
      <c r="Y208" s="259">
        <v>45263.0</v>
      </c>
      <c r="AC208" s="255">
        <v>11000.0</v>
      </c>
      <c r="AD208" s="258" t="s">
        <v>4538</v>
      </c>
      <c r="AE208" s="255" t="s">
        <v>113</v>
      </c>
      <c r="AF208" s="255" t="s">
        <v>2208</v>
      </c>
      <c r="AG208" s="256"/>
    </row>
    <row r="209">
      <c r="A209" s="257">
        <v>45233.565968263894</v>
      </c>
      <c r="B209" s="259">
        <v>45233.0</v>
      </c>
      <c r="M209" s="255" t="s">
        <v>4531</v>
      </c>
      <c r="P209" s="255">
        <v>900.0</v>
      </c>
      <c r="Q209" s="255" t="s">
        <v>2207</v>
      </c>
      <c r="R209" s="255" t="s">
        <v>2207</v>
      </c>
      <c r="T209" s="255">
        <v>13000.0</v>
      </c>
      <c r="U209" s="255">
        <v>19000.0</v>
      </c>
      <c r="V209" s="255">
        <v>0.0</v>
      </c>
      <c r="W209" s="259">
        <v>45233.0</v>
      </c>
      <c r="X209" s="260" t="s">
        <v>2221</v>
      </c>
      <c r="Y209" s="259">
        <v>45234.0</v>
      </c>
      <c r="AB209" s="255">
        <v>900.0</v>
      </c>
      <c r="AD209" s="258" t="s">
        <v>4539</v>
      </c>
      <c r="AE209" s="255" t="s">
        <v>472</v>
      </c>
      <c r="AF209" s="255" t="s">
        <v>2279</v>
      </c>
      <c r="AG209" s="256"/>
    </row>
    <row r="210">
      <c r="A210" s="257">
        <v>45233.59620621528</v>
      </c>
      <c r="B210" s="259">
        <v>45233.0</v>
      </c>
      <c r="F210" s="255" t="s">
        <v>4540</v>
      </c>
      <c r="G210" s="255" t="s">
        <v>4541</v>
      </c>
      <c r="H210" s="260" t="s">
        <v>4542</v>
      </c>
      <c r="M210" s="255">
        <v>15000.0</v>
      </c>
      <c r="P210" s="255">
        <v>2000.0</v>
      </c>
      <c r="Q210" s="255" t="s">
        <v>4541</v>
      </c>
      <c r="R210" s="255" t="s">
        <v>4541</v>
      </c>
      <c r="T210" s="255">
        <v>130000.0</v>
      </c>
      <c r="U210" s="255">
        <v>11500.0</v>
      </c>
      <c r="V210" s="255">
        <v>2.0</v>
      </c>
      <c r="W210" s="259">
        <v>45233.0</v>
      </c>
      <c r="X210" s="260" t="s">
        <v>2231</v>
      </c>
      <c r="Y210" s="259">
        <v>45235.0</v>
      </c>
      <c r="AA210" s="255" t="s">
        <v>597</v>
      </c>
      <c r="AB210" s="255">
        <v>1000.0</v>
      </c>
      <c r="AD210" s="258" t="s">
        <v>4543</v>
      </c>
      <c r="AE210" s="255" t="s">
        <v>468</v>
      </c>
      <c r="AF210" s="255" t="s">
        <v>2208</v>
      </c>
      <c r="AG210" s="256"/>
    </row>
    <row r="211">
      <c r="A211" s="257">
        <v>45233.78338685185</v>
      </c>
      <c r="B211" s="259">
        <v>45233.0</v>
      </c>
      <c r="F211" s="255" t="s">
        <v>4544</v>
      </c>
      <c r="G211" s="255" t="s">
        <v>3313</v>
      </c>
      <c r="H211" s="260" t="s">
        <v>4545</v>
      </c>
      <c r="I211" s="260" t="s">
        <v>4546</v>
      </c>
      <c r="M211" s="255" t="s">
        <v>430</v>
      </c>
      <c r="P211" s="255">
        <v>3000.0</v>
      </c>
      <c r="Q211" s="255" t="s">
        <v>3313</v>
      </c>
      <c r="R211" s="255" t="s">
        <v>3313</v>
      </c>
      <c r="T211" s="255">
        <v>74000.0</v>
      </c>
      <c r="U211" s="255">
        <v>18000.0</v>
      </c>
      <c r="V211" s="255">
        <v>2.0</v>
      </c>
      <c r="W211" s="259">
        <v>45233.0</v>
      </c>
      <c r="X211" s="260" t="s">
        <v>2209</v>
      </c>
      <c r="Y211" s="259">
        <v>45242.0</v>
      </c>
      <c r="AB211" s="255">
        <v>333.0</v>
      </c>
      <c r="AD211" s="258" t="s">
        <v>4547</v>
      </c>
      <c r="AE211" s="255" t="s">
        <v>68</v>
      </c>
      <c r="AF211" s="255" t="s">
        <v>2279</v>
      </c>
      <c r="AG211" s="256"/>
    </row>
    <row r="212">
      <c r="A212" s="257">
        <v>45234.54077381945</v>
      </c>
      <c r="B212" s="259">
        <v>45234.0</v>
      </c>
      <c r="F212" s="255" t="s">
        <v>4515</v>
      </c>
      <c r="M212" s="255" t="s">
        <v>600</v>
      </c>
      <c r="P212" s="255">
        <v>1500.0</v>
      </c>
      <c r="Q212" s="255" t="s">
        <v>2207</v>
      </c>
      <c r="R212" s="255" t="s">
        <v>2207</v>
      </c>
      <c r="U212" s="255">
        <v>21182.0</v>
      </c>
      <c r="V212" s="255">
        <v>1.0</v>
      </c>
      <c r="W212" s="259">
        <v>45234.0</v>
      </c>
      <c r="X212" s="260" t="s">
        <v>2330</v>
      </c>
      <c r="Y212" s="259">
        <v>45237.0</v>
      </c>
      <c r="AB212" s="255">
        <v>500.0</v>
      </c>
      <c r="AD212" s="258" t="s">
        <v>4548</v>
      </c>
      <c r="AE212" s="255" t="s">
        <v>92</v>
      </c>
      <c r="AF212" s="255" t="s">
        <v>2242</v>
      </c>
      <c r="AG212" s="256"/>
    </row>
    <row r="213">
      <c r="A213" s="257">
        <v>45235.456605983796</v>
      </c>
      <c r="B213" s="259">
        <v>45235.0</v>
      </c>
      <c r="F213" s="255" t="s">
        <v>4549</v>
      </c>
      <c r="G213" s="255" t="s">
        <v>4550</v>
      </c>
      <c r="H213" s="255">
        <v>8.9994108998E10</v>
      </c>
      <c r="M213" s="255">
        <v>24000.0</v>
      </c>
      <c r="P213" s="255">
        <v>5400.0</v>
      </c>
      <c r="Q213" s="255" t="s">
        <v>4550</v>
      </c>
      <c r="R213" s="255" t="s">
        <v>4550</v>
      </c>
      <c r="T213" s="255">
        <v>190000.0</v>
      </c>
      <c r="U213" s="255">
        <v>22000.0</v>
      </c>
      <c r="V213" s="255">
        <v>2.0</v>
      </c>
      <c r="W213" s="259">
        <v>45235.0</v>
      </c>
      <c r="X213" s="260" t="s">
        <v>2330</v>
      </c>
      <c r="Y213" s="259">
        <v>45238.0</v>
      </c>
      <c r="AA213" s="255" t="s">
        <v>604</v>
      </c>
      <c r="AB213" s="255">
        <v>1800.0</v>
      </c>
      <c r="AD213" s="258" t="s">
        <v>4551</v>
      </c>
      <c r="AE213" s="255" t="s">
        <v>483</v>
      </c>
      <c r="AF213" s="255" t="s">
        <v>2208</v>
      </c>
      <c r="AG213" s="256"/>
    </row>
    <row r="214">
      <c r="A214" s="257">
        <v>45236.51035211806</v>
      </c>
      <c r="B214" s="259">
        <v>45236.0</v>
      </c>
      <c r="G214" s="255" t="s">
        <v>4552</v>
      </c>
      <c r="H214" s="255" t="s">
        <v>4553</v>
      </c>
      <c r="M214" s="255" t="s">
        <v>609</v>
      </c>
      <c r="P214" s="255">
        <v>10000.0</v>
      </c>
      <c r="Q214" s="255" t="s">
        <v>4554</v>
      </c>
      <c r="R214" s="255" t="s">
        <v>4554</v>
      </c>
      <c r="T214" s="255">
        <v>230000.0</v>
      </c>
      <c r="U214" s="255">
        <v>35000.0</v>
      </c>
      <c r="V214" s="255">
        <v>2.0</v>
      </c>
      <c r="W214" s="259">
        <v>45236.0</v>
      </c>
      <c r="X214" s="260" t="s">
        <v>2215</v>
      </c>
      <c r="Y214" s="259">
        <v>45246.0</v>
      </c>
      <c r="AA214" s="255" t="s">
        <v>611</v>
      </c>
      <c r="AB214" s="255">
        <v>2000.0</v>
      </c>
      <c r="AD214" s="258" t="s">
        <v>4555</v>
      </c>
      <c r="AE214" s="255" t="s">
        <v>102</v>
      </c>
      <c r="AF214" s="255" t="s">
        <v>2208</v>
      </c>
      <c r="AG214" s="256"/>
    </row>
    <row r="215">
      <c r="A215" s="257">
        <v>45236.781054363426</v>
      </c>
      <c r="B215" s="259">
        <v>45236.0</v>
      </c>
      <c r="F215" s="255" t="s">
        <v>2433</v>
      </c>
      <c r="G215" s="255" t="s">
        <v>4556</v>
      </c>
      <c r="M215" s="255" t="s">
        <v>912</v>
      </c>
      <c r="P215" s="255">
        <v>3000.0</v>
      </c>
      <c r="Q215" s="255" t="s">
        <v>4556</v>
      </c>
      <c r="R215" s="255" t="s">
        <v>4556</v>
      </c>
      <c r="T215" s="255">
        <v>73000.0</v>
      </c>
      <c r="U215" s="255">
        <v>17000.0</v>
      </c>
      <c r="V215" s="255">
        <v>2.0</v>
      </c>
      <c r="W215" s="259">
        <v>45236.0</v>
      </c>
      <c r="X215" s="260" t="s">
        <v>2470</v>
      </c>
      <c r="Y215" s="259">
        <v>45246.0</v>
      </c>
      <c r="AA215" s="255" t="s">
        <v>614</v>
      </c>
      <c r="AB215" s="255">
        <v>300.0</v>
      </c>
      <c r="AD215" s="258" t="s">
        <v>4557</v>
      </c>
      <c r="AE215" s="255" t="s">
        <v>151</v>
      </c>
      <c r="AF215" s="255" t="s">
        <v>2208</v>
      </c>
      <c r="AG215" s="256"/>
    </row>
    <row r="216">
      <c r="A216" s="257">
        <v>45237.7854125</v>
      </c>
      <c r="B216" s="259">
        <v>45237.0</v>
      </c>
      <c r="F216" s="255" t="s">
        <v>4558</v>
      </c>
      <c r="G216" s="255" t="s">
        <v>4559</v>
      </c>
      <c r="H216" s="255" t="s">
        <v>4560</v>
      </c>
      <c r="M216" s="255">
        <v>3000.0</v>
      </c>
      <c r="P216" s="255">
        <v>5100.0</v>
      </c>
      <c r="Q216" s="255" t="s">
        <v>2207</v>
      </c>
      <c r="R216" s="255" t="s">
        <v>2207</v>
      </c>
      <c r="U216" s="255">
        <v>17041.0</v>
      </c>
      <c r="V216" s="255">
        <v>2.0</v>
      </c>
      <c r="W216" s="259">
        <v>45237.0</v>
      </c>
      <c r="X216" s="260" t="s">
        <v>3213</v>
      </c>
      <c r="Y216" s="259">
        <v>45248.0</v>
      </c>
      <c r="AB216" s="255">
        <v>283.0</v>
      </c>
      <c r="AD216" s="258" t="s">
        <v>4561</v>
      </c>
      <c r="AE216" s="255" t="s">
        <v>73</v>
      </c>
      <c r="AF216" s="255" t="s">
        <v>3177</v>
      </c>
      <c r="AG216" s="256"/>
    </row>
    <row r="217">
      <c r="A217" s="257">
        <v>45237.86924519676</v>
      </c>
      <c r="B217" s="259">
        <v>45237.0</v>
      </c>
      <c r="F217" s="255" t="s">
        <v>4549</v>
      </c>
      <c r="G217" s="255" t="s">
        <v>4562</v>
      </c>
      <c r="M217" s="255">
        <v>5000.0</v>
      </c>
      <c r="P217" s="255">
        <v>5400.0</v>
      </c>
      <c r="Q217" s="255" t="s">
        <v>4562</v>
      </c>
      <c r="R217" s="255" t="s">
        <v>4562</v>
      </c>
      <c r="T217" s="255">
        <v>140000.0</v>
      </c>
      <c r="U217" s="255">
        <v>19900.0</v>
      </c>
      <c r="V217" s="255">
        <v>2.0</v>
      </c>
      <c r="W217" s="259">
        <v>45238.0</v>
      </c>
      <c r="X217" s="260" t="s">
        <v>2265</v>
      </c>
      <c r="Y217" s="259">
        <v>45247.0</v>
      </c>
      <c r="AB217" s="255">
        <v>600.0</v>
      </c>
      <c r="AD217" s="258" t="s">
        <v>4563</v>
      </c>
      <c r="AE217" s="255" t="s">
        <v>32</v>
      </c>
      <c r="AF217" s="255" t="s">
        <v>2242</v>
      </c>
      <c r="AG217" s="256"/>
    </row>
    <row r="218">
      <c r="A218" s="257">
        <v>45237.897998506945</v>
      </c>
      <c r="B218" s="259">
        <v>45237.0</v>
      </c>
      <c r="F218" s="255" t="s">
        <v>4508</v>
      </c>
      <c r="M218" s="255" t="s">
        <v>617</v>
      </c>
      <c r="P218" s="255">
        <v>1500.0</v>
      </c>
      <c r="Q218" s="255" t="s">
        <v>2207</v>
      </c>
      <c r="R218" s="255" t="s">
        <v>2207</v>
      </c>
      <c r="T218" s="255">
        <v>140000.0</v>
      </c>
      <c r="U218" s="255">
        <v>17200.0</v>
      </c>
      <c r="V218" s="255">
        <v>2.0</v>
      </c>
      <c r="W218" s="259">
        <v>45237.0</v>
      </c>
      <c r="X218" s="260" t="s">
        <v>2262</v>
      </c>
      <c r="Y218" s="259">
        <v>45240.0</v>
      </c>
      <c r="AA218" s="255" t="s">
        <v>619</v>
      </c>
      <c r="AB218" s="255">
        <v>500.0</v>
      </c>
      <c r="AD218" s="258" t="s">
        <v>4564</v>
      </c>
      <c r="AE218" s="255" t="s">
        <v>64</v>
      </c>
      <c r="AF218" s="255" t="s">
        <v>2208</v>
      </c>
      <c r="AG218" s="256"/>
    </row>
    <row r="219">
      <c r="A219" s="257">
        <v>45238.49483989584</v>
      </c>
      <c r="B219" s="259">
        <v>45238.0</v>
      </c>
      <c r="F219" s="255" t="s">
        <v>4565</v>
      </c>
      <c r="G219" s="255" t="s">
        <v>4566</v>
      </c>
      <c r="H219" s="260" t="s">
        <v>4567</v>
      </c>
      <c r="M219" s="255" t="s">
        <v>4568</v>
      </c>
      <c r="P219" s="255">
        <v>7000.0</v>
      </c>
      <c r="Q219" s="255" t="s">
        <v>2207</v>
      </c>
      <c r="R219" s="255" t="s">
        <v>2207</v>
      </c>
      <c r="T219" s="255">
        <v>75000.0</v>
      </c>
      <c r="U219" s="255">
        <v>18500.0</v>
      </c>
      <c r="V219" s="255">
        <v>2.0</v>
      </c>
      <c r="W219" s="259">
        <v>45238.0</v>
      </c>
      <c r="X219" s="260" t="s">
        <v>2235</v>
      </c>
      <c r="Y219" s="259">
        <v>45268.0</v>
      </c>
      <c r="AA219" s="255" t="s">
        <v>626</v>
      </c>
      <c r="AC219" s="255">
        <v>7000.0</v>
      </c>
      <c r="AD219" s="258" t="s">
        <v>4569</v>
      </c>
      <c r="AE219" s="255" t="s">
        <v>114</v>
      </c>
      <c r="AF219" s="255" t="s">
        <v>2208</v>
      </c>
      <c r="AG219" s="256"/>
    </row>
    <row r="220">
      <c r="A220" s="257">
        <v>45238.50071616899</v>
      </c>
      <c r="B220" s="259">
        <v>45238.0</v>
      </c>
      <c r="F220" s="255" t="s">
        <v>4565</v>
      </c>
      <c r="G220" s="255" t="s">
        <v>4566</v>
      </c>
      <c r="H220" s="260" t="s">
        <v>4567</v>
      </c>
      <c r="M220" s="255" t="s">
        <v>4568</v>
      </c>
      <c r="P220" s="255">
        <v>7000.0</v>
      </c>
      <c r="Q220" s="255" t="s">
        <v>4566</v>
      </c>
      <c r="R220" s="255" t="s">
        <v>4566</v>
      </c>
      <c r="T220" s="255">
        <v>75000.0</v>
      </c>
      <c r="U220" s="255">
        <v>16000.0</v>
      </c>
      <c r="V220" s="255">
        <v>2.0</v>
      </c>
      <c r="W220" s="259">
        <v>45238.0</v>
      </c>
      <c r="X220" s="260" t="s">
        <v>2235</v>
      </c>
      <c r="Y220" s="259">
        <v>45268.0</v>
      </c>
      <c r="AA220" s="255" t="s">
        <v>625</v>
      </c>
      <c r="AC220" s="255">
        <v>7000.0</v>
      </c>
      <c r="AD220" s="258" t="s">
        <v>4570</v>
      </c>
      <c r="AE220" s="255" t="s">
        <v>106</v>
      </c>
      <c r="AF220" s="255" t="s">
        <v>2208</v>
      </c>
      <c r="AG220" s="256"/>
    </row>
    <row r="221">
      <c r="A221" s="257">
        <v>45238.727293564814</v>
      </c>
      <c r="B221" s="259">
        <v>45238.0</v>
      </c>
      <c r="F221" s="255" t="s">
        <v>4571</v>
      </c>
      <c r="G221" s="255" t="s">
        <v>4572</v>
      </c>
      <c r="H221" s="260" t="s">
        <v>4573</v>
      </c>
      <c r="M221" s="255" t="s">
        <v>4400</v>
      </c>
      <c r="P221" s="255">
        <v>8100.0</v>
      </c>
      <c r="Q221" s="255" t="s">
        <v>2207</v>
      </c>
      <c r="R221" s="255" t="s">
        <v>2207</v>
      </c>
      <c r="T221" s="255">
        <v>90000.0</v>
      </c>
      <c r="U221" s="255">
        <v>15791.0</v>
      </c>
      <c r="V221" s="255">
        <v>2.0</v>
      </c>
      <c r="W221" s="259">
        <v>45238.0</v>
      </c>
      <c r="X221" s="260" t="s">
        <v>3213</v>
      </c>
      <c r="Y221" s="259">
        <v>45247.0</v>
      </c>
      <c r="AB221" s="255">
        <v>900.0</v>
      </c>
      <c r="AD221" s="258" t="s">
        <v>4574</v>
      </c>
      <c r="AE221" s="255" t="s">
        <v>427</v>
      </c>
      <c r="AF221" s="255" t="s">
        <v>2208</v>
      </c>
      <c r="AG221" s="256"/>
    </row>
    <row r="222">
      <c r="A222" s="257">
        <v>45238.76148128472</v>
      </c>
      <c r="B222" s="259">
        <v>45238.0</v>
      </c>
      <c r="F222" s="255" t="s">
        <v>4513</v>
      </c>
      <c r="H222" s="255" t="s">
        <v>4575</v>
      </c>
      <c r="P222" s="255">
        <v>5000.0</v>
      </c>
      <c r="Q222" s="255" t="s">
        <v>4576</v>
      </c>
      <c r="R222" s="255" t="s">
        <v>2207</v>
      </c>
      <c r="T222" s="255">
        <v>190000.0</v>
      </c>
      <c r="U222" s="255">
        <v>22400.0</v>
      </c>
      <c r="V222" s="255">
        <v>2.0</v>
      </c>
      <c r="W222" s="259">
        <v>45238.0</v>
      </c>
      <c r="X222" s="260" t="s">
        <v>2209</v>
      </c>
      <c r="Y222" s="259">
        <v>45241.0</v>
      </c>
      <c r="AA222" s="255" t="s">
        <v>4577</v>
      </c>
      <c r="AB222" s="255">
        <v>1650.0</v>
      </c>
      <c r="AD222" s="258" t="s">
        <v>4578</v>
      </c>
      <c r="AE222" s="255" t="s">
        <v>483</v>
      </c>
      <c r="AF222" s="255" t="s">
        <v>2208</v>
      </c>
      <c r="AG222" s="256"/>
    </row>
    <row r="223">
      <c r="A223" s="257">
        <v>45239.46576049768</v>
      </c>
      <c r="B223" s="259">
        <v>45239.0</v>
      </c>
      <c r="F223" s="255" t="s">
        <v>2433</v>
      </c>
      <c r="M223" s="255" t="s">
        <v>627</v>
      </c>
      <c r="P223" s="255">
        <v>2800.0</v>
      </c>
      <c r="Q223" s="255" t="s">
        <v>2207</v>
      </c>
      <c r="R223" s="255" t="s">
        <v>2207</v>
      </c>
      <c r="T223" s="255">
        <v>95000.0</v>
      </c>
      <c r="U223" s="255">
        <v>25000.0</v>
      </c>
      <c r="V223" s="255">
        <v>2.0</v>
      </c>
      <c r="W223" s="259">
        <v>45239.0</v>
      </c>
      <c r="X223" s="260" t="s">
        <v>2265</v>
      </c>
      <c r="Y223" s="259">
        <v>45246.0</v>
      </c>
      <c r="AB223" s="255">
        <v>700.0</v>
      </c>
      <c r="AD223" s="258" t="s">
        <v>4579</v>
      </c>
      <c r="AE223" s="255" t="s">
        <v>461</v>
      </c>
      <c r="AF223" s="255" t="s">
        <v>3177</v>
      </c>
      <c r="AG223" s="256"/>
    </row>
    <row r="224">
      <c r="A224" s="257">
        <v>45239.48834815972</v>
      </c>
      <c r="B224" s="259">
        <v>45239.0</v>
      </c>
      <c r="F224" s="255" t="s">
        <v>4580</v>
      </c>
      <c r="G224" s="255" t="s">
        <v>4581</v>
      </c>
      <c r="M224" s="255">
        <v>3000.0</v>
      </c>
      <c r="P224" s="255">
        <v>1000.0</v>
      </c>
      <c r="Q224" s="255" t="s">
        <v>4581</v>
      </c>
      <c r="R224" s="255" t="s">
        <v>4581</v>
      </c>
      <c r="T224" s="255">
        <v>70000.0</v>
      </c>
      <c r="U224" s="255">
        <v>22000.0</v>
      </c>
      <c r="V224" s="255">
        <v>2.0</v>
      </c>
      <c r="W224" s="259">
        <v>45239.0</v>
      </c>
      <c r="X224" s="260" t="s">
        <v>2246</v>
      </c>
      <c r="Y224" s="259">
        <v>45245.0</v>
      </c>
      <c r="AB224" s="255">
        <v>290.0</v>
      </c>
      <c r="AD224" s="258" t="s">
        <v>4582</v>
      </c>
      <c r="AE224" s="255" t="s">
        <v>26</v>
      </c>
      <c r="AF224" s="255" t="s">
        <v>2208</v>
      </c>
      <c r="AG224" s="256"/>
    </row>
    <row r="225">
      <c r="A225" s="257">
        <v>45240.494774039355</v>
      </c>
      <c r="B225" s="259">
        <v>45240.0</v>
      </c>
      <c r="F225" s="255">
        <v>1744.0</v>
      </c>
      <c r="G225" s="255" t="s">
        <v>4583</v>
      </c>
      <c r="H225" s="255" t="s">
        <v>2234</v>
      </c>
      <c r="M225" s="255">
        <v>84.0</v>
      </c>
      <c r="P225" s="255">
        <v>6000.0</v>
      </c>
      <c r="R225" s="255" t="s">
        <v>4584</v>
      </c>
      <c r="T225" s="255">
        <v>74000.0</v>
      </c>
      <c r="U225" s="255">
        <v>15500.0</v>
      </c>
      <c r="V225" s="255">
        <v>1.0</v>
      </c>
      <c r="W225" s="259">
        <v>45240.0</v>
      </c>
      <c r="X225" s="260" t="s">
        <v>2221</v>
      </c>
      <c r="Y225" s="259">
        <v>45260.0</v>
      </c>
      <c r="AB225" s="255">
        <v>300.0</v>
      </c>
      <c r="AD225" s="258" t="s">
        <v>4585</v>
      </c>
      <c r="AE225" s="255" t="s">
        <v>44</v>
      </c>
      <c r="AF225" s="255" t="s">
        <v>2208</v>
      </c>
      <c r="AG225" s="256"/>
    </row>
    <row r="226">
      <c r="A226" s="257">
        <v>45240.80812422454</v>
      </c>
      <c r="B226" s="259">
        <v>45240.0</v>
      </c>
      <c r="M226" s="255">
        <v>400.0</v>
      </c>
      <c r="P226" s="255">
        <v>1800.0</v>
      </c>
      <c r="Q226" s="255" t="s">
        <v>2207</v>
      </c>
      <c r="R226" s="255" t="s">
        <v>2207</v>
      </c>
      <c r="T226" s="255">
        <v>130000.0</v>
      </c>
      <c r="U226" s="255">
        <v>18800.0</v>
      </c>
      <c r="V226" s="255">
        <v>1.0</v>
      </c>
      <c r="W226" s="259">
        <v>45240.0</v>
      </c>
      <c r="X226" s="260" t="s">
        <v>2209</v>
      </c>
      <c r="Y226" s="259">
        <v>45242.0</v>
      </c>
      <c r="AB226" s="255">
        <v>900.0</v>
      </c>
      <c r="AD226" s="258" t="s">
        <v>4586</v>
      </c>
      <c r="AE226" s="255" t="s">
        <v>472</v>
      </c>
      <c r="AF226" s="255" t="s">
        <v>2279</v>
      </c>
      <c r="AG226" s="256"/>
    </row>
    <row r="227">
      <c r="A227" s="257">
        <v>45241.47960380787</v>
      </c>
      <c r="B227" s="259">
        <v>45241.0</v>
      </c>
      <c r="F227" s="255" t="s">
        <v>4587</v>
      </c>
      <c r="M227" s="255" t="s">
        <v>634</v>
      </c>
      <c r="P227" s="255">
        <v>8000.0</v>
      </c>
      <c r="Q227" s="255" t="s">
        <v>4588</v>
      </c>
      <c r="R227" s="255" t="s">
        <v>4588</v>
      </c>
      <c r="T227" s="255">
        <v>75000.0</v>
      </c>
      <c r="U227" s="255">
        <v>17200.0</v>
      </c>
      <c r="V227" s="255">
        <v>1.0</v>
      </c>
      <c r="W227" s="259">
        <v>45241.0</v>
      </c>
      <c r="X227" s="260" t="s">
        <v>2221</v>
      </c>
      <c r="Y227" s="259">
        <v>45261.0</v>
      </c>
      <c r="AA227" s="255" t="s">
        <v>636</v>
      </c>
      <c r="AB227" s="255">
        <v>400.0</v>
      </c>
      <c r="AD227" s="258" t="s">
        <v>4589</v>
      </c>
      <c r="AE227" s="255" t="s">
        <v>88</v>
      </c>
      <c r="AF227" s="255" t="s">
        <v>2208</v>
      </c>
      <c r="AG227" s="256"/>
    </row>
    <row r="228">
      <c r="A228" s="257">
        <v>45241.483778912036</v>
      </c>
      <c r="B228" s="259">
        <v>45241.0</v>
      </c>
      <c r="F228" s="255" t="s">
        <v>4590</v>
      </c>
      <c r="G228" s="255" t="s">
        <v>4591</v>
      </c>
      <c r="M228" s="255">
        <v>3000.0</v>
      </c>
      <c r="P228" s="255">
        <v>2100.0</v>
      </c>
      <c r="Q228" s="255" t="s">
        <v>4591</v>
      </c>
      <c r="R228" s="255" t="s">
        <v>4591</v>
      </c>
      <c r="T228" s="255">
        <v>65000.0</v>
      </c>
      <c r="U228" s="255">
        <v>32300.0</v>
      </c>
      <c r="V228" s="255">
        <v>2.0</v>
      </c>
      <c r="W228" s="259">
        <v>45241.0</v>
      </c>
      <c r="X228" s="260" t="s">
        <v>2231</v>
      </c>
      <c r="Y228" s="259">
        <v>45248.0</v>
      </c>
      <c r="AB228" s="255">
        <v>300.0</v>
      </c>
      <c r="AD228" s="258" t="s">
        <v>4592</v>
      </c>
      <c r="AE228" s="255" t="s">
        <v>132</v>
      </c>
      <c r="AF228" s="255" t="s">
        <v>2208</v>
      </c>
      <c r="AG228" s="256"/>
    </row>
    <row r="229">
      <c r="A229" s="257">
        <v>45241.766354872685</v>
      </c>
      <c r="B229" s="259">
        <v>45241.0</v>
      </c>
      <c r="M229" s="255">
        <v>5000.0</v>
      </c>
      <c r="U229" s="255">
        <v>15500.0</v>
      </c>
      <c r="V229" s="255">
        <v>3.0</v>
      </c>
      <c r="W229" s="259">
        <v>45241.0</v>
      </c>
      <c r="X229" s="260" t="s">
        <v>2209</v>
      </c>
      <c r="Y229" s="259">
        <v>45247.0</v>
      </c>
      <c r="AB229" s="255">
        <v>500.0</v>
      </c>
      <c r="AD229" s="258" t="s">
        <v>4593</v>
      </c>
      <c r="AE229" s="255" t="s">
        <v>198</v>
      </c>
      <c r="AF229" s="255" t="s">
        <v>2270</v>
      </c>
      <c r="AG229" s="256"/>
    </row>
    <row r="230">
      <c r="A230" s="257">
        <v>45241.952319375</v>
      </c>
      <c r="B230" s="259">
        <v>45242.0</v>
      </c>
      <c r="F230" s="255" t="s">
        <v>4594</v>
      </c>
      <c r="G230" s="255" t="s">
        <v>4595</v>
      </c>
      <c r="H230" s="260" t="s">
        <v>4596</v>
      </c>
      <c r="M230" s="255" t="s">
        <v>912</v>
      </c>
      <c r="P230" s="255">
        <v>3900.0</v>
      </c>
      <c r="Q230" s="255" t="s">
        <v>3064</v>
      </c>
      <c r="R230" s="255" t="s">
        <v>3064</v>
      </c>
      <c r="T230" s="255">
        <v>75000.0</v>
      </c>
      <c r="U230" s="255">
        <v>20400.0</v>
      </c>
      <c r="V230" s="255">
        <v>2.0</v>
      </c>
      <c r="W230" s="259">
        <v>45242.0</v>
      </c>
      <c r="X230" s="260" t="s">
        <v>2324</v>
      </c>
      <c r="Y230" s="259">
        <v>45255.0</v>
      </c>
      <c r="AB230" s="255">
        <v>300.0</v>
      </c>
      <c r="AD230" s="258" t="s">
        <v>4597</v>
      </c>
      <c r="AE230" s="255" t="s">
        <v>159</v>
      </c>
      <c r="AF230" s="255" t="s">
        <v>2208</v>
      </c>
      <c r="AG230" s="256"/>
    </row>
    <row r="231">
      <c r="A231" s="257">
        <v>45242.91984453704</v>
      </c>
      <c r="B231" s="259">
        <v>45243.0</v>
      </c>
      <c r="F231" s="255" t="s">
        <v>4598</v>
      </c>
      <c r="G231" s="255" t="s">
        <v>4599</v>
      </c>
      <c r="M231" s="255">
        <v>5000.0</v>
      </c>
      <c r="P231" s="255">
        <v>4100.0</v>
      </c>
      <c r="Q231" s="255" t="s">
        <v>4599</v>
      </c>
      <c r="R231" s="255" t="s">
        <v>4599</v>
      </c>
      <c r="T231" s="255">
        <v>140000.0</v>
      </c>
      <c r="U231" s="255">
        <v>17000.0</v>
      </c>
      <c r="V231" s="255">
        <v>2.0</v>
      </c>
      <c r="W231" s="259">
        <v>45243.0</v>
      </c>
      <c r="X231" s="260" t="s">
        <v>2324</v>
      </c>
      <c r="Y231" s="259">
        <v>45250.0</v>
      </c>
      <c r="AB231" s="255">
        <v>590.0</v>
      </c>
      <c r="AD231" s="258" t="s">
        <v>4600</v>
      </c>
      <c r="AE231" s="255" t="s">
        <v>64</v>
      </c>
      <c r="AF231" s="255" t="s">
        <v>2208</v>
      </c>
      <c r="AG231" s="256"/>
    </row>
    <row r="232">
      <c r="A232" s="257">
        <v>45243.98130763889</v>
      </c>
      <c r="B232" s="259">
        <v>45243.0</v>
      </c>
      <c r="M232" s="255" t="s">
        <v>639</v>
      </c>
      <c r="P232" s="255">
        <v>1000.0</v>
      </c>
      <c r="U232" s="255">
        <v>21000.0</v>
      </c>
      <c r="V232" s="255">
        <v>2.0</v>
      </c>
      <c r="W232" s="259">
        <v>45243.0</v>
      </c>
      <c r="X232" s="260" t="s">
        <v>2265</v>
      </c>
      <c r="Y232" s="259">
        <v>45245.0</v>
      </c>
      <c r="AB232" s="255">
        <v>500.0</v>
      </c>
      <c r="AD232" s="258" t="s">
        <v>4601</v>
      </c>
      <c r="AE232" s="255" t="s">
        <v>92</v>
      </c>
      <c r="AF232" s="255" t="s">
        <v>2242</v>
      </c>
      <c r="AG232" s="256"/>
    </row>
    <row r="233">
      <c r="A233" s="257">
        <v>45244.645210532406</v>
      </c>
      <c r="B233" s="259">
        <v>45244.0</v>
      </c>
      <c r="F233" s="255" t="s">
        <v>4602</v>
      </c>
      <c r="G233" s="255" t="s">
        <v>4603</v>
      </c>
      <c r="M233" s="255">
        <v>3000.0</v>
      </c>
      <c r="P233" s="255">
        <v>1200.0</v>
      </c>
      <c r="Q233" s="255" t="s">
        <v>2207</v>
      </c>
      <c r="R233" s="255" t="s">
        <v>2207</v>
      </c>
      <c r="T233" s="255">
        <v>75000.0</v>
      </c>
      <c r="U233" s="255">
        <v>21000.0</v>
      </c>
      <c r="V233" s="255">
        <v>2.0</v>
      </c>
      <c r="W233" s="259">
        <v>45244.0</v>
      </c>
      <c r="X233" s="260" t="s">
        <v>2215</v>
      </c>
      <c r="Y233" s="259">
        <v>45247.0</v>
      </c>
      <c r="AB233" s="255">
        <v>400.0</v>
      </c>
      <c r="AD233" s="258" t="s">
        <v>4604</v>
      </c>
      <c r="AE233" s="255" t="s">
        <v>56</v>
      </c>
      <c r="AF233" s="255" t="s">
        <v>2208</v>
      </c>
      <c r="AG233" s="256"/>
    </row>
    <row r="234">
      <c r="A234" s="257">
        <v>45245.45460482639</v>
      </c>
      <c r="B234" s="259">
        <v>45245.0</v>
      </c>
      <c r="F234" s="255" t="s">
        <v>4605</v>
      </c>
      <c r="G234" s="255" t="s">
        <v>4606</v>
      </c>
      <c r="M234" s="255" t="s">
        <v>647</v>
      </c>
      <c r="P234" s="255">
        <v>6300.0</v>
      </c>
      <c r="Q234" s="255" t="s">
        <v>2207</v>
      </c>
      <c r="R234" s="255" t="s">
        <v>2207</v>
      </c>
      <c r="V234" s="255">
        <v>2.0</v>
      </c>
      <c r="W234" s="259">
        <v>45245.0</v>
      </c>
      <c r="X234" s="260" t="s">
        <v>2265</v>
      </c>
      <c r="Y234" s="259">
        <v>45259.0</v>
      </c>
      <c r="AB234" s="255">
        <v>450.0</v>
      </c>
      <c r="AD234" s="258" t="s">
        <v>4607</v>
      </c>
      <c r="AE234" s="255" t="s">
        <v>173</v>
      </c>
      <c r="AF234" s="255" t="s">
        <v>2208</v>
      </c>
      <c r="AG234" s="256"/>
    </row>
    <row r="235">
      <c r="A235" s="257">
        <v>45245.86443289352</v>
      </c>
      <c r="B235" s="259">
        <v>45245.0</v>
      </c>
      <c r="F235" s="255" t="s">
        <v>4608</v>
      </c>
      <c r="H235" s="260" t="s">
        <v>4609</v>
      </c>
      <c r="M235" s="255">
        <v>3000.0</v>
      </c>
      <c r="P235" s="255">
        <v>1450.0</v>
      </c>
      <c r="Q235" s="255" t="s">
        <v>2207</v>
      </c>
      <c r="R235" s="255" t="s">
        <v>2207</v>
      </c>
      <c r="T235" s="255">
        <v>65000.0</v>
      </c>
      <c r="U235" s="255">
        <v>32000.0</v>
      </c>
      <c r="V235" s="255">
        <v>1.0</v>
      </c>
      <c r="W235" s="259">
        <v>45245.0</v>
      </c>
      <c r="X235" s="260" t="s">
        <v>2470</v>
      </c>
      <c r="Y235" s="259">
        <v>45250.0</v>
      </c>
      <c r="AB235" s="255">
        <v>290.0</v>
      </c>
      <c r="AD235" s="258" t="s">
        <v>4610</v>
      </c>
      <c r="AE235" s="255" t="s">
        <v>132</v>
      </c>
      <c r="AF235" s="255" t="s">
        <v>3177</v>
      </c>
      <c r="AG235" s="256"/>
    </row>
    <row r="236">
      <c r="A236" s="257">
        <v>45245.86934572917</v>
      </c>
      <c r="B236" s="259">
        <v>45245.0</v>
      </c>
      <c r="F236" s="255" t="s">
        <v>4608</v>
      </c>
      <c r="G236" s="255" t="s">
        <v>4611</v>
      </c>
      <c r="H236" s="260" t="s">
        <v>4609</v>
      </c>
      <c r="M236" s="255">
        <v>3000.0</v>
      </c>
      <c r="P236" s="255">
        <v>1450.0</v>
      </c>
      <c r="Q236" s="255" t="s">
        <v>2207</v>
      </c>
      <c r="R236" s="255" t="s">
        <v>2207</v>
      </c>
      <c r="T236" s="255">
        <v>65000.0</v>
      </c>
      <c r="U236" s="255">
        <v>32000.0</v>
      </c>
      <c r="V236" s="255">
        <v>1.0</v>
      </c>
      <c r="W236" s="259">
        <v>45245.0</v>
      </c>
      <c r="X236" s="260" t="s">
        <v>2470</v>
      </c>
      <c r="Y236" s="259">
        <v>45250.0</v>
      </c>
      <c r="AB236" s="255">
        <v>290.0</v>
      </c>
      <c r="AD236" s="258" t="s">
        <v>4612</v>
      </c>
      <c r="AE236" s="255" t="s">
        <v>132</v>
      </c>
      <c r="AF236" s="255" t="s">
        <v>3177</v>
      </c>
      <c r="AG236" s="256"/>
    </row>
    <row r="237">
      <c r="A237" s="257">
        <v>45245.91028037037</v>
      </c>
      <c r="B237" s="259">
        <v>45246.0</v>
      </c>
      <c r="F237" s="255" t="s">
        <v>4613</v>
      </c>
      <c r="G237" s="255" t="s">
        <v>4614</v>
      </c>
      <c r="H237" s="255" t="s">
        <v>4613</v>
      </c>
      <c r="M237" s="255">
        <v>3000.0</v>
      </c>
      <c r="P237" s="255">
        <v>2730.0</v>
      </c>
      <c r="Q237" s="255" t="s">
        <v>4615</v>
      </c>
      <c r="R237" s="255" t="s">
        <v>4615</v>
      </c>
      <c r="T237" s="255">
        <v>75000.0</v>
      </c>
      <c r="U237" s="255">
        <v>19200.0</v>
      </c>
      <c r="V237" s="255">
        <v>2.0</v>
      </c>
      <c r="W237" s="259">
        <v>45246.0</v>
      </c>
      <c r="X237" s="260" t="s">
        <v>2324</v>
      </c>
      <c r="Y237" s="259">
        <v>45253.0</v>
      </c>
      <c r="AB237" s="255">
        <v>390.0</v>
      </c>
      <c r="AD237" s="258" t="s">
        <v>4616</v>
      </c>
      <c r="AE237" s="255" t="s">
        <v>98</v>
      </c>
      <c r="AF237" s="255" t="s">
        <v>2208</v>
      </c>
      <c r="AG237" s="256"/>
    </row>
    <row r="238">
      <c r="A238" s="257">
        <v>45246.540894328704</v>
      </c>
      <c r="B238" s="259">
        <v>45246.0</v>
      </c>
      <c r="F238" s="255" t="s">
        <v>4540</v>
      </c>
      <c r="G238" s="255" t="s">
        <v>4617</v>
      </c>
      <c r="M238" s="255" t="s">
        <v>515</v>
      </c>
      <c r="P238" s="255">
        <v>3200.0</v>
      </c>
      <c r="Q238" s="255" t="s">
        <v>4617</v>
      </c>
      <c r="R238" s="255" t="s">
        <v>4617</v>
      </c>
      <c r="T238" s="255">
        <v>220000.0</v>
      </c>
      <c r="U238" s="255">
        <v>34900.0</v>
      </c>
      <c r="V238" s="255">
        <v>1.0</v>
      </c>
      <c r="W238" s="259">
        <v>45246.0</v>
      </c>
      <c r="X238" s="260" t="s">
        <v>2221</v>
      </c>
      <c r="Y238" s="259">
        <v>45248.0</v>
      </c>
      <c r="AB238" s="255">
        <v>1600.0</v>
      </c>
      <c r="AD238" s="258" t="s">
        <v>4618</v>
      </c>
      <c r="AE238" s="255" t="s">
        <v>102</v>
      </c>
      <c r="AF238" s="255" t="s">
        <v>2279</v>
      </c>
      <c r="AG238" s="256"/>
    </row>
    <row r="239">
      <c r="A239" s="257">
        <v>45246.97213471065</v>
      </c>
      <c r="B239" s="259">
        <v>45247.0</v>
      </c>
      <c r="F239" s="255" t="s">
        <v>4619</v>
      </c>
      <c r="G239" s="255" t="s">
        <v>4620</v>
      </c>
      <c r="H239" s="255" t="s">
        <v>4621</v>
      </c>
      <c r="M239" s="255" t="s">
        <v>600</v>
      </c>
      <c r="P239" s="255">
        <v>2970.0</v>
      </c>
      <c r="Q239" s="255" t="s">
        <v>2207</v>
      </c>
      <c r="R239" s="255" t="s">
        <v>2207</v>
      </c>
      <c r="U239" s="255">
        <v>25200.0</v>
      </c>
      <c r="V239" s="255">
        <v>1.0</v>
      </c>
      <c r="W239" s="259">
        <v>45247.0</v>
      </c>
      <c r="X239" s="260" t="s">
        <v>2324</v>
      </c>
      <c r="Y239" s="259">
        <v>45250.0</v>
      </c>
      <c r="AA239" s="255" t="s">
        <v>652</v>
      </c>
      <c r="AB239" s="255">
        <v>990.0</v>
      </c>
      <c r="AD239" s="258" t="s">
        <v>4622</v>
      </c>
      <c r="AE239" s="255" t="s">
        <v>461</v>
      </c>
      <c r="AF239" s="255" t="s">
        <v>2320</v>
      </c>
      <c r="AG239" s="256"/>
    </row>
    <row r="240">
      <c r="A240" s="257">
        <v>45247.71122586806</v>
      </c>
      <c r="B240" s="259">
        <v>45247.0</v>
      </c>
      <c r="F240" s="255" t="s">
        <v>3538</v>
      </c>
      <c r="G240" s="255" t="s">
        <v>4623</v>
      </c>
      <c r="H240" s="260" t="s">
        <v>4624</v>
      </c>
      <c r="M240" s="255">
        <v>8000.0</v>
      </c>
      <c r="P240" s="255">
        <v>8900.0</v>
      </c>
      <c r="Q240" s="255" t="s">
        <v>2207</v>
      </c>
      <c r="R240" s="255" t="s">
        <v>2207</v>
      </c>
      <c r="T240" s="255">
        <v>75000.0</v>
      </c>
      <c r="U240" s="255">
        <v>9359.0</v>
      </c>
      <c r="V240" s="255">
        <v>2.0</v>
      </c>
      <c r="W240" s="259">
        <v>45247.0</v>
      </c>
      <c r="X240" s="260" t="s">
        <v>2246</v>
      </c>
      <c r="Y240" s="259">
        <v>45277.0</v>
      </c>
      <c r="AC240" s="255">
        <v>8900.0</v>
      </c>
      <c r="AD240" s="258" t="s">
        <v>4625</v>
      </c>
      <c r="AE240" s="255" t="s">
        <v>286</v>
      </c>
      <c r="AF240" s="255" t="s">
        <v>2208</v>
      </c>
      <c r="AG240" s="256"/>
    </row>
    <row r="241">
      <c r="A241" s="257">
        <v>45248.469050844906</v>
      </c>
      <c r="B241" s="259">
        <v>45248.0</v>
      </c>
      <c r="G241" s="255" t="s">
        <v>4626</v>
      </c>
      <c r="M241" s="255" t="s">
        <v>600</v>
      </c>
      <c r="P241" s="255">
        <v>3400.0</v>
      </c>
      <c r="Q241" s="255" t="s">
        <v>2207</v>
      </c>
      <c r="R241" s="255" t="s">
        <v>2207</v>
      </c>
      <c r="U241" s="255">
        <v>22500.0</v>
      </c>
      <c r="V241" s="255">
        <v>1.0</v>
      </c>
      <c r="W241" s="259">
        <v>45248.0</v>
      </c>
      <c r="X241" s="260" t="s">
        <v>2221</v>
      </c>
      <c r="Y241" s="259">
        <v>45250.0</v>
      </c>
      <c r="AB241" s="255">
        <v>1700.0</v>
      </c>
      <c r="AD241" s="258" t="s">
        <v>4627</v>
      </c>
      <c r="AE241" s="255" t="s">
        <v>483</v>
      </c>
      <c r="AF241" s="255" t="s">
        <v>2208</v>
      </c>
      <c r="AG241" s="256"/>
    </row>
    <row r="242">
      <c r="A242" s="257">
        <v>45249.395160416665</v>
      </c>
      <c r="B242" s="259">
        <v>45249.0</v>
      </c>
      <c r="F242" s="260" t="s">
        <v>4628</v>
      </c>
      <c r="G242" s="255" t="s">
        <v>4629</v>
      </c>
      <c r="M242" s="255">
        <v>15000.0</v>
      </c>
      <c r="P242" s="255">
        <v>15900.0</v>
      </c>
      <c r="Q242" s="255" t="s">
        <v>4629</v>
      </c>
      <c r="R242" s="255" t="s">
        <v>4629</v>
      </c>
      <c r="T242" s="255">
        <v>135000.0</v>
      </c>
      <c r="U242" s="255">
        <v>19000.0</v>
      </c>
      <c r="V242" s="255">
        <v>0.0</v>
      </c>
      <c r="W242" s="259">
        <v>45249.0</v>
      </c>
      <c r="X242" s="260" t="s">
        <v>2265</v>
      </c>
      <c r="Y242" s="259">
        <v>45279.0</v>
      </c>
      <c r="AC242" s="255">
        <v>15900.0</v>
      </c>
      <c r="AD242" s="258" t="s">
        <v>4630</v>
      </c>
      <c r="AE242" s="255" t="s">
        <v>472</v>
      </c>
      <c r="AF242" s="255" t="s">
        <v>2208</v>
      </c>
      <c r="AG242" s="256"/>
    </row>
    <row r="243">
      <c r="A243" s="257">
        <v>45249.695854571764</v>
      </c>
      <c r="B243" s="259">
        <v>45250.0</v>
      </c>
      <c r="F243" s="255" t="s">
        <v>4631</v>
      </c>
      <c r="G243" s="255" t="s">
        <v>4632</v>
      </c>
      <c r="H243" s="255">
        <v>8.9227681777E10</v>
      </c>
      <c r="M243" s="255" t="s">
        <v>985</v>
      </c>
      <c r="P243" s="255">
        <v>3450.0</v>
      </c>
      <c r="Q243" s="255" t="s">
        <v>4633</v>
      </c>
      <c r="R243" s="255" t="s">
        <v>4633</v>
      </c>
      <c r="T243" s="255">
        <v>140000.0</v>
      </c>
      <c r="U243" s="255">
        <v>22000.0</v>
      </c>
      <c r="V243" s="255">
        <v>2.0</v>
      </c>
      <c r="W243" s="259">
        <v>45250.0</v>
      </c>
      <c r="X243" s="260" t="s">
        <v>2262</v>
      </c>
      <c r="Y243" s="259">
        <v>45255.0</v>
      </c>
      <c r="AB243" s="255">
        <v>690.0</v>
      </c>
      <c r="AD243" s="258" t="s">
        <v>4634</v>
      </c>
      <c r="AE243" s="255" t="s">
        <v>92</v>
      </c>
      <c r="AF243" s="255" t="s">
        <v>2208</v>
      </c>
      <c r="AG243" s="256"/>
    </row>
    <row r="244">
      <c r="A244" s="257">
        <v>45249.71072806713</v>
      </c>
      <c r="B244" s="259">
        <v>45250.0</v>
      </c>
      <c r="F244" s="255" t="s">
        <v>2562</v>
      </c>
      <c r="Q244" s="255" t="s">
        <v>4635</v>
      </c>
      <c r="R244" s="255" t="s">
        <v>4636</v>
      </c>
      <c r="T244" s="255">
        <v>100000.0</v>
      </c>
      <c r="U244" s="255">
        <v>16200.0</v>
      </c>
      <c r="V244" s="255">
        <v>1.0</v>
      </c>
      <c r="W244" s="259">
        <v>45250.0</v>
      </c>
      <c r="X244" s="260" t="s">
        <v>2262</v>
      </c>
      <c r="Y244" s="259">
        <v>45280.0</v>
      </c>
      <c r="AC244" s="255">
        <v>11900.0</v>
      </c>
      <c r="AD244" s="258" t="s">
        <v>4637</v>
      </c>
      <c r="AE244" s="255" t="s">
        <v>427</v>
      </c>
      <c r="AF244" s="255" t="s">
        <v>2208</v>
      </c>
      <c r="AG244" s="256"/>
    </row>
    <row r="245">
      <c r="A245" s="257">
        <v>45251.548436689816</v>
      </c>
      <c r="B245" s="259">
        <v>45251.0</v>
      </c>
      <c r="M245" s="255">
        <v>20000.0</v>
      </c>
      <c r="P245" s="255">
        <v>3500.0</v>
      </c>
      <c r="Q245" s="255" t="s">
        <v>2207</v>
      </c>
      <c r="R245" s="255" t="s">
        <v>2207</v>
      </c>
      <c r="T245" s="255">
        <v>170000.0</v>
      </c>
      <c r="U245" s="255">
        <v>39300.0</v>
      </c>
      <c r="V245" s="255">
        <v>0.0</v>
      </c>
      <c r="W245" s="259">
        <v>45251.0</v>
      </c>
      <c r="X245" s="260" t="s">
        <v>2221</v>
      </c>
      <c r="Y245" s="259">
        <v>45253.0</v>
      </c>
      <c r="AA245" s="255" t="s">
        <v>661</v>
      </c>
      <c r="AB245" s="255">
        <v>1750.0</v>
      </c>
      <c r="AD245" s="258" t="s">
        <v>4638</v>
      </c>
      <c r="AE245" s="255" t="s">
        <v>321</v>
      </c>
      <c r="AF245" s="255" t="s">
        <v>2208</v>
      </c>
      <c r="AG245" s="256"/>
    </row>
    <row r="246">
      <c r="A246" s="257">
        <v>45251.95976203703</v>
      </c>
      <c r="B246" s="259">
        <v>45252.0</v>
      </c>
      <c r="G246" s="255" t="s">
        <v>4639</v>
      </c>
      <c r="M246" s="255" t="s">
        <v>985</v>
      </c>
      <c r="P246" s="255">
        <v>6750.0</v>
      </c>
      <c r="Q246" s="255" t="s">
        <v>4639</v>
      </c>
      <c r="R246" s="255" t="s">
        <v>4639</v>
      </c>
      <c r="T246" s="255">
        <v>140000.0</v>
      </c>
      <c r="U246" s="255">
        <v>27200.0</v>
      </c>
      <c r="V246" s="255">
        <v>2.0</v>
      </c>
      <c r="W246" s="259">
        <v>45252.0</v>
      </c>
      <c r="X246" s="260" t="s">
        <v>2262</v>
      </c>
      <c r="Y246" s="259">
        <v>45261.0</v>
      </c>
      <c r="AA246" s="255" t="s">
        <v>666</v>
      </c>
      <c r="AB246" s="255">
        <v>750.0</v>
      </c>
      <c r="AD246" s="258" t="s">
        <v>4640</v>
      </c>
      <c r="AE246" s="255" t="s">
        <v>155</v>
      </c>
      <c r="AF246" s="255" t="s">
        <v>2208</v>
      </c>
      <c r="AG246" s="256"/>
    </row>
    <row r="247">
      <c r="A247" s="257">
        <v>45252.58313568287</v>
      </c>
      <c r="B247" s="259">
        <v>45252.0</v>
      </c>
      <c r="F247" s="255" t="s">
        <v>4641</v>
      </c>
      <c r="G247" s="255" t="s">
        <v>4642</v>
      </c>
      <c r="H247" s="255" t="s">
        <v>4643</v>
      </c>
      <c r="M247" s="255" t="s">
        <v>4644</v>
      </c>
      <c r="P247" s="255">
        <v>1950.0</v>
      </c>
      <c r="Q247" s="255" t="s">
        <v>2207</v>
      </c>
      <c r="R247" s="255" t="s">
        <v>2207</v>
      </c>
      <c r="T247" s="255">
        <v>74000.0</v>
      </c>
      <c r="U247" s="255">
        <v>21000.0</v>
      </c>
      <c r="V247" s="255">
        <v>1.0</v>
      </c>
      <c r="W247" s="259">
        <v>45252.0</v>
      </c>
      <c r="X247" s="260" t="s">
        <v>2235</v>
      </c>
      <c r="Y247" s="259">
        <v>45257.0</v>
      </c>
      <c r="AB247" s="255">
        <v>390.0</v>
      </c>
      <c r="AD247" s="258" t="s">
        <v>4645</v>
      </c>
      <c r="AE247" s="255" t="s">
        <v>159</v>
      </c>
      <c r="AF247" s="255" t="s">
        <v>2208</v>
      </c>
      <c r="AG247" s="256"/>
    </row>
    <row r="248">
      <c r="A248" s="257">
        <v>45253.6222179051</v>
      </c>
      <c r="B248" s="259">
        <v>45253.0</v>
      </c>
      <c r="F248" s="255" t="s">
        <v>3605</v>
      </c>
      <c r="G248" s="255" t="s">
        <v>4646</v>
      </c>
      <c r="H248" s="255" t="s">
        <v>3607</v>
      </c>
      <c r="M248" s="255">
        <v>5000.0</v>
      </c>
      <c r="P248" s="255">
        <v>9750.0</v>
      </c>
      <c r="Q248" s="255" t="s">
        <v>2207</v>
      </c>
      <c r="R248" s="255" t="s">
        <v>2207</v>
      </c>
      <c r="T248" s="255">
        <v>140000.0</v>
      </c>
      <c r="U248" s="255">
        <v>20000.0</v>
      </c>
      <c r="V248" s="255">
        <v>2.0</v>
      </c>
      <c r="W248" s="259">
        <v>45253.0</v>
      </c>
      <c r="X248" s="260" t="s">
        <v>2246</v>
      </c>
      <c r="Y248" s="259">
        <v>45268.0</v>
      </c>
      <c r="AA248" s="255" t="s">
        <v>669</v>
      </c>
      <c r="AB248" s="255">
        <v>650.0</v>
      </c>
      <c r="AD248" s="258" t="s">
        <v>4647</v>
      </c>
      <c r="AE248" s="255" t="s">
        <v>32</v>
      </c>
      <c r="AF248" s="255" t="s">
        <v>2208</v>
      </c>
      <c r="AG248" s="256"/>
    </row>
    <row r="249">
      <c r="A249" s="257">
        <v>45255.53333340278</v>
      </c>
      <c r="B249" s="259">
        <v>45255.0</v>
      </c>
      <c r="F249" s="255" t="s">
        <v>4648</v>
      </c>
      <c r="G249" s="255" t="s">
        <v>4649</v>
      </c>
      <c r="H249" s="255" t="s">
        <v>4650</v>
      </c>
      <c r="M249" s="255" t="s">
        <v>430</v>
      </c>
      <c r="P249" s="255">
        <v>3270.0</v>
      </c>
      <c r="Q249" s="255" t="s">
        <v>4651</v>
      </c>
      <c r="R249" s="255" t="s">
        <v>4651</v>
      </c>
      <c r="T249" s="255">
        <v>130000.0</v>
      </c>
      <c r="U249" s="255">
        <v>12000.0</v>
      </c>
      <c r="V249" s="255">
        <v>0.0</v>
      </c>
      <c r="W249" s="259">
        <v>45255.0</v>
      </c>
      <c r="X249" s="260" t="s">
        <v>2235</v>
      </c>
      <c r="Y249" s="259">
        <v>45258.0</v>
      </c>
      <c r="AA249" s="255" t="s">
        <v>672</v>
      </c>
      <c r="AB249" s="255">
        <v>1090.0</v>
      </c>
      <c r="AD249" s="258" t="s">
        <v>4652</v>
      </c>
      <c r="AE249" s="255" t="s">
        <v>468</v>
      </c>
      <c r="AF249" s="255" t="s">
        <v>2270</v>
      </c>
      <c r="AG249" s="256"/>
    </row>
    <row r="250">
      <c r="A250" s="257">
        <v>45255.64939574074</v>
      </c>
      <c r="B250" s="259">
        <v>45255.0</v>
      </c>
      <c r="F250" s="255" t="s">
        <v>4653</v>
      </c>
      <c r="M250" s="255">
        <v>8000.0</v>
      </c>
      <c r="P250" s="255">
        <v>1800.0</v>
      </c>
      <c r="Q250" s="255" t="s">
        <v>2207</v>
      </c>
      <c r="R250" s="255" t="s">
        <v>2207</v>
      </c>
      <c r="T250" s="255">
        <v>70000.0</v>
      </c>
      <c r="U250" s="255">
        <v>12000.0</v>
      </c>
      <c r="V250" s="255">
        <v>0.0</v>
      </c>
      <c r="W250" s="259">
        <v>45255.0</v>
      </c>
      <c r="X250" s="260" t="s">
        <v>2215</v>
      </c>
      <c r="Y250" s="259">
        <v>45258.0</v>
      </c>
      <c r="AB250" s="255">
        <v>600.0</v>
      </c>
      <c r="AD250" s="258" t="s">
        <v>4654</v>
      </c>
      <c r="AE250" s="255" t="s">
        <v>193</v>
      </c>
      <c r="AF250" s="255" t="s">
        <v>2279</v>
      </c>
      <c r="AG250" s="256"/>
    </row>
    <row r="251">
      <c r="A251" s="257">
        <v>45255.78238134259</v>
      </c>
      <c r="B251" s="259">
        <v>45255.0</v>
      </c>
      <c r="F251" s="255" t="s">
        <v>4655</v>
      </c>
      <c r="M251" s="255" t="s">
        <v>912</v>
      </c>
      <c r="P251" s="255">
        <v>7500.0</v>
      </c>
      <c r="Q251" s="255" t="s">
        <v>4656</v>
      </c>
      <c r="R251" s="255" t="s">
        <v>4656</v>
      </c>
      <c r="T251" s="255">
        <v>75000.0</v>
      </c>
      <c r="U251" s="255">
        <v>18471.0</v>
      </c>
      <c r="V251" s="255">
        <v>2.0</v>
      </c>
      <c r="W251" s="259">
        <v>45255.0</v>
      </c>
      <c r="X251" s="260" t="s">
        <v>2209</v>
      </c>
      <c r="Y251" s="259">
        <v>45285.0</v>
      </c>
      <c r="AA251" s="255" t="s">
        <v>676</v>
      </c>
      <c r="AC251" s="255">
        <v>7500.0</v>
      </c>
      <c r="AD251" s="258" t="s">
        <v>4657</v>
      </c>
      <c r="AE251" s="255" t="s">
        <v>68</v>
      </c>
      <c r="AF251" s="255" t="s">
        <v>2227</v>
      </c>
      <c r="AG251" s="256"/>
    </row>
    <row r="252">
      <c r="A252" s="257">
        <v>45255.788423252314</v>
      </c>
      <c r="B252" s="259">
        <v>45255.0</v>
      </c>
      <c r="F252" s="255" t="s">
        <v>4658</v>
      </c>
      <c r="G252" s="255" t="s">
        <v>4656</v>
      </c>
      <c r="M252" s="255" t="s">
        <v>912</v>
      </c>
      <c r="P252" s="255">
        <v>7500.0</v>
      </c>
      <c r="Q252" s="255" t="s">
        <v>4656</v>
      </c>
      <c r="R252" s="255" t="s">
        <v>4656</v>
      </c>
      <c r="T252" s="255">
        <v>75000.0</v>
      </c>
      <c r="U252" s="255">
        <v>21000.0</v>
      </c>
      <c r="V252" s="255">
        <v>2.0</v>
      </c>
      <c r="W252" s="259">
        <v>45255.0</v>
      </c>
      <c r="X252" s="260" t="s">
        <v>2209</v>
      </c>
      <c r="Y252" s="259">
        <v>45285.0</v>
      </c>
      <c r="AA252" s="255" t="s">
        <v>679</v>
      </c>
      <c r="AC252" s="255">
        <v>7500.0</v>
      </c>
      <c r="AD252" s="258" t="s">
        <v>4659</v>
      </c>
      <c r="AE252" s="255" t="s">
        <v>159</v>
      </c>
      <c r="AF252" s="255" t="s">
        <v>2320</v>
      </c>
      <c r="AG252" s="256"/>
    </row>
    <row r="253">
      <c r="A253" s="257">
        <v>45257.942721134255</v>
      </c>
      <c r="B253" s="259">
        <v>45258.0</v>
      </c>
      <c r="F253" s="255" t="s">
        <v>4660</v>
      </c>
      <c r="G253" s="255" t="s">
        <v>4661</v>
      </c>
      <c r="H253" s="255" t="s">
        <v>4660</v>
      </c>
      <c r="M253" s="255" t="s">
        <v>430</v>
      </c>
      <c r="P253" s="255">
        <v>7670.0</v>
      </c>
      <c r="Q253" s="255" t="s">
        <v>4661</v>
      </c>
      <c r="R253" s="255" t="s">
        <v>4661</v>
      </c>
      <c r="T253" s="255">
        <v>75000.0</v>
      </c>
      <c r="U253" s="255">
        <v>11900.0</v>
      </c>
      <c r="V253" s="255">
        <v>2.0</v>
      </c>
      <c r="W253" s="259">
        <v>45258.0</v>
      </c>
      <c r="X253" s="260" t="s">
        <v>2265</v>
      </c>
      <c r="Y253" s="259">
        <v>45271.0</v>
      </c>
      <c r="AA253" s="255" t="s">
        <v>682</v>
      </c>
      <c r="AB253" s="255">
        <v>590.0</v>
      </c>
      <c r="AD253" s="258" t="s">
        <v>4662</v>
      </c>
      <c r="AE253" s="255" t="s">
        <v>193</v>
      </c>
      <c r="AF253" s="255" t="s">
        <v>2208</v>
      </c>
      <c r="AG253" s="256"/>
    </row>
    <row r="254">
      <c r="A254" s="257">
        <v>45258.80360868055</v>
      </c>
      <c r="B254" s="259">
        <v>45258.0</v>
      </c>
      <c r="H254" s="260" t="s">
        <v>4663</v>
      </c>
      <c r="M254" s="255" t="s">
        <v>515</v>
      </c>
      <c r="P254" s="255">
        <v>7560.0</v>
      </c>
      <c r="Q254" s="255" t="s">
        <v>2207</v>
      </c>
      <c r="R254" s="255" t="s">
        <v>2207</v>
      </c>
      <c r="T254" s="255">
        <v>130000.0</v>
      </c>
      <c r="U254" s="255">
        <v>12900.0</v>
      </c>
      <c r="V254" s="255">
        <v>1.0</v>
      </c>
      <c r="W254" s="259">
        <v>45258.0</v>
      </c>
      <c r="X254" s="260" t="s">
        <v>2209</v>
      </c>
      <c r="Y254" s="259">
        <v>45265.0</v>
      </c>
      <c r="AB254" s="255">
        <v>1080.0</v>
      </c>
      <c r="AD254" s="258" t="s">
        <v>4664</v>
      </c>
      <c r="AE254" s="255" t="s">
        <v>468</v>
      </c>
      <c r="AF254" s="255" t="s">
        <v>2208</v>
      </c>
      <c r="AG254" s="256"/>
    </row>
    <row r="255">
      <c r="A255" s="257">
        <v>45260.545726655095</v>
      </c>
      <c r="B255" s="259">
        <v>45260.0</v>
      </c>
      <c r="M255" s="255" t="s">
        <v>687</v>
      </c>
      <c r="P255" s="255">
        <v>18000.0</v>
      </c>
      <c r="Q255" s="255" t="s">
        <v>2207</v>
      </c>
      <c r="R255" s="255" t="s">
        <v>2207</v>
      </c>
      <c r="T255" s="255">
        <v>100000.0</v>
      </c>
      <c r="U255" s="255">
        <v>25200.0</v>
      </c>
      <c r="V255" s="255">
        <v>1.0</v>
      </c>
      <c r="W255" s="259">
        <v>45260.0</v>
      </c>
      <c r="X255" s="260" t="s">
        <v>2265</v>
      </c>
      <c r="Y255" s="259">
        <v>45290.0</v>
      </c>
      <c r="AA255" s="255" t="s">
        <v>688</v>
      </c>
      <c r="AC255" s="255">
        <v>18000.0</v>
      </c>
      <c r="AD255" s="258" t="s">
        <v>4665</v>
      </c>
      <c r="AE255" s="255" t="s">
        <v>461</v>
      </c>
      <c r="AF255" s="255" t="s">
        <v>2270</v>
      </c>
      <c r="AG255" s="256"/>
    </row>
    <row r="256">
      <c r="A256" s="257">
        <v>45260.673010046296</v>
      </c>
      <c r="B256" s="259">
        <v>45261.0</v>
      </c>
      <c r="F256" s="255" t="s">
        <v>4666</v>
      </c>
      <c r="H256" s="255" t="s">
        <v>4667</v>
      </c>
      <c r="M256" s="255" t="s">
        <v>430</v>
      </c>
      <c r="P256" s="255">
        <v>17840.0</v>
      </c>
      <c r="Q256" s="255" t="s">
        <v>2207</v>
      </c>
      <c r="R256" s="255" t="s">
        <v>2207</v>
      </c>
      <c r="T256" s="255">
        <v>190000.0</v>
      </c>
      <c r="U256" s="255">
        <v>32600.0</v>
      </c>
      <c r="V256" s="255">
        <v>2.0</v>
      </c>
      <c r="W256" s="259">
        <v>45260.0</v>
      </c>
      <c r="X256" s="260" t="s">
        <v>2215</v>
      </c>
      <c r="Y256" s="259">
        <v>45270.0</v>
      </c>
      <c r="AB256" s="255">
        <v>1784.0</v>
      </c>
      <c r="AD256" s="258" t="s">
        <v>4668</v>
      </c>
      <c r="AE256" s="255" t="s">
        <v>483</v>
      </c>
      <c r="AF256" s="255" t="s">
        <v>2227</v>
      </c>
      <c r="AG256" s="256"/>
    </row>
    <row r="257">
      <c r="A257" s="257">
        <v>45261.38881266204</v>
      </c>
      <c r="B257" s="259">
        <v>45261.0</v>
      </c>
      <c r="G257" s="255" t="s">
        <v>4669</v>
      </c>
      <c r="M257" s="269">
        <v>13500.0</v>
      </c>
      <c r="P257" s="255">
        <v>5250.0</v>
      </c>
      <c r="Q257" s="255" t="s">
        <v>4669</v>
      </c>
      <c r="R257" s="255" t="s">
        <v>4669</v>
      </c>
      <c r="T257" s="255">
        <v>130000.0</v>
      </c>
      <c r="U257" s="255">
        <v>23000.0</v>
      </c>
      <c r="V257" s="255">
        <v>2.0</v>
      </c>
      <c r="W257" s="259">
        <v>45261.0</v>
      </c>
      <c r="X257" s="260" t="s">
        <v>3213</v>
      </c>
      <c r="Y257" s="259">
        <v>45268.0</v>
      </c>
      <c r="AB257" s="255">
        <v>750.0</v>
      </c>
      <c r="AD257" s="258" t="s">
        <v>4670</v>
      </c>
      <c r="AE257" s="255" t="s">
        <v>92</v>
      </c>
      <c r="AF257" s="255" t="s">
        <v>2208</v>
      </c>
      <c r="AG257" s="256"/>
    </row>
    <row r="258">
      <c r="A258" s="257">
        <v>45261.394267407406</v>
      </c>
      <c r="B258" s="259">
        <v>45261.0</v>
      </c>
      <c r="G258" s="255" t="s">
        <v>4669</v>
      </c>
      <c r="M258" s="269">
        <v>8000.0</v>
      </c>
      <c r="P258" s="255">
        <v>3500.0</v>
      </c>
      <c r="Q258" s="255" t="s">
        <v>4669</v>
      </c>
      <c r="R258" s="255" t="s">
        <v>4669</v>
      </c>
      <c r="T258" s="255">
        <v>75000.0</v>
      </c>
      <c r="U258" s="255">
        <v>19800.0</v>
      </c>
      <c r="V258" s="255">
        <v>2.0</v>
      </c>
      <c r="W258" s="259">
        <v>45261.0</v>
      </c>
      <c r="X258" s="260" t="s">
        <v>3213</v>
      </c>
      <c r="Y258" s="259">
        <v>45268.0</v>
      </c>
      <c r="AB258" s="255">
        <v>500.0</v>
      </c>
      <c r="AD258" s="258" t="s">
        <v>4671</v>
      </c>
      <c r="AE258" s="255" t="s">
        <v>56</v>
      </c>
      <c r="AF258" s="255" t="s">
        <v>2208</v>
      </c>
      <c r="AG258" s="256"/>
    </row>
    <row r="259">
      <c r="A259" s="257">
        <v>45261.40030625</v>
      </c>
      <c r="B259" s="259">
        <v>45261.0</v>
      </c>
      <c r="G259" s="255" t="s">
        <v>4669</v>
      </c>
      <c r="M259" s="269">
        <v>8000.0</v>
      </c>
      <c r="Q259" s="255" t="s">
        <v>4669</v>
      </c>
      <c r="R259" s="255" t="s">
        <v>4669</v>
      </c>
      <c r="T259" s="255">
        <v>75000.0</v>
      </c>
      <c r="V259" s="255">
        <v>2.0</v>
      </c>
      <c r="W259" s="259">
        <v>45261.0</v>
      </c>
      <c r="X259" s="260" t="s">
        <v>3213</v>
      </c>
      <c r="Y259" s="259">
        <v>45268.0</v>
      </c>
      <c r="AB259" s="255">
        <v>500.0</v>
      </c>
      <c r="AD259" s="258" t="s">
        <v>4672</v>
      </c>
      <c r="AF259" s="255" t="s">
        <v>2208</v>
      </c>
      <c r="AG259" s="256"/>
    </row>
    <row r="260">
      <c r="A260" s="257">
        <v>45261.40663493055</v>
      </c>
      <c r="B260" s="259">
        <v>45261.0</v>
      </c>
      <c r="G260" s="255" t="s">
        <v>4669</v>
      </c>
      <c r="M260" s="269">
        <v>13500.0</v>
      </c>
      <c r="P260" s="255">
        <v>5250.0</v>
      </c>
      <c r="Q260" s="255" t="s">
        <v>4669</v>
      </c>
      <c r="R260" s="255" t="s">
        <v>4669</v>
      </c>
      <c r="T260" s="255">
        <v>130000.0</v>
      </c>
      <c r="U260" s="255">
        <v>28000.0</v>
      </c>
      <c r="V260" s="255">
        <v>2.0</v>
      </c>
      <c r="W260" s="259">
        <v>45261.0</v>
      </c>
      <c r="X260" s="260" t="s">
        <v>3213</v>
      </c>
      <c r="Y260" s="259">
        <v>45268.0</v>
      </c>
      <c r="AB260" s="255">
        <v>750.0</v>
      </c>
      <c r="AD260" s="258" t="s">
        <v>4673</v>
      </c>
      <c r="AE260" s="255" t="s">
        <v>155</v>
      </c>
      <c r="AF260" s="255" t="s">
        <v>2208</v>
      </c>
      <c r="AG260" s="256"/>
    </row>
    <row r="261">
      <c r="A261" s="257">
        <v>45261.41542513889</v>
      </c>
      <c r="B261" s="259">
        <v>45261.0</v>
      </c>
      <c r="G261" s="255" t="s">
        <v>4669</v>
      </c>
      <c r="M261" s="269">
        <v>13500.0</v>
      </c>
      <c r="P261" s="255">
        <v>5250.0</v>
      </c>
      <c r="Q261" s="255" t="s">
        <v>4674</v>
      </c>
      <c r="R261" s="255" t="s">
        <v>4674</v>
      </c>
      <c r="U261" s="255">
        <v>16000.0</v>
      </c>
      <c r="V261" s="255">
        <v>2.0</v>
      </c>
      <c r="W261" s="259">
        <v>45261.0</v>
      </c>
      <c r="X261" s="260" t="s">
        <v>3213</v>
      </c>
      <c r="Y261" s="259">
        <v>45268.0</v>
      </c>
      <c r="AB261" s="255">
        <v>750.0</v>
      </c>
      <c r="AD261" s="258" t="s">
        <v>4675</v>
      </c>
      <c r="AE261" s="255" t="s">
        <v>198</v>
      </c>
      <c r="AF261" s="255" t="s">
        <v>2208</v>
      </c>
      <c r="AG261" s="256"/>
    </row>
    <row r="262">
      <c r="A262" s="257">
        <v>45261.42075409723</v>
      </c>
      <c r="B262" s="259">
        <v>45261.0</v>
      </c>
      <c r="D262" s="255" t="s">
        <v>4676</v>
      </c>
      <c r="F262" s="255" t="s">
        <v>4677</v>
      </c>
      <c r="G262" s="255" t="s">
        <v>4678</v>
      </c>
      <c r="H262" s="255" t="s">
        <v>4679</v>
      </c>
      <c r="M262" s="255">
        <v>3000.0</v>
      </c>
      <c r="P262" s="255">
        <v>3900.0</v>
      </c>
      <c r="Q262" s="255" t="s">
        <v>4678</v>
      </c>
      <c r="R262" s="255" t="s">
        <v>4678</v>
      </c>
      <c r="T262" s="255">
        <v>85000.0</v>
      </c>
      <c r="U262" s="255">
        <v>25700.0</v>
      </c>
      <c r="V262" s="255">
        <v>2.0</v>
      </c>
      <c r="W262" s="259">
        <v>45261.0</v>
      </c>
      <c r="X262" s="260" t="s">
        <v>2221</v>
      </c>
      <c r="Y262" s="259">
        <v>45271.0</v>
      </c>
      <c r="AB262" s="255">
        <v>390.0</v>
      </c>
      <c r="AD262" s="258" t="s">
        <v>4680</v>
      </c>
      <c r="AE262" s="255" t="s">
        <v>185</v>
      </c>
      <c r="AF262" s="255" t="s">
        <v>2208</v>
      </c>
      <c r="AG262" s="256"/>
    </row>
    <row r="263">
      <c r="A263" s="257">
        <v>45262.53066040509</v>
      </c>
      <c r="B263" s="259">
        <v>45262.0</v>
      </c>
      <c r="M263" s="255" t="s">
        <v>695</v>
      </c>
      <c r="P263" s="255">
        <v>3270.0</v>
      </c>
      <c r="Q263" s="255" t="s">
        <v>2207</v>
      </c>
      <c r="R263" s="255" t="s">
        <v>2207</v>
      </c>
      <c r="T263" s="255">
        <v>125000.0</v>
      </c>
      <c r="U263" s="255">
        <v>12030.0</v>
      </c>
      <c r="V263" s="255">
        <v>1.0</v>
      </c>
      <c r="W263" s="259">
        <v>45262.0</v>
      </c>
      <c r="X263" s="260" t="s">
        <v>2221</v>
      </c>
      <c r="Y263" s="259">
        <v>45265.0</v>
      </c>
      <c r="AB263" s="255">
        <v>1090.0</v>
      </c>
      <c r="AD263" s="258" t="s">
        <v>4681</v>
      </c>
      <c r="AE263" s="255" t="s">
        <v>423</v>
      </c>
      <c r="AF263" s="255" t="s">
        <v>2208</v>
      </c>
      <c r="AG263" s="256"/>
    </row>
    <row r="264">
      <c r="A264" s="257">
        <v>45262.777309259254</v>
      </c>
      <c r="B264" s="259">
        <v>45269.0</v>
      </c>
      <c r="F264" s="255" t="s">
        <v>4682</v>
      </c>
      <c r="M264" s="255" t="s">
        <v>1451</v>
      </c>
      <c r="P264" s="255">
        <v>7000.0</v>
      </c>
      <c r="Q264" s="255" t="s">
        <v>2207</v>
      </c>
      <c r="R264" s="255" t="s">
        <v>2207</v>
      </c>
      <c r="T264" s="255">
        <v>75000.0</v>
      </c>
      <c r="U264" s="255">
        <v>16200.0</v>
      </c>
      <c r="V264" s="255">
        <v>0.0</v>
      </c>
      <c r="W264" s="259">
        <v>45269.0</v>
      </c>
      <c r="X264" s="260" t="s">
        <v>2221</v>
      </c>
      <c r="Y264" s="259">
        <v>45331.0</v>
      </c>
      <c r="AC264" s="255">
        <v>7000.0</v>
      </c>
      <c r="AD264" s="258" t="s">
        <v>4683</v>
      </c>
      <c r="AE264" s="255" t="s">
        <v>114</v>
      </c>
      <c r="AF264" s="255" t="s">
        <v>3177</v>
      </c>
      <c r="AG264" s="256"/>
    </row>
    <row r="265">
      <c r="A265" s="257">
        <v>45263.79636587963</v>
      </c>
      <c r="B265" s="259">
        <v>45263.0</v>
      </c>
      <c r="F265" s="255" t="s">
        <v>3623</v>
      </c>
      <c r="G265" s="255" t="s">
        <v>4684</v>
      </c>
      <c r="H265" s="255" t="s">
        <v>4685</v>
      </c>
      <c r="M265" s="255" t="s">
        <v>701</v>
      </c>
      <c r="P265" s="255">
        <v>7670.0</v>
      </c>
      <c r="Q265" s="255" t="s">
        <v>4684</v>
      </c>
      <c r="R265" s="255" t="s">
        <v>4686</v>
      </c>
      <c r="T265" s="255">
        <v>135000.0</v>
      </c>
      <c r="U265" s="255">
        <v>15600.0</v>
      </c>
      <c r="V265" s="255">
        <v>3.0</v>
      </c>
      <c r="W265" s="259">
        <v>45263.0</v>
      </c>
      <c r="X265" s="260" t="s">
        <v>2209</v>
      </c>
      <c r="Y265" s="259">
        <v>45276.0</v>
      </c>
      <c r="AB265" s="255">
        <v>590.0</v>
      </c>
      <c r="AD265" s="258" t="s">
        <v>4687</v>
      </c>
      <c r="AE265" s="255" t="s">
        <v>198</v>
      </c>
      <c r="AF265" s="255" t="s">
        <v>2208</v>
      </c>
      <c r="AG265" s="256"/>
    </row>
    <row r="266">
      <c r="A266" s="257">
        <v>45263.96285420139</v>
      </c>
      <c r="B266" s="259">
        <v>45263.0</v>
      </c>
      <c r="F266" s="255" t="s">
        <v>4688</v>
      </c>
      <c r="M266" s="255">
        <v>5000.0</v>
      </c>
      <c r="P266" s="255">
        <v>3160.0</v>
      </c>
      <c r="Q266" s="255" t="s">
        <v>2207</v>
      </c>
      <c r="R266" s="255" t="s">
        <v>2207</v>
      </c>
      <c r="T266" s="255">
        <v>135000.0</v>
      </c>
      <c r="U266" s="255">
        <v>17800.0</v>
      </c>
      <c r="V266" s="255">
        <v>2.0</v>
      </c>
      <c r="W266" s="259">
        <v>45263.0</v>
      </c>
      <c r="X266" s="260" t="s">
        <v>3126</v>
      </c>
      <c r="Y266" s="259">
        <v>45267.0</v>
      </c>
      <c r="AA266" s="255" t="s">
        <v>699</v>
      </c>
      <c r="AB266" s="255">
        <v>790.0</v>
      </c>
      <c r="AD266" s="258" t="s">
        <v>4689</v>
      </c>
      <c r="AE266" s="255" t="s">
        <v>64</v>
      </c>
      <c r="AF266" s="255" t="s">
        <v>2270</v>
      </c>
      <c r="AG266" s="256"/>
    </row>
    <row r="267">
      <c r="A267" s="257">
        <v>45264.98967456019</v>
      </c>
      <c r="B267" s="259">
        <v>45264.0</v>
      </c>
      <c r="F267" s="255" t="s">
        <v>4690</v>
      </c>
      <c r="M267" s="255" t="s">
        <v>704</v>
      </c>
      <c r="P267" s="255">
        <v>1700.0</v>
      </c>
      <c r="Q267" s="255" t="s">
        <v>2207</v>
      </c>
      <c r="R267" s="255" t="s">
        <v>2207</v>
      </c>
      <c r="T267" s="255">
        <v>68000.0</v>
      </c>
      <c r="U267" s="255">
        <v>21500.0</v>
      </c>
      <c r="V267" s="255">
        <v>2.0</v>
      </c>
      <c r="W267" s="259">
        <v>45264.0</v>
      </c>
      <c r="X267" s="260" t="s">
        <v>3126</v>
      </c>
      <c r="Y267" s="259">
        <v>45270.0</v>
      </c>
      <c r="AB267" s="255">
        <v>280.0</v>
      </c>
      <c r="AD267" s="258" t="s">
        <v>4691</v>
      </c>
      <c r="AE267" s="255" t="s">
        <v>26</v>
      </c>
      <c r="AF267" s="255" t="s">
        <v>2208</v>
      </c>
      <c r="AG267" s="256"/>
    </row>
    <row r="268">
      <c r="A268" s="257">
        <v>45265.54856900463</v>
      </c>
      <c r="B268" s="259">
        <v>45265.0</v>
      </c>
      <c r="F268" s="255" t="s">
        <v>4692</v>
      </c>
      <c r="G268" s="255" t="s">
        <v>4693</v>
      </c>
      <c r="H268" s="255" t="s">
        <v>4694</v>
      </c>
      <c r="M268" s="255">
        <v>5000.0</v>
      </c>
      <c r="P268" s="255">
        <v>8400.0</v>
      </c>
      <c r="Q268" s="255" t="s">
        <v>4693</v>
      </c>
      <c r="R268" s="255" t="s">
        <v>4693</v>
      </c>
      <c r="T268" s="255">
        <v>115000.0</v>
      </c>
      <c r="U268" s="255">
        <v>18000.0</v>
      </c>
      <c r="V268" s="255">
        <v>2.0</v>
      </c>
      <c r="W268" s="259">
        <v>45265.0</v>
      </c>
      <c r="X268" s="260" t="s">
        <v>2221</v>
      </c>
      <c r="Y268" s="259">
        <v>45289.0</v>
      </c>
      <c r="AB268" s="255">
        <v>350.0</v>
      </c>
      <c r="AD268" s="258" t="s">
        <v>4695</v>
      </c>
      <c r="AE268" s="255" t="s">
        <v>32</v>
      </c>
      <c r="AF268" s="255" t="s">
        <v>2208</v>
      </c>
      <c r="AG268" s="256"/>
    </row>
    <row r="269">
      <c r="A269" s="257">
        <v>45266.454051875</v>
      </c>
      <c r="B269" s="259">
        <v>45266.0</v>
      </c>
      <c r="F269" s="255" t="s">
        <v>4696</v>
      </c>
      <c r="G269" s="255" t="s">
        <v>4697</v>
      </c>
      <c r="H269" s="260" t="s">
        <v>4698</v>
      </c>
      <c r="M269" s="255">
        <v>3000.0</v>
      </c>
      <c r="P269" s="255">
        <v>1560.0</v>
      </c>
      <c r="Q269" s="255" t="s">
        <v>4699</v>
      </c>
      <c r="R269" s="255" t="s">
        <v>4699</v>
      </c>
      <c r="T269" s="255">
        <v>75000.0</v>
      </c>
      <c r="U269" s="255">
        <v>19500.0</v>
      </c>
      <c r="V269" s="255">
        <v>1.0</v>
      </c>
      <c r="W269" s="259">
        <v>45266.0</v>
      </c>
      <c r="X269" s="260" t="s">
        <v>2231</v>
      </c>
      <c r="Y269" s="259">
        <v>45270.0</v>
      </c>
      <c r="AD269" s="258" t="s">
        <v>4700</v>
      </c>
      <c r="AE269" s="255" t="s">
        <v>98</v>
      </c>
      <c r="AF269" s="255" t="s">
        <v>2208</v>
      </c>
      <c r="AG269" s="256"/>
    </row>
    <row r="270">
      <c r="A270" s="257">
        <v>45266.82722958333</v>
      </c>
      <c r="B270" s="259">
        <v>45267.0</v>
      </c>
      <c r="G270" s="255" t="s">
        <v>4701</v>
      </c>
      <c r="M270" s="269">
        <v>13500.0</v>
      </c>
      <c r="P270" s="255">
        <v>3000.0</v>
      </c>
      <c r="Q270" s="255" t="s">
        <v>4701</v>
      </c>
      <c r="R270" s="255" t="s">
        <v>4701</v>
      </c>
      <c r="T270" s="255">
        <v>135000.0</v>
      </c>
      <c r="U270" s="255">
        <v>22000.0</v>
      </c>
      <c r="V270" s="255">
        <v>0.0</v>
      </c>
      <c r="W270" s="259">
        <v>45267.0</v>
      </c>
      <c r="X270" s="260" t="s">
        <v>2262</v>
      </c>
      <c r="Y270" s="259">
        <v>45270.0</v>
      </c>
      <c r="AA270" s="255" t="s">
        <v>711</v>
      </c>
      <c r="AB270" s="255">
        <v>750.0</v>
      </c>
      <c r="AD270" s="258" t="s">
        <v>4702</v>
      </c>
      <c r="AE270" s="255" t="s">
        <v>113</v>
      </c>
      <c r="AF270" s="255" t="s">
        <v>2208</v>
      </c>
      <c r="AG270" s="256"/>
    </row>
    <row r="271">
      <c r="A271" s="257">
        <v>45268.55453868056</v>
      </c>
      <c r="B271" s="259">
        <v>45268.0</v>
      </c>
      <c r="F271" s="255" t="s">
        <v>4703</v>
      </c>
      <c r="H271" s="260" t="s">
        <v>4704</v>
      </c>
      <c r="M271" s="255" t="s">
        <v>600</v>
      </c>
      <c r="P271" s="255">
        <v>1800.0</v>
      </c>
      <c r="Q271" s="255" t="s">
        <v>2207</v>
      </c>
      <c r="R271" s="255" t="s">
        <v>2207</v>
      </c>
      <c r="T271" s="255">
        <v>165000.0</v>
      </c>
      <c r="U271" s="255">
        <v>39600.0</v>
      </c>
      <c r="V271" s="255">
        <v>1.0</v>
      </c>
      <c r="W271" s="259">
        <v>45268.0</v>
      </c>
      <c r="X271" s="260" t="s">
        <v>2221</v>
      </c>
      <c r="Y271" s="259">
        <v>45270.0</v>
      </c>
      <c r="AA271" s="255" t="s">
        <v>714</v>
      </c>
      <c r="AB271" s="255">
        <v>1800.0</v>
      </c>
      <c r="AD271" s="258" t="s">
        <v>4705</v>
      </c>
      <c r="AE271" s="255" t="s">
        <v>321</v>
      </c>
      <c r="AF271" s="255" t="s">
        <v>2208</v>
      </c>
      <c r="AG271" s="256"/>
    </row>
    <row r="272">
      <c r="A272" s="257">
        <v>45269.78237912037</v>
      </c>
      <c r="B272" s="259">
        <v>45269.0</v>
      </c>
      <c r="F272" s="255" t="s">
        <v>4706</v>
      </c>
      <c r="G272" s="255" t="s">
        <v>4707</v>
      </c>
      <c r="M272" s="255">
        <v>3000.0</v>
      </c>
      <c r="P272" s="255">
        <v>2900.0</v>
      </c>
      <c r="Q272" s="255" t="s">
        <v>4707</v>
      </c>
      <c r="R272" s="255" t="s">
        <v>4707</v>
      </c>
      <c r="T272" s="255">
        <v>55000.0</v>
      </c>
      <c r="U272" s="255">
        <v>33000.0</v>
      </c>
      <c r="V272" s="255">
        <v>2.0</v>
      </c>
      <c r="W272" s="259">
        <v>45269.0</v>
      </c>
      <c r="X272" s="260" t="s">
        <v>2209</v>
      </c>
      <c r="Y272" s="259">
        <v>45279.0</v>
      </c>
      <c r="AB272" s="255">
        <v>290.0</v>
      </c>
      <c r="AD272" s="258" t="s">
        <v>4708</v>
      </c>
      <c r="AE272" s="255" t="s">
        <v>132</v>
      </c>
      <c r="AF272" s="255" t="s">
        <v>2208</v>
      </c>
      <c r="AG272" s="256"/>
    </row>
    <row r="273">
      <c r="A273" s="257">
        <v>45271.57392358796</v>
      </c>
      <c r="B273" s="259">
        <v>45271.0</v>
      </c>
      <c r="F273" s="255" t="s">
        <v>4709</v>
      </c>
      <c r="G273" s="255" t="s">
        <v>4710</v>
      </c>
      <c r="H273" s="255">
        <v>8.9114484106E10</v>
      </c>
      <c r="M273" s="255">
        <v>5000.0</v>
      </c>
      <c r="P273" s="255">
        <v>10000.0</v>
      </c>
      <c r="Q273" s="255" t="s">
        <v>4710</v>
      </c>
      <c r="R273" s="255" t="s">
        <v>4710</v>
      </c>
      <c r="T273" s="255">
        <v>120000.0</v>
      </c>
      <c r="U273" s="255">
        <v>19000.0</v>
      </c>
      <c r="V273" s="255">
        <v>3.0</v>
      </c>
      <c r="W273" s="259">
        <v>45271.0</v>
      </c>
      <c r="X273" s="260" t="s">
        <v>2231</v>
      </c>
      <c r="Y273" s="259">
        <v>45302.0</v>
      </c>
      <c r="AC273" s="255">
        <v>10000.0</v>
      </c>
      <c r="AD273" s="258" t="s">
        <v>4711</v>
      </c>
      <c r="AE273" s="255" t="s">
        <v>202</v>
      </c>
      <c r="AF273" s="255" t="s">
        <v>2208</v>
      </c>
      <c r="AG273" s="256"/>
    </row>
    <row r="274">
      <c r="A274" s="257">
        <v>45274.456052106485</v>
      </c>
      <c r="B274" s="259">
        <v>45274.0</v>
      </c>
      <c r="F274" s="255" t="s">
        <v>4712</v>
      </c>
      <c r="G274" s="255" t="s">
        <v>4713</v>
      </c>
      <c r="H274" s="255">
        <v>8.9149553906E10</v>
      </c>
      <c r="M274" s="263">
        <v>8100.0</v>
      </c>
      <c r="P274" s="255">
        <v>2240.0</v>
      </c>
      <c r="Q274" s="255" t="s">
        <v>4713</v>
      </c>
      <c r="R274" s="255" t="s">
        <v>4713</v>
      </c>
      <c r="T274" s="255">
        <v>65000.0</v>
      </c>
      <c r="U274" s="255">
        <v>23000.0</v>
      </c>
      <c r="V274" s="255">
        <v>2.0</v>
      </c>
      <c r="W274" s="259">
        <v>45274.0</v>
      </c>
      <c r="X274" s="260" t="s">
        <v>2231</v>
      </c>
      <c r="Y274" s="259">
        <v>45282.0</v>
      </c>
      <c r="AB274" s="255">
        <v>280.0</v>
      </c>
      <c r="AD274" s="258" t="s">
        <v>4714</v>
      </c>
      <c r="AE274" s="255" t="s">
        <v>26</v>
      </c>
      <c r="AF274" s="255" t="s">
        <v>2208</v>
      </c>
      <c r="AG274" s="256"/>
    </row>
    <row r="275">
      <c r="A275" s="257">
        <v>45274.46143318287</v>
      </c>
      <c r="B275" s="259">
        <v>45274.0</v>
      </c>
      <c r="F275" s="255" t="s">
        <v>4703</v>
      </c>
      <c r="M275" s="255" t="s">
        <v>1502</v>
      </c>
      <c r="P275" s="255">
        <v>23900.0</v>
      </c>
      <c r="Q275" s="255" t="s">
        <v>2207</v>
      </c>
      <c r="R275" s="255" t="s">
        <v>2207</v>
      </c>
      <c r="T275" s="255">
        <v>170000.0</v>
      </c>
      <c r="U275" s="255">
        <v>39500.0</v>
      </c>
      <c r="V275" s="255">
        <v>2.0</v>
      </c>
      <c r="W275" s="259">
        <v>45274.0</v>
      </c>
      <c r="X275" s="260" t="s">
        <v>2221</v>
      </c>
      <c r="Y275" s="259">
        <v>45305.0</v>
      </c>
      <c r="AA275" s="255" t="s">
        <v>4715</v>
      </c>
      <c r="AC275" s="255">
        <v>23900.0</v>
      </c>
      <c r="AD275" s="258" t="s">
        <v>4716</v>
      </c>
      <c r="AE275" s="255" t="s">
        <v>321</v>
      </c>
      <c r="AF275" s="255" t="s">
        <v>2208</v>
      </c>
      <c r="AG275" s="256"/>
    </row>
    <row r="276">
      <c r="A276" s="257">
        <v>45274.501825486106</v>
      </c>
      <c r="B276" s="259">
        <v>45274.0</v>
      </c>
      <c r="F276" s="255" t="s">
        <v>4717</v>
      </c>
      <c r="G276" s="255" t="s">
        <v>4718</v>
      </c>
      <c r="M276" s="255">
        <v>3000.0</v>
      </c>
      <c r="P276" s="255">
        <v>8190.0</v>
      </c>
      <c r="R276" s="255" t="s">
        <v>4718</v>
      </c>
      <c r="T276" s="255">
        <v>3000.0</v>
      </c>
      <c r="U276" s="255">
        <v>20000.0</v>
      </c>
      <c r="V276" s="255">
        <v>2.0</v>
      </c>
      <c r="W276" s="259">
        <v>45275.0</v>
      </c>
      <c r="X276" s="260" t="s">
        <v>2235</v>
      </c>
      <c r="Y276" s="259">
        <v>45281.0</v>
      </c>
      <c r="AB276" s="255">
        <v>390.0</v>
      </c>
      <c r="AD276" s="258" t="s">
        <v>4719</v>
      </c>
      <c r="AE276" s="255" t="s">
        <v>73</v>
      </c>
      <c r="AF276" s="255" t="s">
        <v>2208</v>
      </c>
      <c r="AG276" s="256"/>
    </row>
    <row r="277">
      <c r="A277" s="257">
        <v>45274.81144488426</v>
      </c>
      <c r="B277" s="259">
        <v>45274.0</v>
      </c>
      <c r="F277" s="255" t="s">
        <v>4720</v>
      </c>
      <c r="G277" s="255" t="s">
        <v>4721</v>
      </c>
      <c r="M277" s="255" t="s">
        <v>515</v>
      </c>
      <c r="P277" s="255">
        <v>1200.0</v>
      </c>
      <c r="Q277" s="255" t="s">
        <v>4722</v>
      </c>
      <c r="R277" s="255" t="s">
        <v>4723</v>
      </c>
      <c r="T277" s="255">
        <v>65000.0</v>
      </c>
      <c r="U277" s="255">
        <v>12000.0</v>
      </c>
      <c r="V277" s="255">
        <v>2.0</v>
      </c>
      <c r="W277" s="259">
        <v>45274.0</v>
      </c>
      <c r="X277" s="260" t="s">
        <v>2209</v>
      </c>
      <c r="Y277" s="259">
        <v>45276.0</v>
      </c>
      <c r="AB277" s="255">
        <v>600.0</v>
      </c>
      <c r="AD277" s="258" t="s">
        <v>4724</v>
      </c>
      <c r="AE277" s="255" t="s">
        <v>193</v>
      </c>
      <c r="AF277" s="255" t="s">
        <v>2279</v>
      </c>
      <c r="AG277" s="256"/>
    </row>
    <row r="278">
      <c r="A278" s="257">
        <v>45276.49924821759</v>
      </c>
      <c r="B278" s="259">
        <v>45276.0</v>
      </c>
      <c r="F278" s="255" t="s">
        <v>4725</v>
      </c>
      <c r="G278" s="255" t="s">
        <v>4726</v>
      </c>
      <c r="H278" s="255">
        <v>8.9501110511E10</v>
      </c>
      <c r="I278" s="260" t="s">
        <v>4727</v>
      </c>
      <c r="M278" s="255">
        <v>5000.0</v>
      </c>
      <c r="P278" s="255">
        <v>10000.0</v>
      </c>
      <c r="Q278" s="255" t="s">
        <v>4723</v>
      </c>
      <c r="R278" s="255" t="s">
        <v>4723</v>
      </c>
      <c r="T278" s="255">
        <v>140000.0</v>
      </c>
      <c r="U278" s="255">
        <v>20000.0</v>
      </c>
      <c r="V278" s="255">
        <v>3.0</v>
      </c>
      <c r="W278" s="259">
        <v>45276.0</v>
      </c>
      <c r="X278" s="260" t="s">
        <v>2221</v>
      </c>
      <c r="Y278" s="259">
        <v>45294.0</v>
      </c>
      <c r="AC278" s="255">
        <v>10000.0</v>
      </c>
      <c r="AD278" s="258" t="s">
        <v>4728</v>
      </c>
      <c r="AE278" s="255" t="s">
        <v>32</v>
      </c>
      <c r="AF278" s="255" t="s">
        <v>2208</v>
      </c>
      <c r="AG278" s="256"/>
    </row>
    <row r="279">
      <c r="A279" s="257">
        <v>45276.618136307865</v>
      </c>
      <c r="B279" s="259">
        <v>45276.0</v>
      </c>
      <c r="F279" s="255" t="s">
        <v>4729</v>
      </c>
      <c r="H279" s="255">
        <v>8.964572009E10</v>
      </c>
      <c r="M279" s="255" t="s">
        <v>912</v>
      </c>
      <c r="P279" s="255">
        <v>3700.0</v>
      </c>
      <c r="Q279" s="255" t="s">
        <v>4730</v>
      </c>
      <c r="R279" s="255" t="s">
        <v>4730</v>
      </c>
      <c r="T279" s="255">
        <v>85000.0</v>
      </c>
      <c r="U279" s="255">
        <v>17800.0</v>
      </c>
      <c r="V279" s="255">
        <v>3.0</v>
      </c>
      <c r="W279" s="259">
        <v>45276.0</v>
      </c>
      <c r="X279" s="260" t="s">
        <v>2231</v>
      </c>
      <c r="Y279" s="259">
        <v>45286.0</v>
      </c>
      <c r="AB279" s="255">
        <v>370.0</v>
      </c>
      <c r="AD279" s="258" t="s">
        <v>4731</v>
      </c>
      <c r="AE279" s="255" t="s">
        <v>88</v>
      </c>
      <c r="AF279" s="255" t="s">
        <v>2208</v>
      </c>
      <c r="AG279" s="256"/>
    </row>
    <row r="280">
      <c r="A280" s="257">
        <v>45276.89292935185</v>
      </c>
      <c r="B280" s="259">
        <v>45277.0</v>
      </c>
      <c r="F280" s="255" t="s">
        <v>4732</v>
      </c>
      <c r="G280" s="255" t="s">
        <v>4572</v>
      </c>
      <c r="H280" s="260" t="s">
        <v>4733</v>
      </c>
      <c r="M280" s="255">
        <v>3000.0</v>
      </c>
      <c r="P280" s="255">
        <v>3510.0</v>
      </c>
      <c r="Q280" s="255" t="s">
        <v>4572</v>
      </c>
      <c r="R280" s="255" t="s">
        <v>4572</v>
      </c>
      <c r="T280" s="255">
        <v>85000.0</v>
      </c>
      <c r="U280" s="255">
        <v>20500.0</v>
      </c>
      <c r="V280" s="255">
        <v>2.0</v>
      </c>
      <c r="W280" s="259">
        <v>45277.0</v>
      </c>
      <c r="X280" s="260" t="s">
        <v>2300</v>
      </c>
      <c r="Y280" s="259">
        <v>45286.0</v>
      </c>
      <c r="AB280" s="255">
        <v>390.0</v>
      </c>
      <c r="AD280" s="258" t="s">
        <v>4734</v>
      </c>
      <c r="AE280" s="255" t="s">
        <v>56</v>
      </c>
      <c r="AF280" s="255" t="s">
        <v>2320</v>
      </c>
      <c r="AG280" s="256"/>
    </row>
    <row r="281">
      <c r="A281" s="257">
        <v>45277.51090579861</v>
      </c>
      <c r="B281" s="259">
        <v>45277.0</v>
      </c>
      <c r="F281" s="255" t="s">
        <v>4735</v>
      </c>
      <c r="G281" s="255" t="s">
        <v>4736</v>
      </c>
      <c r="H281" s="260" t="s">
        <v>4737</v>
      </c>
      <c r="M281" s="255">
        <v>3000.0</v>
      </c>
      <c r="P281" s="255">
        <v>6900.0</v>
      </c>
      <c r="Q281" s="255" t="s">
        <v>4736</v>
      </c>
      <c r="R281" s="255" t="s">
        <v>4736</v>
      </c>
      <c r="T281" s="255">
        <v>85000.0</v>
      </c>
      <c r="U281" s="255">
        <v>18000.0</v>
      </c>
      <c r="V281" s="255">
        <v>2.0</v>
      </c>
      <c r="W281" s="259">
        <v>45277.0</v>
      </c>
      <c r="X281" s="260" t="s">
        <v>2215</v>
      </c>
      <c r="Y281" s="259">
        <v>45308.0</v>
      </c>
      <c r="AC281" s="255">
        <v>6900.0</v>
      </c>
      <c r="AD281" s="258" t="s">
        <v>4738</v>
      </c>
      <c r="AE281" s="255" t="s">
        <v>98</v>
      </c>
      <c r="AF281" s="255" t="s">
        <v>2208</v>
      </c>
      <c r="AG281" s="256"/>
    </row>
    <row r="282">
      <c r="A282" s="257">
        <v>45277.5799121412</v>
      </c>
      <c r="B282" s="259">
        <v>45277.0</v>
      </c>
      <c r="F282" s="255" t="s">
        <v>4739</v>
      </c>
      <c r="M282" s="255" t="s">
        <v>515</v>
      </c>
      <c r="P282" s="255">
        <v>1780.0</v>
      </c>
      <c r="Q282" s="255" t="s">
        <v>4722</v>
      </c>
      <c r="R282" s="255" t="s">
        <v>4723</v>
      </c>
      <c r="T282" s="255">
        <v>190000.0</v>
      </c>
      <c r="U282" s="255">
        <v>23300.0</v>
      </c>
      <c r="V282" s="255">
        <v>0.0</v>
      </c>
      <c r="W282" s="259">
        <v>45277.0</v>
      </c>
      <c r="X282" s="260" t="s">
        <v>2235</v>
      </c>
      <c r="Y282" s="259">
        <v>45278.0</v>
      </c>
      <c r="AB282" s="255">
        <v>1780.0</v>
      </c>
      <c r="AD282" s="258" t="s">
        <v>4740</v>
      </c>
      <c r="AE282" s="255" t="s">
        <v>483</v>
      </c>
      <c r="AF282" s="255" t="s">
        <v>2227</v>
      </c>
      <c r="AG282" s="256"/>
    </row>
    <row r="283">
      <c r="A283" s="257">
        <v>45277.58252984953</v>
      </c>
      <c r="B283" s="259">
        <v>45277.0</v>
      </c>
      <c r="F283" s="255" t="s">
        <v>4741</v>
      </c>
      <c r="G283" s="255" t="s">
        <v>4742</v>
      </c>
      <c r="H283" s="255" t="s">
        <v>4743</v>
      </c>
      <c r="M283" s="255">
        <v>3000.0</v>
      </c>
      <c r="P283" s="255">
        <v>7900.0</v>
      </c>
      <c r="Q283" s="255" t="s">
        <v>4742</v>
      </c>
      <c r="R283" s="255" t="s">
        <v>4742</v>
      </c>
      <c r="T283" s="255">
        <v>90000.0</v>
      </c>
      <c r="U283" s="255">
        <v>22200.0</v>
      </c>
      <c r="V283" s="255">
        <v>2.0</v>
      </c>
      <c r="W283" s="259">
        <v>45277.0</v>
      </c>
      <c r="X283" s="260" t="s">
        <v>2231</v>
      </c>
      <c r="Y283" s="259">
        <v>45308.0</v>
      </c>
      <c r="AC283" s="255">
        <v>7900.0</v>
      </c>
      <c r="AD283" s="258" t="s">
        <v>4744</v>
      </c>
      <c r="AE283" s="255" t="s">
        <v>185</v>
      </c>
      <c r="AF283" s="255" t="s">
        <v>2208</v>
      </c>
      <c r="AG283" s="256"/>
    </row>
    <row r="284">
      <c r="A284" s="257">
        <v>45280.39235362269</v>
      </c>
      <c r="B284" s="259">
        <v>45280.0</v>
      </c>
      <c r="F284" s="255" t="s">
        <v>4745</v>
      </c>
      <c r="G284" s="255" t="s">
        <v>3355</v>
      </c>
      <c r="M284" s="255">
        <v>5000.0</v>
      </c>
      <c r="P284" s="255">
        <v>15600.0</v>
      </c>
      <c r="Q284" s="255" t="s">
        <v>4746</v>
      </c>
      <c r="R284" s="255" t="s">
        <v>4746</v>
      </c>
      <c r="T284" s="255">
        <v>140000.0</v>
      </c>
      <c r="V284" s="255">
        <v>2.0</v>
      </c>
      <c r="W284" s="259">
        <v>45280.0</v>
      </c>
      <c r="X284" s="260" t="s">
        <v>2324</v>
      </c>
      <c r="Y284" s="259">
        <v>45306.0</v>
      </c>
      <c r="AA284" s="255" t="s">
        <v>742</v>
      </c>
      <c r="AB284" s="255">
        <v>600.0</v>
      </c>
      <c r="AD284" s="258" t="s">
        <v>4747</v>
      </c>
      <c r="AE284" s="255" t="s">
        <v>64</v>
      </c>
      <c r="AF284" s="255" t="s">
        <v>2208</v>
      </c>
      <c r="AG284" s="256"/>
    </row>
    <row r="285">
      <c r="A285" s="257">
        <v>45281.470251226856</v>
      </c>
      <c r="B285" s="259">
        <v>45281.0</v>
      </c>
      <c r="F285" s="255" t="s">
        <v>4748</v>
      </c>
      <c r="G285" s="255" t="s">
        <v>3268</v>
      </c>
      <c r="H285" s="255" t="s">
        <v>4749</v>
      </c>
      <c r="M285" s="255">
        <v>5000.0</v>
      </c>
      <c r="P285" s="255">
        <v>1980.0</v>
      </c>
      <c r="Q285" s="255" t="s">
        <v>2207</v>
      </c>
      <c r="R285" s="255" t="s">
        <v>2207</v>
      </c>
      <c r="T285" s="255">
        <v>130000.0</v>
      </c>
      <c r="U285" s="255">
        <v>24500.0</v>
      </c>
      <c r="V285" s="255">
        <v>3.0</v>
      </c>
      <c r="W285" s="259">
        <v>45281.0</v>
      </c>
      <c r="X285" s="260" t="s">
        <v>2265</v>
      </c>
      <c r="Y285" s="259">
        <v>45284.0</v>
      </c>
      <c r="AB285" s="255">
        <v>690.0</v>
      </c>
      <c r="AD285" s="258" t="s">
        <v>4750</v>
      </c>
      <c r="AE285" s="255" t="s">
        <v>60</v>
      </c>
      <c r="AF285" s="255" t="s">
        <v>2208</v>
      </c>
      <c r="AG285" s="256"/>
    </row>
    <row r="286">
      <c r="A286" s="257">
        <v>45281.623156076384</v>
      </c>
      <c r="B286" s="259">
        <v>45281.0</v>
      </c>
      <c r="F286" s="255" t="s">
        <v>4751</v>
      </c>
      <c r="G286" s="255" t="s">
        <v>4752</v>
      </c>
      <c r="M286" s="263">
        <v>13500.0</v>
      </c>
      <c r="P286" s="255">
        <v>3540.0</v>
      </c>
      <c r="Q286" s="255" t="s">
        <v>4722</v>
      </c>
      <c r="R286" s="255" t="s">
        <v>4723</v>
      </c>
      <c r="T286" s="255">
        <v>130000.0</v>
      </c>
      <c r="U286" s="255">
        <v>24500.0</v>
      </c>
      <c r="V286" s="255">
        <v>2.0</v>
      </c>
      <c r="W286" s="259">
        <v>45281.0</v>
      </c>
      <c r="X286" s="260" t="s">
        <v>2209</v>
      </c>
      <c r="Y286" s="259">
        <v>45287.0</v>
      </c>
      <c r="AB286" s="255">
        <v>590.0</v>
      </c>
      <c r="AD286" s="258" t="s">
        <v>4753</v>
      </c>
      <c r="AE286" s="255" t="s">
        <v>60</v>
      </c>
      <c r="AF286" s="255" t="s">
        <v>2208</v>
      </c>
      <c r="AG286" s="256"/>
    </row>
    <row r="287">
      <c r="A287" s="257">
        <v>45281.950410868056</v>
      </c>
      <c r="B287" s="259">
        <v>45282.0</v>
      </c>
      <c r="H287" s="260" t="s">
        <v>4698</v>
      </c>
      <c r="M287" s="255">
        <v>3000.0</v>
      </c>
      <c r="P287" s="255">
        <v>2730.0</v>
      </c>
      <c r="Q287" s="255" t="s">
        <v>2207</v>
      </c>
      <c r="R287" s="255" t="s">
        <v>2207</v>
      </c>
      <c r="T287" s="255">
        <v>80000.0</v>
      </c>
      <c r="U287" s="255">
        <v>20500.0</v>
      </c>
      <c r="V287" s="255">
        <v>1.0</v>
      </c>
      <c r="W287" s="259">
        <v>45282.0</v>
      </c>
      <c r="X287" s="260" t="s">
        <v>2324</v>
      </c>
      <c r="Y287" s="259">
        <v>45289.0</v>
      </c>
      <c r="AB287" s="255">
        <v>390.0</v>
      </c>
      <c r="AD287" s="258" t="s">
        <v>4754</v>
      </c>
      <c r="AE287" s="255" t="s">
        <v>56</v>
      </c>
      <c r="AF287" s="255" t="s">
        <v>2208</v>
      </c>
      <c r="AG287" s="256"/>
    </row>
    <row r="288">
      <c r="A288" s="257">
        <v>45282.023149953704</v>
      </c>
      <c r="B288" s="259">
        <v>45282.0</v>
      </c>
      <c r="F288" s="255" t="s">
        <v>4755</v>
      </c>
      <c r="G288" s="255" t="s">
        <v>4756</v>
      </c>
      <c r="H288" s="260" t="s">
        <v>4757</v>
      </c>
      <c r="M288" s="255" t="s">
        <v>753</v>
      </c>
      <c r="P288" s="255">
        <v>8000.0</v>
      </c>
      <c r="Q288" s="255" t="s">
        <v>4756</v>
      </c>
      <c r="R288" s="255" t="s">
        <v>4756</v>
      </c>
      <c r="T288" s="255">
        <v>80000.0</v>
      </c>
      <c r="U288" s="255">
        <v>12000.0</v>
      </c>
      <c r="V288" s="255">
        <v>2.0</v>
      </c>
      <c r="W288" s="259">
        <v>45282.0</v>
      </c>
      <c r="X288" s="260" t="s">
        <v>2330</v>
      </c>
      <c r="Y288" s="259">
        <v>45313.0</v>
      </c>
      <c r="AC288" s="255">
        <v>8900.0</v>
      </c>
      <c r="AD288" s="258" t="s">
        <v>4758</v>
      </c>
      <c r="AE288" s="255" t="s">
        <v>193</v>
      </c>
      <c r="AF288" s="255" t="s">
        <v>2208</v>
      </c>
      <c r="AG288" s="256"/>
    </row>
    <row r="289">
      <c r="A289" s="257">
        <v>45282.37173760417</v>
      </c>
      <c r="B289" s="259">
        <v>45282.0</v>
      </c>
      <c r="M289" s="255">
        <v>0.0</v>
      </c>
      <c r="P289" s="255">
        <v>1500.0</v>
      </c>
      <c r="Q289" s="255" t="s">
        <v>2207</v>
      </c>
      <c r="R289" s="255" t="s">
        <v>2207</v>
      </c>
      <c r="U289" s="255">
        <v>41000.0</v>
      </c>
      <c r="V289" s="255">
        <v>1.0</v>
      </c>
      <c r="W289" s="259">
        <v>45282.0</v>
      </c>
      <c r="X289" s="260" t="s">
        <v>2324</v>
      </c>
      <c r="Y289" s="259">
        <v>45285.0</v>
      </c>
      <c r="AB289" s="255">
        <v>500.0</v>
      </c>
      <c r="AD289" s="258" t="s">
        <v>4759</v>
      </c>
      <c r="AE289" s="255" t="s">
        <v>778</v>
      </c>
      <c r="AF289" s="255" t="s">
        <v>2279</v>
      </c>
      <c r="AG289" s="256"/>
    </row>
    <row r="290">
      <c r="A290" s="257">
        <v>45283.43125627315</v>
      </c>
      <c r="B290" s="259">
        <v>45283.0</v>
      </c>
      <c r="F290" s="255" t="s">
        <v>4760</v>
      </c>
      <c r="G290" s="255" t="s">
        <v>4761</v>
      </c>
      <c r="M290" s="255">
        <v>2000.0</v>
      </c>
      <c r="P290" s="255">
        <v>1600.0</v>
      </c>
      <c r="Q290" s="255" t="s">
        <v>2207</v>
      </c>
      <c r="R290" s="255" t="s">
        <v>2207</v>
      </c>
      <c r="T290" s="255">
        <v>130000.0</v>
      </c>
      <c r="U290" s="255">
        <v>18111.0</v>
      </c>
      <c r="V290" s="255">
        <v>0.0</v>
      </c>
      <c r="W290" s="259">
        <v>45283.0</v>
      </c>
      <c r="X290" s="260" t="s">
        <v>2330</v>
      </c>
      <c r="Y290" s="259">
        <v>45285.0</v>
      </c>
      <c r="AA290" s="255" t="s">
        <v>757</v>
      </c>
      <c r="AB290" s="255">
        <v>800.0</v>
      </c>
      <c r="AD290" s="258" t="s">
        <v>4762</v>
      </c>
      <c r="AE290" s="255" t="s">
        <v>427</v>
      </c>
      <c r="AF290" s="255" t="s">
        <v>2242</v>
      </c>
      <c r="AG290" s="256"/>
    </row>
    <row r="291">
      <c r="A291" s="257">
        <v>45283.43519679398</v>
      </c>
      <c r="B291" s="259">
        <v>45283.0</v>
      </c>
      <c r="F291" s="255" t="s">
        <v>2685</v>
      </c>
      <c r="G291" s="255" t="s">
        <v>4763</v>
      </c>
      <c r="H291" s="255" t="s">
        <v>4764</v>
      </c>
      <c r="M291" s="255">
        <v>3000.0</v>
      </c>
      <c r="P291" s="255">
        <v>2730.0</v>
      </c>
      <c r="Q291" s="255" t="s">
        <v>4763</v>
      </c>
      <c r="R291" s="255" t="s">
        <v>4763</v>
      </c>
      <c r="T291" s="255">
        <v>8000.0</v>
      </c>
      <c r="V291" s="255">
        <v>3.0</v>
      </c>
      <c r="W291" s="259">
        <v>45283.0</v>
      </c>
      <c r="X291" s="260" t="s">
        <v>2330</v>
      </c>
      <c r="Y291" s="259">
        <v>45290.0</v>
      </c>
      <c r="AB291" s="255">
        <v>390.0</v>
      </c>
      <c r="AD291" s="258" t="s">
        <v>4765</v>
      </c>
      <c r="AE291" s="255" t="s">
        <v>159</v>
      </c>
      <c r="AF291" s="255" t="s">
        <v>2208</v>
      </c>
      <c r="AG291" s="256"/>
    </row>
    <row r="292">
      <c r="A292" s="257">
        <v>45283.67826728009</v>
      </c>
      <c r="B292" s="259">
        <v>45283.0</v>
      </c>
      <c r="F292" s="255" t="s">
        <v>4766</v>
      </c>
      <c r="G292" s="255" t="s">
        <v>4767</v>
      </c>
      <c r="H292" s="255" t="s">
        <v>4768</v>
      </c>
      <c r="M292" s="255">
        <v>3000.0</v>
      </c>
      <c r="P292" s="255">
        <v>2030.0</v>
      </c>
      <c r="Q292" s="255" t="s">
        <v>4767</v>
      </c>
      <c r="R292" s="255" t="s">
        <v>4767</v>
      </c>
      <c r="T292" s="255">
        <v>70000.0</v>
      </c>
      <c r="U292" s="255">
        <v>23000.0</v>
      </c>
      <c r="V292" s="255">
        <v>2.0</v>
      </c>
      <c r="W292" s="259">
        <v>45283.0</v>
      </c>
      <c r="X292" s="260" t="s">
        <v>2246</v>
      </c>
      <c r="Y292" s="259">
        <v>45290.0</v>
      </c>
      <c r="AB292" s="255">
        <v>290.0</v>
      </c>
      <c r="AD292" s="258" t="s">
        <v>4769</v>
      </c>
      <c r="AE292" s="255" t="s">
        <v>132</v>
      </c>
      <c r="AF292" s="255" t="s">
        <v>2208</v>
      </c>
      <c r="AG292" s="256"/>
    </row>
    <row r="293">
      <c r="A293" s="257">
        <v>45284.5011905787</v>
      </c>
      <c r="B293" s="259">
        <v>45284.0</v>
      </c>
      <c r="F293" s="255" t="s">
        <v>4770</v>
      </c>
      <c r="G293" s="255" t="s">
        <v>4771</v>
      </c>
      <c r="M293" s="263">
        <v>8100.0</v>
      </c>
      <c r="P293" s="255">
        <v>4680.0</v>
      </c>
      <c r="Q293" s="255" t="s">
        <v>4771</v>
      </c>
      <c r="R293" s="255" t="s">
        <v>4771</v>
      </c>
      <c r="T293" s="255">
        <v>80000.0</v>
      </c>
      <c r="U293" s="255">
        <v>21534.0</v>
      </c>
      <c r="V293" s="255">
        <v>2.0</v>
      </c>
      <c r="W293" s="259">
        <v>45284.0</v>
      </c>
      <c r="X293" s="260" t="s">
        <v>2221</v>
      </c>
      <c r="Y293" s="259">
        <v>45293.0</v>
      </c>
      <c r="AB293" s="255">
        <v>390.0</v>
      </c>
      <c r="AD293" s="258" t="s">
        <v>4772</v>
      </c>
      <c r="AE293" s="255" t="s">
        <v>48</v>
      </c>
      <c r="AF293" s="255" t="s">
        <v>2208</v>
      </c>
      <c r="AG293" s="256"/>
    </row>
    <row r="294">
      <c r="A294" s="257">
        <v>45284.52831678241</v>
      </c>
      <c r="B294" s="259">
        <v>45284.0</v>
      </c>
      <c r="F294" s="255" t="s">
        <v>4773</v>
      </c>
      <c r="G294" s="255" t="s">
        <v>4774</v>
      </c>
      <c r="M294" s="255" t="s">
        <v>515</v>
      </c>
      <c r="P294" s="255">
        <v>5340.0</v>
      </c>
      <c r="Q294" s="255" t="s">
        <v>4774</v>
      </c>
      <c r="R294" s="255" t="s">
        <v>4774</v>
      </c>
      <c r="T294" s="255">
        <v>250000.0</v>
      </c>
      <c r="U294" s="255">
        <v>35300.0</v>
      </c>
      <c r="V294" s="255">
        <v>2.0</v>
      </c>
      <c r="W294" s="259">
        <v>45284.0</v>
      </c>
      <c r="X294" s="260" t="s">
        <v>2235</v>
      </c>
      <c r="Y294" s="259">
        <v>45287.0</v>
      </c>
      <c r="AA294" s="255" t="s">
        <v>764</v>
      </c>
      <c r="AB294" s="255">
        <v>1780.0</v>
      </c>
      <c r="AD294" s="258" t="s">
        <v>4775</v>
      </c>
      <c r="AE294" s="255" t="s">
        <v>102</v>
      </c>
      <c r="AF294" s="255" t="s">
        <v>2208</v>
      </c>
      <c r="AG294" s="256"/>
    </row>
    <row r="295">
      <c r="A295" s="257">
        <v>45284.53579666666</v>
      </c>
      <c r="B295" s="259">
        <v>45284.0</v>
      </c>
      <c r="F295" s="255" t="s">
        <v>4776</v>
      </c>
      <c r="G295" s="255" t="s">
        <v>4777</v>
      </c>
      <c r="H295" s="255" t="s">
        <v>4778</v>
      </c>
      <c r="M295" s="255">
        <v>5000.0</v>
      </c>
      <c r="P295" s="255">
        <v>8280.0</v>
      </c>
      <c r="Q295" s="255" t="s">
        <v>4777</v>
      </c>
      <c r="R295" s="255" t="s">
        <v>4777</v>
      </c>
      <c r="T295" s="255">
        <v>140000.0</v>
      </c>
      <c r="U295" s="255">
        <v>22500.0</v>
      </c>
      <c r="V295" s="255">
        <v>2.0</v>
      </c>
      <c r="W295" s="259">
        <v>45284.0</v>
      </c>
      <c r="X295" s="260" t="s">
        <v>2235</v>
      </c>
      <c r="Y295" s="259">
        <v>45296.0</v>
      </c>
      <c r="AB295" s="255">
        <v>690.0</v>
      </c>
      <c r="AC295" s="255">
        <v>8280.0</v>
      </c>
      <c r="AD295" s="258" t="s">
        <v>4779</v>
      </c>
      <c r="AE295" s="255" t="s">
        <v>92</v>
      </c>
      <c r="AF295" s="255" t="s">
        <v>2208</v>
      </c>
      <c r="AG295" s="256"/>
    </row>
    <row r="296">
      <c r="A296" s="257">
        <v>45285.855941180555</v>
      </c>
      <c r="B296" s="259">
        <v>45285.0</v>
      </c>
      <c r="G296" s="255" t="s">
        <v>4780</v>
      </c>
      <c r="M296" s="255">
        <v>5000.0</v>
      </c>
      <c r="P296" s="255">
        <v>7590.0</v>
      </c>
      <c r="Q296" s="255" t="s">
        <v>4780</v>
      </c>
      <c r="R296" s="255" t="s">
        <v>4780</v>
      </c>
      <c r="T296" s="255">
        <v>130000.0</v>
      </c>
      <c r="U296" s="255">
        <v>17000.0</v>
      </c>
      <c r="V296" s="255">
        <v>0.0</v>
      </c>
      <c r="W296" s="259">
        <v>45286.0</v>
      </c>
      <c r="X296" s="260" t="s">
        <v>2235</v>
      </c>
      <c r="Y296" s="259">
        <v>45297.0</v>
      </c>
      <c r="AB296" s="255">
        <v>690.0</v>
      </c>
      <c r="AD296" s="258" t="s">
        <v>4781</v>
      </c>
      <c r="AE296" s="255" t="s">
        <v>198</v>
      </c>
      <c r="AF296" s="255" t="s">
        <v>2208</v>
      </c>
      <c r="AG296" s="256"/>
    </row>
    <row r="297">
      <c r="A297" s="257">
        <v>45286.67186849537</v>
      </c>
      <c r="B297" s="259">
        <v>45286.0</v>
      </c>
      <c r="F297" s="255" t="s">
        <v>4782</v>
      </c>
      <c r="G297" s="255" t="s">
        <v>4783</v>
      </c>
      <c r="H297" s="255" t="s">
        <v>4784</v>
      </c>
      <c r="M297" s="255">
        <v>8000.0</v>
      </c>
      <c r="P297" s="255">
        <v>2480.0</v>
      </c>
      <c r="Q297" s="255" t="s">
        <v>2207</v>
      </c>
      <c r="R297" s="255" t="s">
        <v>2207</v>
      </c>
      <c r="T297" s="255">
        <v>80000.0</v>
      </c>
      <c r="U297" s="255">
        <v>13200.0</v>
      </c>
      <c r="V297" s="255">
        <v>2.0</v>
      </c>
      <c r="W297" s="259">
        <v>45286.0</v>
      </c>
      <c r="X297" s="260" t="s">
        <v>2215</v>
      </c>
      <c r="Y297" s="259">
        <v>45290.0</v>
      </c>
      <c r="AB297" s="255">
        <v>620.0</v>
      </c>
      <c r="AD297" s="258" t="s">
        <v>4785</v>
      </c>
      <c r="AE297" s="255" t="s">
        <v>173</v>
      </c>
      <c r="AF297" s="255" t="s">
        <v>2208</v>
      </c>
      <c r="AG297" s="256"/>
    </row>
    <row r="298">
      <c r="A298" s="257">
        <v>45287.974463182865</v>
      </c>
      <c r="B298" s="259">
        <v>45288.0</v>
      </c>
      <c r="F298" s="255" t="s">
        <v>4786</v>
      </c>
      <c r="G298" s="255" t="s">
        <v>4787</v>
      </c>
      <c r="H298" s="255" t="s">
        <v>4786</v>
      </c>
      <c r="M298" s="263">
        <v>40500.0</v>
      </c>
      <c r="P298" s="255">
        <v>10800.0</v>
      </c>
      <c r="Q298" s="255" t="s">
        <v>4788</v>
      </c>
      <c r="R298" s="255" t="s">
        <v>4788</v>
      </c>
      <c r="T298" s="255">
        <v>180000.0</v>
      </c>
      <c r="U298" s="255">
        <v>140000.0</v>
      </c>
      <c r="V298" s="255">
        <v>2.0</v>
      </c>
      <c r="W298" s="259">
        <v>45287.0</v>
      </c>
      <c r="X298" s="260" t="s">
        <v>2262</v>
      </c>
      <c r="Y298" s="259">
        <v>45297.0</v>
      </c>
      <c r="AA298" s="255" t="s">
        <v>777</v>
      </c>
      <c r="AB298" s="255">
        <v>1080.0</v>
      </c>
      <c r="AD298" s="258" t="s">
        <v>4789</v>
      </c>
      <c r="AE298" s="255" t="s">
        <v>423</v>
      </c>
      <c r="AF298" s="255" t="s">
        <v>2208</v>
      </c>
      <c r="AG298" s="256"/>
    </row>
    <row r="299">
      <c r="A299" s="257">
        <v>45288.52641910879</v>
      </c>
      <c r="B299" s="259">
        <v>45288.0</v>
      </c>
      <c r="F299" s="255" t="s">
        <v>4786</v>
      </c>
      <c r="G299" s="255" t="s">
        <v>4572</v>
      </c>
      <c r="M299" s="263">
        <v>30000.0</v>
      </c>
      <c r="P299" s="255">
        <v>2560.0</v>
      </c>
      <c r="Q299" s="255" t="s">
        <v>2207</v>
      </c>
      <c r="R299" s="255" t="s">
        <v>2207</v>
      </c>
      <c r="T299" s="255">
        <v>180000.0</v>
      </c>
      <c r="U299" s="255">
        <v>19000.0</v>
      </c>
      <c r="V299" s="255">
        <v>2.0</v>
      </c>
      <c r="W299" s="259">
        <v>45288.0</v>
      </c>
      <c r="X299" s="260" t="s">
        <v>2221</v>
      </c>
      <c r="Y299" s="259">
        <v>45290.0</v>
      </c>
      <c r="AB299" s="255">
        <v>1280.0</v>
      </c>
      <c r="AD299" s="258" t="s">
        <v>4790</v>
      </c>
      <c r="AE299" s="255" t="s">
        <v>472</v>
      </c>
    </row>
    <row r="300">
      <c r="A300" s="257">
        <v>45288.94334391203</v>
      </c>
      <c r="B300" s="259">
        <v>45289.0</v>
      </c>
      <c r="F300" s="255" t="s">
        <v>4791</v>
      </c>
      <c r="G300" s="255" t="s">
        <v>4792</v>
      </c>
      <c r="M300" s="255">
        <v>4000.0</v>
      </c>
      <c r="P300" s="255">
        <v>4290.0</v>
      </c>
      <c r="Q300" s="255" t="s">
        <v>4792</v>
      </c>
      <c r="R300" s="255" t="s">
        <v>4792</v>
      </c>
      <c r="T300" s="255">
        <v>80000.0</v>
      </c>
      <c r="U300" s="255">
        <v>18200.0</v>
      </c>
      <c r="V300" s="255">
        <v>2.0</v>
      </c>
      <c r="W300" s="259">
        <v>45289.0</v>
      </c>
      <c r="X300" s="260" t="s">
        <v>2330</v>
      </c>
      <c r="Y300" s="259">
        <v>45300.0</v>
      </c>
      <c r="AA300" s="255" t="s">
        <v>782</v>
      </c>
      <c r="AB300" s="255">
        <v>390.0</v>
      </c>
      <c r="AD300" s="258" t="s">
        <v>4793</v>
      </c>
      <c r="AE300" s="255" t="s">
        <v>88</v>
      </c>
      <c r="AF300" s="255" t="s">
        <v>2208</v>
      </c>
      <c r="AG300" s="256"/>
    </row>
    <row r="301">
      <c r="A301" s="257">
        <v>45289.0119969213</v>
      </c>
      <c r="B301" s="259">
        <v>45289.0</v>
      </c>
      <c r="M301" s="255">
        <v>8000.0</v>
      </c>
      <c r="P301" s="255">
        <v>2950.0</v>
      </c>
      <c r="Q301" s="255" t="s">
        <v>2207</v>
      </c>
      <c r="R301" s="255" t="s">
        <v>2207</v>
      </c>
      <c r="U301" s="255">
        <v>6000.0</v>
      </c>
      <c r="V301" s="255">
        <v>0.0</v>
      </c>
      <c r="W301" s="259">
        <v>45289.0</v>
      </c>
      <c r="X301" s="260" t="s">
        <v>2246</v>
      </c>
      <c r="Y301" s="259">
        <v>45294.0</v>
      </c>
      <c r="AB301" s="255">
        <v>590.0</v>
      </c>
      <c r="AD301" s="258" t="s">
        <v>4794</v>
      </c>
      <c r="AE301" s="255" t="s">
        <v>279</v>
      </c>
      <c r="AF301" s="255" t="s">
        <v>2208</v>
      </c>
      <c r="AG301" s="256"/>
    </row>
    <row r="302">
      <c r="A302" s="257">
        <v>45289.720215810186</v>
      </c>
      <c r="B302" s="259">
        <v>45289.0</v>
      </c>
      <c r="F302" s="255" t="s">
        <v>4795</v>
      </c>
      <c r="M302" s="255" t="s">
        <v>985</v>
      </c>
      <c r="P302" s="255">
        <v>4830.0</v>
      </c>
      <c r="Q302" s="255" t="s">
        <v>2207</v>
      </c>
      <c r="R302" s="255" t="s">
        <v>2207</v>
      </c>
      <c r="T302" s="255">
        <v>85000.0</v>
      </c>
      <c r="U302" s="255">
        <v>7000.0</v>
      </c>
      <c r="V302" s="255">
        <v>2.0</v>
      </c>
      <c r="W302" s="259">
        <v>45289.0</v>
      </c>
      <c r="X302" s="260" t="s">
        <v>2246</v>
      </c>
      <c r="Y302" s="259">
        <v>45296.0</v>
      </c>
      <c r="AB302" s="255">
        <v>690.0</v>
      </c>
      <c r="AD302" s="258" t="s">
        <v>4796</v>
      </c>
      <c r="AE302" s="255" t="s">
        <v>279</v>
      </c>
      <c r="AF302" s="255" t="s">
        <v>2208</v>
      </c>
      <c r="AG302" s="256"/>
    </row>
    <row r="303">
      <c r="A303" s="257">
        <v>45289.774946631944</v>
      </c>
      <c r="B303" s="259">
        <v>45289.0</v>
      </c>
      <c r="F303" s="255" t="s">
        <v>4797</v>
      </c>
      <c r="P303" s="255">
        <v>7490.0</v>
      </c>
      <c r="Q303" s="255" t="s">
        <v>2207</v>
      </c>
      <c r="R303" s="255" t="s">
        <v>2207</v>
      </c>
      <c r="T303" s="255">
        <v>80000.0</v>
      </c>
      <c r="U303" s="255">
        <v>16624.0</v>
      </c>
      <c r="V303" s="255">
        <v>1.0</v>
      </c>
      <c r="W303" s="259">
        <v>45289.0</v>
      </c>
      <c r="X303" s="260" t="s">
        <v>2209</v>
      </c>
      <c r="Y303" s="259">
        <v>45320.0</v>
      </c>
      <c r="AC303" s="255">
        <v>7490.0</v>
      </c>
      <c r="AD303" s="258" t="s">
        <v>4798</v>
      </c>
      <c r="AE303" s="255" t="s">
        <v>44</v>
      </c>
      <c r="AF303" s="255" t="s">
        <v>2208</v>
      </c>
      <c r="AG303" s="256"/>
    </row>
    <row r="304">
      <c r="A304" s="257">
        <v>45289.991321319445</v>
      </c>
      <c r="B304" s="259">
        <v>45290.0</v>
      </c>
      <c r="F304" s="255" t="s">
        <v>4799</v>
      </c>
      <c r="G304" s="255" t="s">
        <v>4800</v>
      </c>
      <c r="M304" s="263">
        <v>13500.0</v>
      </c>
      <c r="P304" s="255">
        <v>11800.0</v>
      </c>
      <c r="Q304" s="255" t="s">
        <v>2207</v>
      </c>
      <c r="R304" s="255" t="s">
        <v>2207</v>
      </c>
      <c r="T304" s="255">
        <v>160000.0</v>
      </c>
      <c r="U304" s="255">
        <v>29500.0</v>
      </c>
      <c r="V304" s="255">
        <v>2.0</v>
      </c>
      <c r="W304" s="259">
        <v>45290.0</v>
      </c>
      <c r="X304" s="260" t="s">
        <v>2265</v>
      </c>
      <c r="Y304" s="259">
        <v>45310.0</v>
      </c>
      <c r="AA304" s="255" t="s">
        <v>792</v>
      </c>
      <c r="AB304" s="255">
        <v>590.0</v>
      </c>
      <c r="AD304" s="258" t="s">
        <v>4801</v>
      </c>
      <c r="AE304" s="255" t="s">
        <v>155</v>
      </c>
      <c r="AF304" s="255" t="s">
        <v>2208</v>
      </c>
      <c r="AG304" s="256"/>
    </row>
    <row r="305">
      <c r="A305" s="257">
        <v>45290.76487958334</v>
      </c>
      <c r="B305" s="259">
        <v>45290.0</v>
      </c>
      <c r="F305" s="255" t="s">
        <v>4802</v>
      </c>
      <c r="G305" s="255" t="s">
        <v>4803</v>
      </c>
      <c r="H305" s="255" t="s">
        <v>4804</v>
      </c>
      <c r="M305" s="255" t="s">
        <v>600</v>
      </c>
      <c r="P305" s="255">
        <v>7120.0</v>
      </c>
      <c r="Q305" s="255" t="s">
        <v>2207</v>
      </c>
      <c r="R305" s="255" t="s">
        <v>2207</v>
      </c>
      <c r="T305" s="255">
        <v>250000.0</v>
      </c>
      <c r="U305" s="255">
        <v>36000.0</v>
      </c>
      <c r="V305" s="255">
        <v>0.0</v>
      </c>
      <c r="W305" s="259">
        <v>45290.0</v>
      </c>
      <c r="X305" s="260" t="s">
        <v>2209</v>
      </c>
      <c r="Y305" s="259">
        <v>45294.0</v>
      </c>
      <c r="AA305" s="255" t="s">
        <v>789</v>
      </c>
      <c r="AB305" s="255">
        <v>1780.0</v>
      </c>
      <c r="AD305" s="258" t="s">
        <v>4805</v>
      </c>
      <c r="AE305" s="255" t="s">
        <v>102</v>
      </c>
      <c r="AF305" s="255" t="s">
        <v>2227</v>
      </c>
      <c r="AG305" s="256"/>
    </row>
    <row r="306">
      <c r="A306" s="257">
        <v>45290.98713197917</v>
      </c>
      <c r="B306" s="259">
        <v>45291.0</v>
      </c>
      <c r="F306" s="255" t="s">
        <v>4806</v>
      </c>
      <c r="I306" s="255" t="s">
        <v>4807</v>
      </c>
      <c r="M306" s="263">
        <v>40500.0</v>
      </c>
      <c r="P306" s="255">
        <v>11500.0</v>
      </c>
      <c r="Q306" s="255" t="s">
        <v>2207</v>
      </c>
      <c r="R306" s="255" t="s">
        <v>2207</v>
      </c>
      <c r="T306" s="255">
        <v>180000.0</v>
      </c>
      <c r="U306" s="255">
        <v>19600.0</v>
      </c>
      <c r="V306" s="255">
        <v>2.0</v>
      </c>
      <c r="W306" s="259">
        <v>45291.0</v>
      </c>
      <c r="X306" s="260" t="s">
        <v>2235</v>
      </c>
      <c r="Y306" s="259">
        <v>45301.0</v>
      </c>
      <c r="AB306" s="255">
        <v>1150.0</v>
      </c>
      <c r="AD306" s="258" t="s">
        <v>4808</v>
      </c>
      <c r="AE306" s="255" t="s">
        <v>472</v>
      </c>
      <c r="AF306" s="255" t="s">
        <v>2208</v>
      </c>
      <c r="AG306" s="256"/>
    </row>
    <row r="307">
      <c r="A307" s="257">
        <v>45291.453162488426</v>
      </c>
      <c r="B307" s="259">
        <v>45291.0</v>
      </c>
      <c r="F307" s="255" t="s">
        <v>4760</v>
      </c>
      <c r="M307" s="255">
        <v>10000.0</v>
      </c>
      <c r="P307" s="255">
        <v>3000.0</v>
      </c>
      <c r="Q307" s="255" t="s">
        <v>2207</v>
      </c>
      <c r="R307" s="255" t="s">
        <v>2207</v>
      </c>
      <c r="T307" s="255">
        <v>190000.0</v>
      </c>
      <c r="U307" s="255">
        <v>24000.0</v>
      </c>
      <c r="V307" s="255">
        <v>0.0</v>
      </c>
      <c r="W307" s="259">
        <v>45291.0</v>
      </c>
      <c r="X307" s="260" t="s">
        <v>2235</v>
      </c>
      <c r="Y307" s="259">
        <v>45294.0</v>
      </c>
      <c r="AB307" s="255">
        <v>1000.0</v>
      </c>
      <c r="AD307" s="258" t="s">
        <v>4809</v>
      </c>
      <c r="AE307" s="255" t="s">
        <v>483</v>
      </c>
      <c r="AF307" s="255" t="s">
        <v>2208</v>
      </c>
      <c r="AG307" s="256"/>
    </row>
    <row r="308">
      <c r="A308" s="257">
        <v>45294.422734479165</v>
      </c>
      <c r="B308" s="259">
        <v>45294.0</v>
      </c>
      <c r="F308" s="255" t="s">
        <v>4810</v>
      </c>
      <c r="G308" s="255" t="s">
        <v>4811</v>
      </c>
      <c r="M308" s="255">
        <v>3000.0</v>
      </c>
      <c r="P308" s="255">
        <v>2058.0</v>
      </c>
      <c r="Q308" s="255" t="s">
        <v>2207</v>
      </c>
      <c r="R308" s="255" t="s">
        <v>2207</v>
      </c>
      <c r="U308" s="255">
        <v>22900.0</v>
      </c>
      <c r="V308" s="255">
        <v>2.0</v>
      </c>
      <c r="W308" s="259">
        <v>45294.0</v>
      </c>
      <c r="X308" s="260" t="s">
        <v>2324</v>
      </c>
      <c r="Y308" s="259">
        <v>45301.0</v>
      </c>
      <c r="AB308" s="255">
        <v>294.0</v>
      </c>
      <c r="AD308" s="258" t="s">
        <v>4812</v>
      </c>
      <c r="AE308" s="255" t="s">
        <v>26</v>
      </c>
      <c r="AF308" s="255" t="s">
        <v>2208</v>
      </c>
      <c r="AG308" s="256"/>
    </row>
    <row r="309">
      <c r="A309" s="257">
        <v>45294.60757209491</v>
      </c>
      <c r="B309" s="259">
        <v>45294.0</v>
      </c>
      <c r="F309" s="255" t="s">
        <v>4813</v>
      </c>
      <c r="G309" s="255" t="s">
        <v>4814</v>
      </c>
      <c r="M309" s="255">
        <v>5000.0</v>
      </c>
      <c r="P309" s="255">
        <v>4830.0</v>
      </c>
      <c r="Q309" s="255" t="s">
        <v>4814</v>
      </c>
      <c r="R309" s="255" t="s">
        <v>4814</v>
      </c>
      <c r="T309" s="255">
        <v>140000.0</v>
      </c>
      <c r="U309" s="255">
        <v>21000.0</v>
      </c>
      <c r="V309" s="255">
        <v>2.0</v>
      </c>
      <c r="W309" s="259">
        <v>45294.0</v>
      </c>
      <c r="X309" s="260" t="s">
        <v>2231</v>
      </c>
      <c r="Y309" s="259">
        <v>45301.0</v>
      </c>
      <c r="AD309" s="258" t="s">
        <v>4815</v>
      </c>
      <c r="AE309" s="255" t="s">
        <v>32</v>
      </c>
      <c r="AF309" s="255" t="s">
        <v>2208</v>
      </c>
      <c r="AG309" s="256"/>
    </row>
    <row r="310">
      <c r="A310" s="257">
        <v>45294.69232707176</v>
      </c>
      <c r="B310" s="259">
        <v>45294.0</v>
      </c>
      <c r="G310" s="255" t="s">
        <v>4816</v>
      </c>
      <c r="H310" s="255" t="s">
        <v>4817</v>
      </c>
      <c r="M310" s="255">
        <v>3000.0</v>
      </c>
      <c r="P310" s="255">
        <v>2360.0</v>
      </c>
      <c r="Q310" s="255" t="s">
        <v>4723</v>
      </c>
      <c r="R310" s="255" t="s">
        <v>4722</v>
      </c>
      <c r="T310" s="255">
        <v>80000.0</v>
      </c>
      <c r="U310" s="255">
        <v>21411.0</v>
      </c>
      <c r="V310" s="255">
        <v>2.0</v>
      </c>
      <c r="W310" s="259">
        <v>45294.0</v>
      </c>
      <c r="X310" s="260" t="s">
        <v>2215</v>
      </c>
      <c r="Y310" s="259">
        <v>45300.0</v>
      </c>
      <c r="AB310" s="255">
        <v>390.0</v>
      </c>
      <c r="AD310" s="258" t="s">
        <v>4818</v>
      </c>
      <c r="AE310" s="255" t="s">
        <v>151</v>
      </c>
      <c r="AF310" s="255" t="s">
        <v>2279</v>
      </c>
      <c r="AG310" s="256"/>
    </row>
    <row r="311">
      <c r="A311" s="257">
        <v>45295.662789131944</v>
      </c>
      <c r="B311" s="259">
        <v>45295.0</v>
      </c>
      <c r="F311" s="255" t="s">
        <v>4819</v>
      </c>
      <c r="M311" s="255" t="s">
        <v>430</v>
      </c>
      <c r="P311" s="255">
        <v>12900.0</v>
      </c>
      <c r="Q311" s="255" t="s">
        <v>2207</v>
      </c>
      <c r="R311" s="255" t="s">
        <v>2207</v>
      </c>
      <c r="T311" s="255">
        <v>130000.0</v>
      </c>
      <c r="U311" s="255">
        <v>18300.0</v>
      </c>
      <c r="V311" s="255">
        <v>2.0</v>
      </c>
      <c r="W311" s="259">
        <v>45295.0</v>
      </c>
      <c r="X311" s="260" t="s">
        <v>2215</v>
      </c>
      <c r="Y311" s="259">
        <v>45326.0</v>
      </c>
      <c r="AA311" s="255" t="s">
        <v>572</v>
      </c>
      <c r="AC311" s="255">
        <v>12900.0</v>
      </c>
      <c r="AD311" s="258" t="s">
        <v>4820</v>
      </c>
      <c r="AE311" s="255" t="s">
        <v>427</v>
      </c>
      <c r="AF311" s="255" t="s">
        <v>2208</v>
      </c>
      <c r="AG311" s="256"/>
    </row>
    <row r="312">
      <c r="A312" s="257">
        <v>45295.66401791667</v>
      </c>
      <c r="B312" s="259">
        <v>45295.0</v>
      </c>
      <c r="F312" s="255" t="s">
        <v>4819</v>
      </c>
      <c r="M312" s="255" t="s">
        <v>1502</v>
      </c>
      <c r="P312" s="255">
        <v>9900.0</v>
      </c>
      <c r="Q312" s="255" t="s">
        <v>2207</v>
      </c>
      <c r="R312" s="255" t="s">
        <v>2207</v>
      </c>
      <c r="T312" s="255">
        <v>90000.0</v>
      </c>
      <c r="U312" s="255">
        <v>14000.0</v>
      </c>
      <c r="V312" s="255">
        <v>1.0</v>
      </c>
      <c r="W312" s="259">
        <v>45295.0</v>
      </c>
      <c r="Y312" s="259">
        <v>45326.0</v>
      </c>
      <c r="AA312" s="255" t="s">
        <v>806</v>
      </c>
      <c r="AC312" s="255">
        <v>9900.0</v>
      </c>
      <c r="AD312" s="258" t="s">
        <v>4821</v>
      </c>
      <c r="AE312" s="255" t="s">
        <v>173</v>
      </c>
      <c r="AF312" s="255" t="s">
        <v>2208</v>
      </c>
      <c r="AG312" s="256"/>
    </row>
    <row r="313">
      <c r="A313" s="257">
        <v>45297.849651701385</v>
      </c>
      <c r="B313" s="259">
        <v>45298.0</v>
      </c>
      <c r="M313" s="255">
        <v>5000.0</v>
      </c>
      <c r="P313" s="255">
        <v>7490.0</v>
      </c>
      <c r="Q313" s="255" t="s">
        <v>4572</v>
      </c>
      <c r="R313" s="255" t="s">
        <v>4572</v>
      </c>
      <c r="T313" s="255">
        <v>140000.0</v>
      </c>
      <c r="U313" s="255">
        <v>18500.0</v>
      </c>
      <c r="V313" s="255">
        <v>2.0</v>
      </c>
      <c r="W313" s="259">
        <v>45298.0</v>
      </c>
      <c r="X313" s="260" t="s">
        <v>2324</v>
      </c>
      <c r="Y313" s="259">
        <v>45308.0</v>
      </c>
      <c r="AB313" s="255">
        <v>749.0</v>
      </c>
      <c r="AD313" s="258" t="s">
        <v>4822</v>
      </c>
      <c r="AE313" s="255" t="s">
        <v>198</v>
      </c>
      <c r="AF313" s="255" t="s">
        <v>2208</v>
      </c>
      <c r="AG313" s="256"/>
    </row>
    <row r="314">
      <c r="A314" s="257">
        <v>45297.87538627315</v>
      </c>
      <c r="B314" s="259">
        <v>45298.0</v>
      </c>
      <c r="F314" s="255" t="s">
        <v>4044</v>
      </c>
      <c r="G314" s="255" t="s">
        <v>4823</v>
      </c>
      <c r="M314" s="255">
        <v>5000.0</v>
      </c>
      <c r="P314" s="255">
        <v>5520.0</v>
      </c>
      <c r="Q314" s="255" t="s">
        <v>4823</v>
      </c>
      <c r="R314" s="255" t="s">
        <v>4823</v>
      </c>
      <c r="T314" s="255">
        <v>140000.0</v>
      </c>
      <c r="U314" s="255">
        <v>19800.0</v>
      </c>
      <c r="V314" s="255">
        <v>2.0</v>
      </c>
      <c r="W314" s="259">
        <v>45298.0</v>
      </c>
      <c r="X314" s="260" t="s">
        <v>2324</v>
      </c>
      <c r="Y314" s="259">
        <v>45306.0</v>
      </c>
      <c r="AB314" s="255">
        <v>690.0</v>
      </c>
      <c r="AD314" s="258" t="s">
        <v>4824</v>
      </c>
      <c r="AE314" s="255" t="s">
        <v>202</v>
      </c>
      <c r="AF314" s="255" t="s">
        <v>2208</v>
      </c>
      <c r="AG314" s="256"/>
    </row>
    <row r="315">
      <c r="A315" s="257">
        <v>45298.82285292824</v>
      </c>
      <c r="B315" s="259">
        <v>45299.0</v>
      </c>
      <c r="F315" s="255" t="s">
        <v>4825</v>
      </c>
      <c r="G315" s="255" t="s">
        <v>4826</v>
      </c>
      <c r="H315" s="255" t="s">
        <v>4827</v>
      </c>
      <c r="M315" s="255">
        <v>5000.0</v>
      </c>
      <c r="P315" s="255">
        <v>7800.0</v>
      </c>
      <c r="Q315" s="255" t="s">
        <v>4826</v>
      </c>
      <c r="R315" s="255" t="s">
        <v>4826</v>
      </c>
      <c r="T315" s="255">
        <v>140000.0</v>
      </c>
      <c r="U315" s="255">
        <v>22000.0</v>
      </c>
      <c r="V315" s="255">
        <v>2.0</v>
      </c>
      <c r="W315" s="259">
        <v>45299.0</v>
      </c>
      <c r="X315" s="260" t="s">
        <v>2215</v>
      </c>
      <c r="Y315" s="259">
        <v>45312.0</v>
      </c>
      <c r="AA315" s="255" t="s">
        <v>813</v>
      </c>
      <c r="AB315" s="255">
        <v>600.0</v>
      </c>
      <c r="AD315" s="258" t="s">
        <v>4828</v>
      </c>
      <c r="AE315" s="255" t="s">
        <v>92</v>
      </c>
      <c r="AF315" s="255" t="s">
        <v>2208</v>
      </c>
      <c r="AG315" s="256"/>
    </row>
    <row r="316">
      <c r="A316" s="257">
        <v>45300.58150694444</v>
      </c>
      <c r="B316" s="259">
        <v>45300.0</v>
      </c>
      <c r="F316" s="255" t="s">
        <v>4829</v>
      </c>
      <c r="G316" s="255" t="s">
        <v>4830</v>
      </c>
      <c r="M316" s="255">
        <v>3000.0</v>
      </c>
      <c r="P316" s="255">
        <v>5148.0</v>
      </c>
      <c r="Q316" s="255" t="s">
        <v>4830</v>
      </c>
      <c r="R316" s="255" t="s">
        <v>4830</v>
      </c>
      <c r="T316" s="255">
        <v>80000.0</v>
      </c>
      <c r="U316" s="255">
        <v>19900.0</v>
      </c>
      <c r="V316" s="255">
        <v>2.0</v>
      </c>
      <c r="W316" s="259">
        <v>45300.0</v>
      </c>
      <c r="X316" s="260" t="s">
        <v>2215</v>
      </c>
      <c r="Y316" s="259">
        <v>45312.0</v>
      </c>
      <c r="AB316" s="255">
        <v>429.0</v>
      </c>
      <c r="AD316" s="258" t="s">
        <v>4831</v>
      </c>
      <c r="AE316" s="255" t="s">
        <v>73</v>
      </c>
      <c r="AF316" s="255" t="s">
        <v>2208</v>
      </c>
      <c r="AG316" s="256"/>
    </row>
    <row r="317">
      <c r="A317" s="257">
        <v>45302.571785</v>
      </c>
      <c r="B317" s="259">
        <v>45302.0</v>
      </c>
      <c r="G317" s="255" t="s">
        <v>2434</v>
      </c>
      <c r="H317" s="255" t="s">
        <v>4832</v>
      </c>
      <c r="M317" s="255">
        <v>5000.0</v>
      </c>
      <c r="P317" s="255">
        <v>6900.0</v>
      </c>
      <c r="Q317" s="255" t="s">
        <v>2434</v>
      </c>
      <c r="R317" s="255" t="s">
        <v>2434</v>
      </c>
      <c r="T317" s="255">
        <v>140000.0</v>
      </c>
      <c r="U317" s="255">
        <v>21000.0</v>
      </c>
      <c r="V317" s="255">
        <v>2.0</v>
      </c>
      <c r="W317" s="259">
        <v>45302.0</v>
      </c>
      <c r="X317" s="260" t="s">
        <v>2215</v>
      </c>
      <c r="Y317" s="259">
        <v>45312.0</v>
      </c>
      <c r="AA317" s="255" t="s">
        <v>820</v>
      </c>
      <c r="AB317" s="255">
        <v>690.0</v>
      </c>
      <c r="AD317" s="258" t="s">
        <v>4833</v>
      </c>
      <c r="AE317" s="255" t="s">
        <v>32</v>
      </c>
      <c r="AF317" s="255" t="s">
        <v>2208</v>
      </c>
      <c r="AG317" s="256"/>
    </row>
    <row r="318">
      <c r="A318" s="257">
        <v>45302.68748956019</v>
      </c>
      <c r="B318" s="259">
        <v>45302.0</v>
      </c>
      <c r="F318" s="255" t="s">
        <v>4834</v>
      </c>
      <c r="G318" s="255" t="s">
        <v>4835</v>
      </c>
      <c r="H318" s="260" t="s">
        <v>4836</v>
      </c>
      <c r="M318" s="255" t="s">
        <v>430</v>
      </c>
      <c r="P318" s="255">
        <v>5000.0</v>
      </c>
      <c r="Q318" s="255" t="s">
        <v>2207</v>
      </c>
      <c r="R318" s="255" t="s">
        <v>2207</v>
      </c>
      <c r="T318" s="255">
        <v>130000.0</v>
      </c>
      <c r="U318" s="255">
        <v>26600.0</v>
      </c>
      <c r="V318" s="255">
        <v>1.0</v>
      </c>
      <c r="W318" s="259">
        <v>45302.0</v>
      </c>
      <c r="X318" s="260" t="s">
        <v>2215</v>
      </c>
      <c r="Y318" s="259">
        <v>45333.0</v>
      </c>
      <c r="AC318" s="255">
        <v>14900.0</v>
      </c>
      <c r="AD318" s="258" t="s">
        <v>4837</v>
      </c>
      <c r="AE318" s="255" t="s">
        <v>461</v>
      </c>
      <c r="AF318" s="255" t="s">
        <v>2208</v>
      </c>
      <c r="AG318" s="256"/>
    </row>
    <row r="319">
      <c r="A319" s="257">
        <v>45302.99696049769</v>
      </c>
      <c r="B319" s="259">
        <v>45303.0</v>
      </c>
      <c r="F319" s="255" t="s">
        <v>4838</v>
      </c>
      <c r="G319" s="255" t="s">
        <v>3801</v>
      </c>
      <c r="M319" s="255" t="s">
        <v>985</v>
      </c>
      <c r="P319" s="255">
        <v>9600.0</v>
      </c>
      <c r="Q319" s="255" t="s">
        <v>3801</v>
      </c>
      <c r="R319" s="255" t="s">
        <v>3801</v>
      </c>
      <c r="T319" s="255">
        <v>140000.0</v>
      </c>
      <c r="U319" s="255">
        <v>23200.0</v>
      </c>
      <c r="V319" s="255">
        <v>3.0</v>
      </c>
      <c r="W319" s="259">
        <v>45303.0</v>
      </c>
      <c r="X319" s="260" t="s">
        <v>2265</v>
      </c>
      <c r="Y319" s="259">
        <v>45315.0</v>
      </c>
      <c r="AA319" s="255" t="s">
        <v>830</v>
      </c>
      <c r="AB319" s="255">
        <v>800.0</v>
      </c>
      <c r="AD319" s="258" t="s">
        <v>4839</v>
      </c>
      <c r="AE319" s="255" t="s">
        <v>92</v>
      </c>
      <c r="AF319" s="255" t="s">
        <v>2208</v>
      </c>
      <c r="AG319" s="256"/>
    </row>
    <row r="320">
      <c r="A320" s="257">
        <v>45303.70917090277</v>
      </c>
      <c r="B320" s="259">
        <v>45303.0</v>
      </c>
      <c r="F320" s="255" t="s">
        <v>4739</v>
      </c>
      <c r="M320" s="255">
        <v>3000.0</v>
      </c>
      <c r="P320" s="255">
        <v>2145.0</v>
      </c>
      <c r="Q320" s="255" t="s">
        <v>4651</v>
      </c>
      <c r="R320" s="255" t="s">
        <v>4651</v>
      </c>
      <c r="T320" s="255">
        <v>80000.0</v>
      </c>
      <c r="V320" s="255">
        <v>2.0</v>
      </c>
      <c r="W320" s="259">
        <v>45303.0</v>
      </c>
      <c r="X320" s="260" t="s">
        <v>2246</v>
      </c>
      <c r="Y320" s="259">
        <v>45308.0</v>
      </c>
      <c r="AA320" s="255" t="s">
        <v>827</v>
      </c>
      <c r="AB320" s="255">
        <v>429.0</v>
      </c>
      <c r="AD320" s="258" t="s">
        <v>4840</v>
      </c>
      <c r="AE320" s="255" t="s">
        <v>159</v>
      </c>
      <c r="AF320" s="255" t="s">
        <v>2208</v>
      </c>
      <c r="AG320" s="256"/>
    </row>
    <row r="321">
      <c r="A321" s="257">
        <v>45303.711821226854</v>
      </c>
      <c r="B321" s="259">
        <v>45303.0</v>
      </c>
      <c r="F321" s="255" t="s">
        <v>4841</v>
      </c>
      <c r="G321" s="255" t="s">
        <v>4842</v>
      </c>
      <c r="H321" s="255" t="s">
        <v>4843</v>
      </c>
      <c r="M321" s="255">
        <v>3000.0</v>
      </c>
      <c r="P321" s="255">
        <v>2145.0</v>
      </c>
      <c r="Q321" s="255" t="s">
        <v>2207</v>
      </c>
      <c r="R321" s="255" t="s">
        <v>2207</v>
      </c>
      <c r="T321" s="255">
        <v>80000.0</v>
      </c>
      <c r="U321" s="255">
        <v>19300.0</v>
      </c>
      <c r="V321" s="255">
        <v>2.0</v>
      </c>
      <c r="W321" s="259">
        <v>45303.0</v>
      </c>
      <c r="X321" s="260" t="s">
        <v>2246</v>
      </c>
      <c r="Y321" s="259">
        <v>45308.0</v>
      </c>
      <c r="AA321" s="255" t="s">
        <v>825</v>
      </c>
      <c r="AB321" s="255">
        <v>429.0</v>
      </c>
      <c r="AD321" s="258" t="s">
        <v>4844</v>
      </c>
      <c r="AE321" s="255" t="s">
        <v>106</v>
      </c>
      <c r="AF321" s="255" t="s">
        <v>2208</v>
      </c>
      <c r="AG321" s="256"/>
    </row>
    <row r="322">
      <c r="A322" s="257">
        <v>45304.604126817125</v>
      </c>
      <c r="B322" s="259">
        <v>45304.0</v>
      </c>
      <c r="F322" s="255" t="s">
        <v>4845</v>
      </c>
      <c r="G322" s="255" t="s">
        <v>4846</v>
      </c>
      <c r="H322" s="255" t="s">
        <v>4847</v>
      </c>
      <c r="M322" s="255">
        <v>3000.0</v>
      </c>
      <c r="P322" s="255">
        <v>2574.0</v>
      </c>
      <c r="Q322" s="255" t="s">
        <v>2207</v>
      </c>
      <c r="R322" s="255" t="s">
        <v>2207</v>
      </c>
      <c r="T322" s="255">
        <v>80000.0</v>
      </c>
      <c r="U322" s="255">
        <v>19980.0</v>
      </c>
      <c r="V322" s="255">
        <v>2.0</v>
      </c>
      <c r="W322" s="259">
        <v>45304.0</v>
      </c>
      <c r="X322" s="260" t="s">
        <v>2235</v>
      </c>
      <c r="Y322" s="259">
        <v>45310.0</v>
      </c>
      <c r="AB322" s="255">
        <v>429.0</v>
      </c>
      <c r="AD322" s="258" t="s">
        <v>4848</v>
      </c>
      <c r="AE322" s="255" t="s">
        <v>68</v>
      </c>
      <c r="AF322" s="255" t="s">
        <v>2208</v>
      </c>
      <c r="AG322" s="256"/>
    </row>
    <row r="323">
      <c r="A323" s="257">
        <v>45305.788172326385</v>
      </c>
      <c r="B323" s="259">
        <v>45305.0</v>
      </c>
      <c r="F323" s="255" t="s">
        <v>4849</v>
      </c>
      <c r="G323" s="255" t="s">
        <v>4850</v>
      </c>
      <c r="M323" s="255" t="s">
        <v>3122</v>
      </c>
      <c r="P323" s="255">
        <v>3000.0</v>
      </c>
      <c r="Q323" s="255" t="s">
        <v>2207</v>
      </c>
      <c r="R323" s="255" t="s">
        <v>2207</v>
      </c>
      <c r="U323" s="255">
        <v>25000.0</v>
      </c>
      <c r="V323" s="255">
        <v>3.0</v>
      </c>
      <c r="W323" s="259">
        <v>45305.0</v>
      </c>
      <c r="X323" s="260" t="s">
        <v>2470</v>
      </c>
      <c r="Y323" s="259">
        <v>45307.0</v>
      </c>
      <c r="AA323" s="255" t="s">
        <v>835</v>
      </c>
      <c r="AB323" s="255">
        <v>1500.0</v>
      </c>
      <c r="AD323" s="258" t="s">
        <v>4851</v>
      </c>
      <c r="AE323" s="255" t="s">
        <v>483</v>
      </c>
      <c r="AF323" s="255" t="s">
        <v>2208</v>
      </c>
      <c r="AG323" s="256"/>
    </row>
    <row r="324">
      <c r="A324" s="257">
        <v>45305.91692685185</v>
      </c>
      <c r="B324" s="259">
        <v>45306.0</v>
      </c>
      <c r="F324" s="255" t="s">
        <v>4852</v>
      </c>
      <c r="G324" s="255" t="s">
        <v>4853</v>
      </c>
      <c r="H324" s="255">
        <v>8.9114446464E10</v>
      </c>
      <c r="M324" s="255">
        <v>3000.0</v>
      </c>
      <c r="P324" s="255">
        <v>3432.0</v>
      </c>
      <c r="Q324" s="255" t="s">
        <v>4853</v>
      </c>
      <c r="R324" s="255" t="s">
        <v>4853</v>
      </c>
      <c r="U324" s="255">
        <v>17300.0</v>
      </c>
      <c r="V324" s="255">
        <v>2.0</v>
      </c>
      <c r="W324" s="259">
        <v>45306.0</v>
      </c>
      <c r="X324" s="260" t="s">
        <v>2262</v>
      </c>
      <c r="Y324" s="259">
        <v>45314.0</v>
      </c>
      <c r="AB324" s="255">
        <v>429.0</v>
      </c>
      <c r="AD324" s="258" t="s">
        <v>4854</v>
      </c>
      <c r="AE324" s="255" t="s">
        <v>125</v>
      </c>
      <c r="AF324" s="255" t="s">
        <v>2208</v>
      </c>
      <c r="AG324" s="256"/>
    </row>
    <row r="325">
      <c r="A325" s="257">
        <v>45306.45467803241</v>
      </c>
      <c r="B325" s="259">
        <v>45306.0</v>
      </c>
      <c r="F325" s="255" t="s">
        <v>4855</v>
      </c>
      <c r="G325" s="255" t="s">
        <v>4856</v>
      </c>
      <c r="H325" s="255" t="s">
        <v>4857</v>
      </c>
      <c r="M325" s="255" t="s">
        <v>912</v>
      </c>
      <c r="P325" s="255">
        <v>2700.0</v>
      </c>
      <c r="Q325" s="255" t="s">
        <v>4856</v>
      </c>
      <c r="R325" s="255" t="s">
        <v>4856</v>
      </c>
      <c r="T325" s="255">
        <v>70000.0</v>
      </c>
      <c r="V325" s="255">
        <v>2.0</v>
      </c>
      <c r="W325" s="259">
        <v>45306.0</v>
      </c>
      <c r="X325" s="260" t="s">
        <v>2330</v>
      </c>
      <c r="Y325" s="259">
        <v>45315.0</v>
      </c>
      <c r="AB325" s="255">
        <v>300.0</v>
      </c>
      <c r="AD325" s="258" t="s">
        <v>4858</v>
      </c>
      <c r="AE325" s="255" t="s">
        <v>132</v>
      </c>
      <c r="AF325" s="255" t="s">
        <v>2208</v>
      </c>
      <c r="AG325" s="256"/>
    </row>
    <row r="326">
      <c r="A326" s="257">
        <v>45307.03799715277</v>
      </c>
      <c r="B326" s="259">
        <v>45307.0</v>
      </c>
      <c r="F326" s="255" t="s">
        <v>4859</v>
      </c>
      <c r="G326" s="255" t="s">
        <v>4860</v>
      </c>
      <c r="H326" s="255" t="s">
        <v>4861</v>
      </c>
      <c r="M326" s="263">
        <v>8100.0</v>
      </c>
      <c r="P326" s="255">
        <v>7490.0</v>
      </c>
      <c r="Q326" s="255" t="s">
        <v>4860</v>
      </c>
      <c r="R326" s="255" t="s">
        <v>4860</v>
      </c>
      <c r="T326" s="255">
        <v>80000.0</v>
      </c>
      <c r="V326" s="255">
        <v>4.0</v>
      </c>
      <c r="W326" s="259">
        <v>45307.0</v>
      </c>
      <c r="X326" s="260" t="s">
        <v>2324</v>
      </c>
      <c r="Y326" s="259">
        <v>45334.0</v>
      </c>
      <c r="AB326" s="255">
        <v>268.0</v>
      </c>
      <c r="AD326" s="258" t="s">
        <v>4862</v>
      </c>
      <c r="AF326" s="255" t="s">
        <v>2208</v>
      </c>
      <c r="AG326" s="256"/>
    </row>
    <row r="327">
      <c r="A327" s="257">
        <v>45307.04328131945</v>
      </c>
      <c r="B327" s="259">
        <v>45307.0</v>
      </c>
      <c r="F327" s="255" t="s">
        <v>4863</v>
      </c>
      <c r="G327" s="255" t="s">
        <v>4864</v>
      </c>
      <c r="H327" s="255" t="s">
        <v>4865</v>
      </c>
      <c r="M327" s="255">
        <v>3000.0</v>
      </c>
      <c r="P327" s="255">
        <v>7490.0</v>
      </c>
      <c r="Q327" s="255" t="s">
        <v>4864</v>
      </c>
      <c r="R327" s="255" t="s">
        <v>4864</v>
      </c>
      <c r="T327" s="255">
        <v>80000.0</v>
      </c>
      <c r="V327" s="255">
        <v>2.0</v>
      </c>
      <c r="W327" s="259">
        <v>45307.0</v>
      </c>
      <c r="X327" s="260" t="s">
        <v>2235</v>
      </c>
      <c r="Y327" s="259">
        <v>45338.0</v>
      </c>
      <c r="AA327" s="255" t="s">
        <v>541</v>
      </c>
      <c r="AC327" s="255">
        <v>7490.0</v>
      </c>
      <c r="AD327" s="258" t="s">
        <v>4866</v>
      </c>
      <c r="AF327" s="255" t="s">
        <v>2208</v>
      </c>
      <c r="AG327" s="256"/>
    </row>
    <row r="328">
      <c r="A328" s="257">
        <v>45307.9593999537</v>
      </c>
      <c r="B328" s="259">
        <v>45307.0</v>
      </c>
      <c r="M328" s="255">
        <v>0.0</v>
      </c>
      <c r="P328" s="255">
        <v>3000.0</v>
      </c>
      <c r="Q328" s="255" t="s">
        <v>2207</v>
      </c>
      <c r="R328" s="255" t="s">
        <v>2207</v>
      </c>
      <c r="T328" s="255">
        <v>80000.0</v>
      </c>
      <c r="U328" s="255">
        <v>21644.0</v>
      </c>
      <c r="V328" s="255">
        <v>1.0</v>
      </c>
      <c r="W328" s="259">
        <v>45307.0</v>
      </c>
      <c r="X328" s="260" t="s">
        <v>2250</v>
      </c>
      <c r="Y328" s="259">
        <v>45314.0</v>
      </c>
      <c r="AB328" s="255">
        <v>429.0</v>
      </c>
      <c r="AD328" s="258" t="s">
        <v>4867</v>
      </c>
      <c r="AE328" s="255" t="s">
        <v>151</v>
      </c>
      <c r="AF328" s="255" t="s">
        <v>2208</v>
      </c>
      <c r="AG328" s="256"/>
    </row>
    <row r="329">
      <c r="A329" s="257">
        <v>45308.47237423611</v>
      </c>
      <c r="B329" s="259">
        <v>45308.0</v>
      </c>
      <c r="F329" s="255" t="s">
        <v>2454</v>
      </c>
      <c r="G329" s="255" t="s">
        <v>4868</v>
      </c>
      <c r="H329" s="255" t="s">
        <v>4869</v>
      </c>
      <c r="M329" s="255">
        <v>3000.0</v>
      </c>
      <c r="P329" s="255">
        <v>5500.0</v>
      </c>
      <c r="Q329" s="255" t="s">
        <v>4870</v>
      </c>
      <c r="R329" s="255" t="s">
        <v>4871</v>
      </c>
      <c r="T329" s="255">
        <v>70000.0</v>
      </c>
      <c r="U329" s="255">
        <v>33500.0</v>
      </c>
      <c r="V329" s="255">
        <v>3.0</v>
      </c>
      <c r="W329" s="259">
        <v>45308.0</v>
      </c>
      <c r="X329" s="260" t="s">
        <v>2330</v>
      </c>
      <c r="Y329" s="259">
        <v>45339.0</v>
      </c>
      <c r="AC329" s="255">
        <v>5500.0</v>
      </c>
      <c r="AD329" s="258" t="s">
        <v>4872</v>
      </c>
      <c r="AE329" s="255" t="s">
        <v>132</v>
      </c>
      <c r="AF329" s="255" t="s">
        <v>2208</v>
      </c>
      <c r="AG329" s="256"/>
    </row>
    <row r="330">
      <c r="A330" s="257">
        <v>45308.48325388889</v>
      </c>
      <c r="B330" s="259">
        <v>45308.0</v>
      </c>
      <c r="F330" s="255" t="s">
        <v>4873</v>
      </c>
      <c r="G330" s="255" t="s">
        <v>4874</v>
      </c>
      <c r="H330" s="260" t="s">
        <v>4875</v>
      </c>
      <c r="M330" s="255" t="s">
        <v>430</v>
      </c>
      <c r="P330" s="255">
        <v>7650.0</v>
      </c>
      <c r="Q330" s="255" t="s">
        <v>4870</v>
      </c>
      <c r="R330" s="255" t="s">
        <v>4871</v>
      </c>
      <c r="T330" s="255">
        <v>140000.0</v>
      </c>
      <c r="U330" s="255">
        <v>14500.0</v>
      </c>
      <c r="V330" s="255">
        <v>2.0</v>
      </c>
      <c r="W330" s="259">
        <v>45308.0</v>
      </c>
      <c r="X330" s="260" t="s">
        <v>2235</v>
      </c>
      <c r="Y330" s="259">
        <v>45317.0</v>
      </c>
      <c r="AB330" s="255">
        <v>850.0</v>
      </c>
      <c r="AD330" s="258" t="s">
        <v>4876</v>
      </c>
      <c r="AE330" s="255" t="s">
        <v>468</v>
      </c>
      <c r="AF330" s="255" t="s">
        <v>2208</v>
      </c>
      <c r="AG330" s="256"/>
    </row>
    <row r="331">
      <c r="A331" s="257">
        <v>45308.628177858795</v>
      </c>
      <c r="B331" s="259">
        <v>45308.0</v>
      </c>
      <c r="F331" s="255" t="s">
        <v>2649</v>
      </c>
      <c r="M331" s="255">
        <v>5000.0</v>
      </c>
      <c r="P331" s="255">
        <v>790.0</v>
      </c>
      <c r="Q331" s="255" t="s">
        <v>2648</v>
      </c>
      <c r="R331" s="255" t="s">
        <v>2648</v>
      </c>
      <c r="T331" s="255">
        <v>140000.0</v>
      </c>
      <c r="U331" s="255">
        <v>19500.0</v>
      </c>
      <c r="V331" s="255">
        <v>2.0</v>
      </c>
      <c r="W331" s="259">
        <v>45308.0</v>
      </c>
      <c r="X331" s="260" t="s">
        <v>2215</v>
      </c>
      <c r="Y331" s="259">
        <v>45318.0</v>
      </c>
      <c r="AA331" s="255" t="s">
        <v>850</v>
      </c>
      <c r="AD331" s="258" t="s">
        <v>4877</v>
      </c>
      <c r="AE331" s="255" t="s">
        <v>64</v>
      </c>
      <c r="AF331" s="255" t="s">
        <v>2208</v>
      </c>
      <c r="AG331" s="256"/>
    </row>
    <row r="332">
      <c r="A332" s="257">
        <v>45309.63347768519</v>
      </c>
      <c r="B332" s="259">
        <v>45309.0</v>
      </c>
      <c r="I332" s="255" t="s">
        <v>4878</v>
      </c>
      <c r="M332" s="255">
        <v>3000.0</v>
      </c>
      <c r="P332" s="255">
        <v>8500.0</v>
      </c>
      <c r="Q332" s="255" t="s">
        <v>4879</v>
      </c>
      <c r="R332" s="255" t="s">
        <v>4879</v>
      </c>
      <c r="T332" s="255">
        <v>80000.0</v>
      </c>
      <c r="U332" s="255">
        <v>25000.0</v>
      </c>
      <c r="V332" s="255">
        <v>2.0</v>
      </c>
      <c r="W332" s="259">
        <v>45309.0</v>
      </c>
      <c r="X332" s="260" t="s">
        <v>2215</v>
      </c>
      <c r="Y332" s="259">
        <v>45461.0</v>
      </c>
      <c r="AA332" s="255" t="s">
        <v>858</v>
      </c>
      <c r="AC332" s="255" t="s">
        <v>4880</v>
      </c>
      <c r="AD332" s="258" t="s">
        <v>4881</v>
      </c>
      <c r="AE332" s="255" t="s">
        <v>77</v>
      </c>
      <c r="AF332" s="255" t="s">
        <v>2208</v>
      </c>
      <c r="AG332" s="256"/>
    </row>
    <row r="333">
      <c r="A333" s="257">
        <v>45309.74604747685</v>
      </c>
      <c r="B333" s="259">
        <v>45309.0</v>
      </c>
      <c r="F333" s="255" t="s">
        <v>4882</v>
      </c>
      <c r="G333" s="255" t="s">
        <v>4883</v>
      </c>
      <c r="H333" s="260" t="s">
        <v>4884</v>
      </c>
      <c r="M333" s="255">
        <v>5000.0</v>
      </c>
      <c r="P333" s="255">
        <v>3160.0</v>
      </c>
      <c r="Q333" s="255" t="s">
        <v>2207</v>
      </c>
      <c r="R333" s="255" t="s">
        <v>2207</v>
      </c>
      <c r="T333" s="255">
        <v>140000.0</v>
      </c>
      <c r="U333" s="255">
        <v>29000.0</v>
      </c>
      <c r="V333" s="255">
        <v>0.0</v>
      </c>
      <c r="W333" s="259">
        <v>45309.0</v>
      </c>
      <c r="X333" s="260" t="s">
        <v>2250</v>
      </c>
      <c r="Y333" s="259">
        <v>45313.0</v>
      </c>
      <c r="AB333" s="255">
        <v>790.0</v>
      </c>
      <c r="AD333" s="258" t="s">
        <v>4885</v>
      </c>
      <c r="AE333" s="255" t="s">
        <v>113</v>
      </c>
      <c r="AF333" s="255" t="s">
        <v>2208</v>
      </c>
      <c r="AG333" s="256"/>
    </row>
    <row r="334">
      <c r="A334" s="257">
        <v>45310.46591875</v>
      </c>
      <c r="B334" s="259">
        <v>45310.0</v>
      </c>
      <c r="F334" s="255" t="s">
        <v>4886</v>
      </c>
      <c r="G334" s="255" t="s">
        <v>2488</v>
      </c>
      <c r="M334" s="255">
        <v>3000.0</v>
      </c>
      <c r="P334" s="255">
        <v>7490.0</v>
      </c>
      <c r="Q334" s="255" t="s">
        <v>4887</v>
      </c>
      <c r="R334" s="255" t="s">
        <v>4651</v>
      </c>
      <c r="T334" s="255">
        <v>80000.0</v>
      </c>
      <c r="U334" s="255">
        <v>22900.0</v>
      </c>
      <c r="V334" s="255">
        <v>2.0</v>
      </c>
      <c r="W334" s="259">
        <v>45310.0</v>
      </c>
      <c r="X334" s="260" t="s">
        <v>2330</v>
      </c>
      <c r="Y334" s="259">
        <v>45341.0</v>
      </c>
      <c r="AC334" s="255">
        <v>7490.0</v>
      </c>
      <c r="AD334" s="258" t="s">
        <v>4888</v>
      </c>
      <c r="AE334" s="255" t="s">
        <v>159</v>
      </c>
      <c r="AF334" s="255" t="s">
        <v>2208</v>
      </c>
      <c r="AG334" s="256"/>
    </row>
    <row r="335">
      <c r="A335" s="257">
        <v>45310.533184224536</v>
      </c>
      <c r="B335" s="259">
        <v>45310.0</v>
      </c>
      <c r="F335" s="255" t="s">
        <v>4886</v>
      </c>
      <c r="G335" s="255" t="s">
        <v>2488</v>
      </c>
      <c r="H335" s="255" t="s">
        <v>4889</v>
      </c>
      <c r="M335" s="255">
        <v>3000.0</v>
      </c>
      <c r="P335" s="255">
        <v>7490.0</v>
      </c>
      <c r="Q335" s="255" t="s">
        <v>2207</v>
      </c>
      <c r="R335" s="255" t="s">
        <v>2207</v>
      </c>
      <c r="T335" s="255">
        <v>80000.0</v>
      </c>
      <c r="U335" s="255">
        <v>22800.0</v>
      </c>
      <c r="V335" s="255">
        <v>2.0</v>
      </c>
      <c r="W335" s="259">
        <v>45310.0</v>
      </c>
      <c r="X335" s="260" t="s">
        <v>2330</v>
      </c>
      <c r="Y335" s="259">
        <v>45341.0</v>
      </c>
      <c r="AA335" s="255" t="s">
        <v>4890</v>
      </c>
      <c r="AC335" s="255">
        <v>7490.0</v>
      </c>
      <c r="AD335" s="258" t="s">
        <v>4891</v>
      </c>
      <c r="AE335" s="255" t="s">
        <v>159</v>
      </c>
      <c r="AF335" s="255" t="s">
        <v>2208</v>
      </c>
      <c r="AG335" s="256"/>
    </row>
    <row r="336">
      <c r="A336" s="257">
        <v>45312.62936133102</v>
      </c>
      <c r="B336" s="259">
        <v>45312.0</v>
      </c>
      <c r="F336" s="255" t="s">
        <v>4892</v>
      </c>
      <c r="G336" s="255" t="s">
        <v>4893</v>
      </c>
      <c r="H336" s="260" t="s">
        <v>4894</v>
      </c>
      <c r="I336" s="260" t="s">
        <v>4895</v>
      </c>
      <c r="M336" s="255">
        <v>15000.0</v>
      </c>
      <c r="P336" s="255">
        <v>15000.0</v>
      </c>
      <c r="Q336" s="255" t="s">
        <v>2207</v>
      </c>
      <c r="R336" s="255" t="s">
        <v>2207</v>
      </c>
      <c r="T336" s="255">
        <v>150000.0</v>
      </c>
      <c r="U336" s="255">
        <v>14547.0</v>
      </c>
      <c r="V336" s="255">
        <v>2.0</v>
      </c>
      <c r="W336" s="259">
        <v>45312.0</v>
      </c>
      <c r="X336" s="260" t="s">
        <v>2231</v>
      </c>
      <c r="Y336" s="259">
        <v>45343.0</v>
      </c>
      <c r="AA336" s="255" t="s">
        <v>865</v>
      </c>
      <c r="AC336" s="255">
        <v>15000.0</v>
      </c>
      <c r="AD336" s="258" t="s">
        <v>4896</v>
      </c>
      <c r="AE336" s="255" t="s">
        <v>423</v>
      </c>
      <c r="AF336" s="255" t="s">
        <v>2208</v>
      </c>
      <c r="AG336" s="256"/>
    </row>
    <row r="337">
      <c r="A337" s="257">
        <v>45313.63671106481</v>
      </c>
      <c r="B337" s="259">
        <v>45313.0</v>
      </c>
      <c r="F337" s="255" t="s">
        <v>2613</v>
      </c>
      <c r="G337" s="255" t="s">
        <v>2877</v>
      </c>
      <c r="H337" s="255" t="s">
        <v>4897</v>
      </c>
      <c r="M337" s="255">
        <v>3000.0</v>
      </c>
      <c r="P337" s="255">
        <v>6517.0</v>
      </c>
      <c r="Q337" s="255" t="s">
        <v>2877</v>
      </c>
      <c r="R337" s="255" t="s">
        <v>2877</v>
      </c>
      <c r="T337" s="255">
        <v>70000.0</v>
      </c>
      <c r="U337" s="255">
        <v>23800.0</v>
      </c>
      <c r="V337" s="255">
        <v>2.0</v>
      </c>
      <c r="W337" s="259">
        <v>45313.0</v>
      </c>
      <c r="X337" s="260" t="s">
        <v>2215</v>
      </c>
      <c r="Y337" s="259">
        <v>45332.0</v>
      </c>
      <c r="AB337" s="255">
        <v>343.0</v>
      </c>
      <c r="AD337" s="258" t="s">
        <v>4898</v>
      </c>
      <c r="AE337" s="255" t="s">
        <v>26</v>
      </c>
      <c r="AF337" s="255" t="s">
        <v>2208</v>
      </c>
      <c r="AG337" s="256"/>
    </row>
    <row r="338">
      <c r="A338" s="257">
        <v>45313.64718422454</v>
      </c>
      <c r="B338" s="259">
        <v>45313.0</v>
      </c>
      <c r="F338" s="255" t="s">
        <v>4899</v>
      </c>
      <c r="G338" s="255" t="s">
        <v>4900</v>
      </c>
      <c r="M338" s="255">
        <v>5000.0</v>
      </c>
      <c r="P338" s="255">
        <v>8690.0</v>
      </c>
      <c r="Q338" s="255" t="s">
        <v>2944</v>
      </c>
      <c r="R338" s="255" t="s">
        <v>2944</v>
      </c>
      <c r="T338" s="255">
        <v>140000.0</v>
      </c>
      <c r="U338" s="255">
        <v>31000.0</v>
      </c>
      <c r="V338" s="255">
        <v>2.0</v>
      </c>
      <c r="W338" s="259">
        <v>45313.0</v>
      </c>
      <c r="X338" s="260" t="s">
        <v>2215</v>
      </c>
      <c r="Y338" s="259">
        <v>45324.0</v>
      </c>
      <c r="AB338" s="255">
        <v>790.0</v>
      </c>
      <c r="AD338" s="258" t="s">
        <v>4901</v>
      </c>
      <c r="AE338" s="255" t="s">
        <v>155</v>
      </c>
      <c r="AF338" s="255" t="s">
        <v>2270</v>
      </c>
      <c r="AG338" s="256"/>
    </row>
    <row r="339">
      <c r="A339" s="257">
        <v>45316.470627372684</v>
      </c>
      <c r="B339" s="259">
        <v>45316.0</v>
      </c>
      <c r="F339" s="255" t="s">
        <v>4902</v>
      </c>
      <c r="G339" s="255" t="s">
        <v>4903</v>
      </c>
      <c r="M339" s="255">
        <v>3000.0</v>
      </c>
      <c r="P339" s="255">
        <v>7490.0</v>
      </c>
      <c r="Q339" s="255" t="s">
        <v>2207</v>
      </c>
      <c r="R339" s="255" t="s">
        <v>2207</v>
      </c>
      <c r="T339" s="255">
        <v>80000.0</v>
      </c>
      <c r="U339" s="255">
        <v>20100.0</v>
      </c>
      <c r="V339" s="255">
        <v>2.0</v>
      </c>
      <c r="W339" s="259">
        <v>45316.0</v>
      </c>
      <c r="X339" s="260" t="s">
        <v>2330</v>
      </c>
      <c r="Y339" s="259">
        <v>45347.0</v>
      </c>
      <c r="AC339" s="255">
        <v>7490.0</v>
      </c>
      <c r="AD339" s="258" t="s">
        <v>4904</v>
      </c>
      <c r="AE339" s="255" t="s">
        <v>68</v>
      </c>
      <c r="AF339" s="255" t="s">
        <v>2208</v>
      </c>
      <c r="AG339" s="256"/>
    </row>
    <row r="340">
      <c r="A340" s="257">
        <v>45316.473713252315</v>
      </c>
      <c r="B340" s="259">
        <v>45316.0</v>
      </c>
      <c r="F340" s="255" t="s">
        <v>4902</v>
      </c>
      <c r="G340" s="255" t="s">
        <v>4903</v>
      </c>
      <c r="M340" s="255">
        <v>3000.0</v>
      </c>
      <c r="P340" s="255">
        <v>7490.0</v>
      </c>
      <c r="Q340" s="255" t="s">
        <v>2207</v>
      </c>
      <c r="R340" s="255" t="s">
        <v>2207</v>
      </c>
      <c r="T340" s="255">
        <v>80000.0</v>
      </c>
      <c r="U340" s="255">
        <v>19500.0</v>
      </c>
      <c r="V340" s="255">
        <v>2.0</v>
      </c>
      <c r="W340" s="259">
        <v>45316.0</v>
      </c>
      <c r="X340" s="260" t="s">
        <v>2330</v>
      </c>
      <c r="Y340" s="259">
        <v>45347.0</v>
      </c>
      <c r="AC340" s="255">
        <v>7490.0</v>
      </c>
      <c r="AD340" s="258" t="s">
        <v>4905</v>
      </c>
      <c r="AE340" s="255" t="s">
        <v>73</v>
      </c>
      <c r="AF340" s="255" t="s">
        <v>2208</v>
      </c>
      <c r="AG340" s="256"/>
    </row>
    <row r="341">
      <c r="A341" s="257">
        <v>45317.38126621528</v>
      </c>
      <c r="B341" s="259">
        <v>45317.0</v>
      </c>
      <c r="G341" s="255" t="s">
        <v>4906</v>
      </c>
      <c r="M341" s="255">
        <v>3000.0</v>
      </c>
      <c r="P341" s="255">
        <v>9880.0</v>
      </c>
      <c r="Q341" s="255" t="s">
        <v>4906</v>
      </c>
      <c r="R341" s="255" t="s">
        <v>4906</v>
      </c>
      <c r="T341" s="255">
        <v>85000.0</v>
      </c>
      <c r="U341" s="255">
        <v>27300.0</v>
      </c>
      <c r="V341" s="255">
        <v>2.0</v>
      </c>
      <c r="W341" s="259">
        <v>45317.0</v>
      </c>
      <c r="X341" s="260" t="s">
        <v>2324</v>
      </c>
      <c r="Y341" s="259">
        <v>45342.0</v>
      </c>
      <c r="AA341" s="255" t="s">
        <v>875</v>
      </c>
      <c r="AC341" s="255">
        <v>9880.0</v>
      </c>
      <c r="AD341" s="258" t="s">
        <v>4907</v>
      </c>
      <c r="AE341" s="255" t="s">
        <v>185</v>
      </c>
      <c r="AF341" s="255" t="s">
        <v>2208</v>
      </c>
      <c r="AG341" s="256"/>
    </row>
    <row r="342">
      <c r="A342" s="257">
        <v>45317.81817878472</v>
      </c>
      <c r="B342" s="259">
        <v>45318.0</v>
      </c>
      <c r="F342" s="255" t="s">
        <v>4908</v>
      </c>
      <c r="G342" s="255" t="s">
        <v>4909</v>
      </c>
      <c r="M342" s="255">
        <v>5000.0</v>
      </c>
      <c r="P342" s="255">
        <v>11060.0</v>
      </c>
      <c r="Q342" s="255" t="s">
        <v>4910</v>
      </c>
      <c r="R342" s="255" t="s">
        <v>4910</v>
      </c>
      <c r="T342" s="255">
        <v>140000.0</v>
      </c>
      <c r="U342" s="255">
        <v>28500.0</v>
      </c>
      <c r="V342" s="255">
        <v>2.0</v>
      </c>
      <c r="W342" s="259">
        <v>45318.0</v>
      </c>
      <c r="X342" s="260" t="s">
        <v>2246</v>
      </c>
      <c r="Y342" s="259">
        <v>45332.0</v>
      </c>
      <c r="AB342" s="255">
        <v>790.0</v>
      </c>
      <c r="AD342" s="258" t="s">
        <v>4911</v>
      </c>
      <c r="AE342" s="255" t="s">
        <v>113</v>
      </c>
      <c r="AF342" s="255" t="s">
        <v>2208</v>
      </c>
      <c r="AG342" s="256"/>
    </row>
    <row r="343">
      <c r="A343" s="257">
        <v>45317.85756962963</v>
      </c>
      <c r="B343" s="259">
        <v>45318.0</v>
      </c>
      <c r="F343" s="255" t="s">
        <v>4912</v>
      </c>
      <c r="G343" s="255" t="s">
        <v>4913</v>
      </c>
      <c r="M343" s="255">
        <v>5000.0</v>
      </c>
      <c r="P343" s="255">
        <v>13000.0</v>
      </c>
      <c r="Q343" s="255" t="s">
        <v>4913</v>
      </c>
      <c r="R343" s="255" t="s">
        <v>4913</v>
      </c>
      <c r="T343" s="255">
        <v>140000.0</v>
      </c>
      <c r="U343" s="255">
        <v>20500.0</v>
      </c>
      <c r="V343" s="255">
        <v>2.0</v>
      </c>
      <c r="W343" s="259">
        <v>45318.0</v>
      </c>
      <c r="X343" s="260" t="s">
        <v>2265</v>
      </c>
      <c r="Y343" s="259">
        <v>45349.0</v>
      </c>
      <c r="AC343" s="255">
        <v>13000.0</v>
      </c>
      <c r="AD343" s="258" t="s">
        <v>4914</v>
      </c>
      <c r="AE343" s="255" t="s">
        <v>125</v>
      </c>
      <c r="AF343" s="255" t="s">
        <v>2208</v>
      </c>
      <c r="AG343" s="256"/>
    </row>
    <row r="344">
      <c r="A344" s="257">
        <v>45322.800319594906</v>
      </c>
      <c r="B344" s="259">
        <v>45323.0</v>
      </c>
      <c r="F344" s="255" t="s">
        <v>4915</v>
      </c>
      <c r="G344" s="255" t="s">
        <v>4916</v>
      </c>
      <c r="H344" s="260" t="s">
        <v>4917</v>
      </c>
      <c r="I344" s="255" t="s">
        <v>4918</v>
      </c>
      <c r="M344" s="255">
        <v>5000.0</v>
      </c>
      <c r="P344" s="255">
        <v>5992.0</v>
      </c>
      <c r="Q344" s="255" t="s">
        <v>4919</v>
      </c>
      <c r="R344" s="255" t="s">
        <v>4916</v>
      </c>
      <c r="T344" s="255">
        <v>140000.0</v>
      </c>
      <c r="U344" s="255">
        <v>17000.0</v>
      </c>
      <c r="V344" s="255">
        <v>2.0</v>
      </c>
      <c r="W344" s="259">
        <v>45323.0</v>
      </c>
      <c r="X344" s="260" t="s">
        <v>2330</v>
      </c>
      <c r="Y344" s="259">
        <v>45331.0</v>
      </c>
      <c r="AB344" s="255">
        <v>749.0</v>
      </c>
      <c r="AD344" s="258" t="s">
        <v>4920</v>
      </c>
      <c r="AE344" s="255" t="s">
        <v>92</v>
      </c>
      <c r="AF344" s="255" t="s">
        <v>2208</v>
      </c>
      <c r="AG344" s="256"/>
    </row>
    <row r="345">
      <c r="A345" s="257">
        <v>45323.82625619213</v>
      </c>
      <c r="B345" s="259">
        <v>45323.0</v>
      </c>
      <c r="F345" s="255" t="s">
        <v>4921</v>
      </c>
      <c r="M345" s="255">
        <v>5000.0</v>
      </c>
      <c r="P345" s="255">
        <v>5530.0</v>
      </c>
      <c r="Q345" s="255" t="s">
        <v>4922</v>
      </c>
      <c r="R345" s="255" t="s">
        <v>4922</v>
      </c>
      <c r="T345" s="255">
        <v>140000.0</v>
      </c>
      <c r="U345" s="255">
        <v>22900.0</v>
      </c>
      <c r="V345" s="255">
        <v>2.0</v>
      </c>
      <c r="W345" s="259">
        <v>45323.0</v>
      </c>
      <c r="X345" s="260" t="s">
        <v>2470</v>
      </c>
      <c r="Y345" s="259">
        <v>45330.0</v>
      </c>
      <c r="AB345" s="255">
        <v>790.0</v>
      </c>
      <c r="AD345" s="258" t="s">
        <v>4923</v>
      </c>
      <c r="AE345" s="255" t="s">
        <v>32</v>
      </c>
      <c r="AF345" s="255" t="s">
        <v>2208</v>
      </c>
      <c r="AG345" s="256"/>
    </row>
    <row r="346">
      <c r="A346" s="257">
        <v>45326.52261315972</v>
      </c>
      <c r="B346" s="259">
        <v>45326.0</v>
      </c>
      <c r="F346" s="255" t="s">
        <v>4924</v>
      </c>
      <c r="G346" s="255" t="s">
        <v>4925</v>
      </c>
      <c r="H346" s="255" t="s">
        <v>4926</v>
      </c>
      <c r="M346" s="255">
        <v>12000.0</v>
      </c>
      <c r="P346" s="255">
        <v>13000.0</v>
      </c>
      <c r="Q346" s="255" t="s">
        <v>2207</v>
      </c>
      <c r="R346" s="255" t="s">
        <v>2207</v>
      </c>
      <c r="T346" s="255">
        <v>125000.0</v>
      </c>
      <c r="U346" s="255">
        <v>19262.0</v>
      </c>
      <c r="V346" s="255">
        <v>2.0</v>
      </c>
      <c r="W346" s="259">
        <v>45326.0</v>
      </c>
      <c r="X346" s="260" t="s">
        <v>2221</v>
      </c>
      <c r="Y346" s="259">
        <v>45355.0</v>
      </c>
      <c r="AC346" s="255">
        <v>13000.0</v>
      </c>
      <c r="AD346" s="258" t="s">
        <v>4927</v>
      </c>
      <c r="AE346" s="255" t="s">
        <v>427</v>
      </c>
      <c r="AF346" s="255" t="s">
        <v>2208</v>
      </c>
      <c r="AG346" s="256"/>
    </row>
    <row r="347">
      <c r="A347" s="257">
        <v>45327.666098807866</v>
      </c>
      <c r="B347" s="259">
        <v>45327.0</v>
      </c>
      <c r="F347" s="255" t="s">
        <v>4928</v>
      </c>
      <c r="H347" s="260" t="s">
        <v>4929</v>
      </c>
      <c r="M347" s="255" t="s">
        <v>912</v>
      </c>
      <c r="Q347" s="255" t="s">
        <v>4887</v>
      </c>
      <c r="R347" s="255" t="s">
        <v>4887</v>
      </c>
      <c r="T347" s="255">
        <v>80000.0</v>
      </c>
      <c r="U347" s="255">
        <v>22820.0</v>
      </c>
      <c r="V347" s="255">
        <v>2.0</v>
      </c>
      <c r="W347" s="259">
        <v>45327.0</v>
      </c>
      <c r="X347" s="260" t="s">
        <v>2221</v>
      </c>
      <c r="Y347" s="259">
        <v>45336.0</v>
      </c>
      <c r="AB347" s="255">
        <v>429.0</v>
      </c>
      <c r="AD347" s="258" t="s">
        <v>4930</v>
      </c>
      <c r="AE347" s="255" t="s">
        <v>159</v>
      </c>
      <c r="AF347" s="255" t="s">
        <v>2242</v>
      </c>
      <c r="AG347" s="256"/>
    </row>
    <row r="348">
      <c r="A348" s="257">
        <v>45328.4440103588</v>
      </c>
      <c r="B348" s="259">
        <v>45328.0</v>
      </c>
      <c r="F348" s="255" t="s">
        <v>4760</v>
      </c>
      <c r="M348" s="255" t="s">
        <v>4400</v>
      </c>
      <c r="P348" s="255">
        <v>1590.0</v>
      </c>
      <c r="Q348" s="255" t="s">
        <v>2207</v>
      </c>
      <c r="R348" s="255" t="s">
        <v>2207</v>
      </c>
      <c r="T348" s="255">
        <v>250000.0</v>
      </c>
      <c r="U348" s="255">
        <v>37000.0</v>
      </c>
      <c r="V348" s="255">
        <v>0.0</v>
      </c>
      <c r="W348" s="259">
        <v>45328.0</v>
      </c>
      <c r="X348" s="260" t="s">
        <v>2265</v>
      </c>
      <c r="Y348" s="259">
        <v>45329.0</v>
      </c>
      <c r="AB348" s="255">
        <v>1590.0</v>
      </c>
      <c r="AD348" s="258" t="s">
        <v>4931</v>
      </c>
      <c r="AE348" s="255" t="s">
        <v>102</v>
      </c>
      <c r="AF348" s="255" t="s">
        <v>2208</v>
      </c>
      <c r="AG348" s="256"/>
    </row>
    <row r="349">
      <c r="A349" s="257">
        <v>45328.66850641204</v>
      </c>
      <c r="B349" s="259">
        <v>45328.0</v>
      </c>
      <c r="G349" s="255" t="s">
        <v>4932</v>
      </c>
      <c r="M349" s="255">
        <v>5000.0</v>
      </c>
      <c r="P349" s="255">
        <v>3160.0</v>
      </c>
      <c r="Q349" s="255" t="s">
        <v>4933</v>
      </c>
      <c r="R349" s="255" t="s">
        <v>4932</v>
      </c>
      <c r="T349" s="255">
        <v>140000.0</v>
      </c>
      <c r="U349" s="255">
        <v>17200.0</v>
      </c>
      <c r="V349" s="255">
        <v>2.0</v>
      </c>
      <c r="W349" s="259">
        <v>45328.0</v>
      </c>
      <c r="X349" s="260" t="s">
        <v>2215</v>
      </c>
      <c r="Y349" s="259">
        <v>45332.0</v>
      </c>
      <c r="AB349" s="255">
        <v>790.0</v>
      </c>
      <c r="AD349" s="258" t="s">
        <v>4934</v>
      </c>
      <c r="AE349" s="255" t="s">
        <v>198</v>
      </c>
      <c r="AF349" s="255" t="s">
        <v>2208</v>
      </c>
      <c r="AG349" s="256"/>
    </row>
    <row r="350">
      <c r="A350" s="257">
        <v>45329.478022627314</v>
      </c>
      <c r="B350" s="259">
        <v>45329.0</v>
      </c>
      <c r="F350" s="255" t="s">
        <v>4935</v>
      </c>
      <c r="G350" s="255" t="s">
        <v>4936</v>
      </c>
      <c r="M350" s="255">
        <v>3000.0</v>
      </c>
      <c r="P350" s="255">
        <v>7900.0</v>
      </c>
      <c r="Q350" s="255" t="s">
        <v>4937</v>
      </c>
      <c r="R350" s="255" t="s">
        <v>4936</v>
      </c>
      <c r="T350" s="255">
        <v>80000.0</v>
      </c>
      <c r="U350" s="255">
        <v>29500.0</v>
      </c>
      <c r="V350" s="255">
        <v>0.0</v>
      </c>
      <c r="W350" s="259">
        <v>45329.0</v>
      </c>
      <c r="X350" s="260" t="s">
        <v>2221</v>
      </c>
      <c r="Y350" s="259">
        <v>45358.0</v>
      </c>
      <c r="AC350" s="255">
        <v>7900.0</v>
      </c>
      <c r="AD350" s="258" t="s">
        <v>4938</v>
      </c>
      <c r="AE350" s="255" t="s">
        <v>73</v>
      </c>
      <c r="AF350" s="255" t="s">
        <v>2208</v>
      </c>
      <c r="AG350" s="256"/>
    </row>
    <row r="351">
      <c r="A351" s="257">
        <v>45329.497501226855</v>
      </c>
      <c r="B351" s="259">
        <v>47206.0</v>
      </c>
      <c r="C351" s="255" t="s">
        <v>4182</v>
      </c>
      <c r="D351" s="255" t="s">
        <v>4182</v>
      </c>
      <c r="E351" s="255" t="s">
        <v>889</v>
      </c>
      <c r="F351" s="255" t="s">
        <v>4935</v>
      </c>
      <c r="G351" s="255" t="s">
        <v>4937</v>
      </c>
      <c r="H351" s="255" t="s">
        <v>4939</v>
      </c>
      <c r="J351" s="255">
        <v>7.60346244E8</v>
      </c>
      <c r="K351" s="259">
        <v>35617.0</v>
      </c>
      <c r="M351" s="255">
        <v>3000.0</v>
      </c>
      <c r="P351" s="255">
        <v>7900.0</v>
      </c>
      <c r="Q351" s="255" t="s">
        <v>4937</v>
      </c>
      <c r="R351" s="255" t="s">
        <v>4937</v>
      </c>
      <c r="T351" s="255">
        <v>80000.0</v>
      </c>
      <c r="U351" s="255">
        <v>29500.0</v>
      </c>
      <c r="V351" s="255">
        <v>0.0</v>
      </c>
      <c r="W351" s="259">
        <v>45329.0</v>
      </c>
      <c r="X351" s="260" t="s">
        <v>2221</v>
      </c>
      <c r="Y351" s="259">
        <v>45358.0</v>
      </c>
      <c r="AC351" s="255">
        <v>7900.0</v>
      </c>
      <c r="AE351" s="255" t="s">
        <v>73</v>
      </c>
      <c r="AF351" s="255" t="s">
        <v>2208</v>
      </c>
      <c r="AG351" s="256"/>
    </row>
    <row r="352">
      <c r="A352" s="257">
        <v>45331.98718601852</v>
      </c>
      <c r="B352" s="259">
        <v>45332.0</v>
      </c>
      <c r="F352" s="255" t="s">
        <v>4940</v>
      </c>
      <c r="G352" s="255" t="s">
        <v>4941</v>
      </c>
      <c r="H352" s="260" t="s">
        <v>4942</v>
      </c>
      <c r="M352" s="255" t="s">
        <v>430</v>
      </c>
      <c r="P352" s="255">
        <v>3960.0</v>
      </c>
      <c r="Q352" s="255" t="s">
        <v>4943</v>
      </c>
      <c r="R352" s="255" t="s">
        <v>4943</v>
      </c>
      <c r="T352" s="255">
        <v>200000.0</v>
      </c>
      <c r="U352" s="255">
        <v>26200.0</v>
      </c>
      <c r="V352" s="255">
        <v>1.0</v>
      </c>
      <c r="W352" s="259">
        <v>45332.0</v>
      </c>
      <c r="X352" s="260" t="s">
        <v>2262</v>
      </c>
      <c r="Y352" s="259">
        <v>45334.0</v>
      </c>
      <c r="AB352" s="255">
        <v>1980.0</v>
      </c>
      <c r="AD352" s="258" t="s">
        <v>4944</v>
      </c>
      <c r="AE352" s="255" t="s">
        <v>483</v>
      </c>
      <c r="AF352" s="255" t="s">
        <v>2208</v>
      </c>
      <c r="AG352" s="256"/>
    </row>
    <row r="353">
      <c r="A353" s="257">
        <v>45332.00039262732</v>
      </c>
      <c r="B353" s="259">
        <v>45331.0</v>
      </c>
      <c r="F353" s="255" t="s">
        <v>4945</v>
      </c>
      <c r="G353" s="255" t="s">
        <v>4946</v>
      </c>
      <c r="H353" s="260" t="s">
        <v>4947</v>
      </c>
      <c r="M353" s="255">
        <v>15000.0</v>
      </c>
      <c r="P353" s="255">
        <v>6000.0</v>
      </c>
      <c r="Q353" s="255" t="s">
        <v>2207</v>
      </c>
      <c r="R353" s="255" t="s">
        <v>2207</v>
      </c>
      <c r="T353" s="255">
        <v>140000.0</v>
      </c>
      <c r="U353" s="255">
        <v>15500.0</v>
      </c>
      <c r="V353" s="255">
        <v>0.0</v>
      </c>
      <c r="W353" s="259">
        <v>45331.0</v>
      </c>
      <c r="X353" s="260" t="s">
        <v>2215</v>
      </c>
      <c r="Y353" s="259">
        <v>45343.0</v>
      </c>
      <c r="AB353" s="255">
        <v>500.0</v>
      </c>
      <c r="AD353" s="258" t="s">
        <v>4948</v>
      </c>
      <c r="AE353" s="255" t="s">
        <v>423</v>
      </c>
      <c r="AF353" s="255" t="s">
        <v>2208</v>
      </c>
      <c r="AG353" s="256"/>
    </row>
    <row r="354">
      <c r="A354" s="257">
        <v>45333.42310486111</v>
      </c>
      <c r="B354" s="259">
        <v>45333.0</v>
      </c>
      <c r="G354" s="255" t="s">
        <v>4949</v>
      </c>
      <c r="M354" s="255" t="s">
        <v>896</v>
      </c>
      <c r="P354" s="255">
        <v>7920.0</v>
      </c>
      <c r="Q354" s="255" t="s">
        <v>4870</v>
      </c>
      <c r="R354" s="255" t="s">
        <v>4870</v>
      </c>
      <c r="T354" s="255">
        <v>200000.0</v>
      </c>
      <c r="U354" s="255">
        <v>26400.0</v>
      </c>
      <c r="V354" s="255">
        <v>0.0</v>
      </c>
      <c r="W354" s="259">
        <v>45333.0</v>
      </c>
      <c r="X354" s="260" t="s">
        <v>2209</v>
      </c>
      <c r="Y354" s="259">
        <v>45337.0</v>
      </c>
      <c r="AB354" s="255">
        <v>1890.0</v>
      </c>
      <c r="AD354" s="258" t="s">
        <v>4950</v>
      </c>
      <c r="AE354" s="255" t="s">
        <v>483</v>
      </c>
      <c r="AF354" s="255" t="s">
        <v>2208</v>
      </c>
      <c r="AG354" s="256"/>
    </row>
    <row r="355">
      <c r="A355" s="257">
        <v>45333.429619629635</v>
      </c>
      <c r="B355" s="259">
        <v>45333.0</v>
      </c>
      <c r="C355" s="255" t="s">
        <v>4182</v>
      </c>
      <c r="D355" s="255" t="s">
        <v>4182</v>
      </c>
      <c r="E355" s="255" t="s">
        <v>895</v>
      </c>
      <c r="G355" s="255" t="s">
        <v>4949</v>
      </c>
      <c r="J355" s="255" t="s">
        <v>4951</v>
      </c>
      <c r="K355" s="259">
        <v>34257.0</v>
      </c>
      <c r="L355" s="259">
        <v>45596.0</v>
      </c>
      <c r="M355" s="255" t="s">
        <v>896</v>
      </c>
      <c r="P355" s="255">
        <v>7920.0</v>
      </c>
      <c r="Q355" s="255" t="s">
        <v>4651</v>
      </c>
      <c r="R355" s="255" t="s">
        <v>4651</v>
      </c>
      <c r="T355" s="255">
        <v>200000.0</v>
      </c>
      <c r="U355" s="255">
        <v>26400.0</v>
      </c>
      <c r="V355" s="255">
        <v>0.0</v>
      </c>
      <c r="W355" s="259">
        <v>45333.0</v>
      </c>
      <c r="X355" s="260" t="s">
        <v>2209</v>
      </c>
      <c r="Y355" s="259">
        <v>45337.0</v>
      </c>
      <c r="AB355" s="255">
        <v>1890.0</v>
      </c>
      <c r="AE355" s="255" t="s">
        <v>483</v>
      </c>
      <c r="AF355" s="255" t="s">
        <v>2208</v>
      </c>
      <c r="AG355" s="256"/>
    </row>
    <row r="356">
      <c r="A356" s="257">
        <v>45335.557866828705</v>
      </c>
      <c r="B356" s="259">
        <v>45328.0</v>
      </c>
      <c r="F356" s="255" t="s">
        <v>4952</v>
      </c>
      <c r="G356" s="255" t="s">
        <v>4953</v>
      </c>
      <c r="M356" s="255" t="s">
        <v>4954</v>
      </c>
      <c r="Q356" s="255" t="s">
        <v>4953</v>
      </c>
      <c r="R356" s="255" t="s">
        <v>4953</v>
      </c>
      <c r="T356" s="255">
        <v>70000.0</v>
      </c>
      <c r="V356" s="255">
        <v>2.0</v>
      </c>
      <c r="W356" s="259">
        <v>45328.0</v>
      </c>
      <c r="X356" s="260" t="s">
        <v>2215</v>
      </c>
      <c r="Y356" s="259">
        <v>45359.0</v>
      </c>
      <c r="AC356" s="255">
        <v>5500.0</v>
      </c>
      <c r="AD356" s="258" t="s">
        <v>4955</v>
      </c>
      <c r="AF356" s="255" t="s">
        <v>2227</v>
      </c>
      <c r="AG356" s="256"/>
    </row>
    <row r="357">
      <c r="A357" s="257">
        <v>45338.785578125</v>
      </c>
      <c r="B357" s="259">
        <v>45338.0</v>
      </c>
      <c r="H357" s="255" t="s">
        <v>4956</v>
      </c>
      <c r="I357" s="255" t="s">
        <v>4957</v>
      </c>
      <c r="M357" s="255">
        <v>3000.0</v>
      </c>
      <c r="P357" s="255">
        <v>5460.0</v>
      </c>
      <c r="Q357" s="255" t="s">
        <v>3689</v>
      </c>
      <c r="R357" s="255" t="s">
        <v>3689</v>
      </c>
      <c r="T357" s="255">
        <v>80000.0</v>
      </c>
      <c r="U357" s="255">
        <v>20500.0</v>
      </c>
      <c r="V357" s="255">
        <v>2.0</v>
      </c>
      <c r="W357" s="259">
        <v>45338.0</v>
      </c>
      <c r="X357" s="260" t="s">
        <v>2209</v>
      </c>
      <c r="Y357" s="259">
        <v>45352.0</v>
      </c>
      <c r="AB357" s="255">
        <v>390.0</v>
      </c>
      <c r="AD357" s="258" t="s">
        <v>4958</v>
      </c>
      <c r="AE357" s="255" t="s">
        <v>68</v>
      </c>
      <c r="AF357" s="255" t="s">
        <v>2208</v>
      </c>
      <c r="AG357" s="256"/>
    </row>
    <row r="358">
      <c r="A358" s="257">
        <v>45341.402601168986</v>
      </c>
      <c r="B358" s="259">
        <v>45341.0</v>
      </c>
      <c r="F358" s="255" t="s">
        <v>4959</v>
      </c>
      <c r="G358" s="255" t="s">
        <v>4960</v>
      </c>
      <c r="H358" s="255" t="s">
        <v>4961</v>
      </c>
      <c r="M358" s="255">
        <v>15000.0</v>
      </c>
      <c r="P358" s="255">
        <v>14900.0</v>
      </c>
      <c r="Q358" s="255" t="s">
        <v>4887</v>
      </c>
      <c r="R358" s="255" t="s">
        <v>4887</v>
      </c>
      <c r="T358" s="255">
        <v>150000.0</v>
      </c>
      <c r="U358" s="255">
        <v>14000.0</v>
      </c>
      <c r="V358" s="255">
        <v>2.0</v>
      </c>
      <c r="W358" s="259">
        <v>45341.0</v>
      </c>
      <c r="X358" s="260" t="s">
        <v>2215</v>
      </c>
      <c r="Y358" s="259">
        <v>45370.0</v>
      </c>
      <c r="AD358" s="258" t="s">
        <v>4962</v>
      </c>
      <c r="AE358" s="255" t="s">
        <v>468</v>
      </c>
      <c r="AF358" s="255" t="s">
        <v>2208</v>
      </c>
      <c r="AG358" s="256"/>
    </row>
    <row r="359">
      <c r="A359" s="257">
        <v>45343.57784190972</v>
      </c>
      <c r="B359" s="259">
        <v>45343.0</v>
      </c>
      <c r="F359" s="255" t="s">
        <v>4963</v>
      </c>
      <c r="G359" s="255" t="s">
        <v>4964</v>
      </c>
      <c r="M359" s="255">
        <v>15000.0</v>
      </c>
      <c r="P359" s="255">
        <v>4450.0</v>
      </c>
      <c r="Q359" s="255" t="s">
        <v>4651</v>
      </c>
      <c r="R359" s="255" t="s">
        <v>4651</v>
      </c>
      <c r="T359" s="255">
        <v>80000.0</v>
      </c>
      <c r="U359" s="255">
        <v>17000.0</v>
      </c>
      <c r="V359" s="255">
        <v>2.0</v>
      </c>
      <c r="W359" s="259">
        <v>45343.0</v>
      </c>
      <c r="X359" s="260" t="s">
        <v>2231</v>
      </c>
      <c r="Y359" s="259">
        <v>45348.0</v>
      </c>
      <c r="AB359" s="255">
        <v>890.0</v>
      </c>
      <c r="AD359" s="258" t="s">
        <v>4965</v>
      </c>
      <c r="AE359" s="255" t="s">
        <v>427</v>
      </c>
      <c r="AF359" s="255" t="s">
        <v>2208</v>
      </c>
      <c r="AG359" s="256"/>
    </row>
    <row r="360">
      <c r="A360" s="257">
        <v>45344.61206526621</v>
      </c>
      <c r="B360" s="259">
        <v>45344.0</v>
      </c>
      <c r="F360" s="255" t="s">
        <v>4966</v>
      </c>
      <c r="G360" s="255" t="s">
        <v>4967</v>
      </c>
      <c r="H360" s="255" t="s">
        <v>4968</v>
      </c>
      <c r="I360" s="255" t="s">
        <v>4969</v>
      </c>
      <c r="M360" s="255" t="s">
        <v>600</v>
      </c>
      <c r="P360" s="255">
        <v>8940.0</v>
      </c>
      <c r="Q360" s="255" t="s">
        <v>2207</v>
      </c>
      <c r="R360" s="255" t="s">
        <v>2207</v>
      </c>
      <c r="T360" s="255">
        <v>200000.0</v>
      </c>
      <c r="U360" s="255">
        <v>27400.0</v>
      </c>
      <c r="V360" s="255">
        <v>2.0</v>
      </c>
      <c r="W360" s="259">
        <v>45344.0</v>
      </c>
      <c r="X360" s="260" t="s">
        <v>2235</v>
      </c>
      <c r="Y360" s="259">
        <v>45350.0</v>
      </c>
      <c r="AB360" s="255">
        <v>1490.0</v>
      </c>
      <c r="AD360" s="258" t="s">
        <v>4970</v>
      </c>
      <c r="AE360" s="255" t="s">
        <v>483</v>
      </c>
      <c r="AF360" s="255" t="s">
        <v>2208</v>
      </c>
      <c r="AG360" s="256"/>
    </row>
    <row r="361">
      <c r="A361" s="257">
        <v>45344.843108981484</v>
      </c>
      <c r="B361" s="259">
        <v>45344.0</v>
      </c>
      <c r="M361" s="255">
        <v>20000.0</v>
      </c>
      <c r="P361" s="255">
        <v>3000.0</v>
      </c>
      <c r="Q361" s="255" t="s">
        <v>2207</v>
      </c>
      <c r="R361" s="255" t="s">
        <v>2207</v>
      </c>
      <c r="U361" s="255">
        <v>37000.0</v>
      </c>
      <c r="W361" s="259">
        <v>45344.0</v>
      </c>
      <c r="X361" s="260" t="s">
        <v>2246</v>
      </c>
      <c r="Y361" s="259">
        <v>45346.0</v>
      </c>
      <c r="AB361" s="255">
        <v>1500.0</v>
      </c>
      <c r="AD361" s="258" t="s">
        <v>4971</v>
      </c>
      <c r="AE361" s="255" t="s">
        <v>102</v>
      </c>
      <c r="AF361" s="255" t="s">
        <v>2208</v>
      </c>
      <c r="AG361" s="256"/>
    </row>
    <row r="362">
      <c r="A362" s="257">
        <v>45344.8900684838</v>
      </c>
      <c r="B362" s="259">
        <v>45344.0</v>
      </c>
      <c r="F362" s="255" t="s">
        <v>4972</v>
      </c>
      <c r="G362" s="255" t="s">
        <v>4973</v>
      </c>
      <c r="M362" s="255">
        <v>3000.0</v>
      </c>
      <c r="P362" s="255">
        <v>4900.0</v>
      </c>
      <c r="Q362" s="255" t="s">
        <v>4973</v>
      </c>
      <c r="R362" s="255" t="s">
        <v>4973</v>
      </c>
      <c r="T362" s="255">
        <v>80000.0</v>
      </c>
      <c r="V362" s="255">
        <v>1.0</v>
      </c>
      <c r="W362" s="259">
        <v>45345.0</v>
      </c>
      <c r="X362" s="260" t="s">
        <v>2262</v>
      </c>
      <c r="Y362" s="259">
        <v>45376.0</v>
      </c>
      <c r="AC362" s="255">
        <v>4900.0</v>
      </c>
      <c r="AD362" s="258" t="s">
        <v>4974</v>
      </c>
      <c r="AE362" s="255" t="s">
        <v>125</v>
      </c>
      <c r="AF362" s="255" t="s">
        <v>2208</v>
      </c>
      <c r="AG362" s="256"/>
    </row>
    <row r="363">
      <c r="A363" s="257">
        <v>45345.89233599537</v>
      </c>
      <c r="B363" s="259">
        <v>45346.0</v>
      </c>
      <c r="F363" s="255" t="s">
        <v>4975</v>
      </c>
      <c r="G363" s="255" t="s">
        <v>4976</v>
      </c>
      <c r="H363" s="255" t="s">
        <v>4977</v>
      </c>
      <c r="M363" s="255">
        <v>3000.0</v>
      </c>
      <c r="P363" s="255">
        <v>7490.0</v>
      </c>
      <c r="Q363" s="255" t="s">
        <v>4976</v>
      </c>
      <c r="R363" s="255" t="s">
        <v>4976</v>
      </c>
      <c r="T363" s="255">
        <v>80000.0</v>
      </c>
      <c r="V363" s="255">
        <v>2.0</v>
      </c>
      <c r="W363" s="259">
        <v>45346.0</v>
      </c>
      <c r="X363" s="260" t="s">
        <v>2324</v>
      </c>
      <c r="Y363" s="259">
        <v>45375.0</v>
      </c>
      <c r="AC363" s="255">
        <v>7490.0</v>
      </c>
      <c r="AD363" s="258" t="s">
        <v>4978</v>
      </c>
      <c r="AE363" s="255" t="s">
        <v>159</v>
      </c>
      <c r="AF363" s="255" t="s">
        <v>2208</v>
      </c>
      <c r="AG363" s="256"/>
    </row>
    <row r="364">
      <c r="A364" s="257">
        <v>45346.58492258102</v>
      </c>
      <c r="B364" s="259">
        <v>45346.0</v>
      </c>
      <c r="F364" s="255" t="s">
        <v>4979</v>
      </c>
      <c r="G364" s="255" t="s">
        <v>4980</v>
      </c>
      <c r="M364" s="255">
        <v>5000.0</v>
      </c>
      <c r="P364" s="255">
        <v>2370.0</v>
      </c>
      <c r="Q364" s="255" t="s">
        <v>4887</v>
      </c>
      <c r="R364" s="255" t="s">
        <v>4651</v>
      </c>
      <c r="T364" s="255">
        <v>140000.0</v>
      </c>
      <c r="V364" s="255">
        <v>2.0</v>
      </c>
      <c r="W364" s="259">
        <v>45346.0</v>
      </c>
      <c r="X364" s="260" t="s">
        <v>2235</v>
      </c>
      <c r="Y364" s="259">
        <v>45349.0</v>
      </c>
      <c r="AD364" s="258" t="s">
        <v>4981</v>
      </c>
      <c r="AF364" s="255" t="s">
        <v>2208</v>
      </c>
      <c r="AG364" s="256"/>
    </row>
    <row r="365">
      <c r="A365" s="257">
        <v>45346.58917666667</v>
      </c>
      <c r="B365" s="259">
        <v>45346.0</v>
      </c>
      <c r="F365" s="255" t="s">
        <v>4982</v>
      </c>
      <c r="H365" s="255" t="s">
        <v>4983</v>
      </c>
      <c r="M365" s="255">
        <v>3000.0</v>
      </c>
      <c r="Q365" s="255" t="s">
        <v>2207</v>
      </c>
      <c r="R365" s="255" t="s">
        <v>2207</v>
      </c>
      <c r="V365" s="255">
        <v>0.0</v>
      </c>
      <c r="W365" s="259">
        <v>45361.0</v>
      </c>
      <c r="X365" s="260" t="s">
        <v>2235</v>
      </c>
      <c r="Y365" s="259">
        <v>45422.0</v>
      </c>
      <c r="AD365" s="258" t="s">
        <v>4984</v>
      </c>
      <c r="AE365" s="255" t="s">
        <v>423</v>
      </c>
      <c r="AF365" s="255" t="s">
        <v>2208</v>
      </c>
      <c r="AG365" s="256"/>
    </row>
    <row r="366">
      <c r="A366" s="257">
        <v>45346.920628657404</v>
      </c>
      <c r="B366" s="259">
        <v>45347.0</v>
      </c>
      <c r="F366" s="255" t="s">
        <v>4985</v>
      </c>
      <c r="G366" s="255" t="s">
        <v>4986</v>
      </c>
      <c r="H366" s="255" t="s">
        <v>4987</v>
      </c>
      <c r="M366" s="255">
        <v>5000.0</v>
      </c>
      <c r="P366" s="255">
        <v>10000.0</v>
      </c>
      <c r="Q366" s="255" t="s">
        <v>2207</v>
      </c>
      <c r="R366" s="255" t="s">
        <v>2207</v>
      </c>
      <c r="T366" s="255">
        <v>112000.0</v>
      </c>
      <c r="U366" s="255">
        <v>19000.0</v>
      </c>
      <c r="V366" s="255">
        <v>2.0</v>
      </c>
      <c r="W366" s="259">
        <v>45347.0</v>
      </c>
      <c r="X366" s="260" t="s">
        <v>2330</v>
      </c>
      <c r="Y366" s="259">
        <v>45378.0</v>
      </c>
      <c r="AC366" s="255">
        <v>10000.0</v>
      </c>
      <c r="AD366" s="258" t="s">
        <v>4988</v>
      </c>
      <c r="AE366" s="255" t="s">
        <v>468</v>
      </c>
      <c r="AF366" s="255" t="s">
        <v>2208</v>
      </c>
      <c r="AG366" s="256"/>
    </row>
    <row r="367">
      <c r="A367" s="257">
        <v>45347.71493761574</v>
      </c>
      <c r="B367" s="259">
        <v>45347.0</v>
      </c>
      <c r="F367" s="255" t="s">
        <v>4989</v>
      </c>
      <c r="G367" s="255" t="s">
        <v>4352</v>
      </c>
      <c r="H367" s="255" t="s">
        <v>4990</v>
      </c>
      <c r="M367" s="255">
        <v>3000.0</v>
      </c>
      <c r="P367" s="255">
        <v>2730.0</v>
      </c>
      <c r="Q367" s="255" t="s">
        <v>2207</v>
      </c>
      <c r="R367" s="255" t="s">
        <v>2207</v>
      </c>
      <c r="T367" s="255">
        <v>80000.0</v>
      </c>
      <c r="U367" s="255">
        <v>22428.0</v>
      </c>
      <c r="V367" s="255">
        <v>2.0</v>
      </c>
      <c r="W367" s="259">
        <v>45347.0</v>
      </c>
      <c r="X367" s="260" t="s">
        <v>2246</v>
      </c>
      <c r="Y367" s="259">
        <v>45354.0</v>
      </c>
      <c r="AA367" s="255" t="s">
        <v>489</v>
      </c>
      <c r="AB367" s="255">
        <v>390.0</v>
      </c>
      <c r="AD367" s="258" t="s">
        <v>4991</v>
      </c>
      <c r="AE367" s="255" t="s">
        <v>98</v>
      </c>
      <c r="AF367" s="255" t="s">
        <v>2208</v>
      </c>
      <c r="AG367" s="256"/>
    </row>
    <row r="368">
      <c r="A368" s="257">
        <v>45347.944438101855</v>
      </c>
      <c r="B368" s="259">
        <v>45348.0</v>
      </c>
      <c r="F368" s="255">
        <v>8.9960622979E10</v>
      </c>
      <c r="G368" s="255" t="s">
        <v>4992</v>
      </c>
      <c r="M368" s="255">
        <v>3000.0</v>
      </c>
      <c r="P368" s="255">
        <v>4680.0</v>
      </c>
      <c r="Q368" s="255" t="s">
        <v>4992</v>
      </c>
      <c r="R368" s="255" t="s">
        <v>4992</v>
      </c>
      <c r="T368" s="255">
        <v>80000.0</v>
      </c>
      <c r="U368" s="255">
        <v>20450.0</v>
      </c>
      <c r="V368" s="255">
        <v>2.0</v>
      </c>
      <c r="W368" s="259">
        <v>45348.0</v>
      </c>
      <c r="X368" s="260" t="s">
        <v>2265</v>
      </c>
      <c r="Y368" s="259">
        <v>45360.0</v>
      </c>
      <c r="AA368" s="255" t="s">
        <v>1349</v>
      </c>
      <c r="AB368" s="255">
        <v>390.0</v>
      </c>
      <c r="AD368" s="258" t="s">
        <v>4993</v>
      </c>
      <c r="AE368" s="255" t="s">
        <v>73</v>
      </c>
      <c r="AF368" s="255" t="s">
        <v>2208</v>
      </c>
      <c r="AG368" s="256"/>
    </row>
    <row r="369">
      <c r="A369" s="257">
        <v>45348.42950672454</v>
      </c>
      <c r="B369" s="259">
        <v>45348.0</v>
      </c>
      <c r="F369" s="255" t="s">
        <v>4994</v>
      </c>
      <c r="G369" s="255" t="s">
        <v>4995</v>
      </c>
      <c r="H369" s="255" t="s">
        <v>4994</v>
      </c>
      <c r="M369" s="255">
        <v>3000.0</v>
      </c>
      <c r="P369" s="255">
        <v>5460.0</v>
      </c>
      <c r="Q369" s="255" t="s">
        <v>4887</v>
      </c>
      <c r="R369" s="255" t="s">
        <v>4887</v>
      </c>
      <c r="T369" s="255">
        <v>80000.0</v>
      </c>
      <c r="U369" s="255">
        <v>28500.0</v>
      </c>
      <c r="V369" s="255">
        <v>2.0</v>
      </c>
      <c r="W369" s="259">
        <v>45348.0</v>
      </c>
      <c r="X369" s="260" t="s">
        <v>2265</v>
      </c>
      <c r="Y369" s="259">
        <v>45362.0</v>
      </c>
      <c r="AB369" s="255">
        <v>390.0</v>
      </c>
      <c r="AD369" s="258" t="s">
        <v>4996</v>
      </c>
      <c r="AE369" s="255" t="s">
        <v>185</v>
      </c>
      <c r="AF369" s="255" t="s">
        <v>2208</v>
      </c>
      <c r="AG369" s="256"/>
    </row>
    <row r="370">
      <c r="A370" s="257">
        <v>45348.84508788194</v>
      </c>
      <c r="B370" s="259">
        <v>45348.0</v>
      </c>
      <c r="F370" s="255" t="s">
        <v>2335</v>
      </c>
      <c r="G370" s="255" t="s">
        <v>2336</v>
      </c>
      <c r="M370" s="255">
        <v>5000.0</v>
      </c>
      <c r="P370" s="255">
        <v>6210.0</v>
      </c>
      <c r="Q370" s="255" t="s">
        <v>2336</v>
      </c>
      <c r="R370" s="255" t="s">
        <v>2336</v>
      </c>
      <c r="T370" s="255">
        <v>140000.0</v>
      </c>
      <c r="U370" s="255">
        <v>24000.0</v>
      </c>
      <c r="V370" s="255">
        <v>0.0</v>
      </c>
      <c r="W370" s="259">
        <v>45349.0</v>
      </c>
      <c r="X370" s="260" t="s">
        <v>2330</v>
      </c>
      <c r="Y370" s="259">
        <v>45358.0</v>
      </c>
      <c r="AB370" s="255">
        <v>690.0</v>
      </c>
      <c r="AD370" s="258" t="s">
        <v>4997</v>
      </c>
      <c r="AE370" s="255" t="s">
        <v>92</v>
      </c>
      <c r="AF370" s="255" t="s">
        <v>2208</v>
      </c>
      <c r="AG370" s="256"/>
    </row>
    <row r="371">
      <c r="A371" s="257">
        <v>45349.97395288195</v>
      </c>
      <c r="B371" s="259">
        <v>45350.0</v>
      </c>
      <c r="F371" s="255" t="s">
        <v>4998</v>
      </c>
      <c r="H371" s="255">
        <v>8.9213547311E10</v>
      </c>
      <c r="M371" s="255">
        <v>3000.0</v>
      </c>
      <c r="P371" s="255">
        <v>3900.0</v>
      </c>
      <c r="Q371" s="255" t="s">
        <v>4999</v>
      </c>
      <c r="R371" s="255" t="s">
        <v>4999</v>
      </c>
      <c r="T371" s="255">
        <v>80000.0</v>
      </c>
      <c r="U371" s="255">
        <v>24500.0</v>
      </c>
      <c r="V371" s="255">
        <v>2.0</v>
      </c>
      <c r="W371" s="259">
        <v>45350.0</v>
      </c>
      <c r="X371" s="260" t="s">
        <v>2324</v>
      </c>
      <c r="Y371" s="259">
        <v>45360.0</v>
      </c>
      <c r="AB371" s="255">
        <v>390.0</v>
      </c>
      <c r="AD371" s="258" t="s">
        <v>5000</v>
      </c>
      <c r="AE371" s="255" t="s">
        <v>73</v>
      </c>
      <c r="AF371" s="255" t="s">
        <v>2208</v>
      </c>
      <c r="AG371" s="256"/>
    </row>
    <row r="372">
      <c r="A372" s="257">
        <v>45350.843661527775</v>
      </c>
      <c r="B372" s="259">
        <v>45350.0</v>
      </c>
      <c r="F372" s="255" t="s">
        <v>5001</v>
      </c>
      <c r="M372" s="255" t="s">
        <v>430</v>
      </c>
      <c r="P372" s="255">
        <v>6300.0</v>
      </c>
      <c r="Q372" s="255" t="s">
        <v>2207</v>
      </c>
      <c r="R372" s="255" t="s">
        <v>2207</v>
      </c>
      <c r="T372" s="255">
        <v>140000.0</v>
      </c>
      <c r="U372" s="255">
        <v>16600.0</v>
      </c>
      <c r="V372" s="255">
        <v>1.0</v>
      </c>
      <c r="W372" s="259">
        <v>45350.0</v>
      </c>
      <c r="X372" s="260" t="s">
        <v>2209</v>
      </c>
      <c r="Y372" s="259">
        <v>45357.0</v>
      </c>
      <c r="AB372" s="255">
        <v>900.0</v>
      </c>
      <c r="AD372" s="258" t="s">
        <v>5002</v>
      </c>
      <c r="AE372" s="255" t="s">
        <v>423</v>
      </c>
      <c r="AF372" s="255" t="s">
        <v>2320</v>
      </c>
      <c r="AG372" s="256"/>
    </row>
    <row r="373">
      <c r="A373" s="257">
        <v>45352.787121574074</v>
      </c>
      <c r="B373" s="259">
        <v>45352.0</v>
      </c>
      <c r="F373" s="255" t="s">
        <v>5003</v>
      </c>
      <c r="G373" s="255" t="s">
        <v>5004</v>
      </c>
      <c r="M373" s="255" t="s">
        <v>843</v>
      </c>
      <c r="P373" s="255">
        <v>6900.0</v>
      </c>
      <c r="Q373" s="255" t="s">
        <v>4887</v>
      </c>
      <c r="R373" s="255" t="s">
        <v>4887</v>
      </c>
      <c r="T373" s="255">
        <v>70000.0</v>
      </c>
      <c r="U373" s="255">
        <v>17800.0</v>
      </c>
      <c r="V373" s="255">
        <v>2.0</v>
      </c>
      <c r="W373" s="259">
        <v>45352.0</v>
      </c>
      <c r="X373" s="260" t="s">
        <v>2209</v>
      </c>
      <c r="Y373" s="259">
        <v>45383.0</v>
      </c>
      <c r="AC373" s="255">
        <v>6900.0</v>
      </c>
      <c r="AD373" s="258" t="s">
        <v>5005</v>
      </c>
      <c r="AE373" s="255" t="s">
        <v>44</v>
      </c>
      <c r="AF373" s="255" t="s">
        <v>2242</v>
      </c>
      <c r="AG373" s="256"/>
    </row>
    <row r="374">
      <c r="A374" s="257">
        <v>45353.44285585648</v>
      </c>
      <c r="B374" s="259">
        <v>45353.0</v>
      </c>
      <c r="F374" s="255" t="s">
        <v>5006</v>
      </c>
      <c r="G374" s="255" t="s">
        <v>5007</v>
      </c>
      <c r="H374" s="260" t="s">
        <v>5008</v>
      </c>
      <c r="M374" s="255">
        <v>3000.0</v>
      </c>
      <c r="P374" s="255">
        <v>3120.0</v>
      </c>
      <c r="Q374" s="255" t="s">
        <v>5007</v>
      </c>
      <c r="R374" s="255" t="s">
        <v>5007</v>
      </c>
      <c r="T374" s="255">
        <v>80000.0</v>
      </c>
      <c r="U374" s="255">
        <v>25000.0</v>
      </c>
      <c r="V374" s="255">
        <v>2.0</v>
      </c>
      <c r="W374" s="259">
        <v>45353.0</v>
      </c>
      <c r="X374" s="260" t="s">
        <v>2330</v>
      </c>
      <c r="Y374" s="259">
        <v>45361.0</v>
      </c>
      <c r="AB374" s="255">
        <v>390.0</v>
      </c>
      <c r="AD374" s="258" t="s">
        <v>5009</v>
      </c>
      <c r="AE374" s="255" t="s">
        <v>68</v>
      </c>
      <c r="AF374" s="255" t="s">
        <v>2208</v>
      </c>
      <c r="AG374" s="256"/>
    </row>
    <row r="375">
      <c r="A375" s="257">
        <v>45355.36265028935</v>
      </c>
      <c r="B375" s="259">
        <v>45355.0</v>
      </c>
      <c r="F375" s="255" t="s">
        <v>5010</v>
      </c>
      <c r="G375" s="255" t="s">
        <v>5011</v>
      </c>
      <c r="H375" s="255" t="s">
        <v>5012</v>
      </c>
      <c r="M375" s="255">
        <v>3000.0</v>
      </c>
      <c r="P375" s="255">
        <v>2730.0</v>
      </c>
      <c r="Q375" s="255" t="s">
        <v>5011</v>
      </c>
      <c r="R375" s="255" t="s">
        <v>5011</v>
      </c>
      <c r="T375" s="255">
        <v>80000.0</v>
      </c>
      <c r="U375" s="255">
        <v>19000.0</v>
      </c>
      <c r="V375" s="255">
        <v>2.0</v>
      </c>
      <c r="W375" s="259">
        <v>45355.0</v>
      </c>
      <c r="X375" s="260" t="s">
        <v>2324</v>
      </c>
      <c r="Y375" s="259">
        <v>45362.0</v>
      </c>
      <c r="AB375" s="255">
        <v>390.0</v>
      </c>
      <c r="AD375" s="258" t="s">
        <v>5013</v>
      </c>
      <c r="AE375" s="255" t="s">
        <v>88</v>
      </c>
      <c r="AF375" s="255" t="s">
        <v>2208</v>
      </c>
      <c r="AG375" s="256"/>
    </row>
    <row r="376">
      <c r="A376" s="257">
        <v>45356.43078311342</v>
      </c>
      <c r="B376" s="259">
        <v>45356.0</v>
      </c>
      <c r="F376" s="255" t="s">
        <v>5014</v>
      </c>
      <c r="G376" s="255" t="s">
        <v>5015</v>
      </c>
      <c r="M376" s="255">
        <v>5000.0</v>
      </c>
      <c r="P376" s="255">
        <v>5900.0</v>
      </c>
      <c r="Q376" s="255" t="s">
        <v>5015</v>
      </c>
      <c r="R376" s="255" t="s">
        <v>5015</v>
      </c>
      <c r="T376" s="255">
        <v>140000.0</v>
      </c>
      <c r="U376" s="255">
        <v>20000.0</v>
      </c>
      <c r="V376" s="255">
        <v>2.0</v>
      </c>
      <c r="W376" s="259">
        <v>45356.0</v>
      </c>
      <c r="X376" s="260" t="s">
        <v>2265</v>
      </c>
      <c r="Y376" s="259">
        <v>45366.0</v>
      </c>
      <c r="AB376" s="255">
        <v>590.0</v>
      </c>
      <c r="AD376" s="258" t="s">
        <v>5016</v>
      </c>
      <c r="AE376" s="255" t="s">
        <v>64</v>
      </c>
      <c r="AF376" s="255" t="s">
        <v>2208</v>
      </c>
      <c r="AG376" s="256"/>
    </row>
    <row r="377">
      <c r="A377" s="257">
        <v>45356.545722002316</v>
      </c>
      <c r="B377" s="259">
        <v>45356.0</v>
      </c>
      <c r="F377" s="255" t="s">
        <v>5017</v>
      </c>
      <c r="G377" s="255" t="s">
        <v>5018</v>
      </c>
      <c r="M377" s="255" t="s">
        <v>1368</v>
      </c>
      <c r="P377" s="255">
        <v>4500.0</v>
      </c>
      <c r="Q377" s="255" t="s">
        <v>2207</v>
      </c>
      <c r="R377" s="255" t="s">
        <v>2207</v>
      </c>
      <c r="T377" s="255">
        <v>220000.0</v>
      </c>
      <c r="U377" s="255">
        <v>37500.0</v>
      </c>
      <c r="V377" s="255">
        <v>0.0</v>
      </c>
      <c r="W377" s="259">
        <v>45356.0</v>
      </c>
      <c r="X377" s="260" t="s">
        <v>2221</v>
      </c>
      <c r="Y377" s="259">
        <v>45359.0</v>
      </c>
      <c r="AB377" s="255">
        <v>1500.0</v>
      </c>
      <c r="AD377" s="258" t="s">
        <v>5019</v>
      </c>
      <c r="AE377" s="255" t="s">
        <v>102</v>
      </c>
      <c r="AF377" s="255" t="s">
        <v>2208</v>
      </c>
      <c r="AG377" s="256"/>
    </row>
    <row r="378">
      <c r="A378" s="257">
        <v>45356.75268510416</v>
      </c>
      <c r="B378" s="259">
        <v>45356.0</v>
      </c>
      <c r="F378" s="255" t="s">
        <v>5020</v>
      </c>
      <c r="G378" s="255" t="s">
        <v>3030</v>
      </c>
      <c r="H378" s="260" t="s">
        <v>5021</v>
      </c>
      <c r="M378" s="255">
        <v>20000.0</v>
      </c>
      <c r="P378" s="255">
        <v>16770.0</v>
      </c>
      <c r="Q378" s="255" t="s">
        <v>2207</v>
      </c>
      <c r="R378" s="255" t="s">
        <v>2207</v>
      </c>
      <c r="T378" s="255">
        <v>200000.0</v>
      </c>
      <c r="U378" s="255">
        <v>28144.0</v>
      </c>
      <c r="V378" s="255">
        <v>2.0</v>
      </c>
      <c r="W378" s="259">
        <v>45356.0</v>
      </c>
      <c r="X378" s="260" t="s">
        <v>2250</v>
      </c>
      <c r="Y378" s="259">
        <v>45369.0</v>
      </c>
      <c r="AB378" s="255">
        <v>1290.0</v>
      </c>
      <c r="AD378" s="258" t="s">
        <v>5022</v>
      </c>
      <c r="AE378" s="255" t="s">
        <v>483</v>
      </c>
      <c r="AF378" s="255" t="s">
        <v>2208</v>
      </c>
      <c r="AG378" s="256"/>
    </row>
    <row r="379">
      <c r="A379" s="257">
        <v>45360.531812719906</v>
      </c>
      <c r="B379" s="259">
        <v>45360.0</v>
      </c>
      <c r="F379" s="255" t="s">
        <v>5023</v>
      </c>
      <c r="G379" s="255" t="s">
        <v>5024</v>
      </c>
      <c r="M379" s="255">
        <v>5000.0</v>
      </c>
      <c r="Q379" s="255" t="s">
        <v>5024</v>
      </c>
      <c r="R379" s="255" t="s">
        <v>5024</v>
      </c>
      <c r="T379" s="255">
        <v>140000.0</v>
      </c>
      <c r="U379" s="255">
        <v>29000.0</v>
      </c>
      <c r="V379" s="255">
        <v>2.0</v>
      </c>
      <c r="W379" s="259">
        <v>45360.0</v>
      </c>
      <c r="X379" s="260" t="s">
        <v>2235</v>
      </c>
      <c r="Y379" s="259">
        <v>45391.0</v>
      </c>
      <c r="AC379" s="255">
        <v>11900.0</v>
      </c>
      <c r="AD379" s="258" t="s">
        <v>5025</v>
      </c>
      <c r="AE379" s="255" t="s">
        <v>113</v>
      </c>
      <c r="AF379" s="255" t="s">
        <v>2208</v>
      </c>
      <c r="AG379" s="256"/>
    </row>
    <row r="380">
      <c r="A380" s="257">
        <v>45360.62279905092</v>
      </c>
      <c r="B380" s="259">
        <v>45360.0</v>
      </c>
      <c r="F380" s="255" t="s">
        <v>5026</v>
      </c>
      <c r="G380" s="255" t="s">
        <v>5027</v>
      </c>
      <c r="M380" s="255">
        <v>5000.0</v>
      </c>
      <c r="P380" s="255">
        <v>7670.0</v>
      </c>
      <c r="Q380" s="255" t="s">
        <v>5027</v>
      </c>
      <c r="R380" s="255" t="s">
        <v>5027</v>
      </c>
      <c r="T380" s="255">
        <v>140000.0</v>
      </c>
      <c r="U380" s="255">
        <v>20500.0</v>
      </c>
      <c r="V380" s="255">
        <v>2.0</v>
      </c>
      <c r="W380" s="259">
        <v>45360.0</v>
      </c>
      <c r="X380" s="260" t="s">
        <v>2215</v>
      </c>
      <c r="Y380" s="259">
        <v>45373.0</v>
      </c>
      <c r="AB380" s="255">
        <v>590.0</v>
      </c>
      <c r="AD380" s="258" t="s">
        <v>5028</v>
      </c>
      <c r="AE380" s="255" t="s">
        <v>32</v>
      </c>
      <c r="AF380" s="255" t="s">
        <v>2208</v>
      </c>
      <c r="AG380" s="256"/>
    </row>
    <row r="381">
      <c r="A381" s="257">
        <v>45364.67658788194</v>
      </c>
      <c r="B381" s="259">
        <v>45364.0</v>
      </c>
      <c r="F381" s="255" t="s">
        <v>5029</v>
      </c>
      <c r="G381" s="255" t="s">
        <v>5030</v>
      </c>
      <c r="H381" s="255" t="s">
        <v>5031</v>
      </c>
      <c r="M381" s="255" t="s">
        <v>1388</v>
      </c>
      <c r="P381" s="255">
        <v>11900.0</v>
      </c>
      <c r="Q381" s="255" t="s">
        <v>5030</v>
      </c>
      <c r="R381" s="255" t="s">
        <v>5030</v>
      </c>
      <c r="T381" s="255">
        <v>120000.0</v>
      </c>
      <c r="U381" s="255">
        <v>28000.0</v>
      </c>
      <c r="V381" s="255">
        <v>2.0</v>
      </c>
      <c r="W381" s="259">
        <v>45364.0</v>
      </c>
      <c r="X381" s="260" t="s">
        <v>2246</v>
      </c>
      <c r="Y381" s="259">
        <v>45395.0</v>
      </c>
      <c r="AC381" s="255">
        <v>11900.0</v>
      </c>
      <c r="AD381" s="258" t="s">
        <v>5032</v>
      </c>
      <c r="AE381" s="255" t="s">
        <v>461</v>
      </c>
      <c r="AF381" s="255" t="s">
        <v>2208</v>
      </c>
      <c r="AG381" s="256"/>
    </row>
    <row r="382">
      <c r="A382" s="257">
        <v>45365.56300069444</v>
      </c>
      <c r="B382" s="259">
        <v>45365.0</v>
      </c>
      <c r="F382" s="255" t="s">
        <v>5033</v>
      </c>
      <c r="G382" s="255" t="s">
        <v>5034</v>
      </c>
      <c r="H382" s="260" t="s">
        <v>5035</v>
      </c>
      <c r="M382" s="255">
        <v>5000.0</v>
      </c>
      <c r="P382" s="255">
        <v>3450.0</v>
      </c>
      <c r="Q382" s="255" t="s">
        <v>2207</v>
      </c>
      <c r="R382" s="255" t="s">
        <v>2207</v>
      </c>
      <c r="T382" s="255">
        <v>140000.0</v>
      </c>
      <c r="U382" s="255">
        <v>18000.0</v>
      </c>
      <c r="V382" s="255">
        <v>2.0</v>
      </c>
      <c r="W382" s="259">
        <v>45365.0</v>
      </c>
      <c r="X382" s="260" t="s">
        <v>2221</v>
      </c>
      <c r="Y382" s="259">
        <v>45369.0</v>
      </c>
      <c r="AB382" s="255">
        <v>690.0</v>
      </c>
      <c r="AD382" s="258" t="s">
        <v>5036</v>
      </c>
      <c r="AE382" s="255" t="s">
        <v>198</v>
      </c>
      <c r="AF382" s="255" t="s">
        <v>2208</v>
      </c>
      <c r="AG382" s="256"/>
    </row>
    <row r="383">
      <c r="A383" s="257">
        <v>45367.381645</v>
      </c>
      <c r="B383" s="259">
        <v>45367.0</v>
      </c>
      <c r="F383" s="255" t="s">
        <v>5037</v>
      </c>
      <c r="G383" s="255" t="s">
        <v>5038</v>
      </c>
      <c r="H383" s="255">
        <v>8.9201160088E10</v>
      </c>
      <c r="Q383" s="255" t="s">
        <v>4887</v>
      </c>
      <c r="R383" s="255" t="s">
        <v>4887</v>
      </c>
      <c r="T383" s="255">
        <v>140000.0</v>
      </c>
      <c r="U383" s="255">
        <v>14000.0</v>
      </c>
      <c r="V383" s="255">
        <v>2.0</v>
      </c>
      <c r="W383" s="259">
        <v>45367.0</v>
      </c>
      <c r="X383" s="260" t="s">
        <v>2330</v>
      </c>
      <c r="Y383" s="259">
        <v>45398.0</v>
      </c>
      <c r="AC383" s="255">
        <v>16000.0</v>
      </c>
      <c r="AD383" s="258" t="s">
        <v>5039</v>
      </c>
      <c r="AF383" s="255" t="s">
        <v>2208</v>
      </c>
      <c r="AG383" s="256"/>
    </row>
    <row r="384">
      <c r="A384" s="257">
        <v>45370.44191439815</v>
      </c>
      <c r="B384" s="259">
        <v>45370.0</v>
      </c>
      <c r="F384" s="255" t="s">
        <v>5040</v>
      </c>
      <c r="G384" s="255" t="s">
        <v>5041</v>
      </c>
      <c r="H384" s="255" t="s">
        <v>5040</v>
      </c>
      <c r="M384" s="255">
        <v>5000.0</v>
      </c>
      <c r="P384" s="255">
        <v>5000.0</v>
      </c>
      <c r="Q384" s="255" t="s">
        <v>5041</v>
      </c>
      <c r="R384" s="255" t="s">
        <v>5041</v>
      </c>
      <c r="T384" s="255">
        <v>140000.0</v>
      </c>
      <c r="U384" s="255">
        <v>25200.0</v>
      </c>
      <c r="V384" s="255">
        <v>2.0</v>
      </c>
      <c r="W384" s="259">
        <v>45370.0</v>
      </c>
      <c r="X384" s="260" t="s">
        <v>2265</v>
      </c>
      <c r="Y384" s="259">
        <v>45375.0</v>
      </c>
      <c r="AA384" s="255" t="s">
        <v>1395</v>
      </c>
      <c r="AB384" s="255">
        <v>690.0</v>
      </c>
      <c r="AD384" s="258" t="s">
        <v>5042</v>
      </c>
      <c r="AE384" s="255" t="s">
        <v>92</v>
      </c>
      <c r="AF384" s="255" t="s">
        <v>2208</v>
      </c>
      <c r="AG384" s="256"/>
    </row>
    <row r="385">
      <c r="A385" s="257">
        <v>45373.66142186343</v>
      </c>
      <c r="B385" s="259">
        <v>45373.0</v>
      </c>
      <c r="F385" s="255" t="s">
        <v>5043</v>
      </c>
      <c r="G385" s="255" t="s">
        <v>5044</v>
      </c>
      <c r="H385" s="255" t="s">
        <v>5045</v>
      </c>
      <c r="M385" s="255">
        <v>5000.0</v>
      </c>
      <c r="P385" s="255">
        <v>8900.0</v>
      </c>
      <c r="Q385" s="255" t="s">
        <v>5044</v>
      </c>
      <c r="R385" s="255" t="s">
        <v>5044</v>
      </c>
      <c r="T385" s="255">
        <v>140000.0</v>
      </c>
      <c r="U385" s="255">
        <v>22000.0</v>
      </c>
      <c r="V385" s="255">
        <v>2.0</v>
      </c>
      <c r="W385" s="259">
        <v>45373.0</v>
      </c>
      <c r="X385" s="260" t="s">
        <v>2215</v>
      </c>
      <c r="Y385" s="259">
        <v>45394.0</v>
      </c>
      <c r="AB385" s="255">
        <v>423.0</v>
      </c>
      <c r="AD385" s="258" t="s">
        <v>5046</v>
      </c>
      <c r="AE385" s="255" t="s">
        <v>32</v>
      </c>
      <c r="AF385" s="255" t="s">
        <v>2208</v>
      </c>
      <c r="AG385" s="256"/>
    </row>
    <row r="386">
      <c r="A386" s="257">
        <v>45373.82319835648</v>
      </c>
      <c r="B386" s="259">
        <v>45373.0</v>
      </c>
      <c r="F386" s="255" t="s">
        <v>5047</v>
      </c>
      <c r="G386" s="255" t="s">
        <v>5048</v>
      </c>
      <c r="H386" s="255" t="s">
        <v>5049</v>
      </c>
      <c r="M386" s="255">
        <v>3000.0</v>
      </c>
      <c r="P386" s="255">
        <v>6500.0</v>
      </c>
      <c r="Q386" s="255" t="s">
        <v>5048</v>
      </c>
      <c r="R386" s="255" t="s">
        <v>5048</v>
      </c>
      <c r="T386" s="255">
        <v>70000.0</v>
      </c>
      <c r="U386" s="255">
        <v>24500.0</v>
      </c>
      <c r="V386" s="255">
        <v>3.0</v>
      </c>
      <c r="W386" s="259">
        <v>45373.0</v>
      </c>
      <c r="X386" s="260" t="s">
        <v>2246</v>
      </c>
      <c r="Y386" s="259">
        <v>45404.0</v>
      </c>
      <c r="AC386" s="255">
        <v>6500.0</v>
      </c>
      <c r="AD386" s="258" t="s">
        <v>5050</v>
      </c>
      <c r="AE386" s="255" t="s">
        <v>56</v>
      </c>
      <c r="AF386" s="255" t="s">
        <v>2208</v>
      </c>
      <c r="AG386" s="256"/>
    </row>
    <row r="387">
      <c r="A387" s="257">
        <v>45378.48237681713</v>
      </c>
      <c r="B387" s="259">
        <v>45378.0</v>
      </c>
      <c r="F387" s="255" t="s">
        <v>5051</v>
      </c>
      <c r="G387" s="255" t="s">
        <v>4767</v>
      </c>
      <c r="H387" s="255">
        <v>8.9854565557E10</v>
      </c>
      <c r="I387" s="255">
        <v>8.9269407179E10</v>
      </c>
      <c r="M387" s="255" t="s">
        <v>843</v>
      </c>
      <c r="P387" s="255">
        <v>3900.0</v>
      </c>
      <c r="Q387" s="255" t="s">
        <v>4767</v>
      </c>
      <c r="R387" s="255" t="s">
        <v>4767</v>
      </c>
      <c r="T387" s="255">
        <v>80000.0</v>
      </c>
      <c r="U387" s="255">
        <v>28000.0</v>
      </c>
      <c r="V387" s="255">
        <v>2.0</v>
      </c>
      <c r="W387" s="259">
        <v>45378.0</v>
      </c>
      <c r="X387" s="260" t="s">
        <v>2221</v>
      </c>
      <c r="Y387" s="259">
        <v>45388.0</v>
      </c>
      <c r="AB387" s="255">
        <v>390.0</v>
      </c>
      <c r="AD387" s="258" t="s">
        <v>5052</v>
      </c>
      <c r="AE387" s="255" t="s">
        <v>185</v>
      </c>
      <c r="AF387" s="255" t="s">
        <v>2208</v>
      </c>
      <c r="AG387" s="256"/>
    </row>
    <row r="388">
      <c r="A388" s="257">
        <v>45378.616732407405</v>
      </c>
      <c r="B388" s="259">
        <v>45378.0</v>
      </c>
      <c r="F388" s="255" t="s">
        <v>5051</v>
      </c>
      <c r="G388" s="255" t="s">
        <v>5053</v>
      </c>
      <c r="H388" s="255" t="s">
        <v>5054</v>
      </c>
      <c r="M388" s="255">
        <v>15000.0</v>
      </c>
      <c r="P388" s="255">
        <v>2970.0</v>
      </c>
      <c r="Q388" s="255" t="s">
        <v>2207</v>
      </c>
      <c r="R388" s="255" t="s">
        <v>2207</v>
      </c>
      <c r="T388" s="255">
        <v>140000.0</v>
      </c>
      <c r="U388" s="255">
        <v>17900.0</v>
      </c>
      <c r="V388" s="255">
        <v>2.0</v>
      </c>
      <c r="W388" s="259">
        <v>45378.0</v>
      </c>
      <c r="X388" s="260" t="s">
        <v>2246</v>
      </c>
      <c r="Y388" s="259">
        <v>45381.0</v>
      </c>
      <c r="AB388" s="255">
        <v>990.0</v>
      </c>
      <c r="AD388" s="258" t="s">
        <v>5055</v>
      </c>
      <c r="AE388" s="255" t="s">
        <v>468</v>
      </c>
      <c r="AF388" s="255" t="s">
        <v>2208</v>
      </c>
      <c r="AG388" s="256"/>
    </row>
    <row r="389">
      <c r="A389" s="257">
        <v>45378.61921912037</v>
      </c>
      <c r="B389" s="259">
        <v>45378.0</v>
      </c>
      <c r="F389" s="255" t="s">
        <v>5056</v>
      </c>
      <c r="G389" s="255" t="s">
        <v>5053</v>
      </c>
      <c r="H389" s="255" t="s">
        <v>5054</v>
      </c>
      <c r="M389" s="255">
        <v>150000.0</v>
      </c>
      <c r="P389" s="255">
        <v>2970.0</v>
      </c>
      <c r="Q389" s="255" t="s">
        <v>2207</v>
      </c>
      <c r="R389" s="255" t="s">
        <v>2207</v>
      </c>
      <c r="T389" s="255">
        <v>140000.0</v>
      </c>
      <c r="U389" s="255">
        <v>23000.0</v>
      </c>
      <c r="V389" s="255">
        <v>1.0</v>
      </c>
      <c r="W389" s="259">
        <v>45378.0</v>
      </c>
      <c r="X389" s="260" t="s">
        <v>2246</v>
      </c>
      <c r="Y389" s="259">
        <v>45381.0</v>
      </c>
      <c r="AB389" s="255">
        <v>9900.0</v>
      </c>
      <c r="AD389" s="258" t="s">
        <v>5057</v>
      </c>
      <c r="AE389" s="255" t="s">
        <v>472</v>
      </c>
      <c r="AF389" s="255" t="s">
        <v>2208</v>
      </c>
      <c r="AG389" s="256"/>
    </row>
    <row r="390">
      <c r="A390" s="257">
        <v>45379.511004155094</v>
      </c>
      <c r="B390" s="259">
        <v>45379.0</v>
      </c>
      <c r="F390" s="255" t="s">
        <v>5058</v>
      </c>
      <c r="G390" s="255" t="s">
        <v>5059</v>
      </c>
      <c r="H390" s="255">
        <v>8.9778684106E10</v>
      </c>
      <c r="M390" s="255" t="s">
        <v>985</v>
      </c>
      <c r="P390" s="255">
        <v>2750.0</v>
      </c>
      <c r="Q390" s="255" t="s">
        <v>5059</v>
      </c>
      <c r="R390" s="255" t="s">
        <v>5059</v>
      </c>
      <c r="T390" s="255">
        <v>140000.0</v>
      </c>
      <c r="U390" s="255">
        <v>32000.0</v>
      </c>
      <c r="V390" s="255">
        <v>2.0</v>
      </c>
      <c r="W390" s="259">
        <v>45379.0</v>
      </c>
      <c r="X390" s="260" t="s">
        <v>2221</v>
      </c>
      <c r="Y390" s="259">
        <v>45384.0</v>
      </c>
      <c r="AB390" s="255">
        <v>550.0</v>
      </c>
      <c r="AD390" s="258" t="s">
        <v>5060</v>
      </c>
      <c r="AE390" s="255" t="s">
        <v>155</v>
      </c>
      <c r="AF390" s="255" t="s">
        <v>2208</v>
      </c>
      <c r="AG390" s="256"/>
    </row>
    <row r="391">
      <c r="A391" s="257">
        <v>45384.97614184028</v>
      </c>
      <c r="B391" s="259">
        <v>45384.0</v>
      </c>
      <c r="F391" s="255" t="s">
        <v>5061</v>
      </c>
      <c r="M391" s="255" t="s">
        <v>1415</v>
      </c>
      <c r="P391" s="255">
        <v>5000.0</v>
      </c>
      <c r="Q391" s="255" t="s">
        <v>2207</v>
      </c>
      <c r="R391" s="255" t="s">
        <v>2207</v>
      </c>
      <c r="T391" s="255">
        <v>70000.0</v>
      </c>
      <c r="U391" s="255">
        <v>8000.0</v>
      </c>
      <c r="V391" s="255">
        <v>2.0</v>
      </c>
      <c r="W391" s="259">
        <v>45384.0</v>
      </c>
      <c r="X391" s="260" t="s">
        <v>3213</v>
      </c>
      <c r="Y391" s="259">
        <v>45414.0</v>
      </c>
      <c r="AC391" s="255">
        <v>7500.0</v>
      </c>
      <c r="AD391" s="258" t="s">
        <v>5062</v>
      </c>
      <c r="AE391" s="255" t="s">
        <v>279</v>
      </c>
      <c r="AF391" s="255" t="s">
        <v>2208</v>
      </c>
      <c r="AG391" s="256"/>
    </row>
    <row r="392">
      <c r="A392" s="257">
        <v>45385.01150685185</v>
      </c>
      <c r="B392" s="259">
        <v>45385.0</v>
      </c>
      <c r="F392" s="255" t="s">
        <v>5063</v>
      </c>
      <c r="G392" s="255" t="s">
        <v>5064</v>
      </c>
      <c r="M392" s="255">
        <v>3000.0</v>
      </c>
      <c r="P392" s="255">
        <v>5100.0</v>
      </c>
      <c r="Q392" s="255" t="s">
        <v>5064</v>
      </c>
      <c r="R392" s="255" t="s">
        <v>5064</v>
      </c>
      <c r="T392" s="255">
        <v>70000.0</v>
      </c>
      <c r="U392" s="255">
        <v>22000.0</v>
      </c>
      <c r="V392" s="255">
        <v>2.0</v>
      </c>
      <c r="W392" s="259">
        <v>45385.0</v>
      </c>
      <c r="X392" s="260" t="s">
        <v>2265</v>
      </c>
      <c r="Y392" s="259">
        <v>45402.0</v>
      </c>
      <c r="AB392" s="255">
        <v>300.0</v>
      </c>
      <c r="AD392" s="258" t="s">
        <v>5065</v>
      </c>
      <c r="AE392" s="255" t="s">
        <v>68</v>
      </c>
      <c r="AF392" s="255" t="s">
        <v>2208</v>
      </c>
      <c r="AG392" s="256"/>
    </row>
    <row r="393">
      <c r="A393" s="257">
        <v>45385.01469519676</v>
      </c>
      <c r="B393" s="259">
        <v>45385.0</v>
      </c>
      <c r="F393" s="255" t="s">
        <v>5066</v>
      </c>
      <c r="H393" s="255" t="s">
        <v>5067</v>
      </c>
      <c r="M393" s="255">
        <v>5000.0</v>
      </c>
      <c r="P393" s="255">
        <v>3160.0</v>
      </c>
      <c r="Q393" s="255" t="s">
        <v>2207</v>
      </c>
      <c r="R393" s="255" t="s">
        <v>2207</v>
      </c>
      <c r="T393" s="255">
        <v>180000.0</v>
      </c>
      <c r="U393" s="255">
        <v>8950.0</v>
      </c>
      <c r="V393" s="255">
        <v>2.0</v>
      </c>
      <c r="W393" s="259">
        <v>45385.0</v>
      </c>
      <c r="X393" s="260" t="s">
        <v>2324</v>
      </c>
      <c r="Y393" s="259">
        <v>45389.0</v>
      </c>
      <c r="AB393" s="255">
        <v>790.0</v>
      </c>
      <c r="AD393" s="258" t="s">
        <v>5068</v>
      </c>
      <c r="AE393" s="255" t="s">
        <v>5069</v>
      </c>
      <c r="AF393" s="255" t="s">
        <v>2208</v>
      </c>
      <c r="AG393" s="256"/>
    </row>
    <row r="394">
      <c r="A394" s="257">
        <v>45385.911225034724</v>
      </c>
      <c r="B394" s="259">
        <v>45386.0</v>
      </c>
      <c r="F394" s="255" t="s">
        <v>4690</v>
      </c>
      <c r="M394" s="255">
        <v>3000.0</v>
      </c>
      <c r="P394" s="255">
        <v>5000.0</v>
      </c>
      <c r="T394" s="255">
        <v>55000.0</v>
      </c>
      <c r="U394" s="255">
        <v>24000.0</v>
      </c>
      <c r="V394" s="255">
        <v>2.0</v>
      </c>
      <c r="W394" s="259">
        <v>45386.0</v>
      </c>
      <c r="X394" s="260" t="s">
        <v>2265</v>
      </c>
      <c r="Y394" s="259">
        <v>45416.0</v>
      </c>
      <c r="AC394" s="255">
        <v>5000.0</v>
      </c>
      <c r="AD394" s="258" t="s">
        <v>5070</v>
      </c>
      <c r="AE394" s="255" t="s">
        <v>26</v>
      </c>
      <c r="AF394" s="255" t="s">
        <v>2208</v>
      </c>
      <c r="AG394" s="256"/>
    </row>
    <row r="395">
      <c r="A395" s="257">
        <v>45387.494804456015</v>
      </c>
      <c r="B395" s="259">
        <v>45387.0</v>
      </c>
      <c r="F395" s="255" t="s">
        <v>5071</v>
      </c>
      <c r="G395" s="255" t="s">
        <v>5072</v>
      </c>
      <c r="M395" s="255">
        <v>8000.0</v>
      </c>
      <c r="P395" s="255">
        <v>6700.0</v>
      </c>
      <c r="Q395" s="255" t="s">
        <v>5072</v>
      </c>
      <c r="R395" s="255" t="s">
        <v>5072</v>
      </c>
      <c r="T395" s="255">
        <v>70000.0</v>
      </c>
      <c r="U395" s="255">
        <v>8000.0</v>
      </c>
      <c r="V395" s="255">
        <v>2.0</v>
      </c>
      <c r="W395" s="259">
        <v>45387.0</v>
      </c>
      <c r="X395" s="260" t="s">
        <v>2231</v>
      </c>
      <c r="Y395" s="259">
        <v>45478.0</v>
      </c>
      <c r="AC395" s="255">
        <v>6700.0</v>
      </c>
      <c r="AD395" s="258" t="s">
        <v>5073</v>
      </c>
      <c r="AE395" s="255" t="s">
        <v>279</v>
      </c>
      <c r="AF395" s="255" t="s">
        <v>2208</v>
      </c>
      <c r="AG395" s="256"/>
    </row>
    <row r="396">
      <c r="A396" s="257">
        <v>45387.49825431713</v>
      </c>
      <c r="B396" s="259">
        <v>45387.0</v>
      </c>
      <c r="G396" s="255" t="s">
        <v>3801</v>
      </c>
      <c r="M396" s="255">
        <v>5000.0</v>
      </c>
      <c r="P396" s="255">
        <v>2600.0</v>
      </c>
      <c r="Q396" s="255" t="s">
        <v>4651</v>
      </c>
      <c r="R396" s="255" t="s">
        <v>4651</v>
      </c>
      <c r="T396" s="255">
        <v>140000.0</v>
      </c>
      <c r="U396" s="255">
        <v>25000.0</v>
      </c>
      <c r="V396" s="255">
        <v>2.0</v>
      </c>
      <c r="W396" s="259">
        <v>45387.0</v>
      </c>
      <c r="X396" s="260" t="s">
        <v>2221</v>
      </c>
      <c r="Y396" s="259">
        <v>45391.0</v>
      </c>
      <c r="AA396" s="255" t="s">
        <v>1423</v>
      </c>
      <c r="AB396" s="255">
        <v>650.0</v>
      </c>
      <c r="AD396" s="258" t="s">
        <v>5074</v>
      </c>
      <c r="AE396" s="255" t="s">
        <v>92</v>
      </c>
      <c r="AF396" s="255" t="s">
        <v>2208</v>
      </c>
      <c r="AG396" s="256"/>
    </row>
    <row r="397">
      <c r="A397" s="257">
        <v>45389.42879655093</v>
      </c>
      <c r="B397" s="259">
        <v>45389.0</v>
      </c>
      <c r="F397" s="255" t="s">
        <v>5075</v>
      </c>
      <c r="G397" s="255" t="s">
        <v>3695</v>
      </c>
      <c r="H397" s="260" t="s">
        <v>5076</v>
      </c>
      <c r="M397" s="255">
        <v>20000.0</v>
      </c>
      <c r="P397" s="255">
        <v>8340.0</v>
      </c>
      <c r="Q397" s="255" t="s">
        <v>3695</v>
      </c>
      <c r="R397" s="255" t="s">
        <v>3695</v>
      </c>
      <c r="T397" s="255">
        <v>190000.0</v>
      </c>
      <c r="U397" s="255">
        <v>49000.0</v>
      </c>
      <c r="V397" s="255">
        <v>0.0</v>
      </c>
      <c r="W397" s="259">
        <v>45389.0</v>
      </c>
      <c r="X397" s="260" t="s">
        <v>2246</v>
      </c>
      <c r="Y397" s="259">
        <v>45394.0</v>
      </c>
      <c r="AB397" s="255">
        <v>1390.0</v>
      </c>
      <c r="AD397" s="258" t="s">
        <v>5077</v>
      </c>
      <c r="AE397" s="255" t="s">
        <v>321</v>
      </c>
      <c r="AF397" s="255" t="s">
        <v>2208</v>
      </c>
      <c r="AG397" s="256"/>
    </row>
    <row r="398">
      <c r="A398" s="257">
        <v>45390.04562710648</v>
      </c>
      <c r="B398" s="259">
        <v>45390.0</v>
      </c>
      <c r="F398" s="255" t="s">
        <v>5078</v>
      </c>
      <c r="G398" s="255" t="s">
        <v>5079</v>
      </c>
      <c r="H398" s="255" t="s">
        <v>5080</v>
      </c>
      <c r="M398" s="255" t="s">
        <v>600</v>
      </c>
      <c r="P398" s="255">
        <v>1980.0</v>
      </c>
      <c r="Q398" s="255" t="s">
        <v>2207</v>
      </c>
      <c r="R398" s="255" t="s">
        <v>2207</v>
      </c>
      <c r="T398" s="255">
        <v>140000.0</v>
      </c>
      <c r="U398" s="255">
        <v>23000.0</v>
      </c>
      <c r="V398" s="255">
        <v>1.0</v>
      </c>
      <c r="W398" s="259">
        <v>45390.0</v>
      </c>
      <c r="X398" s="260" t="s">
        <v>2330</v>
      </c>
      <c r="Y398" s="259">
        <v>45392.0</v>
      </c>
      <c r="AB398" s="255">
        <v>990.0</v>
      </c>
      <c r="AD398" s="258" t="s">
        <v>5081</v>
      </c>
      <c r="AE398" s="255" t="s">
        <v>472</v>
      </c>
      <c r="AF398" s="255" t="s">
        <v>2208</v>
      </c>
      <c r="AG398" s="256"/>
    </row>
    <row r="399">
      <c r="A399" s="257">
        <v>45391.03329310185</v>
      </c>
      <c r="B399" s="259">
        <v>45390.0</v>
      </c>
      <c r="F399" s="255" t="s">
        <v>5082</v>
      </c>
      <c r="G399" s="255" t="s">
        <v>5083</v>
      </c>
      <c r="H399" s="255" t="s">
        <v>5084</v>
      </c>
      <c r="M399" s="255" t="s">
        <v>600</v>
      </c>
      <c r="P399" s="255">
        <v>3959.0</v>
      </c>
      <c r="Q399" s="255" t="s">
        <v>2207</v>
      </c>
      <c r="R399" s="255" t="s">
        <v>2207</v>
      </c>
      <c r="T399" s="255">
        <v>180000.0</v>
      </c>
      <c r="U399" s="255">
        <v>9700.0</v>
      </c>
      <c r="V399" s="255">
        <v>2.0</v>
      </c>
      <c r="W399" s="259">
        <v>45390.0</v>
      </c>
      <c r="X399" s="260" t="s">
        <v>2209</v>
      </c>
      <c r="Y399" s="259">
        <v>45395.0</v>
      </c>
      <c r="AB399" s="255">
        <v>790.0</v>
      </c>
      <c r="AD399" s="258" t="s">
        <v>5085</v>
      </c>
      <c r="AE399" s="255" t="s">
        <v>948</v>
      </c>
      <c r="AF399" s="255" t="s">
        <v>2208</v>
      </c>
      <c r="AG399" s="256"/>
    </row>
    <row r="400">
      <c r="A400" s="257">
        <v>45391.036859733795</v>
      </c>
      <c r="B400" s="259">
        <v>45390.0</v>
      </c>
      <c r="F400" s="255" t="s">
        <v>5082</v>
      </c>
      <c r="G400" s="255" t="s">
        <v>5086</v>
      </c>
      <c r="H400" s="255">
        <v>7.9000801842E10</v>
      </c>
      <c r="M400" s="255" t="s">
        <v>600</v>
      </c>
      <c r="P400" s="255">
        <v>1745.0</v>
      </c>
      <c r="Q400" s="255" t="s">
        <v>2207</v>
      </c>
      <c r="R400" s="255" t="s">
        <v>2207</v>
      </c>
      <c r="T400" s="255">
        <v>70000.0</v>
      </c>
      <c r="U400" s="255">
        <v>25500.0</v>
      </c>
      <c r="V400" s="255">
        <v>2.0</v>
      </c>
      <c r="W400" s="259">
        <v>45390.0</v>
      </c>
      <c r="X400" s="260" t="s">
        <v>2209</v>
      </c>
      <c r="Y400" s="259">
        <v>45395.0</v>
      </c>
      <c r="AB400" s="255">
        <v>349.0</v>
      </c>
      <c r="AD400" s="258" t="s">
        <v>5087</v>
      </c>
      <c r="AE400" s="255" t="s">
        <v>151</v>
      </c>
      <c r="AF400" s="255" t="s">
        <v>2320</v>
      </c>
      <c r="AG400" s="256"/>
    </row>
    <row r="401">
      <c r="A401" s="257">
        <v>45391.038983032406</v>
      </c>
      <c r="B401" s="259">
        <v>45390.0</v>
      </c>
      <c r="F401" s="255" t="s">
        <v>5082</v>
      </c>
      <c r="G401" s="255" t="s">
        <v>5086</v>
      </c>
      <c r="H401" s="255">
        <v>7.9505563498E10</v>
      </c>
      <c r="M401" s="255" t="s">
        <v>515</v>
      </c>
      <c r="P401" s="255">
        <v>1745.0</v>
      </c>
      <c r="Q401" s="255" t="s">
        <v>2207</v>
      </c>
      <c r="R401" s="255" t="s">
        <v>2207</v>
      </c>
      <c r="T401" s="255">
        <v>70000.0</v>
      </c>
      <c r="U401" s="255">
        <v>20338.0</v>
      </c>
      <c r="V401" s="255">
        <v>1.0</v>
      </c>
      <c r="W401" s="259">
        <v>45390.0</v>
      </c>
      <c r="X401" s="260" t="s">
        <v>2209</v>
      </c>
      <c r="Y401" s="259">
        <v>45395.0</v>
      </c>
      <c r="AB401" s="255">
        <v>349.0</v>
      </c>
      <c r="AD401" s="258" t="s">
        <v>5088</v>
      </c>
      <c r="AE401" s="255" t="s">
        <v>125</v>
      </c>
      <c r="AF401" s="255" t="s">
        <v>2242</v>
      </c>
      <c r="AG401" s="256"/>
    </row>
    <row r="402">
      <c r="A402" s="257">
        <v>45391.67766743056</v>
      </c>
      <c r="B402" s="259">
        <v>45391.0</v>
      </c>
      <c r="F402" s="255" t="s">
        <v>5089</v>
      </c>
      <c r="G402" s="255" t="s">
        <v>5090</v>
      </c>
      <c r="M402" s="255" t="s">
        <v>515</v>
      </c>
      <c r="P402" s="255">
        <v>4740.0</v>
      </c>
      <c r="Q402" s="255" t="s">
        <v>2207</v>
      </c>
      <c r="R402" s="255" t="s">
        <v>2207</v>
      </c>
      <c r="T402" s="255">
        <v>180000.0</v>
      </c>
      <c r="U402" s="255">
        <v>9000.0</v>
      </c>
      <c r="V402" s="255">
        <v>2.0</v>
      </c>
      <c r="W402" s="259">
        <v>45391.0</v>
      </c>
      <c r="X402" s="260" t="s">
        <v>2215</v>
      </c>
      <c r="Y402" s="259">
        <v>45397.0</v>
      </c>
      <c r="AB402" s="255">
        <v>790.0</v>
      </c>
      <c r="AD402" s="258" t="s">
        <v>5091</v>
      </c>
      <c r="AE402" s="255" t="s">
        <v>5092</v>
      </c>
      <c r="AF402" s="255" t="s">
        <v>2208</v>
      </c>
      <c r="AG402" s="256"/>
    </row>
    <row r="403">
      <c r="A403" s="257">
        <v>45393.582373136574</v>
      </c>
      <c r="B403" s="259">
        <v>45394.0</v>
      </c>
      <c r="F403" s="255" t="s">
        <v>2760</v>
      </c>
      <c r="G403" s="255" t="s">
        <v>5093</v>
      </c>
      <c r="M403" s="255">
        <v>3000.0</v>
      </c>
      <c r="P403" s="255">
        <v>4725.0</v>
      </c>
      <c r="Q403" s="255" t="s">
        <v>5094</v>
      </c>
      <c r="R403" s="255" t="s">
        <v>5094</v>
      </c>
      <c r="T403" s="255">
        <v>70000.0</v>
      </c>
      <c r="V403" s="255">
        <v>2.0</v>
      </c>
      <c r="W403" s="259">
        <v>45394.0</v>
      </c>
      <c r="X403" s="260" t="s">
        <v>2262</v>
      </c>
      <c r="Y403" s="259">
        <v>45407.0</v>
      </c>
      <c r="AB403" s="255">
        <v>315.0</v>
      </c>
      <c r="AD403" s="258" t="s">
        <v>5095</v>
      </c>
      <c r="AE403" s="255" t="s">
        <v>159</v>
      </c>
      <c r="AF403" s="255" t="s">
        <v>2208</v>
      </c>
      <c r="AG403" s="256"/>
    </row>
    <row r="404">
      <c r="A404" s="257">
        <v>45397.499899745366</v>
      </c>
      <c r="B404" s="259">
        <v>45397.0</v>
      </c>
      <c r="F404" s="255" t="s">
        <v>5096</v>
      </c>
      <c r="H404" s="255">
        <v>8.9152244469E10</v>
      </c>
      <c r="M404" s="255">
        <v>15000.0</v>
      </c>
      <c r="P404" s="255">
        <v>11900.0</v>
      </c>
      <c r="T404" s="255">
        <v>140000.0</v>
      </c>
      <c r="U404" s="255">
        <v>23000.0</v>
      </c>
      <c r="V404" s="255">
        <v>1.0</v>
      </c>
      <c r="W404" s="259">
        <v>45397.0</v>
      </c>
      <c r="X404" s="260" t="s">
        <v>2235</v>
      </c>
      <c r="Y404" s="259">
        <v>45458.0</v>
      </c>
      <c r="AC404" s="255">
        <v>11900.0</v>
      </c>
      <c r="AD404" s="258" t="s">
        <v>5097</v>
      </c>
      <c r="AE404" s="255" t="s">
        <v>472</v>
      </c>
      <c r="AF404" s="255" t="s">
        <v>2208</v>
      </c>
      <c r="AG404" s="256"/>
    </row>
    <row r="405">
      <c r="A405" s="257">
        <v>45400.40653928241</v>
      </c>
      <c r="B405" s="259">
        <v>45400.0</v>
      </c>
      <c r="F405" s="255" t="s">
        <v>5098</v>
      </c>
      <c r="G405" s="255" t="s">
        <v>5099</v>
      </c>
      <c r="H405" s="260" t="s">
        <v>5100</v>
      </c>
      <c r="M405" s="255">
        <v>20000.0</v>
      </c>
      <c r="P405" s="255">
        <v>3200.0</v>
      </c>
      <c r="Q405" s="255" t="s">
        <v>2207</v>
      </c>
      <c r="R405" s="255" t="s">
        <v>2207</v>
      </c>
      <c r="T405" s="255">
        <v>200000.0</v>
      </c>
      <c r="U405" s="255">
        <v>30000.0</v>
      </c>
      <c r="V405" s="255">
        <v>0.0</v>
      </c>
      <c r="W405" s="259">
        <v>45400.0</v>
      </c>
      <c r="X405" s="260" t="s">
        <v>2324</v>
      </c>
      <c r="Y405" s="259">
        <v>45402.0</v>
      </c>
      <c r="AB405" s="255">
        <v>1600.0</v>
      </c>
      <c r="AD405" s="258" t="s">
        <v>5101</v>
      </c>
      <c r="AE405" s="255" t="s">
        <v>483</v>
      </c>
      <c r="AF405" s="255" t="s">
        <v>2208</v>
      </c>
      <c r="AG405" s="256"/>
    </row>
    <row r="406">
      <c r="A406" s="257">
        <v>45401.643401354166</v>
      </c>
      <c r="B406" s="259">
        <v>45401.0</v>
      </c>
      <c r="F406" s="260" t="s">
        <v>5102</v>
      </c>
      <c r="G406" s="255" t="s">
        <v>3660</v>
      </c>
      <c r="M406" s="255" t="s">
        <v>985</v>
      </c>
      <c r="P406" s="255">
        <v>2700.0</v>
      </c>
      <c r="Q406" s="255" t="s">
        <v>2207</v>
      </c>
      <c r="R406" s="255" t="s">
        <v>2207</v>
      </c>
      <c r="T406" s="255">
        <v>180000.0</v>
      </c>
      <c r="U406" s="255">
        <v>10500.0</v>
      </c>
      <c r="V406" s="255">
        <v>3.0</v>
      </c>
      <c r="W406" s="259">
        <v>45401.0</v>
      </c>
      <c r="X406" s="260" t="s">
        <v>2246</v>
      </c>
      <c r="Y406" s="259">
        <v>45404.0</v>
      </c>
      <c r="AB406" s="255">
        <v>900.0</v>
      </c>
      <c r="AD406" s="258" t="s">
        <v>5103</v>
      </c>
      <c r="AE406" s="255" t="s">
        <v>948</v>
      </c>
      <c r="AF406" s="255" t="s">
        <v>2279</v>
      </c>
      <c r="AG406" s="256"/>
    </row>
    <row r="407">
      <c r="A407" s="257">
        <v>45401.99133672453</v>
      </c>
      <c r="B407" s="259">
        <v>45402.0</v>
      </c>
      <c r="F407" s="255" t="s">
        <v>5104</v>
      </c>
      <c r="G407" s="255" t="s">
        <v>3985</v>
      </c>
      <c r="M407" s="255" t="s">
        <v>912</v>
      </c>
      <c r="P407" s="255">
        <v>8250.0</v>
      </c>
      <c r="Q407" s="255" t="s">
        <v>3985</v>
      </c>
      <c r="R407" s="255" t="s">
        <v>3985</v>
      </c>
      <c r="T407" s="255">
        <v>140000.0</v>
      </c>
      <c r="U407" s="255">
        <v>18000.0</v>
      </c>
      <c r="V407" s="255">
        <v>2.0</v>
      </c>
      <c r="W407" s="259">
        <v>45402.0</v>
      </c>
      <c r="X407" s="260" t="s">
        <v>2324</v>
      </c>
      <c r="Y407" s="259">
        <v>45417.0</v>
      </c>
      <c r="AB407" s="255">
        <v>550.0</v>
      </c>
      <c r="AD407" s="258" t="s">
        <v>5105</v>
      </c>
      <c r="AE407" s="255" t="s">
        <v>198</v>
      </c>
      <c r="AF407" s="255" t="s">
        <v>2279</v>
      </c>
      <c r="AG407" s="256"/>
    </row>
    <row r="408">
      <c r="A408" s="257">
        <v>45402.50025824074</v>
      </c>
      <c r="B408" s="259">
        <v>45402.0</v>
      </c>
      <c r="G408" s="255" t="s">
        <v>5106</v>
      </c>
      <c r="H408" s="255" t="s">
        <v>5107</v>
      </c>
      <c r="M408" s="255">
        <v>3000.0</v>
      </c>
      <c r="P408" s="255">
        <v>8000.0</v>
      </c>
      <c r="Q408" s="255" t="s">
        <v>4887</v>
      </c>
      <c r="R408" s="255" t="s">
        <v>4651</v>
      </c>
      <c r="U408" s="255">
        <v>34500.0</v>
      </c>
      <c r="V408" s="255">
        <v>2.0</v>
      </c>
      <c r="W408" s="259">
        <v>45402.0</v>
      </c>
      <c r="X408" s="260" t="s">
        <v>2330</v>
      </c>
      <c r="Y408" s="259">
        <v>45406.0</v>
      </c>
      <c r="AB408" s="255">
        <v>200.0</v>
      </c>
      <c r="AD408" s="258" t="s">
        <v>5108</v>
      </c>
      <c r="AE408" s="255" t="s">
        <v>52</v>
      </c>
      <c r="AF408" s="255" t="s">
        <v>2320</v>
      </c>
      <c r="AG408" s="256"/>
    </row>
    <row r="409">
      <c r="A409" s="257">
        <v>45403.310442800925</v>
      </c>
      <c r="B409" s="259">
        <v>45403.0</v>
      </c>
      <c r="F409" s="255" t="s">
        <v>5109</v>
      </c>
      <c r="G409" s="255" t="s">
        <v>5110</v>
      </c>
      <c r="H409" s="255">
        <v>8.985385344E10</v>
      </c>
      <c r="M409" s="255">
        <v>3000.0</v>
      </c>
      <c r="P409" s="255">
        <v>2443.0</v>
      </c>
      <c r="Q409" s="255" t="s">
        <v>5110</v>
      </c>
      <c r="R409" s="255" t="s">
        <v>5110</v>
      </c>
      <c r="T409" s="255">
        <v>80000.0</v>
      </c>
      <c r="U409" s="255">
        <v>25000.0</v>
      </c>
      <c r="V409" s="255">
        <v>2.0</v>
      </c>
      <c r="W409" s="259">
        <v>45403.0</v>
      </c>
      <c r="X409" s="260" t="s">
        <v>2324</v>
      </c>
      <c r="Y409" s="259">
        <v>45410.0</v>
      </c>
      <c r="AB409" s="255">
        <v>349.0</v>
      </c>
      <c r="AD409" s="258" t="s">
        <v>5111</v>
      </c>
      <c r="AE409" s="255" t="s">
        <v>73</v>
      </c>
      <c r="AF409" s="255" t="s">
        <v>2208</v>
      </c>
      <c r="AG409" s="256"/>
    </row>
    <row r="410">
      <c r="A410" s="257">
        <v>45405.63969127314</v>
      </c>
      <c r="B410" s="259">
        <v>45405.0</v>
      </c>
      <c r="H410" s="255" t="s">
        <v>2426</v>
      </c>
      <c r="M410" s="255" t="s">
        <v>430</v>
      </c>
      <c r="P410" s="255">
        <v>7000.0</v>
      </c>
      <c r="Q410" s="255" t="s">
        <v>2207</v>
      </c>
      <c r="R410" s="255" t="s">
        <v>2207</v>
      </c>
      <c r="T410" s="255">
        <v>140000.0</v>
      </c>
      <c r="U410" s="255">
        <v>17800.0</v>
      </c>
      <c r="V410" s="255">
        <v>2.0</v>
      </c>
      <c r="W410" s="259">
        <v>45405.0</v>
      </c>
      <c r="X410" s="260" t="s">
        <v>2215</v>
      </c>
      <c r="Y410" s="259">
        <v>45412.0</v>
      </c>
      <c r="AB410" s="255">
        <v>1000.0</v>
      </c>
      <c r="AD410" s="258" t="s">
        <v>5112</v>
      </c>
      <c r="AE410" s="255" t="s">
        <v>423</v>
      </c>
      <c r="AF410" s="255" t="s">
        <v>2208</v>
      </c>
      <c r="AG410" s="256"/>
    </row>
    <row r="411">
      <c r="A411" s="257">
        <v>45406.684235347224</v>
      </c>
      <c r="B411" s="259">
        <v>45406.0</v>
      </c>
      <c r="G411" s="255" t="s">
        <v>5113</v>
      </c>
      <c r="M411" s="255" t="s">
        <v>600</v>
      </c>
      <c r="P411" s="255">
        <v>6000.0</v>
      </c>
      <c r="Q411" s="255" t="s">
        <v>2207</v>
      </c>
      <c r="R411" s="255" t="s">
        <v>2207</v>
      </c>
      <c r="T411" s="255">
        <v>180000.0</v>
      </c>
      <c r="U411" s="255">
        <v>31000.0</v>
      </c>
      <c r="V411" s="255">
        <v>1.0</v>
      </c>
      <c r="W411" s="259">
        <v>45406.0</v>
      </c>
      <c r="X411" s="260" t="s">
        <v>2215</v>
      </c>
      <c r="Y411" s="259">
        <v>45410.0</v>
      </c>
      <c r="AB411" s="255">
        <v>1500.0</v>
      </c>
      <c r="AD411" s="258" t="s">
        <v>5114</v>
      </c>
      <c r="AE411" s="255" t="s">
        <v>483</v>
      </c>
      <c r="AF411" s="255" t="s">
        <v>2208</v>
      </c>
      <c r="AG411" s="256"/>
    </row>
    <row r="412">
      <c r="A412" s="257">
        <v>45407.54840703704</v>
      </c>
      <c r="B412" s="259">
        <v>45407.0</v>
      </c>
      <c r="C412" s="255" t="s">
        <v>4182</v>
      </c>
      <c r="D412" s="255" t="s">
        <v>4182</v>
      </c>
      <c r="F412" s="255" t="s">
        <v>5115</v>
      </c>
      <c r="G412" s="255" t="s">
        <v>5116</v>
      </c>
      <c r="M412" s="255" t="s">
        <v>1451</v>
      </c>
      <c r="P412" s="255" t="s">
        <v>5117</v>
      </c>
      <c r="Q412" s="255" t="s">
        <v>5118</v>
      </c>
      <c r="R412" s="255" t="s">
        <v>5118</v>
      </c>
      <c r="T412" s="255" t="s">
        <v>5119</v>
      </c>
      <c r="U412" s="255">
        <v>18301.0</v>
      </c>
      <c r="V412" s="255">
        <v>3.0</v>
      </c>
      <c r="W412" s="259">
        <v>45407.0</v>
      </c>
      <c r="X412" s="260" t="s">
        <v>2221</v>
      </c>
      <c r="Y412" s="259">
        <v>45436.0</v>
      </c>
      <c r="AC412" s="255" t="s">
        <v>5117</v>
      </c>
      <c r="AD412" s="258" t="s">
        <v>5120</v>
      </c>
      <c r="AE412" s="255" t="s">
        <v>44</v>
      </c>
      <c r="AF412" s="255" t="s">
        <v>2208</v>
      </c>
      <c r="AG412" s="256"/>
    </row>
    <row r="413">
      <c r="A413" s="257">
        <v>45408.43395760417</v>
      </c>
      <c r="B413" s="259">
        <v>45408.0</v>
      </c>
      <c r="G413" s="255" t="s">
        <v>5121</v>
      </c>
      <c r="H413" s="255" t="s">
        <v>4483</v>
      </c>
      <c r="M413" s="255" t="s">
        <v>985</v>
      </c>
      <c r="P413" s="255">
        <v>5900.0</v>
      </c>
      <c r="Q413" s="255" t="s">
        <v>5121</v>
      </c>
      <c r="R413" s="255" t="s">
        <v>5121</v>
      </c>
      <c r="T413" s="255">
        <v>70000.0</v>
      </c>
      <c r="U413" s="255">
        <v>14122.0</v>
      </c>
      <c r="V413" s="255">
        <v>1.0</v>
      </c>
      <c r="W413" s="259" t="s">
        <v>5122</v>
      </c>
      <c r="X413" s="260" t="s">
        <v>2265</v>
      </c>
      <c r="Y413" s="259" t="s">
        <v>5123</v>
      </c>
      <c r="AB413" s="255">
        <v>590.0</v>
      </c>
      <c r="AD413" s="258" t="s">
        <v>5124</v>
      </c>
      <c r="AE413" s="255" t="s">
        <v>193</v>
      </c>
      <c r="AF413" s="255" t="s">
        <v>2208</v>
      </c>
      <c r="AG413" s="256"/>
    </row>
    <row r="414">
      <c r="A414" s="257">
        <v>45411.684510590276</v>
      </c>
      <c r="B414" s="259">
        <v>45411.0</v>
      </c>
      <c r="G414" s="255" t="s">
        <v>5125</v>
      </c>
      <c r="H414" s="255" t="s">
        <v>4120</v>
      </c>
      <c r="M414" s="255">
        <v>0.0</v>
      </c>
      <c r="P414" s="255">
        <v>7500.0</v>
      </c>
      <c r="Q414" s="255" t="s">
        <v>5125</v>
      </c>
      <c r="R414" s="255" t="s">
        <v>5125</v>
      </c>
      <c r="T414" s="255">
        <v>150000.0</v>
      </c>
      <c r="U414" s="255">
        <v>10500.0</v>
      </c>
      <c r="V414" s="255">
        <v>2.0</v>
      </c>
      <c r="W414" s="259">
        <v>45411.0</v>
      </c>
      <c r="X414" s="260" t="s">
        <v>2470</v>
      </c>
      <c r="Y414" s="259">
        <v>45421.0</v>
      </c>
      <c r="AB414" s="255">
        <v>750.0</v>
      </c>
      <c r="AD414" s="258" t="s">
        <v>5126</v>
      </c>
      <c r="AE414" s="255" t="s">
        <v>948</v>
      </c>
      <c r="AF414" s="255" t="s">
        <v>2208</v>
      </c>
      <c r="AG414" s="256"/>
    </row>
    <row r="415">
      <c r="A415" s="257">
        <v>45412.76061503473</v>
      </c>
      <c r="B415" s="259">
        <v>45412.0</v>
      </c>
      <c r="G415" s="255" t="s">
        <v>5127</v>
      </c>
      <c r="H415" s="255" t="s">
        <v>5128</v>
      </c>
      <c r="M415" s="255" t="s">
        <v>985</v>
      </c>
      <c r="P415" s="255">
        <v>5500.0</v>
      </c>
      <c r="Q415" s="255" t="s">
        <v>5125</v>
      </c>
      <c r="R415" s="255" t="s">
        <v>5125</v>
      </c>
      <c r="T415" s="255">
        <v>140000.0</v>
      </c>
      <c r="U415" s="255">
        <v>33655.0</v>
      </c>
      <c r="V415" s="255">
        <v>1.0</v>
      </c>
      <c r="W415" s="259">
        <v>45412.0</v>
      </c>
      <c r="X415" s="260" t="s">
        <v>2250</v>
      </c>
      <c r="Y415" s="259">
        <v>45421.0</v>
      </c>
      <c r="AB415" s="255">
        <v>550.0</v>
      </c>
      <c r="AD415" s="258" t="s">
        <v>5129</v>
      </c>
      <c r="AE415" s="255" t="s">
        <v>155</v>
      </c>
      <c r="AF415" s="255" t="s">
        <v>2208</v>
      </c>
      <c r="AG415" s="256"/>
    </row>
    <row r="416">
      <c r="A416" s="257">
        <v>45414.58180747685</v>
      </c>
      <c r="B416" s="259">
        <v>45414.0</v>
      </c>
      <c r="H416" s="255">
        <v>9.684777779E9</v>
      </c>
      <c r="M416" s="255">
        <v>5000.0</v>
      </c>
      <c r="P416" s="255">
        <v>7700.0</v>
      </c>
      <c r="Q416" s="255" t="s">
        <v>5130</v>
      </c>
      <c r="R416" s="255" t="s">
        <v>5131</v>
      </c>
      <c r="T416" s="255">
        <v>140000.0</v>
      </c>
      <c r="U416" s="255">
        <v>23000.0</v>
      </c>
      <c r="V416" s="255">
        <v>2.0</v>
      </c>
      <c r="W416" s="259">
        <v>45414.0</v>
      </c>
      <c r="X416" s="260" t="s">
        <v>2235</v>
      </c>
      <c r="Y416" s="259">
        <v>45428.0</v>
      </c>
      <c r="AB416" s="255">
        <v>550.0</v>
      </c>
      <c r="AD416" s="258" t="s">
        <v>5132</v>
      </c>
      <c r="AE416" s="255" t="s">
        <v>32</v>
      </c>
      <c r="AF416" s="255" t="s">
        <v>2208</v>
      </c>
      <c r="AG416" s="256"/>
    </row>
    <row r="417">
      <c r="A417" s="257">
        <v>45414.651837847225</v>
      </c>
      <c r="B417" s="259">
        <v>45414.0</v>
      </c>
      <c r="G417" s="255" t="s">
        <v>5133</v>
      </c>
      <c r="H417" s="255">
        <v>8.9055595461E10</v>
      </c>
      <c r="M417" s="255">
        <v>5000.0</v>
      </c>
      <c r="P417" s="255">
        <v>4720.0</v>
      </c>
      <c r="Q417" s="255" t="s">
        <v>5133</v>
      </c>
      <c r="R417" s="255" t="s">
        <v>5133</v>
      </c>
      <c r="T417" s="255">
        <v>140000.0</v>
      </c>
      <c r="V417" s="255">
        <v>2.0</v>
      </c>
      <c r="W417" s="259">
        <v>45384.0</v>
      </c>
      <c r="X417" s="260" t="s">
        <v>2231</v>
      </c>
      <c r="Y417" s="259">
        <v>45392.0</v>
      </c>
      <c r="AB417" s="255">
        <v>590.0</v>
      </c>
      <c r="AD417" s="258" t="s">
        <v>5134</v>
      </c>
      <c r="AE417" s="255" t="s">
        <v>92</v>
      </c>
      <c r="AF417" s="255" t="s">
        <v>2208</v>
      </c>
      <c r="AG417" s="256"/>
    </row>
    <row r="418">
      <c r="A418" s="257">
        <v>45414.71495520833</v>
      </c>
      <c r="B418" s="259">
        <v>45414.0</v>
      </c>
      <c r="G418" s="255" t="s">
        <v>5135</v>
      </c>
      <c r="H418" s="255" t="s">
        <v>5136</v>
      </c>
      <c r="M418" s="255">
        <v>3000.0</v>
      </c>
      <c r="P418" s="255">
        <v>1950.0</v>
      </c>
      <c r="Q418" s="255" t="s">
        <v>5135</v>
      </c>
      <c r="R418" s="255" t="s">
        <v>5135</v>
      </c>
      <c r="T418" s="255">
        <v>80000.0</v>
      </c>
      <c r="U418" s="255">
        <v>22429.0</v>
      </c>
      <c r="V418" s="255">
        <v>2.0</v>
      </c>
      <c r="W418" s="259">
        <v>45414.0</v>
      </c>
      <c r="X418" s="260" t="s">
        <v>2246</v>
      </c>
      <c r="Y418" s="259">
        <v>45419.0</v>
      </c>
      <c r="AB418" s="255">
        <v>390.0</v>
      </c>
      <c r="AD418" s="258" t="s">
        <v>5137</v>
      </c>
      <c r="AE418" s="255" t="s">
        <v>73</v>
      </c>
      <c r="AF418" s="255" t="s">
        <v>2208</v>
      </c>
      <c r="AG418" s="256"/>
    </row>
    <row r="419">
      <c r="A419" s="257">
        <v>45414.71990358796</v>
      </c>
      <c r="B419" s="259">
        <v>45414.0</v>
      </c>
      <c r="G419" s="255" t="s">
        <v>5135</v>
      </c>
      <c r="H419" s="255" t="s">
        <v>5138</v>
      </c>
      <c r="M419" s="255">
        <v>5000.0</v>
      </c>
      <c r="P419" s="255">
        <v>3245.0</v>
      </c>
      <c r="Q419" s="255" t="s">
        <v>5135</v>
      </c>
      <c r="R419" s="255" t="s">
        <v>5135</v>
      </c>
      <c r="T419" s="255">
        <v>140000.0</v>
      </c>
      <c r="U419" s="255">
        <v>31005.0</v>
      </c>
      <c r="V419" s="255">
        <v>2.0</v>
      </c>
      <c r="W419" s="259">
        <v>45414.0</v>
      </c>
      <c r="X419" s="260" t="s">
        <v>2246</v>
      </c>
      <c r="Y419" s="259">
        <v>45419.0</v>
      </c>
      <c r="AB419" s="255">
        <v>649.0</v>
      </c>
      <c r="AD419" s="258" t="s">
        <v>5139</v>
      </c>
      <c r="AE419" s="255" t="s">
        <v>113</v>
      </c>
      <c r="AF419" s="255" t="s">
        <v>2208</v>
      </c>
      <c r="AG419" s="256"/>
    </row>
    <row r="420">
      <c r="A420" s="257">
        <v>45415.527619976856</v>
      </c>
      <c r="B420" s="259">
        <v>45415.0</v>
      </c>
      <c r="F420" s="255" t="s">
        <v>5140</v>
      </c>
      <c r="G420" s="255" t="s">
        <v>5141</v>
      </c>
      <c r="H420" s="255" t="s">
        <v>5140</v>
      </c>
      <c r="M420" s="255">
        <v>3000.0</v>
      </c>
      <c r="P420" s="255">
        <v>1950.0</v>
      </c>
      <c r="Q420" s="255" t="s">
        <v>2207</v>
      </c>
      <c r="R420" s="255" t="s">
        <v>2207</v>
      </c>
      <c r="T420" s="255">
        <v>70000.0</v>
      </c>
      <c r="V420" s="255">
        <v>2.0</v>
      </c>
      <c r="W420" s="259">
        <v>45415.0</v>
      </c>
      <c r="X420" s="260" t="s">
        <v>2221</v>
      </c>
      <c r="Y420" s="259">
        <v>45420.0</v>
      </c>
      <c r="AB420" s="255">
        <v>390.0</v>
      </c>
      <c r="AD420" s="258" t="s">
        <v>5142</v>
      </c>
      <c r="AE420" s="255" t="s">
        <v>68</v>
      </c>
      <c r="AF420" s="255" t="s">
        <v>2208</v>
      </c>
      <c r="AG420" s="256"/>
    </row>
    <row r="421">
      <c r="A421" s="257">
        <v>45417.646815995366</v>
      </c>
      <c r="B421" s="259">
        <v>45417.0</v>
      </c>
      <c r="F421" s="255" t="s">
        <v>5143</v>
      </c>
      <c r="G421" s="255" t="s">
        <v>5144</v>
      </c>
      <c r="H421" s="255" t="s">
        <v>5145</v>
      </c>
      <c r="M421" s="255" t="s">
        <v>4531</v>
      </c>
      <c r="Q421" s="255" t="s">
        <v>5144</v>
      </c>
      <c r="R421" s="255" t="s">
        <v>5144</v>
      </c>
      <c r="T421" s="255">
        <v>140000.0</v>
      </c>
      <c r="V421" s="255">
        <v>0.0</v>
      </c>
      <c r="W421" s="259">
        <v>45417.0</v>
      </c>
      <c r="Y421" s="259">
        <v>45448.0</v>
      </c>
      <c r="AC421" s="255">
        <v>12900.0</v>
      </c>
      <c r="AD421" s="258" t="s">
        <v>5146</v>
      </c>
      <c r="AE421" s="255" t="s">
        <v>423</v>
      </c>
      <c r="AF421" s="255" t="s">
        <v>2208</v>
      </c>
      <c r="AG421" s="256"/>
    </row>
    <row r="422">
      <c r="A422" s="257">
        <v>45420.672925</v>
      </c>
      <c r="B422" s="259">
        <v>45420.0</v>
      </c>
      <c r="G422" s="255" t="s">
        <v>5147</v>
      </c>
      <c r="H422" s="255" t="s">
        <v>5148</v>
      </c>
      <c r="I422" s="255" t="s">
        <v>5149</v>
      </c>
      <c r="M422" s="255">
        <v>3000.0</v>
      </c>
      <c r="P422" s="255">
        <v>1950.0</v>
      </c>
      <c r="R422" s="255" t="s">
        <v>5150</v>
      </c>
      <c r="T422" s="255">
        <v>80000.0</v>
      </c>
      <c r="U422" s="255">
        <v>29675.0</v>
      </c>
      <c r="V422" s="255">
        <v>1.0</v>
      </c>
      <c r="W422" s="259">
        <v>45420.0</v>
      </c>
      <c r="X422" s="260" t="s">
        <v>2250</v>
      </c>
      <c r="Y422" s="259">
        <v>45425.0</v>
      </c>
      <c r="AB422" s="255">
        <v>390.0</v>
      </c>
      <c r="AD422" s="258" t="s">
        <v>5151</v>
      </c>
      <c r="AE422" s="255" t="s">
        <v>185</v>
      </c>
      <c r="AF422" s="255" t="s">
        <v>2208</v>
      </c>
      <c r="AG422" s="256"/>
    </row>
    <row r="423">
      <c r="A423" s="257">
        <v>45421.4533815625</v>
      </c>
      <c r="B423" s="259">
        <v>45421.0</v>
      </c>
      <c r="G423" s="255" t="s">
        <v>5152</v>
      </c>
      <c r="H423" s="255" t="s">
        <v>5153</v>
      </c>
      <c r="M423" s="255">
        <v>5000.0</v>
      </c>
      <c r="P423" s="255">
        <v>3540.0</v>
      </c>
      <c r="Q423" s="255" t="s">
        <v>5154</v>
      </c>
      <c r="R423" s="255" t="s">
        <v>5154</v>
      </c>
      <c r="T423" s="255">
        <v>140000.0</v>
      </c>
      <c r="U423" s="255">
        <v>18632.0</v>
      </c>
      <c r="V423" s="255">
        <v>2.0</v>
      </c>
      <c r="W423" s="259">
        <v>45421.0</v>
      </c>
      <c r="X423" s="260" t="s">
        <v>2330</v>
      </c>
      <c r="Y423" s="259">
        <v>45792.0</v>
      </c>
      <c r="AB423" s="255">
        <v>590.0</v>
      </c>
      <c r="AD423" s="258" t="s">
        <v>5155</v>
      </c>
      <c r="AE423" s="255" t="s">
        <v>198</v>
      </c>
      <c r="AF423" s="255" t="s">
        <v>2208</v>
      </c>
      <c r="AG423" s="256"/>
    </row>
    <row r="424">
      <c r="A424" s="257">
        <v>45422.543018819444</v>
      </c>
      <c r="B424" s="259">
        <v>45422.0</v>
      </c>
      <c r="G424" s="255" t="s">
        <v>5156</v>
      </c>
      <c r="H424" s="255" t="s">
        <v>2234</v>
      </c>
      <c r="M424" s="255">
        <v>3000.0</v>
      </c>
      <c r="P424" s="255">
        <v>1170.0</v>
      </c>
      <c r="Q424" s="255" t="s">
        <v>5156</v>
      </c>
      <c r="R424" s="255" t="s">
        <v>5156</v>
      </c>
      <c r="T424" s="255">
        <v>80000.0</v>
      </c>
      <c r="V424" s="255">
        <v>2.0</v>
      </c>
      <c r="W424" s="259">
        <v>45422.0</v>
      </c>
      <c r="X424" s="260" t="s">
        <v>2235</v>
      </c>
      <c r="Y424" s="259">
        <v>45425.0</v>
      </c>
      <c r="AB424" s="255">
        <v>390.0</v>
      </c>
      <c r="AD424" s="258" t="s">
        <v>5157</v>
      </c>
      <c r="AE424" s="255" t="s">
        <v>114</v>
      </c>
      <c r="AF424" s="255" t="s">
        <v>2208</v>
      </c>
      <c r="AG424" s="256"/>
    </row>
    <row r="425">
      <c r="A425" s="257">
        <v>45425.69993037037</v>
      </c>
      <c r="B425" s="259">
        <v>45426.0</v>
      </c>
      <c r="G425" s="255" t="s">
        <v>5156</v>
      </c>
      <c r="P425" s="255">
        <v>4170.0</v>
      </c>
      <c r="Q425" s="255" t="s">
        <v>5156</v>
      </c>
      <c r="R425" s="255" t="s">
        <v>5156</v>
      </c>
      <c r="U425" s="255">
        <v>14834.0</v>
      </c>
      <c r="V425" s="255">
        <v>2.0</v>
      </c>
      <c r="W425" s="259">
        <v>45426.0</v>
      </c>
      <c r="X425" s="260" t="s">
        <v>2262</v>
      </c>
      <c r="Y425" s="259">
        <v>45429.0</v>
      </c>
      <c r="AB425" s="255">
        <v>1390.0</v>
      </c>
      <c r="AD425" s="258" t="s">
        <v>5158</v>
      </c>
      <c r="AE425" s="255" t="s">
        <v>438</v>
      </c>
      <c r="AF425" s="255" t="s">
        <v>2208</v>
      </c>
      <c r="AG425" s="256"/>
    </row>
    <row r="426">
      <c r="A426" s="257">
        <v>45429.7855925926</v>
      </c>
      <c r="M426" s="255">
        <v>0.0</v>
      </c>
      <c r="P426" s="255">
        <v>1500.0</v>
      </c>
      <c r="U426" s="255">
        <v>29500.0</v>
      </c>
      <c r="V426" s="255">
        <v>2.0</v>
      </c>
      <c r="W426" s="259">
        <v>45430.0</v>
      </c>
      <c r="X426" s="260" t="s">
        <v>2300</v>
      </c>
      <c r="Y426" s="259">
        <v>45435.0</v>
      </c>
      <c r="AD426" s="258" t="s">
        <v>5159</v>
      </c>
      <c r="AE426" s="255" t="s">
        <v>185</v>
      </c>
      <c r="AF426" s="255" t="s">
        <v>2270</v>
      </c>
      <c r="AG426" s="256"/>
    </row>
    <row r="427">
      <c r="A427" s="257">
        <v>45429.79414511574</v>
      </c>
      <c r="B427" s="259">
        <v>45430.0</v>
      </c>
      <c r="F427" s="255" t="s">
        <v>5160</v>
      </c>
      <c r="G427" s="255" t="s">
        <v>5161</v>
      </c>
      <c r="M427" s="255">
        <v>3000.0</v>
      </c>
      <c r="P427" s="255">
        <v>2443.0</v>
      </c>
      <c r="Q427" s="255" t="s">
        <v>5161</v>
      </c>
      <c r="R427" s="255" t="s">
        <v>5161</v>
      </c>
      <c r="T427" s="255">
        <v>80000.0</v>
      </c>
      <c r="U427" s="255">
        <v>22800.0</v>
      </c>
      <c r="V427" s="255">
        <v>1.0</v>
      </c>
      <c r="W427" s="259">
        <v>45430.0</v>
      </c>
      <c r="X427" s="260" t="s">
        <v>2262</v>
      </c>
      <c r="Y427" s="259">
        <v>45437.0</v>
      </c>
      <c r="AB427" s="255">
        <v>349.0</v>
      </c>
      <c r="AD427" s="258" t="s">
        <v>5162</v>
      </c>
      <c r="AE427" s="255" t="s">
        <v>73</v>
      </c>
      <c r="AF427" s="255" t="s">
        <v>2208</v>
      </c>
      <c r="AG427" s="256"/>
    </row>
    <row r="428">
      <c r="A428" s="257">
        <v>45431.43715878473</v>
      </c>
      <c r="B428" s="259">
        <v>45431.0</v>
      </c>
      <c r="P428" s="255">
        <v>1200.0</v>
      </c>
      <c r="Q428" s="255" t="s">
        <v>2333</v>
      </c>
      <c r="R428" s="255" t="s">
        <v>2207</v>
      </c>
      <c r="V428" s="255">
        <v>1.0</v>
      </c>
      <c r="W428" s="259">
        <v>45431.0</v>
      </c>
      <c r="Y428" s="259">
        <v>45435.0</v>
      </c>
      <c r="AD428" s="258" t="s">
        <v>5163</v>
      </c>
      <c r="AE428" s="255" t="s">
        <v>68</v>
      </c>
      <c r="AF428" s="255" t="s">
        <v>2208</v>
      </c>
      <c r="AG428" s="256"/>
    </row>
    <row r="429">
      <c r="A429" s="257">
        <v>45433.42651832176</v>
      </c>
      <c r="B429" s="259">
        <v>45433.0</v>
      </c>
      <c r="F429" s="255" t="s">
        <v>5164</v>
      </c>
      <c r="G429" s="255" t="s">
        <v>5165</v>
      </c>
      <c r="M429" s="255" t="s">
        <v>912</v>
      </c>
      <c r="P429" s="255">
        <v>5000.0</v>
      </c>
      <c r="Q429" s="255" t="s">
        <v>2207</v>
      </c>
      <c r="R429" s="255" t="s">
        <v>2207</v>
      </c>
      <c r="T429" s="255">
        <v>70000.0</v>
      </c>
      <c r="U429" s="255">
        <v>22000.0</v>
      </c>
      <c r="V429" s="255">
        <v>1.0</v>
      </c>
      <c r="W429" s="259">
        <v>45433.0</v>
      </c>
      <c r="X429" s="260" t="s">
        <v>2265</v>
      </c>
      <c r="Y429" s="259">
        <v>45464.0</v>
      </c>
      <c r="AC429" s="255">
        <v>5000.0</v>
      </c>
      <c r="AD429" s="258" t="s">
        <v>5166</v>
      </c>
      <c r="AE429" s="255" t="s">
        <v>125</v>
      </c>
      <c r="AF429" s="255" t="s">
        <v>2208</v>
      </c>
      <c r="AG429" s="256"/>
    </row>
    <row r="430">
      <c r="A430" s="257">
        <v>45440.97662971065</v>
      </c>
      <c r="E430" s="255">
        <v>123.0</v>
      </c>
    </row>
    <row r="431">
      <c r="A431" s="257">
        <v>45440.99124148148</v>
      </c>
      <c r="E431" s="255">
        <v>444.0</v>
      </c>
    </row>
    <row r="432">
      <c r="A432" s="257">
        <v>45447.84201712963</v>
      </c>
      <c r="M432" s="255">
        <v>5000.0</v>
      </c>
      <c r="AD432" s="258" t="s">
        <v>2205</v>
      </c>
      <c r="AE432" s="255" t="s">
        <v>68</v>
      </c>
    </row>
    <row r="433">
      <c r="A433" s="257">
        <v>45448.746135243055</v>
      </c>
      <c r="B433" s="259">
        <v>45448.0</v>
      </c>
      <c r="F433" s="255">
        <v>5654.0</v>
      </c>
      <c r="G433" s="255">
        <v>45654.0</v>
      </c>
      <c r="H433" s="255">
        <v>456546.0</v>
      </c>
      <c r="I433" s="255">
        <v>456546.0</v>
      </c>
      <c r="M433" s="255">
        <v>456546.0</v>
      </c>
      <c r="P433" s="255">
        <v>45664.0</v>
      </c>
      <c r="Q433" s="255" t="s">
        <v>2207</v>
      </c>
      <c r="R433" s="255" t="s">
        <v>2207</v>
      </c>
      <c r="T433" s="255">
        <v>45654.0</v>
      </c>
      <c r="U433" s="255">
        <v>45654.0</v>
      </c>
      <c r="V433" s="255">
        <v>2.0</v>
      </c>
      <c r="W433" s="259">
        <v>45448.0</v>
      </c>
      <c r="X433" s="260" t="s">
        <v>2209</v>
      </c>
      <c r="Y433" s="259">
        <v>45473.0</v>
      </c>
      <c r="AA433" s="255">
        <v>4564.0</v>
      </c>
      <c r="AB433" s="255">
        <v>456.0</v>
      </c>
      <c r="AC433" s="255">
        <v>456546.0</v>
      </c>
      <c r="AD433" s="258" t="s">
        <v>2206</v>
      </c>
      <c r="AE433" s="255" t="s">
        <v>68</v>
      </c>
      <c r="AF433" s="255" t="s">
        <v>2208</v>
      </c>
      <c r="AG433" s="256"/>
    </row>
    <row r="434">
      <c r="A434" s="257">
        <v>45448.86845869213</v>
      </c>
      <c r="AD434" s="258" t="s">
        <v>2210</v>
      </c>
    </row>
    <row r="435">
      <c r="A435" s="257">
        <v>45469.60044123842</v>
      </c>
      <c r="B435" s="259">
        <v>45469.0</v>
      </c>
      <c r="F435" s="255" t="s">
        <v>2212</v>
      </c>
      <c r="G435" s="255" t="s">
        <v>2213</v>
      </c>
      <c r="H435" s="255">
        <v>8.9112251432E10</v>
      </c>
      <c r="I435" s="255">
        <v>8.9062561285E10</v>
      </c>
      <c r="M435" s="255" t="s">
        <v>430</v>
      </c>
      <c r="P435" s="255">
        <v>2670.0</v>
      </c>
      <c r="Q435" s="255" t="s">
        <v>2214</v>
      </c>
      <c r="R435" s="255" t="s">
        <v>2214</v>
      </c>
      <c r="T435" s="255">
        <v>120000.0</v>
      </c>
      <c r="U435" s="255">
        <v>30163.0</v>
      </c>
      <c r="V435" s="255">
        <v>2.0</v>
      </c>
      <c r="W435" s="259">
        <v>45469.0</v>
      </c>
      <c r="X435" s="260" t="s">
        <v>2215</v>
      </c>
      <c r="Y435" s="259">
        <v>45472.0</v>
      </c>
      <c r="AB435" s="255">
        <v>890.0</v>
      </c>
      <c r="AD435" s="258" t="s">
        <v>2211</v>
      </c>
      <c r="AE435" s="255" t="s">
        <v>461</v>
      </c>
    </row>
    <row r="436">
      <c r="A436" s="257">
        <v>45471.566498182874</v>
      </c>
      <c r="B436" s="259">
        <v>45471.0</v>
      </c>
      <c r="F436" s="255" t="s">
        <v>2217</v>
      </c>
      <c r="G436" s="255" t="s">
        <v>2218</v>
      </c>
      <c r="M436" s="255" t="s">
        <v>1494</v>
      </c>
      <c r="P436" s="255">
        <v>1500.0</v>
      </c>
      <c r="Q436" s="255" t="s">
        <v>2219</v>
      </c>
      <c r="R436" s="255" t="s">
        <v>2219</v>
      </c>
      <c r="T436" s="255">
        <v>70000.0</v>
      </c>
      <c r="U436" s="255">
        <v>19000.0</v>
      </c>
      <c r="V436" s="255">
        <v>2.0</v>
      </c>
      <c r="W436" s="259">
        <v>45471.0</v>
      </c>
      <c r="X436" s="260" t="s">
        <v>2221</v>
      </c>
      <c r="Y436" s="259">
        <v>45476.0</v>
      </c>
      <c r="AB436" s="255">
        <v>150.0</v>
      </c>
      <c r="AD436" s="258" t="s">
        <v>2216</v>
      </c>
      <c r="AE436" s="255" t="s">
        <v>44</v>
      </c>
      <c r="AF436" s="255" t="s">
        <v>2208</v>
      </c>
      <c r="AG436" s="256"/>
    </row>
    <row r="437">
      <c r="A437" s="257">
        <v>45474.570744212964</v>
      </c>
      <c r="B437" s="259">
        <v>45474.0</v>
      </c>
      <c r="F437" s="255" t="s">
        <v>2223</v>
      </c>
      <c r="G437" s="255" t="s">
        <v>2224</v>
      </c>
      <c r="H437" s="255" t="s">
        <v>2225</v>
      </c>
      <c r="I437" s="255" t="s">
        <v>2226</v>
      </c>
      <c r="M437" s="255">
        <v>3000.0</v>
      </c>
      <c r="P437" s="255">
        <v>5900.0</v>
      </c>
      <c r="Q437" s="255" t="s">
        <v>2214</v>
      </c>
      <c r="R437" s="255" t="s">
        <v>2214</v>
      </c>
      <c r="T437" s="255">
        <v>80000.0</v>
      </c>
      <c r="U437" s="255">
        <v>22058.0</v>
      </c>
      <c r="V437" s="255">
        <v>2.0</v>
      </c>
      <c r="W437" s="259">
        <v>45474.0</v>
      </c>
      <c r="X437" s="260" t="s">
        <v>2221</v>
      </c>
      <c r="Y437" s="259">
        <v>45505.0</v>
      </c>
      <c r="AC437" s="255">
        <v>5900.0</v>
      </c>
      <c r="AD437" s="258" t="s">
        <v>2222</v>
      </c>
      <c r="AE437" s="255" t="s">
        <v>125</v>
      </c>
      <c r="AF437" s="255" t="s">
        <v>2227</v>
      </c>
      <c r="AG437" s="256"/>
    </row>
    <row r="438">
      <c r="A438" s="257">
        <v>45479.617049039356</v>
      </c>
      <c r="B438" s="259">
        <v>45479.0</v>
      </c>
      <c r="F438" s="255" t="s">
        <v>2229</v>
      </c>
      <c r="G438" s="255" t="s">
        <v>2230</v>
      </c>
      <c r="H438" s="255">
        <v>8.9029121807E10</v>
      </c>
      <c r="M438" s="255">
        <v>3000.0</v>
      </c>
      <c r="P438" s="255">
        <v>4500.0</v>
      </c>
      <c r="Q438" s="255" t="s">
        <v>2230</v>
      </c>
      <c r="R438" s="255" t="s">
        <v>2230</v>
      </c>
      <c r="T438" s="255">
        <v>80000.0</v>
      </c>
      <c r="U438" s="255">
        <v>19352.0</v>
      </c>
      <c r="V438" s="255">
        <v>2.0</v>
      </c>
      <c r="W438" s="259">
        <v>45479.0</v>
      </c>
      <c r="X438" s="260" t="s">
        <v>2231</v>
      </c>
      <c r="Y438" s="259">
        <v>45497.0</v>
      </c>
      <c r="AB438" s="255">
        <v>250.0</v>
      </c>
      <c r="AD438" s="258" t="s">
        <v>2228</v>
      </c>
      <c r="AE438" s="255" t="s">
        <v>44</v>
      </c>
      <c r="AF438" s="255" t="s">
        <v>2227</v>
      </c>
      <c r="AG438" s="256"/>
    </row>
    <row r="439">
      <c r="A439" s="257">
        <v>45485.60612752315</v>
      </c>
      <c r="B439" s="259">
        <v>45485.0</v>
      </c>
      <c r="G439" s="255" t="s">
        <v>2233</v>
      </c>
      <c r="H439" s="255" t="s">
        <v>2234</v>
      </c>
      <c r="M439" s="255" t="s">
        <v>1502</v>
      </c>
      <c r="P439" s="255">
        <v>1590.0</v>
      </c>
      <c r="Q439" s="255" t="s">
        <v>2214</v>
      </c>
      <c r="R439" s="255" t="s">
        <v>2214</v>
      </c>
      <c r="T439" s="255">
        <v>160000.0</v>
      </c>
      <c r="U439" s="255">
        <v>41174.0</v>
      </c>
      <c r="V439" s="255">
        <v>2.0</v>
      </c>
      <c r="W439" s="259">
        <v>45485.0</v>
      </c>
      <c r="X439" s="260" t="s">
        <v>2235</v>
      </c>
      <c r="Y439" s="259">
        <v>45486.0</v>
      </c>
      <c r="AB439" s="255">
        <v>1590.0</v>
      </c>
      <c r="AD439" s="258" t="s">
        <v>2232</v>
      </c>
      <c r="AE439" s="255" t="s">
        <v>102</v>
      </c>
    </row>
    <row r="440">
      <c r="A440" s="257">
        <v>45485.609500949075</v>
      </c>
      <c r="B440" s="259">
        <v>45485.0</v>
      </c>
      <c r="G440" s="255" t="s">
        <v>2237</v>
      </c>
      <c r="H440" s="255" t="s">
        <v>2234</v>
      </c>
      <c r="M440" s="255">
        <v>600.0</v>
      </c>
      <c r="P440" s="255">
        <v>1290.0</v>
      </c>
      <c r="Q440" s="255" t="s">
        <v>2214</v>
      </c>
      <c r="R440" s="255" t="s">
        <v>2214</v>
      </c>
      <c r="T440" s="255">
        <v>140000.0</v>
      </c>
      <c r="U440" s="255">
        <v>22683.0</v>
      </c>
      <c r="V440" s="255">
        <v>1.0</v>
      </c>
      <c r="W440" s="259">
        <v>45485.0</v>
      </c>
      <c r="X440" s="260" t="s">
        <v>2235</v>
      </c>
      <c r="Y440" s="259">
        <v>45486.0</v>
      </c>
      <c r="AB440" s="255">
        <v>1290.0</v>
      </c>
      <c r="AD440" s="258" t="s">
        <v>2236</v>
      </c>
      <c r="AE440" s="255" t="s">
        <v>438</v>
      </c>
      <c r="AF440" s="255" t="s">
        <v>2208</v>
      </c>
      <c r="AG440" s="256"/>
    </row>
    <row r="441">
      <c r="A441" s="257">
        <v>45490.54051752315</v>
      </c>
      <c r="B441" s="259">
        <v>45490.0</v>
      </c>
      <c r="F441" s="255" t="s">
        <v>2239</v>
      </c>
      <c r="G441" s="255" t="s">
        <v>2240</v>
      </c>
      <c r="M441" s="255">
        <v>5000.0</v>
      </c>
      <c r="P441" s="255">
        <v>3250.0</v>
      </c>
      <c r="Q441" s="255" t="s">
        <v>2207</v>
      </c>
      <c r="R441" s="255" t="s">
        <v>2207</v>
      </c>
      <c r="T441" s="255">
        <v>180000.0</v>
      </c>
      <c r="U441" s="255">
        <v>11009.0</v>
      </c>
      <c r="V441" s="255">
        <v>2.0</v>
      </c>
      <c r="W441" s="259">
        <v>45490.0</v>
      </c>
      <c r="X441" s="260" t="s">
        <v>2231</v>
      </c>
      <c r="Y441" s="259">
        <v>45495.0</v>
      </c>
      <c r="AA441" s="255" t="s">
        <v>1505</v>
      </c>
      <c r="AB441" s="255">
        <v>650.0</v>
      </c>
      <c r="AD441" s="258" t="s">
        <v>2238</v>
      </c>
      <c r="AE441" s="255" t="s">
        <v>5092</v>
      </c>
      <c r="AF441" s="255" t="s">
        <v>2242</v>
      </c>
      <c r="AG441" s="256"/>
    </row>
    <row r="442">
      <c r="A442" s="257">
        <v>45500.695575439815</v>
      </c>
      <c r="B442" s="259">
        <v>45500.0</v>
      </c>
      <c r="G442" s="255" t="s">
        <v>2244</v>
      </c>
      <c r="H442" s="255" t="s">
        <v>2245</v>
      </c>
      <c r="M442" s="255">
        <v>3000.0</v>
      </c>
      <c r="P442" s="255">
        <v>2400.0</v>
      </c>
      <c r="Q442" s="255" t="s">
        <v>2244</v>
      </c>
      <c r="R442" s="255" t="s">
        <v>2244</v>
      </c>
      <c r="T442" s="255">
        <v>80000.0</v>
      </c>
      <c r="U442" s="255">
        <v>21872.0</v>
      </c>
      <c r="V442" s="255">
        <v>2.0</v>
      </c>
      <c r="W442" s="259">
        <v>45500.0</v>
      </c>
      <c r="X442" s="260" t="s">
        <v>2246</v>
      </c>
      <c r="Y442" s="259">
        <v>45508.0</v>
      </c>
      <c r="AB442" s="255">
        <v>300.0</v>
      </c>
      <c r="AD442" s="258" t="s">
        <v>2243</v>
      </c>
      <c r="AE442" s="255" t="s">
        <v>114</v>
      </c>
      <c r="AF442" s="255" t="s">
        <v>2208</v>
      </c>
      <c r="AG442" s="256"/>
    </row>
    <row r="443">
      <c r="A443" s="257">
        <v>45504.759224016205</v>
      </c>
      <c r="B443" s="259">
        <v>45504.0</v>
      </c>
      <c r="G443" s="255" t="s">
        <v>2248</v>
      </c>
      <c r="H443" s="255" t="s">
        <v>2249</v>
      </c>
      <c r="M443" s="255" t="s">
        <v>1502</v>
      </c>
      <c r="P443" s="255">
        <v>7450.0</v>
      </c>
      <c r="Q443" s="255" t="s">
        <v>2214</v>
      </c>
      <c r="R443" s="255" t="s">
        <v>2214</v>
      </c>
      <c r="T443" s="255">
        <v>190000.0</v>
      </c>
      <c r="U443" s="255">
        <v>41823.0</v>
      </c>
      <c r="V443" s="255">
        <v>2.0</v>
      </c>
      <c r="W443" s="259">
        <v>45504.0</v>
      </c>
      <c r="X443" s="260" t="s">
        <v>2250</v>
      </c>
      <c r="Y443" s="259">
        <v>45509.0</v>
      </c>
      <c r="AB443" s="255">
        <v>1490.0</v>
      </c>
      <c r="AD443" s="258" t="s">
        <v>2247</v>
      </c>
      <c r="AE443" s="255" t="s">
        <v>102</v>
      </c>
      <c r="AF443" s="255" t="s">
        <v>2208</v>
      </c>
      <c r="AG443" s="256"/>
    </row>
    <row r="444">
      <c r="A444" s="257">
        <v>45504.780791157405</v>
      </c>
      <c r="B444" s="259">
        <v>45504.0</v>
      </c>
      <c r="G444" s="255" t="s">
        <v>2252</v>
      </c>
      <c r="H444" s="255" t="s">
        <v>2253</v>
      </c>
      <c r="M444" s="255">
        <v>3000.0</v>
      </c>
      <c r="P444" s="255">
        <v>3000.0</v>
      </c>
      <c r="Q444" s="255" t="s">
        <v>2207</v>
      </c>
      <c r="R444" s="255" t="s">
        <v>2207</v>
      </c>
      <c r="T444" s="255">
        <v>70000.0</v>
      </c>
      <c r="U444" s="255">
        <v>30000.0</v>
      </c>
      <c r="V444" s="255">
        <v>1.0</v>
      </c>
      <c r="W444" s="259">
        <v>45504.0</v>
      </c>
      <c r="X444" s="260" t="s">
        <v>2246</v>
      </c>
      <c r="Y444" s="259">
        <v>45514.0</v>
      </c>
      <c r="AB444" s="255">
        <v>300.0</v>
      </c>
      <c r="AD444" s="258" t="s">
        <v>2251</v>
      </c>
      <c r="AE444" s="255" t="s">
        <v>185</v>
      </c>
      <c r="AF444" s="255" t="s">
        <v>2208</v>
      </c>
      <c r="AG444" s="256"/>
    </row>
    <row r="445">
      <c r="A445" s="257">
        <v>45513.67073210648</v>
      </c>
      <c r="B445" s="259">
        <v>45513.0</v>
      </c>
      <c r="F445" s="255" t="s">
        <v>2255</v>
      </c>
      <c r="G445" s="255" t="s">
        <v>2256</v>
      </c>
      <c r="M445" s="255">
        <v>8000.0</v>
      </c>
      <c r="P445" s="255">
        <v>6700.0</v>
      </c>
      <c r="Q445" s="255" t="s">
        <v>2207</v>
      </c>
      <c r="R445" s="255" t="s">
        <v>2207</v>
      </c>
      <c r="T445" s="255">
        <v>70000.0</v>
      </c>
      <c r="V445" s="255">
        <v>1.0</v>
      </c>
      <c r="W445" s="259">
        <v>45513.0</v>
      </c>
      <c r="X445" s="260" t="s">
        <v>2246</v>
      </c>
      <c r="Y445" s="259">
        <v>45544.0</v>
      </c>
      <c r="AC445" s="255">
        <v>6700.0</v>
      </c>
      <c r="AD445" s="258" t="s">
        <v>2254</v>
      </c>
      <c r="AE445" s="255" t="s">
        <v>193</v>
      </c>
      <c r="AF445" s="255" t="s">
        <v>2208</v>
      </c>
      <c r="AG445" s="256"/>
    </row>
    <row r="446">
      <c r="A446" s="257">
        <v>45520.343036238424</v>
      </c>
      <c r="B446" s="259">
        <v>45520.0</v>
      </c>
      <c r="F446" s="255" t="s">
        <v>2258</v>
      </c>
      <c r="G446" s="255" t="s">
        <v>2258</v>
      </c>
      <c r="H446" s="255" t="s">
        <v>2259</v>
      </c>
      <c r="M446" s="255">
        <v>5000.0</v>
      </c>
      <c r="P446" s="255">
        <v>2070.0</v>
      </c>
      <c r="Q446" s="255" t="s">
        <v>2260</v>
      </c>
      <c r="R446" s="255" t="s">
        <v>2261</v>
      </c>
      <c r="T446" s="255">
        <v>170000.0</v>
      </c>
      <c r="U446" s="255">
        <v>11000.0</v>
      </c>
      <c r="V446" s="255">
        <v>2.0</v>
      </c>
      <c r="W446" s="259">
        <v>45520.0</v>
      </c>
      <c r="X446" s="260" t="s">
        <v>2262</v>
      </c>
      <c r="Y446" s="259">
        <v>45523.0</v>
      </c>
      <c r="AB446" s="255">
        <v>690.0</v>
      </c>
      <c r="AD446" s="258" t="s">
        <v>2257</v>
      </c>
      <c r="AE446" s="255" t="s">
        <v>5092</v>
      </c>
      <c r="AF446" s="255" t="s">
        <v>2208</v>
      </c>
      <c r="AG446" s="256"/>
    </row>
    <row r="447">
      <c r="A447" s="257">
        <v>45525.61610185185</v>
      </c>
      <c r="AD447" s="258" t="s">
        <v>2263</v>
      </c>
      <c r="AE447" s="255" t="s">
        <v>102</v>
      </c>
    </row>
    <row r="448">
      <c r="A448" s="257">
        <v>45525.68538540509</v>
      </c>
      <c r="M448" s="255">
        <v>5000.0</v>
      </c>
      <c r="W448" s="259">
        <v>45525.0</v>
      </c>
      <c r="X448" s="260" t="s">
        <v>2235</v>
      </c>
      <c r="Y448" s="259">
        <v>45535.0</v>
      </c>
      <c r="AB448" s="255">
        <v>300.0</v>
      </c>
      <c r="AE448" s="255" t="s">
        <v>68</v>
      </c>
      <c r="AG448" s="255">
        <v>190.0</v>
      </c>
    </row>
    <row r="449">
      <c r="A449" s="257">
        <v>45525.70437533565</v>
      </c>
      <c r="M449" s="255">
        <v>3000.0</v>
      </c>
      <c r="W449" s="259">
        <v>45525.0</v>
      </c>
      <c r="X449" s="260" t="s">
        <v>2246</v>
      </c>
      <c r="Y449" s="259">
        <v>45535.0</v>
      </c>
      <c r="AC449" s="255">
        <v>10000.0</v>
      </c>
      <c r="AE449" s="255" t="s">
        <v>423</v>
      </c>
      <c r="AG449" s="255">
        <v>190.0</v>
      </c>
    </row>
    <row r="450">
      <c r="A450" s="257">
        <v>45525.70810609954</v>
      </c>
      <c r="M450" s="255">
        <v>3000.0</v>
      </c>
      <c r="AC450" s="255">
        <v>10000.0</v>
      </c>
      <c r="AG450" s="255">
        <v>190.0</v>
      </c>
    </row>
    <row r="451">
      <c r="A451" s="257">
        <v>45525.714073310184</v>
      </c>
      <c r="M451" s="255" t="s">
        <v>430</v>
      </c>
      <c r="W451" s="259">
        <v>45525.0</v>
      </c>
      <c r="X451" s="260" t="s">
        <v>2246</v>
      </c>
      <c r="Y451" s="259">
        <v>45535.0</v>
      </c>
      <c r="AB451" s="255">
        <v>300.0</v>
      </c>
      <c r="AG451" s="255">
        <v>190.0</v>
      </c>
    </row>
    <row r="452">
      <c r="A452" s="257">
        <v>45525.71521283565</v>
      </c>
      <c r="M452" s="255" t="s">
        <v>985</v>
      </c>
      <c r="W452" s="259">
        <v>45525.0</v>
      </c>
      <c r="X452" s="260" t="s">
        <v>2265</v>
      </c>
      <c r="Y452" s="259">
        <v>45535.0</v>
      </c>
      <c r="AB452" s="255">
        <v>300.0</v>
      </c>
      <c r="AG452" s="255">
        <v>190.0</v>
      </c>
    </row>
    <row r="453">
      <c r="A453" s="257">
        <v>45525.763337662036</v>
      </c>
      <c r="B453" s="259">
        <v>45525.0</v>
      </c>
      <c r="F453" s="255" t="s">
        <v>2267</v>
      </c>
      <c r="G453" s="255" t="s">
        <v>2268</v>
      </c>
      <c r="H453" s="255">
        <v>7654.0</v>
      </c>
      <c r="M453" s="255">
        <v>5000.0</v>
      </c>
      <c r="Q453" s="255" t="s">
        <v>2269</v>
      </c>
      <c r="R453" s="255" t="s">
        <v>2269</v>
      </c>
      <c r="T453" s="255">
        <v>139000.0</v>
      </c>
      <c r="U453" s="255">
        <v>23000.0</v>
      </c>
      <c r="V453" s="255">
        <v>2.0</v>
      </c>
      <c r="W453" s="259">
        <v>45525.0</v>
      </c>
      <c r="X453" s="260" t="s">
        <v>2235</v>
      </c>
      <c r="Y453" s="259">
        <v>45535.0</v>
      </c>
      <c r="AB453" s="255">
        <v>300.0</v>
      </c>
      <c r="AD453" s="258" t="s">
        <v>2266</v>
      </c>
      <c r="AE453" s="255" t="s">
        <v>202</v>
      </c>
      <c r="AF453" s="255" t="s">
        <v>2270</v>
      </c>
      <c r="AG453" s="255">
        <v>190.0</v>
      </c>
    </row>
    <row r="454">
      <c r="A454" s="257">
        <v>45525.8786112963</v>
      </c>
      <c r="B454" s="259">
        <v>45524.0</v>
      </c>
      <c r="F454" s="255" t="s">
        <v>2271</v>
      </c>
      <c r="G454" s="255" t="s">
        <v>2272</v>
      </c>
      <c r="H454" s="255">
        <v>8903.0</v>
      </c>
      <c r="M454" s="255" t="s">
        <v>985</v>
      </c>
      <c r="Q454" s="255" t="s">
        <v>2269</v>
      </c>
      <c r="R454" s="255" t="s">
        <v>2269</v>
      </c>
      <c r="T454" s="255">
        <v>140000.0</v>
      </c>
      <c r="U454" s="255">
        <v>20000.0</v>
      </c>
      <c r="V454" s="255">
        <v>2.0</v>
      </c>
      <c r="W454" s="259">
        <v>45525.0</v>
      </c>
      <c r="X454" s="260" t="s">
        <v>2215</v>
      </c>
      <c r="Y454" s="259">
        <v>45535.0</v>
      </c>
      <c r="AA454" s="255" t="s">
        <v>2274</v>
      </c>
      <c r="AB454" s="255">
        <v>500.0</v>
      </c>
      <c r="AE454" s="255" t="s">
        <v>92</v>
      </c>
      <c r="AF454" s="255" t="s">
        <v>2273</v>
      </c>
      <c r="AG454" s="255">
        <v>390.0</v>
      </c>
    </row>
    <row r="455">
      <c r="A455" s="257">
        <v>45525.88225943287</v>
      </c>
      <c r="B455" s="259">
        <v>45525.0</v>
      </c>
      <c r="F455" s="255" t="s">
        <v>2276</v>
      </c>
      <c r="G455" s="255" t="s">
        <v>2277</v>
      </c>
      <c r="H455" s="260" t="s">
        <v>2278</v>
      </c>
      <c r="M455" s="255" t="s">
        <v>430</v>
      </c>
      <c r="Q455" s="255" t="s">
        <v>2207</v>
      </c>
      <c r="R455" s="255" t="s">
        <v>2207</v>
      </c>
      <c r="T455" s="255">
        <v>145000.0</v>
      </c>
      <c r="U455" s="255">
        <v>12000.0</v>
      </c>
      <c r="V455" s="255">
        <v>2.0</v>
      </c>
      <c r="W455" s="259">
        <v>45525.0</v>
      </c>
      <c r="X455" s="260" t="s">
        <v>2250</v>
      </c>
      <c r="Y455" s="259">
        <v>45535.0</v>
      </c>
      <c r="AB455" s="255">
        <v>400.0</v>
      </c>
      <c r="AD455" s="258" t="s">
        <v>2275</v>
      </c>
      <c r="AE455" s="255" t="s">
        <v>438</v>
      </c>
      <c r="AF455" s="255" t="s">
        <v>2279</v>
      </c>
      <c r="AG455" s="255">
        <v>390.0</v>
      </c>
    </row>
    <row r="456">
      <c r="A456" s="257">
        <v>45526.4990033912</v>
      </c>
      <c r="AE456" s="255" t="s">
        <v>948</v>
      </c>
    </row>
    <row r="457">
      <c r="A457" s="257">
        <v>45526.73554488426</v>
      </c>
      <c r="B457" s="259">
        <v>45526.0</v>
      </c>
      <c r="F457" s="255" t="s">
        <v>2281</v>
      </c>
      <c r="G457" s="255" t="s">
        <v>2282</v>
      </c>
      <c r="H457" s="260" t="s">
        <v>2283</v>
      </c>
      <c r="I457" s="260" t="s">
        <v>2284</v>
      </c>
      <c r="M457" s="255">
        <v>15000.0</v>
      </c>
      <c r="Q457" s="255" t="s">
        <v>2269</v>
      </c>
      <c r="R457" s="255" t="s">
        <v>2269</v>
      </c>
      <c r="T457" s="255">
        <v>100000.0</v>
      </c>
      <c r="U457" s="255">
        <v>21592.0</v>
      </c>
      <c r="V457" s="255">
        <v>0.0</v>
      </c>
      <c r="W457" s="259">
        <v>45526.0</v>
      </c>
      <c r="X457" s="260" t="s">
        <v>2246</v>
      </c>
      <c r="Y457" s="259">
        <v>45533.0</v>
      </c>
      <c r="AB457" s="255">
        <v>706.0</v>
      </c>
      <c r="AD457" s="258" t="s">
        <v>2280</v>
      </c>
      <c r="AE457" s="255" t="s">
        <v>423</v>
      </c>
      <c r="AF457" s="255" t="s">
        <v>2208</v>
      </c>
      <c r="AG457" s="255">
        <v>0.0</v>
      </c>
    </row>
    <row r="458">
      <c r="A458" s="257">
        <v>45526.77224871528</v>
      </c>
      <c r="AD458" s="258" t="s">
        <v>2285</v>
      </c>
    </row>
    <row r="459">
      <c r="A459" s="257">
        <v>45526.95697871528</v>
      </c>
      <c r="AD459" s="258" t="s">
        <v>2286</v>
      </c>
    </row>
    <row r="460">
      <c r="A460" s="257">
        <v>45526.98086498842</v>
      </c>
      <c r="AD460" s="258" t="s">
        <v>2287</v>
      </c>
    </row>
    <row r="461">
      <c r="A461" s="257">
        <v>45527.00005420139</v>
      </c>
      <c r="AD461" s="258" t="s">
        <v>2288</v>
      </c>
    </row>
    <row r="462">
      <c r="A462" s="257">
        <v>45527.03620265046</v>
      </c>
      <c r="AD462" s="258" t="s">
        <v>2289</v>
      </c>
    </row>
    <row r="463">
      <c r="A463" s="257">
        <v>45527.04014077546</v>
      </c>
      <c r="B463" s="259">
        <v>45527.0</v>
      </c>
      <c r="F463" s="255">
        <v>34234.0</v>
      </c>
      <c r="G463" s="255" t="s">
        <v>2291</v>
      </c>
      <c r="H463" s="255">
        <v>324324.0</v>
      </c>
      <c r="M463" s="255">
        <v>4000.0</v>
      </c>
      <c r="Q463" s="255" t="s">
        <v>2207</v>
      </c>
      <c r="R463" s="255" t="s">
        <v>2207</v>
      </c>
      <c r="T463" s="255">
        <v>140000.0</v>
      </c>
      <c r="U463" s="255">
        <v>120000.0</v>
      </c>
      <c r="V463" s="255">
        <v>2.0</v>
      </c>
      <c r="W463" s="259">
        <v>45527.0</v>
      </c>
      <c r="X463" s="260" t="s">
        <v>2215</v>
      </c>
      <c r="Y463" s="259">
        <v>45535.0</v>
      </c>
      <c r="AB463" s="255">
        <v>400.0</v>
      </c>
      <c r="AD463" s="262" t="s">
        <v>5167</v>
      </c>
      <c r="AE463" s="255" t="s">
        <v>438</v>
      </c>
      <c r="AF463" s="255" t="s">
        <v>2208</v>
      </c>
      <c r="AG463" s="255">
        <v>190.0</v>
      </c>
    </row>
    <row r="464">
      <c r="A464" s="257">
        <v>45532.918410451384</v>
      </c>
      <c r="B464" s="259">
        <v>45532.0</v>
      </c>
      <c r="G464" s="255" t="s">
        <v>2293</v>
      </c>
      <c r="H464" s="255" t="s">
        <v>2294</v>
      </c>
      <c r="M464" s="255" t="s">
        <v>1502</v>
      </c>
      <c r="Q464" s="255" t="s">
        <v>2207</v>
      </c>
      <c r="R464" s="255" t="s">
        <v>2207</v>
      </c>
      <c r="T464" s="255">
        <v>70000.0</v>
      </c>
      <c r="U464" s="255">
        <v>19000.0</v>
      </c>
      <c r="V464" s="255">
        <v>1.0</v>
      </c>
      <c r="W464" s="259">
        <v>45533.0</v>
      </c>
      <c r="X464" s="260" t="s">
        <v>2262</v>
      </c>
      <c r="Y464" s="259">
        <v>45564.0</v>
      </c>
      <c r="AC464" s="255">
        <v>6700.0</v>
      </c>
      <c r="AD464" s="258" t="s">
        <v>2292</v>
      </c>
      <c r="AE464" s="255" t="s">
        <v>193</v>
      </c>
      <c r="AF464" s="255" t="s">
        <v>2208</v>
      </c>
      <c r="AG464" s="255">
        <v>0.0</v>
      </c>
    </row>
    <row r="465">
      <c r="A465" s="257">
        <v>45539.792846412034</v>
      </c>
      <c r="B465" s="259">
        <v>45540.0</v>
      </c>
      <c r="F465" s="255" t="s">
        <v>2296</v>
      </c>
      <c r="G465" s="255" t="s">
        <v>2297</v>
      </c>
      <c r="H465" s="255" t="s">
        <v>2298</v>
      </c>
      <c r="I465" s="255" t="s">
        <v>2299</v>
      </c>
      <c r="M465" s="255">
        <v>7000.0</v>
      </c>
      <c r="Q465" s="255" t="s">
        <v>2297</v>
      </c>
      <c r="R465" s="255" t="s">
        <v>2297</v>
      </c>
      <c r="T465" s="255">
        <v>150000.0</v>
      </c>
      <c r="U465" s="255">
        <v>11261.0</v>
      </c>
      <c r="V465" s="255">
        <v>2.0</v>
      </c>
      <c r="W465" s="259">
        <v>45540.0</v>
      </c>
      <c r="X465" s="260" t="s">
        <v>2300</v>
      </c>
      <c r="Y465" s="259">
        <v>45557.0</v>
      </c>
      <c r="AB465" s="255">
        <v>544.0</v>
      </c>
      <c r="AD465" s="258" t="s">
        <v>2295</v>
      </c>
      <c r="AE465" s="255" t="s">
        <v>5092</v>
      </c>
      <c r="AF465" s="255" t="s">
        <v>2208</v>
      </c>
      <c r="AG465" s="255">
        <v>290.0</v>
      </c>
    </row>
    <row r="466">
      <c r="A466" s="257">
        <v>45539.82565322917</v>
      </c>
      <c r="B466" s="259">
        <v>45540.0</v>
      </c>
      <c r="F466" s="255" t="s">
        <v>2296</v>
      </c>
      <c r="G466" s="255" t="s">
        <v>2297</v>
      </c>
      <c r="H466" s="255" t="s">
        <v>2298</v>
      </c>
      <c r="I466" s="255" t="s">
        <v>2299</v>
      </c>
      <c r="M466" s="255">
        <v>7000.0</v>
      </c>
      <c r="Q466" s="255" t="s">
        <v>2297</v>
      </c>
      <c r="R466" s="255" t="s">
        <v>2297</v>
      </c>
      <c r="T466" s="255">
        <v>150000.0</v>
      </c>
      <c r="U466" s="255">
        <v>11261.0</v>
      </c>
      <c r="V466" s="255">
        <v>2.0</v>
      </c>
      <c r="W466" s="259">
        <v>45540.0</v>
      </c>
      <c r="X466" s="260" t="s">
        <v>2300</v>
      </c>
      <c r="Y466" s="259">
        <v>45558.0</v>
      </c>
      <c r="AB466" s="255">
        <v>554.0</v>
      </c>
      <c r="AD466" s="258" t="s">
        <v>2301</v>
      </c>
      <c r="AE466" s="255" t="s">
        <v>5092</v>
      </c>
      <c r="AF466" s="255" t="s">
        <v>2208</v>
      </c>
      <c r="AG466" s="255">
        <v>290.0</v>
      </c>
    </row>
    <row r="467">
      <c r="A467" s="257">
        <v>45540.536921990744</v>
      </c>
      <c r="B467" s="259">
        <v>45540.0</v>
      </c>
      <c r="G467" s="255" t="s">
        <v>2302</v>
      </c>
      <c r="H467" s="255" t="s">
        <v>2303</v>
      </c>
      <c r="I467" s="255" t="s">
        <v>2304</v>
      </c>
      <c r="M467" s="255" t="s">
        <v>2305</v>
      </c>
      <c r="Q467" s="255" t="s">
        <v>2302</v>
      </c>
      <c r="R467" s="255" t="s">
        <v>2302</v>
      </c>
      <c r="T467" s="255">
        <v>140000.0</v>
      </c>
      <c r="U467" s="255">
        <v>24815.0</v>
      </c>
      <c r="V467" s="255">
        <v>2.0</v>
      </c>
      <c r="W467" s="259">
        <v>45540.0</v>
      </c>
      <c r="X467" s="260" t="s">
        <v>2221</v>
      </c>
      <c r="Y467" s="259">
        <v>45545.0</v>
      </c>
      <c r="AB467" s="255">
        <v>672.0</v>
      </c>
      <c r="AE467" s="255" t="s">
        <v>64</v>
      </c>
      <c r="AF467" s="255" t="s">
        <v>2208</v>
      </c>
      <c r="AG467" s="255">
        <v>290.0</v>
      </c>
    </row>
    <row r="468">
      <c r="A468" s="257">
        <v>45540.5446046875</v>
      </c>
      <c r="B468" s="259">
        <v>45540.0</v>
      </c>
      <c r="G468" s="255" t="s">
        <v>2302</v>
      </c>
      <c r="H468" s="255" t="s">
        <v>2303</v>
      </c>
      <c r="I468" s="255" t="s">
        <v>2304</v>
      </c>
      <c r="M468" s="255" t="s">
        <v>1527</v>
      </c>
      <c r="Q468" s="255" t="s">
        <v>2302</v>
      </c>
      <c r="R468" s="255" t="s">
        <v>2302</v>
      </c>
      <c r="T468" s="255">
        <v>140000.0</v>
      </c>
      <c r="U468" s="255">
        <v>24815.0</v>
      </c>
      <c r="V468" s="255">
        <v>2.0</v>
      </c>
      <c r="W468" s="259">
        <v>45540.0</v>
      </c>
      <c r="X468" s="260" t="s">
        <v>2221</v>
      </c>
      <c r="Y468" s="259">
        <v>45545.0</v>
      </c>
      <c r="AB468" s="255">
        <v>672.0</v>
      </c>
      <c r="AD468" s="258" t="s">
        <v>2306</v>
      </c>
      <c r="AE468" s="255" t="s">
        <v>64</v>
      </c>
      <c r="AF468" s="255" t="s">
        <v>2208</v>
      </c>
      <c r="AG468" s="255">
        <v>290.0</v>
      </c>
    </row>
    <row r="469">
      <c r="A469" s="257">
        <v>45542.625050104165</v>
      </c>
      <c r="B469" s="259">
        <v>45543.0</v>
      </c>
      <c r="G469" s="255" t="s">
        <v>2308</v>
      </c>
      <c r="Q469" s="255" t="s">
        <v>2269</v>
      </c>
      <c r="R469" s="255" t="s">
        <v>2269</v>
      </c>
      <c r="T469" s="255">
        <v>140000.0</v>
      </c>
      <c r="U469" s="255">
        <v>27589.0</v>
      </c>
      <c r="V469" s="255">
        <v>3.0</v>
      </c>
      <c r="W469" s="259">
        <v>45543.0</v>
      </c>
      <c r="X469" s="260" t="s">
        <v>2231</v>
      </c>
      <c r="Y469" s="259">
        <v>45555.0</v>
      </c>
      <c r="AB469" s="255">
        <v>500.0</v>
      </c>
      <c r="AD469" s="258" t="s">
        <v>2307</v>
      </c>
      <c r="AE469" s="255" t="s">
        <v>92</v>
      </c>
      <c r="AF469" s="255" t="s">
        <v>2270</v>
      </c>
      <c r="AG469" s="255">
        <v>0.0</v>
      </c>
    </row>
    <row r="470">
      <c r="A470" s="257">
        <v>45556.50809819445</v>
      </c>
      <c r="B470" s="259">
        <v>45556.0</v>
      </c>
      <c r="Q470" s="255" t="s">
        <v>2207</v>
      </c>
      <c r="R470" s="255" t="s">
        <v>2207</v>
      </c>
      <c r="AD470" s="258" t="s">
        <v>2309</v>
      </c>
      <c r="AE470" s="255" t="s">
        <v>155</v>
      </c>
    </row>
    <row r="471">
      <c r="A471" s="257">
        <v>45556.519940266204</v>
      </c>
      <c r="B471" s="259">
        <v>45556.0</v>
      </c>
      <c r="F471" s="255" t="s">
        <v>2311</v>
      </c>
      <c r="G471" s="255" t="s">
        <v>2312</v>
      </c>
      <c r="M471" s="255">
        <v>7000.0</v>
      </c>
      <c r="Q471" s="255" t="s">
        <v>2207</v>
      </c>
      <c r="R471" s="255" t="s">
        <v>2207</v>
      </c>
      <c r="T471" s="255">
        <v>160000.0</v>
      </c>
      <c r="W471" s="259">
        <v>45464.0</v>
      </c>
      <c r="X471" s="260" t="s">
        <v>2221</v>
      </c>
      <c r="Y471" s="259">
        <v>45466.0</v>
      </c>
      <c r="AB471" s="255">
        <v>800.0</v>
      </c>
      <c r="AD471" s="258" t="s">
        <v>2310</v>
      </c>
      <c r="AE471" s="255" t="s">
        <v>928</v>
      </c>
      <c r="AF471" s="255" t="s">
        <v>2208</v>
      </c>
      <c r="AG471" s="255">
        <v>0.0</v>
      </c>
    </row>
    <row r="472">
      <c r="A472" s="257">
        <v>45556.607411585646</v>
      </c>
      <c r="B472" s="259">
        <v>45556.0</v>
      </c>
      <c r="M472" s="255">
        <v>8000.0</v>
      </c>
      <c r="Q472" s="255" t="s">
        <v>2269</v>
      </c>
      <c r="R472" s="255" t="s">
        <v>2269</v>
      </c>
      <c r="T472" s="255">
        <v>90000.0</v>
      </c>
      <c r="W472" s="259">
        <v>45556.0</v>
      </c>
      <c r="X472" s="260" t="s">
        <v>2215</v>
      </c>
      <c r="Y472" s="259">
        <v>45576.0</v>
      </c>
      <c r="AB472" s="255">
        <v>330.0</v>
      </c>
      <c r="AD472" s="258" t="s">
        <v>2314</v>
      </c>
      <c r="AE472" s="255" t="s">
        <v>427</v>
      </c>
      <c r="AF472" s="255" t="s">
        <v>2208</v>
      </c>
      <c r="AG472" s="255">
        <v>0.0</v>
      </c>
    </row>
    <row r="473">
      <c r="A473" s="257">
        <v>45557.64620372685</v>
      </c>
      <c r="B473" s="259">
        <v>45557.0</v>
      </c>
      <c r="F473" s="255" t="s">
        <v>2316</v>
      </c>
      <c r="G473" s="255" t="s">
        <v>2317</v>
      </c>
      <c r="H473" s="255" t="s">
        <v>2318</v>
      </c>
      <c r="I473" s="255">
        <v>8.9263994612E10</v>
      </c>
      <c r="M473" s="255">
        <v>3000.0</v>
      </c>
      <c r="Q473" s="255" t="s">
        <v>2207</v>
      </c>
      <c r="R473" s="255" t="s">
        <v>2207</v>
      </c>
      <c r="T473" s="255">
        <v>100000.0</v>
      </c>
      <c r="V473" s="255">
        <v>2.0</v>
      </c>
      <c r="W473" s="259">
        <v>45564.0</v>
      </c>
      <c r="X473" s="260" t="s">
        <v>2231</v>
      </c>
      <c r="Y473" s="259">
        <v>45567.0</v>
      </c>
      <c r="AB473" s="255">
        <v>347.0</v>
      </c>
      <c r="AD473" s="258" t="s">
        <v>2315</v>
      </c>
      <c r="AE473" s="255" t="s">
        <v>68</v>
      </c>
      <c r="AF473" s="255" t="s">
        <v>2208</v>
      </c>
      <c r="AG473" s="255">
        <v>490.0</v>
      </c>
    </row>
    <row r="474">
      <c r="A474" s="257">
        <v>45559.591559050925</v>
      </c>
      <c r="B474" s="259">
        <v>45555.0</v>
      </c>
      <c r="M474" s="255" t="s">
        <v>515</v>
      </c>
      <c r="Q474" s="255" t="s">
        <v>2207</v>
      </c>
      <c r="R474" s="255" t="s">
        <v>2207</v>
      </c>
      <c r="T474" s="255">
        <v>140000.0</v>
      </c>
      <c r="U474" s="255">
        <v>34500.0</v>
      </c>
      <c r="V474" s="255">
        <v>2.0</v>
      </c>
      <c r="W474" s="259">
        <v>45555.0</v>
      </c>
      <c r="X474" s="260" t="s">
        <v>2209</v>
      </c>
      <c r="Y474" s="259">
        <v>45563.0</v>
      </c>
      <c r="AB474" s="255">
        <v>571.0</v>
      </c>
      <c r="AD474" s="258" t="s">
        <v>2319</v>
      </c>
      <c r="AE474" s="255" t="s">
        <v>142</v>
      </c>
      <c r="AF474" s="255" t="s">
        <v>2320</v>
      </c>
      <c r="AG474" s="255">
        <v>0.0</v>
      </c>
    </row>
    <row r="475">
      <c r="A475" s="257">
        <v>45568.53610298611</v>
      </c>
      <c r="B475" s="259">
        <v>45570.0</v>
      </c>
      <c r="F475" s="255" t="s">
        <v>2322</v>
      </c>
      <c r="G475" s="255" t="s">
        <v>2323</v>
      </c>
      <c r="M475" s="255">
        <v>7000.0</v>
      </c>
      <c r="Q475" s="255" t="s">
        <v>2323</v>
      </c>
      <c r="R475" s="255" t="s">
        <v>2323</v>
      </c>
      <c r="T475" s="255">
        <v>180000.0</v>
      </c>
      <c r="U475" s="255">
        <v>1200.0</v>
      </c>
      <c r="V475" s="255">
        <v>2.0</v>
      </c>
      <c r="W475" s="259">
        <v>45570.0</v>
      </c>
      <c r="X475" s="260" t="s">
        <v>2324</v>
      </c>
      <c r="Y475" s="259">
        <v>45641.0</v>
      </c>
      <c r="AB475" s="255">
        <v>506.0</v>
      </c>
      <c r="AD475" s="258" t="s">
        <v>2321</v>
      </c>
      <c r="AE475" s="255" t="s">
        <v>928</v>
      </c>
      <c r="AF475" s="255" t="s">
        <v>2208</v>
      </c>
      <c r="AG475" s="255">
        <v>0.0</v>
      </c>
    </row>
    <row r="476">
      <c r="A476" s="257">
        <v>45568.57200564815</v>
      </c>
      <c r="B476" s="259">
        <v>45568.0</v>
      </c>
      <c r="M476" s="255">
        <v>0.0</v>
      </c>
      <c r="Q476" s="255" t="s">
        <v>2207</v>
      </c>
      <c r="R476" s="255" t="s">
        <v>2207</v>
      </c>
      <c r="T476" s="255">
        <v>300000.0</v>
      </c>
      <c r="U476" s="255">
        <v>3000.0</v>
      </c>
      <c r="V476" s="255">
        <v>1.0</v>
      </c>
      <c r="W476" s="259">
        <v>45568.0</v>
      </c>
      <c r="X476" s="260" t="s">
        <v>2221</v>
      </c>
      <c r="Y476" s="259">
        <v>45573.0</v>
      </c>
      <c r="AB476" s="255">
        <v>1500.0</v>
      </c>
      <c r="AD476" s="258" t="s">
        <v>2325</v>
      </c>
      <c r="AE476" s="255" t="s">
        <v>1512</v>
      </c>
      <c r="AF476" s="255" t="s">
        <v>2320</v>
      </c>
      <c r="AG476" s="255">
        <v>0.0</v>
      </c>
    </row>
    <row r="477">
      <c r="A477" s="257">
        <v>45573.32884886574</v>
      </c>
      <c r="B477" s="259">
        <v>45573.0</v>
      </c>
      <c r="F477" s="255" t="s">
        <v>2327</v>
      </c>
      <c r="G477" s="255" t="s">
        <v>2328</v>
      </c>
      <c r="H477" s="255" t="s">
        <v>2329</v>
      </c>
      <c r="M477" s="255">
        <v>3000.0</v>
      </c>
      <c r="Q477" s="255" t="s">
        <v>2207</v>
      </c>
      <c r="R477" s="255" t="s">
        <v>2207</v>
      </c>
      <c r="T477" s="255">
        <v>70000.0</v>
      </c>
      <c r="U477" s="255">
        <v>31000.0</v>
      </c>
      <c r="V477" s="255">
        <v>2.0</v>
      </c>
      <c r="W477" s="259">
        <v>45573.0</v>
      </c>
      <c r="X477" s="260" t="s">
        <v>2330</v>
      </c>
      <c r="Y477" s="259">
        <v>45604.0</v>
      </c>
      <c r="AC477" s="255">
        <v>6490.0</v>
      </c>
      <c r="AD477" s="258" t="s">
        <v>2326</v>
      </c>
      <c r="AE477" s="255" t="s">
        <v>185</v>
      </c>
      <c r="AF477" s="255" t="s">
        <v>2320</v>
      </c>
      <c r="AG477" s="255">
        <v>0.0</v>
      </c>
    </row>
    <row r="478">
      <c r="A478" s="257">
        <v>45573.64294893519</v>
      </c>
      <c r="B478" s="259">
        <v>45576.0</v>
      </c>
      <c r="F478" s="255" t="s">
        <v>2332</v>
      </c>
      <c r="G478" s="255" t="s">
        <v>2333</v>
      </c>
      <c r="M478" s="255">
        <v>7000.0</v>
      </c>
      <c r="Q478" s="255" t="s">
        <v>2333</v>
      </c>
      <c r="R478" s="255" t="s">
        <v>2333</v>
      </c>
      <c r="T478" s="255">
        <v>190000.0</v>
      </c>
      <c r="U478" s="255">
        <v>4000.0</v>
      </c>
      <c r="V478" s="255">
        <v>2.0</v>
      </c>
      <c r="W478" s="259">
        <v>45576.0</v>
      </c>
      <c r="X478" s="260" t="s">
        <v>2246</v>
      </c>
      <c r="Y478" s="259">
        <v>45589.0</v>
      </c>
      <c r="AB478" s="255">
        <v>733.0</v>
      </c>
      <c r="AD478" s="258" t="s">
        <v>2331</v>
      </c>
      <c r="AE478" s="255" t="s">
        <v>941</v>
      </c>
      <c r="AF478" s="255" t="s">
        <v>2208</v>
      </c>
      <c r="AG478" s="255">
        <v>390.0</v>
      </c>
    </row>
    <row r="479">
      <c r="A479" s="257">
        <v>45573.666943923614</v>
      </c>
      <c r="B479" s="259">
        <v>45573.0</v>
      </c>
      <c r="F479" s="255" t="s">
        <v>2335</v>
      </c>
      <c r="G479" s="255" t="s">
        <v>2336</v>
      </c>
      <c r="M479" s="255">
        <v>7000.0</v>
      </c>
      <c r="Q479" s="255" t="s">
        <v>2207</v>
      </c>
      <c r="R479" s="255" t="s">
        <v>2207</v>
      </c>
      <c r="T479" s="255">
        <v>190000.0</v>
      </c>
      <c r="W479" s="259">
        <v>45629.0</v>
      </c>
      <c r="X479" s="260" t="s">
        <v>2330</v>
      </c>
      <c r="Y479" s="259">
        <v>45634.0</v>
      </c>
      <c r="AB479" s="255">
        <v>958.0</v>
      </c>
      <c r="AD479" s="258" t="s">
        <v>2334</v>
      </c>
      <c r="AE479" s="255" t="s">
        <v>928</v>
      </c>
      <c r="AF479" s="255" t="s">
        <v>2208</v>
      </c>
      <c r="AG479" s="255">
        <v>0.0</v>
      </c>
    </row>
    <row r="480">
      <c r="A480" s="257">
        <v>45573.690431689814</v>
      </c>
      <c r="B480" s="259">
        <v>45573.0</v>
      </c>
      <c r="F480" s="255" t="s">
        <v>2338</v>
      </c>
      <c r="G480" s="255" t="s">
        <v>2339</v>
      </c>
      <c r="M480" s="255">
        <v>7000.0</v>
      </c>
      <c r="Q480" s="255" t="s">
        <v>2339</v>
      </c>
      <c r="R480" s="255" t="s">
        <v>2339</v>
      </c>
      <c r="T480" s="255">
        <v>190000.0</v>
      </c>
      <c r="V480" s="255">
        <v>3.0</v>
      </c>
      <c r="W480" s="259">
        <v>45641.0</v>
      </c>
      <c r="X480" s="260" t="s">
        <v>2221</v>
      </c>
      <c r="Y480" s="259">
        <v>45672.0</v>
      </c>
      <c r="AA480" s="255" t="s">
        <v>2340</v>
      </c>
      <c r="AB480" s="255">
        <v>660.0</v>
      </c>
      <c r="AD480" s="258" t="s">
        <v>2337</v>
      </c>
      <c r="AE480" s="255" t="s">
        <v>941</v>
      </c>
      <c r="AF480" s="255" t="s">
        <v>2208</v>
      </c>
      <c r="AG480" s="255">
        <v>290.0</v>
      </c>
    </row>
    <row r="481">
      <c r="A481" s="257">
        <v>45573.7188455787</v>
      </c>
      <c r="B481" s="259">
        <v>45585.0</v>
      </c>
      <c r="F481" s="255" t="s">
        <v>2342</v>
      </c>
      <c r="G481" s="255" t="s">
        <v>2343</v>
      </c>
      <c r="M481" s="255">
        <v>0.0</v>
      </c>
      <c r="Q481" s="255" t="s">
        <v>2343</v>
      </c>
      <c r="R481" s="255" t="s">
        <v>2343</v>
      </c>
      <c r="T481" s="255">
        <v>180000.0</v>
      </c>
      <c r="V481" s="255">
        <v>2.0</v>
      </c>
      <c r="W481" s="259">
        <v>45646.0</v>
      </c>
      <c r="X481" s="260" t="s">
        <v>2221</v>
      </c>
      <c r="Y481" s="259">
        <v>45672.0</v>
      </c>
      <c r="AA481" s="255" t="s">
        <v>2344</v>
      </c>
      <c r="AB481" s="255">
        <v>622.0</v>
      </c>
      <c r="AD481" s="258" t="s">
        <v>2341</v>
      </c>
      <c r="AE481" s="255" t="s">
        <v>5092</v>
      </c>
      <c r="AF481" s="255" t="s">
        <v>2208</v>
      </c>
      <c r="AG481" s="255">
        <v>290.0</v>
      </c>
    </row>
    <row r="482">
      <c r="A482" s="257">
        <v>45573.724098402774</v>
      </c>
      <c r="B482" s="259">
        <v>45573.0</v>
      </c>
      <c r="G482" s="255" t="s">
        <v>2346</v>
      </c>
      <c r="M482" s="255">
        <v>0.0</v>
      </c>
      <c r="Q482" s="255" t="s">
        <v>2346</v>
      </c>
      <c r="R482" s="255" t="s">
        <v>2346</v>
      </c>
      <c r="T482" s="255">
        <v>180000.0</v>
      </c>
      <c r="V482" s="255">
        <v>0.0</v>
      </c>
      <c r="W482" s="259">
        <v>45646.0</v>
      </c>
      <c r="X482" s="260" t="s">
        <v>2235</v>
      </c>
      <c r="Y482" s="259">
        <v>45672.0</v>
      </c>
      <c r="AB482" s="255">
        <v>622.0</v>
      </c>
      <c r="AD482" s="258" t="s">
        <v>2345</v>
      </c>
      <c r="AE482" s="255" t="s">
        <v>113</v>
      </c>
      <c r="AF482" s="255" t="s">
        <v>2208</v>
      </c>
      <c r="AG482" s="255">
        <v>290.0</v>
      </c>
    </row>
    <row r="483">
      <c r="A483" s="257">
        <v>45574.44308159722</v>
      </c>
      <c r="B483" s="259">
        <v>45574.0</v>
      </c>
      <c r="F483" s="255" t="s">
        <v>2348</v>
      </c>
      <c r="G483" s="255" t="s">
        <v>2349</v>
      </c>
      <c r="H483" s="255">
        <v>8.9269726284E10</v>
      </c>
      <c r="M483" s="255">
        <v>5000.0</v>
      </c>
      <c r="Q483" s="255" t="s">
        <v>2349</v>
      </c>
      <c r="R483" s="255" t="s">
        <v>2349</v>
      </c>
      <c r="T483" s="255">
        <v>140000.0</v>
      </c>
      <c r="V483" s="255">
        <v>2.0</v>
      </c>
      <c r="W483" s="259">
        <v>45648.0</v>
      </c>
      <c r="X483" s="260" t="s">
        <v>2265</v>
      </c>
      <c r="Y483" s="259">
        <v>45663.0</v>
      </c>
      <c r="AA483" s="255" t="s">
        <v>2350</v>
      </c>
      <c r="AB483" s="255">
        <v>662.0</v>
      </c>
      <c r="AD483" s="258" t="s">
        <v>2347</v>
      </c>
      <c r="AE483" s="255" t="s">
        <v>64</v>
      </c>
      <c r="AF483" s="255" t="s">
        <v>2208</v>
      </c>
      <c r="AG483" s="255">
        <v>290.0</v>
      </c>
    </row>
    <row r="484">
      <c r="A484" s="257">
        <v>45574.44599414352</v>
      </c>
      <c r="B484" s="259">
        <v>45648.0</v>
      </c>
      <c r="F484" s="255" t="s">
        <v>2348</v>
      </c>
      <c r="G484" s="255" t="s">
        <v>2349</v>
      </c>
      <c r="H484" s="255">
        <v>8.9269726284E10</v>
      </c>
      <c r="M484" s="255">
        <v>3000.0</v>
      </c>
      <c r="Q484" s="255" t="s">
        <v>2349</v>
      </c>
      <c r="R484" s="255" t="s">
        <v>2349</v>
      </c>
      <c r="T484" s="255">
        <v>70000.0</v>
      </c>
      <c r="V484" s="255">
        <v>2.0</v>
      </c>
      <c r="W484" s="259">
        <v>45648.0</v>
      </c>
      <c r="X484" s="260" t="s">
        <v>2265</v>
      </c>
      <c r="Y484" s="259">
        <v>45663.0</v>
      </c>
      <c r="AA484" s="255" t="s">
        <v>2352</v>
      </c>
      <c r="AB484" s="255">
        <v>376.0</v>
      </c>
      <c r="AD484" s="258" t="s">
        <v>2351</v>
      </c>
      <c r="AE484" s="255" t="s">
        <v>73</v>
      </c>
      <c r="AF484" s="255" t="s">
        <v>2208</v>
      </c>
      <c r="AG484" s="255">
        <v>290.0</v>
      </c>
    </row>
    <row r="485">
      <c r="A485" s="257">
        <v>45574.47449969908</v>
      </c>
      <c r="B485" s="259">
        <v>45574.0</v>
      </c>
      <c r="G485" s="255" t="s">
        <v>2354</v>
      </c>
      <c r="M485" s="255">
        <v>20000.0</v>
      </c>
      <c r="Q485" s="255" t="s">
        <v>2354</v>
      </c>
      <c r="R485" s="255" t="s">
        <v>2354</v>
      </c>
      <c r="T485" s="255">
        <v>140000.0</v>
      </c>
      <c r="U485" s="255">
        <v>22000.0</v>
      </c>
      <c r="V485" s="255">
        <v>2.0</v>
      </c>
      <c r="W485" s="259">
        <v>45588.0</v>
      </c>
      <c r="X485" s="260" t="s">
        <v>2324</v>
      </c>
      <c r="Y485" s="259">
        <v>45595.0</v>
      </c>
      <c r="AA485" s="255" t="s">
        <v>2355</v>
      </c>
      <c r="AB485" s="255">
        <v>1290.0</v>
      </c>
      <c r="AD485" s="258" t="s">
        <v>2353</v>
      </c>
      <c r="AE485" s="255" t="s">
        <v>438</v>
      </c>
      <c r="AF485" s="255" t="s">
        <v>2208</v>
      </c>
      <c r="AG485" s="255">
        <v>390.0</v>
      </c>
    </row>
    <row r="486">
      <c r="A486" s="257">
        <v>45576.57758880787</v>
      </c>
      <c r="B486" s="259">
        <v>45576.0</v>
      </c>
      <c r="G486" s="255" t="s">
        <v>2357</v>
      </c>
      <c r="H486" s="255" t="s">
        <v>2358</v>
      </c>
      <c r="M486" s="255" t="s">
        <v>985</v>
      </c>
      <c r="Q486" s="255" t="s">
        <v>2333</v>
      </c>
      <c r="R486" s="255" t="s">
        <v>2357</v>
      </c>
      <c r="T486" s="255">
        <v>190000.0</v>
      </c>
      <c r="U486" s="255">
        <v>4000.0</v>
      </c>
      <c r="V486" s="255">
        <v>3.0</v>
      </c>
      <c r="W486" s="259">
        <v>45576.0</v>
      </c>
      <c r="X486" s="260" t="s">
        <v>2246</v>
      </c>
      <c r="Y486" s="259">
        <v>45589.0</v>
      </c>
      <c r="AB486" s="255">
        <v>733.0</v>
      </c>
      <c r="AD486" s="258" t="s">
        <v>2356</v>
      </c>
      <c r="AE486" s="255" t="s">
        <v>941</v>
      </c>
      <c r="AF486" s="255" t="s">
        <v>2208</v>
      </c>
      <c r="AG486" s="255">
        <v>390.0</v>
      </c>
    </row>
    <row r="487">
      <c r="A487" s="257">
        <v>45577.37376696759</v>
      </c>
      <c r="B487" s="259">
        <v>45577.0</v>
      </c>
      <c r="G487" s="255" t="s">
        <v>2360</v>
      </c>
      <c r="M487" s="255">
        <v>3000.0</v>
      </c>
      <c r="Q487" s="255" t="s">
        <v>2360</v>
      </c>
      <c r="R487" s="255" t="s">
        <v>2360</v>
      </c>
      <c r="T487" s="255">
        <v>90000.0</v>
      </c>
      <c r="U487" s="255">
        <v>27473.0</v>
      </c>
      <c r="V487" s="255">
        <v>2.0</v>
      </c>
      <c r="W487" s="259">
        <v>45577.0</v>
      </c>
      <c r="X487" s="260" t="s">
        <v>2262</v>
      </c>
      <c r="Y487" s="259" t="s">
        <v>2361</v>
      </c>
      <c r="AB487" s="255">
        <v>361.0</v>
      </c>
      <c r="AD487" s="258" t="s">
        <v>2359</v>
      </c>
      <c r="AE487" s="255" t="s">
        <v>77</v>
      </c>
      <c r="AF487" s="255" t="s">
        <v>2208</v>
      </c>
      <c r="AG487" s="255">
        <v>390.0</v>
      </c>
    </row>
    <row r="488">
      <c r="A488" s="257">
        <v>45577.50002743056</v>
      </c>
      <c r="B488" s="259">
        <v>45590.0</v>
      </c>
      <c r="G488" s="255" t="s">
        <v>2363</v>
      </c>
      <c r="M488" s="255">
        <v>25000.0</v>
      </c>
      <c r="T488" s="255">
        <v>270000.0</v>
      </c>
      <c r="V488" s="255">
        <v>2.0</v>
      </c>
      <c r="W488" s="259">
        <v>45590.0</v>
      </c>
      <c r="X488" s="260" t="s">
        <v>2235</v>
      </c>
      <c r="Y488" s="259">
        <v>45602.0</v>
      </c>
      <c r="AA488" s="255" t="s">
        <v>1550</v>
      </c>
      <c r="AB488" s="255">
        <v>1600.0</v>
      </c>
      <c r="AD488" s="258" t="s">
        <v>2362</v>
      </c>
      <c r="AE488" s="255" t="s">
        <v>1512</v>
      </c>
      <c r="AF488" s="255" t="s">
        <v>2208</v>
      </c>
    </row>
    <row r="489">
      <c r="A489" s="257">
        <v>45577.528216516206</v>
      </c>
      <c r="B489" s="259">
        <v>45584.0</v>
      </c>
      <c r="F489" s="255" t="s">
        <v>2365</v>
      </c>
      <c r="G489" s="255" t="s">
        <v>2244</v>
      </c>
      <c r="M489" s="255">
        <v>7000.0</v>
      </c>
      <c r="Q489" s="255" t="s">
        <v>2244</v>
      </c>
      <c r="R489" s="255" t="s">
        <v>2244</v>
      </c>
      <c r="T489" s="255">
        <v>130000.0</v>
      </c>
      <c r="U489" s="255">
        <v>1240.0</v>
      </c>
      <c r="V489" s="255">
        <v>3.0</v>
      </c>
      <c r="W489" s="259">
        <v>45584.0</v>
      </c>
      <c r="Y489" s="259">
        <v>45590.0</v>
      </c>
      <c r="AB489" s="255">
        <v>803.0</v>
      </c>
      <c r="AD489" s="258" t="s">
        <v>2364</v>
      </c>
      <c r="AE489" s="255" t="s">
        <v>5092</v>
      </c>
      <c r="AF489" s="255" t="s">
        <v>2208</v>
      </c>
      <c r="AG489" s="255">
        <v>290.0</v>
      </c>
    </row>
    <row r="490">
      <c r="A490" s="257">
        <v>45578.449411435184</v>
      </c>
      <c r="B490" s="259">
        <v>45578.0</v>
      </c>
      <c r="G490" s="255" t="s">
        <v>2367</v>
      </c>
      <c r="M490" s="255">
        <v>3000.0</v>
      </c>
      <c r="Q490" s="255" t="s">
        <v>2368</v>
      </c>
      <c r="R490" s="255" t="s">
        <v>2368</v>
      </c>
      <c r="T490" s="255">
        <v>80000.0</v>
      </c>
      <c r="U490" s="255">
        <v>27466.0</v>
      </c>
      <c r="V490" s="255">
        <v>1.0</v>
      </c>
      <c r="W490" s="259">
        <v>45578.0</v>
      </c>
      <c r="X490" s="260" t="s">
        <v>2265</v>
      </c>
      <c r="Y490" s="259">
        <v>45591.0</v>
      </c>
      <c r="AB490" s="255">
        <v>361.0</v>
      </c>
      <c r="AD490" s="258" t="s">
        <v>2366</v>
      </c>
      <c r="AE490" s="255" t="s">
        <v>151</v>
      </c>
      <c r="AF490" s="255" t="s">
        <v>2208</v>
      </c>
      <c r="AG490" s="255">
        <v>390.0</v>
      </c>
    </row>
    <row r="491">
      <c r="A491" s="257">
        <v>45578.47190996528</v>
      </c>
      <c r="B491" s="259">
        <v>45578.0</v>
      </c>
      <c r="G491" s="255" t="s">
        <v>2368</v>
      </c>
      <c r="M491" s="255">
        <v>3000.0</v>
      </c>
      <c r="Q491" s="255" t="s">
        <v>2368</v>
      </c>
      <c r="R491" s="255" t="s">
        <v>2368</v>
      </c>
      <c r="T491" s="255">
        <v>90000.0</v>
      </c>
      <c r="U491" s="255">
        <v>27466.0</v>
      </c>
      <c r="V491" s="255">
        <v>1.0</v>
      </c>
      <c r="W491" s="259">
        <v>45578.0</v>
      </c>
      <c r="X491" s="260" t="s">
        <v>2265</v>
      </c>
      <c r="Y491" s="259">
        <v>45589.0</v>
      </c>
      <c r="AB491" s="255">
        <v>361.0</v>
      </c>
      <c r="AD491" s="258" t="s">
        <v>2369</v>
      </c>
      <c r="AE491" s="255" t="s">
        <v>151</v>
      </c>
      <c r="AF491" s="255" t="s">
        <v>2208</v>
      </c>
      <c r="AG491" s="255">
        <v>390.0</v>
      </c>
    </row>
    <row r="492">
      <c r="A492" s="257">
        <v>45578.4830665162</v>
      </c>
      <c r="B492" s="259">
        <v>45578.0</v>
      </c>
      <c r="M492" s="255">
        <v>3000.0</v>
      </c>
      <c r="Q492" s="255" t="s">
        <v>2371</v>
      </c>
      <c r="R492" s="255" t="s">
        <v>2371</v>
      </c>
      <c r="T492" s="255">
        <v>70000.0</v>
      </c>
      <c r="V492" s="255">
        <v>2.0</v>
      </c>
      <c r="W492" s="259">
        <v>45578.0</v>
      </c>
      <c r="X492" s="260" t="s">
        <v>2330</v>
      </c>
      <c r="Y492" s="259">
        <v>45589.0</v>
      </c>
      <c r="AB492" s="255">
        <v>355.0</v>
      </c>
      <c r="AD492" s="258" t="s">
        <v>2370</v>
      </c>
      <c r="AE492" s="255" t="s">
        <v>151</v>
      </c>
      <c r="AF492" s="255" t="s">
        <v>2208</v>
      </c>
      <c r="AG492" s="255">
        <v>390.0</v>
      </c>
    </row>
    <row r="493">
      <c r="A493" s="257">
        <v>45581.483221111106</v>
      </c>
      <c r="B493" s="259">
        <v>45581.0</v>
      </c>
      <c r="G493" s="255" t="s">
        <v>2373</v>
      </c>
      <c r="H493" s="255" t="s">
        <v>2374</v>
      </c>
      <c r="M493" s="255">
        <v>1950.0</v>
      </c>
      <c r="Q493" s="255" t="s">
        <v>2207</v>
      </c>
      <c r="R493" s="255" t="s">
        <v>2207</v>
      </c>
      <c r="T493" s="255">
        <v>70000.0</v>
      </c>
      <c r="U493" s="255">
        <v>24800.0</v>
      </c>
      <c r="V493" s="255">
        <v>2.0</v>
      </c>
      <c r="W493" s="259">
        <v>45581.0</v>
      </c>
      <c r="X493" s="260" t="s">
        <v>2265</v>
      </c>
      <c r="Y493" s="259">
        <v>45584.0</v>
      </c>
      <c r="AB493" s="255">
        <v>350.0</v>
      </c>
      <c r="AD493" s="258" t="s">
        <v>2372</v>
      </c>
      <c r="AE493" s="255" t="s">
        <v>26</v>
      </c>
      <c r="AF493" s="255" t="s">
        <v>2242</v>
      </c>
      <c r="AG493" s="255">
        <v>0.0</v>
      </c>
    </row>
    <row r="494">
      <c r="A494" s="257">
        <v>45585.71144322917</v>
      </c>
      <c r="B494" s="259">
        <v>45586.0</v>
      </c>
      <c r="G494" s="255" t="s">
        <v>2377</v>
      </c>
      <c r="H494" s="255" t="s">
        <v>2378</v>
      </c>
      <c r="M494" s="255" t="s">
        <v>985</v>
      </c>
      <c r="Q494" s="255" t="s">
        <v>2377</v>
      </c>
      <c r="R494" s="255" t="s">
        <v>2377</v>
      </c>
      <c r="T494" s="255">
        <v>180000.0</v>
      </c>
      <c r="U494" s="255">
        <v>13000.0</v>
      </c>
      <c r="V494" s="255">
        <v>2.0</v>
      </c>
      <c r="W494" s="259">
        <v>45586.0</v>
      </c>
      <c r="X494" s="260" t="s">
        <v>2324</v>
      </c>
      <c r="Y494" s="259">
        <v>45596.0</v>
      </c>
      <c r="AB494" s="255">
        <v>767.0</v>
      </c>
      <c r="AD494" s="258" t="s">
        <v>2376</v>
      </c>
      <c r="AE494" s="255" t="s">
        <v>951</v>
      </c>
      <c r="AF494" s="255" t="s">
        <v>2208</v>
      </c>
      <c r="AG494" s="255">
        <v>390.0</v>
      </c>
    </row>
    <row r="495">
      <c r="A495" s="257">
        <v>45587.93363835648</v>
      </c>
      <c r="B495" s="259">
        <v>45618.0</v>
      </c>
      <c r="H495" s="255" t="s">
        <v>2380</v>
      </c>
      <c r="M495" s="255">
        <v>3000.0</v>
      </c>
      <c r="T495" s="255">
        <v>80000.0</v>
      </c>
      <c r="U495" s="255">
        <v>27794.0</v>
      </c>
      <c r="V495" s="255">
        <v>2.0</v>
      </c>
      <c r="W495" s="259">
        <v>45639.0</v>
      </c>
      <c r="X495" s="260" t="s">
        <v>2324</v>
      </c>
      <c r="Y495" s="259">
        <v>45670.0</v>
      </c>
      <c r="AB495" s="255">
        <v>292.0</v>
      </c>
      <c r="AD495" s="258" t="s">
        <v>2379</v>
      </c>
      <c r="AE495" s="255" t="s">
        <v>151</v>
      </c>
      <c r="AF495" s="255" t="s">
        <v>2208</v>
      </c>
      <c r="AG495" s="255">
        <v>390.0</v>
      </c>
    </row>
    <row r="496">
      <c r="A496" s="257">
        <v>45588.69537428241</v>
      </c>
      <c r="B496" s="259">
        <v>45588.0</v>
      </c>
      <c r="F496" s="255" t="s">
        <v>2382</v>
      </c>
      <c r="G496" s="255" t="s">
        <v>2383</v>
      </c>
      <c r="H496" s="255" t="s">
        <v>2384</v>
      </c>
      <c r="M496" s="255">
        <v>7000.0</v>
      </c>
      <c r="Q496" s="255" t="s">
        <v>2383</v>
      </c>
      <c r="R496" s="255" t="s">
        <v>2383</v>
      </c>
      <c r="T496" s="255">
        <v>180000.0</v>
      </c>
      <c r="V496" s="255">
        <v>0.0</v>
      </c>
      <c r="W496" s="259">
        <v>45622.0</v>
      </c>
      <c r="X496" s="260" t="s">
        <v>2324</v>
      </c>
      <c r="Y496" s="259">
        <v>45655.0</v>
      </c>
      <c r="AB496" s="255">
        <v>610.0</v>
      </c>
      <c r="AD496" s="258" t="s">
        <v>2381</v>
      </c>
      <c r="AE496" s="255" t="s">
        <v>951</v>
      </c>
      <c r="AF496" s="255" t="s">
        <v>2208</v>
      </c>
      <c r="AG496" s="255">
        <v>390.0</v>
      </c>
    </row>
    <row r="497">
      <c r="A497" s="257">
        <v>45590.541353900466</v>
      </c>
      <c r="B497" s="259">
        <v>45590.0</v>
      </c>
      <c r="G497" s="255" t="s">
        <v>2386</v>
      </c>
      <c r="M497" s="255">
        <v>20000.0</v>
      </c>
      <c r="Q497" s="255" t="s">
        <v>2387</v>
      </c>
      <c r="R497" s="255" t="s">
        <v>2387</v>
      </c>
      <c r="T497" s="255">
        <v>220000.0</v>
      </c>
      <c r="U497" s="255">
        <v>42000.0</v>
      </c>
      <c r="V497" s="255">
        <v>0.0</v>
      </c>
      <c r="W497" s="259">
        <v>45583.0</v>
      </c>
      <c r="X497" s="260" t="s">
        <v>2215</v>
      </c>
      <c r="Y497" s="259">
        <v>45583.0</v>
      </c>
      <c r="AB497" s="255">
        <v>1300.0</v>
      </c>
      <c r="AD497" s="258" t="s">
        <v>2385</v>
      </c>
      <c r="AE497" s="255" t="s">
        <v>102</v>
      </c>
      <c r="AF497" s="255" t="s">
        <v>2208</v>
      </c>
      <c r="AG497" s="255">
        <v>390.0</v>
      </c>
    </row>
    <row r="498">
      <c r="A498" s="257">
        <v>45594.77420905093</v>
      </c>
      <c r="B498" s="259">
        <v>45594.0</v>
      </c>
      <c r="F498" s="255" t="s">
        <v>2389</v>
      </c>
      <c r="G498" s="255" t="s">
        <v>2390</v>
      </c>
      <c r="M498" s="255">
        <v>7000.0</v>
      </c>
      <c r="Q498" s="255" t="s">
        <v>2390</v>
      </c>
      <c r="R498" s="255" t="s">
        <v>2390</v>
      </c>
      <c r="T498" s="255">
        <v>180000.0</v>
      </c>
      <c r="V498" s="255">
        <v>2.0</v>
      </c>
      <c r="W498" s="259">
        <v>45669.0</v>
      </c>
      <c r="X498" s="260" t="s">
        <v>2391</v>
      </c>
      <c r="Y498" s="259">
        <v>45676.0</v>
      </c>
      <c r="AB498" s="255">
        <v>892.0</v>
      </c>
      <c r="AD498" s="258" t="s">
        <v>2388</v>
      </c>
      <c r="AE498" s="255" t="s">
        <v>951</v>
      </c>
      <c r="AF498" s="255" t="s">
        <v>2208</v>
      </c>
      <c r="AG498" s="255">
        <v>290.0</v>
      </c>
    </row>
    <row r="499">
      <c r="A499" s="257">
        <v>45594.77815690972</v>
      </c>
      <c r="B499" s="259">
        <v>45594.0</v>
      </c>
      <c r="F499" s="255" t="s">
        <v>2389</v>
      </c>
      <c r="G499" s="255" t="s">
        <v>2390</v>
      </c>
      <c r="M499" s="255">
        <v>3000.0</v>
      </c>
      <c r="Q499" s="255" t="s">
        <v>2390</v>
      </c>
      <c r="R499" s="255" t="s">
        <v>2390</v>
      </c>
      <c r="T499" s="255">
        <v>85000.0</v>
      </c>
      <c r="V499" s="255">
        <v>2.0</v>
      </c>
      <c r="W499" s="259">
        <v>45676.0</v>
      </c>
      <c r="X499" s="260" t="s">
        <v>2391</v>
      </c>
      <c r="Y499" s="259">
        <v>45690.0</v>
      </c>
      <c r="AB499" s="255">
        <v>343.0</v>
      </c>
      <c r="AD499" s="258" t="s">
        <v>2392</v>
      </c>
      <c r="AE499" s="255" t="s">
        <v>77</v>
      </c>
      <c r="AF499" s="255" t="s">
        <v>2208</v>
      </c>
      <c r="AG499" s="255">
        <v>290.0</v>
      </c>
    </row>
    <row r="500">
      <c r="A500" s="257">
        <v>45601.806745821756</v>
      </c>
      <c r="B500" s="259">
        <v>45601.0</v>
      </c>
      <c r="F500" s="255" t="s">
        <v>2394</v>
      </c>
      <c r="G500" s="255" t="s">
        <v>2395</v>
      </c>
      <c r="H500" s="255" t="s">
        <v>2396</v>
      </c>
      <c r="M500" s="255" t="s">
        <v>912</v>
      </c>
      <c r="Q500" s="255" t="s">
        <v>2207</v>
      </c>
      <c r="R500" s="255" t="s">
        <v>2207</v>
      </c>
      <c r="T500" s="255">
        <v>45000.0</v>
      </c>
      <c r="U500" s="255">
        <v>25000.0</v>
      </c>
      <c r="V500" s="255">
        <v>1.0</v>
      </c>
      <c r="W500" s="259">
        <v>45601.0</v>
      </c>
      <c r="X500" s="260" t="s">
        <v>2209</v>
      </c>
      <c r="Y500" s="259">
        <v>45606.0</v>
      </c>
      <c r="AB500" s="255">
        <v>314.0</v>
      </c>
      <c r="AD500" s="258" t="s">
        <v>2393</v>
      </c>
      <c r="AE500" s="255" t="s">
        <v>26</v>
      </c>
      <c r="AF500" s="255" t="s">
        <v>2208</v>
      </c>
      <c r="AG500" s="255">
        <v>0.0</v>
      </c>
    </row>
    <row r="501">
      <c r="A501" s="257">
        <v>45602.44281680556</v>
      </c>
      <c r="B501" s="259">
        <v>45602.0</v>
      </c>
      <c r="F501" s="255" t="s">
        <v>2398</v>
      </c>
      <c r="G501" s="255" t="s">
        <v>2399</v>
      </c>
      <c r="H501" s="255" t="s">
        <v>2400</v>
      </c>
      <c r="M501" s="255">
        <v>3000.0</v>
      </c>
      <c r="Q501" s="255" t="s">
        <v>2399</v>
      </c>
      <c r="R501" s="255" t="s">
        <v>2399</v>
      </c>
      <c r="T501" s="255">
        <v>80000.0</v>
      </c>
      <c r="U501" s="255">
        <v>28093.0</v>
      </c>
      <c r="V501" s="255">
        <v>2.0</v>
      </c>
      <c r="W501" s="259">
        <v>45602.0</v>
      </c>
      <c r="X501" s="260" t="s">
        <v>2330</v>
      </c>
      <c r="Y501" s="259">
        <v>45608.0</v>
      </c>
      <c r="AB501" s="255">
        <v>394.0</v>
      </c>
      <c r="AD501" s="258" t="s">
        <v>2397</v>
      </c>
      <c r="AE501" s="255" t="s">
        <v>77</v>
      </c>
      <c r="AF501" s="255" t="s">
        <v>2208</v>
      </c>
    </row>
    <row r="502">
      <c r="A502" s="257">
        <v>45603.609969467594</v>
      </c>
      <c r="B502" s="259">
        <v>45603.0</v>
      </c>
      <c r="F502" s="255" t="s">
        <v>2335</v>
      </c>
      <c r="G502" s="255" t="s">
        <v>2402</v>
      </c>
      <c r="M502" s="255">
        <v>7000.0</v>
      </c>
      <c r="Q502" s="255" t="s">
        <v>2207</v>
      </c>
      <c r="R502" s="255" t="s">
        <v>2207</v>
      </c>
      <c r="T502" s="255">
        <v>180000.0</v>
      </c>
      <c r="V502" s="255">
        <v>0.0</v>
      </c>
      <c r="W502" s="259">
        <v>45629.0</v>
      </c>
      <c r="X502" s="260" t="s">
        <v>2330</v>
      </c>
      <c r="Y502" s="259">
        <v>45646.0</v>
      </c>
      <c r="AB502" s="255">
        <v>763.0</v>
      </c>
      <c r="AD502" s="258" t="s">
        <v>2401</v>
      </c>
      <c r="AE502" s="255" t="s">
        <v>5092</v>
      </c>
      <c r="AF502" s="255" t="s">
        <v>2208</v>
      </c>
      <c r="AG502" s="255">
        <v>0.0</v>
      </c>
    </row>
    <row r="503">
      <c r="A503" s="257">
        <v>45603.70844939815</v>
      </c>
      <c r="B503" s="259">
        <v>45603.0</v>
      </c>
      <c r="F503" s="255" t="s">
        <v>2405</v>
      </c>
      <c r="G503" s="255" t="s">
        <v>2406</v>
      </c>
      <c r="H503" s="255" t="s">
        <v>2407</v>
      </c>
      <c r="M503" s="255">
        <v>3000.0</v>
      </c>
      <c r="Q503" s="255" t="s">
        <v>2406</v>
      </c>
      <c r="R503" s="255" t="s">
        <v>2406</v>
      </c>
      <c r="T503" s="255">
        <v>80000.0</v>
      </c>
      <c r="U503" s="255">
        <v>27849.0</v>
      </c>
      <c r="V503" s="255">
        <v>2.0</v>
      </c>
      <c r="W503" s="259">
        <v>45603.0</v>
      </c>
      <c r="X503" s="260" t="s">
        <v>2246</v>
      </c>
      <c r="Y503" s="259">
        <v>45633.0</v>
      </c>
      <c r="AC503" s="255">
        <v>7000.0</v>
      </c>
      <c r="AD503" s="258" t="s">
        <v>2404</v>
      </c>
      <c r="AE503" s="255" t="s">
        <v>151</v>
      </c>
      <c r="AF503" s="255" t="s">
        <v>2208</v>
      </c>
      <c r="AG503" s="255">
        <v>390.0</v>
      </c>
    </row>
    <row r="504">
      <c r="A504" s="257">
        <v>45613.451816967594</v>
      </c>
      <c r="B504" s="259">
        <v>45613.0</v>
      </c>
      <c r="F504" s="255" t="s">
        <v>2409</v>
      </c>
      <c r="G504" s="255" t="s">
        <v>2410</v>
      </c>
      <c r="H504" s="255" t="s">
        <v>2411</v>
      </c>
      <c r="I504" s="255" t="s">
        <v>2412</v>
      </c>
      <c r="M504" s="255">
        <v>3000.0</v>
      </c>
      <c r="Q504" s="255" t="s">
        <v>2269</v>
      </c>
      <c r="R504" s="255" t="s">
        <v>2269</v>
      </c>
      <c r="T504" s="255">
        <v>70000.0</v>
      </c>
      <c r="V504" s="255">
        <v>0.0</v>
      </c>
      <c r="W504" s="259">
        <v>45613.0</v>
      </c>
      <c r="X504" s="260" t="s">
        <v>2330</v>
      </c>
      <c r="Y504" s="259">
        <v>45643.0</v>
      </c>
      <c r="AC504" s="255">
        <v>5900.0</v>
      </c>
      <c r="AD504" s="258" t="s">
        <v>2408</v>
      </c>
      <c r="AE504" s="255" t="s">
        <v>26</v>
      </c>
      <c r="AF504" s="255" t="s">
        <v>2208</v>
      </c>
      <c r="AG504" s="255">
        <v>0.0</v>
      </c>
    </row>
    <row r="505">
      <c r="A505" s="257">
        <v>45614.622670682875</v>
      </c>
      <c r="B505" s="259">
        <v>45614.0</v>
      </c>
      <c r="F505" s="255" t="s">
        <v>2414</v>
      </c>
      <c r="H505" s="255" t="s">
        <v>2415</v>
      </c>
      <c r="M505" s="255">
        <v>20000.0</v>
      </c>
      <c r="Q505" s="255" t="s">
        <v>2207</v>
      </c>
      <c r="R505" s="255" t="s">
        <v>2207</v>
      </c>
      <c r="T505" s="255">
        <v>200000.0</v>
      </c>
      <c r="V505" s="255">
        <v>2.0</v>
      </c>
      <c r="W505" s="259">
        <v>45614.0</v>
      </c>
      <c r="X505" s="260" t="s">
        <v>2246</v>
      </c>
      <c r="Y505" s="259">
        <v>45621.0</v>
      </c>
      <c r="AB505" s="255">
        <v>1600.0</v>
      </c>
      <c r="AD505" s="258" t="s">
        <v>2413</v>
      </c>
      <c r="AE505" s="255" t="s">
        <v>321</v>
      </c>
      <c r="AF505" s="255" t="s">
        <v>2208</v>
      </c>
      <c r="AG505" s="255">
        <v>0.0</v>
      </c>
    </row>
    <row r="506">
      <c r="A506" s="257">
        <v>45615.6432059375</v>
      </c>
      <c r="B506" s="259">
        <v>45615.0</v>
      </c>
      <c r="G506" s="255" t="s">
        <v>2417</v>
      </c>
      <c r="H506" s="255" t="s">
        <v>2418</v>
      </c>
      <c r="M506" s="255">
        <v>7000.0</v>
      </c>
      <c r="Q506" s="255" t="s">
        <v>2417</v>
      </c>
      <c r="R506" s="255" t="s">
        <v>2417</v>
      </c>
      <c r="T506" s="255">
        <v>190000.0</v>
      </c>
      <c r="V506" s="255">
        <v>3.0</v>
      </c>
      <c r="W506" s="259">
        <v>45661.0</v>
      </c>
      <c r="X506" s="260" t="s">
        <v>2265</v>
      </c>
      <c r="Y506" s="259">
        <v>45675.0</v>
      </c>
      <c r="AB506" s="255">
        <v>798.0</v>
      </c>
      <c r="AD506" s="258" t="s">
        <v>2416</v>
      </c>
      <c r="AE506" s="255" t="s">
        <v>951</v>
      </c>
      <c r="AF506" s="255" t="s">
        <v>2208</v>
      </c>
      <c r="AG506" s="255">
        <v>390.0</v>
      </c>
    </row>
    <row r="507">
      <c r="A507" s="257">
        <v>45619.67366119213</v>
      </c>
      <c r="B507" s="259">
        <v>45619.0</v>
      </c>
      <c r="G507" s="255" t="s">
        <v>2420</v>
      </c>
      <c r="H507" s="255" t="s">
        <v>2421</v>
      </c>
      <c r="M507" s="255">
        <v>7000.0</v>
      </c>
      <c r="Q507" s="255" t="s">
        <v>2269</v>
      </c>
      <c r="R507" s="255" t="s">
        <v>2269</v>
      </c>
      <c r="T507" s="255">
        <v>190000.0</v>
      </c>
      <c r="U507" s="255">
        <v>13151.0</v>
      </c>
      <c r="V507" s="255">
        <v>1.0</v>
      </c>
      <c r="W507" s="259">
        <v>45619.0</v>
      </c>
      <c r="X507" s="260" t="s">
        <v>2215</v>
      </c>
      <c r="Y507" s="259">
        <v>45623.0</v>
      </c>
      <c r="AB507" s="255">
        <v>939.0</v>
      </c>
      <c r="AD507" s="258" t="s">
        <v>2419</v>
      </c>
      <c r="AE507" s="255" t="s">
        <v>5092</v>
      </c>
      <c r="AF507" s="255" t="s">
        <v>2208</v>
      </c>
      <c r="AG507" s="255">
        <v>0.0</v>
      </c>
    </row>
    <row r="508">
      <c r="A508" s="257">
        <v>45621.90163085648</v>
      </c>
      <c r="B508" s="259">
        <v>45621.0</v>
      </c>
      <c r="G508" s="255" t="s">
        <v>2423</v>
      </c>
      <c r="H508" s="255" t="s">
        <v>2424</v>
      </c>
      <c r="M508" s="255">
        <v>7000.0</v>
      </c>
      <c r="Q508" s="255" t="s">
        <v>2207</v>
      </c>
      <c r="R508" s="255" t="s">
        <v>2207</v>
      </c>
      <c r="T508" s="255">
        <v>190000.0</v>
      </c>
      <c r="V508" s="255">
        <v>2.0</v>
      </c>
      <c r="W508" s="259">
        <v>45629.0</v>
      </c>
      <c r="X508" s="260" t="s">
        <v>2324</v>
      </c>
      <c r="Y508" s="259">
        <v>45633.0</v>
      </c>
      <c r="AB508" s="255">
        <v>998.0</v>
      </c>
      <c r="AD508" s="258" t="s">
        <v>2422</v>
      </c>
      <c r="AE508" s="255" t="s">
        <v>941</v>
      </c>
      <c r="AF508" s="255" t="s">
        <v>2208</v>
      </c>
      <c r="AG508" s="255">
        <v>0.0</v>
      </c>
    </row>
    <row r="509">
      <c r="A509" s="257">
        <v>45624.650702824074</v>
      </c>
      <c r="B509" s="259">
        <v>45624.0</v>
      </c>
      <c r="F509" s="255" t="s">
        <v>2414</v>
      </c>
      <c r="H509" s="255" t="s">
        <v>2426</v>
      </c>
      <c r="M509" s="255">
        <v>20000.0</v>
      </c>
      <c r="Q509" s="255" t="s">
        <v>2427</v>
      </c>
      <c r="R509" s="255" t="s">
        <v>2427</v>
      </c>
      <c r="T509" s="255">
        <v>190000.0</v>
      </c>
      <c r="U509" s="255">
        <v>43456.0</v>
      </c>
      <c r="V509" s="255">
        <v>0.0</v>
      </c>
      <c r="W509" s="259">
        <v>45624.0</v>
      </c>
      <c r="X509" s="260" t="s">
        <v>2231</v>
      </c>
      <c r="Y509" s="259">
        <v>45647.0</v>
      </c>
      <c r="AB509" s="255">
        <v>1044.0</v>
      </c>
      <c r="AD509" s="258" t="s">
        <v>2425</v>
      </c>
      <c r="AE509" s="255" t="s">
        <v>102</v>
      </c>
      <c r="AF509" s="255" t="s">
        <v>2208</v>
      </c>
      <c r="AG509" s="255">
        <v>0.0</v>
      </c>
    </row>
    <row r="510">
      <c r="A510" s="257">
        <v>45624.802863819445</v>
      </c>
      <c r="B510" s="259">
        <v>45624.0</v>
      </c>
      <c r="F510" s="255" t="s">
        <v>2429</v>
      </c>
      <c r="H510" s="255" t="s">
        <v>2430</v>
      </c>
      <c r="M510" s="255">
        <v>20000.0</v>
      </c>
      <c r="Q510" s="255" t="s">
        <v>2431</v>
      </c>
      <c r="R510" s="255" t="s">
        <v>2269</v>
      </c>
      <c r="T510" s="255">
        <v>200000.0</v>
      </c>
      <c r="V510" s="255">
        <v>2.0</v>
      </c>
      <c r="W510" s="259">
        <v>45638.0</v>
      </c>
      <c r="X510" s="260" t="s">
        <v>2231</v>
      </c>
      <c r="Y510" s="259">
        <v>45643.0</v>
      </c>
      <c r="AB510" s="255">
        <v>1333.0</v>
      </c>
      <c r="AD510" s="258" t="s">
        <v>2428</v>
      </c>
      <c r="AE510" s="255" t="s">
        <v>102</v>
      </c>
      <c r="AF510" s="255" t="s">
        <v>2208</v>
      </c>
      <c r="AG510" s="255">
        <v>590.0</v>
      </c>
    </row>
    <row r="511">
      <c r="A511" s="257">
        <v>45625.563734930554</v>
      </c>
      <c r="B511" s="259">
        <v>45625.0</v>
      </c>
      <c r="F511" s="255" t="s">
        <v>2433</v>
      </c>
      <c r="G511" s="255" t="s">
        <v>2434</v>
      </c>
      <c r="H511" s="255">
        <v>8.9112975033E10</v>
      </c>
      <c r="M511" s="255">
        <v>3000.0</v>
      </c>
      <c r="Q511" s="255" t="s">
        <v>2434</v>
      </c>
      <c r="R511" s="255" t="s">
        <v>2434</v>
      </c>
      <c r="T511" s="255">
        <v>80000.0</v>
      </c>
      <c r="U511" s="255">
        <v>23263.0</v>
      </c>
      <c r="V511" s="255">
        <v>2.0</v>
      </c>
      <c r="W511" s="259">
        <v>45625.0</v>
      </c>
      <c r="X511" s="260" t="s">
        <v>2221</v>
      </c>
      <c r="Y511" s="259">
        <v>45635.0</v>
      </c>
      <c r="AB511" s="255">
        <v>407.0</v>
      </c>
      <c r="AD511" s="258" t="s">
        <v>2432</v>
      </c>
      <c r="AE511" s="255" t="s">
        <v>73</v>
      </c>
      <c r="AF511" s="255" t="s">
        <v>2208</v>
      </c>
      <c r="AG511" s="255">
        <v>290.0</v>
      </c>
    </row>
    <row r="512">
      <c r="A512" s="257">
        <v>45626.616196944444</v>
      </c>
      <c r="B512" s="259">
        <v>45626.0</v>
      </c>
      <c r="G512" s="255" t="s">
        <v>2436</v>
      </c>
      <c r="H512" s="255" t="s">
        <v>2437</v>
      </c>
      <c r="M512" s="255">
        <v>3000.0</v>
      </c>
      <c r="Q512" s="255" t="s">
        <v>2207</v>
      </c>
      <c r="R512" s="255" t="s">
        <v>2207</v>
      </c>
      <c r="T512" s="255">
        <v>90000.0</v>
      </c>
      <c r="U512" s="255">
        <v>25121.0</v>
      </c>
      <c r="V512" s="255">
        <v>2.0</v>
      </c>
      <c r="W512" s="259">
        <v>45626.0</v>
      </c>
      <c r="X512" s="260" t="s">
        <v>2215</v>
      </c>
      <c r="Y512" s="259">
        <v>45633.0</v>
      </c>
      <c r="AB512" s="255">
        <v>427.0</v>
      </c>
      <c r="AD512" s="258" t="s">
        <v>2435</v>
      </c>
      <c r="AE512" s="255" t="s">
        <v>98</v>
      </c>
      <c r="AF512" s="255" t="s">
        <v>2208</v>
      </c>
      <c r="AG512" s="255">
        <v>0.0</v>
      </c>
    </row>
    <row r="513">
      <c r="A513" s="257">
        <v>45626.681677326385</v>
      </c>
      <c r="B513" s="259">
        <v>45626.0</v>
      </c>
      <c r="G513" s="255" t="s">
        <v>2436</v>
      </c>
      <c r="H513" s="255" t="s">
        <v>2437</v>
      </c>
      <c r="M513" s="255">
        <v>3000.0</v>
      </c>
      <c r="Q513" s="255" t="s">
        <v>2207</v>
      </c>
      <c r="R513" s="255" t="s">
        <v>2207</v>
      </c>
      <c r="T513" s="255">
        <v>90000.0</v>
      </c>
      <c r="U513" s="255">
        <v>25121.0</v>
      </c>
      <c r="V513" s="255">
        <v>2.0</v>
      </c>
      <c r="W513" s="259">
        <v>45626.0</v>
      </c>
      <c r="X513" s="260" t="s">
        <v>2215</v>
      </c>
      <c r="Y513" s="259">
        <v>45633.0</v>
      </c>
      <c r="AB513" s="255">
        <v>427.0</v>
      </c>
      <c r="AD513" s="258" t="s">
        <v>2438</v>
      </c>
      <c r="AE513" s="255" t="s">
        <v>98</v>
      </c>
      <c r="AF513" s="255" t="s">
        <v>2208</v>
      </c>
      <c r="AG513" s="255">
        <v>0.0</v>
      </c>
    </row>
    <row r="514">
      <c r="A514" s="257">
        <v>45626.69259496528</v>
      </c>
      <c r="B514" s="259">
        <v>45626.0</v>
      </c>
      <c r="G514" s="255" t="s">
        <v>2436</v>
      </c>
      <c r="H514" s="255" t="s">
        <v>2440</v>
      </c>
      <c r="M514" s="255">
        <v>3000.0</v>
      </c>
      <c r="Q514" s="255" t="s">
        <v>2207</v>
      </c>
      <c r="R514" s="255" t="s">
        <v>2207</v>
      </c>
      <c r="T514" s="255">
        <v>90000.0</v>
      </c>
      <c r="U514" s="255">
        <v>25121.0</v>
      </c>
      <c r="V514" s="255">
        <v>2.0</v>
      </c>
      <c r="W514" s="259">
        <v>45626.0</v>
      </c>
      <c r="X514" s="260" t="s">
        <v>2215</v>
      </c>
      <c r="Y514" s="259">
        <v>45633.0</v>
      </c>
      <c r="AB514" s="255">
        <v>427.0</v>
      </c>
      <c r="AD514" s="258" t="s">
        <v>2439</v>
      </c>
      <c r="AE514" s="255" t="s">
        <v>98</v>
      </c>
      <c r="AF514" s="255" t="s">
        <v>2208</v>
      </c>
      <c r="AG514" s="255">
        <v>0.0</v>
      </c>
    </row>
    <row r="515">
      <c r="A515" s="257">
        <v>45626.76080650463</v>
      </c>
      <c r="B515" s="259">
        <v>45626.0</v>
      </c>
      <c r="G515" s="255" t="s">
        <v>2442</v>
      </c>
      <c r="H515" s="255">
        <v>8.9046305183E10</v>
      </c>
      <c r="M515" s="255">
        <v>3000.0</v>
      </c>
      <c r="Q515" s="255" t="s">
        <v>2442</v>
      </c>
      <c r="R515" s="255" t="s">
        <v>2442</v>
      </c>
      <c r="T515" s="255">
        <v>90000.0</v>
      </c>
      <c r="U515" s="255">
        <v>26539.0</v>
      </c>
      <c r="V515" s="255">
        <v>3.0</v>
      </c>
      <c r="W515" s="259">
        <v>45627.0</v>
      </c>
      <c r="X515" s="260" t="s">
        <v>2262</v>
      </c>
      <c r="Y515" s="259">
        <v>45634.0</v>
      </c>
      <c r="AB515" s="255">
        <v>332.0</v>
      </c>
      <c r="AD515" s="258" t="s">
        <v>2441</v>
      </c>
      <c r="AE515" s="255" t="s">
        <v>48</v>
      </c>
      <c r="AF515" s="255" t="s">
        <v>2208</v>
      </c>
      <c r="AG515" s="255">
        <v>390.0</v>
      </c>
    </row>
    <row r="516">
      <c r="A516" s="257">
        <v>45627.45551929398</v>
      </c>
      <c r="B516" s="259">
        <v>45627.0</v>
      </c>
      <c r="F516" s="255" t="s">
        <v>2444</v>
      </c>
      <c r="G516" s="255" t="s">
        <v>2445</v>
      </c>
      <c r="M516" s="255">
        <v>5000.0</v>
      </c>
      <c r="Q516" s="255" t="s">
        <v>2445</v>
      </c>
      <c r="R516" s="255" t="s">
        <v>2445</v>
      </c>
      <c r="T516" s="255">
        <v>190000.0</v>
      </c>
      <c r="V516" s="255">
        <v>1.0</v>
      </c>
      <c r="W516" s="259">
        <v>45627.0</v>
      </c>
      <c r="X516" s="260" t="s">
        <v>2221</v>
      </c>
      <c r="Y516" s="259">
        <v>45639.0</v>
      </c>
      <c r="AB516" s="255">
        <v>606.0</v>
      </c>
      <c r="AD516" s="258" t="s">
        <v>2443</v>
      </c>
      <c r="AE516" s="255" t="s">
        <v>202</v>
      </c>
      <c r="AF516" s="255" t="s">
        <v>2208</v>
      </c>
      <c r="AG516" s="255">
        <v>290.0</v>
      </c>
    </row>
    <row r="517">
      <c r="A517" s="257">
        <v>45628.499124525464</v>
      </c>
      <c r="B517" s="259">
        <v>45628.0</v>
      </c>
      <c r="H517" s="255" t="s">
        <v>2447</v>
      </c>
      <c r="M517" s="255">
        <v>20000.0</v>
      </c>
      <c r="Q517" s="255" t="s">
        <v>2269</v>
      </c>
      <c r="R517" s="255" t="s">
        <v>2269</v>
      </c>
      <c r="T517" s="255">
        <v>210000.0</v>
      </c>
      <c r="V517" s="255">
        <v>2.0</v>
      </c>
      <c r="W517" s="259">
        <v>45657.0</v>
      </c>
      <c r="X517" s="260" t="s">
        <v>2300</v>
      </c>
      <c r="Y517" s="259">
        <v>45667.0</v>
      </c>
      <c r="AB517" s="255">
        <v>1474.0</v>
      </c>
      <c r="AD517" s="258" t="s">
        <v>2446</v>
      </c>
      <c r="AE517" s="255" t="s">
        <v>102</v>
      </c>
      <c r="AF517" s="255" t="s">
        <v>2208</v>
      </c>
      <c r="AG517" s="255">
        <v>0.0</v>
      </c>
    </row>
    <row r="518">
      <c r="A518" s="257">
        <v>45629.64103828704</v>
      </c>
      <c r="B518" s="259">
        <v>45629.0</v>
      </c>
      <c r="G518" s="255" t="s">
        <v>2449</v>
      </c>
      <c r="H518" s="255">
        <v>7.929989505E10</v>
      </c>
      <c r="M518" s="255">
        <v>3000.0</v>
      </c>
      <c r="Q518" s="255" t="s">
        <v>2449</v>
      </c>
      <c r="R518" s="255" t="s">
        <v>2449</v>
      </c>
      <c r="T518" s="255">
        <v>90000.0</v>
      </c>
      <c r="V518" s="255">
        <v>2.0</v>
      </c>
      <c r="W518" s="259">
        <v>45636.0</v>
      </c>
      <c r="X518" s="260" t="s">
        <v>2330</v>
      </c>
      <c r="Y518" s="259">
        <v>45667.0</v>
      </c>
      <c r="AC518" s="255">
        <v>7000.0</v>
      </c>
      <c r="AD518" s="258" t="s">
        <v>2448</v>
      </c>
      <c r="AE518" s="255" t="s">
        <v>68</v>
      </c>
      <c r="AF518" s="255" t="s">
        <v>2208</v>
      </c>
      <c r="AG518" s="255">
        <v>390.0</v>
      </c>
    </row>
    <row r="519">
      <c r="A519" s="257">
        <v>45630.748054675925</v>
      </c>
      <c r="B519" s="259">
        <v>45630.0</v>
      </c>
      <c r="F519" s="255" t="s">
        <v>2451</v>
      </c>
      <c r="G519" s="255" t="s">
        <v>2452</v>
      </c>
      <c r="H519" s="255" t="s">
        <v>2451</v>
      </c>
      <c r="M519" s="255" t="s">
        <v>515</v>
      </c>
      <c r="Q519" s="255" t="s">
        <v>2269</v>
      </c>
      <c r="R519" s="255" t="s">
        <v>2269</v>
      </c>
      <c r="T519" s="255">
        <v>180000.0</v>
      </c>
      <c r="U519" s="255">
        <v>33000.0</v>
      </c>
      <c r="V519" s="255">
        <v>1.0</v>
      </c>
      <c r="W519" s="259">
        <v>45630.0</v>
      </c>
      <c r="X519" s="260" t="s">
        <v>2250</v>
      </c>
      <c r="Y519" s="259">
        <v>45633.0</v>
      </c>
      <c r="AB519" s="255">
        <v>1618.0</v>
      </c>
      <c r="AD519" s="258" t="s">
        <v>2450</v>
      </c>
      <c r="AE519" s="255" t="s">
        <v>483</v>
      </c>
      <c r="AF519" s="255" t="s">
        <v>2208</v>
      </c>
      <c r="AG519" s="255">
        <v>0.0</v>
      </c>
    </row>
    <row r="520">
      <c r="A520" s="257">
        <v>45630.754500428244</v>
      </c>
      <c r="B520" s="259">
        <v>45630.0</v>
      </c>
      <c r="F520" s="255" t="s">
        <v>2454</v>
      </c>
      <c r="G520" s="255" t="s">
        <v>2455</v>
      </c>
      <c r="H520" s="260" t="s">
        <v>2456</v>
      </c>
      <c r="M520" s="255">
        <v>3000.0</v>
      </c>
      <c r="Q520" s="255" t="s">
        <v>2269</v>
      </c>
      <c r="R520" s="255" t="s">
        <v>2269</v>
      </c>
      <c r="T520" s="255">
        <v>55000.0</v>
      </c>
      <c r="U520" s="255">
        <v>36532.0</v>
      </c>
      <c r="V520" s="255">
        <v>3.0</v>
      </c>
      <c r="W520" s="259">
        <v>45630.0</v>
      </c>
      <c r="X520" s="260" t="s">
        <v>2250</v>
      </c>
      <c r="Y520" s="259">
        <v>45781.0</v>
      </c>
      <c r="AC520" s="255">
        <v>5500.0</v>
      </c>
      <c r="AD520" s="258" t="s">
        <v>2453</v>
      </c>
      <c r="AE520" s="255" t="s">
        <v>132</v>
      </c>
      <c r="AF520" s="255" t="s">
        <v>2242</v>
      </c>
      <c r="AG520" s="255">
        <v>0.0</v>
      </c>
    </row>
    <row r="521">
      <c r="A521" s="257">
        <v>45631.89503108796</v>
      </c>
      <c r="B521" s="259">
        <v>45631.0</v>
      </c>
      <c r="F521" s="255" t="s">
        <v>2458</v>
      </c>
      <c r="G521" s="255" t="s">
        <v>2459</v>
      </c>
      <c r="H521" s="255" t="s">
        <v>2460</v>
      </c>
      <c r="M521" s="255">
        <v>7000.0</v>
      </c>
      <c r="Q521" s="255" t="s">
        <v>2269</v>
      </c>
      <c r="R521" s="255" t="s">
        <v>2269</v>
      </c>
      <c r="T521" s="255">
        <v>140000.0</v>
      </c>
      <c r="V521" s="255">
        <v>2.0</v>
      </c>
      <c r="W521" s="259">
        <v>45632.0</v>
      </c>
      <c r="X521" s="260" t="s">
        <v>2330</v>
      </c>
      <c r="Y521" s="259">
        <v>45636.0</v>
      </c>
      <c r="AB521" s="255">
        <v>998.0</v>
      </c>
      <c r="AC521" s="255">
        <v>3992.0</v>
      </c>
      <c r="AD521" s="258" t="s">
        <v>2457</v>
      </c>
      <c r="AE521" s="255" t="s">
        <v>923</v>
      </c>
      <c r="AF521" s="255" t="s">
        <v>2208</v>
      </c>
      <c r="AG521" s="255">
        <v>0.0</v>
      </c>
    </row>
    <row r="522">
      <c r="A522" s="257">
        <v>45631.94949704861</v>
      </c>
      <c r="B522" s="259">
        <v>45631.0</v>
      </c>
      <c r="F522" s="255" t="s">
        <v>2458</v>
      </c>
      <c r="G522" s="255" t="s">
        <v>2462</v>
      </c>
      <c r="H522" s="255" t="s">
        <v>2460</v>
      </c>
      <c r="M522" s="255">
        <v>5000.0</v>
      </c>
      <c r="Q522" s="255" t="s">
        <v>2269</v>
      </c>
      <c r="R522" s="255" t="s">
        <v>2269</v>
      </c>
      <c r="T522" s="255">
        <v>140000.0</v>
      </c>
      <c r="V522" s="255">
        <v>2.0</v>
      </c>
      <c r="W522" s="259">
        <v>45632.0</v>
      </c>
      <c r="X522" s="260" t="s">
        <v>2330</v>
      </c>
      <c r="Y522" s="259">
        <v>45636.0</v>
      </c>
      <c r="AB522" s="255">
        <v>790.0</v>
      </c>
      <c r="AC522" s="255">
        <v>3160.0</v>
      </c>
      <c r="AD522" s="258" t="s">
        <v>2461</v>
      </c>
      <c r="AE522" s="255" t="s">
        <v>32</v>
      </c>
      <c r="AF522" s="255" t="s">
        <v>2208</v>
      </c>
      <c r="AG522" s="255">
        <v>0.0</v>
      </c>
    </row>
    <row r="523">
      <c r="A523" s="257">
        <v>45634.51633578703</v>
      </c>
      <c r="B523" s="259">
        <v>45634.0</v>
      </c>
      <c r="F523" s="255" t="s">
        <v>2464</v>
      </c>
      <c r="G523" s="255" t="s">
        <v>2465</v>
      </c>
      <c r="H523" s="255">
        <v>8.9501110511E10</v>
      </c>
      <c r="M523" s="255">
        <v>7000.0</v>
      </c>
      <c r="Q523" s="255" t="s">
        <v>2465</v>
      </c>
      <c r="R523" s="255" t="s">
        <v>2465</v>
      </c>
      <c r="T523" s="255">
        <v>190000.0</v>
      </c>
      <c r="U523" s="255">
        <v>11000.0</v>
      </c>
      <c r="V523" s="255">
        <v>3.0</v>
      </c>
      <c r="W523" s="259">
        <v>45634.0</v>
      </c>
      <c r="X523" s="260" t="s">
        <v>2235</v>
      </c>
      <c r="Y523" s="259">
        <v>45638.0</v>
      </c>
      <c r="AB523" s="255">
        <v>877.0</v>
      </c>
      <c r="AD523" s="258" t="s">
        <v>2463</v>
      </c>
      <c r="AE523" s="255" t="s">
        <v>923</v>
      </c>
      <c r="AF523" s="255" t="s">
        <v>2208</v>
      </c>
      <c r="AG523" s="255">
        <v>590.0</v>
      </c>
    </row>
    <row r="524">
      <c r="A524" s="257">
        <v>45635.642911331015</v>
      </c>
      <c r="B524" s="259">
        <v>45635.0</v>
      </c>
      <c r="G524" s="255" t="s">
        <v>2467</v>
      </c>
      <c r="H524" s="255">
        <v>8.9158880212E10</v>
      </c>
      <c r="I524" s="255">
        <v>8.9265358353E10</v>
      </c>
      <c r="M524" s="255" t="s">
        <v>1641</v>
      </c>
      <c r="Q524" s="255" t="s">
        <v>2467</v>
      </c>
      <c r="R524" s="255" t="s">
        <v>2467</v>
      </c>
      <c r="T524" s="255">
        <v>180000.0</v>
      </c>
      <c r="U524" s="255">
        <v>13500.0</v>
      </c>
      <c r="V524" s="255">
        <v>0.0</v>
      </c>
      <c r="W524" s="259">
        <v>45659.0</v>
      </c>
      <c r="X524" s="260" t="s">
        <v>2221</v>
      </c>
      <c r="Y524" s="259">
        <v>45672.0</v>
      </c>
      <c r="AB524" s="255">
        <v>844.0</v>
      </c>
      <c r="AD524" s="258" t="s">
        <v>2466</v>
      </c>
      <c r="AE524" s="255" t="s">
        <v>946</v>
      </c>
      <c r="AG524" s="255">
        <v>290.0</v>
      </c>
    </row>
    <row r="525">
      <c r="A525" s="257">
        <v>45637.42098891204</v>
      </c>
      <c r="B525" s="259">
        <v>45637.0</v>
      </c>
      <c r="H525" s="255" t="s">
        <v>2469</v>
      </c>
      <c r="M525" s="255">
        <v>3500.0</v>
      </c>
      <c r="Q525" s="255" t="s">
        <v>2207</v>
      </c>
      <c r="R525" s="255" t="s">
        <v>2207</v>
      </c>
      <c r="U525" s="255">
        <v>26000.0</v>
      </c>
      <c r="V525" s="255">
        <v>1.0</v>
      </c>
      <c r="W525" s="259">
        <v>45637.0</v>
      </c>
      <c r="X525" s="260" t="s">
        <v>2470</v>
      </c>
      <c r="Y525" s="259">
        <v>45655.0</v>
      </c>
      <c r="AB525" s="255">
        <v>751.0</v>
      </c>
      <c r="AD525" s="258" t="s">
        <v>2468</v>
      </c>
      <c r="AE525" s="255" t="s">
        <v>98</v>
      </c>
      <c r="AF525" s="255" t="s">
        <v>2279</v>
      </c>
      <c r="AG525" s="255">
        <v>0.0</v>
      </c>
    </row>
    <row r="526">
      <c r="A526" s="257">
        <v>45637.42397596065</v>
      </c>
      <c r="B526" s="259">
        <v>45637.0</v>
      </c>
      <c r="G526" s="255" t="s">
        <v>2472</v>
      </c>
      <c r="M526" s="255">
        <v>100.0</v>
      </c>
      <c r="Q526" s="255" t="s">
        <v>2207</v>
      </c>
      <c r="R526" s="255" t="s">
        <v>2207</v>
      </c>
      <c r="T526" s="255">
        <v>200000.0</v>
      </c>
      <c r="U526" s="255">
        <v>12200.0</v>
      </c>
      <c r="V526" s="255">
        <v>2.0</v>
      </c>
      <c r="W526" s="259">
        <v>45637.0</v>
      </c>
      <c r="X526" s="260" t="s">
        <v>2470</v>
      </c>
      <c r="Y526" s="259">
        <v>45655.0</v>
      </c>
      <c r="AB526" s="255">
        <v>751.0</v>
      </c>
      <c r="AD526" s="258" t="s">
        <v>2471</v>
      </c>
      <c r="AE526" s="255" t="s">
        <v>946</v>
      </c>
      <c r="AF526" s="255" t="s">
        <v>2227</v>
      </c>
      <c r="AG526" s="255">
        <v>0.0</v>
      </c>
    </row>
    <row r="527">
      <c r="A527" s="257">
        <v>45637.684084837965</v>
      </c>
      <c r="B527" s="259">
        <v>45637.0</v>
      </c>
      <c r="G527" s="255" t="s">
        <v>2474</v>
      </c>
      <c r="H527" s="255" t="s">
        <v>2475</v>
      </c>
      <c r="M527" s="255">
        <v>7000.0</v>
      </c>
      <c r="Q527" s="255" t="s">
        <v>2476</v>
      </c>
      <c r="R527" s="255" t="s">
        <v>2477</v>
      </c>
      <c r="T527" s="255">
        <v>190000.0</v>
      </c>
      <c r="U527" s="255">
        <v>7724.0</v>
      </c>
      <c r="V527" s="255">
        <v>2.0</v>
      </c>
      <c r="W527" s="259">
        <v>45637.0</v>
      </c>
      <c r="X527" s="260" t="s">
        <v>2215</v>
      </c>
      <c r="Y527" s="259">
        <v>45649.0</v>
      </c>
      <c r="AB527" s="255">
        <v>921.0</v>
      </c>
      <c r="AD527" s="258" t="s">
        <v>2473</v>
      </c>
      <c r="AE527" s="255" t="s">
        <v>52</v>
      </c>
      <c r="AF527" s="255" t="s">
        <v>2242</v>
      </c>
      <c r="AG527" s="255">
        <v>800.0</v>
      </c>
    </row>
    <row r="528">
      <c r="A528" s="257">
        <v>45639.68412125</v>
      </c>
      <c r="B528" s="259">
        <v>45639.0</v>
      </c>
      <c r="F528" s="255" t="s">
        <v>2479</v>
      </c>
      <c r="G528" s="255" t="s">
        <v>2480</v>
      </c>
      <c r="H528" s="255">
        <v>7.9030182545E10</v>
      </c>
      <c r="M528" s="255">
        <v>0.0</v>
      </c>
      <c r="Q528" s="255" t="s">
        <v>2269</v>
      </c>
      <c r="R528" s="255" t="s">
        <v>2269</v>
      </c>
      <c r="T528" s="255">
        <v>70000.0</v>
      </c>
      <c r="V528" s="255">
        <v>2.0</v>
      </c>
      <c r="W528" s="259">
        <v>45651.0</v>
      </c>
      <c r="X528" s="260" t="s">
        <v>2235</v>
      </c>
      <c r="Y528" s="259">
        <v>45658.0</v>
      </c>
      <c r="AB528" s="255">
        <v>384.0</v>
      </c>
      <c r="AD528" s="258" t="s">
        <v>2478</v>
      </c>
      <c r="AE528" s="255" t="s">
        <v>185</v>
      </c>
      <c r="AF528" s="255" t="s">
        <v>2208</v>
      </c>
      <c r="AG528" s="255">
        <v>0.0</v>
      </c>
    </row>
    <row r="529">
      <c r="A529" s="257">
        <v>45639.70622047454</v>
      </c>
      <c r="B529" s="259">
        <v>45639.0</v>
      </c>
      <c r="F529" s="255" t="s">
        <v>2482</v>
      </c>
      <c r="G529" s="255" t="s">
        <v>2483</v>
      </c>
      <c r="H529" s="255" t="s">
        <v>2484</v>
      </c>
      <c r="M529" s="255" t="s">
        <v>515</v>
      </c>
      <c r="Q529" s="255" t="s">
        <v>2269</v>
      </c>
      <c r="R529" s="255" t="s">
        <v>2269</v>
      </c>
      <c r="T529" s="255">
        <v>110000.0</v>
      </c>
      <c r="V529" s="255">
        <v>1.0</v>
      </c>
      <c r="W529" s="259">
        <v>45639.0</v>
      </c>
      <c r="X529" s="260" t="s">
        <v>2215</v>
      </c>
      <c r="Y529" s="259">
        <v>45641.0</v>
      </c>
      <c r="AB529" s="255">
        <v>890.0</v>
      </c>
      <c r="AD529" s="258" t="s">
        <v>2481</v>
      </c>
      <c r="AE529" s="255" t="s">
        <v>461</v>
      </c>
      <c r="AF529" s="255" t="s">
        <v>2208</v>
      </c>
      <c r="AG529" s="255">
        <v>0.0</v>
      </c>
    </row>
    <row r="530">
      <c r="A530" s="257">
        <v>45639.71559842593</v>
      </c>
      <c r="B530" s="259">
        <v>45639.0</v>
      </c>
      <c r="F530" s="255" t="s">
        <v>2482</v>
      </c>
      <c r="G530" s="255" t="s">
        <v>2483</v>
      </c>
      <c r="H530" s="255" t="s">
        <v>2484</v>
      </c>
      <c r="M530" s="255" t="s">
        <v>515</v>
      </c>
      <c r="Q530" s="255" t="s">
        <v>2269</v>
      </c>
      <c r="R530" s="255" t="s">
        <v>2269</v>
      </c>
      <c r="T530" s="255">
        <v>110000.0</v>
      </c>
      <c r="V530" s="255">
        <v>1.0</v>
      </c>
      <c r="W530" s="259">
        <v>45639.0</v>
      </c>
      <c r="X530" s="260" t="s">
        <v>2215</v>
      </c>
      <c r="Y530" s="259">
        <v>45641.0</v>
      </c>
      <c r="AB530" s="255">
        <v>890.0</v>
      </c>
      <c r="AD530" s="262" t="s">
        <v>2485</v>
      </c>
      <c r="AE530" s="255" t="s">
        <v>461</v>
      </c>
      <c r="AF530" s="255" t="s">
        <v>2208</v>
      </c>
      <c r="AG530" s="255">
        <v>0.0</v>
      </c>
    </row>
    <row r="531">
      <c r="A531" s="257">
        <v>45640.503315625</v>
      </c>
      <c r="B531" s="259">
        <v>45640.0</v>
      </c>
      <c r="F531" s="255" t="s">
        <v>2487</v>
      </c>
      <c r="G531" s="255" t="s">
        <v>2488</v>
      </c>
      <c r="H531" s="255" t="s">
        <v>2489</v>
      </c>
      <c r="M531" s="255">
        <v>5000.0</v>
      </c>
      <c r="Q531" s="255" t="s">
        <v>2269</v>
      </c>
      <c r="R531" s="255" t="s">
        <v>2269</v>
      </c>
      <c r="T531" s="255">
        <v>410000.0</v>
      </c>
      <c r="V531" s="255">
        <v>2.0</v>
      </c>
      <c r="W531" s="259">
        <v>45647.0</v>
      </c>
      <c r="X531" s="260" t="s">
        <v>2330</v>
      </c>
      <c r="Y531" s="259">
        <v>45678.0</v>
      </c>
      <c r="AC531" s="255">
        <v>14327.0</v>
      </c>
      <c r="AD531" s="258" t="s">
        <v>2486</v>
      </c>
      <c r="AE531" s="255" t="s">
        <v>113</v>
      </c>
      <c r="AF531" s="255" t="s">
        <v>2208</v>
      </c>
      <c r="AG531" s="255">
        <v>0.0</v>
      </c>
    </row>
    <row r="532">
      <c r="A532" s="257">
        <v>45640.90993185186</v>
      </c>
      <c r="B532" s="259">
        <v>45640.0</v>
      </c>
      <c r="F532" s="255" t="s">
        <v>2491</v>
      </c>
      <c r="G532" s="255" t="s">
        <v>2492</v>
      </c>
      <c r="H532" s="255">
        <v>8.9227026536E10</v>
      </c>
      <c r="M532" s="255">
        <v>7000.0</v>
      </c>
      <c r="Q532" s="255" t="s">
        <v>2492</v>
      </c>
      <c r="R532" s="255" t="s">
        <v>2492</v>
      </c>
      <c r="T532" s="255">
        <v>410000.0</v>
      </c>
      <c r="V532" s="255">
        <v>2.0</v>
      </c>
      <c r="W532" s="259">
        <v>45647.0</v>
      </c>
      <c r="X532" s="260" t="s">
        <v>2324</v>
      </c>
      <c r="Y532" s="259">
        <v>45295.0</v>
      </c>
      <c r="AB532" s="255">
        <v>798.0</v>
      </c>
      <c r="AD532" s="258" t="s">
        <v>2490</v>
      </c>
      <c r="AE532" s="255" t="s">
        <v>951</v>
      </c>
      <c r="AF532" s="255" t="s">
        <v>2208</v>
      </c>
      <c r="AG532" s="255">
        <v>290.0</v>
      </c>
    </row>
    <row r="533">
      <c r="A533" s="257">
        <v>45640.915001898145</v>
      </c>
      <c r="B533" s="259">
        <v>45640.0</v>
      </c>
      <c r="F533" s="255" t="s">
        <v>2479</v>
      </c>
      <c r="G533" s="255" t="s">
        <v>2480</v>
      </c>
      <c r="H533" s="255">
        <v>7.9030182545E10</v>
      </c>
      <c r="M533" s="255">
        <v>0.0</v>
      </c>
      <c r="Q533" s="255" t="s">
        <v>2269</v>
      </c>
      <c r="R533" s="255" t="s">
        <v>2269</v>
      </c>
      <c r="T533" s="255">
        <v>70000.0</v>
      </c>
      <c r="V533" s="255">
        <v>2.0</v>
      </c>
      <c r="W533" s="259">
        <v>45651.0</v>
      </c>
      <c r="X533" s="260" t="s">
        <v>2235</v>
      </c>
      <c r="Y533" s="259">
        <v>45658.0</v>
      </c>
      <c r="AB533" s="255">
        <v>384.0</v>
      </c>
      <c r="AD533" s="258" t="s">
        <v>2493</v>
      </c>
      <c r="AE533" s="255" t="s">
        <v>185</v>
      </c>
      <c r="AF533" s="255" t="s">
        <v>2208</v>
      </c>
      <c r="AG533" s="255">
        <v>0.0</v>
      </c>
    </row>
    <row r="534">
      <c r="A534" s="257">
        <v>45641.02332334491</v>
      </c>
      <c r="B534" s="259">
        <v>45641.0</v>
      </c>
      <c r="F534" s="255" t="s">
        <v>2491</v>
      </c>
      <c r="G534" s="255" t="s">
        <v>2495</v>
      </c>
      <c r="H534" s="255">
        <v>8.9227026536E10</v>
      </c>
      <c r="M534" s="255">
        <v>3000.0</v>
      </c>
      <c r="Q534" s="255" t="s">
        <v>2495</v>
      </c>
      <c r="R534" s="255" t="s">
        <v>2495</v>
      </c>
      <c r="T534" s="255">
        <v>75000.0</v>
      </c>
      <c r="V534" s="255">
        <v>0.0</v>
      </c>
      <c r="W534" s="259">
        <v>45647.0</v>
      </c>
      <c r="X534" s="260" t="s">
        <v>2324</v>
      </c>
      <c r="Y534" s="259">
        <v>45661.0</v>
      </c>
      <c r="AB534" s="255">
        <v>382.0</v>
      </c>
      <c r="AD534" s="258" t="s">
        <v>2494</v>
      </c>
      <c r="AE534" s="255" t="s">
        <v>151</v>
      </c>
      <c r="AF534" s="255" t="s">
        <v>2208</v>
      </c>
      <c r="AG534" s="255">
        <v>290.0</v>
      </c>
    </row>
    <row r="535">
      <c r="A535" s="257">
        <v>45641.748103148144</v>
      </c>
      <c r="B535" s="259">
        <v>45641.0</v>
      </c>
      <c r="Q535" s="255" t="s">
        <v>2269</v>
      </c>
      <c r="R535" s="255" t="s">
        <v>2269</v>
      </c>
      <c r="T535" s="255">
        <v>70000.0</v>
      </c>
      <c r="V535" s="255">
        <v>2.0</v>
      </c>
      <c r="W535" s="259">
        <v>45647.0</v>
      </c>
      <c r="X535" s="260" t="s">
        <v>2265</v>
      </c>
      <c r="Y535" s="259">
        <v>45671.0</v>
      </c>
      <c r="AB535" s="255">
        <v>358.0</v>
      </c>
      <c r="AD535" s="258" t="s">
        <v>2496</v>
      </c>
      <c r="AE535" s="255" t="s">
        <v>77</v>
      </c>
      <c r="AF535" s="255" t="s">
        <v>2208</v>
      </c>
      <c r="AG535" s="255">
        <v>0.0</v>
      </c>
    </row>
    <row r="536">
      <c r="A536" s="257">
        <v>45642.5484705787</v>
      </c>
      <c r="B536" s="259">
        <v>45642.0</v>
      </c>
      <c r="F536" s="255" t="s">
        <v>2498</v>
      </c>
      <c r="G536" s="255" t="s">
        <v>2499</v>
      </c>
      <c r="H536" s="255" t="s">
        <v>34</v>
      </c>
      <c r="M536" s="255">
        <v>35000.0</v>
      </c>
      <c r="Q536" s="255" t="s">
        <v>2499</v>
      </c>
      <c r="R536" s="255" t="s">
        <v>2499</v>
      </c>
      <c r="T536" s="255" t="s">
        <v>34</v>
      </c>
      <c r="V536" s="255">
        <v>1.0</v>
      </c>
      <c r="W536" s="259">
        <v>45642.0</v>
      </c>
      <c r="X536" s="260" t="s">
        <v>2221</v>
      </c>
      <c r="Y536" s="259">
        <v>45673.0</v>
      </c>
      <c r="AC536" s="255">
        <v>52000.0</v>
      </c>
      <c r="AD536" s="258" t="s">
        <v>2497</v>
      </c>
      <c r="AE536" s="255" t="s">
        <v>967</v>
      </c>
      <c r="AF536" s="255" t="s">
        <v>2208</v>
      </c>
      <c r="AG536" s="255">
        <v>590.0</v>
      </c>
    </row>
    <row r="537">
      <c r="A537" s="257">
        <v>45642.95287042824</v>
      </c>
      <c r="B537" s="259">
        <v>45642.0</v>
      </c>
      <c r="G537" s="255" t="s">
        <v>2501</v>
      </c>
      <c r="H537" s="255" t="s">
        <v>2502</v>
      </c>
      <c r="M537" s="255">
        <v>3000.0</v>
      </c>
      <c r="Q537" s="255" t="s">
        <v>2501</v>
      </c>
      <c r="R537" s="255" t="s">
        <v>2501</v>
      </c>
      <c r="T537" s="255">
        <v>75000.0</v>
      </c>
      <c r="V537" s="255">
        <v>2.0</v>
      </c>
      <c r="W537" s="259">
        <v>45647.0</v>
      </c>
      <c r="X537" s="260" t="s">
        <v>2324</v>
      </c>
      <c r="Y537" s="259">
        <v>45292.0</v>
      </c>
      <c r="AB537" s="255">
        <v>401.0</v>
      </c>
      <c r="AD537" s="258" t="s">
        <v>2500</v>
      </c>
      <c r="AE537" s="255" t="s">
        <v>48</v>
      </c>
      <c r="AF537" s="255" t="s">
        <v>2208</v>
      </c>
      <c r="AG537" s="255">
        <v>290.0</v>
      </c>
    </row>
    <row r="538">
      <c r="A538" s="257">
        <v>45643.662550671295</v>
      </c>
      <c r="B538" s="259">
        <v>45643.0</v>
      </c>
      <c r="G538" s="255" t="s">
        <v>2504</v>
      </c>
      <c r="H538" s="260" t="s">
        <v>2505</v>
      </c>
      <c r="M538" s="255">
        <v>3000.0</v>
      </c>
      <c r="Q538" s="255" t="s">
        <v>2504</v>
      </c>
      <c r="R538" s="255" t="s">
        <v>2504</v>
      </c>
      <c r="T538" s="255">
        <v>75000.0</v>
      </c>
      <c r="V538" s="255">
        <v>2.0</v>
      </c>
      <c r="W538" s="259">
        <v>45644.0</v>
      </c>
      <c r="X538" s="260" t="s">
        <v>2324</v>
      </c>
      <c r="Y538" s="259">
        <v>45649.0</v>
      </c>
      <c r="AB538" s="255">
        <v>404.0</v>
      </c>
      <c r="AD538" s="258" t="s">
        <v>2503</v>
      </c>
      <c r="AE538" s="255" t="s">
        <v>44</v>
      </c>
      <c r="AF538" s="255" t="s">
        <v>2208</v>
      </c>
      <c r="AG538" s="255">
        <v>290.0</v>
      </c>
    </row>
    <row r="539">
      <c r="A539" s="257">
        <v>45644.81900751157</v>
      </c>
      <c r="B539" s="259">
        <v>45644.0</v>
      </c>
      <c r="F539" s="255" t="s">
        <v>2507</v>
      </c>
      <c r="G539" s="255" t="s">
        <v>2508</v>
      </c>
      <c r="H539" s="255" t="s">
        <v>2509</v>
      </c>
      <c r="M539" s="255">
        <v>5000.0</v>
      </c>
      <c r="Q539" s="255" t="s">
        <v>2510</v>
      </c>
      <c r="R539" s="255" t="s">
        <v>2510</v>
      </c>
      <c r="T539" s="255">
        <v>410000.0</v>
      </c>
      <c r="V539" s="255">
        <v>2.0</v>
      </c>
      <c r="W539" s="259">
        <v>45651.0</v>
      </c>
      <c r="X539" s="260" t="s">
        <v>2231</v>
      </c>
      <c r="Y539" s="259">
        <v>45673.0</v>
      </c>
      <c r="AB539" s="255">
        <v>593.0</v>
      </c>
      <c r="AD539" s="258" t="s">
        <v>2506</v>
      </c>
      <c r="AE539" s="255" t="s">
        <v>92</v>
      </c>
      <c r="AF539" s="255" t="s">
        <v>2208</v>
      </c>
      <c r="AG539" s="255">
        <v>290.0</v>
      </c>
    </row>
    <row r="540">
      <c r="A540" s="257">
        <v>45645.55446666667</v>
      </c>
      <c r="B540" s="259">
        <v>45645.0</v>
      </c>
      <c r="F540" s="255" t="s">
        <v>2512</v>
      </c>
      <c r="G540" s="255" t="s">
        <v>2513</v>
      </c>
      <c r="H540" s="255" t="s">
        <v>2514</v>
      </c>
      <c r="M540" s="255">
        <v>3000.0</v>
      </c>
      <c r="Q540" s="255" t="s">
        <v>2513</v>
      </c>
      <c r="R540" s="255" t="s">
        <v>2513</v>
      </c>
      <c r="T540" s="255">
        <v>75000.0</v>
      </c>
      <c r="V540" s="255">
        <v>2.0</v>
      </c>
      <c r="W540" s="259">
        <v>45645.0</v>
      </c>
      <c r="X540" s="260" t="s">
        <v>2215</v>
      </c>
      <c r="Y540" s="259">
        <v>45676.0</v>
      </c>
      <c r="AC540" s="255">
        <v>8690.0</v>
      </c>
      <c r="AD540" s="258" t="s">
        <v>2511</v>
      </c>
      <c r="AE540" s="255" t="s">
        <v>106</v>
      </c>
      <c r="AF540" s="255" t="s">
        <v>2208</v>
      </c>
      <c r="AG540" s="255">
        <v>290.0</v>
      </c>
    </row>
    <row r="541">
      <c r="A541" s="257">
        <v>45645.565844756944</v>
      </c>
      <c r="B541" s="259">
        <v>45645.0</v>
      </c>
      <c r="F541" s="255" t="s">
        <v>2516</v>
      </c>
      <c r="G541" s="255" t="s">
        <v>2517</v>
      </c>
      <c r="H541" s="255" t="s">
        <v>2518</v>
      </c>
      <c r="M541" s="255">
        <v>35000.0</v>
      </c>
      <c r="Q541" s="255" t="s">
        <v>2517</v>
      </c>
      <c r="R541" s="255" t="s">
        <v>2517</v>
      </c>
      <c r="T541" s="255">
        <v>500000.0</v>
      </c>
      <c r="V541" s="255">
        <v>2.0</v>
      </c>
      <c r="W541" s="259">
        <v>45657.0</v>
      </c>
      <c r="X541" s="260" t="s">
        <v>2215</v>
      </c>
      <c r="Y541" s="259">
        <v>45663.0</v>
      </c>
      <c r="AB541" s="255">
        <v>2790.0</v>
      </c>
      <c r="AD541" s="258" t="s">
        <v>2515</v>
      </c>
      <c r="AF541" s="255" t="s">
        <v>2208</v>
      </c>
      <c r="AG541" s="255">
        <v>290.0</v>
      </c>
    </row>
    <row r="542">
      <c r="A542" s="257">
        <v>45646.01992057871</v>
      </c>
      <c r="B542" s="259">
        <v>45646.0</v>
      </c>
      <c r="F542" s="255" t="s">
        <v>2520</v>
      </c>
      <c r="G542" s="255" t="s">
        <v>2521</v>
      </c>
      <c r="H542" s="255" t="s">
        <v>2522</v>
      </c>
      <c r="M542" s="255">
        <v>5000.0</v>
      </c>
      <c r="Q542" s="255" t="s">
        <v>2521</v>
      </c>
      <c r="R542" s="255" t="s">
        <v>2521</v>
      </c>
      <c r="T542" s="255">
        <v>410000.0</v>
      </c>
      <c r="V542" s="255">
        <v>2.0</v>
      </c>
      <c r="W542" s="259">
        <v>45646.0</v>
      </c>
      <c r="X542" s="260" t="s">
        <v>2215</v>
      </c>
      <c r="Y542" s="259">
        <v>45652.0</v>
      </c>
      <c r="AB542" s="255">
        <v>751.0</v>
      </c>
      <c r="AD542" s="258" t="s">
        <v>2519</v>
      </c>
      <c r="AE542" s="255" t="s">
        <v>750</v>
      </c>
      <c r="AF542" s="255" t="s">
        <v>2208</v>
      </c>
      <c r="AG542" s="255">
        <v>590.0</v>
      </c>
    </row>
    <row r="543">
      <c r="A543" s="257">
        <v>45646.026895787036</v>
      </c>
      <c r="B543" s="259">
        <v>45646.0</v>
      </c>
      <c r="F543" s="255" t="s">
        <v>2520</v>
      </c>
      <c r="G543" s="255" t="s">
        <v>2521</v>
      </c>
      <c r="H543" s="255" t="s">
        <v>2522</v>
      </c>
      <c r="M543" s="255">
        <v>5000.0</v>
      </c>
      <c r="Q543" s="255" t="s">
        <v>2521</v>
      </c>
      <c r="R543" s="255" t="s">
        <v>2521</v>
      </c>
      <c r="T543" s="255">
        <v>410000.0</v>
      </c>
      <c r="V543" s="255">
        <v>0.0</v>
      </c>
      <c r="W543" s="259">
        <v>45646.0</v>
      </c>
      <c r="X543" s="260" t="s">
        <v>2215</v>
      </c>
      <c r="Y543" s="259">
        <v>45652.0</v>
      </c>
      <c r="AB543" s="255">
        <v>751.0</v>
      </c>
      <c r="AD543" s="258" t="s">
        <v>2523</v>
      </c>
      <c r="AE543" s="255" t="s">
        <v>155</v>
      </c>
      <c r="AF543" s="255" t="s">
        <v>2208</v>
      </c>
      <c r="AG543" s="255">
        <v>590.0</v>
      </c>
    </row>
    <row r="544">
      <c r="A544" s="257">
        <v>45646.15837900463</v>
      </c>
      <c r="B544" s="259">
        <v>45646.0</v>
      </c>
      <c r="G544" s="255" t="s">
        <v>2525</v>
      </c>
      <c r="H544" s="255" t="s">
        <v>2526</v>
      </c>
      <c r="M544" s="255">
        <v>3000.0</v>
      </c>
      <c r="Q544" s="255" t="s">
        <v>2525</v>
      </c>
      <c r="R544" s="255" t="s">
        <v>2525</v>
      </c>
      <c r="T544" s="255">
        <v>75000.0</v>
      </c>
      <c r="V544" s="255">
        <v>2.0</v>
      </c>
      <c r="W544" s="259">
        <v>45651.0</v>
      </c>
      <c r="X544" s="260" t="s">
        <v>2324</v>
      </c>
      <c r="Y544" s="259">
        <v>45660.0</v>
      </c>
      <c r="AB544" s="255">
        <v>414.0</v>
      </c>
      <c r="AD544" s="258" t="s">
        <v>2524</v>
      </c>
      <c r="AE544" s="255" t="s">
        <v>44</v>
      </c>
      <c r="AF544" s="255" t="s">
        <v>2208</v>
      </c>
      <c r="AG544" s="255">
        <v>390.0</v>
      </c>
    </row>
    <row r="545">
      <c r="A545" s="257">
        <v>45646.91894855324</v>
      </c>
      <c r="B545" s="259">
        <v>45646.0</v>
      </c>
      <c r="F545" s="255" t="s">
        <v>2528</v>
      </c>
      <c r="G545" s="255" t="s">
        <v>2529</v>
      </c>
      <c r="H545" s="255" t="s">
        <v>2530</v>
      </c>
      <c r="M545" s="255">
        <v>3000.0</v>
      </c>
      <c r="Q545" s="255" t="s">
        <v>2529</v>
      </c>
      <c r="R545" s="255" t="s">
        <v>2529</v>
      </c>
      <c r="T545" s="255">
        <v>75000.0</v>
      </c>
      <c r="V545" s="255">
        <v>3.0</v>
      </c>
      <c r="W545" s="259">
        <v>45656.0</v>
      </c>
      <c r="X545" s="260" t="s">
        <v>2265</v>
      </c>
      <c r="Y545" s="259">
        <v>45668.0</v>
      </c>
      <c r="AB545" s="255">
        <v>434.0</v>
      </c>
      <c r="AD545" s="258" t="s">
        <v>2527</v>
      </c>
      <c r="AE545" s="255" t="s">
        <v>98</v>
      </c>
      <c r="AF545" s="255" t="s">
        <v>2208</v>
      </c>
      <c r="AG545" s="255">
        <v>490.0</v>
      </c>
    </row>
    <row r="546">
      <c r="A546" s="257">
        <v>45646.92417224537</v>
      </c>
      <c r="B546" s="259">
        <v>45646.0</v>
      </c>
      <c r="F546" s="255" t="s">
        <v>2532</v>
      </c>
      <c r="G546" s="255" t="s">
        <v>2533</v>
      </c>
      <c r="H546" s="255" t="s">
        <v>2534</v>
      </c>
      <c r="M546" s="255">
        <v>7000.0</v>
      </c>
      <c r="Q546" s="255" t="s">
        <v>2533</v>
      </c>
      <c r="R546" s="255" t="s">
        <v>2533</v>
      </c>
      <c r="T546" s="255">
        <v>410000.0</v>
      </c>
      <c r="V546" s="255">
        <v>2.0</v>
      </c>
      <c r="W546" s="259">
        <v>45647.0</v>
      </c>
      <c r="X546" s="260" t="s">
        <v>2324</v>
      </c>
      <c r="Y546" s="259">
        <v>45661.0</v>
      </c>
      <c r="AB546" s="255">
        <v>798.0</v>
      </c>
      <c r="AD546" s="258" t="s">
        <v>2531</v>
      </c>
      <c r="AE546" s="255" t="s">
        <v>960</v>
      </c>
      <c r="AF546" s="255" t="s">
        <v>2208</v>
      </c>
      <c r="AG546" s="255">
        <v>290.0</v>
      </c>
    </row>
    <row r="547">
      <c r="A547" s="257">
        <v>45647.87376785879</v>
      </c>
      <c r="B547" s="259">
        <v>45647.0</v>
      </c>
      <c r="H547" s="255" t="s">
        <v>2536</v>
      </c>
      <c r="M547" s="255">
        <v>7000.0</v>
      </c>
      <c r="Q547" s="255" t="s">
        <v>2269</v>
      </c>
      <c r="R547" s="255" t="s">
        <v>2269</v>
      </c>
      <c r="T547" s="255">
        <v>410000.0</v>
      </c>
      <c r="V547" s="255">
        <v>1.0</v>
      </c>
      <c r="W547" s="259">
        <v>45660.0</v>
      </c>
      <c r="X547" s="260" t="s">
        <v>2330</v>
      </c>
      <c r="Y547" s="259">
        <v>45672.0</v>
      </c>
      <c r="AB547" s="255">
        <v>825.0</v>
      </c>
      <c r="AD547" s="258" t="s">
        <v>2535</v>
      </c>
      <c r="AE547" s="255" t="s">
        <v>971</v>
      </c>
      <c r="AF547" s="255" t="s">
        <v>2208</v>
      </c>
      <c r="AG547" s="255">
        <v>0.0</v>
      </c>
    </row>
    <row r="548">
      <c r="A548" s="257">
        <v>45648.79344969908</v>
      </c>
      <c r="B548" s="259">
        <v>45648.0</v>
      </c>
      <c r="G548" s="255" t="s">
        <v>2538</v>
      </c>
      <c r="H548" s="255" t="s">
        <v>2539</v>
      </c>
      <c r="I548" s="255" t="s">
        <v>2540</v>
      </c>
      <c r="M548" s="255">
        <v>7000.0</v>
      </c>
      <c r="Q548" s="255" t="s">
        <v>2538</v>
      </c>
      <c r="R548" s="255" t="s">
        <v>2538</v>
      </c>
      <c r="T548" s="255">
        <v>190000.0</v>
      </c>
      <c r="V548" s="255">
        <v>2.0</v>
      </c>
      <c r="W548" s="259">
        <v>45666.0</v>
      </c>
      <c r="X548" s="260" t="s">
        <v>2265</v>
      </c>
      <c r="Y548" s="259">
        <v>45679.0</v>
      </c>
      <c r="AB548" s="255">
        <v>863.0</v>
      </c>
      <c r="AD548" s="258" t="s">
        <v>2537</v>
      </c>
      <c r="AE548" s="255" t="s">
        <v>923</v>
      </c>
      <c r="AF548" s="255" t="s">
        <v>2208</v>
      </c>
      <c r="AG548" s="255">
        <v>290.0</v>
      </c>
    </row>
    <row r="549">
      <c r="A549" s="257">
        <v>45649.78438542824</v>
      </c>
      <c r="B549" s="259">
        <v>45649.0</v>
      </c>
      <c r="F549" s="255" t="s">
        <v>2542</v>
      </c>
      <c r="G549" s="255" t="s">
        <v>2543</v>
      </c>
      <c r="H549" s="255">
        <v>8.9952237728E10</v>
      </c>
      <c r="Q549" s="255" t="s">
        <v>2269</v>
      </c>
      <c r="R549" s="255" t="s">
        <v>2269</v>
      </c>
      <c r="T549" s="255">
        <v>120000.0</v>
      </c>
      <c r="V549" s="255">
        <v>2.0</v>
      </c>
      <c r="W549" s="259">
        <v>45649.0</v>
      </c>
      <c r="X549" s="260" t="s">
        <v>2250</v>
      </c>
      <c r="Y549" s="259">
        <v>45653.0</v>
      </c>
      <c r="AB549" s="255">
        <v>790.0</v>
      </c>
      <c r="AD549" s="258" t="s">
        <v>2541</v>
      </c>
      <c r="AE549" s="255" t="s">
        <v>202</v>
      </c>
      <c r="AF549" s="255" t="s">
        <v>2208</v>
      </c>
      <c r="AG549" s="255">
        <v>0.0</v>
      </c>
    </row>
    <row r="550">
      <c r="A550" s="257">
        <v>45649.84200341435</v>
      </c>
      <c r="B550" s="259">
        <v>45649.0</v>
      </c>
      <c r="F550" s="255" t="s">
        <v>2545</v>
      </c>
      <c r="G550" s="255" t="s">
        <v>2546</v>
      </c>
      <c r="H550" s="255" t="s">
        <v>2547</v>
      </c>
      <c r="I550" s="255" t="s">
        <v>2548</v>
      </c>
      <c r="M550" s="255">
        <v>7000.0</v>
      </c>
      <c r="Q550" s="255" t="s">
        <v>2549</v>
      </c>
      <c r="R550" s="255" t="s">
        <v>2549</v>
      </c>
      <c r="T550" s="255">
        <v>120000.0</v>
      </c>
      <c r="V550" s="255">
        <v>1.0</v>
      </c>
      <c r="W550" s="259">
        <v>45655.0</v>
      </c>
      <c r="X550" s="260" t="s">
        <v>2324</v>
      </c>
      <c r="Y550" s="259">
        <v>45679.0</v>
      </c>
      <c r="AB550" s="255">
        <v>782.0</v>
      </c>
      <c r="AD550" s="258" t="s">
        <v>2544</v>
      </c>
      <c r="AE550" s="255" t="s">
        <v>1065</v>
      </c>
      <c r="AF550" s="255" t="s">
        <v>2208</v>
      </c>
      <c r="AG550" s="255">
        <v>290.0</v>
      </c>
    </row>
    <row r="551">
      <c r="A551" s="257">
        <v>45650.03529136574</v>
      </c>
      <c r="B551" s="259">
        <v>45650.0</v>
      </c>
      <c r="G551" s="255" t="s">
        <v>2551</v>
      </c>
      <c r="H551" s="255" t="s">
        <v>2552</v>
      </c>
      <c r="M551" s="255">
        <v>7000.0</v>
      </c>
      <c r="Q551" s="255" t="s">
        <v>2551</v>
      </c>
      <c r="R551" s="255" t="s">
        <v>2551</v>
      </c>
      <c r="T551" s="255">
        <v>410000.0</v>
      </c>
      <c r="V551" s="255">
        <v>3.0</v>
      </c>
      <c r="W551" s="259">
        <v>45650.0</v>
      </c>
      <c r="X551" s="260" t="s">
        <v>2265</v>
      </c>
      <c r="Y551" s="259">
        <v>45656.0</v>
      </c>
      <c r="AB551" s="255">
        <v>610.0</v>
      </c>
      <c r="AD551" s="258" t="s">
        <v>2550</v>
      </c>
      <c r="AE551" s="255" t="s">
        <v>1028</v>
      </c>
      <c r="AF551" s="255" t="s">
        <v>2208</v>
      </c>
      <c r="AG551" s="255">
        <v>390.0</v>
      </c>
    </row>
    <row r="552">
      <c r="A552" s="257">
        <v>45650.03776950232</v>
      </c>
      <c r="B552" s="259">
        <v>45650.0</v>
      </c>
      <c r="G552" s="255" t="s">
        <v>2551</v>
      </c>
      <c r="H552" s="255" t="s">
        <v>2552</v>
      </c>
      <c r="M552" s="255">
        <v>7000.0</v>
      </c>
      <c r="Q552" s="255" t="s">
        <v>2551</v>
      </c>
      <c r="R552" s="255" t="s">
        <v>2551</v>
      </c>
      <c r="T552" s="255">
        <v>410000.0</v>
      </c>
      <c r="V552" s="255">
        <v>3.0</v>
      </c>
      <c r="W552" s="259">
        <v>45656.0</v>
      </c>
      <c r="X552" s="260" t="s">
        <v>2265</v>
      </c>
      <c r="Y552" s="259">
        <v>45681.0</v>
      </c>
      <c r="AB552" s="255">
        <v>610.0</v>
      </c>
      <c r="AD552" s="258" t="s">
        <v>2553</v>
      </c>
      <c r="AE552" s="255" t="s">
        <v>946</v>
      </c>
      <c r="AF552" s="255" t="s">
        <v>2208</v>
      </c>
      <c r="AG552" s="255">
        <v>390.0</v>
      </c>
    </row>
    <row r="553">
      <c r="A553" s="257">
        <v>45650.691161006944</v>
      </c>
      <c r="B553" s="259">
        <v>45650.0</v>
      </c>
      <c r="G553" s="255" t="s">
        <v>2555</v>
      </c>
      <c r="H553" s="255">
        <v>8.9644511044E10</v>
      </c>
      <c r="M553" s="255">
        <v>7000.0</v>
      </c>
      <c r="Q553" s="255" t="s">
        <v>2555</v>
      </c>
      <c r="R553" s="255" t="s">
        <v>2555</v>
      </c>
      <c r="T553" s="255">
        <v>450000.0</v>
      </c>
      <c r="V553" s="255">
        <v>2.0</v>
      </c>
      <c r="W553" s="259">
        <v>45666.0</v>
      </c>
      <c r="X553" s="260" t="s">
        <v>2330</v>
      </c>
      <c r="Y553" s="259">
        <v>45687.0</v>
      </c>
      <c r="AB553" s="255">
        <v>788.0</v>
      </c>
      <c r="AD553" s="258" t="s">
        <v>2554</v>
      </c>
      <c r="AE553" s="255" t="s">
        <v>960</v>
      </c>
      <c r="AF553" s="255" t="s">
        <v>2208</v>
      </c>
      <c r="AG553" s="255">
        <v>290.0</v>
      </c>
    </row>
    <row r="554">
      <c r="A554" s="257">
        <v>45650.72302586805</v>
      </c>
      <c r="B554" s="259">
        <v>45650.0</v>
      </c>
      <c r="G554" s="255" t="s">
        <v>2557</v>
      </c>
      <c r="H554" s="255" t="s">
        <v>2558</v>
      </c>
      <c r="I554" s="255" t="s">
        <v>2559</v>
      </c>
      <c r="M554" s="255">
        <v>3000.0</v>
      </c>
      <c r="Q554" s="255" t="s">
        <v>2560</v>
      </c>
      <c r="R554" s="255" t="s">
        <v>2560</v>
      </c>
      <c r="T554" s="255">
        <v>75000.0</v>
      </c>
      <c r="V554" s="255">
        <v>2.0</v>
      </c>
      <c r="W554" s="259">
        <v>45652.0</v>
      </c>
      <c r="X554" s="260" t="s">
        <v>2330</v>
      </c>
      <c r="Y554" s="259">
        <v>45660.0</v>
      </c>
      <c r="AB554" s="255">
        <v>420.0</v>
      </c>
      <c r="AD554" s="258" t="s">
        <v>2556</v>
      </c>
      <c r="AE554" s="255" t="s">
        <v>56</v>
      </c>
      <c r="AF554" s="255" t="s">
        <v>2208</v>
      </c>
      <c r="AG554" s="255">
        <v>290.0</v>
      </c>
    </row>
    <row r="555">
      <c r="A555" s="257">
        <v>45650.94158304398</v>
      </c>
      <c r="B555" s="259">
        <v>45650.0</v>
      </c>
      <c r="F555" s="255" t="s">
        <v>2562</v>
      </c>
      <c r="H555" s="255">
        <v>8.9857426966E10</v>
      </c>
      <c r="M555" s="255">
        <v>20000.0</v>
      </c>
      <c r="Q555" s="255" t="s">
        <v>2269</v>
      </c>
      <c r="R555" s="255" t="s">
        <v>2269</v>
      </c>
      <c r="V555" s="255">
        <v>2.0</v>
      </c>
      <c r="W555" s="259">
        <v>45680.0</v>
      </c>
      <c r="X555" s="260" t="s">
        <v>2265</v>
      </c>
      <c r="Y555" s="259">
        <v>45705.0</v>
      </c>
      <c r="AB555" s="255">
        <v>1000.0</v>
      </c>
      <c r="AD555" s="258" t="s">
        <v>2561</v>
      </c>
      <c r="AE555" s="255" t="s">
        <v>483</v>
      </c>
      <c r="AF555" s="255" t="s">
        <v>2208</v>
      </c>
      <c r="AG555" s="255">
        <v>690.0</v>
      </c>
    </row>
    <row r="556">
      <c r="A556" s="257">
        <v>45651.56204949074</v>
      </c>
      <c r="B556" s="259">
        <v>45651.0</v>
      </c>
      <c r="F556" s="255" t="s">
        <v>2564</v>
      </c>
      <c r="G556" s="255" t="s">
        <v>2565</v>
      </c>
      <c r="H556" s="255">
        <v>8.9526320647E10</v>
      </c>
      <c r="M556" s="255">
        <v>3000.0</v>
      </c>
      <c r="Q556" s="255" t="s">
        <v>2565</v>
      </c>
      <c r="R556" s="255" t="s">
        <v>2565</v>
      </c>
      <c r="T556" s="255">
        <v>75000.0</v>
      </c>
      <c r="V556" s="255">
        <v>2.0</v>
      </c>
      <c r="W556" s="259">
        <v>45652.0</v>
      </c>
      <c r="X556" s="260" t="s">
        <v>2265</v>
      </c>
      <c r="Y556" s="259">
        <v>45683.0</v>
      </c>
      <c r="AC556" s="255">
        <v>9954.0</v>
      </c>
      <c r="AD556" s="258" t="s">
        <v>2563</v>
      </c>
      <c r="AE556" s="255" t="s">
        <v>106</v>
      </c>
      <c r="AF556" s="255" t="s">
        <v>2208</v>
      </c>
      <c r="AG556" s="255">
        <v>290.0</v>
      </c>
    </row>
    <row r="557">
      <c r="A557" s="257">
        <v>45652.73842767361</v>
      </c>
      <c r="B557" s="259">
        <v>45652.0</v>
      </c>
      <c r="F557" s="255" t="s">
        <v>2567</v>
      </c>
      <c r="G557" s="255" t="s">
        <v>2568</v>
      </c>
      <c r="H557" s="255">
        <v>8.9043985144E10</v>
      </c>
      <c r="M557" s="255">
        <v>3000.0</v>
      </c>
      <c r="Q557" s="255" t="s">
        <v>2269</v>
      </c>
      <c r="R557" s="255" t="s">
        <v>2269</v>
      </c>
      <c r="T557" s="255">
        <v>75000.0</v>
      </c>
      <c r="V557" s="255">
        <v>2.0</v>
      </c>
      <c r="W557" s="259">
        <v>45652.0</v>
      </c>
      <c r="X557" s="260" t="s">
        <v>2246</v>
      </c>
      <c r="Y557" s="259">
        <v>45660.0</v>
      </c>
      <c r="AB557" s="255">
        <v>462.0</v>
      </c>
      <c r="AD557" s="258" t="s">
        <v>2566</v>
      </c>
      <c r="AE557" s="255" t="s">
        <v>106</v>
      </c>
      <c r="AF557" s="255" t="s">
        <v>2208</v>
      </c>
      <c r="AG557" s="255">
        <v>0.0</v>
      </c>
    </row>
    <row r="558">
      <c r="A558" s="257">
        <v>45653.05897711805</v>
      </c>
      <c r="B558" s="259">
        <v>45653.0</v>
      </c>
      <c r="F558" s="255" t="s">
        <v>2570</v>
      </c>
      <c r="H558" s="255" t="s">
        <v>2571</v>
      </c>
      <c r="M558" s="255">
        <v>15000.0</v>
      </c>
      <c r="V558" s="255">
        <v>2.0</v>
      </c>
      <c r="W558" s="259">
        <v>45664.0</v>
      </c>
      <c r="X558" s="260" t="s">
        <v>2221</v>
      </c>
      <c r="Y558" s="259">
        <v>45674.0</v>
      </c>
      <c r="AB558" s="255">
        <v>726.0</v>
      </c>
      <c r="AD558" s="258" t="s">
        <v>2569</v>
      </c>
      <c r="AE558" s="255" t="s">
        <v>461</v>
      </c>
      <c r="AF558" s="255" t="s">
        <v>2208</v>
      </c>
      <c r="AG558" s="255">
        <v>590.0</v>
      </c>
    </row>
    <row r="559">
      <c r="A559" s="257">
        <v>45653.54843787037</v>
      </c>
      <c r="B559" s="259">
        <v>45653.0</v>
      </c>
      <c r="F559" s="255" t="s">
        <v>2573</v>
      </c>
      <c r="G559" s="255" t="s">
        <v>2574</v>
      </c>
      <c r="H559" s="255" t="s">
        <v>2575</v>
      </c>
      <c r="M559" s="255">
        <v>7000.0</v>
      </c>
      <c r="Q559" s="255" t="s">
        <v>2574</v>
      </c>
      <c r="R559" s="255" t="s">
        <v>2574</v>
      </c>
      <c r="T559" s="255">
        <v>410000.0</v>
      </c>
      <c r="V559" s="255">
        <v>1.0</v>
      </c>
      <c r="W559" s="259">
        <v>45653.0</v>
      </c>
      <c r="X559" s="260" t="s">
        <v>2231</v>
      </c>
      <c r="Y559" s="259">
        <v>45660.0</v>
      </c>
      <c r="AB559" s="255">
        <v>981.0</v>
      </c>
      <c r="AD559" s="258" t="s">
        <v>2572</v>
      </c>
      <c r="AE559" s="255" t="s">
        <v>951</v>
      </c>
      <c r="AF559" s="255" t="s">
        <v>2208</v>
      </c>
      <c r="AG559" s="255">
        <v>290.0</v>
      </c>
    </row>
    <row r="560">
      <c r="A560" s="257">
        <v>45653.71177515046</v>
      </c>
      <c r="B560" s="259">
        <v>45653.0</v>
      </c>
      <c r="F560" s="255" t="s">
        <v>2577</v>
      </c>
      <c r="H560" s="255" t="s">
        <v>2578</v>
      </c>
      <c r="M560" s="255" t="s">
        <v>430</v>
      </c>
      <c r="Q560" s="255" t="s">
        <v>2269</v>
      </c>
      <c r="R560" s="255" t="s">
        <v>2269</v>
      </c>
      <c r="T560" s="255">
        <v>190000.0</v>
      </c>
      <c r="U560" s="255">
        <v>44401.0</v>
      </c>
      <c r="V560" s="255">
        <v>1.0</v>
      </c>
      <c r="W560" s="259">
        <v>45653.0</v>
      </c>
      <c r="X560" s="260" t="s">
        <v>2246</v>
      </c>
      <c r="Y560" s="259">
        <v>45656.0</v>
      </c>
      <c r="AB560" s="255">
        <v>1708.0</v>
      </c>
      <c r="AD560" s="258" t="s">
        <v>2576</v>
      </c>
      <c r="AE560" s="255" t="s">
        <v>102</v>
      </c>
      <c r="AF560" s="255" t="s">
        <v>2242</v>
      </c>
      <c r="AG560" s="255">
        <v>0.0</v>
      </c>
    </row>
    <row r="561">
      <c r="A561" s="257">
        <v>45654.631114247684</v>
      </c>
      <c r="B561" s="259">
        <v>45654.0</v>
      </c>
      <c r="F561" s="255" t="s">
        <v>2464</v>
      </c>
      <c r="G561" s="255" t="s">
        <v>2580</v>
      </c>
      <c r="H561" s="255">
        <v>8.9501110511E10</v>
      </c>
      <c r="M561" s="255">
        <v>5000.0</v>
      </c>
      <c r="Q561" s="255" t="s">
        <v>2580</v>
      </c>
      <c r="R561" s="255" t="s">
        <v>2580</v>
      </c>
      <c r="T561" s="255">
        <v>120000.0</v>
      </c>
      <c r="V561" s="255">
        <v>3.0</v>
      </c>
      <c r="W561" s="259">
        <v>45654.0</v>
      </c>
      <c r="X561" s="260" t="s">
        <v>2231</v>
      </c>
      <c r="Y561" s="259">
        <v>45661.0</v>
      </c>
      <c r="AB561" s="255">
        <v>540.0</v>
      </c>
      <c r="AD561" s="258" t="s">
        <v>2579</v>
      </c>
      <c r="AE561" s="255" t="s">
        <v>202</v>
      </c>
      <c r="AF561" s="255" t="s">
        <v>2208</v>
      </c>
      <c r="AG561" s="255">
        <v>590.0</v>
      </c>
    </row>
    <row r="562">
      <c r="A562" s="257">
        <v>45655.68856445602</v>
      </c>
      <c r="B562" s="259">
        <v>45655.0</v>
      </c>
      <c r="G562" s="255" t="s">
        <v>2582</v>
      </c>
      <c r="H562" s="255" t="s">
        <v>2583</v>
      </c>
      <c r="M562" s="255">
        <v>35000.0</v>
      </c>
      <c r="Q562" s="255" t="s">
        <v>2582</v>
      </c>
      <c r="R562" s="255" t="s">
        <v>2584</v>
      </c>
      <c r="T562" s="255">
        <v>500000.0</v>
      </c>
      <c r="V562" s="255">
        <v>0.0</v>
      </c>
      <c r="W562" s="259">
        <v>45664.0</v>
      </c>
      <c r="X562" s="260" t="s">
        <v>2221</v>
      </c>
      <c r="Y562" s="259">
        <v>45676.0</v>
      </c>
      <c r="AB562" s="255">
        <v>2449.0</v>
      </c>
      <c r="AD562" s="258" t="s">
        <v>2581</v>
      </c>
      <c r="AE562" s="255" t="s">
        <v>914</v>
      </c>
      <c r="AF562" s="255" t="s">
        <v>2208</v>
      </c>
      <c r="AG562" s="255">
        <v>290.0</v>
      </c>
    </row>
    <row r="563">
      <c r="A563" s="257">
        <v>45655.87143979166</v>
      </c>
      <c r="B563" s="259">
        <v>45655.0</v>
      </c>
      <c r="G563" s="255" t="s">
        <v>2586</v>
      </c>
      <c r="H563" s="255" t="s">
        <v>2587</v>
      </c>
      <c r="M563" s="255">
        <v>3000.0</v>
      </c>
      <c r="Q563" s="255" t="s">
        <v>2586</v>
      </c>
      <c r="R563" s="255" t="s">
        <v>2586</v>
      </c>
      <c r="T563" s="255">
        <v>70000.0</v>
      </c>
      <c r="V563" s="255">
        <v>3.0</v>
      </c>
      <c r="W563" s="259">
        <v>45656.0</v>
      </c>
      <c r="X563" s="260" t="s">
        <v>2330</v>
      </c>
      <c r="Y563" s="259">
        <v>45668.0</v>
      </c>
      <c r="AB563" s="255">
        <v>434.0</v>
      </c>
      <c r="AD563" s="258" t="s">
        <v>2585</v>
      </c>
      <c r="AE563" s="255" t="s">
        <v>185</v>
      </c>
      <c r="AF563" s="255" t="s">
        <v>2208</v>
      </c>
      <c r="AG563" s="255">
        <v>490.0</v>
      </c>
    </row>
    <row r="564">
      <c r="A564" s="257">
        <v>45657.12432876157</v>
      </c>
      <c r="B564" s="259">
        <v>45657.0</v>
      </c>
      <c r="G564" s="255" t="s">
        <v>2589</v>
      </c>
      <c r="H564" s="255" t="s">
        <v>2590</v>
      </c>
      <c r="M564" s="255">
        <v>5000.0</v>
      </c>
      <c r="Q564" s="255" t="s">
        <v>2269</v>
      </c>
      <c r="R564" s="255" t="s">
        <v>2269</v>
      </c>
      <c r="T564" s="255">
        <v>410000.0</v>
      </c>
      <c r="V564" s="255">
        <v>2.0</v>
      </c>
      <c r="W564" s="259">
        <v>45660.0</v>
      </c>
      <c r="X564" s="260" t="s">
        <v>2330</v>
      </c>
      <c r="Y564" s="259">
        <v>45669.0</v>
      </c>
      <c r="AB564" s="255">
        <v>801.0</v>
      </c>
      <c r="AD564" s="258" t="s">
        <v>2588</v>
      </c>
      <c r="AE564" s="255" t="s">
        <v>155</v>
      </c>
      <c r="AF564" s="255" t="s">
        <v>2208</v>
      </c>
      <c r="AG564" s="255">
        <v>0.0</v>
      </c>
    </row>
    <row r="565">
      <c r="A565" s="257">
        <v>45657.12606731481</v>
      </c>
      <c r="B565" s="259">
        <v>45657.0</v>
      </c>
      <c r="G565" s="255" t="s">
        <v>2589</v>
      </c>
      <c r="H565" s="255" t="s">
        <v>2590</v>
      </c>
      <c r="M565" s="255">
        <v>5000.0</v>
      </c>
      <c r="Q565" s="255" t="s">
        <v>2269</v>
      </c>
      <c r="R565" s="255" t="s">
        <v>2269</v>
      </c>
      <c r="T565" s="255">
        <v>120000.0</v>
      </c>
      <c r="V565" s="255">
        <v>2.0</v>
      </c>
      <c r="W565" s="259">
        <v>45660.0</v>
      </c>
      <c r="X565" s="260" t="s">
        <v>2330</v>
      </c>
      <c r="Y565" s="259">
        <v>45669.0</v>
      </c>
      <c r="AB565" s="255">
        <v>699.0</v>
      </c>
      <c r="AD565" s="258" t="s">
        <v>2591</v>
      </c>
      <c r="AE565" s="255" t="s">
        <v>202</v>
      </c>
      <c r="AF565" s="255" t="s">
        <v>2208</v>
      </c>
      <c r="AG565" s="255">
        <v>0.0</v>
      </c>
    </row>
    <row r="566">
      <c r="A566" s="257">
        <v>45657.12732321759</v>
      </c>
      <c r="B566" s="259">
        <v>45657.0</v>
      </c>
      <c r="G566" s="255" t="s">
        <v>2589</v>
      </c>
      <c r="H566" s="255" t="s">
        <v>2590</v>
      </c>
      <c r="M566" s="255">
        <v>3000.0</v>
      </c>
      <c r="Q566" s="255" t="s">
        <v>2269</v>
      </c>
      <c r="R566" s="255" t="s">
        <v>2269</v>
      </c>
      <c r="T566" s="255">
        <v>70000.0</v>
      </c>
      <c r="V566" s="255">
        <v>2.0</v>
      </c>
      <c r="W566" s="259">
        <v>45660.0</v>
      </c>
      <c r="X566" s="260" t="s">
        <v>2330</v>
      </c>
      <c r="Y566" s="259">
        <v>45669.0</v>
      </c>
      <c r="AB566" s="255">
        <v>455.0</v>
      </c>
      <c r="AD566" s="258" t="s">
        <v>2592</v>
      </c>
      <c r="AE566" s="255" t="s">
        <v>56</v>
      </c>
      <c r="AF566" s="255" t="s">
        <v>2208</v>
      </c>
      <c r="AG566" s="255">
        <v>0.0</v>
      </c>
    </row>
    <row r="567">
      <c r="A567" s="257">
        <v>45658.901565011576</v>
      </c>
      <c r="B567" s="259">
        <v>45658.0</v>
      </c>
      <c r="F567" s="255" t="s">
        <v>2594</v>
      </c>
      <c r="G567" s="255" t="s">
        <v>2595</v>
      </c>
      <c r="M567" s="255">
        <v>20000.0</v>
      </c>
      <c r="Q567" s="255" t="s">
        <v>2595</v>
      </c>
      <c r="R567" s="255" t="s">
        <v>2595</v>
      </c>
      <c r="T567" s="255">
        <v>180000.0</v>
      </c>
      <c r="V567" s="255">
        <v>2.0</v>
      </c>
      <c r="W567" s="259">
        <v>45659.0</v>
      </c>
      <c r="X567" s="260" t="s">
        <v>2215</v>
      </c>
      <c r="Y567" s="259">
        <v>45671.0</v>
      </c>
      <c r="AB567" s="255">
        <v>1510.0</v>
      </c>
      <c r="AD567" s="258" t="s">
        <v>2593</v>
      </c>
      <c r="AE567" s="255" t="s">
        <v>321</v>
      </c>
      <c r="AF567" s="255" t="s">
        <v>2208</v>
      </c>
      <c r="AG567" s="255">
        <v>490.0</v>
      </c>
    </row>
    <row r="568">
      <c r="A568" s="257">
        <v>45659.66377315972</v>
      </c>
      <c r="B568" s="259">
        <v>45659.0</v>
      </c>
      <c r="G568" s="255" t="s">
        <v>2597</v>
      </c>
      <c r="H568" s="255" t="s">
        <v>2598</v>
      </c>
      <c r="M568" s="255">
        <v>5000.0</v>
      </c>
      <c r="Q568" s="255" t="s">
        <v>2269</v>
      </c>
      <c r="R568" s="255" t="s">
        <v>2269</v>
      </c>
      <c r="T568" s="255">
        <v>200000.0</v>
      </c>
      <c r="V568" s="255">
        <v>2.0</v>
      </c>
      <c r="W568" s="259">
        <v>45659.0</v>
      </c>
      <c r="X568" s="260" t="s">
        <v>2215</v>
      </c>
      <c r="Y568" s="259">
        <v>45666.0</v>
      </c>
      <c r="AB568" s="255">
        <v>1100.0</v>
      </c>
      <c r="AD568" s="258" t="s">
        <v>2596</v>
      </c>
      <c r="AE568" s="255" t="s">
        <v>923</v>
      </c>
      <c r="AF568" s="255" t="s">
        <v>2208</v>
      </c>
      <c r="AG568" s="255">
        <v>0.0</v>
      </c>
    </row>
    <row r="569">
      <c r="A569" s="257">
        <v>45659.68710553241</v>
      </c>
      <c r="B569" s="259">
        <v>45659.0</v>
      </c>
      <c r="F569" s="255" t="s">
        <v>2600</v>
      </c>
      <c r="G569" s="255" t="s">
        <v>2601</v>
      </c>
      <c r="M569" s="255" t="s">
        <v>2602</v>
      </c>
      <c r="Q569" s="255" t="s">
        <v>2207</v>
      </c>
      <c r="R569" s="255" t="s">
        <v>2207</v>
      </c>
      <c r="T569" s="255">
        <v>180000.0</v>
      </c>
      <c r="U569" s="255">
        <v>34000.0</v>
      </c>
      <c r="V569" s="255">
        <v>4.0</v>
      </c>
      <c r="W569" s="259">
        <v>45659.0</v>
      </c>
      <c r="X569" s="260" t="s">
        <v>2215</v>
      </c>
      <c r="Y569" s="259">
        <v>45662.0</v>
      </c>
      <c r="AB569" s="255">
        <v>1500.0</v>
      </c>
      <c r="AD569" s="258" t="s">
        <v>2599</v>
      </c>
      <c r="AE569" s="255" t="s">
        <v>483</v>
      </c>
      <c r="AF569" s="255" t="s">
        <v>2242</v>
      </c>
      <c r="AG569" s="255">
        <v>0.0</v>
      </c>
    </row>
    <row r="570">
      <c r="A570" s="257">
        <v>45660.73618827546</v>
      </c>
      <c r="B570" s="259">
        <v>45660.0</v>
      </c>
      <c r="F570" s="255" t="s">
        <v>2604</v>
      </c>
      <c r="M570" s="255">
        <v>20000.0</v>
      </c>
      <c r="Q570" s="255" t="s">
        <v>2269</v>
      </c>
      <c r="R570" s="255" t="s">
        <v>2269</v>
      </c>
      <c r="T570" s="255">
        <v>140000.0</v>
      </c>
      <c r="V570" s="255">
        <v>1.0</v>
      </c>
      <c r="W570" s="259">
        <v>45660.0</v>
      </c>
      <c r="X570" s="260" t="s">
        <v>2246</v>
      </c>
      <c r="Y570" s="259">
        <v>45670.0</v>
      </c>
      <c r="AB570" s="255">
        <v>1054.0</v>
      </c>
      <c r="AD570" s="258" t="s">
        <v>2603</v>
      </c>
      <c r="AE570" s="255" t="s">
        <v>438</v>
      </c>
      <c r="AF570" s="255" t="s">
        <v>2208</v>
      </c>
      <c r="AG570" s="255">
        <v>0.0</v>
      </c>
    </row>
    <row r="571">
      <c r="A571" s="257">
        <v>45661.699422986116</v>
      </c>
      <c r="B571" s="259">
        <v>45661.0</v>
      </c>
      <c r="G571" s="255" t="s">
        <v>2606</v>
      </c>
      <c r="H571" s="255" t="s">
        <v>2607</v>
      </c>
      <c r="M571" s="255">
        <v>15000.0</v>
      </c>
      <c r="Q571" s="255" t="s">
        <v>2269</v>
      </c>
      <c r="R571" s="255" t="s">
        <v>2269</v>
      </c>
      <c r="T571" s="255">
        <v>130000.0</v>
      </c>
      <c r="V571" s="255">
        <v>2.0</v>
      </c>
      <c r="W571" s="259">
        <v>45661.0</v>
      </c>
      <c r="X571" s="260" t="s">
        <v>2215</v>
      </c>
      <c r="Y571" s="259">
        <v>45665.0</v>
      </c>
      <c r="AB571" s="255">
        <v>981.0</v>
      </c>
      <c r="AD571" s="258" t="s">
        <v>2605</v>
      </c>
      <c r="AE571" s="255" t="s">
        <v>423</v>
      </c>
      <c r="AF571" s="255" t="s">
        <v>2208</v>
      </c>
      <c r="AG571" s="255">
        <v>0.0</v>
      </c>
    </row>
    <row r="572">
      <c r="A572" s="257">
        <v>45661.90673164352</v>
      </c>
      <c r="B572" s="259">
        <v>45661.0</v>
      </c>
      <c r="F572" s="255" t="s">
        <v>2609</v>
      </c>
      <c r="G572" s="255" t="s">
        <v>2610</v>
      </c>
      <c r="H572" s="255" t="s">
        <v>2611</v>
      </c>
      <c r="M572" s="255">
        <v>3000.0</v>
      </c>
      <c r="Q572" s="255" t="s">
        <v>2610</v>
      </c>
      <c r="R572" s="255" t="s">
        <v>2610</v>
      </c>
      <c r="T572" s="255">
        <v>70000.0</v>
      </c>
      <c r="V572" s="255">
        <v>2.0</v>
      </c>
      <c r="W572" s="259">
        <v>45662.0</v>
      </c>
      <c r="X572" s="260" t="s">
        <v>2330</v>
      </c>
      <c r="Y572" s="259">
        <v>45681.0</v>
      </c>
      <c r="AB572" s="255">
        <v>389.0</v>
      </c>
      <c r="AD572" s="258" t="s">
        <v>2608</v>
      </c>
      <c r="AE572" s="255" t="s">
        <v>68</v>
      </c>
      <c r="AF572" s="255" t="s">
        <v>2208</v>
      </c>
      <c r="AG572" s="255">
        <v>590.0</v>
      </c>
    </row>
    <row r="573">
      <c r="A573" s="257">
        <v>45661.91783524306</v>
      </c>
      <c r="B573" s="259">
        <v>45661.0</v>
      </c>
      <c r="F573" s="255" t="s">
        <v>2613</v>
      </c>
      <c r="G573" s="255" t="s">
        <v>2614</v>
      </c>
      <c r="H573" s="260" t="s">
        <v>2615</v>
      </c>
      <c r="M573" s="255">
        <v>3000.0</v>
      </c>
      <c r="Q573" s="255" t="s">
        <v>2614</v>
      </c>
      <c r="R573" s="255" t="s">
        <v>2614</v>
      </c>
      <c r="T573" s="255">
        <v>70000.0</v>
      </c>
      <c r="V573" s="255">
        <v>2.0</v>
      </c>
      <c r="W573" s="259">
        <v>45662.0</v>
      </c>
      <c r="X573" s="260" t="s">
        <v>2221</v>
      </c>
      <c r="Y573" s="259">
        <v>45691.0</v>
      </c>
      <c r="AB573" s="255">
        <v>273.0</v>
      </c>
      <c r="AD573" s="258" t="s">
        <v>2612</v>
      </c>
      <c r="AE573" s="255" t="s">
        <v>48</v>
      </c>
      <c r="AF573" s="255" t="s">
        <v>2208</v>
      </c>
      <c r="AG573" s="255">
        <v>590.0</v>
      </c>
    </row>
    <row r="574">
      <c r="A574" s="257">
        <v>45662.81118230324</v>
      </c>
      <c r="B574" s="259">
        <v>45662.0</v>
      </c>
      <c r="F574" s="255" t="s">
        <v>2617</v>
      </c>
      <c r="G574" s="255" t="s">
        <v>2618</v>
      </c>
      <c r="H574" s="255" t="s">
        <v>2619</v>
      </c>
      <c r="M574" s="255">
        <v>7000.0</v>
      </c>
      <c r="Q574" s="255" t="s">
        <v>2618</v>
      </c>
      <c r="R574" s="255" t="s">
        <v>2618</v>
      </c>
      <c r="T574" s="255">
        <v>410000.0</v>
      </c>
      <c r="V574" s="255">
        <v>2.0</v>
      </c>
      <c r="W574" s="259">
        <v>45663.0</v>
      </c>
      <c r="X574" s="260" t="s">
        <v>2330</v>
      </c>
      <c r="Y574" s="259">
        <v>45673.0</v>
      </c>
      <c r="AB574" s="255">
        <v>937.0</v>
      </c>
      <c r="AD574" s="258" t="s">
        <v>2616</v>
      </c>
      <c r="AE574" s="255" t="s">
        <v>928</v>
      </c>
      <c r="AF574" s="255" t="s">
        <v>2208</v>
      </c>
      <c r="AG574" s="255">
        <v>590.0</v>
      </c>
    </row>
    <row r="575">
      <c r="A575" s="257">
        <v>45664.47721658565</v>
      </c>
      <c r="B575" s="259">
        <v>45664.0</v>
      </c>
      <c r="F575" s="255" t="s">
        <v>2621</v>
      </c>
      <c r="G575" s="255" t="s">
        <v>2622</v>
      </c>
      <c r="H575" s="255" t="s">
        <v>2623</v>
      </c>
      <c r="Q575" s="255" t="s">
        <v>2269</v>
      </c>
      <c r="R575" s="255" t="s">
        <v>2269</v>
      </c>
      <c r="V575" s="255">
        <v>1.0</v>
      </c>
      <c r="W575" s="259">
        <v>45664.0</v>
      </c>
      <c r="X575" s="260" t="s">
        <v>2265</v>
      </c>
      <c r="Y575" s="259">
        <v>45672.0</v>
      </c>
      <c r="AD575" s="258" t="s">
        <v>2620</v>
      </c>
      <c r="AG575" s="255">
        <v>0.0</v>
      </c>
    </row>
    <row r="576">
      <c r="A576" s="257">
        <v>45664.75306819445</v>
      </c>
      <c r="B576" s="259">
        <v>45664.0</v>
      </c>
      <c r="F576" s="255" t="s">
        <v>2625</v>
      </c>
      <c r="G576" s="255" t="s">
        <v>2626</v>
      </c>
      <c r="H576" s="255" t="s">
        <v>2627</v>
      </c>
      <c r="I576" s="255" t="s">
        <v>2628</v>
      </c>
      <c r="M576" s="255">
        <v>3000.0</v>
      </c>
      <c r="Q576" s="255" t="s">
        <v>2269</v>
      </c>
      <c r="R576" s="255" t="s">
        <v>2269</v>
      </c>
      <c r="T576" s="255">
        <v>70000.0</v>
      </c>
      <c r="V576" s="255">
        <v>2.0</v>
      </c>
      <c r="W576" s="259">
        <v>45665.0</v>
      </c>
      <c r="X576" s="260" t="s">
        <v>2330</v>
      </c>
      <c r="Y576" s="259">
        <v>45678.0</v>
      </c>
      <c r="AB576" s="255">
        <v>420.0</v>
      </c>
      <c r="AD576" s="258" t="s">
        <v>2624</v>
      </c>
      <c r="AE576" s="255" t="s">
        <v>44</v>
      </c>
      <c r="AF576" s="255" t="s">
        <v>2208</v>
      </c>
      <c r="AG576" s="255">
        <v>0.0</v>
      </c>
    </row>
    <row r="577">
      <c r="A577" s="257">
        <v>45664.76039826389</v>
      </c>
      <c r="B577" s="259">
        <v>45664.0</v>
      </c>
      <c r="F577" s="255" t="s">
        <v>2630</v>
      </c>
      <c r="G577" s="255" t="s">
        <v>2631</v>
      </c>
      <c r="H577" s="255" t="s">
        <v>2632</v>
      </c>
      <c r="M577" s="255">
        <v>5000.0</v>
      </c>
      <c r="Q577" s="255" t="s">
        <v>2631</v>
      </c>
      <c r="R577" s="255" t="s">
        <v>2631</v>
      </c>
      <c r="T577" s="255">
        <v>120000.0</v>
      </c>
      <c r="V577" s="255">
        <v>3.0</v>
      </c>
      <c r="W577" s="259">
        <v>45665.0</v>
      </c>
      <c r="X577" s="260" t="s">
        <v>2300</v>
      </c>
      <c r="Y577" s="259">
        <v>45674.0</v>
      </c>
      <c r="AB577" s="255">
        <v>728.0</v>
      </c>
      <c r="AD577" s="258" t="s">
        <v>2629</v>
      </c>
      <c r="AE577" s="255" t="s">
        <v>202</v>
      </c>
      <c r="AF577" s="255" t="s">
        <v>2208</v>
      </c>
      <c r="AG577" s="255">
        <v>490.0</v>
      </c>
    </row>
    <row r="578">
      <c r="A578" s="257">
        <v>45664.775649560186</v>
      </c>
      <c r="B578" s="259">
        <v>45664.0</v>
      </c>
      <c r="F578" s="255" t="s">
        <v>2634</v>
      </c>
      <c r="G578" s="255" t="s">
        <v>2635</v>
      </c>
      <c r="M578" s="255">
        <v>20000.0</v>
      </c>
      <c r="Q578" s="255" t="s">
        <v>2635</v>
      </c>
      <c r="R578" s="255" t="s">
        <v>2635</v>
      </c>
      <c r="T578" s="255">
        <v>220000.0</v>
      </c>
      <c r="V578" s="255">
        <v>2.0</v>
      </c>
      <c r="W578" s="259">
        <v>45666.0</v>
      </c>
      <c r="X578" s="260" t="s">
        <v>2221</v>
      </c>
      <c r="Y578" s="259">
        <v>45672.0</v>
      </c>
      <c r="AB578" s="255">
        <v>1500.0</v>
      </c>
      <c r="AD578" s="258" t="s">
        <v>2633</v>
      </c>
      <c r="AE578" s="255" t="s">
        <v>916</v>
      </c>
      <c r="AF578" s="255" t="s">
        <v>2208</v>
      </c>
      <c r="AG578" s="255">
        <v>500.0</v>
      </c>
    </row>
    <row r="579">
      <c r="A579" s="257">
        <v>45664.78831902778</v>
      </c>
      <c r="B579" s="259">
        <v>45664.0</v>
      </c>
      <c r="F579" s="255" t="s">
        <v>2637</v>
      </c>
      <c r="G579" s="255" t="s">
        <v>2638</v>
      </c>
      <c r="H579" s="255">
        <v>8.9195296152E10</v>
      </c>
      <c r="M579" s="255">
        <v>35000.0</v>
      </c>
      <c r="Q579" s="255" t="s">
        <v>2638</v>
      </c>
      <c r="R579" s="255" t="s">
        <v>2638</v>
      </c>
      <c r="T579" s="255">
        <v>500000.0</v>
      </c>
      <c r="V579" s="255">
        <v>2.0</v>
      </c>
      <c r="W579" s="259">
        <v>45676.0</v>
      </c>
      <c r="X579" s="260" t="s">
        <v>2221</v>
      </c>
      <c r="Y579" s="259">
        <v>45693.0</v>
      </c>
      <c r="AB579" s="255">
        <v>1765.0</v>
      </c>
      <c r="AD579" s="258" t="s">
        <v>2636</v>
      </c>
      <c r="AE579" s="255" t="s">
        <v>967</v>
      </c>
      <c r="AF579" s="255" t="s">
        <v>2208</v>
      </c>
      <c r="AG579" s="255">
        <v>0.0</v>
      </c>
    </row>
    <row r="580">
      <c r="A580" s="257">
        <v>45664.86847773148</v>
      </c>
      <c r="B580" s="259">
        <v>45664.0</v>
      </c>
      <c r="F580" s="255" t="s">
        <v>2640</v>
      </c>
      <c r="G580" s="255" t="s">
        <v>2641</v>
      </c>
      <c r="H580" s="255">
        <v>8.925865442E10</v>
      </c>
      <c r="M580" s="255">
        <v>3000.0</v>
      </c>
      <c r="Q580" s="255" t="s">
        <v>2641</v>
      </c>
      <c r="R580" s="255" t="s">
        <v>2641</v>
      </c>
      <c r="T580" s="255">
        <v>70000.0</v>
      </c>
      <c r="V580" s="255">
        <v>1.0</v>
      </c>
      <c r="W580" s="259">
        <v>45665.0</v>
      </c>
      <c r="X580" s="260" t="s">
        <v>2221</v>
      </c>
      <c r="Y580" s="259">
        <v>45672.0</v>
      </c>
      <c r="AB580" s="255">
        <v>469.0</v>
      </c>
      <c r="AD580" s="258" t="s">
        <v>2639</v>
      </c>
      <c r="AE580" s="255" t="s">
        <v>56</v>
      </c>
      <c r="AF580" s="255" t="s">
        <v>2208</v>
      </c>
      <c r="AG580" s="255">
        <v>290.0</v>
      </c>
    </row>
    <row r="581">
      <c r="A581" s="257">
        <v>45666.86011039352</v>
      </c>
      <c r="B581" s="259">
        <v>45666.0</v>
      </c>
      <c r="F581" s="255" t="s">
        <v>2643</v>
      </c>
      <c r="G581" s="255" t="s">
        <v>2644</v>
      </c>
      <c r="H581" s="255" t="s">
        <v>2645</v>
      </c>
      <c r="I581" s="255" t="s">
        <v>2646</v>
      </c>
      <c r="M581" s="255">
        <v>3000.0</v>
      </c>
      <c r="Q581" s="255" t="s">
        <v>2269</v>
      </c>
      <c r="R581" s="255" t="s">
        <v>2269</v>
      </c>
      <c r="T581" s="255">
        <v>70000.0</v>
      </c>
      <c r="V581" s="255">
        <v>1.0</v>
      </c>
      <c r="W581" s="259">
        <v>45667.0</v>
      </c>
      <c r="X581" s="260" t="s">
        <v>2231</v>
      </c>
      <c r="Y581" s="259">
        <v>45671.0</v>
      </c>
      <c r="AB581" s="255">
        <v>490.0</v>
      </c>
      <c r="AD581" s="258" t="s">
        <v>2642</v>
      </c>
      <c r="AE581" s="255" t="s">
        <v>44</v>
      </c>
      <c r="AF581" s="255" t="s">
        <v>2208</v>
      </c>
      <c r="AG581" s="255">
        <v>0.0</v>
      </c>
    </row>
    <row r="582">
      <c r="A582" s="257">
        <v>45667.16336061343</v>
      </c>
      <c r="B582" s="259">
        <v>45667.0</v>
      </c>
      <c r="G582" s="255" t="s">
        <v>2648</v>
      </c>
      <c r="H582" s="255" t="s">
        <v>2649</v>
      </c>
      <c r="M582" s="255">
        <v>5000.0</v>
      </c>
      <c r="Q582" s="255" t="s">
        <v>2648</v>
      </c>
      <c r="R582" s="255" t="s">
        <v>2648</v>
      </c>
      <c r="T582" s="255">
        <v>410000.0</v>
      </c>
      <c r="V582" s="255">
        <v>3.0</v>
      </c>
      <c r="W582" s="259">
        <v>45669.0</v>
      </c>
      <c r="X582" s="260" t="s">
        <v>2221</v>
      </c>
      <c r="Y582" s="259">
        <v>45679.0</v>
      </c>
      <c r="AB582" s="255">
        <v>788.0</v>
      </c>
      <c r="AD582" s="258" t="s">
        <v>2647</v>
      </c>
      <c r="AE582" s="255" t="s">
        <v>64</v>
      </c>
      <c r="AF582" s="255" t="s">
        <v>2208</v>
      </c>
      <c r="AG582" s="255">
        <v>290.0</v>
      </c>
    </row>
    <row r="583">
      <c r="A583" s="257">
        <v>45667.17081069444</v>
      </c>
      <c r="B583" s="259">
        <v>45667.0</v>
      </c>
      <c r="G583" s="255" t="s">
        <v>2648</v>
      </c>
      <c r="H583" s="255" t="s">
        <v>2649</v>
      </c>
      <c r="M583" s="255">
        <v>5000.0</v>
      </c>
      <c r="Q583" s="255" t="s">
        <v>2648</v>
      </c>
      <c r="R583" s="255" t="s">
        <v>2648</v>
      </c>
      <c r="T583" s="255">
        <v>410000.0</v>
      </c>
      <c r="V583" s="255">
        <v>3.0</v>
      </c>
      <c r="W583" s="259">
        <v>45669.0</v>
      </c>
      <c r="X583" s="260" t="s">
        <v>2221</v>
      </c>
      <c r="Y583" s="259">
        <v>45679.0</v>
      </c>
      <c r="AB583" s="255">
        <v>788.0</v>
      </c>
      <c r="AD583" s="258" t="s">
        <v>2650</v>
      </c>
      <c r="AE583" s="255" t="s">
        <v>92</v>
      </c>
      <c r="AF583" s="255" t="s">
        <v>2208</v>
      </c>
      <c r="AG583" s="255">
        <v>290.0</v>
      </c>
    </row>
    <row r="584">
      <c r="A584" s="257">
        <v>45668.64847429398</v>
      </c>
      <c r="B584" s="259">
        <v>45668.0</v>
      </c>
      <c r="F584" s="255" t="s">
        <v>2652</v>
      </c>
      <c r="G584" s="255" t="s">
        <v>2653</v>
      </c>
      <c r="M584" s="255" t="s">
        <v>2654</v>
      </c>
      <c r="Q584" s="255" t="s">
        <v>2269</v>
      </c>
      <c r="R584" s="255" t="s">
        <v>2269</v>
      </c>
      <c r="T584" s="255">
        <v>220000.0</v>
      </c>
      <c r="U584" s="255">
        <v>45000.0</v>
      </c>
      <c r="V584" s="255">
        <v>2.0</v>
      </c>
      <c r="W584" s="259">
        <v>45668.0</v>
      </c>
      <c r="X584" s="260" t="s">
        <v>2215</v>
      </c>
      <c r="Y584" s="259">
        <v>45676.0</v>
      </c>
      <c r="AB584" s="255">
        <v>1500.0</v>
      </c>
      <c r="AD584" s="258" t="s">
        <v>2651</v>
      </c>
      <c r="AE584" s="255" t="s">
        <v>102</v>
      </c>
      <c r="AF584" s="255" t="s">
        <v>2208</v>
      </c>
      <c r="AG584" s="255">
        <v>0.0</v>
      </c>
    </row>
    <row r="585">
      <c r="A585" s="257">
        <v>45669.36741564814</v>
      </c>
      <c r="B585" s="259">
        <v>45669.0</v>
      </c>
      <c r="G585" s="255" t="s">
        <v>2648</v>
      </c>
      <c r="H585" s="255" t="s">
        <v>2649</v>
      </c>
      <c r="M585" s="255">
        <v>25000.0</v>
      </c>
      <c r="Q585" s="255" t="s">
        <v>2648</v>
      </c>
      <c r="R585" s="255" t="s">
        <v>2648</v>
      </c>
      <c r="T585" s="255">
        <v>500000.0</v>
      </c>
      <c r="V585" s="255">
        <v>3.0</v>
      </c>
      <c r="W585" s="259">
        <v>45671.0</v>
      </c>
      <c r="X585" s="260" t="s">
        <v>2221</v>
      </c>
      <c r="Y585" s="259">
        <v>45673.0</v>
      </c>
      <c r="AB585" s="255">
        <v>2528.0</v>
      </c>
      <c r="AD585" s="258" t="s">
        <v>2655</v>
      </c>
      <c r="AE585" s="255" t="s">
        <v>1512</v>
      </c>
      <c r="AF585" s="255" t="s">
        <v>2208</v>
      </c>
      <c r="AG585" s="255">
        <v>290.0</v>
      </c>
    </row>
    <row r="586">
      <c r="A586" s="257">
        <v>45669.6291709375</v>
      </c>
      <c r="B586" s="259">
        <v>45669.0</v>
      </c>
      <c r="F586" s="255">
        <v>8.9220000494E10</v>
      </c>
      <c r="M586" s="255">
        <v>3000.0</v>
      </c>
      <c r="Q586" s="255" t="s">
        <v>2657</v>
      </c>
      <c r="R586" s="255" t="s">
        <v>2658</v>
      </c>
      <c r="T586" s="255">
        <v>70000.0</v>
      </c>
      <c r="U586" s="255">
        <v>28000.0</v>
      </c>
      <c r="V586" s="255">
        <v>2.0</v>
      </c>
      <c r="W586" s="259">
        <v>45669.0</v>
      </c>
      <c r="X586" s="260" t="s">
        <v>2215</v>
      </c>
      <c r="Y586" s="259">
        <v>45683.0</v>
      </c>
      <c r="AD586" s="258" t="s">
        <v>2656</v>
      </c>
      <c r="AE586" s="255" t="s">
        <v>98</v>
      </c>
      <c r="AF586" s="255" t="s">
        <v>2208</v>
      </c>
      <c r="AG586" s="255">
        <v>390.0</v>
      </c>
    </row>
    <row r="587">
      <c r="A587" s="257">
        <v>45669.66643622685</v>
      </c>
      <c r="B587" s="259">
        <v>45669.0</v>
      </c>
      <c r="G587" s="255" t="s">
        <v>2660</v>
      </c>
      <c r="H587" s="255" t="s">
        <v>2661</v>
      </c>
      <c r="M587" s="255">
        <v>3000.0</v>
      </c>
      <c r="Q587" s="255" t="s">
        <v>2660</v>
      </c>
      <c r="R587" s="255" t="s">
        <v>2660</v>
      </c>
      <c r="T587" s="255">
        <v>75000.0</v>
      </c>
      <c r="V587" s="255">
        <v>2.0</v>
      </c>
      <c r="W587" s="259">
        <v>45670.0</v>
      </c>
      <c r="X587" s="260" t="s">
        <v>2324</v>
      </c>
      <c r="Y587" s="259">
        <v>45681.0</v>
      </c>
      <c r="AB587" s="255">
        <v>434.0</v>
      </c>
      <c r="AD587" s="258" t="s">
        <v>2659</v>
      </c>
      <c r="AE587" s="255" t="s">
        <v>185</v>
      </c>
      <c r="AF587" s="255" t="s">
        <v>2208</v>
      </c>
      <c r="AG587" s="255">
        <v>290.0</v>
      </c>
    </row>
    <row r="588">
      <c r="A588" s="257">
        <v>45669.70786429398</v>
      </c>
      <c r="B588" s="259">
        <v>45669.0</v>
      </c>
      <c r="G588" s="255" t="s">
        <v>2663</v>
      </c>
      <c r="H588" s="255" t="s">
        <v>2649</v>
      </c>
      <c r="M588" s="255">
        <v>20000.0</v>
      </c>
      <c r="Q588" s="255" t="s">
        <v>2663</v>
      </c>
      <c r="R588" s="255" t="s">
        <v>2663</v>
      </c>
      <c r="T588" s="255">
        <v>220000.0</v>
      </c>
      <c r="V588" s="255">
        <v>3.0</v>
      </c>
      <c r="W588" s="259">
        <v>45671.0</v>
      </c>
      <c r="X588" s="260" t="s">
        <v>2221</v>
      </c>
      <c r="Y588" s="259">
        <v>45671.0</v>
      </c>
      <c r="AB588" s="255">
        <v>1798.0</v>
      </c>
      <c r="AD588" s="258" t="s">
        <v>2662</v>
      </c>
      <c r="AE588" s="255" t="s">
        <v>916</v>
      </c>
      <c r="AF588" s="255" t="s">
        <v>2208</v>
      </c>
      <c r="AG588" s="255">
        <v>290.0</v>
      </c>
    </row>
    <row r="589">
      <c r="A589" s="257">
        <v>45669.84739876157</v>
      </c>
      <c r="B589" s="259">
        <v>45669.0</v>
      </c>
      <c r="F589" s="255" t="s">
        <v>2634</v>
      </c>
      <c r="G589" s="255" t="s">
        <v>2635</v>
      </c>
      <c r="Q589" s="255" t="s">
        <v>2635</v>
      </c>
      <c r="R589" s="255" t="s">
        <v>2635</v>
      </c>
      <c r="V589" s="255">
        <v>0.0</v>
      </c>
      <c r="W589" s="259">
        <v>45670.0</v>
      </c>
      <c r="X589" s="260" t="s">
        <v>2221</v>
      </c>
      <c r="Y589" s="259">
        <v>45672.0</v>
      </c>
      <c r="AD589" s="258" t="s">
        <v>2664</v>
      </c>
      <c r="AE589" s="255" t="s">
        <v>483</v>
      </c>
      <c r="AF589" s="255" t="s">
        <v>2208</v>
      </c>
      <c r="AG589" s="255">
        <v>0.0</v>
      </c>
    </row>
    <row r="590">
      <c r="A590" s="257">
        <v>45670.67647219908</v>
      </c>
      <c r="B590" s="259">
        <v>45670.0</v>
      </c>
      <c r="G590" s="255" t="s">
        <v>2666</v>
      </c>
      <c r="H590" s="255" t="s">
        <v>2667</v>
      </c>
      <c r="M590" s="255">
        <v>8000.0</v>
      </c>
      <c r="Q590" s="255" t="s">
        <v>2207</v>
      </c>
      <c r="R590" s="255" t="s">
        <v>2207</v>
      </c>
      <c r="T590" s="255">
        <v>70000.0</v>
      </c>
      <c r="V590" s="255">
        <v>1.0</v>
      </c>
      <c r="W590" s="259">
        <v>45670.0</v>
      </c>
      <c r="X590" s="260" t="s">
        <v>2231</v>
      </c>
      <c r="Y590" s="259">
        <v>45675.0</v>
      </c>
      <c r="AB590" s="255">
        <v>584.0</v>
      </c>
      <c r="AD590" s="258" t="s">
        <v>2665</v>
      </c>
      <c r="AE590" s="255" t="s">
        <v>286</v>
      </c>
      <c r="AF590" s="255" t="s">
        <v>2208</v>
      </c>
      <c r="AG590" s="255">
        <v>0.0</v>
      </c>
    </row>
    <row r="591">
      <c r="A591" s="257">
        <v>45670.96133831018</v>
      </c>
      <c r="B591" s="259">
        <v>45670.0</v>
      </c>
      <c r="G591" s="255" t="s">
        <v>2669</v>
      </c>
      <c r="H591" s="255" t="s">
        <v>2670</v>
      </c>
      <c r="M591" s="255">
        <v>7000.0</v>
      </c>
      <c r="Q591" s="255" t="s">
        <v>2669</v>
      </c>
      <c r="R591" s="255" t="s">
        <v>2669</v>
      </c>
      <c r="T591" s="255">
        <v>450000.0</v>
      </c>
      <c r="V591" s="255">
        <v>0.0</v>
      </c>
      <c r="W591" s="259">
        <v>45673.0</v>
      </c>
      <c r="X591" s="260" t="s">
        <v>2330</v>
      </c>
      <c r="Y591" s="259">
        <v>45681.0</v>
      </c>
      <c r="AB591" s="255">
        <v>967.0</v>
      </c>
      <c r="AD591" s="258" t="s">
        <v>2668</v>
      </c>
      <c r="AE591" s="255" t="s">
        <v>974</v>
      </c>
      <c r="AF591" s="255" t="s">
        <v>2208</v>
      </c>
      <c r="AG591" s="255">
        <v>0.0</v>
      </c>
    </row>
    <row r="592">
      <c r="A592" s="257">
        <v>45670.96594894676</v>
      </c>
      <c r="B592" s="259">
        <v>45670.0</v>
      </c>
      <c r="F592" s="255" t="s">
        <v>2672</v>
      </c>
      <c r="G592" s="255" t="s">
        <v>2673</v>
      </c>
      <c r="H592" s="255" t="s">
        <v>2674</v>
      </c>
      <c r="M592" s="255">
        <v>7000.0</v>
      </c>
      <c r="Q592" s="255" t="s">
        <v>2673</v>
      </c>
      <c r="R592" s="255" t="s">
        <v>2673</v>
      </c>
      <c r="T592" s="255">
        <v>450000.0</v>
      </c>
      <c r="V592" s="255">
        <v>2.0</v>
      </c>
      <c r="W592" s="259">
        <v>45673.0</v>
      </c>
      <c r="X592" s="260" t="s">
        <v>2324</v>
      </c>
      <c r="Y592" s="259">
        <v>45732.0</v>
      </c>
      <c r="AB592" s="255">
        <v>610.0</v>
      </c>
      <c r="AD592" s="258" t="s">
        <v>2671</v>
      </c>
      <c r="AE592" s="255" t="s">
        <v>1028</v>
      </c>
      <c r="AF592" s="255" t="s">
        <v>2208</v>
      </c>
      <c r="AG592" s="255">
        <v>290.0</v>
      </c>
    </row>
    <row r="593">
      <c r="A593" s="257">
        <v>45671.506381018524</v>
      </c>
      <c r="B593" s="259">
        <v>45671.0</v>
      </c>
      <c r="F593" s="255" t="s">
        <v>2676</v>
      </c>
      <c r="G593" s="255" t="s">
        <v>2677</v>
      </c>
      <c r="H593" s="255" t="s">
        <v>2678</v>
      </c>
      <c r="M593" s="255">
        <v>7000.0</v>
      </c>
      <c r="Q593" s="255" t="s">
        <v>2677</v>
      </c>
      <c r="R593" s="255" t="s">
        <v>2677</v>
      </c>
      <c r="T593" s="255">
        <v>180000.0</v>
      </c>
      <c r="U593" s="255">
        <v>10000.0</v>
      </c>
      <c r="V593" s="255">
        <v>0.0</v>
      </c>
      <c r="W593" s="259">
        <v>45671.0</v>
      </c>
      <c r="X593" s="260" t="s">
        <v>2221</v>
      </c>
      <c r="Y593" s="259">
        <v>45688.0</v>
      </c>
      <c r="AB593" s="255">
        <v>852.0</v>
      </c>
      <c r="AD593" s="258" t="s">
        <v>2675</v>
      </c>
      <c r="AE593" s="255" t="s">
        <v>960</v>
      </c>
      <c r="AF593" s="255" t="s">
        <v>2208</v>
      </c>
      <c r="AG593" s="255">
        <v>290.0</v>
      </c>
    </row>
    <row r="594">
      <c r="A594" s="257">
        <v>45671.5789418287</v>
      </c>
      <c r="B594" s="259">
        <v>45671.0</v>
      </c>
      <c r="F594" s="255" t="s">
        <v>2680</v>
      </c>
      <c r="G594" s="255" t="s">
        <v>2681</v>
      </c>
      <c r="H594" s="255" t="s">
        <v>2682</v>
      </c>
      <c r="I594" s="255" t="s">
        <v>2683</v>
      </c>
      <c r="M594" s="255">
        <v>3000.0</v>
      </c>
      <c r="Q594" s="255" t="s">
        <v>2681</v>
      </c>
      <c r="R594" s="255" t="s">
        <v>2681</v>
      </c>
      <c r="T594" s="255">
        <v>70000.0</v>
      </c>
      <c r="V594" s="255">
        <v>2.0</v>
      </c>
      <c r="W594" s="259">
        <v>45672.0</v>
      </c>
      <c r="X594" s="260" t="s">
        <v>2324</v>
      </c>
      <c r="Y594" s="259">
        <v>45678.0</v>
      </c>
      <c r="AB594" s="255">
        <v>469.0</v>
      </c>
      <c r="AD594" s="258" t="s">
        <v>2679</v>
      </c>
      <c r="AE594" s="255" t="s">
        <v>73</v>
      </c>
      <c r="AF594" s="255" t="s">
        <v>2208</v>
      </c>
      <c r="AG594" s="255">
        <v>590.0</v>
      </c>
    </row>
    <row r="595">
      <c r="A595" s="257">
        <v>45672.55360835648</v>
      </c>
      <c r="B595" s="259">
        <v>45672.0</v>
      </c>
      <c r="F595" s="255" t="s">
        <v>2685</v>
      </c>
      <c r="G595" s="255" t="s">
        <v>2686</v>
      </c>
      <c r="H595" s="255" t="s">
        <v>2687</v>
      </c>
      <c r="M595" s="255">
        <v>3000.0</v>
      </c>
      <c r="Q595" s="255" t="s">
        <v>2686</v>
      </c>
      <c r="R595" s="255" t="s">
        <v>2686</v>
      </c>
      <c r="T595" s="255">
        <v>70000.0</v>
      </c>
      <c r="V595" s="255">
        <v>3.0</v>
      </c>
      <c r="W595" s="259">
        <v>45673.0</v>
      </c>
      <c r="X595" s="260" t="s">
        <v>2265</v>
      </c>
      <c r="Y595" s="259">
        <v>45681.0</v>
      </c>
      <c r="AB595" s="255">
        <v>462.0</v>
      </c>
      <c r="AD595" s="258" t="s">
        <v>2684</v>
      </c>
      <c r="AE595" s="255" t="s">
        <v>56</v>
      </c>
      <c r="AF595" s="255" t="s">
        <v>2208</v>
      </c>
      <c r="AG595" s="255">
        <v>290.0</v>
      </c>
    </row>
    <row r="596">
      <c r="A596" s="257">
        <v>45672.557933171294</v>
      </c>
      <c r="B596" s="259">
        <v>45672.0</v>
      </c>
      <c r="F596" s="255" t="s">
        <v>2689</v>
      </c>
      <c r="G596" s="255" t="s">
        <v>2690</v>
      </c>
      <c r="H596" s="255" t="s">
        <v>2691</v>
      </c>
      <c r="M596" s="255">
        <v>7000.0</v>
      </c>
      <c r="Q596" s="255" t="s">
        <v>2690</v>
      </c>
      <c r="R596" s="255" t="s">
        <v>2690</v>
      </c>
      <c r="T596" s="255">
        <v>450000.0</v>
      </c>
      <c r="V596" s="255">
        <v>2.0</v>
      </c>
      <c r="W596" s="259">
        <v>45675.0</v>
      </c>
      <c r="X596" s="260" t="s">
        <v>2324</v>
      </c>
      <c r="Y596" s="259">
        <v>45681.0</v>
      </c>
      <c r="AB596" s="255">
        <v>981.0</v>
      </c>
      <c r="AD596" s="258" t="s">
        <v>2688</v>
      </c>
      <c r="AE596" s="255" t="s">
        <v>960</v>
      </c>
      <c r="AF596" s="255" t="s">
        <v>2208</v>
      </c>
      <c r="AG596" s="255">
        <v>590.0</v>
      </c>
    </row>
    <row r="597">
      <c r="A597" s="257">
        <v>45673.208671030094</v>
      </c>
      <c r="B597" s="259">
        <v>45673.0</v>
      </c>
      <c r="G597" s="255" t="s">
        <v>2693</v>
      </c>
      <c r="H597" s="255">
        <v>7.9254445551E10</v>
      </c>
      <c r="M597" s="255">
        <v>7000.0</v>
      </c>
      <c r="Q597" s="255" t="s">
        <v>2693</v>
      </c>
      <c r="R597" s="255" t="s">
        <v>2693</v>
      </c>
      <c r="T597" s="255">
        <v>450000.0</v>
      </c>
      <c r="V597" s="255">
        <v>0.0</v>
      </c>
      <c r="W597" s="259">
        <v>45673.0</v>
      </c>
      <c r="X597" s="260" t="s">
        <v>2221</v>
      </c>
      <c r="Y597" s="259">
        <v>45677.0</v>
      </c>
      <c r="AB597" s="255">
        <v>1033.0</v>
      </c>
      <c r="AD597" s="258" t="s">
        <v>2692</v>
      </c>
      <c r="AE597" s="255" t="s">
        <v>1028</v>
      </c>
      <c r="AF597" s="255" t="s">
        <v>2208</v>
      </c>
      <c r="AG597" s="255">
        <v>290.0</v>
      </c>
    </row>
    <row r="598">
      <c r="A598" s="257">
        <v>45673.211395879625</v>
      </c>
      <c r="B598" s="259">
        <v>45673.0</v>
      </c>
      <c r="G598" s="255" t="s">
        <v>2695</v>
      </c>
      <c r="H598" s="255" t="s">
        <v>2696</v>
      </c>
      <c r="M598" s="255">
        <v>20000.0</v>
      </c>
      <c r="Q598" s="255" t="s">
        <v>2269</v>
      </c>
      <c r="R598" s="255" t="s">
        <v>2269</v>
      </c>
      <c r="T598" s="255">
        <v>150000.0</v>
      </c>
      <c r="V598" s="255">
        <v>2.0</v>
      </c>
      <c r="W598" s="259">
        <v>45673.0</v>
      </c>
      <c r="X598" s="260" t="s">
        <v>2246</v>
      </c>
      <c r="Y598" s="259">
        <v>45678.0</v>
      </c>
      <c r="AB598" s="255">
        <v>1780.0</v>
      </c>
      <c r="AD598" s="258" t="s">
        <v>2694</v>
      </c>
      <c r="AE598" s="255" t="s">
        <v>483</v>
      </c>
      <c r="AF598" s="255" t="s">
        <v>2208</v>
      </c>
      <c r="AG598" s="255">
        <v>0.0</v>
      </c>
    </row>
    <row r="599">
      <c r="A599" s="257">
        <v>45674.21298984953</v>
      </c>
      <c r="B599" s="259">
        <v>45674.0</v>
      </c>
      <c r="F599" s="255" t="s">
        <v>2698</v>
      </c>
      <c r="G599" s="255" t="s">
        <v>2699</v>
      </c>
      <c r="H599" s="255">
        <v>8.9372046751E10</v>
      </c>
      <c r="M599" s="255">
        <v>7000.0</v>
      </c>
      <c r="Q599" s="255" t="s">
        <v>2699</v>
      </c>
      <c r="R599" s="255" t="s">
        <v>2699</v>
      </c>
      <c r="T599" s="255">
        <v>450000.0</v>
      </c>
      <c r="V599" s="255">
        <v>4.0</v>
      </c>
      <c r="W599" s="259">
        <v>45674.0</v>
      </c>
      <c r="X599" s="260" t="s">
        <v>2324</v>
      </c>
      <c r="Y599" s="259">
        <v>45682.0</v>
      </c>
      <c r="AB599" s="255">
        <v>967.0</v>
      </c>
      <c r="AD599" s="258" t="s">
        <v>2697</v>
      </c>
      <c r="AE599" s="255" t="s">
        <v>928</v>
      </c>
      <c r="AF599" s="255" t="s">
        <v>2208</v>
      </c>
      <c r="AG599" s="255">
        <v>490.0</v>
      </c>
    </row>
    <row r="600">
      <c r="A600" s="257">
        <v>45674.67951981482</v>
      </c>
      <c r="B600" s="259">
        <v>45674.0</v>
      </c>
      <c r="F600" s="255" t="s">
        <v>2701</v>
      </c>
      <c r="G600" s="255" t="s">
        <v>2702</v>
      </c>
      <c r="H600" s="255">
        <v>8.9119272266E10</v>
      </c>
      <c r="M600" s="255" t="s">
        <v>600</v>
      </c>
      <c r="Q600" s="255" t="s">
        <v>2269</v>
      </c>
      <c r="R600" s="255" t="s">
        <v>2269</v>
      </c>
      <c r="T600" s="255">
        <v>500000.0</v>
      </c>
      <c r="V600" s="255">
        <v>1.0</v>
      </c>
      <c r="W600" s="259">
        <v>45674.0</v>
      </c>
      <c r="X600" s="260" t="s">
        <v>2215</v>
      </c>
      <c r="Y600" s="259">
        <v>45705.0</v>
      </c>
      <c r="AC600" s="255">
        <v>29000.0</v>
      </c>
      <c r="AD600" s="258" t="s">
        <v>2700</v>
      </c>
      <c r="AE600" s="255" t="s">
        <v>1512</v>
      </c>
      <c r="AF600" s="255" t="s">
        <v>2208</v>
      </c>
      <c r="AG600" s="255">
        <v>0.0</v>
      </c>
    </row>
    <row r="601">
      <c r="A601" s="257">
        <v>45674.883711284725</v>
      </c>
      <c r="B601" s="259">
        <v>45674.0</v>
      </c>
      <c r="F601" s="255" t="s">
        <v>2704</v>
      </c>
      <c r="G601" s="255" t="s">
        <v>2705</v>
      </c>
      <c r="H601" s="255" t="s">
        <v>2706</v>
      </c>
      <c r="M601" s="255">
        <v>3000.0</v>
      </c>
      <c r="Q601" s="255" t="s">
        <v>2705</v>
      </c>
      <c r="R601" s="255" t="s">
        <v>2705</v>
      </c>
      <c r="T601" s="255">
        <v>70000.0</v>
      </c>
      <c r="V601" s="255">
        <v>1.0</v>
      </c>
      <c r="W601" s="259">
        <v>45675.0</v>
      </c>
      <c r="X601" s="260" t="s">
        <v>2235</v>
      </c>
      <c r="Y601" s="259">
        <v>45687.0</v>
      </c>
      <c r="AB601" s="255">
        <v>434.0</v>
      </c>
      <c r="AD601" s="258" t="s">
        <v>2703</v>
      </c>
      <c r="AE601" s="255" t="s">
        <v>77</v>
      </c>
      <c r="AF601" s="255" t="s">
        <v>2208</v>
      </c>
      <c r="AG601" s="255">
        <v>590.0</v>
      </c>
    </row>
    <row r="602">
      <c r="A602" s="257">
        <v>45676.07367960648</v>
      </c>
      <c r="B602" s="259">
        <v>45676.0</v>
      </c>
      <c r="F602" s="255" t="s">
        <v>2708</v>
      </c>
      <c r="G602" s="255" t="s">
        <v>2709</v>
      </c>
      <c r="H602" s="255" t="s">
        <v>2710</v>
      </c>
      <c r="M602" s="255">
        <v>20000.0</v>
      </c>
      <c r="Q602" s="255" t="s">
        <v>2711</v>
      </c>
      <c r="R602" s="255" t="s">
        <v>2711</v>
      </c>
      <c r="T602" s="255">
        <v>400000.0</v>
      </c>
      <c r="V602" s="255">
        <v>1.0</v>
      </c>
      <c r="W602" s="259">
        <v>45677.0</v>
      </c>
      <c r="X602" s="260" t="s">
        <v>2324</v>
      </c>
      <c r="Y602" s="259">
        <v>45708.0</v>
      </c>
      <c r="AC602" s="255">
        <v>30659.0</v>
      </c>
      <c r="AD602" s="258" t="s">
        <v>2707</v>
      </c>
      <c r="AE602" s="255" t="s">
        <v>916</v>
      </c>
      <c r="AF602" s="255" t="s">
        <v>2208</v>
      </c>
      <c r="AG602" s="255">
        <v>490.0</v>
      </c>
    </row>
    <row r="603">
      <c r="A603" s="257">
        <v>45677.24670710648</v>
      </c>
      <c r="B603" s="259">
        <v>45677.0</v>
      </c>
      <c r="G603" s="255" t="s">
        <v>2713</v>
      </c>
      <c r="M603" s="255" t="s">
        <v>600</v>
      </c>
      <c r="Q603" s="255" t="s">
        <v>2713</v>
      </c>
      <c r="R603" s="255" t="s">
        <v>2713</v>
      </c>
      <c r="T603" s="255">
        <v>510000.0</v>
      </c>
      <c r="V603" s="255">
        <v>2.0</v>
      </c>
      <c r="W603" s="259">
        <v>45677.0</v>
      </c>
      <c r="X603" s="260" t="s">
        <v>2330</v>
      </c>
      <c r="Y603" s="259">
        <v>45686.0</v>
      </c>
      <c r="AB603" s="255">
        <v>2000.0</v>
      </c>
      <c r="AD603" s="258" t="s">
        <v>2712</v>
      </c>
      <c r="AE603" s="255" t="s">
        <v>914</v>
      </c>
      <c r="AF603" s="255" t="s">
        <v>2208</v>
      </c>
      <c r="AG603" s="255">
        <v>290.0</v>
      </c>
    </row>
    <row r="604">
      <c r="A604" s="257">
        <v>45678.52812613426</v>
      </c>
      <c r="B604" s="259">
        <v>45678.0</v>
      </c>
      <c r="G604" s="255" t="s">
        <v>2715</v>
      </c>
      <c r="H604" s="255" t="s">
        <v>2716</v>
      </c>
      <c r="M604" s="255">
        <v>3000.0</v>
      </c>
      <c r="Q604" s="255" t="s">
        <v>2207</v>
      </c>
      <c r="R604" s="255" t="s">
        <v>2207</v>
      </c>
      <c r="T604" s="255">
        <v>80000.0</v>
      </c>
      <c r="V604" s="255">
        <v>2.0</v>
      </c>
      <c r="W604" s="259">
        <v>45678.0</v>
      </c>
      <c r="X604" s="260" t="s">
        <v>2221</v>
      </c>
      <c r="Y604" s="259">
        <v>45685.0</v>
      </c>
      <c r="AB604" s="255">
        <v>427.0</v>
      </c>
      <c r="AD604" s="258" t="s">
        <v>2714</v>
      </c>
      <c r="AE604" s="255" t="s">
        <v>106</v>
      </c>
      <c r="AF604" s="255" t="s">
        <v>2208</v>
      </c>
      <c r="AG604" s="255">
        <v>0.0</v>
      </c>
    </row>
    <row r="605">
      <c r="A605" s="257">
        <v>45678.58106740741</v>
      </c>
      <c r="B605" s="259">
        <v>45678.0</v>
      </c>
      <c r="G605" s="255" t="s">
        <v>2718</v>
      </c>
      <c r="H605" s="260" t="s">
        <v>2719</v>
      </c>
      <c r="M605" s="255">
        <v>3000.0</v>
      </c>
      <c r="Q605" s="255" t="s">
        <v>2269</v>
      </c>
      <c r="R605" s="255" t="s">
        <v>2269</v>
      </c>
      <c r="T605" s="255">
        <v>75000.0</v>
      </c>
      <c r="V605" s="255">
        <v>0.0</v>
      </c>
      <c r="W605" s="259">
        <v>45678.0</v>
      </c>
      <c r="X605" s="260" t="s">
        <v>2231</v>
      </c>
      <c r="Y605" s="259">
        <v>45690.0</v>
      </c>
      <c r="AB605" s="255">
        <v>394.0</v>
      </c>
      <c r="AD605" s="258" t="s">
        <v>2717</v>
      </c>
      <c r="AE605" s="255" t="s">
        <v>185</v>
      </c>
      <c r="AF605" s="255" t="s">
        <v>2208</v>
      </c>
      <c r="AG605" s="255">
        <v>0.0</v>
      </c>
    </row>
    <row r="606">
      <c r="A606" s="257">
        <v>45679.24209462963</v>
      </c>
      <c r="B606" s="259">
        <v>45679.0</v>
      </c>
      <c r="F606" s="255" t="s">
        <v>2721</v>
      </c>
      <c r="H606" s="255" t="s">
        <v>2722</v>
      </c>
      <c r="M606" s="255" t="s">
        <v>515</v>
      </c>
      <c r="T606" s="255">
        <v>75000.0</v>
      </c>
      <c r="V606" s="255">
        <v>2.0</v>
      </c>
      <c r="W606" s="259">
        <v>45680.0</v>
      </c>
      <c r="X606" s="260" t="s">
        <v>2215</v>
      </c>
      <c r="Y606" s="259">
        <v>45683.0</v>
      </c>
      <c r="AB606" s="255">
        <v>620.0</v>
      </c>
      <c r="AD606" s="258" t="s">
        <v>2720</v>
      </c>
      <c r="AE606" s="255" t="s">
        <v>279</v>
      </c>
      <c r="AF606" s="255" t="s">
        <v>2208</v>
      </c>
      <c r="AG606" s="255">
        <v>490.0</v>
      </c>
    </row>
    <row r="607">
      <c r="A607" s="257">
        <v>45679.532109548614</v>
      </c>
      <c r="B607" s="259">
        <v>45679.0</v>
      </c>
      <c r="F607" s="255">
        <v>6.6943763258E10</v>
      </c>
      <c r="G607" s="255" t="s">
        <v>2724</v>
      </c>
      <c r="M607" s="255">
        <v>8000.0</v>
      </c>
      <c r="Q607" s="255" t="s">
        <v>2207</v>
      </c>
      <c r="R607" s="255" t="s">
        <v>2207</v>
      </c>
      <c r="U607" s="255">
        <v>16327.0</v>
      </c>
      <c r="V607" s="255">
        <v>1.0</v>
      </c>
      <c r="W607" s="259">
        <v>45679.0</v>
      </c>
      <c r="X607" s="260" t="s">
        <v>2221</v>
      </c>
      <c r="Y607" s="259">
        <v>45684.0</v>
      </c>
      <c r="AB607" s="255">
        <v>600.0</v>
      </c>
      <c r="AD607" s="258" t="s">
        <v>2723</v>
      </c>
      <c r="AE607" s="255" t="s">
        <v>286</v>
      </c>
      <c r="AF607" s="255" t="s">
        <v>2320</v>
      </c>
      <c r="AG607" s="255">
        <v>0.0</v>
      </c>
    </row>
    <row r="608">
      <c r="A608" s="257">
        <v>45679.53493336806</v>
      </c>
      <c r="B608" s="259">
        <v>45679.0</v>
      </c>
      <c r="G608" s="255" t="s">
        <v>2726</v>
      </c>
      <c r="H608" s="255" t="s">
        <v>2727</v>
      </c>
      <c r="M608" s="255">
        <v>3000.0</v>
      </c>
      <c r="Q608" s="255" t="s">
        <v>2207</v>
      </c>
      <c r="R608" s="255" t="s">
        <v>2207</v>
      </c>
      <c r="T608" s="255">
        <v>80000.0</v>
      </c>
      <c r="U608" s="255">
        <v>22492.0</v>
      </c>
      <c r="V608" s="255">
        <v>1.0</v>
      </c>
      <c r="W608" s="259">
        <v>45679.0</v>
      </c>
      <c r="X608" s="260" t="s">
        <v>2330</v>
      </c>
      <c r="Y608" s="259">
        <v>45685.0</v>
      </c>
      <c r="AB608" s="255">
        <v>427.0</v>
      </c>
      <c r="AD608" s="258" t="s">
        <v>2725</v>
      </c>
      <c r="AE608" s="255" t="s">
        <v>106</v>
      </c>
      <c r="AF608" s="255" t="s">
        <v>2320</v>
      </c>
      <c r="AG608" s="255">
        <v>0.0</v>
      </c>
    </row>
    <row r="609">
      <c r="A609" s="257">
        <v>45679.794934861115</v>
      </c>
      <c r="B609" s="259">
        <v>45679.0</v>
      </c>
      <c r="G609" s="255" t="s">
        <v>2555</v>
      </c>
      <c r="H609" s="255">
        <v>8.9644511044E10</v>
      </c>
      <c r="M609" s="255">
        <v>15000.0</v>
      </c>
      <c r="Q609" s="255" t="s">
        <v>2269</v>
      </c>
      <c r="R609" s="255" t="s">
        <v>2269</v>
      </c>
      <c r="T609" s="255">
        <v>210000.0</v>
      </c>
      <c r="V609" s="255">
        <v>0.0</v>
      </c>
      <c r="W609" s="259">
        <v>45679.0</v>
      </c>
      <c r="X609" s="260" t="s">
        <v>2231</v>
      </c>
      <c r="Y609" s="259">
        <v>45680.0</v>
      </c>
      <c r="AB609" s="255">
        <v>1798.0</v>
      </c>
      <c r="AD609" s="258" t="s">
        <v>2728</v>
      </c>
      <c r="AE609" s="255" t="s">
        <v>483</v>
      </c>
      <c r="AF609" s="255" t="s">
        <v>2208</v>
      </c>
      <c r="AG609" s="255">
        <v>0.0</v>
      </c>
    </row>
    <row r="610">
      <c r="A610" s="257">
        <v>45680.225927754625</v>
      </c>
      <c r="B610" s="259">
        <v>45680.0</v>
      </c>
      <c r="G610" s="255" t="s">
        <v>2730</v>
      </c>
      <c r="H610" s="255" t="s">
        <v>2731</v>
      </c>
      <c r="I610" s="255">
        <v>7.9250971323E10</v>
      </c>
      <c r="M610" s="255">
        <v>7000.0</v>
      </c>
      <c r="Q610" s="255" t="s">
        <v>2269</v>
      </c>
      <c r="R610" s="255" t="s">
        <v>2269</v>
      </c>
      <c r="T610" s="255">
        <v>450000.0</v>
      </c>
      <c r="V610" s="255">
        <v>2.0</v>
      </c>
      <c r="W610" s="259">
        <v>45680.0</v>
      </c>
      <c r="X610" s="260" t="s">
        <v>2265</v>
      </c>
      <c r="Y610" s="259">
        <v>45689.0</v>
      </c>
      <c r="AB610" s="255">
        <v>952.0</v>
      </c>
      <c r="AD610" s="258" t="s">
        <v>2729</v>
      </c>
      <c r="AE610" s="255" t="s">
        <v>1028</v>
      </c>
      <c r="AF610" s="255" t="s">
        <v>2208</v>
      </c>
      <c r="AG610" s="255">
        <v>0.0</v>
      </c>
    </row>
    <row r="611">
      <c r="A611" s="257">
        <v>45680.228116134254</v>
      </c>
      <c r="B611" s="259">
        <v>45680.0</v>
      </c>
      <c r="G611" s="255" t="s">
        <v>2733</v>
      </c>
      <c r="H611" s="255" t="s">
        <v>2734</v>
      </c>
      <c r="M611" s="255">
        <v>3000.0</v>
      </c>
      <c r="Q611" s="255" t="s">
        <v>2733</v>
      </c>
      <c r="R611" s="255" t="s">
        <v>2733</v>
      </c>
      <c r="T611" s="255">
        <v>70000.0</v>
      </c>
      <c r="V611" s="255">
        <v>3.0</v>
      </c>
      <c r="W611" s="259">
        <v>45680.0</v>
      </c>
      <c r="X611" s="260" t="s">
        <v>2215</v>
      </c>
      <c r="Y611" s="259">
        <v>45688.0</v>
      </c>
      <c r="AB611" s="255">
        <v>420.0</v>
      </c>
      <c r="AD611" s="258" t="s">
        <v>2732</v>
      </c>
      <c r="AE611" s="255" t="s">
        <v>98</v>
      </c>
      <c r="AF611" s="255" t="s">
        <v>2208</v>
      </c>
      <c r="AG611" s="255">
        <v>290.0</v>
      </c>
    </row>
    <row r="612">
      <c r="A612" s="257">
        <v>45680.48152858796</v>
      </c>
      <c r="B612" s="259">
        <v>45680.0</v>
      </c>
      <c r="F612" s="255" t="s">
        <v>2736</v>
      </c>
      <c r="G612" s="255" t="s">
        <v>2737</v>
      </c>
      <c r="H612" s="255">
        <v>8.915157969E10</v>
      </c>
      <c r="M612" s="255">
        <v>7000.0</v>
      </c>
      <c r="Q612" s="255" t="s">
        <v>2737</v>
      </c>
      <c r="R612" s="255" t="s">
        <v>2737</v>
      </c>
      <c r="T612" s="255">
        <v>180000.0</v>
      </c>
      <c r="V612" s="255">
        <v>2.0</v>
      </c>
      <c r="W612" s="259">
        <v>45680.0</v>
      </c>
      <c r="X612" s="260" t="s">
        <v>2221</v>
      </c>
      <c r="Y612" s="259">
        <v>45685.0</v>
      </c>
      <c r="AB612" s="255">
        <v>998.0</v>
      </c>
      <c r="AD612" s="258" t="s">
        <v>2735</v>
      </c>
      <c r="AE612" s="255" t="s">
        <v>923</v>
      </c>
      <c r="AF612" s="255" t="s">
        <v>2208</v>
      </c>
      <c r="AG612" s="255">
        <v>390.0</v>
      </c>
    </row>
    <row r="613">
      <c r="A613" s="257">
        <v>45680.4839431713</v>
      </c>
      <c r="B613" s="259">
        <v>45680.0</v>
      </c>
      <c r="F613" s="255" t="s">
        <v>2736</v>
      </c>
      <c r="G613" s="255" t="s">
        <v>2739</v>
      </c>
      <c r="H613" s="255">
        <v>8.915157969E10</v>
      </c>
      <c r="M613" s="255">
        <v>7000.0</v>
      </c>
      <c r="Q613" s="255" t="s">
        <v>2739</v>
      </c>
      <c r="R613" s="255" t="s">
        <v>2739</v>
      </c>
      <c r="T613" s="255">
        <v>180000.0</v>
      </c>
      <c r="V613" s="255">
        <v>3.0</v>
      </c>
      <c r="W613" s="259">
        <v>45680.0</v>
      </c>
      <c r="X613" s="260" t="s">
        <v>2221</v>
      </c>
      <c r="Y613" s="259">
        <v>45685.0</v>
      </c>
      <c r="AB613" s="255">
        <v>998.0</v>
      </c>
      <c r="AD613" s="258" t="s">
        <v>2738</v>
      </c>
      <c r="AE613" s="255" t="s">
        <v>1065</v>
      </c>
      <c r="AF613" s="255" t="s">
        <v>2208</v>
      </c>
      <c r="AG613" s="255">
        <v>390.0</v>
      </c>
    </row>
    <row r="614">
      <c r="A614" s="257">
        <v>45680.56922280093</v>
      </c>
      <c r="B614" s="259">
        <v>45680.0</v>
      </c>
      <c r="F614" s="255" t="s">
        <v>2741</v>
      </c>
      <c r="G614" s="255" t="s">
        <v>2742</v>
      </c>
      <c r="H614" s="255">
        <v>7.9803819577E10</v>
      </c>
      <c r="M614" s="255" t="s">
        <v>515</v>
      </c>
      <c r="Q614" s="255" t="s">
        <v>2742</v>
      </c>
      <c r="R614" s="255" t="s">
        <v>2742</v>
      </c>
      <c r="T614" s="255">
        <v>500000.0</v>
      </c>
      <c r="V614" s="255">
        <v>1.0</v>
      </c>
      <c r="W614" s="259">
        <v>45681.0</v>
      </c>
      <c r="X614" s="260" t="s">
        <v>2330</v>
      </c>
      <c r="Y614" s="259">
        <v>45685.0</v>
      </c>
      <c r="AB614" s="255">
        <v>2068.0</v>
      </c>
      <c r="AD614" s="258" t="s">
        <v>2740</v>
      </c>
      <c r="AE614" s="255" t="s">
        <v>1512</v>
      </c>
      <c r="AF614" s="255" t="s">
        <v>2208</v>
      </c>
      <c r="AG614" s="255">
        <v>490.0</v>
      </c>
    </row>
    <row r="615">
      <c r="A615" s="257">
        <v>45681.24533006945</v>
      </c>
      <c r="B615" s="259">
        <v>45681.0</v>
      </c>
      <c r="F615" s="255" t="s">
        <v>2744</v>
      </c>
      <c r="G615" s="255" t="s">
        <v>2745</v>
      </c>
      <c r="H615" s="255" t="s">
        <v>2746</v>
      </c>
      <c r="I615" s="255" t="s">
        <v>2747</v>
      </c>
      <c r="M615" s="255" t="s">
        <v>912</v>
      </c>
      <c r="Q615" s="255" t="s">
        <v>2745</v>
      </c>
      <c r="R615" s="255" t="s">
        <v>2745</v>
      </c>
      <c r="T615" s="255">
        <v>70000.0</v>
      </c>
      <c r="V615" s="255">
        <v>2.0</v>
      </c>
      <c r="W615" s="259">
        <v>45687.0</v>
      </c>
      <c r="X615" s="260" t="s">
        <v>2324</v>
      </c>
      <c r="Y615" s="259">
        <v>45744.0</v>
      </c>
      <c r="AC615" s="255">
        <v>7900.0</v>
      </c>
      <c r="AD615" s="258" t="s">
        <v>2743</v>
      </c>
      <c r="AE615" s="255" t="s">
        <v>68</v>
      </c>
      <c r="AF615" s="255" t="s">
        <v>2208</v>
      </c>
      <c r="AG615" s="255">
        <v>490.0</v>
      </c>
    </row>
    <row r="616">
      <c r="A616" s="257">
        <v>45681.682280486115</v>
      </c>
      <c r="B616" s="259">
        <v>45681.0</v>
      </c>
      <c r="F616" s="255" t="s">
        <v>2749</v>
      </c>
      <c r="G616" s="255" t="s">
        <v>2750</v>
      </c>
      <c r="H616" s="255" t="s">
        <v>2751</v>
      </c>
      <c r="M616" s="255">
        <v>7000.0</v>
      </c>
      <c r="Q616" s="255" t="s">
        <v>2750</v>
      </c>
      <c r="R616" s="255" t="s">
        <v>2750</v>
      </c>
      <c r="T616" s="255">
        <v>450000.0</v>
      </c>
      <c r="V616" s="255">
        <v>2.0</v>
      </c>
      <c r="W616" s="259">
        <v>45681.0</v>
      </c>
      <c r="Y616" s="259">
        <v>45695.0</v>
      </c>
      <c r="AB616" s="255">
        <v>933.0</v>
      </c>
      <c r="AD616" s="258" t="s">
        <v>2748</v>
      </c>
      <c r="AE616" s="255" t="s">
        <v>941</v>
      </c>
      <c r="AF616" s="255" t="s">
        <v>2208</v>
      </c>
      <c r="AG616" s="255">
        <v>290.0</v>
      </c>
    </row>
    <row r="617">
      <c r="A617" s="257">
        <v>45682.23527201389</v>
      </c>
      <c r="B617" s="259">
        <v>45682.0</v>
      </c>
      <c r="F617" s="255" t="s">
        <v>2753</v>
      </c>
      <c r="G617" s="255" t="s">
        <v>2754</v>
      </c>
      <c r="M617" s="255">
        <v>5000.0</v>
      </c>
      <c r="Q617" s="255" t="s">
        <v>2754</v>
      </c>
      <c r="R617" s="255" t="s">
        <v>2754</v>
      </c>
      <c r="T617" s="255">
        <v>120000.0</v>
      </c>
      <c r="V617" s="255">
        <v>3.0</v>
      </c>
      <c r="W617" s="259">
        <v>45682.0</v>
      </c>
      <c r="X617" s="260" t="s">
        <v>2330</v>
      </c>
      <c r="Y617" s="259">
        <v>45807.0</v>
      </c>
      <c r="AB617" s="255">
        <v>759.0</v>
      </c>
      <c r="AD617" s="258" t="s">
        <v>2752</v>
      </c>
      <c r="AE617" s="255" t="s">
        <v>202</v>
      </c>
      <c r="AF617" s="255" t="s">
        <v>2208</v>
      </c>
      <c r="AG617" s="255">
        <v>390.0</v>
      </c>
    </row>
    <row r="618">
      <c r="A618" s="257">
        <v>45682.23889512732</v>
      </c>
      <c r="B618" s="259">
        <v>45682.0</v>
      </c>
      <c r="F618" s="255" t="s">
        <v>2756</v>
      </c>
      <c r="G618" s="255" t="s">
        <v>2757</v>
      </c>
      <c r="H618" s="255" t="s">
        <v>2758</v>
      </c>
      <c r="M618" s="255">
        <v>5000.0</v>
      </c>
      <c r="Q618" s="255" t="s">
        <v>2757</v>
      </c>
      <c r="R618" s="255" t="s">
        <v>2757</v>
      </c>
      <c r="T618" s="255">
        <v>410000.0</v>
      </c>
      <c r="V618" s="255">
        <v>1.0</v>
      </c>
      <c r="W618" s="259">
        <v>45682.0</v>
      </c>
      <c r="X618" s="260" t="s">
        <v>2324</v>
      </c>
      <c r="Y618" s="259">
        <v>45689.0</v>
      </c>
      <c r="AB618" s="255">
        <v>826.0</v>
      </c>
      <c r="AD618" s="258" t="s">
        <v>2755</v>
      </c>
      <c r="AE618" s="255" t="s">
        <v>155</v>
      </c>
      <c r="AF618" s="255" t="s">
        <v>2208</v>
      </c>
      <c r="AG618" s="255">
        <v>290.0</v>
      </c>
    </row>
    <row r="619">
      <c r="A619" s="257">
        <v>45683.23268835648</v>
      </c>
      <c r="B619" s="259">
        <v>45683.0</v>
      </c>
      <c r="F619" s="255" t="s">
        <v>2760</v>
      </c>
      <c r="G619" s="255" t="s">
        <v>2761</v>
      </c>
      <c r="H619" s="255" t="s">
        <v>2762</v>
      </c>
      <c r="M619" s="255">
        <v>3000.0</v>
      </c>
      <c r="Q619" s="255" t="s">
        <v>2761</v>
      </c>
      <c r="R619" s="255" t="s">
        <v>2761</v>
      </c>
      <c r="T619" s="255">
        <v>70000.0</v>
      </c>
      <c r="V619" s="255">
        <v>2.0</v>
      </c>
      <c r="W619" s="259">
        <v>45683.0</v>
      </c>
      <c r="X619" s="260" t="s">
        <v>2221</v>
      </c>
      <c r="Y619" s="259">
        <v>45696.0</v>
      </c>
      <c r="AB619" s="255">
        <v>427.0</v>
      </c>
      <c r="AD619" s="258" t="s">
        <v>2759</v>
      </c>
      <c r="AE619" s="255" t="s">
        <v>56</v>
      </c>
      <c r="AF619" s="255" t="s">
        <v>2208</v>
      </c>
      <c r="AG619" s="255">
        <v>290.0</v>
      </c>
    </row>
    <row r="620">
      <c r="A620" s="257">
        <v>45683.24056178241</v>
      </c>
      <c r="B620" s="259">
        <v>45683.0</v>
      </c>
      <c r="G620" s="255" t="s">
        <v>2764</v>
      </c>
      <c r="H620" s="255">
        <v>7.9198875988E10</v>
      </c>
      <c r="M620" s="255">
        <v>3000.0</v>
      </c>
      <c r="Q620" s="255" t="s">
        <v>2269</v>
      </c>
      <c r="R620" s="255" t="s">
        <v>2269</v>
      </c>
      <c r="T620" s="255">
        <v>65000.0</v>
      </c>
      <c r="V620" s="255">
        <v>2.0</v>
      </c>
      <c r="W620" s="259">
        <v>45683.0</v>
      </c>
      <c r="X620" s="260" t="s">
        <v>2324</v>
      </c>
      <c r="Y620" s="259">
        <v>45693.0</v>
      </c>
      <c r="AB620" s="255">
        <v>348.0</v>
      </c>
      <c r="AD620" s="258" t="s">
        <v>2763</v>
      </c>
      <c r="AE620" s="255" t="s">
        <v>26</v>
      </c>
      <c r="AF620" s="255" t="s">
        <v>2208</v>
      </c>
      <c r="AG620" s="255">
        <v>0.0</v>
      </c>
    </row>
    <row r="621">
      <c r="A621" s="257">
        <v>45683.646093738425</v>
      </c>
      <c r="B621" s="259">
        <v>45683.0</v>
      </c>
      <c r="F621" s="255" t="s">
        <v>2766</v>
      </c>
      <c r="G621" s="255" t="s">
        <v>2767</v>
      </c>
      <c r="H621" s="255" t="s">
        <v>2768</v>
      </c>
      <c r="M621" s="255">
        <v>8000.0</v>
      </c>
      <c r="Q621" s="255" t="s">
        <v>2207</v>
      </c>
      <c r="R621" s="255" t="s">
        <v>2207</v>
      </c>
      <c r="T621" s="255">
        <v>70000.0</v>
      </c>
      <c r="V621" s="255">
        <v>0.0</v>
      </c>
      <c r="W621" s="259">
        <v>45683.0</v>
      </c>
      <c r="X621" s="260" t="s">
        <v>2215</v>
      </c>
      <c r="Y621" s="259">
        <v>45714.0</v>
      </c>
      <c r="AC621" s="255">
        <v>7900.0</v>
      </c>
      <c r="AD621" s="258" t="s">
        <v>2765</v>
      </c>
      <c r="AE621" s="255" t="s">
        <v>173</v>
      </c>
      <c r="AF621" s="255" t="s">
        <v>2320</v>
      </c>
      <c r="AG621" s="255">
        <v>0.0</v>
      </c>
    </row>
    <row r="622">
      <c r="A622" s="257">
        <v>45683.700061469906</v>
      </c>
      <c r="B622" s="259">
        <v>45683.0</v>
      </c>
      <c r="F622" s="255" t="s">
        <v>2770</v>
      </c>
      <c r="G622" s="255" t="s">
        <v>2771</v>
      </c>
      <c r="M622" s="255" t="s">
        <v>600</v>
      </c>
      <c r="Q622" s="255" t="s">
        <v>2771</v>
      </c>
      <c r="R622" s="255" t="s">
        <v>2771</v>
      </c>
      <c r="T622" s="255">
        <v>500000.0</v>
      </c>
      <c r="U622" s="255">
        <v>12000.0</v>
      </c>
      <c r="V622" s="255">
        <v>2.0</v>
      </c>
      <c r="W622" s="259">
        <v>45683.0</v>
      </c>
      <c r="X622" s="260" t="s">
        <v>2246</v>
      </c>
      <c r="Y622" s="259">
        <v>45714.0</v>
      </c>
      <c r="AC622" s="255">
        <v>53000.0</v>
      </c>
      <c r="AD622" s="258" t="s">
        <v>2769</v>
      </c>
      <c r="AE622" s="255" t="s">
        <v>967</v>
      </c>
      <c r="AF622" s="255" t="s">
        <v>2208</v>
      </c>
      <c r="AG622" s="255">
        <v>290.0</v>
      </c>
    </row>
    <row r="623">
      <c r="A623" s="257">
        <v>45685.20713972222</v>
      </c>
      <c r="B623" s="259">
        <v>45685.0</v>
      </c>
      <c r="F623" s="255" t="s">
        <v>2773</v>
      </c>
      <c r="G623" s="255" t="s">
        <v>2774</v>
      </c>
      <c r="H623" s="255" t="s">
        <v>2775</v>
      </c>
      <c r="M623" s="255">
        <v>3000.0</v>
      </c>
      <c r="Q623" s="255" t="s">
        <v>2774</v>
      </c>
      <c r="R623" s="255" t="s">
        <v>2774</v>
      </c>
      <c r="T623" s="255">
        <v>75000.0</v>
      </c>
      <c r="V623" s="255">
        <v>1.0</v>
      </c>
      <c r="W623" s="259">
        <v>45701.0</v>
      </c>
      <c r="X623" s="260" t="s">
        <v>2324</v>
      </c>
      <c r="Y623" s="259">
        <v>45727.0</v>
      </c>
      <c r="AB623" s="255">
        <v>346.0</v>
      </c>
      <c r="AD623" s="258" t="s">
        <v>2772</v>
      </c>
      <c r="AE623" s="255" t="s">
        <v>185</v>
      </c>
      <c r="AF623" s="255" t="s">
        <v>2208</v>
      </c>
      <c r="AG623" s="255">
        <v>490.0</v>
      </c>
    </row>
    <row r="624">
      <c r="A624" s="257">
        <v>45685.530709502316</v>
      </c>
      <c r="B624" s="259">
        <v>45685.0</v>
      </c>
      <c r="G624" s="255" t="s">
        <v>2771</v>
      </c>
      <c r="H624" s="255" t="s">
        <v>2777</v>
      </c>
      <c r="M624" s="255">
        <v>7000.0</v>
      </c>
      <c r="Q624" s="255" t="s">
        <v>2269</v>
      </c>
      <c r="R624" s="255" t="s">
        <v>2269</v>
      </c>
      <c r="T624" s="255">
        <v>180000.0</v>
      </c>
      <c r="U624" s="255">
        <v>9709.0</v>
      </c>
      <c r="V624" s="255">
        <v>2.0</v>
      </c>
      <c r="W624" s="259">
        <v>45685.0</v>
      </c>
      <c r="X624" s="260" t="s">
        <v>2330</v>
      </c>
      <c r="Y624" s="259">
        <v>45715.0</v>
      </c>
      <c r="AC624" s="255">
        <v>19800.0</v>
      </c>
      <c r="AD624" s="258" t="s">
        <v>2776</v>
      </c>
      <c r="AE624" s="255" t="s">
        <v>1065</v>
      </c>
      <c r="AF624" s="255" t="s">
        <v>2208</v>
      </c>
      <c r="AG624" s="255">
        <v>0.0</v>
      </c>
    </row>
    <row r="625">
      <c r="A625" s="257">
        <v>45685.53252429398</v>
      </c>
      <c r="B625" s="259">
        <v>45685.0</v>
      </c>
      <c r="G625" s="255" t="s">
        <v>2771</v>
      </c>
      <c r="H625" s="255" t="s">
        <v>2777</v>
      </c>
      <c r="M625" s="255">
        <v>7000.0</v>
      </c>
      <c r="Q625" s="255" t="s">
        <v>2269</v>
      </c>
      <c r="R625" s="255" t="s">
        <v>2269</v>
      </c>
      <c r="T625" s="255">
        <v>180000.0</v>
      </c>
      <c r="U625" s="255">
        <v>7500.0</v>
      </c>
      <c r="V625" s="255">
        <v>2.0</v>
      </c>
      <c r="W625" s="259">
        <v>45685.0</v>
      </c>
      <c r="X625" s="260" t="s">
        <v>2330</v>
      </c>
      <c r="Y625" s="259">
        <v>45715.0</v>
      </c>
      <c r="AC625" s="255">
        <v>19800.0</v>
      </c>
      <c r="AD625" s="258" t="s">
        <v>2778</v>
      </c>
      <c r="AE625" s="255" t="s">
        <v>941</v>
      </c>
      <c r="AF625" s="255" t="s">
        <v>2208</v>
      </c>
      <c r="AG625" s="255">
        <v>0.0</v>
      </c>
    </row>
    <row r="626">
      <c r="A626" s="257">
        <v>45685.54536942129</v>
      </c>
      <c r="B626" s="259">
        <v>45685.0</v>
      </c>
      <c r="G626" s="255" t="s">
        <v>2771</v>
      </c>
      <c r="H626" s="255">
        <v>6.6648159447E10</v>
      </c>
      <c r="M626" s="255" t="s">
        <v>600</v>
      </c>
      <c r="Q626" s="255" t="s">
        <v>2771</v>
      </c>
      <c r="R626" s="255" t="s">
        <v>2771</v>
      </c>
      <c r="T626" s="255">
        <v>500000.0</v>
      </c>
      <c r="U626" s="255">
        <v>12000.0</v>
      </c>
      <c r="V626" s="255">
        <v>2.0</v>
      </c>
      <c r="W626" s="259">
        <v>45683.0</v>
      </c>
      <c r="X626" s="260" t="s">
        <v>2246</v>
      </c>
      <c r="Y626" s="259">
        <v>45714.0</v>
      </c>
      <c r="AC626" s="255">
        <v>53000.0</v>
      </c>
      <c r="AD626" s="258" t="s">
        <v>2779</v>
      </c>
      <c r="AE626" s="255" t="s">
        <v>967</v>
      </c>
      <c r="AF626" s="255" t="s">
        <v>2208</v>
      </c>
      <c r="AG626" s="255">
        <v>290.0</v>
      </c>
    </row>
    <row r="627">
      <c r="A627" s="257">
        <v>45686.489434386574</v>
      </c>
      <c r="B627" s="259">
        <v>45686.0</v>
      </c>
      <c r="F627" s="255" t="s">
        <v>2781</v>
      </c>
      <c r="G627" s="255" t="s">
        <v>2782</v>
      </c>
      <c r="M627" s="255">
        <v>7000.0</v>
      </c>
      <c r="Q627" s="255" t="s">
        <v>2782</v>
      </c>
      <c r="R627" s="255" t="s">
        <v>2782</v>
      </c>
      <c r="T627" s="255">
        <v>180000.0</v>
      </c>
      <c r="U627" s="255">
        <v>4871.0</v>
      </c>
      <c r="V627" s="255">
        <v>2.0</v>
      </c>
      <c r="W627" s="259">
        <v>45686.0</v>
      </c>
      <c r="X627" s="260" t="s">
        <v>2330</v>
      </c>
      <c r="Y627" s="259">
        <v>45691.0</v>
      </c>
      <c r="AB627" s="255">
        <v>1033.0</v>
      </c>
      <c r="AD627" s="258" t="s">
        <v>2783</v>
      </c>
      <c r="AE627" s="255" t="s">
        <v>928</v>
      </c>
      <c r="AF627" s="255" t="s">
        <v>2320</v>
      </c>
      <c r="AG627" s="255">
        <v>190.0</v>
      </c>
    </row>
    <row r="628">
      <c r="A628" s="257">
        <v>45686.507937546296</v>
      </c>
      <c r="B628" s="259">
        <v>45686.0</v>
      </c>
      <c r="F628" s="255" t="s">
        <v>2781</v>
      </c>
      <c r="G628" s="255" t="s">
        <v>2782</v>
      </c>
      <c r="M628" s="255">
        <v>7000.0</v>
      </c>
      <c r="Q628" s="255" t="s">
        <v>2782</v>
      </c>
      <c r="R628" s="255" t="s">
        <v>2782</v>
      </c>
      <c r="T628" s="255">
        <v>180000.0</v>
      </c>
      <c r="U628" s="255">
        <v>4700.0</v>
      </c>
      <c r="V628" s="255">
        <v>2.0</v>
      </c>
      <c r="W628" s="259">
        <v>45686.0</v>
      </c>
      <c r="X628" s="260" t="s">
        <v>2330</v>
      </c>
      <c r="Y628" s="259">
        <v>45691.0</v>
      </c>
      <c r="AB628" s="255">
        <v>1033.0</v>
      </c>
      <c r="AD628" s="258" t="s">
        <v>2784</v>
      </c>
      <c r="AE628" s="255" t="s">
        <v>928</v>
      </c>
      <c r="AF628" s="255" t="s">
        <v>2320</v>
      </c>
      <c r="AG628" s="255">
        <v>190.0</v>
      </c>
    </row>
    <row r="629">
      <c r="A629" s="257">
        <v>45686.73904104167</v>
      </c>
      <c r="B629" s="259">
        <v>45686.0</v>
      </c>
      <c r="G629" s="255" t="s">
        <v>2786</v>
      </c>
      <c r="M629" s="255" t="s">
        <v>600</v>
      </c>
      <c r="Q629" s="255" t="s">
        <v>2269</v>
      </c>
      <c r="R629" s="255" t="s">
        <v>2269</v>
      </c>
      <c r="T629" s="255">
        <v>500000.0</v>
      </c>
      <c r="U629" s="255">
        <v>9000.0</v>
      </c>
      <c r="V629" s="255">
        <v>2.0</v>
      </c>
      <c r="W629" s="259">
        <v>45686.0</v>
      </c>
      <c r="X629" s="260" t="s">
        <v>2246</v>
      </c>
      <c r="Y629" s="259">
        <v>45682.0</v>
      </c>
      <c r="AC629" s="255">
        <v>53000.0</v>
      </c>
      <c r="AD629" s="258" t="s">
        <v>2785</v>
      </c>
      <c r="AE629" s="255" t="s">
        <v>914</v>
      </c>
      <c r="AF629" s="255" t="s">
        <v>2208</v>
      </c>
      <c r="AG629" s="255">
        <v>0.0</v>
      </c>
    </row>
    <row r="630">
      <c r="A630" s="257">
        <v>45687.42511011574</v>
      </c>
      <c r="B630" s="259">
        <v>45687.0</v>
      </c>
      <c r="F630" s="255" t="s">
        <v>2788</v>
      </c>
      <c r="G630" s="255" t="s">
        <v>2789</v>
      </c>
      <c r="M630" s="255">
        <v>5000.0</v>
      </c>
      <c r="Q630" s="255" t="s">
        <v>2789</v>
      </c>
      <c r="R630" s="255" t="s">
        <v>2789</v>
      </c>
      <c r="T630" s="255">
        <v>140000.0</v>
      </c>
      <c r="U630" s="255">
        <v>27000.0</v>
      </c>
      <c r="V630" s="255">
        <v>2.0</v>
      </c>
      <c r="W630" s="259">
        <v>45687.0</v>
      </c>
      <c r="X630" s="260" t="s">
        <v>2221</v>
      </c>
      <c r="Y630" s="259">
        <v>45695.0</v>
      </c>
      <c r="AB630" s="255">
        <v>739.0</v>
      </c>
      <c r="AD630" s="258" t="s">
        <v>2787</v>
      </c>
      <c r="AE630" s="255" t="s">
        <v>64</v>
      </c>
      <c r="AF630" s="255" t="s">
        <v>2208</v>
      </c>
      <c r="AG630" s="255">
        <v>290.0</v>
      </c>
    </row>
    <row r="631">
      <c r="A631" s="257">
        <v>45687.61958506945</v>
      </c>
      <c r="B631" s="259">
        <v>45687.0</v>
      </c>
      <c r="H631" s="255">
        <v>7.9111902845E10</v>
      </c>
      <c r="M631" s="255">
        <v>8000.0</v>
      </c>
      <c r="Q631" s="255" t="s">
        <v>2207</v>
      </c>
      <c r="R631" s="255" t="s">
        <v>2207</v>
      </c>
      <c r="T631" s="255">
        <v>75000.0</v>
      </c>
      <c r="U631" s="255">
        <v>16200.0</v>
      </c>
      <c r="V631" s="255">
        <v>1.0</v>
      </c>
      <c r="W631" s="259">
        <v>45687.0</v>
      </c>
      <c r="X631" s="260" t="s">
        <v>2231</v>
      </c>
      <c r="Y631" s="259">
        <v>45718.0</v>
      </c>
      <c r="AC631" s="255">
        <v>7900.0</v>
      </c>
      <c r="AD631" s="258" t="s">
        <v>2790</v>
      </c>
      <c r="AE631" s="255" t="s">
        <v>286</v>
      </c>
      <c r="AF631" s="255" t="s">
        <v>2208</v>
      </c>
      <c r="AG631" s="255">
        <v>0.0</v>
      </c>
    </row>
    <row r="632">
      <c r="A632" s="257">
        <v>45687.63297322916</v>
      </c>
      <c r="B632" s="259">
        <v>45687.0</v>
      </c>
      <c r="F632" s="255" t="s">
        <v>2792</v>
      </c>
      <c r="G632" s="255" t="s">
        <v>2533</v>
      </c>
      <c r="H632" s="255" t="s">
        <v>2793</v>
      </c>
      <c r="M632" s="255">
        <v>3000.0</v>
      </c>
      <c r="Q632" s="255" t="s">
        <v>2533</v>
      </c>
      <c r="R632" s="255" t="s">
        <v>2533</v>
      </c>
      <c r="T632" s="255">
        <v>70000.0</v>
      </c>
      <c r="V632" s="255">
        <v>2.0</v>
      </c>
      <c r="W632" s="259">
        <v>45687.0</v>
      </c>
      <c r="X632" s="260" t="s">
        <v>2231</v>
      </c>
      <c r="Y632" s="259">
        <v>45692.0</v>
      </c>
      <c r="AB632" s="255">
        <v>469.0</v>
      </c>
      <c r="AD632" s="258" t="s">
        <v>2791</v>
      </c>
      <c r="AE632" s="255" t="s">
        <v>77</v>
      </c>
      <c r="AF632" s="255" t="s">
        <v>2208</v>
      </c>
      <c r="AG632" s="255">
        <v>290.0</v>
      </c>
    </row>
    <row r="633">
      <c r="A633" s="257">
        <v>45688.254687152774</v>
      </c>
      <c r="B633" s="259">
        <v>45688.0</v>
      </c>
      <c r="G633" s="255" t="s">
        <v>2795</v>
      </c>
      <c r="H633" s="255">
        <v>7.7769222211E10</v>
      </c>
      <c r="M633" s="255">
        <v>5000.0</v>
      </c>
      <c r="Q633" s="255" t="s">
        <v>2795</v>
      </c>
      <c r="R633" s="255" t="s">
        <v>2795</v>
      </c>
      <c r="T633" s="255">
        <v>410000.0</v>
      </c>
      <c r="V633" s="255">
        <v>2.0</v>
      </c>
      <c r="W633" s="259">
        <v>45688.0</v>
      </c>
      <c r="X633" s="260" t="s">
        <v>2265</v>
      </c>
      <c r="Y633" s="259">
        <v>45698.0</v>
      </c>
      <c r="AB633" s="255">
        <v>717.0</v>
      </c>
      <c r="AD633" s="258" t="s">
        <v>2794</v>
      </c>
      <c r="AE633" s="255" t="s">
        <v>92</v>
      </c>
      <c r="AF633" s="255" t="s">
        <v>2208</v>
      </c>
      <c r="AG633" s="255">
        <v>290.0</v>
      </c>
    </row>
    <row r="634">
      <c r="A634" s="257">
        <v>45688.257635682865</v>
      </c>
      <c r="B634" s="259">
        <v>45688.0</v>
      </c>
      <c r="G634" s="255" t="s">
        <v>2797</v>
      </c>
      <c r="H634" s="255" t="s">
        <v>2798</v>
      </c>
      <c r="M634" s="255">
        <v>5000.0</v>
      </c>
      <c r="Q634" s="255" t="s">
        <v>2797</v>
      </c>
      <c r="R634" s="255" t="s">
        <v>2797</v>
      </c>
      <c r="T634" s="255">
        <v>410000.0</v>
      </c>
      <c r="V634" s="255">
        <v>2.0</v>
      </c>
      <c r="W634" s="259">
        <v>45688.0</v>
      </c>
      <c r="X634" s="260" t="s">
        <v>2246</v>
      </c>
      <c r="Y634" s="259">
        <v>45701.0</v>
      </c>
      <c r="AB634" s="255">
        <v>751.0</v>
      </c>
      <c r="AD634" s="258" t="s">
        <v>2796</v>
      </c>
      <c r="AE634" s="255" t="s">
        <v>113</v>
      </c>
      <c r="AF634" s="255" t="s">
        <v>2208</v>
      </c>
      <c r="AG634" s="255">
        <v>490.0</v>
      </c>
    </row>
    <row r="635">
      <c r="A635" s="257">
        <v>45690.31521134259</v>
      </c>
      <c r="B635" s="259">
        <v>45690.0</v>
      </c>
      <c r="G635" s="255" t="s">
        <v>2800</v>
      </c>
      <c r="H635" s="255" t="s">
        <v>2801</v>
      </c>
      <c r="M635" s="255">
        <v>3000.0</v>
      </c>
      <c r="Q635" s="255" t="s">
        <v>2800</v>
      </c>
      <c r="R635" s="255" t="s">
        <v>2800</v>
      </c>
      <c r="T635" s="255">
        <v>70000.0</v>
      </c>
      <c r="V635" s="255">
        <v>1.0</v>
      </c>
      <c r="W635" s="259">
        <v>45690.0</v>
      </c>
      <c r="X635" s="260" t="s">
        <v>2324</v>
      </c>
      <c r="Y635" s="259">
        <v>45703.0</v>
      </c>
      <c r="AB635" s="255">
        <v>420.0</v>
      </c>
      <c r="AD635" s="258" t="s">
        <v>2799</v>
      </c>
      <c r="AE635" s="255" t="s">
        <v>151</v>
      </c>
      <c r="AF635" s="255" t="s">
        <v>2208</v>
      </c>
      <c r="AG635" s="255">
        <v>390.0</v>
      </c>
    </row>
    <row r="636">
      <c r="A636" s="257">
        <v>45691.57590979167</v>
      </c>
      <c r="B636" s="259">
        <v>45691.0</v>
      </c>
      <c r="G636" s="255" t="s">
        <v>2803</v>
      </c>
      <c r="H636" s="255" t="s">
        <v>2804</v>
      </c>
      <c r="I636" s="260" t="s">
        <v>2805</v>
      </c>
      <c r="M636" s="255">
        <v>3000.0</v>
      </c>
      <c r="Q636" s="255" t="s">
        <v>2806</v>
      </c>
      <c r="R636" s="255" t="s">
        <v>2806</v>
      </c>
      <c r="T636" s="255">
        <v>70000.0</v>
      </c>
      <c r="V636" s="255">
        <v>2.0</v>
      </c>
      <c r="W636" s="259">
        <v>45691.0</v>
      </c>
      <c r="X636" s="260" t="s">
        <v>2231</v>
      </c>
      <c r="Y636" s="259">
        <v>45726.0</v>
      </c>
      <c r="AB636" s="255">
        <v>469.0</v>
      </c>
      <c r="AD636" s="258" t="s">
        <v>2802</v>
      </c>
      <c r="AE636" s="255" t="s">
        <v>106</v>
      </c>
      <c r="AF636" s="255" t="s">
        <v>2208</v>
      </c>
      <c r="AG636" s="255">
        <v>290.0</v>
      </c>
    </row>
    <row r="637">
      <c r="A637" s="257">
        <v>45691.577551712966</v>
      </c>
      <c r="B637" s="259">
        <v>45691.0</v>
      </c>
      <c r="G637" s="255" t="s">
        <v>2806</v>
      </c>
      <c r="H637" s="255" t="s">
        <v>2804</v>
      </c>
      <c r="I637" s="260" t="s">
        <v>2805</v>
      </c>
      <c r="M637" s="255">
        <v>3000.0</v>
      </c>
      <c r="Q637" s="255" t="s">
        <v>2806</v>
      </c>
      <c r="R637" s="255" t="s">
        <v>2806</v>
      </c>
      <c r="T637" s="255">
        <v>75000.0</v>
      </c>
      <c r="V637" s="255">
        <v>2.0</v>
      </c>
      <c r="W637" s="259">
        <v>45691.0</v>
      </c>
      <c r="X637" s="260" t="s">
        <v>2231</v>
      </c>
      <c r="Y637" s="259">
        <v>45698.0</v>
      </c>
      <c r="AB637" s="255">
        <v>469.0</v>
      </c>
      <c r="AD637" s="258" t="s">
        <v>2807</v>
      </c>
      <c r="AE637" s="255" t="s">
        <v>185</v>
      </c>
      <c r="AF637" s="255" t="s">
        <v>2208</v>
      </c>
      <c r="AG637" s="255">
        <v>290.0</v>
      </c>
    </row>
    <row r="638">
      <c r="A638" s="257">
        <v>45692.47156958333</v>
      </c>
      <c r="B638" s="259">
        <v>45692.0</v>
      </c>
      <c r="F638" s="255" t="s">
        <v>2809</v>
      </c>
      <c r="G638" s="255" t="s">
        <v>2810</v>
      </c>
      <c r="H638" s="255" t="s">
        <v>2811</v>
      </c>
      <c r="M638" s="255">
        <v>7000.0</v>
      </c>
      <c r="Q638" s="255" t="s">
        <v>2810</v>
      </c>
      <c r="R638" s="255" t="s">
        <v>2810</v>
      </c>
      <c r="T638" s="255">
        <v>190000.0</v>
      </c>
      <c r="U638" s="255">
        <v>15273.0</v>
      </c>
      <c r="V638" s="255">
        <v>3.0</v>
      </c>
      <c r="W638" s="259">
        <v>45692.0</v>
      </c>
      <c r="X638" s="260" t="s">
        <v>2330</v>
      </c>
      <c r="Y638" s="259">
        <v>45715.0</v>
      </c>
      <c r="AB638" s="255">
        <v>762.0</v>
      </c>
      <c r="AD638" s="258" t="s">
        <v>2808</v>
      </c>
      <c r="AE638" s="255" t="s">
        <v>1028</v>
      </c>
      <c r="AF638" s="255" t="s">
        <v>2208</v>
      </c>
      <c r="AG638" s="255">
        <v>390.0</v>
      </c>
    </row>
    <row r="639">
      <c r="A639" s="257">
        <v>45692.47555337963</v>
      </c>
      <c r="B639" s="259">
        <v>45692.0</v>
      </c>
      <c r="F639" s="255" t="s">
        <v>2809</v>
      </c>
      <c r="G639" s="255" t="s">
        <v>2810</v>
      </c>
      <c r="H639" s="255" t="s">
        <v>2811</v>
      </c>
      <c r="M639" s="255">
        <v>5000.0</v>
      </c>
      <c r="Q639" s="255" t="s">
        <v>2810</v>
      </c>
      <c r="R639" s="255" t="s">
        <v>2810</v>
      </c>
      <c r="T639" s="255">
        <v>150000.0</v>
      </c>
      <c r="U639" s="255">
        <v>23751.0</v>
      </c>
      <c r="V639" s="255">
        <v>3.0</v>
      </c>
      <c r="W639" s="259">
        <v>45692.0</v>
      </c>
      <c r="X639" s="260" t="s">
        <v>2330</v>
      </c>
      <c r="Y639" s="259">
        <v>45711.0</v>
      </c>
      <c r="AB639" s="255">
        <v>598.0</v>
      </c>
      <c r="AD639" s="258" t="s">
        <v>2812</v>
      </c>
      <c r="AE639" s="255" t="s">
        <v>202</v>
      </c>
      <c r="AF639" s="255" t="s">
        <v>2208</v>
      </c>
      <c r="AG639" s="255">
        <v>390.0</v>
      </c>
    </row>
    <row r="640">
      <c r="A640" s="257">
        <v>45693.23549357639</v>
      </c>
      <c r="B640" s="259">
        <v>45693.0</v>
      </c>
      <c r="G640" s="255" t="s">
        <v>2814</v>
      </c>
      <c r="H640" s="255">
        <v>7.9186120082E10</v>
      </c>
      <c r="I640" s="255">
        <v>8.9183081528E10</v>
      </c>
      <c r="M640" s="255">
        <v>7000.0</v>
      </c>
      <c r="Q640" s="255" t="s">
        <v>2269</v>
      </c>
      <c r="R640" s="255" t="s">
        <v>2269</v>
      </c>
      <c r="T640" s="255">
        <v>450000.0</v>
      </c>
      <c r="V640" s="255">
        <v>2.0</v>
      </c>
      <c r="W640" s="259">
        <v>45693.0</v>
      </c>
      <c r="X640" s="260" t="s">
        <v>2330</v>
      </c>
      <c r="Y640" s="259">
        <v>45713.0</v>
      </c>
      <c r="AB640" s="255">
        <v>801.0</v>
      </c>
      <c r="AD640" s="258" t="s">
        <v>2813</v>
      </c>
      <c r="AE640" s="255" t="s">
        <v>928</v>
      </c>
      <c r="AF640" s="255" t="s">
        <v>2208</v>
      </c>
      <c r="AG640" s="255">
        <v>0.0</v>
      </c>
    </row>
    <row r="641">
      <c r="A641" s="257">
        <v>45693.675367696764</v>
      </c>
      <c r="B641" s="259">
        <v>45693.0</v>
      </c>
      <c r="F641" s="255" t="s">
        <v>2816</v>
      </c>
      <c r="G641" s="255" t="s">
        <v>2817</v>
      </c>
      <c r="H641" s="255">
        <v>8.9154952983E10</v>
      </c>
      <c r="I641" s="255">
        <v>8.9998754251E10</v>
      </c>
      <c r="M641" s="255">
        <v>3000.0</v>
      </c>
      <c r="Q641" s="255" t="s">
        <v>2817</v>
      </c>
      <c r="R641" s="255" t="s">
        <v>2817</v>
      </c>
      <c r="T641" s="255">
        <v>70000.0</v>
      </c>
      <c r="V641" s="255">
        <v>2.0</v>
      </c>
      <c r="W641" s="259">
        <v>45693.0</v>
      </c>
      <c r="X641" s="260" t="s">
        <v>2215</v>
      </c>
      <c r="Y641" s="259">
        <v>45700.0</v>
      </c>
      <c r="AB641" s="255">
        <v>469.0</v>
      </c>
      <c r="AD641" s="258" t="s">
        <v>2815</v>
      </c>
      <c r="AE641" s="255" t="s">
        <v>44</v>
      </c>
      <c r="AF641" s="255" t="s">
        <v>2208</v>
      </c>
      <c r="AG641" s="255">
        <v>290.0</v>
      </c>
    </row>
    <row r="642">
      <c r="A642" s="257">
        <v>45693.67769166667</v>
      </c>
      <c r="B642" s="259">
        <v>45693.0</v>
      </c>
      <c r="F642" s="255" t="s">
        <v>2816</v>
      </c>
      <c r="G642" s="255" t="s">
        <v>2817</v>
      </c>
      <c r="H642" s="255">
        <v>8.9154952983E10</v>
      </c>
      <c r="I642" s="255">
        <v>8.9998754251E10</v>
      </c>
      <c r="M642" s="255">
        <v>3000.0</v>
      </c>
      <c r="Q642" s="255" t="s">
        <v>2817</v>
      </c>
      <c r="R642" s="255" t="s">
        <v>2817</v>
      </c>
      <c r="T642" s="255">
        <v>80000.0</v>
      </c>
      <c r="V642" s="255">
        <v>2.0</v>
      </c>
      <c r="W642" s="259">
        <v>45693.0</v>
      </c>
      <c r="X642" s="260" t="s">
        <v>2215</v>
      </c>
      <c r="Y642" s="259">
        <v>45700.0</v>
      </c>
      <c r="AB642" s="255">
        <v>469.0</v>
      </c>
      <c r="AD642" s="258" t="s">
        <v>2818</v>
      </c>
      <c r="AE642" s="255" t="s">
        <v>44</v>
      </c>
      <c r="AF642" s="255" t="s">
        <v>2208</v>
      </c>
      <c r="AG642" s="255">
        <v>290.0</v>
      </c>
    </row>
    <row r="643">
      <c r="A643" s="257">
        <v>45694.39383613426</v>
      </c>
      <c r="B643" s="259">
        <v>45694.0</v>
      </c>
      <c r="F643" s="255" t="s">
        <v>2820</v>
      </c>
      <c r="G643" s="255" t="s">
        <v>2821</v>
      </c>
      <c r="M643" s="255">
        <v>7000.0</v>
      </c>
      <c r="Q643" s="255" t="s">
        <v>2822</v>
      </c>
      <c r="R643" s="255" t="s">
        <v>2822</v>
      </c>
      <c r="T643" s="255">
        <v>190000.0</v>
      </c>
      <c r="U643" s="255">
        <v>4000.0</v>
      </c>
      <c r="V643" s="255">
        <v>0.0</v>
      </c>
      <c r="W643" s="259">
        <v>45694.0</v>
      </c>
      <c r="X643" s="260" t="s">
        <v>2221</v>
      </c>
      <c r="Y643" s="259">
        <v>45703.0</v>
      </c>
      <c r="AB643" s="255">
        <v>952.0</v>
      </c>
      <c r="AD643" s="258" t="s">
        <v>2819</v>
      </c>
      <c r="AE643" s="255" t="s">
        <v>974</v>
      </c>
      <c r="AF643" s="255" t="s">
        <v>2279</v>
      </c>
      <c r="AG643" s="255">
        <v>0.0</v>
      </c>
    </row>
    <row r="644">
      <c r="A644" s="257">
        <v>45694.43919175926</v>
      </c>
      <c r="B644" s="259">
        <v>45695.0</v>
      </c>
      <c r="G644" s="255" t="s">
        <v>2824</v>
      </c>
      <c r="H644" s="255" t="s">
        <v>2825</v>
      </c>
      <c r="I644" s="255" t="s">
        <v>2826</v>
      </c>
      <c r="M644" s="255">
        <v>3000.0</v>
      </c>
      <c r="Q644" s="255" t="s">
        <v>2207</v>
      </c>
      <c r="R644" s="255" t="s">
        <v>2207</v>
      </c>
      <c r="T644" s="255">
        <v>80000.0</v>
      </c>
      <c r="U644" s="255">
        <v>28102.0</v>
      </c>
      <c r="V644" s="255">
        <v>2.0</v>
      </c>
      <c r="W644" s="259">
        <v>45695.0</v>
      </c>
      <c r="X644" s="260" t="s">
        <v>2265</v>
      </c>
      <c r="Y644" s="259">
        <v>45707.0</v>
      </c>
      <c r="AB644" s="255">
        <v>414.0</v>
      </c>
      <c r="AD644" s="258" t="s">
        <v>2823</v>
      </c>
      <c r="AE644" s="255" t="s">
        <v>98</v>
      </c>
      <c r="AF644" s="255" t="s">
        <v>2208</v>
      </c>
      <c r="AG644" s="255">
        <v>0.0</v>
      </c>
    </row>
    <row r="645">
      <c r="A645" s="257">
        <v>45694.55805158565</v>
      </c>
      <c r="B645" s="259">
        <v>45694.0</v>
      </c>
      <c r="F645" s="255" t="s">
        <v>2828</v>
      </c>
      <c r="G645" s="255" t="s">
        <v>2829</v>
      </c>
      <c r="H645" s="255">
        <v>8.9191596222E10</v>
      </c>
      <c r="M645" s="255">
        <v>3000.0</v>
      </c>
      <c r="Q645" s="255" t="s">
        <v>2269</v>
      </c>
      <c r="R645" s="255" t="s">
        <v>2269</v>
      </c>
      <c r="T645" s="255">
        <v>70000.0</v>
      </c>
      <c r="V645" s="255">
        <v>2.0</v>
      </c>
      <c r="W645" s="259">
        <v>45694.0</v>
      </c>
      <c r="X645" s="260" t="s">
        <v>2221</v>
      </c>
      <c r="Y645" s="259">
        <v>45698.0</v>
      </c>
      <c r="AB645" s="255">
        <v>384.0</v>
      </c>
      <c r="AD645" s="258" t="s">
        <v>2827</v>
      </c>
      <c r="AE645" s="255" t="s">
        <v>26</v>
      </c>
      <c r="AF645" s="255" t="s">
        <v>2208</v>
      </c>
      <c r="AG645" s="255">
        <v>0.0</v>
      </c>
    </row>
    <row r="646">
      <c r="A646" s="257">
        <v>45694.611395300926</v>
      </c>
      <c r="B646" s="259">
        <v>45694.0</v>
      </c>
      <c r="F646" s="255" t="s">
        <v>2831</v>
      </c>
      <c r="G646" s="255" t="s">
        <v>2832</v>
      </c>
      <c r="M646" s="255" t="s">
        <v>1753</v>
      </c>
      <c r="Q646" s="255" t="s">
        <v>2207</v>
      </c>
      <c r="R646" s="255" t="s">
        <v>2207</v>
      </c>
      <c r="T646" s="255">
        <v>130000.0</v>
      </c>
      <c r="U646" s="255">
        <v>24000.0</v>
      </c>
      <c r="V646" s="255">
        <v>1.0</v>
      </c>
      <c r="W646" s="259">
        <v>45694.0</v>
      </c>
      <c r="X646" s="260" t="s">
        <v>2235</v>
      </c>
      <c r="Y646" s="259">
        <v>45698.0</v>
      </c>
      <c r="AB646" s="255">
        <v>1000.0</v>
      </c>
      <c r="AD646" s="258" t="s">
        <v>2830</v>
      </c>
      <c r="AF646" s="255" t="s">
        <v>2270</v>
      </c>
      <c r="AG646" s="255">
        <v>0.0</v>
      </c>
    </row>
    <row r="647">
      <c r="A647" s="257">
        <v>45696.71316002315</v>
      </c>
      <c r="B647" s="259">
        <v>45696.0</v>
      </c>
      <c r="F647" s="255" t="s">
        <v>2834</v>
      </c>
      <c r="G647" s="255" t="s">
        <v>2835</v>
      </c>
      <c r="H647" s="255" t="s">
        <v>2836</v>
      </c>
      <c r="M647" s="255">
        <v>7000.0</v>
      </c>
      <c r="Q647" s="255" t="s">
        <v>2835</v>
      </c>
      <c r="R647" s="255" t="s">
        <v>2835</v>
      </c>
      <c r="T647" s="255">
        <v>190000.0</v>
      </c>
      <c r="V647" s="255">
        <v>1.0</v>
      </c>
      <c r="W647" s="259">
        <v>45698.0</v>
      </c>
      <c r="X647" s="260" t="s">
        <v>2262</v>
      </c>
      <c r="Y647" s="259">
        <v>45704.0</v>
      </c>
      <c r="AB647" s="255">
        <v>981.0</v>
      </c>
      <c r="AD647" s="258" t="s">
        <v>2833</v>
      </c>
      <c r="AE647" s="255" t="s">
        <v>971</v>
      </c>
      <c r="AF647" s="255" t="s">
        <v>2208</v>
      </c>
      <c r="AG647" s="255">
        <v>390.0</v>
      </c>
    </row>
    <row r="648">
      <c r="A648" s="257">
        <v>45697.220625648144</v>
      </c>
      <c r="B648" s="259">
        <v>45697.0</v>
      </c>
      <c r="F648" s="255" t="s">
        <v>2838</v>
      </c>
      <c r="G648" s="255" t="s">
        <v>2839</v>
      </c>
      <c r="H648" s="255" t="s">
        <v>2840</v>
      </c>
      <c r="I648" s="255" t="s">
        <v>2841</v>
      </c>
      <c r="M648" s="255">
        <v>8000.0</v>
      </c>
      <c r="Q648" s="255" t="s">
        <v>2839</v>
      </c>
      <c r="R648" s="255" t="s">
        <v>2839</v>
      </c>
      <c r="T648" s="255">
        <v>75000.0</v>
      </c>
      <c r="V648" s="255">
        <v>2.0</v>
      </c>
      <c r="W648" s="259">
        <v>45700.0</v>
      </c>
      <c r="X648" s="260" t="s">
        <v>2330</v>
      </c>
      <c r="Y648" s="259">
        <v>45708.0</v>
      </c>
      <c r="AB648" s="255">
        <v>571.0</v>
      </c>
      <c r="AD648" s="258" t="s">
        <v>2837</v>
      </c>
      <c r="AE648" s="255" t="s">
        <v>193</v>
      </c>
      <c r="AF648" s="255" t="s">
        <v>2208</v>
      </c>
      <c r="AG648" s="255">
        <v>490.0</v>
      </c>
    </row>
    <row r="649">
      <c r="A649" s="257">
        <v>45697.22318552084</v>
      </c>
      <c r="B649" s="259">
        <v>45697.0</v>
      </c>
      <c r="F649" s="255" t="s">
        <v>2838</v>
      </c>
      <c r="G649" s="255" t="s">
        <v>2839</v>
      </c>
      <c r="H649" s="255" t="s">
        <v>2840</v>
      </c>
      <c r="I649" s="255" t="s">
        <v>2841</v>
      </c>
      <c r="M649" s="255">
        <v>20000.0</v>
      </c>
      <c r="Q649" s="255" t="s">
        <v>2839</v>
      </c>
      <c r="R649" s="255" t="s">
        <v>2839</v>
      </c>
      <c r="T649" s="255">
        <v>400000.0</v>
      </c>
      <c r="V649" s="255">
        <v>2.0</v>
      </c>
      <c r="W649" s="259">
        <v>45700.0</v>
      </c>
      <c r="Y649" s="259">
        <v>45706.0</v>
      </c>
      <c r="AB649" s="255">
        <v>1741.0</v>
      </c>
      <c r="AD649" s="258" t="s">
        <v>2842</v>
      </c>
      <c r="AE649" s="255" t="s">
        <v>916</v>
      </c>
      <c r="AF649" s="255" t="s">
        <v>2208</v>
      </c>
      <c r="AG649" s="255">
        <v>490.0</v>
      </c>
    </row>
    <row r="650">
      <c r="A650" s="257">
        <v>45697.22678350694</v>
      </c>
      <c r="B650" s="259">
        <v>45697.0</v>
      </c>
      <c r="F650" s="255" t="s">
        <v>2838</v>
      </c>
      <c r="G650" s="255" t="s">
        <v>2844</v>
      </c>
      <c r="H650" s="255" t="s">
        <v>2841</v>
      </c>
      <c r="I650" s="255" t="s">
        <v>2840</v>
      </c>
      <c r="M650" s="255">
        <v>20000.0</v>
      </c>
      <c r="Q650" s="255" t="s">
        <v>2844</v>
      </c>
      <c r="R650" s="255" t="s">
        <v>2844</v>
      </c>
      <c r="T650" s="255">
        <v>400000.0</v>
      </c>
      <c r="V650" s="255">
        <v>2.0</v>
      </c>
      <c r="W650" s="259">
        <v>45706.0</v>
      </c>
      <c r="X650" s="260" t="s">
        <v>2330</v>
      </c>
      <c r="Y650" s="259">
        <v>45708.0</v>
      </c>
      <c r="AB650" s="255">
        <v>1741.0</v>
      </c>
      <c r="AD650" s="258" t="s">
        <v>2843</v>
      </c>
      <c r="AE650" s="255" t="s">
        <v>483</v>
      </c>
      <c r="AF650" s="255" t="s">
        <v>2208</v>
      </c>
      <c r="AG650" s="255">
        <v>0.0</v>
      </c>
    </row>
    <row r="651">
      <c r="A651" s="257">
        <v>45697.233094560186</v>
      </c>
      <c r="B651" s="259">
        <v>45697.0</v>
      </c>
      <c r="G651" s="255" t="s">
        <v>2846</v>
      </c>
      <c r="H651" s="255">
        <v>7.929970707E10</v>
      </c>
      <c r="M651" s="255">
        <v>8000.0</v>
      </c>
      <c r="Q651" s="255" t="s">
        <v>2269</v>
      </c>
      <c r="R651" s="255" t="s">
        <v>2269</v>
      </c>
      <c r="T651" s="255">
        <v>75000.0</v>
      </c>
      <c r="V651" s="255">
        <v>2.0</v>
      </c>
      <c r="W651" s="259">
        <v>45699.0</v>
      </c>
      <c r="X651" s="260" t="s">
        <v>2330</v>
      </c>
      <c r="Y651" s="259">
        <v>45704.0</v>
      </c>
      <c r="AB651" s="255">
        <v>531.0</v>
      </c>
      <c r="AD651" s="258" t="s">
        <v>2845</v>
      </c>
      <c r="AE651" s="255" t="s">
        <v>279</v>
      </c>
      <c r="AF651" s="255" t="s">
        <v>2208</v>
      </c>
      <c r="AG651" s="255">
        <v>590.0</v>
      </c>
    </row>
    <row r="652">
      <c r="A652" s="257">
        <v>45697.59248160879</v>
      </c>
      <c r="B652" s="259">
        <v>45697.0</v>
      </c>
      <c r="F652" s="255" t="s">
        <v>2848</v>
      </c>
      <c r="G652" s="255" t="s">
        <v>2849</v>
      </c>
      <c r="H652" s="255" t="s">
        <v>2850</v>
      </c>
      <c r="I652" s="255" t="s">
        <v>2851</v>
      </c>
      <c r="M652" s="255">
        <v>5000.0</v>
      </c>
      <c r="Q652" s="255" t="s">
        <v>2849</v>
      </c>
      <c r="R652" s="255" t="s">
        <v>2849</v>
      </c>
      <c r="T652" s="255">
        <v>140000.0</v>
      </c>
      <c r="U652" s="255">
        <v>27000.0</v>
      </c>
      <c r="V652" s="255">
        <v>2.0</v>
      </c>
      <c r="W652" s="259">
        <v>45697.0</v>
      </c>
      <c r="X652" s="260" t="s">
        <v>2231</v>
      </c>
      <c r="Y652" s="259">
        <v>45704.0</v>
      </c>
      <c r="AB652" s="255">
        <v>826.0</v>
      </c>
      <c r="AD652" s="258" t="s">
        <v>2847</v>
      </c>
      <c r="AE652" s="255" t="s">
        <v>64</v>
      </c>
      <c r="AF652" s="255" t="s">
        <v>2208</v>
      </c>
      <c r="AG652" s="255">
        <v>290.0</v>
      </c>
    </row>
    <row r="653">
      <c r="A653" s="257">
        <v>45697.596026666666</v>
      </c>
      <c r="B653" s="259">
        <v>45697.0</v>
      </c>
      <c r="F653" s="255" t="s">
        <v>2852</v>
      </c>
      <c r="G653" s="255" t="s">
        <v>2853</v>
      </c>
      <c r="H653" s="255" t="s">
        <v>2854</v>
      </c>
      <c r="M653" s="255">
        <v>7000.0</v>
      </c>
      <c r="Q653" s="255" t="s">
        <v>2853</v>
      </c>
      <c r="R653" s="255" t="s">
        <v>2853</v>
      </c>
      <c r="T653" s="255">
        <v>190000.0</v>
      </c>
      <c r="U653" s="255">
        <v>11500.0</v>
      </c>
      <c r="V653" s="255">
        <v>2.0</v>
      </c>
      <c r="W653" s="259">
        <v>45697.0</v>
      </c>
      <c r="X653" s="260" t="s">
        <v>2231</v>
      </c>
      <c r="Y653" s="259">
        <v>45702.0</v>
      </c>
      <c r="AB653" s="255">
        <v>1033.0</v>
      </c>
      <c r="AE653" s="255" t="s">
        <v>971</v>
      </c>
      <c r="AF653" s="255" t="s">
        <v>2208</v>
      </c>
      <c r="AG653" s="255">
        <v>490.0</v>
      </c>
    </row>
    <row r="654">
      <c r="A654" s="257">
        <v>45697.6205634838</v>
      </c>
      <c r="B654" s="259">
        <v>45697.0</v>
      </c>
      <c r="F654" s="255" t="s">
        <v>2852</v>
      </c>
      <c r="G654" s="255" t="s">
        <v>2853</v>
      </c>
      <c r="H654" s="255" t="s">
        <v>2854</v>
      </c>
      <c r="M654" s="255">
        <v>5000.0</v>
      </c>
      <c r="Q654" s="255" t="s">
        <v>2853</v>
      </c>
      <c r="R654" s="255" t="s">
        <v>2853</v>
      </c>
      <c r="T654" s="255">
        <v>19000.0</v>
      </c>
      <c r="U654" s="255">
        <v>11500.0</v>
      </c>
      <c r="V654" s="255">
        <v>2.0</v>
      </c>
      <c r="W654" s="259">
        <v>45697.0</v>
      </c>
      <c r="X654" s="260" t="s">
        <v>2231</v>
      </c>
      <c r="Y654" s="259">
        <v>45702.0</v>
      </c>
      <c r="AB654" s="255">
        <v>1033.0</v>
      </c>
      <c r="AD654" s="258" t="s">
        <v>2855</v>
      </c>
      <c r="AE654" s="255" t="s">
        <v>971</v>
      </c>
      <c r="AF654" s="255" t="s">
        <v>2208</v>
      </c>
      <c r="AG654" s="255">
        <v>490.0</v>
      </c>
    </row>
    <row r="655">
      <c r="A655" s="257">
        <v>45698.22816034722</v>
      </c>
      <c r="B655" s="259">
        <v>45698.0</v>
      </c>
      <c r="H655" s="255">
        <v>8.9876243168E10</v>
      </c>
      <c r="M655" s="255">
        <v>3000.0</v>
      </c>
      <c r="Q655" s="255" t="s">
        <v>2269</v>
      </c>
      <c r="R655" s="255" t="s">
        <v>2269</v>
      </c>
      <c r="T655" s="255">
        <v>70000.0</v>
      </c>
      <c r="V655" s="255">
        <v>1.0</v>
      </c>
      <c r="W655" s="259">
        <v>45698.0</v>
      </c>
      <c r="X655" s="260" t="s">
        <v>2330</v>
      </c>
      <c r="Y655" s="259">
        <v>45704.0</v>
      </c>
      <c r="AB655" s="255">
        <v>469.0</v>
      </c>
      <c r="AD655" s="258" t="s">
        <v>2856</v>
      </c>
      <c r="AE655" s="255" t="s">
        <v>56</v>
      </c>
      <c r="AF655" s="255" t="s">
        <v>2208</v>
      </c>
      <c r="AG655" s="255">
        <v>0.0</v>
      </c>
    </row>
    <row r="656">
      <c r="A656" s="257">
        <v>45698.23717782408</v>
      </c>
      <c r="B656" s="259">
        <v>45698.0</v>
      </c>
      <c r="G656" s="255" t="s">
        <v>2858</v>
      </c>
      <c r="H656" s="255" t="s">
        <v>2859</v>
      </c>
      <c r="I656" s="255" t="s">
        <v>2860</v>
      </c>
      <c r="M656" s="255">
        <v>3000.0</v>
      </c>
      <c r="Q656" s="255" t="s">
        <v>2858</v>
      </c>
      <c r="R656" s="255" t="s">
        <v>2858</v>
      </c>
      <c r="T656" s="255">
        <v>70000.0</v>
      </c>
      <c r="V656" s="255">
        <v>2.0</v>
      </c>
      <c r="W656" s="259">
        <v>45705.0</v>
      </c>
      <c r="X656" s="260" t="s">
        <v>2330</v>
      </c>
      <c r="Y656" s="259">
        <v>45711.0</v>
      </c>
      <c r="AB656" s="255">
        <v>469.0</v>
      </c>
      <c r="AD656" s="258" t="s">
        <v>2857</v>
      </c>
      <c r="AE656" s="255" t="s">
        <v>48</v>
      </c>
      <c r="AF656" s="255" t="s">
        <v>2208</v>
      </c>
      <c r="AG656" s="255">
        <v>290.0</v>
      </c>
    </row>
    <row r="657">
      <c r="A657" s="257">
        <v>45698.24043642361</v>
      </c>
      <c r="B657" s="259">
        <v>45698.0</v>
      </c>
      <c r="F657" s="255" t="s">
        <v>2862</v>
      </c>
      <c r="G657" s="255" t="s">
        <v>2863</v>
      </c>
      <c r="H657" s="255" t="s">
        <v>2864</v>
      </c>
      <c r="M657" s="255">
        <v>5000.0</v>
      </c>
      <c r="Q657" s="255" t="s">
        <v>2863</v>
      </c>
      <c r="R657" s="255" t="s">
        <v>2863</v>
      </c>
      <c r="T657" s="255">
        <v>350000.0</v>
      </c>
      <c r="V657" s="255">
        <v>1.0</v>
      </c>
      <c r="W657" s="259">
        <v>45699.0</v>
      </c>
      <c r="X657" s="260" t="s">
        <v>2330</v>
      </c>
      <c r="Y657" s="259">
        <v>45727.0</v>
      </c>
      <c r="AB657" s="255">
        <v>375.0</v>
      </c>
      <c r="AD657" s="258" t="s">
        <v>2861</v>
      </c>
      <c r="AE657" s="255" t="s">
        <v>202</v>
      </c>
      <c r="AF657" s="255" t="s">
        <v>2208</v>
      </c>
      <c r="AG657" s="255">
        <v>490.0</v>
      </c>
    </row>
    <row r="658">
      <c r="A658" s="257">
        <v>45698.58369347222</v>
      </c>
      <c r="B658" s="259">
        <v>45698.0</v>
      </c>
      <c r="G658" s="255" t="s">
        <v>2866</v>
      </c>
      <c r="H658" s="255" t="s">
        <v>2867</v>
      </c>
      <c r="M658" s="255">
        <v>25000.0</v>
      </c>
      <c r="Q658" s="255" t="s">
        <v>2207</v>
      </c>
      <c r="R658" s="255" t="s">
        <v>2207</v>
      </c>
      <c r="T658" s="255">
        <v>450000.0</v>
      </c>
      <c r="V658" s="255">
        <v>1.0</v>
      </c>
      <c r="W658" s="259">
        <v>45698.0</v>
      </c>
      <c r="X658" s="260" t="s">
        <v>2221</v>
      </c>
      <c r="Y658" s="259">
        <v>45700.0</v>
      </c>
      <c r="AB658" s="255">
        <v>2528.0</v>
      </c>
      <c r="AD658" s="258" t="s">
        <v>2865</v>
      </c>
      <c r="AE658" s="255" t="s">
        <v>1512</v>
      </c>
      <c r="AF658" s="255" t="s">
        <v>2208</v>
      </c>
      <c r="AG658" s="255">
        <v>0.0</v>
      </c>
    </row>
    <row r="659">
      <c r="A659" s="257">
        <v>45698.72738300926</v>
      </c>
      <c r="B659" s="259">
        <v>45698.0</v>
      </c>
      <c r="F659" s="255" t="s">
        <v>2828</v>
      </c>
      <c r="G659" s="255" t="s">
        <v>2869</v>
      </c>
      <c r="H659" s="255">
        <v>8.9191596222E10</v>
      </c>
      <c r="M659" s="255">
        <v>5000.0</v>
      </c>
      <c r="Q659" s="255" t="s">
        <v>2269</v>
      </c>
      <c r="R659" s="255" t="s">
        <v>2269</v>
      </c>
      <c r="T659" s="255">
        <v>410000.0</v>
      </c>
      <c r="V659" s="255">
        <v>2.0</v>
      </c>
      <c r="W659" s="259">
        <v>45698.0</v>
      </c>
      <c r="X659" s="260" t="s">
        <v>2215</v>
      </c>
      <c r="Y659" s="259">
        <v>45703.0</v>
      </c>
      <c r="AB659" s="255">
        <v>869.0</v>
      </c>
      <c r="AD659" s="258" t="s">
        <v>2868</v>
      </c>
      <c r="AE659" s="255" t="s">
        <v>92</v>
      </c>
      <c r="AF659" s="255" t="s">
        <v>2208</v>
      </c>
      <c r="AG659" s="255">
        <v>0.0</v>
      </c>
    </row>
    <row r="660">
      <c r="A660" s="257">
        <v>45699.22450523148</v>
      </c>
      <c r="B660" s="259">
        <v>45699.0</v>
      </c>
      <c r="F660" s="255" t="s">
        <v>2871</v>
      </c>
      <c r="G660" s="255" t="s">
        <v>2872</v>
      </c>
      <c r="M660" s="255" t="s">
        <v>515</v>
      </c>
      <c r="Q660" s="255" t="s">
        <v>2207</v>
      </c>
      <c r="R660" s="255" t="s">
        <v>2207</v>
      </c>
      <c r="T660" s="255">
        <v>75000.0</v>
      </c>
      <c r="V660" s="255">
        <v>2.0</v>
      </c>
      <c r="W660" s="259">
        <v>45699.0</v>
      </c>
      <c r="X660" s="260" t="s">
        <v>2324</v>
      </c>
      <c r="Y660" s="259">
        <v>45730.0</v>
      </c>
      <c r="AC660" s="255">
        <v>7000.0</v>
      </c>
      <c r="AD660" s="258" t="s">
        <v>2870</v>
      </c>
      <c r="AE660" s="255" t="s">
        <v>193</v>
      </c>
      <c r="AF660" s="255" t="s">
        <v>2208</v>
      </c>
      <c r="AG660" s="255">
        <v>0.0</v>
      </c>
    </row>
    <row r="661">
      <c r="A661" s="257">
        <v>45699.441375821756</v>
      </c>
      <c r="B661" s="259">
        <v>45699.0</v>
      </c>
      <c r="G661" s="255" t="s">
        <v>2866</v>
      </c>
      <c r="H661" s="255" t="s">
        <v>2867</v>
      </c>
      <c r="M661" s="255">
        <v>20000.0</v>
      </c>
      <c r="Q661" s="255" t="s">
        <v>2207</v>
      </c>
      <c r="R661" s="255" t="s">
        <v>2207</v>
      </c>
      <c r="T661" s="255">
        <v>140000.0</v>
      </c>
      <c r="V661" s="255">
        <v>2.0</v>
      </c>
      <c r="W661" s="259">
        <v>45699.0</v>
      </c>
      <c r="X661" s="260" t="s">
        <v>2324</v>
      </c>
      <c r="Y661" s="259">
        <v>45701.0</v>
      </c>
      <c r="AB661" s="255">
        <v>1290.0</v>
      </c>
      <c r="AD661" s="258" t="s">
        <v>2873</v>
      </c>
      <c r="AE661" s="255" t="s">
        <v>438</v>
      </c>
      <c r="AF661" s="255" t="s">
        <v>2208</v>
      </c>
      <c r="AG661" s="255">
        <v>0.0</v>
      </c>
    </row>
    <row r="662">
      <c r="A662" s="257">
        <v>45699.47351365741</v>
      </c>
      <c r="B662" s="259">
        <v>45699.0</v>
      </c>
      <c r="G662" s="255" t="s">
        <v>2803</v>
      </c>
      <c r="H662" s="255" t="s">
        <v>2804</v>
      </c>
      <c r="I662" s="260" t="s">
        <v>2805</v>
      </c>
      <c r="M662" s="255">
        <v>5000.0</v>
      </c>
      <c r="Q662" s="255" t="s">
        <v>2207</v>
      </c>
      <c r="R662" s="255" t="s">
        <v>2207</v>
      </c>
      <c r="T662" s="255">
        <v>180000.0</v>
      </c>
      <c r="V662" s="255">
        <v>2.0</v>
      </c>
      <c r="W662" s="259">
        <v>45699.0</v>
      </c>
      <c r="X662" s="260" t="s">
        <v>2265</v>
      </c>
      <c r="Y662" s="259">
        <v>45703.0</v>
      </c>
      <c r="AB662" s="255">
        <v>869.0</v>
      </c>
      <c r="AD662" s="258" t="s">
        <v>2874</v>
      </c>
      <c r="AE662" s="255" t="s">
        <v>113</v>
      </c>
      <c r="AF662" s="255" t="s">
        <v>2208</v>
      </c>
      <c r="AG662" s="255">
        <v>0.0</v>
      </c>
    </row>
    <row r="663">
      <c r="A663" s="257">
        <v>45699.475455949076</v>
      </c>
      <c r="B663" s="259">
        <v>45699.0</v>
      </c>
      <c r="G663" s="255" t="s">
        <v>2803</v>
      </c>
      <c r="H663" s="255" t="s">
        <v>2804</v>
      </c>
      <c r="I663" s="260" t="s">
        <v>2805</v>
      </c>
      <c r="M663" s="255">
        <v>3000.0</v>
      </c>
      <c r="Q663" s="255" t="s">
        <v>2207</v>
      </c>
      <c r="R663" s="255" t="s">
        <v>2207</v>
      </c>
      <c r="T663" s="255">
        <v>90000.0</v>
      </c>
      <c r="V663" s="255">
        <v>2.0</v>
      </c>
      <c r="W663" s="259">
        <v>45699.0</v>
      </c>
      <c r="X663" s="260" t="s">
        <v>2265</v>
      </c>
      <c r="Y663" s="259">
        <v>45703.0</v>
      </c>
      <c r="AB663" s="255">
        <v>494.0</v>
      </c>
      <c r="AD663" s="258" t="s">
        <v>2875</v>
      </c>
      <c r="AE663" s="255" t="s">
        <v>185</v>
      </c>
      <c r="AF663" s="255" t="s">
        <v>2208</v>
      </c>
      <c r="AG663" s="255">
        <v>0.0</v>
      </c>
    </row>
    <row r="664">
      <c r="A664" s="257">
        <v>45699.69802859954</v>
      </c>
      <c r="B664" s="259">
        <v>45699.0</v>
      </c>
      <c r="F664" s="255" t="s">
        <v>2838</v>
      </c>
      <c r="G664" s="255" t="s">
        <v>2877</v>
      </c>
      <c r="H664" s="255" t="s">
        <v>2841</v>
      </c>
      <c r="I664" s="255" t="s">
        <v>2840</v>
      </c>
      <c r="M664" s="255">
        <v>3000.0</v>
      </c>
      <c r="Q664" s="255" t="s">
        <v>2207</v>
      </c>
      <c r="R664" s="255" t="s">
        <v>2207</v>
      </c>
      <c r="T664" s="255">
        <v>75000.0</v>
      </c>
      <c r="V664" s="255">
        <v>2.0</v>
      </c>
      <c r="W664" s="259">
        <v>45699.0</v>
      </c>
      <c r="X664" s="260" t="s">
        <v>2246</v>
      </c>
      <c r="Y664" s="259">
        <v>45705.0</v>
      </c>
      <c r="AB664" s="255">
        <v>558.0</v>
      </c>
      <c r="AD664" s="262" t="s">
        <v>2876</v>
      </c>
      <c r="AE664" s="255" t="s">
        <v>173</v>
      </c>
      <c r="AF664" s="255" t="s">
        <v>2208</v>
      </c>
      <c r="AG664" s="255">
        <v>0.0</v>
      </c>
    </row>
    <row r="665">
      <c r="A665" s="257">
        <v>45699.71095574074</v>
      </c>
      <c r="B665" s="259">
        <v>45699.0</v>
      </c>
      <c r="F665" s="255" t="s">
        <v>2838</v>
      </c>
      <c r="G665" s="255" t="s">
        <v>2877</v>
      </c>
      <c r="H665" s="255" t="s">
        <v>2840</v>
      </c>
      <c r="I665" s="255" t="s">
        <v>2841</v>
      </c>
      <c r="M665" s="255">
        <v>3000.0</v>
      </c>
      <c r="Q665" s="255" t="s">
        <v>2207</v>
      </c>
      <c r="R665" s="255" t="s">
        <v>2207</v>
      </c>
      <c r="T665" s="255">
        <v>75000.0</v>
      </c>
      <c r="V665" s="255">
        <v>2.0</v>
      </c>
      <c r="W665" s="259">
        <v>45699.0</v>
      </c>
      <c r="X665" s="260" t="s">
        <v>2246</v>
      </c>
      <c r="Y665" s="259">
        <v>45705.0</v>
      </c>
      <c r="AB665" s="255">
        <v>558.0</v>
      </c>
      <c r="AD665" s="258" t="s">
        <v>2878</v>
      </c>
      <c r="AE665" s="255" t="s">
        <v>173</v>
      </c>
      <c r="AF665" s="255" t="s">
        <v>2208</v>
      </c>
      <c r="AG665" s="255">
        <v>0.0</v>
      </c>
    </row>
    <row r="666">
      <c r="A666" s="257">
        <v>45700.402161192134</v>
      </c>
      <c r="B666" s="259">
        <v>45700.0</v>
      </c>
      <c r="F666" s="255" t="s">
        <v>2880</v>
      </c>
      <c r="G666" s="255" t="s">
        <v>2881</v>
      </c>
      <c r="M666" s="255" t="s">
        <v>515</v>
      </c>
      <c r="Q666" s="255" t="s">
        <v>2269</v>
      </c>
      <c r="R666" s="255" t="s">
        <v>2269</v>
      </c>
      <c r="T666" s="255">
        <v>130000.0</v>
      </c>
      <c r="U666" s="255">
        <v>31200.0</v>
      </c>
      <c r="V666" s="255">
        <v>1.0</v>
      </c>
      <c r="W666" s="259">
        <v>45700.0</v>
      </c>
      <c r="X666" s="260" t="s">
        <v>2262</v>
      </c>
      <c r="Y666" s="259">
        <v>45706.0</v>
      </c>
      <c r="AB666" s="255">
        <v>922.0</v>
      </c>
      <c r="AD666" s="258" t="s">
        <v>2879</v>
      </c>
      <c r="AE666" s="255" t="s">
        <v>461</v>
      </c>
      <c r="AF666" s="255" t="s">
        <v>2242</v>
      </c>
      <c r="AG666" s="255">
        <v>0.0</v>
      </c>
    </row>
    <row r="667">
      <c r="A667" s="257">
        <v>45700.43702039352</v>
      </c>
      <c r="B667" s="259">
        <v>45700.0</v>
      </c>
      <c r="F667" s="255" t="s">
        <v>2883</v>
      </c>
      <c r="G667" s="255" t="s">
        <v>2883</v>
      </c>
      <c r="H667" s="255" t="s">
        <v>2884</v>
      </c>
      <c r="M667" s="255">
        <v>3000.0</v>
      </c>
      <c r="Q667" s="255" t="s">
        <v>2883</v>
      </c>
      <c r="R667" s="255" t="s">
        <v>2883</v>
      </c>
      <c r="T667" s="255">
        <v>70000.0</v>
      </c>
      <c r="V667" s="255">
        <v>2.0</v>
      </c>
      <c r="W667" s="259">
        <v>45700.0</v>
      </c>
      <c r="X667" s="260" t="s">
        <v>2265</v>
      </c>
      <c r="Y667" s="259">
        <v>45708.0</v>
      </c>
      <c r="AB667" s="255">
        <v>462.0</v>
      </c>
      <c r="AD667" s="258" t="s">
        <v>2882</v>
      </c>
      <c r="AE667" s="255" t="s">
        <v>106</v>
      </c>
      <c r="AF667" s="255" t="s">
        <v>2208</v>
      </c>
      <c r="AG667" s="255">
        <v>190.0</v>
      </c>
    </row>
    <row r="668">
      <c r="A668" s="257">
        <v>45701.44781025463</v>
      </c>
      <c r="B668" s="259">
        <v>45701.0</v>
      </c>
      <c r="F668" s="255" t="s">
        <v>2886</v>
      </c>
      <c r="G668" s="255" t="s">
        <v>2887</v>
      </c>
      <c r="M668" s="255" t="s">
        <v>1775</v>
      </c>
      <c r="Q668" s="255" t="s">
        <v>2269</v>
      </c>
      <c r="R668" s="255" t="s">
        <v>2269</v>
      </c>
      <c r="T668" s="255">
        <v>14000.0</v>
      </c>
      <c r="U668" s="255">
        <v>16000.0</v>
      </c>
      <c r="V668" s="255">
        <v>2.0</v>
      </c>
      <c r="W668" s="259">
        <v>45701.0</v>
      </c>
      <c r="X668" s="260" t="s">
        <v>2265</v>
      </c>
      <c r="Y668" s="259">
        <v>45704.0</v>
      </c>
      <c r="AB668" s="255">
        <v>1000.0</v>
      </c>
      <c r="AD668" s="258" t="s">
        <v>2885</v>
      </c>
      <c r="AF668" s="255" t="s">
        <v>2208</v>
      </c>
      <c r="AG668" s="255">
        <v>0.0</v>
      </c>
    </row>
    <row r="669">
      <c r="A669" s="257">
        <v>45702.25226815972</v>
      </c>
      <c r="B669" s="259">
        <v>45702.0</v>
      </c>
      <c r="F669" s="255" t="s">
        <v>2889</v>
      </c>
      <c r="G669" s="255" t="s">
        <v>2890</v>
      </c>
      <c r="H669" s="255" t="s">
        <v>2891</v>
      </c>
      <c r="M669" s="255">
        <v>3000.0</v>
      </c>
      <c r="Q669" s="255" t="s">
        <v>2890</v>
      </c>
      <c r="R669" s="255" t="s">
        <v>2890</v>
      </c>
      <c r="T669" s="255">
        <v>70000.0</v>
      </c>
      <c r="V669" s="255">
        <v>2.0</v>
      </c>
      <c r="W669" s="259">
        <v>45702.0</v>
      </c>
      <c r="X669" s="260" t="s">
        <v>2324</v>
      </c>
      <c r="Y669" s="259">
        <v>45708.0</v>
      </c>
      <c r="AB669" s="255">
        <v>469.0</v>
      </c>
      <c r="AD669" s="258" t="s">
        <v>2888</v>
      </c>
      <c r="AE669" s="255" t="s">
        <v>56</v>
      </c>
      <c r="AF669" s="255" t="s">
        <v>2208</v>
      </c>
      <c r="AG669" s="255">
        <v>290.0</v>
      </c>
    </row>
    <row r="670">
      <c r="A670" s="257">
        <v>45703.2558928125</v>
      </c>
      <c r="B670" s="259">
        <v>45703.0</v>
      </c>
      <c r="G670" s="255" t="s">
        <v>2893</v>
      </c>
      <c r="H670" s="255">
        <v>8.9277777555E10</v>
      </c>
      <c r="I670" s="255" t="s">
        <v>2894</v>
      </c>
      <c r="M670" s="255">
        <v>20000.0</v>
      </c>
      <c r="Q670" s="255" t="s">
        <v>2269</v>
      </c>
      <c r="R670" s="255" t="s">
        <v>2269</v>
      </c>
      <c r="T670" s="255">
        <v>400000.0</v>
      </c>
      <c r="V670" s="255">
        <v>1.0</v>
      </c>
      <c r="W670" s="259">
        <v>45703.0</v>
      </c>
      <c r="X670" s="260" t="s">
        <v>2221</v>
      </c>
      <c r="Y670" s="259">
        <v>45705.0</v>
      </c>
      <c r="AB670" s="255">
        <v>1285.0</v>
      </c>
      <c r="AD670" s="258" t="s">
        <v>2892</v>
      </c>
      <c r="AE670" s="255" t="s">
        <v>438</v>
      </c>
      <c r="AF670" s="255" t="s">
        <v>2208</v>
      </c>
      <c r="AG670" s="255">
        <v>0.0</v>
      </c>
    </row>
    <row r="671">
      <c r="A671" s="257">
        <v>45704.32518126158</v>
      </c>
      <c r="B671" s="259">
        <v>45704.0</v>
      </c>
      <c r="G671" s="255" t="s">
        <v>2896</v>
      </c>
      <c r="H671" s="255">
        <v>7.9257620404E10</v>
      </c>
      <c r="M671" s="255">
        <v>7000.0</v>
      </c>
      <c r="Q671" s="255" t="s">
        <v>2896</v>
      </c>
      <c r="R671" s="255" t="s">
        <v>2896</v>
      </c>
      <c r="T671" s="255">
        <v>410000.0</v>
      </c>
      <c r="V671" s="255">
        <v>2.0</v>
      </c>
      <c r="W671" s="259">
        <v>45713.0</v>
      </c>
      <c r="X671" s="260" t="s">
        <v>2324</v>
      </c>
      <c r="Y671" s="259">
        <v>45717.0</v>
      </c>
      <c r="AB671" s="255">
        <v>1033.0</v>
      </c>
      <c r="AD671" s="258" t="s">
        <v>2895</v>
      </c>
      <c r="AE671" s="255" t="s">
        <v>951</v>
      </c>
      <c r="AF671" s="255" t="s">
        <v>2208</v>
      </c>
      <c r="AG671" s="255">
        <v>290.0</v>
      </c>
    </row>
    <row r="672">
      <c r="A672" s="257">
        <v>45704.329263680556</v>
      </c>
      <c r="B672" s="259">
        <v>45704.0</v>
      </c>
      <c r="G672" s="255" t="s">
        <v>2898</v>
      </c>
      <c r="H672" s="255">
        <v>7.950423844E10</v>
      </c>
      <c r="M672" s="255">
        <v>7000.0</v>
      </c>
      <c r="Q672" s="255" t="s">
        <v>2898</v>
      </c>
      <c r="R672" s="255" t="s">
        <v>2898</v>
      </c>
      <c r="T672" s="255">
        <v>410000.0</v>
      </c>
      <c r="V672" s="255">
        <v>2.0</v>
      </c>
      <c r="W672" s="259">
        <v>45707.0</v>
      </c>
      <c r="X672" s="260" t="s">
        <v>2330</v>
      </c>
      <c r="Y672" s="259">
        <v>45719.0</v>
      </c>
      <c r="AB672" s="255">
        <v>908.0</v>
      </c>
      <c r="AD672" s="258" t="s">
        <v>2897</v>
      </c>
      <c r="AE672" s="255" t="s">
        <v>974</v>
      </c>
      <c r="AF672" s="255" t="s">
        <v>2208</v>
      </c>
      <c r="AG672" s="255">
        <v>390.0</v>
      </c>
    </row>
    <row r="673">
      <c r="A673" s="257">
        <v>45705.569263275465</v>
      </c>
      <c r="B673" s="259">
        <v>45705.0</v>
      </c>
      <c r="G673" s="255" t="s">
        <v>2900</v>
      </c>
      <c r="H673" s="255">
        <v>7.9530549907E10</v>
      </c>
      <c r="I673" s="255" t="s">
        <v>2901</v>
      </c>
      <c r="M673" s="255">
        <v>3000.0</v>
      </c>
      <c r="Q673" s="255" t="s">
        <v>2269</v>
      </c>
      <c r="R673" s="255" t="s">
        <v>2269</v>
      </c>
      <c r="T673" s="255">
        <v>70000.0</v>
      </c>
      <c r="V673" s="255">
        <v>2.0</v>
      </c>
      <c r="W673" s="259">
        <v>45705.0</v>
      </c>
      <c r="X673" s="260" t="s">
        <v>2215</v>
      </c>
      <c r="Y673" s="259">
        <v>45733.0</v>
      </c>
      <c r="AC673" s="255">
        <v>7490.0</v>
      </c>
      <c r="AD673" s="258" t="s">
        <v>2899</v>
      </c>
      <c r="AE673" s="255" t="s">
        <v>114</v>
      </c>
      <c r="AF673" s="255" t="s">
        <v>2208</v>
      </c>
      <c r="AG673" s="255">
        <v>0.0</v>
      </c>
    </row>
    <row r="674">
      <c r="A674" s="257">
        <v>45707.236322048615</v>
      </c>
      <c r="B674" s="259">
        <v>45707.0</v>
      </c>
      <c r="F674" s="255" t="s">
        <v>2903</v>
      </c>
      <c r="G674" s="255" t="s">
        <v>2904</v>
      </c>
      <c r="H674" s="255">
        <v>8.9150005008E10</v>
      </c>
      <c r="M674" s="255">
        <v>15000.0</v>
      </c>
      <c r="Q674" s="255" t="s">
        <v>2269</v>
      </c>
      <c r="R674" s="255" t="s">
        <v>2269</v>
      </c>
      <c r="T674" s="255">
        <v>250000.0</v>
      </c>
      <c r="V674" s="255">
        <v>2.0</v>
      </c>
      <c r="W674" s="259">
        <v>45707.0</v>
      </c>
      <c r="X674" s="260" t="s">
        <v>2215</v>
      </c>
      <c r="Y674" s="259">
        <v>45718.0</v>
      </c>
      <c r="AB674" s="255">
        <v>766.0</v>
      </c>
      <c r="AD674" s="258" t="s">
        <v>2902</v>
      </c>
      <c r="AE674" s="255" t="s">
        <v>468</v>
      </c>
      <c r="AF674" s="255" t="s">
        <v>2208</v>
      </c>
      <c r="AG674" s="255">
        <v>0.0</v>
      </c>
    </row>
    <row r="675">
      <c r="A675" s="257">
        <v>45707.24003104167</v>
      </c>
      <c r="B675" s="259">
        <v>45707.0</v>
      </c>
      <c r="F675" s="255" t="s">
        <v>2906</v>
      </c>
      <c r="G675" s="255" t="s">
        <v>2907</v>
      </c>
      <c r="H675" s="255" t="s">
        <v>2908</v>
      </c>
      <c r="I675" s="255" t="s">
        <v>2909</v>
      </c>
      <c r="M675" s="255">
        <v>3000.0</v>
      </c>
      <c r="Q675" s="255" t="s">
        <v>2269</v>
      </c>
      <c r="R675" s="255" t="s">
        <v>2269</v>
      </c>
      <c r="T675" s="255">
        <v>70000.0</v>
      </c>
      <c r="V675" s="255">
        <v>2.0</v>
      </c>
      <c r="W675" s="259">
        <v>45707.0</v>
      </c>
      <c r="X675" s="260" t="s">
        <v>2324</v>
      </c>
      <c r="Y675" s="259">
        <v>45711.0</v>
      </c>
      <c r="AB675" s="255">
        <v>349.0</v>
      </c>
      <c r="AD675" s="258" t="s">
        <v>2905</v>
      </c>
      <c r="AE675" s="255" t="s">
        <v>26</v>
      </c>
      <c r="AF675" s="255" t="s">
        <v>2208</v>
      </c>
      <c r="AG675" s="255">
        <v>0.0</v>
      </c>
    </row>
    <row r="676">
      <c r="A676" s="257">
        <v>45709.26958349537</v>
      </c>
      <c r="B676" s="259">
        <v>45709.0</v>
      </c>
      <c r="F676" s="255" t="s">
        <v>2911</v>
      </c>
      <c r="G676" s="255" t="s">
        <v>2869</v>
      </c>
      <c r="H676" s="255">
        <v>8.9114037272E10</v>
      </c>
      <c r="M676" s="255">
        <v>15000.0</v>
      </c>
      <c r="Q676" s="255" t="s">
        <v>2869</v>
      </c>
      <c r="R676" s="255" t="s">
        <v>2869</v>
      </c>
      <c r="T676" s="255">
        <v>250000.0</v>
      </c>
      <c r="V676" s="255">
        <v>2.0</v>
      </c>
      <c r="W676" s="259">
        <v>45709.0</v>
      </c>
      <c r="X676" s="260" t="s">
        <v>2215</v>
      </c>
      <c r="Y676" s="259">
        <v>45721.0</v>
      </c>
      <c r="AB676" s="255">
        <v>872.0</v>
      </c>
      <c r="AD676" s="258" t="s">
        <v>2910</v>
      </c>
      <c r="AE676" s="255" t="s">
        <v>423</v>
      </c>
      <c r="AF676" s="255" t="s">
        <v>2208</v>
      </c>
      <c r="AG676" s="255">
        <v>290.0</v>
      </c>
    </row>
    <row r="677">
      <c r="A677" s="257">
        <v>45709.68847979167</v>
      </c>
      <c r="B677" s="259">
        <v>45709.0</v>
      </c>
      <c r="F677" s="255" t="s">
        <v>2913</v>
      </c>
      <c r="G677" s="255" t="s">
        <v>2914</v>
      </c>
      <c r="M677" s="255">
        <v>2000.0</v>
      </c>
      <c r="Q677" s="255" t="s">
        <v>2207</v>
      </c>
      <c r="R677" s="255" t="s">
        <v>2207</v>
      </c>
      <c r="T677" s="255">
        <v>70000.0</v>
      </c>
      <c r="U677" s="255">
        <v>35000.0</v>
      </c>
      <c r="V677" s="255">
        <v>2.0</v>
      </c>
      <c r="W677" s="259">
        <v>45709.0</v>
      </c>
      <c r="X677" s="260" t="s">
        <v>2215</v>
      </c>
      <c r="Y677" s="259">
        <v>45718.0</v>
      </c>
      <c r="AB677" s="255">
        <v>389.0</v>
      </c>
      <c r="AD677" s="258" t="s">
        <v>2912</v>
      </c>
      <c r="AE677" s="255" t="s">
        <v>185</v>
      </c>
      <c r="AF677" s="255" t="s">
        <v>2208</v>
      </c>
      <c r="AG677" s="255">
        <v>0.0</v>
      </c>
    </row>
    <row r="678">
      <c r="A678" s="257">
        <v>45710.550831203705</v>
      </c>
      <c r="B678" s="259">
        <v>45710.0</v>
      </c>
      <c r="F678" s="255" t="s">
        <v>2916</v>
      </c>
      <c r="G678" s="255" t="s">
        <v>2917</v>
      </c>
      <c r="H678" s="255" t="s">
        <v>2916</v>
      </c>
      <c r="M678" s="255">
        <v>5000.0</v>
      </c>
      <c r="Q678" s="255" t="s">
        <v>2918</v>
      </c>
      <c r="R678" s="255" t="s">
        <v>2918</v>
      </c>
      <c r="T678" s="255">
        <v>130000.0</v>
      </c>
      <c r="U678" s="255">
        <v>24000.0</v>
      </c>
      <c r="V678" s="255">
        <v>2.0</v>
      </c>
      <c r="W678" s="259">
        <v>45710.0</v>
      </c>
      <c r="X678" s="260" t="s">
        <v>2235</v>
      </c>
      <c r="Y678" s="259">
        <v>45719.0</v>
      </c>
      <c r="AB678" s="255">
        <v>699.0</v>
      </c>
      <c r="AD678" s="258" t="s">
        <v>2915</v>
      </c>
      <c r="AE678" s="255" t="s">
        <v>202</v>
      </c>
      <c r="AF678" s="255" t="s">
        <v>2208</v>
      </c>
      <c r="AG678" s="255">
        <v>290.0</v>
      </c>
    </row>
    <row r="679">
      <c r="A679" s="257">
        <v>45711.22543019676</v>
      </c>
      <c r="B679" s="259" t="s">
        <v>2920</v>
      </c>
      <c r="F679" s="255" t="s">
        <v>2921</v>
      </c>
      <c r="G679" s="255" t="s">
        <v>2922</v>
      </c>
      <c r="H679" s="255" t="s">
        <v>2923</v>
      </c>
      <c r="M679" s="255">
        <v>20000.0</v>
      </c>
      <c r="Q679" s="255" t="s">
        <v>2269</v>
      </c>
      <c r="R679" s="255" t="s">
        <v>2269</v>
      </c>
      <c r="T679" s="255">
        <v>4000000.0</v>
      </c>
      <c r="V679" s="255">
        <v>1.0</v>
      </c>
      <c r="W679" s="259">
        <v>45711.0</v>
      </c>
      <c r="X679" s="260" t="s">
        <v>2265</v>
      </c>
      <c r="Y679" s="259">
        <v>45714.0</v>
      </c>
      <c r="AB679" s="255">
        <v>1798.0</v>
      </c>
      <c r="AD679" s="258" t="s">
        <v>2919</v>
      </c>
      <c r="AE679" s="255" t="s">
        <v>483</v>
      </c>
      <c r="AF679" s="255" t="s">
        <v>2208</v>
      </c>
      <c r="AG679" s="255">
        <v>0.0</v>
      </c>
    </row>
    <row r="680">
      <c r="A680" s="257">
        <v>45711.67386577546</v>
      </c>
      <c r="B680" s="259">
        <v>45711.0</v>
      </c>
      <c r="F680" s="255" t="s">
        <v>2925</v>
      </c>
      <c r="G680" s="255" t="s">
        <v>2926</v>
      </c>
      <c r="H680" s="255" t="s">
        <v>2927</v>
      </c>
      <c r="M680" s="255">
        <v>3000.0</v>
      </c>
      <c r="Q680" s="255" t="s">
        <v>2926</v>
      </c>
      <c r="R680" s="255" t="s">
        <v>2926</v>
      </c>
      <c r="T680" s="255">
        <v>70000.0</v>
      </c>
      <c r="U680" s="255">
        <v>29500.0</v>
      </c>
      <c r="V680" s="255">
        <v>2.0</v>
      </c>
      <c r="W680" s="259">
        <v>45711.0</v>
      </c>
      <c r="X680" s="260" t="s">
        <v>2215</v>
      </c>
      <c r="Y680" s="259">
        <v>45721.0</v>
      </c>
      <c r="AB680" s="255">
        <v>407.0</v>
      </c>
      <c r="AD680" s="258" t="s">
        <v>2924</v>
      </c>
      <c r="AE680" s="255" t="s">
        <v>151</v>
      </c>
      <c r="AF680" s="255" t="s">
        <v>2279</v>
      </c>
      <c r="AG680" s="255">
        <v>190.0</v>
      </c>
    </row>
    <row r="681">
      <c r="A681" s="257">
        <v>45712.241779421296</v>
      </c>
      <c r="B681" s="259">
        <v>45712.0</v>
      </c>
      <c r="F681" s="255" t="s">
        <v>2929</v>
      </c>
      <c r="G681" s="255" t="s">
        <v>2930</v>
      </c>
      <c r="H681" s="255" t="s">
        <v>2931</v>
      </c>
      <c r="M681" s="255">
        <v>5000.0</v>
      </c>
      <c r="Q681" s="255" t="s">
        <v>2930</v>
      </c>
      <c r="R681" s="255" t="s">
        <v>2930</v>
      </c>
      <c r="T681" s="255">
        <v>410000.0</v>
      </c>
      <c r="V681" s="255">
        <v>2.0</v>
      </c>
      <c r="W681" s="259">
        <v>45712.0</v>
      </c>
      <c r="X681" s="260" t="s">
        <v>2215</v>
      </c>
      <c r="Y681" s="259">
        <v>45718.0</v>
      </c>
      <c r="AB681" s="255">
        <v>713.0</v>
      </c>
      <c r="AD681" s="258" t="s">
        <v>2928</v>
      </c>
      <c r="AE681" s="255" t="s">
        <v>155</v>
      </c>
      <c r="AF681" s="255" t="s">
        <v>2208</v>
      </c>
      <c r="AG681" s="255">
        <v>590.0</v>
      </c>
    </row>
    <row r="682">
      <c r="A682" s="257">
        <v>45712.64212513889</v>
      </c>
      <c r="B682" s="259">
        <v>45712.0</v>
      </c>
      <c r="F682" s="255" t="s">
        <v>2933</v>
      </c>
      <c r="G682" s="255" t="s">
        <v>2934</v>
      </c>
      <c r="M682" s="255">
        <v>3000.0</v>
      </c>
      <c r="Q682" s="255" t="s">
        <v>2207</v>
      </c>
      <c r="R682" s="255" t="s">
        <v>2207</v>
      </c>
      <c r="T682" s="255">
        <v>70000.0</v>
      </c>
      <c r="U682" s="255">
        <v>25000.0</v>
      </c>
      <c r="V682" s="255">
        <v>2.0</v>
      </c>
      <c r="W682" s="259">
        <v>45712.0</v>
      </c>
      <c r="X682" s="260" t="s">
        <v>2246</v>
      </c>
      <c r="Y682" s="259">
        <v>45716.0</v>
      </c>
      <c r="AB682" s="255">
        <v>470.0</v>
      </c>
      <c r="AD682" s="258" t="s">
        <v>2932</v>
      </c>
      <c r="AE682" s="255" t="s">
        <v>98</v>
      </c>
      <c r="AF682" s="255" t="s">
        <v>2208</v>
      </c>
      <c r="AG682" s="255">
        <v>0.0</v>
      </c>
    </row>
    <row r="683">
      <c r="A683" s="257">
        <v>45712.88742763889</v>
      </c>
      <c r="B683" s="259">
        <v>45712.0</v>
      </c>
      <c r="G683" s="255" t="s">
        <v>2936</v>
      </c>
      <c r="H683" s="255">
        <v>7.9503123346E10</v>
      </c>
      <c r="M683" s="255" t="s">
        <v>912</v>
      </c>
      <c r="Q683" s="255" t="s">
        <v>2207</v>
      </c>
      <c r="R683" s="255" t="s">
        <v>2207</v>
      </c>
      <c r="T683" s="255">
        <v>70000.0</v>
      </c>
      <c r="V683" s="255">
        <v>2.0</v>
      </c>
      <c r="W683" s="259">
        <v>45712.0</v>
      </c>
      <c r="X683" s="260" t="s">
        <v>2470</v>
      </c>
      <c r="Y683" s="259">
        <v>45723.0</v>
      </c>
      <c r="AB683" s="255">
        <v>363.0</v>
      </c>
      <c r="AD683" s="258" t="s">
        <v>2935</v>
      </c>
      <c r="AE683" s="255" t="s">
        <v>106</v>
      </c>
      <c r="AF683" s="255" t="s">
        <v>2208</v>
      </c>
      <c r="AG683" s="255">
        <v>0.0</v>
      </c>
    </row>
    <row r="684">
      <c r="A684" s="257">
        <v>45713.230989930555</v>
      </c>
      <c r="B684" s="259">
        <v>45713.0</v>
      </c>
      <c r="G684" s="255" t="s">
        <v>2938</v>
      </c>
      <c r="H684" s="255" t="s">
        <v>2939</v>
      </c>
      <c r="I684" s="255" t="s">
        <v>2940</v>
      </c>
      <c r="M684" s="255">
        <v>7000.0</v>
      </c>
      <c r="Q684" s="255" t="s">
        <v>2938</v>
      </c>
      <c r="R684" s="255" t="s">
        <v>2938</v>
      </c>
      <c r="T684" s="255">
        <v>450000.0</v>
      </c>
      <c r="V684" s="255">
        <v>0.0</v>
      </c>
      <c r="W684" s="259">
        <v>45729.0</v>
      </c>
      <c r="X684" s="260" t="s">
        <v>2330</v>
      </c>
      <c r="Y684" s="259">
        <v>45719.0</v>
      </c>
      <c r="AB684" s="255">
        <v>761.0</v>
      </c>
      <c r="AD684" s="258" t="s">
        <v>2937</v>
      </c>
      <c r="AE684" s="255" t="s">
        <v>941</v>
      </c>
      <c r="AF684" s="255" t="s">
        <v>2208</v>
      </c>
      <c r="AG684" s="255">
        <v>290.0</v>
      </c>
    </row>
    <row r="685">
      <c r="A685" s="257">
        <v>45714.197770983796</v>
      </c>
      <c r="B685" s="259">
        <v>45714.0</v>
      </c>
      <c r="F685" s="255" t="s">
        <v>2942</v>
      </c>
      <c r="G685" s="255" t="s">
        <v>2943</v>
      </c>
      <c r="H685" s="255">
        <v>8.9164807771E10</v>
      </c>
      <c r="M685" s="255">
        <v>5000.0</v>
      </c>
      <c r="Q685" s="255" t="s">
        <v>2944</v>
      </c>
      <c r="R685" s="255" t="s">
        <v>2943</v>
      </c>
      <c r="T685" s="255">
        <v>450000.0</v>
      </c>
      <c r="V685" s="255">
        <v>1.0</v>
      </c>
      <c r="W685" s="259">
        <v>45714.0</v>
      </c>
      <c r="X685" s="260" t="s">
        <v>2324</v>
      </c>
      <c r="Y685" s="259">
        <v>45721.0</v>
      </c>
      <c r="AB685" s="255">
        <v>847.0</v>
      </c>
      <c r="AD685" s="258" t="s">
        <v>2941</v>
      </c>
      <c r="AE685" s="255" t="s">
        <v>974</v>
      </c>
      <c r="AF685" s="255" t="s">
        <v>2208</v>
      </c>
      <c r="AG685" s="255">
        <v>690.0</v>
      </c>
    </row>
    <row r="686">
      <c r="A686" s="257">
        <v>45714.50660601852</v>
      </c>
      <c r="B686" s="259">
        <v>45714.0</v>
      </c>
      <c r="G686" s="255" t="s">
        <v>2946</v>
      </c>
      <c r="H686" s="255" t="s">
        <v>2947</v>
      </c>
      <c r="M686" s="255">
        <v>3000.0</v>
      </c>
      <c r="Q686" s="255" t="s">
        <v>2207</v>
      </c>
      <c r="R686" s="255" t="s">
        <v>2207</v>
      </c>
      <c r="T686" s="255">
        <v>70000.0</v>
      </c>
      <c r="V686" s="255">
        <v>2.0</v>
      </c>
      <c r="W686" s="259">
        <v>45714.0</v>
      </c>
      <c r="X686" s="260" t="s">
        <v>2265</v>
      </c>
      <c r="Y686" s="259">
        <v>45720.0</v>
      </c>
      <c r="AB686" s="255">
        <v>427.0</v>
      </c>
      <c r="AD686" s="258" t="s">
        <v>2945</v>
      </c>
      <c r="AE686" s="255" t="s">
        <v>98</v>
      </c>
      <c r="AF686" s="255" t="s">
        <v>2208</v>
      </c>
      <c r="AG686" s="255">
        <v>0.0</v>
      </c>
    </row>
    <row r="687">
      <c r="A687" s="257">
        <v>45714.7608259838</v>
      </c>
      <c r="B687" s="259">
        <v>45682.0</v>
      </c>
      <c r="H687" s="255" t="s">
        <v>2770</v>
      </c>
      <c r="M687" s="255" t="s">
        <v>515</v>
      </c>
      <c r="Q687" s="255" t="s">
        <v>2269</v>
      </c>
      <c r="R687" s="255" t="s">
        <v>2269</v>
      </c>
      <c r="T687" s="255">
        <v>540000.0</v>
      </c>
      <c r="U687" s="255">
        <v>11500.0</v>
      </c>
      <c r="V687" s="255">
        <v>2.0</v>
      </c>
      <c r="W687" s="259">
        <v>45683.0</v>
      </c>
      <c r="X687" s="260" t="s">
        <v>2215</v>
      </c>
      <c r="Y687" s="259">
        <v>45714.0</v>
      </c>
      <c r="AC687" s="255">
        <v>53000.0</v>
      </c>
      <c r="AD687" s="258" t="s">
        <v>2948</v>
      </c>
      <c r="AE687" s="255" t="s">
        <v>967</v>
      </c>
      <c r="AF687" s="255" t="s">
        <v>2208</v>
      </c>
      <c r="AG687" s="255">
        <v>0.0</v>
      </c>
    </row>
    <row r="688">
      <c r="A688" s="257">
        <v>45715.13864672453</v>
      </c>
      <c r="B688" s="259">
        <v>45715.0</v>
      </c>
      <c r="G688" s="255" t="s">
        <v>2950</v>
      </c>
      <c r="H688" s="255">
        <v>7.9150060999E10</v>
      </c>
      <c r="M688" s="255">
        <v>3000.0</v>
      </c>
      <c r="Q688" s="255" t="s">
        <v>2950</v>
      </c>
      <c r="R688" s="255" t="s">
        <v>2950</v>
      </c>
      <c r="T688" s="255">
        <v>70000.0</v>
      </c>
      <c r="V688" s="255">
        <v>1.0</v>
      </c>
      <c r="W688" s="259">
        <v>45715.0</v>
      </c>
      <c r="X688" s="260" t="s">
        <v>2221</v>
      </c>
      <c r="Y688" s="259">
        <v>45728.0</v>
      </c>
      <c r="AB688" s="255">
        <v>388.0</v>
      </c>
      <c r="AD688" s="258" t="s">
        <v>2949</v>
      </c>
      <c r="AE688" s="255" t="s">
        <v>114</v>
      </c>
      <c r="AF688" s="255" t="s">
        <v>2208</v>
      </c>
      <c r="AG688" s="255">
        <v>390.0</v>
      </c>
    </row>
    <row r="689">
      <c r="A689" s="257">
        <v>45715.1411033912</v>
      </c>
      <c r="B689" s="259">
        <v>45715.0</v>
      </c>
      <c r="G689" s="255" t="s">
        <v>2950</v>
      </c>
      <c r="H689" s="255">
        <v>7.9150060999E10</v>
      </c>
      <c r="M689" s="255">
        <v>5000.0</v>
      </c>
      <c r="Q689" s="255" t="s">
        <v>2950</v>
      </c>
      <c r="R689" s="255" t="s">
        <v>2950</v>
      </c>
      <c r="T689" s="255">
        <v>400000.0</v>
      </c>
      <c r="V689" s="255">
        <v>1.0</v>
      </c>
      <c r="W689" s="259">
        <v>45715.0</v>
      </c>
      <c r="X689" s="260" t="s">
        <v>2221</v>
      </c>
      <c r="Y689" s="259">
        <v>45728.0</v>
      </c>
      <c r="AB689" s="255">
        <v>683.0</v>
      </c>
      <c r="AD689" s="258" t="s">
        <v>2951</v>
      </c>
      <c r="AE689" s="255" t="s">
        <v>155</v>
      </c>
      <c r="AF689" s="255" t="s">
        <v>2208</v>
      </c>
      <c r="AG689" s="255">
        <v>390.0</v>
      </c>
    </row>
    <row r="690">
      <c r="A690" s="257">
        <v>45715.54994282407</v>
      </c>
      <c r="B690" s="259">
        <v>45715.0</v>
      </c>
      <c r="Q690" s="255" t="s">
        <v>2269</v>
      </c>
      <c r="R690" s="255" t="s">
        <v>2269</v>
      </c>
      <c r="T690" s="255">
        <v>70000.0</v>
      </c>
      <c r="V690" s="255">
        <v>2.0</v>
      </c>
      <c r="W690" s="259">
        <v>45715.0</v>
      </c>
      <c r="X690" s="260" t="s">
        <v>2221</v>
      </c>
      <c r="Y690" s="259">
        <v>45719.0</v>
      </c>
      <c r="AB690" s="255">
        <v>400.0</v>
      </c>
      <c r="AD690" s="258" t="s">
        <v>2952</v>
      </c>
      <c r="AE690" s="255" t="s">
        <v>44</v>
      </c>
      <c r="AF690" s="255" t="s">
        <v>2242</v>
      </c>
    </row>
    <row r="691">
      <c r="A691" s="257">
        <v>45715.7483459838</v>
      </c>
      <c r="B691" s="259">
        <v>45715.0</v>
      </c>
      <c r="G691" s="255" t="s">
        <v>2954</v>
      </c>
      <c r="H691" s="255">
        <v>7.9773618141E10</v>
      </c>
      <c r="M691" s="255">
        <v>3000.0</v>
      </c>
      <c r="Q691" s="255" t="s">
        <v>2207</v>
      </c>
      <c r="R691" s="255" t="s">
        <v>2207</v>
      </c>
      <c r="T691" s="255">
        <v>70000.0</v>
      </c>
      <c r="U691" s="255">
        <v>31000.0</v>
      </c>
      <c r="V691" s="255">
        <v>2.0</v>
      </c>
      <c r="W691" s="259">
        <v>45715.0</v>
      </c>
      <c r="X691" s="260" t="s">
        <v>2246</v>
      </c>
      <c r="Y691" s="259">
        <v>45722.0</v>
      </c>
      <c r="AB691" s="255">
        <v>427.0</v>
      </c>
      <c r="AD691" s="258" t="s">
        <v>2953</v>
      </c>
      <c r="AE691" s="255" t="s">
        <v>77</v>
      </c>
      <c r="AF691" s="255" t="s">
        <v>2208</v>
      </c>
      <c r="AG691" s="255">
        <v>0.0</v>
      </c>
    </row>
    <row r="692">
      <c r="A692" s="257">
        <v>45716.24841392361</v>
      </c>
      <c r="B692" s="259">
        <v>45716.0</v>
      </c>
      <c r="H692" s="255" t="s">
        <v>2956</v>
      </c>
      <c r="M692" s="255" t="s">
        <v>600</v>
      </c>
      <c r="Q692" s="255" t="s">
        <v>2269</v>
      </c>
      <c r="R692" s="255" t="s">
        <v>2269</v>
      </c>
      <c r="T692" s="255">
        <v>400000.0</v>
      </c>
      <c r="V692" s="255">
        <v>3.0</v>
      </c>
      <c r="W692" s="259">
        <v>45716.0</v>
      </c>
      <c r="X692" s="260" t="s">
        <v>2265</v>
      </c>
      <c r="Y692" s="259">
        <v>45719.0</v>
      </c>
      <c r="AB692" s="255">
        <v>1798.0</v>
      </c>
      <c r="AD692" s="258" t="s">
        <v>2955</v>
      </c>
      <c r="AE692" s="255" t="s">
        <v>102</v>
      </c>
      <c r="AF692" s="255" t="s">
        <v>2208</v>
      </c>
      <c r="AG692" s="255">
        <v>0.0</v>
      </c>
    </row>
    <row r="693">
      <c r="A693" s="257">
        <v>45716.24967168982</v>
      </c>
      <c r="B693" s="259">
        <v>45716.0</v>
      </c>
      <c r="H693" s="255" t="s">
        <v>2956</v>
      </c>
      <c r="M693" s="255" t="s">
        <v>600</v>
      </c>
      <c r="Q693" s="255" t="s">
        <v>2269</v>
      </c>
      <c r="R693" s="255" t="s">
        <v>2269</v>
      </c>
      <c r="T693" s="255">
        <v>450000.0</v>
      </c>
      <c r="V693" s="255">
        <v>0.0</v>
      </c>
      <c r="W693" s="259">
        <v>45716.0</v>
      </c>
      <c r="X693" s="260" t="s">
        <v>2265</v>
      </c>
      <c r="Y693" s="259">
        <v>45719.0</v>
      </c>
      <c r="AB693" s="255">
        <v>2298.0</v>
      </c>
      <c r="AD693" s="258" t="s">
        <v>2957</v>
      </c>
      <c r="AE693" s="255" t="s">
        <v>1512</v>
      </c>
      <c r="AF693" s="255" t="s">
        <v>2208</v>
      </c>
      <c r="AG693" s="255">
        <v>0.0</v>
      </c>
    </row>
    <row r="694">
      <c r="A694" s="257">
        <v>45716.46527332176</v>
      </c>
      <c r="B694" s="259">
        <v>45716.0</v>
      </c>
      <c r="G694" s="255" t="s">
        <v>2959</v>
      </c>
      <c r="H694" s="255">
        <v>8.922439109E10</v>
      </c>
      <c r="I694" s="255">
        <v>8.9224120174E10</v>
      </c>
      <c r="M694" s="255">
        <v>3000.0</v>
      </c>
      <c r="Q694" s="255" t="s">
        <v>2959</v>
      </c>
      <c r="R694" s="255" t="s">
        <v>2959</v>
      </c>
      <c r="T694" s="255">
        <v>80000.0</v>
      </c>
      <c r="U694" s="255">
        <v>26490.0</v>
      </c>
      <c r="V694" s="255">
        <v>2.0</v>
      </c>
      <c r="W694" s="259">
        <v>45716.0</v>
      </c>
      <c r="X694" s="260" t="s">
        <v>2330</v>
      </c>
      <c r="Y694" s="259">
        <v>45725.0</v>
      </c>
      <c r="AB694" s="255">
        <v>322.0</v>
      </c>
      <c r="AD694" s="258" t="s">
        <v>2958</v>
      </c>
      <c r="AE694" s="255" t="s">
        <v>26</v>
      </c>
      <c r="AF694" s="255" t="s">
        <v>2270</v>
      </c>
      <c r="AG694" s="255">
        <v>290.0</v>
      </c>
    </row>
    <row r="695">
      <c r="A695" s="257">
        <v>45718.471978194444</v>
      </c>
      <c r="B695" s="259">
        <v>45718.0</v>
      </c>
      <c r="F695" s="255" t="s">
        <v>2961</v>
      </c>
      <c r="G695" s="255" t="s">
        <v>2962</v>
      </c>
      <c r="M695" s="255" t="s">
        <v>2963</v>
      </c>
      <c r="Q695" s="255" t="s">
        <v>2962</v>
      </c>
      <c r="R695" s="255" t="s">
        <v>2962</v>
      </c>
      <c r="T695" s="255">
        <v>540000.0</v>
      </c>
      <c r="U695" s="255">
        <v>14000.0</v>
      </c>
      <c r="V695" s="255">
        <v>2.0</v>
      </c>
      <c r="W695" s="259">
        <v>45718.0</v>
      </c>
      <c r="X695" s="260" t="s">
        <v>2221</v>
      </c>
      <c r="Y695" s="259">
        <v>45726.0</v>
      </c>
      <c r="AB695" s="255">
        <v>2479.0</v>
      </c>
      <c r="AD695" s="258" t="s">
        <v>2960</v>
      </c>
      <c r="AE695" s="255" t="s">
        <v>967</v>
      </c>
      <c r="AF695" s="255" t="s">
        <v>2208</v>
      </c>
      <c r="AG695" s="255">
        <v>190.0</v>
      </c>
    </row>
    <row r="696">
      <c r="A696" s="257">
        <v>45719.40907425926</v>
      </c>
      <c r="B696" s="259">
        <v>45719.0</v>
      </c>
      <c r="F696" s="255" t="s">
        <v>2965</v>
      </c>
      <c r="G696" s="255" t="s">
        <v>2966</v>
      </c>
      <c r="H696" s="255" t="s">
        <v>2967</v>
      </c>
      <c r="M696" s="255">
        <v>7000.0</v>
      </c>
      <c r="Q696" s="255" t="s">
        <v>2968</v>
      </c>
      <c r="R696" s="255" t="s">
        <v>2968</v>
      </c>
      <c r="T696" s="255">
        <v>180000.0</v>
      </c>
      <c r="U696" s="255">
        <v>5400.0</v>
      </c>
      <c r="V696" s="255">
        <v>2.0</v>
      </c>
      <c r="W696" s="259">
        <v>45719.0</v>
      </c>
      <c r="X696" s="260" t="s">
        <v>2330</v>
      </c>
      <c r="Y696" s="259">
        <v>45731.0</v>
      </c>
      <c r="AB696" s="255">
        <v>825.0</v>
      </c>
      <c r="AD696" s="258" t="s">
        <v>2964</v>
      </c>
      <c r="AE696" s="255" t="s">
        <v>928</v>
      </c>
      <c r="AF696" s="255" t="s">
        <v>2208</v>
      </c>
      <c r="AG696" s="255">
        <v>290.0</v>
      </c>
    </row>
    <row r="697">
      <c r="A697" s="257">
        <v>45719.414049976855</v>
      </c>
      <c r="B697" s="259">
        <v>45719.0</v>
      </c>
      <c r="F697" s="255" t="s">
        <v>2965</v>
      </c>
      <c r="G697" s="255" t="s">
        <v>2966</v>
      </c>
      <c r="H697" s="255" t="s">
        <v>2970</v>
      </c>
      <c r="M697" s="255">
        <v>7000.0</v>
      </c>
      <c r="Q697" s="255" t="s">
        <v>2966</v>
      </c>
      <c r="R697" s="255" t="s">
        <v>2966</v>
      </c>
      <c r="U697" s="255">
        <v>11800.0</v>
      </c>
      <c r="V697" s="255">
        <v>1.0</v>
      </c>
      <c r="W697" s="259">
        <v>45719.0</v>
      </c>
      <c r="X697" s="260" t="s">
        <v>2330</v>
      </c>
      <c r="Y697" s="259">
        <v>45731.0</v>
      </c>
      <c r="AB697" s="255">
        <v>825.0</v>
      </c>
      <c r="AD697" s="258" t="s">
        <v>2969</v>
      </c>
      <c r="AE697" s="255" t="s">
        <v>971</v>
      </c>
      <c r="AF697" s="255" t="s">
        <v>2208</v>
      </c>
      <c r="AG697" s="255">
        <v>290.0</v>
      </c>
    </row>
    <row r="698">
      <c r="A698" s="257">
        <v>45719.698733530095</v>
      </c>
      <c r="B698" s="259">
        <v>45719.0</v>
      </c>
      <c r="G698" s="255" t="s">
        <v>2972</v>
      </c>
      <c r="H698" s="255" t="s">
        <v>2973</v>
      </c>
      <c r="M698" s="255">
        <v>15000.0</v>
      </c>
      <c r="Q698" s="255" t="s">
        <v>2974</v>
      </c>
      <c r="R698" s="255" t="s">
        <v>2974</v>
      </c>
      <c r="T698" s="255">
        <v>140000.0</v>
      </c>
      <c r="U698" s="255">
        <v>16745.0</v>
      </c>
      <c r="V698" s="255">
        <v>0.0</v>
      </c>
      <c r="W698" s="259">
        <v>45719.0</v>
      </c>
      <c r="X698" s="260" t="s">
        <v>2246</v>
      </c>
      <c r="Y698" s="259">
        <v>45749.0</v>
      </c>
      <c r="AC698" s="255">
        <v>15900.0</v>
      </c>
      <c r="AD698" s="258" t="s">
        <v>2971</v>
      </c>
      <c r="AF698" s="255" t="s">
        <v>2208</v>
      </c>
      <c r="AG698" s="255">
        <v>590.0</v>
      </c>
    </row>
    <row r="699">
      <c r="A699" s="257">
        <v>45720.610831655096</v>
      </c>
      <c r="B699" s="259">
        <v>45720.0</v>
      </c>
      <c r="G699" s="255" t="s">
        <v>2976</v>
      </c>
      <c r="H699" s="255" t="s">
        <v>2977</v>
      </c>
      <c r="M699" s="255">
        <v>7000.0</v>
      </c>
      <c r="Q699" s="255" t="s">
        <v>2207</v>
      </c>
      <c r="R699" s="255" t="s">
        <v>2207</v>
      </c>
      <c r="T699" s="255">
        <v>180000.0</v>
      </c>
      <c r="V699" s="255">
        <v>2.0</v>
      </c>
      <c r="W699" s="259">
        <v>45720.0</v>
      </c>
      <c r="X699" s="260" t="s">
        <v>2235</v>
      </c>
      <c r="Y699" s="259">
        <v>45367.0</v>
      </c>
      <c r="AB699" s="255">
        <v>825.0</v>
      </c>
      <c r="AD699" s="258" t="s">
        <v>2975</v>
      </c>
      <c r="AE699" s="255" t="s">
        <v>960</v>
      </c>
      <c r="AF699" s="255" t="s">
        <v>2208</v>
      </c>
      <c r="AG699" s="255">
        <v>0.0</v>
      </c>
    </row>
    <row r="700">
      <c r="A700" s="257">
        <v>45720.62346015046</v>
      </c>
      <c r="B700" s="259">
        <v>45720.0</v>
      </c>
      <c r="G700" s="255" t="s">
        <v>2976</v>
      </c>
      <c r="H700" s="255" t="s">
        <v>2977</v>
      </c>
      <c r="M700" s="255">
        <v>7000.0</v>
      </c>
      <c r="Q700" s="255" t="s">
        <v>2207</v>
      </c>
      <c r="R700" s="255" t="s">
        <v>2207</v>
      </c>
      <c r="T700" s="255">
        <v>180000.0</v>
      </c>
      <c r="V700" s="255">
        <v>2.0</v>
      </c>
      <c r="W700" s="259">
        <v>45720.0</v>
      </c>
      <c r="X700" s="260" t="s">
        <v>2235</v>
      </c>
      <c r="Y700" s="259">
        <v>45732.0</v>
      </c>
      <c r="AB700" s="255">
        <v>825.0</v>
      </c>
      <c r="AD700" s="258" t="s">
        <v>2978</v>
      </c>
      <c r="AE700" s="255" t="s">
        <v>960</v>
      </c>
      <c r="AF700" s="255" t="s">
        <v>2208</v>
      </c>
      <c r="AG700" s="255">
        <v>0.0</v>
      </c>
    </row>
    <row r="701">
      <c r="A701" s="257">
        <v>45721.61224533565</v>
      </c>
      <c r="B701" s="259">
        <v>45721.0</v>
      </c>
      <c r="G701" s="255" t="s">
        <v>2980</v>
      </c>
      <c r="H701" s="255">
        <v>7.9831566599E10</v>
      </c>
      <c r="M701" s="255">
        <v>3000.0</v>
      </c>
      <c r="Q701" s="255" t="s">
        <v>2207</v>
      </c>
      <c r="R701" s="255" t="s">
        <v>2207</v>
      </c>
      <c r="V701" s="255">
        <v>2.0</v>
      </c>
      <c r="W701" s="259">
        <v>45721.0</v>
      </c>
      <c r="X701" s="260" t="s">
        <v>2235</v>
      </c>
      <c r="AD701" s="258" t="s">
        <v>2979</v>
      </c>
      <c r="AF701" s="255" t="s">
        <v>2208</v>
      </c>
      <c r="AG701" s="255">
        <v>0.0</v>
      </c>
    </row>
    <row r="702">
      <c r="A702" s="257">
        <v>45722.226138530095</v>
      </c>
      <c r="B702" s="259">
        <v>45722.0</v>
      </c>
      <c r="F702" s="255" t="s">
        <v>2982</v>
      </c>
      <c r="M702" s="255">
        <v>20000.0</v>
      </c>
      <c r="Q702" s="255" t="s">
        <v>2269</v>
      </c>
      <c r="R702" s="255" t="s">
        <v>2269</v>
      </c>
      <c r="T702" s="255">
        <v>450000.0</v>
      </c>
      <c r="V702" s="255">
        <v>1.0</v>
      </c>
      <c r="W702" s="259">
        <v>45722.0</v>
      </c>
      <c r="X702" s="260" t="s">
        <v>2215</v>
      </c>
      <c r="Y702" s="259">
        <v>45725.0</v>
      </c>
      <c r="AB702" s="255">
        <v>1798.0</v>
      </c>
      <c r="AD702" s="258" t="s">
        <v>2981</v>
      </c>
      <c r="AE702" s="255" t="s">
        <v>916</v>
      </c>
      <c r="AF702" s="255" t="s">
        <v>2208</v>
      </c>
      <c r="AG702" s="255">
        <v>0.0</v>
      </c>
    </row>
    <row r="703">
      <c r="A703" s="257">
        <v>45722.226921203706</v>
      </c>
      <c r="B703" s="259">
        <v>45722.0</v>
      </c>
      <c r="F703" s="255" t="s">
        <v>2982</v>
      </c>
      <c r="M703" s="255">
        <v>20000.0</v>
      </c>
      <c r="Q703" s="255" t="s">
        <v>2269</v>
      </c>
      <c r="R703" s="255" t="s">
        <v>2269</v>
      </c>
      <c r="T703" s="255">
        <v>450000.0</v>
      </c>
      <c r="V703" s="255">
        <v>1.0</v>
      </c>
      <c r="W703" s="259">
        <v>45722.0</v>
      </c>
      <c r="X703" s="260" t="s">
        <v>2215</v>
      </c>
      <c r="Y703" s="259">
        <v>45725.0</v>
      </c>
      <c r="AB703" s="255">
        <v>1798.0</v>
      </c>
      <c r="AD703" s="258" t="s">
        <v>2983</v>
      </c>
      <c r="AE703" s="255" t="s">
        <v>102</v>
      </c>
      <c r="AF703" s="255" t="s">
        <v>2208</v>
      </c>
      <c r="AG703" s="255">
        <v>0.0</v>
      </c>
    </row>
    <row r="704">
      <c r="A704" s="257">
        <v>45722.795248090275</v>
      </c>
      <c r="B704" s="259">
        <v>45722.0</v>
      </c>
      <c r="G704" s="255" t="s">
        <v>2985</v>
      </c>
      <c r="H704" s="255">
        <v>7.9996859998E10</v>
      </c>
      <c r="M704" s="255">
        <v>3000.0</v>
      </c>
      <c r="Q704" s="255" t="s">
        <v>2207</v>
      </c>
      <c r="R704" s="255" t="s">
        <v>2207</v>
      </c>
      <c r="T704" s="255">
        <v>70000.0</v>
      </c>
      <c r="U704" s="255">
        <v>29000.0</v>
      </c>
      <c r="V704" s="255">
        <v>2.0</v>
      </c>
      <c r="W704" s="259">
        <v>45722.0</v>
      </c>
      <c r="X704" s="260" t="s">
        <v>2250</v>
      </c>
      <c r="Y704" s="259">
        <v>45731.0</v>
      </c>
      <c r="AB704" s="255">
        <v>393.0</v>
      </c>
      <c r="AD704" s="258" t="s">
        <v>2984</v>
      </c>
      <c r="AE704" s="255" t="s">
        <v>98</v>
      </c>
      <c r="AF704" s="255" t="s">
        <v>2320</v>
      </c>
    </row>
    <row r="705">
      <c r="A705" s="257">
        <v>45723.55457583333</v>
      </c>
      <c r="B705" s="259">
        <v>45723.0</v>
      </c>
      <c r="F705" s="255" t="s">
        <v>2987</v>
      </c>
      <c r="G705" s="255" t="s">
        <v>2988</v>
      </c>
      <c r="H705" s="255" t="s">
        <v>2989</v>
      </c>
      <c r="M705" s="255">
        <v>5000.0</v>
      </c>
      <c r="Q705" s="255" t="s">
        <v>2269</v>
      </c>
      <c r="R705" s="255" t="s">
        <v>2269</v>
      </c>
      <c r="T705" s="255">
        <v>120000.0</v>
      </c>
      <c r="U705" s="255">
        <v>24073.0</v>
      </c>
      <c r="V705" s="255">
        <v>2.0</v>
      </c>
      <c r="W705" s="259">
        <v>45723.0</v>
      </c>
      <c r="X705" s="260" t="s">
        <v>2221</v>
      </c>
      <c r="Y705" s="259">
        <v>45730.0</v>
      </c>
      <c r="AB705" s="255">
        <v>623.0</v>
      </c>
      <c r="AD705" s="258" t="s">
        <v>2986</v>
      </c>
      <c r="AE705" s="255" t="s">
        <v>202</v>
      </c>
      <c r="AF705" s="255" t="s">
        <v>2208</v>
      </c>
      <c r="AG705" s="255">
        <v>0.0</v>
      </c>
    </row>
    <row r="706">
      <c r="A706" s="257">
        <v>45723.57029125</v>
      </c>
      <c r="B706" s="259">
        <v>45723.0</v>
      </c>
      <c r="F706" s="255" t="s">
        <v>2987</v>
      </c>
      <c r="G706" s="255" t="s">
        <v>2988</v>
      </c>
      <c r="H706" s="255" t="s">
        <v>2989</v>
      </c>
      <c r="M706" s="255">
        <v>5000.0</v>
      </c>
      <c r="Q706" s="255" t="s">
        <v>2207</v>
      </c>
      <c r="R706" s="255" t="s">
        <v>2207</v>
      </c>
      <c r="T706" s="255">
        <v>180000.0</v>
      </c>
      <c r="V706" s="255">
        <v>2.0</v>
      </c>
      <c r="W706" s="259">
        <v>45723.0</v>
      </c>
      <c r="X706" s="260" t="s">
        <v>2215</v>
      </c>
      <c r="Y706" s="259">
        <v>45730.0</v>
      </c>
      <c r="AB706" s="255">
        <v>714.0</v>
      </c>
      <c r="AD706" s="258" t="s">
        <v>2990</v>
      </c>
      <c r="AE706" s="255" t="s">
        <v>1065</v>
      </c>
      <c r="AF706" s="255" t="s">
        <v>2208</v>
      </c>
      <c r="AG706" s="255">
        <v>0.0</v>
      </c>
    </row>
    <row r="707">
      <c r="A707" s="257">
        <v>45723.57612324074</v>
      </c>
      <c r="B707" s="259">
        <v>45723.0</v>
      </c>
      <c r="F707" s="255" t="s">
        <v>2992</v>
      </c>
      <c r="G707" s="255" t="s">
        <v>2993</v>
      </c>
      <c r="H707" s="255" t="s">
        <v>2994</v>
      </c>
      <c r="M707" s="255" t="s">
        <v>515</v>
      </c>
      <c r="Q707" s="255" t="s">
        <v>2993</v>
      </c>
      <c r="R707" s="255" t="s">
        <v>2993</v>
      </c>
      <c r="T707" s="255">
        <v>300000.0</v>
      </c>
      <c r="V707" s="255">
        <v>2.0</v>
      </c>
      <c r="W707" s="259">
        <v>45723.0</v>
      </c>
      <c r="X707" s="260" t="s">
        <v>2215</v>
      </c>
      <c r="Y707" s="259">
        <v>45726.0</v>
      </c>
      <c r="AB707" s="255">
        <v>1618.0</v>
      </c>
      <c r="AD707" s="258" t="s">
        <v>2991</v>
      </c>
      <c r="AE707" s="255" t="s">
        <v>102</v>
      </c>
      <c r="AF707" s="255" t="s">
        <v>2208</v>
      </c>
      <c r="AG707" s="255">
        <v>146.0</v>
      </c>
    </row>
    <row r="708">
      <c r="A708" s="257">
        <v>45724.32536199074</v>
      </c>
      <c r="B708" s="259">
        <v>45724.0</v>
      </c>
      <c r="F708" s="255" t="s">
        <v>2996</v>
      </c>
      <c r="H708" s="255">
        <v>8.9068041804E10</v>
      </c>
      <c r="M708" s="255">
        <v>3000.0</v>
      </c>
      <c r="Q708" s="255" t="s">
        <v>2269</v>
      </c>
      <c r="R708" s="255" t="s">
        <v>2269</v>
      </c>
      <c r="T708" s="255">
        <v>70000.0</v>
      </c>
      <c r="V708" s="255">
        <v>1.0</v>
      </c>
      <c r="W708" s="259">
        <v>45724.0</v>
      </c>
      <c r="X708" s="260" t="s">
        <v>2262</v>
      </c>
      <c r="Y708" s="259">
        <v>45730.0</v>
      </c>
      <c r="AB708" s="255">
        <v>384.0</v>
      </c>
      <c r="AD708" s="258" t="s">
        <v>2995</v>
      </c>
      <c r="AE708" s="255" t="s">
        <v>44</v>
      </c>
      <c r="AF708" s="255" t="s">
        <v>2208</v>
      </c>
      <c r="AG708" s="255">
        <v>0.0</v>
      </c>
    </row>
    <row r="709">
      <c r="A709" s="257">
        <v>45724.492257418984</v>
      </c>
      <c r="B709" s="259">
        <v>45359.0</v>
      </c>
      <c r="F709" s="255" t="s">
        <v>2998</v>
      </c>
      <c r="G709" s="255" t="s">
        <v>2999</v>
      </c>
      <c r="H709" s="255">
        <v>6.34593266E8</v>
      </c>
      <c r="M709" s="255" t="s">
        <v>430</v>
      </c>
      <c r="Q709" s="255" t="s">
        <v>2269</v>
      </c>
      <c r="R709" s="255" t="s">
        <v>2269</v>
      </c>
      <c r="T709" s="255">
        <v>180000.0</v>
      </c>
      <c r="U709" s="255">
        <v>49148.0</v>
      </c>
      <c r="V709" s="255">
        <v>2.0</v>
      </c>
      <c r="W709" s="259">
        <v>45724.0</v>
      </c>
      <c r="X709" s="260" t="s">
        <v>2265</v>
      </c>
      <c r="Y709" s="259">
        <v>45726.0</v>
      </c>
      <c r="AB709" s="255">
        <v>1500.0</v>
      </c>
      <c r="AD709" s="258" t="s">
        <v>2997</v>
      </c>
      <c r="AE709" s="255" t="s">
        <v>102</v>
      </c>
      <c r="AF709" s="255" t="s">
        <v>2208</v>
      </c>
      <c r="AG709" s="255">
        <v>0.0</v>
      </c>
    </row>
    <row r="710">
      <c r="A710" s="257">
        <v>45724.50464230324</v>
      </c>
      <c r="B710" s="259">
        <v>45724.0</v>
      </c>
      <c r="F710" s="255" t="s">
        <v>2998</v>
      </c>
      <c r="G710" s="255" t="s">
        <v>3001</v>
      </c>
      <c r="H710" s="255">
        <v>6.34593266E8</v>
      </c>
      <c r="M710" s="255" t="s">
        <v>1502</v>
      </c>
      <c r="Q710" s="255" t="s">
        <v>2269</v>
      </c>
      <c r="R710" s="255" t="s">
        <v>2269</v>
      </c>
      <c r="T710" s="255">
        <v>180000.0</v>
      </c>
      <c r="U710" s="255">
        <v>49148.0</v>
      </c>
      <c r="V710" s="255">
        <v>2.0</v>
      </c>
      <c r="W710" s="259">
        <v>45724.0</v>
      </c>
      <c r="X710" s="260" t="s">
        <v>2265</v>
      </c>
      <c r="Y710" s="259">
        <v>45726.0</v>
      </c>
      <c r="AB710" s="255">
        <v>1500.0</v>
      </c>
      <c r="AD710" s="258" t="s">
        <v>3000</v>
      </c>
      <c r="AE710" s="255" t="s">
        <v>102</v>
      </c>
      <c r="AF710" s="255" t="s">
        <v>2208</v>
      </c>
      <c r="AG710" s="255">
        <v>0.0</v>
      </c>
    </row>
    <row r="711">
      <c r="A711" s="257">
        <v>45727.55241765046</v>
      </c>
      <c r="B711" s="259">
        <v>45727.0</v>
      </c>
      <c r="F711" s="255" t="s">
        <v>3003</v>
      </c>
      <c r="G711" s="255" t="s">
        <v>3004</v>
      </c>
      <c r="H711" s="255" t="s">
        <v>3005</v>
      </c>
      <c r="M711" s="255">
        <v>7000.0</v>
      </c>
      <c r="Q711" s="255" t="s">
        <v>3004</v>
      </c>
      <c r="R711" s="255" t="s">
        <v>3004</v>
      </c>
      <c r="T711" s="255">
        <v>180000.0</v>
      </c>
      <c r="V711" s="255">
        <v>2.0</v>
      </c>
      <c r="W711" s="259">
        <v>45727.0</v>
      </c>
      <c r="X711" s="260" t="s">
        <v>2246</v>
      </c>
      <c r="Y711" s="259">
        <v>45732.0</v>
      </c>
      <c r="AB711" s="255">
        <v>798.0</v>
      </c>
      <c r="AD711" s="258" t="s">
        <v>3002</v>
      </c>
      <c r="AE711" s="255" t="s">
        <v>941</v>
      </c>
      <c r="AF711" s="255" t="s">
        <v>2208</v>
      </c>
      <c r="AG711" s="255">
        <v>390.0</v>
      </c>
    </row>
    <row r="712">
      <c r="A712" s="257">
        <v>45727.6919408449</v>
      </c>
      <c r="B712" s="259">
        <v>45727.0</v>
      </c>
      <c r="F712" s="255" t="s">
        <v>3007</v>
      </c>
      <c r="G712" s="255" t="s">
        <v>3008</v>
      </c>
      <c r="M712" s="255" t="s">
        <v>600</v>
      </c>
      <c r="Q712" s="255" t="s">
        <v>2269</v>
      </c>
      <c r="R712" s="255" t="s">
        <v>2269</v>
      </c>
      <c r="T712" s="255">
        <v>400000.0</v>
      </c>
      <c r="V712" s="255">
        <v>2.0</v>
      </c>
      <c r="W712" s="259">
        <v>45727.0</v>
      </c>
      <c r="X712" s="260" t="s">
        <v>2246</v>
      </c>
      <c r="Y712" s="259">
        <v>45729.0</v>
      </c>
      <c r="AB712" s="255">
        <v>1600.0</v>
      </c>
      <c r="AD712" s="258" t="s">
        <v>3006</v>
      </c>
      <c r="AE712" s="255" t="s">
        <v>916</v>
      </c>
      <c r="AF712" s="255" t="s">
        <v>2208</v>
      </c>
      <c r="AG712" s="255">
        <v>0.0</v>
      </c>
    </row>
    <row r="713">
      <c r="A713" s="257">
        <v>45728.23760310185</v>
      </c>
      <c r="B713" s="259">
        <v>45728.0</v>
      </c>
      <c r="F713" s="255" t="s">
        <v>3010</v>
      </c>
      <c r="G713" s="255" t="s">
        <v>3011</v>
      </c>
      <c r="H713" s="255" t="s">
        <v>3012</v>
      </c>
      <c r="I713" s="255" t="s">
        <v>3013</v>
      </c>
      <c r="M713" s="255">
        <v>8000.0</v>
      </c>
      <c r="Q713" s="255" t="s">
        <v>3011</v>
      </c>
      <c r="R713" s="255" t="s">
        <v>3011</v>
      </c>
      <c r="T713" s="255">
        <v>70000.0</v>
      </c>
      <c r="V713" s="255">
        <v>2.0</v>
      </c>
      <c r="W713" s="259">
        <v>45728.0</v>
      </c>
      <c r="X713" s="260" t="s">
        <v>2265</v>
      </c>
      <c r="Y713" s="259">
        <v>45739.0</v>
      </c>
      <c r="AB713" s="255">
        <v>451.0</v>
      </c>
      <c r="AD713" s="258" t="s">
        <v>3009</v>
      </c>
      <c r="AE713" s="255" t="s">
        <v>173</v>
      </c>
      <c r="AF713" s="255" t="s">
        <v>2208</v>
      </c>
      <c r="AG713" s="255">
        <v>0.0</v>
      </c>
    </row>
    <row r="714">
      <c r="A714" s="257">
        <v>45729.24229592593</v>
      </c>
      <c r="B714" s="259">
        <v>45729.0</v>
      </c>
      <c r="F714" s="255" t="s">
        <v>3015</v>
      </c>
      <c r="G714" s="255" t="s">
        <v>2501</v>
      </c>
      <c r="H714" s="255" t="s">
        <v>3016</v>
      </c>
      <c r="I714" s="255" t="s">
        <v>3017</v>
      </c>
      <c r="M714" s="255">
        <v>3000.0</v>
      </c>
      <c r="Q714" s="255" t="s">
        <v>2533</v>
      </c>
      <c r="R714" s="255" t="s">
        <v>2533</v>
      </c>
      <c r="T714" s="255">
        <v>70000.0</v>
      </c>
      <c r="V714" s="255">
        <v>2.0</v>
      </c>
      <c r="W714" s="259">
        <v>45729.0</v>
      </c>
      <c r="X714" s="260" t="s">
        <v>2265</v>
      </c>
      <c r="Y714" s="259">
        <v>45734.0</v>
      </c>
      <c r="AB714" s="255">
        <v>350.0</v>
      </c>
      <c r="AD714" s="258" t="s">
        <v>3014</v>
      </c>
      <c r="AE714" s="255" t="s">
        <v>44</v>
      </c>
      <c r="AF714" s="255" t="s">
        <v>2208</v>
      </c>
      <c r="AG714" s="255">
        <v>290.0</v>
      </c>
    </row>
    <row r="715">
      <c r="A715" s="257">
        <v>45729.49963085648</v>
      </c>
      <c r="B715" s="259">
        <v>45729.0</v>
      </c>
      <c r="F715" s="255" t="s">
        <v>3018</v>
      </c>
      <c r="G715" s="255" t="s">
        <v>3019</v>
      </c>
      <c r="M715" s="255" t="s">
        <v>985</v>
      </c>
      <c r="Q715" s="255" t="s">
        <v>3019</v>
      </c>
      <c r="R715" s="255" t="s">
        <v>3019</v>
      </c>
      <c r="T715" s="255">
        <v>19000.0</v>
      </c>
      <c r="U715" s="255">
        <v>6000.0</v>
      </c>
      <c r="V715" s="255">
        <v>2.0</v>
      </c>
      <c r="W715" s="259">
        <v>45729.0</v>
      </c>
      <c r="X715" s="260" t="s">
        <v>2330</v>
      </c>
      <c r="Y715" s="259">
        <v>45734.0</v>
      </c>
      <c r="AB715" s="255">
        <v>704.0</v>
      </c>
      <c r="AE715" s="255" t="s">
        <v>974</v>
      </c>
      <c r="AF715" s="255" t="s">
        <v>2208</v>
      </c>
      <c r="AG715" s="255">
        <v>190.0</v>
      </c>
    </row>
    <row r="716">
      <c r="A716" s="257">
        <v>45729.549271296295</v>
      </c>
      <c r="B716" s="259">
        <v>45729.0</v>
      </c>
      <c r="G716" s="255" t="s">
        <v>3021</v>
      </c>
      <c r="H716" s="255" t="s">
        <v>3018</v>
      </c>
      <c r="M716" s="255">
        <v>7000.0</v>
      </c>
      <c r="Q716" s="255" t="s">
        <v>3021</v>
      </c>
      <c r="R716" s="255" t="s">
        <v>3021</v>
      </c>
      <c r="T716" s="255">
        <v>1500.0</v>
      </c>
      <c r="V716" s="255">
        <v>2.0</v>
      </c>
      <c r="W716" s="259">
        <v>45729.0</v>
      </c>
      <c r="X716" s="260" t="s">
        <v>2221</v>
      </c>
      <c r="Y716" s="259">
        <v>45734.0</v>
      </c>
      <c r="AB716" s="255">
        <v>704.0</v>
      </c>
      <c r="AD716" s="258" t="s">
        <v>3020</v>
      </c>
      <c r="AE716" s="255" t="s">
        <v>974</v>
      </c>
      <c r="AF716" s="255" t="s">
        <v>2208</v>
      </c>
      <c r="AG716" s="255">
        <v>200.0</v>
      </c>
    </row>
    <row r="717">
      <c r="A717" s="257">
        <v>45731.71837969907</v>
      </c>
      <c r="B717" s="259">
        <v>45731.0</v>
      </c>
      <c r="F717" s="255" t="s">
        <v>3023</v>
      </c>
      <c r="G717" s="255" t="s">
        <v>3024</v>
      </c>
      <c r="H717" s="255" t="s">
        <v>3025</v>
      </c>
      <c r="M717" s="255">
        <v>3000.0</v>
      </c>
      <c r="Q717" s="255" t="s">
        <v>3024</v>
      </c>
      <c r="R717" s="255" t="s">
        <v>3024</v>
      </c>
      <c r="T717" s="255">
        <v>70000.0</v>
      </c>
      <c r="V717" s="255">
        <v>2.0</v>
      </c>
      <c r="W717" s="259">
        <v>45732.0</v>
      </c>
      <c r="X717" s="260" t="s">
        <v>2265</v>
      </c>
      <c r="Y717" s="259">
        <v>45746.0</v>
      </c>
      <c r="AB717" s="255">
        <v>305.0</v>
      </c>
      <c r="AD717" s="258" t="s">
        <v>3022</v>
      </c>
      <c r="AE717" s="255" t="s">
        <v>151</v>
      </c>
      <c r="AF717" s="255" t="s">
        <v>2208</v>
      </c>
      <c r="AG717" s="255">
        <v>590.0</v>
      </c>
    </row>
    <row r="718">
      <c r="A718" s="257">
        <v>45731.72980128472</v>
      </c>
      <c r="B718" s="259">
        <v>45731.0</v>
      </c>
      <c r="F718" s="255" t="s">
        <v>3023</v>
      </c>
      <c r="G718" s="255" t="s">
        <v>3027</v>
      </c>
      <c r="H718" s="255" t="s">
        <v>3025</v>
      </c>
      <c r="M718" s="255">
        <v>3000.0</v>
      </c>
      <c r="Q718" s="255" t="s">
        <v>3027</v>
      </c>
      <c r="R718" s="255" t="s">
        <v>3027</v>
      </c>
      <c r="T718" s="255">
        <v>70000.0</v>
      </c>
      <c r="V718" s="255">
        <v>2.0</v>
      </c>
      <c r="W718" s="259">
        <v>45732.0</v>
      </c>
      <c r="X718" s="260" t="s">
        <v>2265</v>
      </c>
      <c r="Y718" s="259">
        <v>45746.0</v>
      </c>
      <c r="AB718" s="255">
        <v>305.0</v>
      </c>
      <c r="AD718" s="258" t="s">
        <v>3026</v>
      </c>
      <c r="AE718" s="255" t="s">
        <v>151</v>
      </c>
      <c r="AF718" s="255" t="s">
        <v>2208</v>
      </c>
      <c r="AG718" s="255">
        <v>590.0</v>
      </c>
    </row>
    <row r="719">
      <c r="A719" s="257">
        <v>45732.96917483796</v>
      </c>
      <c r="B719" s="259">
        <v>45732.0</v>
      </c>
      <c r="F719" s="255" t="s">
        <v>3029</v>
      </c>
      <c r="G719" s="255" t="s">
        <v>3030</v>
      </c>
      <c r="M719" s="255" t="s">
        <v>912</v>
      </c>
      <c r="Q719" s="255" t="s">
        <v>2207</v>
      </c>
      <c r="R719" s="255" t="s">
        <v>2207</v>
      </c>
      <c r="T719" s="255">
        <v>70000.0</v>
      </c>
      <c r="U719" s="255">
        <v>29310.0</v>
      </c>
      <c r="V719" s="255">
        <v>2.0</v>
      </c>
      <c r="W719" s="259">
        <v>45732.0</v>
      </c>
      <c r="X719" s="260" t="s">
        <v>2250</v>
      </c>
      <c r="Y719" s="259">
        <v>45740.0</v>
      </c>
      <c r="AB719" s="255">
        <v>336.0</v>
      </c>
      <c r="AD719" s="258" t="s">
        <v>3028</v>
      </c>
      <c r="AE719" s="255" t="s">
        <v>48</v>
      </c>
      <c r="AF719" s="255" t="s">
        <v>2208</v>
      </c>
      <c r="AG719" s="255">
        <v>0.0</v>
      </c>
    </row>
    <row r="720">
      <c r="A720" s="257">
        <v>45732.97435863426</v>
      </c>
      <c r="B720" s="259">
        <v>45732.0</v>
      </c>
      <c r="F720" s="255" t="s">
        <v>3029</v>
      </c>
      <c r="G720" s="255" t="s">
        <v>3030</v>
      </c>
      <c r="M720" s="255" t="s">
        <v>912</v>
      </c>
      <c r="Q720" s="255" t="s">
        <v>2207</v>
      </c>
      <c r="R720" s="255" t="s">
        <v>2207</v>
      </c>
      <c r="T720" s="255">
        <v>70000.0</v>
      </c>
      <c r="U720" s="255">
        <v>29200.0</v>
      </c>
      <c r="V720" s="255">
        <v>2.0</v>
      </c>
      <c r="W720" s="259">
        <v>45732.0</v>
      </c>
      <c r="X720" s="260" t="s">
        <v>2250</v>
      </c>
      <c r="Y720" s="259">
        <v>45740.0</v>
      </c>
      <c r="AB720" s="255">
        <v>336.0</v>
      </c>
      <c r="AD720" s="262" t="s">
        <v>3031</v>
      </c>
      <c r="AE720" s="255" t="s">
        <v>48</v>
      </c>
      <c r="AF720" s="255" t="s">
        <v>2208</v>
      </c>
      <c r="AG720" s="255">
        <v>0.0</v>
      </c>
    </row>
    <row r="721">
      <c r="A721" s="257">
        <v>45733.024577881944</v>
      </c>
      <c r="B721" s="259">
        <v>45732.0</v>
      </c>
      <c r="F721" s="255" t="s">
        <v>3029</v>
      </c>
      <c r="G721" s="255" t="s">
        <v>3030</v>
      </c>
      <c r="M721" s="255" t="s">
        <v>912</v>
      </c>
      <c r="Q721" s="255" t="s">
        <v>2207</v>
      </c>
      <c r="R721" s="255" t="s">
        <v>2207</v>
      </c>
      <c r="T721" s="255">
        <v>70000.0</v>
      </c>
      <c r="U721" s="255">
        <v>31500.0</v>
      </c>
      <c r="V721" s="255">
        <v>2.0</v>
      </c>
      <c r="W721" s="259">
        <v>45732.0</v>
      </c>
      <c r="X721" s="260" t="s">
        <v>2250</v>
      </c>
      <c r="Y721" s="259">
        <v>45740.0</v>
      </c>
      <c r="AD721" s="258" t="s">
        <v>3032</v>
      </c>
      <c r="AE721" s="255" t="s">
        <v>77</v>
      </c>
      <c r="AF721" s="255" t="s">
        <v>2279</v>
      </c>
      <c r="AG721" s="255">
        <v>0.0</v>
      </c>
    </row>
    <row r="722">
      <c r="A722" s="257">
        <v>45733.18814167824</v>
      </c>
      <c r="B722" s="259">
        <v>45733.0</v>
      </c>
      <c r="F722" s="255" t="s">
        <v>2965</v>
      </c>
      <c r="G722" s="255" t="s">
        <v>2966</v>
      </c>
      <c r="H722" s="255" t="s">
        <v>2967</v>
      </c>
      <c r="M722" s="255">
        <v>7000.0</v>
      </c>
      <c r="Q722" s="255" t="s">
        <v>2966</v>
      </c>
      <c r="R722" s="255" t="s">
        <v>2966</v>
      </c>
      <c r="T722" s="255">
        <v>180000.0</v>
      </c>
      <c r="V722" s="255">
        <v>1.0</v>
      </c>
      <c r="W722" s="259">
        <v>45733.0</v>
      </c>
      <c r="X722" s="260" t="s">
        <v>2330</v>
      </c>
      <c r="Y722" s="259">
        <v>45738.0</v>
      </c>
      <c r="AB722" s="255">
        <v>750.0</v>
      </c>
      <c r="AD722" s="258" t="s">
        <v>3033</v>
      </c>
      <c r="AE722" s="255" t="s">
        <v>960</v>
      </c>
      <c r="AF722" s="255" t="s">
        <v>2208</v>
      </c>
      <c r="AG722" s="255">
        <v>290.0</v>
      </c>
    </row>
    <row r="723">
      <c r="A723" s="257">
        <v>45733.18951193287</v>
      </c>
      <c r="B723" s="259">
        <v>45733.0</v>
      </c>
      <c r="F723" s="255" t="s">
        <v>2965</v>
      </c>
      <c r="G723" s="255" t="s">
        <v>2966</v>
      </c>
      <c r="H723" s="255" t="s">
        <v>2970</v>
      </c>
      <c r="M723" s="255">
        <v>7000.0</v>
      </c>
      <c r="Q723" s="255" t="s">
        <v>2966</v>
      </c>
      <c r="R723" s="255" t="s">
        <v>2966</v>
      </c>
      <c r="T723" s="255">
        <v>180000.0</v>
      </c>
      <c r="V723" s="255">
        <v>1.0</v>
      </c>
      <c r="W723" s="259">
        <v>45733.0</v>
      </c>
      <c r="X723" s="260" t="s">
        <v>2330</v>
      </c>
      <c r="Y723" s="259">
        <v>45738.0</v>
      </c>
      <c r="AB723" s="255">
        <v>750.0</v>
      </c>
      <c r="AD723" s="258" t="s">
        <v>3034</v>
      </c>
      <c r="AE723" s="255" t="s">
        <v>946</v>
      </c>
      <c r="AF723" s="255" t="s">
        <v>2208</v>
      </c>
      <c r="AG723" s="255">
        <v>290.0</v>
      </c>
    </row>
    <row r="724">
      <c r="A724" s="257">
        <v>45733.4667571875</v>
      </c>
      <c r="B724" s="259">
        <v>45733.0</v>
      </c>
      <c r="G724" s="255" t="s">
        <v>3036</v>
      </c>
      <c r="H724" s="255" t="s">
        <v>3037</v>
      </c>
      <c r="M724" s="255">
        <v>3000.0</v>
      </c>
      <c r="Q724" s="255" t="s">
        <v>2207</v>
      </c>
      <c r="R724" s="255" t="s">
        <v>2207</v>
      </c>
      <c r="U724" s="255">
        <v>29500.0</v>
      </c>
      <c r="V724" s="255">
        <v>2.0</v>
      </c>
      <c r="W724" s="259">
        <v>45733.0</v>
      </c>
      <c r="X724" s="260" t="s">
        <v>2265</v>
      </c>
      <c r="Y724" s="259">
        <v>45745.0</v>
      </c>
      <c r="AB724" s="255">
        <v>355.0</v>
      </c>
      <c r="AD724" s="258" t="s">
        <v>3035</v>
      </c>
      <c r="AE724" s="255" t="s">
        <v>98</v>
      </c>
      <c r="AF724" s="255" t="s">
        <v>2270</v>
      </c>
      <c r="AG724" s="255">
        <v>0.0</v>
      </c>
    </row>
    <row r="725">
      <c r="A725" s="257">
        <v>45733.48402609954</v>
      </c>
      <c r="B725" s="259">
        <v>45733.0</v>
      </c>
      <c r="F725" s="255" t="s">
        <v>3039</v>
      </c>
      <c r="G725" s="255" t="s">
        <v>3040</v>
      </c>
      <c r="H725" s="255" t="s">
        <v>3041</v>
      </c>
      <c r="M725" s="255" t="s">
        <v>1502</v>
      </c>
      <c r="Q725" s="255" t="s">
        <v>2207</v>
      </c>
      <c r="R725" s="255" t="s">
        <v>2207</v>
      </c>
      <c r="T725" s="255">
        <v>500000.0</v>
      </c>
      <c r="U725" s="255">
        <v>12000.0</v>
      </c>
      <c r="V725" s="255">
        <v>1.0</v>
      </c>
      <c r="W725" s="259">
        <v>45733.0</v>
      </c>
      <c r="X725" s="260" t="s">
        <v>2265</v>
      </c>
      <c r="Y725" s="259">
        <v>45763.0</v>
      </c>
      <c r="AC725" s="255">
        <v>20000.0</v>
      </c>
      <c r="AD725" s="258" t="s">
        <v>3038</v>
      </c>
      <c r="AE725" s="255" t="s">
        <v>914</v>
      </c>
      <c r="AF725" s="255" t="s">
        <v>2242</v>
      </c>
      <c r="AG725" s="255">
        <v>0.0</v>
      </c>
    </row>
    <row r="726">
      <c r="A726" s="257">
        <v>45733.490965324076</v>
      </c>
      <c r="B726" s="259">
        <v>45733.0</v>
      </c>
      <c r="G726" s="255" t="s">
        <v>3043</v>
      </c>
      <c r="H726" s="255">
        <v>8.9270171453E10</v>
      </c>
      <c r="I726" s="255">
        <v>8.9033340656E10</v>
      </c>
      <c r="M726" s="255">
        <v>20000.0</v>
      </c>
      <c r="Q726" s="255" t="s">
        <v>2207</v>
      </c>
      <c r="R726" s="255" t="s">
        <v>2207</v>
      </c>
      <c r="T726" s="255">
        <v>200000.0</v>
      </c>
      <c r="V726" s="255">
        <v>1.0</v>
      </c>
      <c r="W726" s="259">
        <v>45733.0</v>
      </c>
      <c r="X726" s="260" t="s">
        <v>2221</v>
      </c>
      <c r="Y726" s="259">
        <v>45735.0</v>
      </c>
      <c r="AB726" s="255">
        <v>1690.0</v>
      </c>
      <c r="AD726" s="258" t="s">
        <v>3042</v>
      </c>
      <c r="AE726" s="255" t="s">
        <v>483</v>
      </c>
      <c r="AG726" s="255">
        <v>0.0</v>
      </c>
    </row>
    <row r="727">
      <c r="A727" s="257">
        <v>45734.45706922453</v>
      </c>
      <c r="B727" s="259">
        <v>45734.0</v>
      </c>
      <c r="F727" s="255" t="s">
        <v>3045</v>
      </c>
      <c r="G727" s="255" t="s">
        <v>3046</v>
      </c>
      <c r="H727" s="255" t="s">
        <v>3047</v>
      </c>
      <c r="M727" s="255">
        <v>3000.0</v>
      </c>
      <c r="Q727" s="255" t="s">
        <v>3048</v>
      </c>
      <c r="R727" s="255" t="s">
        <v>3030</v>
      </c>
      <c r="T727" s="255">
        <v>80000.0</v>
      </c>
      <c r="V727" s="255">
        <v>2.0</v>
      </c>
      <c r="W727" s="259">
        <v>45734.0</v>
      </c>
      <c r="X727" s="260" t="s">
        <v>2265</v>
      </c>
      <c r="Y727" s="259">
        <v>45740.0</v>
      </c>
      <c r="AB727" s="255">
        <v>363.0</v>
      </c>
      <c r="AD727" s="258" t="s">
        <v>3044</v>
      </c>
      <c r="AE727" s="255" t="s">
        <v>77</v>
      </c>
      <c r="AG727" s="255">
        <v>290.0</v>
      </c>
    </row>
    <row r="728">
      <c r="A728" s="257">
        <v>45736.23195878472</v>
      </c>
      <c r="B728" s="259">
        <v>45736.0</v>
      </c>
      <c r="F728" s="255" t="s">
        <v>3050</v>
      </c>
      <c r="G728" s="255" t="s">
        <v>3051</v>
      </c>
      <c r="H728" s="255" t="s">
        <v>2967</v>
      </c>
      <c r="M728" s="255">
        <v>7000.0</v>
      </c>
      <c r="Q728" s="255" t="s">
        <v>2207</v>
      </c>
      <c r="R728" s="255" t="s">
        <v>2207</v>
      </c>
      <c r="T728" s="255">
        <v>180000.0</v>
      </c>
      <c r="V728" s="255">
        <v>1.0</v>
      </c>
      <c r="W728" s="259">
        <v>45736.0</v>
      </c>
      <c r="X728" s="260" t="s">
        <v>2330</v>
      </c>
      <c r="Y728" s="259">
        <v>45743.0</v>
      </c>
      <c r="AB728" s="255">
        <v>700.0</v>
      </c>
      <c r="AD728" s="258" t="s">
        <v>3049</v>
      </c>
      <c r="AE728" s="255" t="s">
        <v>946</v>
      </c>
      <c r="AF728" s="255" t="s">
        <v>2208</v>
      </c>
      <c r="AG728" s="255">
        <v>0.0</v>
      </c>
    </row>
    <row r="729">
      <c r="A729" s="257">
        <v>45738.215910127314</v>
      </c>
      <c r="B729" s="259">
        <v>45738.0</v>
      </c>
      <c r="F729" s="255" t="s">
        <v>3053</v>
      </c>
      <c r="G729" s="255" t="s">
        <v>3054</v>
      </c>
      <c r="H729" s="260" t="s">
        <v>3055</v>
      </c>
      <c r="M729" s="255">
        <v>3000.0</v>
      </c>
      <c r="Q729" s="255" t="s">
        <v>3054</v>
      </c>
      <c r="R729" s="255" t="s">
        <v>3054</v>
      </c>
      <c r="T729" s="255">
        <v>70000.0</v>
      </c>
      <c r="V729" s="255">
        <v>2.0</v>
      </c>
      <c r="W729" s="259">
        <v>45738.0</v>
      </c>
      <c r="X729" s="260" t="s">
        <v>2330</v>
      </c>
      <c r="Y729" s="259">
        <v>45745.0</v>
      </c>
      <c r="AB729" s="255">
        <v>384.0</v>
      </c>
      <c r="AD729" s="258" t="s">
        <v>3052</v>
      </c>
      <c r="AE729" s="255" t="s">
        <v>114</v>
      </c>
      <c r="AF729" s="255" t="s">
        <v>2208</v>
      </c>
      <c r="AG729" s="255">
        <v>290.0</v>
      </c>
    </row>
    <row r="730">
      <c r="A730" s="257">
        <v>45739.77136344908</v>
      </c>
      <c r="B730" s="259">
        <v>45739.0</v>
      </c>
      <c r="G730" s="255" t="s">
        <v>3057</v>
      </c>
      <c r="H730" s="255" t="s">
        <v>3058</v>
      </c>
      <c r="M730" s="255">
        <v>3000.0</v>
      </c>
      <c r="Q730" s="255" t="s">
        <v>2207</v>
      </c>
      <c r="R730" s="255" t="s">
        <v>2207</v>
      </c>
      <c r="T730" s="255">
        <v>70000.0</v>
      </c>
      <c r="V730" s="255">
        <v>2.0</v>
      </c>
      <c r="W730" s="259">
        <v>45739.0</v>
      </c>
      <c r="X730" s="260" t="s">
        <v>2209</v>
      </c>
      <c r="Y730" s="259">
        <v>45748.0</v>
      </c>
      <c r="AB730" s="255">
        <v>347.0</v>
      </c>
      <c r="AD730" s="258" t="s">
        <v>3056</v>
      </c>
      <c r="AE730" s="255" t="s">
        <v>44</v>
      </c>
      <c r="AF730" s="255" t="s">
        <v>2208</v>
      </c>
      <c r="AG730" s="255">
        <v>0.0</v>
      </c>
    </row>
    <row r="731">
      <c r="A731" s="257">
        <v>45740.70728974537</v>
      </c>
      <c r="B731" s="259">
        <v>45740.0</v>
      </c>
      <c r="F731" s="255" t="s">
        <v>3060</v>
      </c>
      <c r="G731" s="255" t="s">
        <v>3061</v>
      </c>
      <c r="H731" s="255" t="s">
        <v>3062</v>
      </c>
      <c r="M731" s="255">
        <v>3000.0</v>
      </c>
      <c r="Q731" s="255" t="s">
        <v>3061</v>
      </c>
      <c r="R731" s="255" t="s">
        <v>3061</v>
      </c>
      <c r="T731" s="255">
        <v>70000.0</v>
      </c>
      <c r="V731" s="255">
        <v>2.0</v>
      </c>
      <c r="W731" s="259">
        <v>45740.0</v>
      </c>
      <c r="X731" s="260" t="s">
        <v>2250</v>
      </c>
      <c r="Y731" s="259">
        <v>45745.0</v>
      </c>
      <c r="AB731" s="255">
        <v>404.0</v>
      </c>
      <c r="AD731" s="258" t="s">
        <v>3059</v>
      </c>
      <c r="AE731" s="255" t="s">
        <v>106</v>
      </c>
      <c r="AF731" s="255" t="s">
        <v>2208</v>
      </c>
      <c r="AG731" s="255">
        <v>290.0</v>
      </c>
    </row>
    <row r="732">
      <c r="A732" s="257">
        <v>45741.21808815972</v>
      </c>
      <c r="B732" s="259">
        <v>45741.0</v>
      </c>
      <c r="G732" s="255" t="s">
        <v>3064</v>
      </c>
      <c r="H732" s="255" t="s">
        <v>3065</v>
      </c>
      <c r="I732" s="255">
        <v>7.9959969933E10</v>
      </c>
      <c r="M732" s="255">
        <v>7000.0</v>
      </c>
      <c r="Q732" s="255" t="s">
        <v>3064</v>
      </c>
      <c r="R732" s="255" t="s">
        <v>3064</v>
      </c>
      <c r="T732" s="255">
        <v>180000.0</v>
      </c>
      <c r="V732" s="255">
        <v>3.0</v>
      </c>
      <c r="W732" s="259">
        <v>45741.0</v>
      </c>
      <c r="X732" s="260" t="s">
        <v>2324</v>
      </c>
      <c r="Y732" s="259">
        <v>45746.0</v>
      </c>
      <c r="AB732" s="255">
        <v>898.0</v>
      </c>
      <c r="AD732" s="258" t="s">
        <v>3063</v>
      </c>
      <c r="AE732" s="255" t="s">
        <v>941</v>
      </c>
      <c r="AF732" s="255" t="s">
        <v>2208</v>
      </c>
      <c r="AG732" s="255">
        <v>490.0</v>
      </c>
    </row>
    <row r="733">
      <c r="A733" s="257">
        <v>45741.5651497338</v>
      </c>
      <c r="B733" s="259">
        <v>45741.0</v>
      </c>
      <c r="F733" s="255" t="s">
        <v>3067</v>
      </c>
      <c r="G733" s="255" t="s">
        <v>3068</v>
      </c>
      <c r="H733" s="255">
        <v>6.695213653E10</v>
      </c>
      <c r="M733" s="255">
        <v>8000.0</v>
      </c>
      <c r="Q733" s="255" t="s">
        <v>2269</v>
      </c>
      <c r="R733" s="255" t="s">
        <v>2269</v>
      </c>
      <c r="T733" s="255">
        <v>75000.0</v>
      </c>
      <c r="V733" s="255">
        <v>2.0</v>
      </c>
      <c r="W733" s="259">
        <v>45755.0</v>
      </c>
      <c r="X733" s="260" t="s">
        <v>2221</v>
      </c>
      <c r="Y733" s="259">
        <v>45765.0</v>
      </c>
      <c r="AB733" s="255">
        <v>432.0</v>
      </c>
      <c r="AD733" s="258" t="s">
        <v>3066</v>
      </c>
      <c r="AE733" s="255" t="s">
        <v>193</v>
      </c>
      <c r="AF733" s="255" t="s">
        <v>2208</v>
      </c>
      <c r="AG733" s="255">
        <v>0.0</v>
      </c>
    </row>
    <row r="734">
      <c r="A734" s="257">
        <v>45741.5743409375</v>
      </c>
      <c r="B734" s="259">
        <v>45741.0</v>
      </c>
      <c r="F734" s="255" t="s">
        <v>3070</v>
      </c>
      <c r="G734" s="255" t="s">
        <v>3071</v>
      </c>
      <c r="H734" s="255">
        <v>8.9650875E10</v>
      </c>
      <c r="I734" s="255">
        <v>8.9990302818E10</v>
      </c>
      <c r="M734" s="255" t="s">
        <v>515</v>
      </c>
      <c r="Q734" s="255" t="s">
        <v>3072</v>
      </c>
      <c r="R734" s="255" t="s">
        <v>3072</v>
      </c>
      <c r="T734" s="255">
        <v>75000.0</v>
      </c>
      <c r="V734" s="255">
        <v>2.0</v>
      </c>
      <c r="W734" s="259">
        <v>45761.0</v>
      </c>
      <c r="X734" s="260" t="s">
        <v>2221</v>
      </c>
      <c r="Y734" s="259">
        <v>45769.0</v>
      </c>
      <c r="AB734" s="255">
        <v>519.0</v>
      </c>
      <c r="AD734" s="258" t="s">
        <v>3069</v>
      </c>
      <c r="AE734" s="255" t="s">
        <v>286</v>
      </c>
      <c r="AF734" s="255" t="s">
        <v>2208</v>
      </c>
      <c r="AG734" s="255">
        <v>390.0</v>
      </c>
    </row>
    <row r="735">
      <c r="A735" s="257">
        <v>45742.56259876158</v>
      </c>
      <c r="B735" s="259">
        <v>45742.0</v>
      </c>
      <c r="H735" s="255" t="s">
        <v>2415</v>
      </c>
      <c r="M735" s="255">
        <v>20000.0</v>
      </c>
      <c r="Q735" s="255" t="s">
        <v>2269</v>
      </c>
      <c r="R735" s="255" t="s">
        <v>2269</v>
      </c>
      <c r="T735" s="255">
        <v>200000.0</v>
      </c>
      <c r="V735" s="255">
        <v>2.0</v>
      </c>
      <c r="W735" s="259">
        <v>45745.0</v>
      </c>
      <c r="X735" s="260" t="s">
        <v>2330</v>
      </c>
      <c r="Y735" s="259">
        <v>45748.0</v>
      </c>
      <c r="AB735" s="255">
        <v>1333.0</v>
      </c>
      <c r="AD735" s="258" t="s">
        <v>3073</v>
      </c>
      <c r="AE735" s="255" t="s">
        <v>102</v>
      </c>
      <c r="AF735" s="255" t="s">
        <v>2208</v>
      </c>
      <c r="AG735" s="255">
        <v>190.0</v>
      </c>
    </row>
    <row r="736">
      <c r="A736" s="257">
        <v>45742.57511445602</v>
      </c>
      <c r="B736" s="259">
        <v>45742.0</v>
      </c>
      <c r="G736" s="255" t="s">
        <v>3075</v>
      </c>
      <c r="Q736" s="255" t="s">
        <v>3075</v>
      </c>
      <c r="R736" s="255" t="s">
        <v>3075</v>
      </c>
      <c r="T736" s="255">
        <v>500000.0</v>
      </c>
      <c r="V736" s="255">
        <v>0.0</v>
      </c>
      <c r="W736" s="259">
        <v>45770.0</v>
      </c>
      <c r="Y736" s="259">
        <v>45791.0</v>
      </c>
      <c r="AB736" s="255">
        <v>1866.0</v>
      </c>
      <c r="AD736" s="258" t="s">
        <v>3074</v>
      </c>
      <c r="AE736" s="255" t="s">
        <v>914</v>
      </c>
      <c r="AF736" s="255" t="s">
        <v>2208</v>
      </c>
      <c r="AG736" s="255">
        <v>0.0</v>
      </c>
    </row>
    <row r="737">
      <c r="A737" s="257">
        <v>45742.579486250004</v>
      </c>
      <c r="B737" s="259">
        <v>45742.0</v>
      </c>
      <c r="G737" s="255" t="s">
        <v>3077</v>
      </c>
      <c r="H737" s="255" t="s">
        <v>2384</v>
      </c>
      <c r="Q737" s="255" t="s">
        <v>3077</v>
      </c>
      <c r="R737" s="255" t="s">
        <v>3077</v>
      </c>
      <c r="T737" s="255">
        <v>500000.0</v>
      </c>
      <c r="V737" s="255">
        <v>1.0</v>
      </c>
      <c r="W737" s="259">
        <v>45774.0</v>
      </c>
      <c r="X737" s="260" t="s">
        <v>2330</v>
      </c>
      <c r="Y737" s="259">
        <v>45789.0</v>
      </c>
      <c r="AB737" s="255">
        <v>1985.0</v>
      </c>
      <c r="AD737" s="258" t="s">
        <v>3076</v>
      </c>
      <c r="AE737" s="255" t="s">
        <v>967</v>
      </c>
      <c r="AF737" s="255" t="s">
        <v>2208</v>
      </c>
      <c r="AG737" s="255">
        <v>0.0</v>
      </c>
    </row>
    <row r="738">
      <c r="A738" s="257">
        <v>45742.74143736111</v>
      </c>
      <c r="B738" s="259">
        <v>45742.0</v>
      </c>
      <c r="H738" s="255" t="s">
        <v>3079</v>
      </c>
      <c r="M738" s="261">
        <v>600.0</v>
      </c>
      <c r="Q738" s="255" t="s">
        <v>2207</v>
      </c>
      <c r="R738" s="255" t="s">
        <v>2207</v>
      </c>
      <c r="T738" s="255">
        <v>200000.0</v>
      </c>
      <c r="V738" s="255">
        <v>2.0</v>
      </c>
      <c r="W738" s="259">
        <v>45742.0</v>
      </c>
      <c r="X738" s="260" t="s">
        <v>2246</v>
      </c>
      <c r="Y738" s="259">
        <v>45744.0</v>
      </c>
      <c r="AB738" s="255">
        <v>1528.0</v>
      </c>
      <c r="AD738" s="258" t="s">
        <v>3078</v>
      </c>
      <c r="AE738" s="255" t="s">
        <v>102</v>
      </c>
      <c r="AF738" s="255" t="s">
        <v>2208</v>
      </c>
      <c r="AG738" s="255">
        <v>0.0</v>
      </c>
    </row>
    <row r="739">
      <c r="A739" s="257">
        <v>45742.74267898148</v>
      </c>
      <c r="B739" s="259">
        <v>45742.0</v>
      </c>
      <c r="H739" s="255" t="s">
        <v>3079</v>
      </c>
      <c r="M739" s="261">
        <v>600.0</v>
      </c>
      <c r="Q739" s="255" t="s">
        <v>2269</v>
      </c>
      <c r="R739" s="255" t="s">
        <v>2269</v>
      </c>
      <c r="T739" s="255">
        <v>200000.0</v>
      </c>
      <c r="V739" s="255">
        <v>2.0</v>
      </c>
      <c r="W739" s="259">
        <v>45744.0</v>
      </c>
      <c r="X739" s="260" t="s">
        <v>2330</v>
      </c>
      <c r="Y739" s="259">
        <v>45745.0</v>
      </c>
      <c r="AB739" s="255">
        <v>1528.0</v>
      </c>
      <c r="AD739" s="258" t="s">
        <v>3080</v>
      </c>
      <c r="AE739" s="255" t="s">
        <v>916</v>
      </c>
      <c r="AF739" s="255" t="s">
        <v>2208</v>
      </c>
      <c r="AG739" s="255">
        <v>0.0</v>
      </c>
    </row>
    <row r="740">
      <c r="A740" s="257">
        <v>45743.478819780095</v>
      </c>
      <c r="B740" s="259">
        <v>45743.0</v>
      </c>
      <c r="F740" s="255" t="s">
        <v>3082</v>
      </c>
      <c r="G740" s="255" t="s">
        <v>3083</v>
      </c>
      <c r="H740" s="255" t="s">
        <v>3084</v>
      </c>
      <c r="M740" s="255">
        <v>7000.0</v>
      </c>
      <c r="Q740" s="255" t="s">
        <v>2207</v>
      </c>
      <c r="R740" s="255" t="s">
        <v>2207</v>
      </c>
      <c r="T740" s="255">
        <v>100000.0</v>
      </c>
      <c r="U740" s="255">
        <v>16000.0</v>
      </c>
      <c r="V740" s="255">
        <v>2.0</v>
      </c>
      <c r="W740" s="259">
        <v>45743.0</v>
      </c>
      <c r="X740" s="260" t="s">
        <v>2265</v>
      </c>
      <c r="Y740" s="259">
        <v>45773.0</v>
      </c>
      <c r="AC740" s="255">
        <v>6900.0</v>
      </c>
      <c r="AD740" s="258" t="s">
        <v>3081</v>
      </c>
      <c r="AE740" s="255" t="s">
        <v>193</v>
      </c>
      <c r="AF740" s="255" t="s">
        <v>2208</v>
      </c>
      <c r="AG740" s="255">
        <v>0.0</v>
      </c>
    </row>
    <row r="741">
      <c r="A741" s="257">
        <v>45743.75388113426</v>
      </c>
      <c r="B741" s="259">
        <v>45742.0</v>
      </c>
      <c r="G741" s="255" t="s">
        <v>3087</v>
      </c>
      <c r="H741" s="255" t="s">
        <v>3079</v>
      </c>
      <c r="M741" s="261">
        <v>600.0</v>
      </c>
      <c r="Q741" s="255" t="s">
        <v>2269</v>
      </c>
      <c r="R741" s="255" t="s">
        <v>2269</v>
      </c>
      <c r="T741" s="255">
        <v>200000.0</v>
      </c>
      <c r="V741" s="255">
        <v>2.0</v>
      </c>
      <c r="W741" s="259">
        <v>45742.0</v>
      </c>
      <c r="X741" s="260" t="s">
        <v>2246</v>
      </c>
      <c r="Y741" s="259">
        <v>45744.0</v>
      </c>
      <c r="AB741" s="255">
        <v>1528.0</v>
      </c>
      <c r="AD741" s="258" t="s">
        <v>3086</v>
      </c>
      <c r="AE741" s="255" t="s">
        <v>102</v>
      </c>
      <c r="AF741" s="255" t="s">
        <v>2208</v>
      </c>
      <c r="AG741" s="255">
        <v>0.0</v>
      </c>
    </row>
    <row r="742">
      <c r="A742" s="257">
        <v>45743.79899895833</v>
      </c>
      <c r="B742" s="259">
        <v>45742.0</v>
      </c>
      <c r="H742" s="255" t="s">
        <v>3089</v>
      </c>
      <c r="M742" s="255">
        <v>3000.0</v>
      </c>
      <c r="Q742" s="255" t="s">
        <v>2207</v>
      </c>
      <c r="R742" s="255" t="s">
        <v>2207</v>
      </c>
      <c r="T742" s="255">
        <v>70000.0</v>
      </c>
      <c r="U742" s="255">
        <v>29656.0</v>
      </c>
      <c r="V742" s="255">
        <v>2.0</v>
      </c>
      <c r="W742" s="259">
        <v>45742.0</v>
      </c>
      <c r="X742" s="260" t="s">
        <v>2235</v>
      </c>
      <c r="Y742" s="259">
        <v>45749.0</v>
      </c>
      <c r="AB742" s="255">
        <v>341.0</v>
      </c>
      <c r="AD742" s="258" t="s">
        <v>3088</v>
      </c>
      <c r="AE742" s="255" t="s">
        <v>98</v>
      </c>
      <c r="AF742" s="255" t="s">
        <v>2208</v>
      </c>
      <c r="AG742" s="255">
        <v>0.0</v>
      </c>
    </row>
    <row r="743">
      <c r="A743" s="257">
        <v>45743.82541708333</v>
      </c>
      <c r="B743" s="259">
        <v>45743.0</v>
      </c>
      <c r="F743" s="255" t="s">
        <v>3039</v>
      </c>
      <c r="G743" s="255" t="s">
        <v>3040</v>
      </c>
      <c r="H743" s="255" t="s">
        <v>3041</v>
      </c>
      <c r="M743" s="255">
        <v>3000.0</v>
      </c>
      <c r="Q743" s="255" t="s">
        <v>2207</v>
      </c>
      <c r="R743" s="255" t="s">
        <v>2207</v>
      </c>
      <c r="T743" s="255">
        <v>70000.0</v>
      </c>
      <c r="V743" s="255">
        <v>1.0</v>
      </c>
      <c r="W743" s="259">
        <v>45743.0</v>
      </c>
      <c r="X743" s="260" t="s">
        <v>2209</v>
      </c>
      <c r="Y743" s="259">
        <v>45774.0</v>
      </c>
      <c r="AC743" s="255">
        <v>6000.0</v>
      </c>
      <c r="AD743" s="258" t="s">
        <v>3090</v>
      </c>
      <c r="AE743" s="255" t="s">
        <v>48</v>
      </c>
      <c r="AF743" s="255" t="s">
        <v>2208</v>
      </c>
      <c r="AG743" s="255">
        <v>0.0</v>
      </c>
    </row>
    <row r="744">
      <c r="A744" s="257">
        <v>45744.4850771875</v>
      </c>
      <c r="B744" s="259">
        <v>45744.0</v>
      </c>
      <c r="G744" s="255" t="s">
        <v>3092</v>
      </c>
      <c r="H744" s="255">
        <v>7.9117633623E10</v>
      </c>
      <c r="I744" s="255" t="s">
        <v>3093</v>
      </c>
      <c r="M744" s="255">
        <v>5000.0</v>
      </c>
      <c r="Q744" s="255" t="s">
        <v>2207</v>
      </c>
      <c r="R744" s="255" t="s">
        <v>2207</v>
      </c>
      <c r="T744" s="255">
        <v>140000.0</v>
      </c>
      <c r="V744" s="255">
        <v>2.0</v>
      </c>
      <c r="W744" s="259">
        <v>45744.0</v>
      </c>
      <c r="X744" s="260" t="s">
        <v>2265</v>
      </c>
      <c r="Y744" s="259">
        <v>45751.0</v>
      </c>
      <c r="AB744" s="255">
        <v>600.0</v>
      </c>
      <c r="AD744" s="258" t="s">
        <v>3091</v>
      </c>
      <c r="AE744" s="255" t="s">
        <v>64</v>
      </c>
      <c r="AF744" s="255" t="s">
        <v>2208</v>
      </c>
      <c r="AG744" s="255">
        <v>0.0</v>
      </c>
    </row>
    <row r="745">
      <c r="A745" s="257">
        <v>45744.5025952662</v>
      </c>
      <c r="B745" s="259">
        <v>45775.0</v>
      </c>
      <c r="G745" s="255" t="s">
        <v>3092</v>
      </c>
      <c r="H745" s="255">
        <v>7.9117633623E10</v>
      </c>
      <c r="I745" s="255" t="s">
        <v>3093</v>
      </c>
      <c r="M745" s="255">
        <v>5000.0</v>
      </c>
      <c r="Q745" s="255" t="s">
        <v>2207</v>
      </c>
      <c r="R745" s="255" t="s">
        <v>2207</v>
      </c>
      <c r="T745" s="255">
        <v>140000.0</v>
      </c>
      <c r="U745" s="255">
        <v>29123.0</v>
      </c>
      <c r="V745" s="255">
        <v>2.0</v>
      </c>
      <c r="W745" s="259">
        <v>45775.0</v>
      </c>
      <c r="X745" s="260" t="s">
        <v>2330</v>
      </c>
      <c r="Y745" s="259">
        <v>45751.0</v>
      </c>
      <c r="AB745" s="255">
        <v>600.0</v>
      </c>
      <c r="AD745" s="258" t="s">
        <v>3094</v>
      </c>
      <c r="AE745" s="255" t="s">
        <v>64</v>
      </c>
      <c r="AF745" s="255" t="s">
        <v>2320</v>
      </c>
      <c r="AG745" s="255">
        <v>0.0</v>
      </c>
    </row>
    <row r="746">
      <c r="A746" s="257">
        <v>45744.567486307875</v>
      </c>
      <c r="AD746" s="258" t="s">
        <v>3095</v>
      </c>
      <c r="AE746" s="255" t="s">
        <v>102</v>
      </c>
    </row>
    <row r="747">
      <c r="A747" s="257">
        <v>45742.74267898148</v>
      </c>
      <c r="B747" s="259">
        <v>45742.0</v>
      </c>
      <c r="H747" s="255" t="s">
        <v>3079</v>
      </c>
      <c r="M747" s="261">
        <v>600.0</v>
      </c>
      <c r="Q747" s="255" t="s">
        <v>2269</v>
      </c>
      <c r="R747" s="255" t="s">
        <v>2269</v>
      </c>
      <c r="T747" s="255">
        <v>200000.0</v>
      </c>
      <c r="V747" s="255">
        <v>2.0</v>
      </c>
      <c r="W747" s="259">
        <v>45744.0</v>
      </c>
      <c r="X747" s="260" t="s">
        <v>2330</v>
      </c>
      <c r="Y747" s="259">
        <v>45745.0</v>
      </c>
      <c r="AB747" s="255">
        <v>1528.0</v>
      </c>
      <c r="AD747" s="258" t="s">
        <v>3080</v>
      </c>
      <c r="AE747" s="255" t="s">
        <v>916</v>
      </c>
      <c r="AF747" s="255" t="s">
        <v>2208</v>
      </c>
      <c r="AG747" s="255">
        <v>0.0</v>
      </c>
    </row>
  </sheetData>
  <hyperlinks>
    <hyperlink r:id="rId1" ref="AD22"/>
    <hyperlink r:id="rId2" ref="AD23"/>
    <hyperlink r:id="rId3" ref="AD24"/>
    <hyperlink r:id="rId4" ref="AD25"/>
    <hyperlink r:id="rId5" ref="AD26"/>
    <hyperlink r:id="rId6" ref="AD27"/>
    <hyperlink r:id="rId7" ref="AD34"/>
    <hyperlink r:id="rId8" ref="AD35"/>
    <hyperlink r:id="rId9" ref="AD36"/>
    <hyperlink r:id="rId10" ref="AD37"/>
    <hyperlink r:id="rId11" ref="AD38"/>
    <hyperlink r:id="rId12" ref="AD39"/>
    <hyperlink r:id="rId13" ref="AD40"/>
    <hyperlink r:id="rId14" ref="AD41"/>
    <hyperlink r:id="rId15" ref="AD42"/>
    <hyperlink r:id="rId16" ref="AD43"/>
    <hyperlink r:id="rId17" ref="AD44"/>
    <hyperlink r:id="rId18" ref="AD45"/>
    <hyperlink r:id="rId19" ref="AD46"/>
    <hyperlink r:id="rId20" ref="AD47"/>
    <hyperlink r:id="rId21" ref="AD53"/>
    <hyperlink r:id="rId22" ref="AD54"/>
    <hyperlink r:id="rId23" ref="AD55"/>
    <hyperlink r:id="rId24" ref="AD56"/>
    <hyperlink r:id="rId25" ref="AD57"/>
    <hyperlink r:id="rId26" ref="AD58"/>
    <hyperlink r:id="rId27" ref="AD59"/>
    <hyperlink r:id="rId28" ref="AD60"/>
    <hyperlink r:id="rId29" ref="AD61"/>
    <hyperlink r:id="rId30" ref="AD62"/>
    <hyperlink r:id="rId31" ref="AD63"/>
    <hyperlink r:id="rId32" ref="AD64"/>
    <hyperlink r:id="rId33" ref="AD65"/>
    <hyperlink r:id="rId34" ref="AD66"/>
    <hyperlink r:id="rId35" ref="AD67"/>
    <hyperlink r:id="rId36" ref="AD68"/>
    <hyperlink r:id="rId37" ref="AD69"/>
    <hyperlink r:id="rId38" ref="AD70"/>
    <hyperlink r:id="rId39" ref="AD71"/>
    <hyperlink r:id="rId40" ref="AD72"/>
    <hyperlink r:id="rId41" ref="AD73"/>
    <hyperlink r:id="rId42" ref="AD74"/>
    <hyperlink r:id="rId43" ref="AD75"/>
    <hyperlink r:id="rId44" ref="AD76"/>
    <hyperlink r:id="rId45" ref="AD77"/>
    <hyperlink r:id="rId46" ref="AD78"/>
    <hyperlink r:id="rId47" ref="AD79"/>
    <hyperlink r:id="rId48" ref="AD80"/>
    <hyperlink r:id="rId49" ref="AD81"/>
    <hyperlink r:id="rId50" ref="AD82"/>
    <hyperlink r:id="rId51" ref="AD83"/>
    <hyperlink r:id="rId52" ref="AD84"/>
    <hyperlink r:id="rId53" ref="AD85"/>
    <hyperlink r:id="rId54" ref="AD86"/>
    <hyperlink r:id="rId55" ref="AD88"/>
    <hyperlink r:id="rId56" ref="AD92"/>
    <hyperlink r:id="rId57" ref="AD95"/>
    <hyperlink r:id="rId58" ref="AD97"/>
    <hyperlink r:id="rId59" ref="AD98"/>
    <hyperlink r:id="rId60" ref="AD102"/>
    <hyperlink r:id="rId61" ref="AD105"/>
    <hyperlink r:id="rId62" ref="AD112"/>
    <hyperlink r:id="rId63" ref="AD114"/>
    <hyperlink r:id="rId64" ref="AD115"/>
    <hyperlink r:id="rId65" ref="AD116"/>
    <hyperlink r:id="rId66" ref="AD118"/>
    <hyperlink r:id="rId67" ref="AD119"/>
    <hyperlink r:id="rId68" ref="AD120"/>
    <hyperlink r:id="rId69" ref="AD123"/>
    <hyperlink r:id="rId70" ref="AD124"/>
    <hyperlink r:id="rId71" ref="AD125"/>
    <hyperlink r:id="rId72" ref="AD126"/>
    <hyperlink r:id="rId73" ref="AD127"/>
    <hyperlink r:id="rId74" ref="AD128"/>
    <hyperlink r:id="rId75" ref="AD131"/>
    <hyperlink r:id="rId76" ref="AD132"/>
    <hyperlink r:id="rId77" ref="AD133"/>
    <hyperlink r:id="rId78" ref="AD134"/>
    <hyperlink r:id="rId79" ref="AD135"/>
    <hyperlink r:id="rId80" ref="AD137"/>
    <hyperlink r:id="rId81" ref="AD138"/>
    <hyperlink r:id="rId82" ref="AD139"/>
    <hyperlink r:id="rId83" ref="AD145"/>
    <hyperlink r:id="rId84" ref="AD146"/>
    <hyperlink r:id="rId85" ref="AD147"/>
    <hyperlink r:id="rId86" ref="AD148"/>
    <hyperlink r:id="rId87" ref="AD150"/>
    <hyperlink r:id="rId88" ref="AD151"/>
    <hyperlink r:id="rId89" ref="AD152"/>
    <hyperlink r:id="rId90" ref="AD153"/>
    <hyperlink r:id="rId91" ref="AD155"/>
    <hyperlink r:id="rId92" ref="AD156"/>
    <hyperlink r:id="rId93" ref="AD157"/>
    <hyperlink r:id="rId94" ref="AD158"/>
    <hyperlink r:id="rId95" ref="AD159"/>
    <hyperlink r:id="rId96" ref="AD160"/>
    <hyperlink r:id="rId97" ref="AD161"/>
    <hyperlink r:id="rId98" ref="AD162"/>
    <hyperlink r:id="rId99" ref="AD163"/>
    <hyperlink r:id="rId100" ref="AD164"/>
    <hyperlink r:id="rId101" ref="AD165"/>
    <hyperlink r:id="rId102" ref="AD166"/>
    <hyperlink r:id="rId103" ref="AD167"/>
    <hyperlink r:id="rId104" ref="AD168"/>
    <hyperlink r:id="rId105" ref="AD169"/>
    <hyperlink r:id="rId106" ref="AD170"/>
    <hyperlink r:id="rId107" ref="AD171"/>
    <hyperlink r:id="rId108" ref="AD173"/>
    <hyperlink r:id="rId109" ref="AD174"/>
    <hyperlink r:id="rId110" ref="AD175"/>
    <hyperlink r:id="rId111" ref="AD176"/>
    <hyperlink r:id="rId112" ref="AD177"/>
    <hyperlink r:id="rId113" ref="AD178"/>
    <hyperlink r:id="rId114" ref="AD179"/>
    <hyperlink r:id="rId115" ref="AD180"/>
    <hyperlink r:id="rId116" ref="AD181"/>
    <hyperlink r:id="rId117" ref="AD182"/>
    <hyperlink r:id="rId118" ref="AD183"/>
    <hyperlink r:id="rId119" ref="AD184"/>
    <hyperlink r:id="rId120" ref="AD186"/>
    <hyperlink r:id="rId121" ref="AD187"/>
    <hyperlink r:id="rId122" ref="AD188"/>
    <hyperlink r:id="rId123" ref="AD189"/>
    <hyperlink r:id="rId124" ref="AD190"/>
    <hyperlink r:id="rId125" ref="AD191"/>
    <hyperlink r:id="rId126" ref="AD192"/>
    <hyperlink r:id="rId127" ref="AD193"/>
    <hyperlink r:id="rId128" ref="AD194"/>
    <hyperlink r:id="rId129" ref="AD195"/>
    <hyperlink r:id="rId130" ref="AD196"/>
    <hyperlink r:id="rId131" ref="AD197"/>
    <hyperlink r:id="rId132" ref="AD198"/>
    <hyperlink r:id="rId133" ref="AD199"/>
    <hyperlink r:id="rId134" ref="AD200"/>
    <hyperlink r:id="rId135" ref="AD201"/>
    <hyperlink r:id="rId136" ref="AD202"/>
    <hyperlink r:id="rId137" ref="AD203"/>
    <hyperlink r:id="rId138" ref="AD204"/>
    <hyperlink r:id="rId139" ref="AD205"/>
    <hyperlink r:id="rId140" ref="AD206"/>
    <hyperlink r:id="rId141" ref="AD207"/>
    <hyperlink r:id="rId142" ref="AD208"/>
    <hyperlink r:id="rId143" ref="AD209"/>
    <hyperlink r:id="rId144" ref="AD210"/>
    <hyperlink r:id="rId145" ref="AD211"/>
    <hyperlink r:id="rId146" ref="AD212"/>
    <hyperlink r:id="rId147" ref="AD213"/>
    <hyperlink r:id="rId148" ref="AD214"/>
    <hyperlink r:id="rId149" ref="AD215"/>
    <hyperlink r:id="rId150" ref="AD216"/>
    <hyperlink r:id="rId151" ref="AD217"/>
    <hyperlink r:id="rId152" ref="AD218"/>
    <hyperlink r:id="rId153" ref="AD219"/>
    <hyperlink r:id="rId154" ref="AD220"/>
    <hyperlink r:id="rId155" ref="AD221"/>
    <hyperlink r:id="rId156" ref="AD222"/>
    <hyperlink r:id="rId157" ref="AD223"/>
    <hyperlink r:id="rId158" ref="AD224"/>
    <hyperlink r:id="rId159" ref="AD225"/>
    <hyperlink r:id="rId160" ref="AD226"/>
    <hyperlink r:id="rId161" ref="AD227"/>
    <hyperlink r:id="rId162" ref="AD228"/>
    <hyperlink r:id="rId163" ref="AD229"/>
    <hyperlink r:id="rId164" ref="AD230"/>
    <hyperlink r:id="rId165" ref="AD231"/>
    <hyperlink r:id="rId166" ref="AD232"/>
    <hyperlink r:id="rId167" ref="AD233"/>
    <hyperlink r:id="rId168" ref="AD234"/>
    <hyperlink r:id="rId169" ref="AD235"/>
    <hyperlink r:id="rId170" ref="AD236"/>
    <hyperlink r:id="rId171" ref="AD237"/>
    <hyperlink r:id="rId172" ref="AD238"/>
    <hyperlink r:id="rId173" ref="AD239"/>
    <hyperlink r:id="rId174" ref="AD240"/>
    <hyperlink r:id="rId175" ref="AD241"/>
    <hyperlink r:id="rId176" ref="AD242"/>
    <hyperlink r:id="rId177" ref="AD243"/>
    <hyperlink r:id="rId178" ref="AD244"/>
    <hyperlink r:id="rId179" ref="AD245"/>
    <hyperlink r:id="rId180" ref="AD246"/>
    <hyperlink r:id="rId181" ref="AD247"/>
    <hyperlink r:id="rId182" ref="AD248"/>
    <hyperlink r:id="rId183" ref="AD249"/>
    <hyperlink r:id="rId184" ref="AD250"/>
    <hyperlink r:id="rId185" ref="AD251"/>
    <hyperlink r:id="rId186" ref="AD252"/>
    <hyperlink r:id="rId187" ref="AD253"/>
    <hyperlink r:id="rId188" ref="AD254"/>
    <hyperlink r:id="rId189" ref="AD255"/>
    <hyperlink r:id="rId190" ref="AD256"/>
    <hyperlink r:id="rId191" ref="AD257"/>
    <hyperlink r:id="rId192" ref="AD258"/>
    <hyperlink r:id="rId193" ref="AD259"/>
    <hyperlink r:id="rId194" ref="AD260"/>
    <hyperlink r:id="rId195" ref="AD261"/>
    <hyperlink r:id="rId196" ref="AD262"/>
    <hyperlink r:id="rId197" ref="AD263"/>
    <hyperlink r:id="rId198" ref="AD264"/>
    <hyperlink r:id="rId199" ref="AD265"/>
    <hyperlink r:id="rId200" ref="AD266"/>
    <hyperlink r:id="rId201" ref="AD267"/>
    <hyperlink r:id="rId202" ref="AD268"/>
    <hyperlink r:id="rId203" ref="AD269"/>
    <hyperlink r:id="rId204" ref="AD270"/>
    <hyperlink r:id="rId205" ref="AD271"/>
    <hyperlink r:id="rId206" ref="AD272"/>
    <hyperlink r:id="rId207" ref="AD273"/>
    <hyperlink r:id="rId208" ref="AD274"/>
    <hyperlink r:id="rId209" ref="AD275"/>
    <hyperlink r:id="rId210" ref="AD276"/>
    <hyperlink r:id="rId211" ref="AD277"/>
    <hyperlink r:id="rId212" ref="AD278"/>
    <hyperlink r:id="rId213" ref="AD279"/>
    <hyperlink r:id="rId214" ref="AD280"/>
    <hyperlink r:id="rId215" ref="AD281"/>
    <hyperlink r:id="rId216" ref="AD282"/>
    <hyperlink r:id="rId217" ref="AD283"/>
    <hyperlink r:id="rId218" ref="AD284"/>
    <hyperlink r:id="rId219" ref="AD285"/>
    <hyperlink r:id="rId220" ref="AD286"/>
    <hyperlink r:id="rId221" ref="AD287"/>
    <hyperlink r:id="rId222" ref="AD288"/>
    <hyperlink r:id="rId223" ref="AD289"/>
    <hyperlink r:id="rId224" ref="AD290"/>
    <hyperlink r:id="rId225" ref="AD291"/>
    <hyperlink r:id="rId226" ref="AD292"/>
    <hyperlink r:id="rId227" ref="AD293"/>
    <hyperlink r:id="rId228" ref="AD294"/>
    <hyperlink r:id="rId229" ref="AD295"/>
    <hyperlink r:id="rId230" ref="AD296"/>
    <hyperlink r:id="rId231" ref="AD297"/>
    <hyperlink r:id="rId232" ref="AD298"/>
    <hyperlink r:id="rId233" ref="AD299"/>
    <hyperlink r:id="rId234" ref="AD300"/>
    <hyperlink r:id="rId235" ref="AD301"/>
    <hyperlink r:id="rId236" ref="AD302"/>
    <hyperlink r:id="rId237" ref="AD303"/>
    <hyperlink r:id="rId238" ref="AD304"/>
    <hyperlink r:id="rId239" ref="AD305"/>
    <hyperlink r:id="rId240" ref="AD306"/>
    <hyperlink r:id="rId241" ref="AD307"/>
    <hyperlink r:id="rId242" ref="AD308"/>
    <hyperlink r:id="rId243" ref="AD309"/>
    <hyperlink r:id="rId244" ref="AD310"/>
    <hyperlink r:id="rId245" ref="AD311"/>
    <hyperlink r:id="rId246" ref="AD312"/>
    <hyperlink r:id="rId247" ref="AD313"/>
    <hyperlink r:id="rId248" ref="AD314"/>
    <hyperlink r:id="rId249" ref="AD315"/>
    <hyperlink r:id="rId250" ref="AD316"/>
    <hyperlink r:id="rId251" ref="AD317"/>
    <hyperlink r:id="rId252" ref="AD318"/>
    <hyperlink r:id="rId253" ref="AD319"/>
    <hyperlink r:id="rId254" ref="AD320"/>
    <hyperlink r:id="rId255" ref="AD321"/>
    <hyperlink r:id="rId256" ref="AD322"/>
    <hyperlink r:id="rId257" ref="AD323"/>
    <hyperlink r:id="rId258" ref="AD324"/>
    <hyperlink r:id="rId259" ref="AD325"/>
    <hyperlink r:id="rId260" ref="AD326"/>
    <hyperlink r:id="rId261" ref="AD327"/>
    <hyperlink r:id="rId262" ref="AD328"/>
    <hyperlink r:id="rId263" ref="AD329"/>
    <hyperlink r:id="rId264" ref="AD330"/>
    <hyperlink r:id="rId265" ref="AD331"/>
    <hyperlink r:id="rId266" ref="AD332"/>
    <hyperlink r:id="rId267" ref="AD333"/>
    <hyperlink r:id="rId268" ref="AD334"/>
    <hyperlink r:id="rId269" ref="AD335"/>
    <hyperlink r:id="rId270" ref="AD336"/>
    <hyperlink r:id="rId271" ref="AD337"/>
    <hyperlink r:id="rId272" ref="AD338"/>
    <hyperlink r:id="rId273" ref="AD339"/>
    <hyperlink r:id="rId274" ref="AD340"/>
    <hyperlink r:id="rId275" ref="AD341"/>
    <hyperlink r:id="rId276" ref="AD342"/>
    <hyperlink r:id="rId277" ref="AD343"/>
    <hyperlink r:id="rId278" ref="AD344"/>
    <hyperlink r:id="rId279" ref="AD345"/>
    <hyperlink r:id="rId280" ref="AD346"/>
    <hyperlink r:id="rId281" ref="AD347"/>
    <hyperlink r:id="rId282" ref="AD348"/>
    <hyperlink r:id="rId283" ref="AD349"/>
    <hyperlink r:id="rId284" ref="AD350"/>
    <hyperlink r:id="rId285" ref="AD352"/>
    <hyperlink r:id="rId286" ref="AD353"/>
    <hyperlink r:id="rId287" ref="AD354"/>
    <hyperlink r:id="rId288" ref="AD356"/>
    <hyperlink r:id="rId289" ref="AD357"/>
    <hyperlink r:id="rId290" ref="AD358"/>
    <hyperlink r:id="rId291" ref="AD359"/>
    <hyperlink r:id="rId292" ref="AD360"/>
    <hyperlink r:id="rId293" ref="AD361"/>
    <hyperlink r:id="rId294" ref="AD362"/>
    <hyperlink r:id="rId295" ref="AD363"/>
    <hyperlink r:id="rId296" ref="AD364"/>
    <hyperlink r:id="rId297" ref="AD365"/>
    <hyperlink r:id="rId298" ref="AD366"/>
    <hyperlink r:id="rId299" ref="AD367"/>
    <hyperlink r:id="rId300" ref="AD368"/>
    <hyperlink r:id="rId301" ref="AD369"/>
    <hyperlink r:id="rId302" ref="AD370"/>
    <hyperlink r:id="rId303" ref="AD371"/>
    <hyperlink r:id="rId304" ref="AD372"/>
    <hyperlink r:id="rId305" ref="AD373"/>
    <hyperlink r:id="rId306" ref="AD374"/>
    <hyperlink r:id="rId307" ref="AD375"/>
    <hyperlink r:id="rId308" ref="AD376"/>
    <hyperlink r:id="rId309" ref="AD377"/>
    <hyperlink r:id="rId310" ref="AD378"/>
    <hyperlink r:id="rId311" ref="AD379"/>
    <hyperlink r:id="rId312" ref="AD380"/>
    <hyperlink r:id="rId313" ref="AD381"/>
    <hyperlink r:id="rId314" ref="AD382"/>
    <hyperlink r:id="rId315" ref="AD383"/>
    <hyperlink r:id="rId316" ref="AD384"/>
    <hyperlink r:id="rId317" ref="AD385"/>
    <hyperlink r:id="rId318" ref="AD386"/>
    <hyperlink r:id="rId319" ref="AD387"/>
    <hyperlink r:id="rId320" ref="AD388"/>
    <hyperlink r:id="rId321" ref="AD389"/>
    <hyperlink r:id="rId322" ref="AD390"/>
    <hyperlink r:id="rId323" ref="AD391"/>
    <hyperlink r:id="rId324" ref="AD392"/>
    <hyperlink r:id="rId325" ref="AD393"/>
    <hyperlink r:id="rId326" ref="AD394"/>
    <hyperlink r:id="rId327" ref="AD395"/>
    <hyperlink r:id="rId328" ref="AD396"/>
    <hyperlink r:id="rId329" ref="AD397"/>
    <hyperlink r:id="rId330" ref="AD398"/>
    <hyperlink r:id="rId331" ref="AD399"/>
    <hyperlink r:id="rId332" ref="AD400"/>
    <hyperlink r:id="rId333" ref="AD401"/>
    <hyperlink r:id="rId334" ref="AD402"/>
    <hyperlink r:id="rId335" ref="AD403"/>
    <hyperlink r:id="rId336" ref="AD404"/>
    <hyperlink r:id="rId337" ref="AD405"/>
    <hyperlink r:id="rId338" ref="AD406"/>
    <hyperlink r:id="rId339" ref="AD407"/>
    <hyperlink r:id="rId340" ref="AD408"/>
    <hyperlink r:id="rId341" ref="AD409"/>
    <hyperlink r:id="rId342" ref="AD410"/>
    <hyperlink r:id="rId343" ref="AD411"/>
    <hyperlink r:id="rId344" ref="AD412"/>
    <hyperlink r:id="rId345" ref="AD413"/>
    <hyperlink r:id="rId346" ref="AD414"/>
    <hyperlink r:id="rId347" ref="AD415"/>
    <hyperlink r:id="rId348" ref="AD416"/>
    <hyperlink r:id="rId349" ref="AD417"/>
    <hyperlink r:id="rId350" ref="AD418"/>
    <hyperlink r:id="rId351" ref="AD419"/>
    <hyperlink r:id="rId352" ref="AD420"/>
    <hyperlink r:id="rId353" ref="AD421"/>
    <hyperlink r:id="rId354" ref="AD422"/>
    <hyperlink r:id="rId355" ref="AD423"/>
    <hyperlink r:id="rId356" ref="AD424"/>
    <hyperlink r:id="rId357" ref="AD425"/>
    <hyperlink r:id="rId358" ref="AD426"/>
    <hyperlink r:id="rId359" ref="AD427"/>
    <hyperlink r:id="rId360" ref="AD428"/>
    <hyperlink r:id="rId361" ref="AD429"/>
    <hyperlink r:id="rId362" ref="AD432"/>
    <hyperlink r:id="rId363" ref="AD433"/>
    <hyperlink r:id="rId364" ref="AD434"/>
    <hyperlink r:id="rId365" ref="AD435"/>
    <hyperlink r:id="rId366" ref="AD436"/>
    <hyperlink r:id="rId367" ref="AD437"/>
    <hyperlink r:id="rId368" ref="AD438"/>
    <hyperlink r:id="rId369" ref="AD439"/>
    <hyperlink r:id="rId370" ref="AD440"/>
    <hyperlink r:id="rId371" ref="AD441"/>
    <hyperlink r:id="rId372" ref="AD442"/>
    <hyperlink r:id="rId373" ref="AD443"/>
    <hyperlink r:id="rId374" ref="AD444"/>
    <hyperlink r:id="rId375" ref="AD445"/>
    <hyperlink r:id="rId376" ref="AD446"/>
    <hyperlink r:id="rId377" ref="AD447"/>
    <hyperlink r:id="rId378" ref="AD453"/>
    <hyperlink r:id="rId379" ref="AD455"/>
    <hyperlink r:id="rId380" ref="AD457"/>
    <hyperlink r:id="rId381" ref="AD458"/>
    <hyperlink r:id="rId382" ref="AD459"/>
    <hyperlink r:id="rId383" ref="AD460"/>
    <hyperlink r:id="rId384" ref="AD461"/>
    <hyperlink r:id="rId385" ref="AD462"/>
    <hyperlink r:id="rId386" ref="AD463"/>
    <hyperlink r:id="rId387" ref="AD464"/>
    <hyperlink r:id="rId388" ref="AD465"/>
    <hyperlink r:id="rId389" ref="AD466"/>
    <hyperlink r:id="rId390" ref="AD468"/>
    <hyperlink r:id="rId391" ref="AD469"/>
    <hyperlink r:id="rId392" ref="AD470"/>
    <hyperlink r:id="rId393" ref="AD471"/>
    <hyperlink r:id="rId394" ref="AD472"/>
    <hyperlink r:id="rId395" ref="AD473"/>
    <hyperlink r:id="rId396" ref="AD474"/>
    <hyperlink r:id="rId397" ref="AD475"/>
    <hyperlink r:id="rId398" ref="AD476"/>
    <hyperlink r:id="rId399" ref="AD477"/>
    <hyperlink r:id="rId400" ref="AD478"/>
    <hyperlink r:id="rId401" ref="AD479"/>
    <hyperlink r:id="rId402" ref="AD480"/>
    <hyperlink r:id="rId403" ref="AD481"/>
    <hyperlink r:id="rId404" ref="AD482"/>
    <hyperlink r:id="rId405" ref="AD483"/>
    <hyperlink r:id="rId406" ref="AD484"/>
    <hyperlink r:id="rId407" ref="AD485"/>
    <hyperlink r:id="rId408" ref="AD486"/>
    <hyperlink r:id="rId409" ref="AD487"/>
    <hyperlink r:id="rId410" ref="AD488"/>
    <hyperlink r:id="rId411" ref="AD489"/>
    <hyperlink r:id="rId412" ref="AD490"/>
    <hyperlink r:id="rId413" ref="AD491"/>
    <hyperlink r:id="rId414" ref="AD492"/>
    <hyperlink r:id="rId415" ref="AD493"/>
    <hyperlink r:id="rId416" ref="AD494"/>
    <hyperlink r:id="rId417" ref="AD495"/>
    <hyperlink r:id="rId418" ref="AD496"/>
    <hyperlink r:id="rId419" ref="AD497"/>
    <hyperlink r:id="rId420" ref="AD498"/>
    <hyperlink r:id="rId421" ref="AD499"/>
    <hyperlink r:id="rId422" ref="AD500"/>
    <hyperlink r:id="rId423" ref="AD501"/>
    <hyperlink r:id="rId424" ref="AD502"/>
    <hyperlink r:id="rId425" ref="AD503"/>
    <hyperlink r:id="rId426" ref="AD504"/>
    <hyperlink r:id="rId427" ref="AD505"/>
    <hyperlink r:id="rId428" ref="AD506"/>
    <hyperlink r:id="rId429" ref="AD507"/>
    <hyperlink r:id="rId430" ref="AD508"/>
    <hyperlink r:id="rId431" ref="AD509"/>
    <hyperlink r:id="rId432" ref="AD510"/>
    <hyperlink r:id="rId433" ref="AD511"/>
    <hyperlink r:id="rId434" ref="AD512"/>
    <hyperlink r:id="rId435" ref="AD513"/>
    <hyperlink r:id="rId436" ref="AD514"/>
    <hyperlink r:id="rId437" ref="AD515"/>
    <hyperlink r:id="rId438" ref="AD516"/>
    <hyperlink r:id="rId439" ref="AD517"/>
    <hyperlink r:id="rId440" ref="AD518"/>
    <hyperlink r:id="rId441" ref="AD519"/>
    <hyperlink r:id="rId442" ref="AD520"/>
    <hyperlink r:id="rId443" ref="AD521"/>
    <hyperlink r:id="rId444" ref="AD522"/>
    <hyperlink r:id="rId445" ref="AD523"/>
    <hyperlink r:id="rId446" ref="AD524"/>
    <hyperlink r:id="rId447" ref="AD525"/>
    <hyperlink r:id="rId448" ref="AD526"/>
    <hyperlink r:id="rId449" ref="AD527"/>
    <hyperlink r:id="rId450" ref="AD528"/>
    <hyperlink r:id="rId451" ref="AD529"/>
    <hyperlink r:id="rId452" ref="AD530"/>
    <hyperlink r:id="rId453" ref="AD531"/>
    <hyperlink r:id="rId454" ref="AD532"/>
    <hyperlink r:id="rId455" ref="AD533"/>
    <hyperlink r:id="rId456" ref="AD534"/>
    <hyperlink r:id="rId457" ref="AD535"/>
    <hyperlink r:id="rId458" ref="AD536"/>
    <hyperlink r:id="rId459" ref="AD537"/>
    <hyperlink r:id="rId460" ref="AD538"/>
    <hyperlink r:id="rId461" ref="AD539"/>
    <hyperlink r:id="rId462" ref="AD540"/>
    <hyperlink r:id="rId463" ref="AD541"/>
    <hyperlink r:id="rId464" ref="AD542"/>
    <hyperlink r:id="rId465" ref="AD543"/>
    <hyperlink r:id="rId466" ref="AD544"/>
    <hyperlink r:id="rId467" ref="AD545"/>
    <hyperlink r:id="rId468" ref="AD546"/>
    <hyperlink r:id="rId469" ref="AD547"/>
    <hyperlink r:id="rId470" ref="AD548"/>
    <hyperlink r:id="rId471" ref="AD549"/>
    <hyperlink r:id="rId472" ref="AD550"/>
    <hyperlink r:id="rId473" ref="AD551"/>
    <hyperlink r:id="rId474" ref="AD552"/>
    <hyperlink r:id="rId475" ref="AD553"/>
    <hyperlink r:id="rId476" ref="AD554"/>
    <hyperlink r:id="rId477" ref="AD555"/>
    <hyperlink r:id="rId478" ref="AD556"/>
    <hyperlink r:id="rId479" ref="AD557"/>
    <hyperlink r:id="rId480" ref="AD558"/>
    <hyperlink r:id="rId481" ref="AD559"/>
    <hyperlink r:id="rId482" ref="AD560"/>
    <hyperlink r:id="rId483" ref="AD561"/>
    <hyperlink r:id="rId484" ref="AD562"/>
    <hyperlink r:id="rId485" ref="AD563"/>
    <hyperlink r:id="rId486" ref="AD564"/>
    <hyperlink r:id="rId487" ref="AD565"/>
    <hyperlink r:id="rId488" ref="AD566"/>
    <hyperlink r:id="rId489" ref="AD567"/>
    <hyperlink r:id="rId490" ref="AD568"/>
    <hyperlink r:id="rId491" ref="AD569"/>
    <hyperlink r:id="rId492" ref="AD570"/>
    <hyperlink r:id="rId493" ref="AD571"/>
    <hyperlink r:id="rId494" ref="AD572"/>
    <hyperlink r:id="rId495" ref="AD573"/>
    <hyperlink r:id="rId496" ref="AD574"/>
    <hyperlink r:id="rId497" ref="AD575"/>
    <hyperlink r:id="rId498" ref="AD576"/>
    <hyperlink r:id="rId499" ref="AD577"/>
    <hyperlink r:id="rId500" ref="AD578"/>
    <hyperlink r:id="rId501" ref="AD579"/>
    <hyperlink r:id="rId502" ref="AD580"/>
    <hyperlink r:id="rId503" ref="AD581"/>
    <hyperlink r:id="rId504" ref="AD582"/>
    <hyperlink r:id="rId505" ref="AD583"/>
    <hyperlink r:id="rId506" ref="AD584"/>
    <hyperlink r:id="rId507" ref="AD585"/>
    <hyperlink r:id="rId508" ref="AD586"/>
    <hyperlink r:id="rId509" ref="AD587"/>
    <hyperlink r:id="rId510" ref="AD588"/>
    <hyperlink r:id="rId511" ref="AD589"/>
    <hyperlink r:id="rId512" ref="AD590"/>
    <hyperlink r:id="rId513" ref="AD591"/>
    <hyperlink r:id="rId514" ref="AD592"/>
    <hyperlink r:id="rId515" ref="AD593"/>
    <hyperlink r:id="rId516" ref="AD594"/>
    <hyperlink r:id="rId517" ref="AD595"/>
    <hyperlink r:id="rId518" ref="AD596"/>
    <hyperlink r:id="rId519" ref="AD597"/>
    <hyperlink r:id="rId520" ref="AD598"/>
    <hyperlink r:id="rId521" ref="AD599"/>
    <hyperlink r:id="rId522" ref="AD600"/>
    <hyperlink r:id="rId523" ref="AD601"/>
    <hyperlink r:id="rId524" ref="AD602"/>
    <hyperlink r:id="rId525" ref="AD603"/>
    <hyperlink r:id="rId526" ref="AD604"/>
    <hyperlink r:id="rId527" ref="AD605"/>
    <hyperlink r:id="rId528" ref="AD606"/>
    <hyperlink r:id="rId529" ref="AD607"/>
    <hyperlink r:id="rId530" ref="AD608"/>
    <hyperlink r:id="rId531" ref="AD609"/>
    <hyperlink r:id="rId532" ref="AD610"/>
    <hyperlink r:id="rId533" ref="AD611"/>
    <hyperlink r:id="rId534" ref="AD612"/>
    <hyperlink r:id="rId535" ref="AD613"/>
    <hyperlink r:id="rId536" ref="AD614"/>
    <hyperlink r:id="rId537" ref="AD615"/>
    <hyperlink r:id="rId538" ref="AD616"/>
    <hyperlink r:id="rId539" ref="AD617"/>
    <hyperlink r:id="rId540" ref="AD618"/>
    <hyperlink r:id="rId541" ref="AD619"/>
    <hyperlink r:id="rId542" ref="AD620"/>
    <hyperlink r:id="rId543" ref="AD621"/>
    <hyperlink r:id="rId544" ref="AD622"/>
    <hyperlink r:id="rId545" ref="AD623"/>
    <hyperlink r:id="rId546" ref="AD624"/>
    <hyperlink r:id="rId547" ref="AD625"/>
    <hyperlink r:id="rId548" ref="AD626"/>
    <hyperlink r:id="rId549" ref="AD627"/>
    <hyperlink r:id="rId550" ref="AD628"/>
    <hyperlink r:id="rId551" ref="AD629"/>
    <hyperlink r:id="rId552" ref="AD630"/>
    <hyperlink r:id="rId553" ref="AD631"/>
    <hyperlink r:id="rId554" ref="AD632"/>
    <hyperlink r:id="rId555" ref="AD633"/>
    <hyperlink r:id="rId556" ref="AD634"/>
    <hyperlink r:id="rId557" ref="AD635"/>
    <hyperlink r:id="rId558" ref="AD636"/>
    <hyperlink r:id="rId559" ref="AD637"/>
    <hyperlink r:id="rId560" ref="AD638"/>
    <hyperlink r:id="rId561" ref="AD639"/>
    <hyperlink r:id="rId562" ref="AD640"/>
    <hyperlink r:id="rId563" ref="AD641"/>
    <hyperlink r:id="rId564" ref="AD642"/>
    <hyperlink r:id="rId565" ref="AD643"/>
    <hyperlink r:id="rId566" ref="AD644"/>
    <hyperlink r:id="rId567" ref="AD645"/>
    <hyperlink r:id="rId568" ref="AD646"/>
    <hyperlink r:id="rId569" ref="AD647"/>
    <hyperlink r:id="rId570" ref="AD648"/>
    <hyperlink r:id="rId571" ref="AD649"/>
    <hyperlink r:id="rId572" ref="AD650"/>
    <hyperlink r:id="rId573" ref="AD651"/>
    <hyperlink r:id="rId574" ref="AD652"/>
    <hyperlink r:id="rId575" ref="AD654"/>
    <hyperlink r:id="rId576" ref="AD655"/>
    <hyperlink r:id="rId577" ref="AD656"/>
    <hyperlink r:id="rId578" ref="AD657"/>
    <hyperlink r:id="rId579" ref="AD658"/>
    <hyperlink r:id="rId580" ref="AD659"/>
    <hyperlink r:id="rId581" ref="AD660"/>
    <hyperlink r:id="rId582" ref="AD661"/>
    <hyperlink r:id="rId583" ref="AD662"/>
    <hyperlink r:id="rId584" ref="AD663"/>
    <hyperlink r:id="rId585" ref="AD664"/>
    <hyperlink r:id="rId586" ref="AD665"/>
    <hyperlink r:id="rId587" ref="AD666"/>
    <hyperlink r:id="rId588" ref="AD667"/>
    <hyperlink r:id="rId589" ref="AD668"/>
    <hyperlink r:id="rId590" ref="AD669"/>
    <hyperlink r:id="rId591" ref="AD670"/>
    <hyperlink r:id="rId592" ref="AD671"/>
    <hyperlink r:id="rId593" ref="AD672"/>
    <hyperlink r:id="rId594" ref="AD673"/>
    <hyperlink r:id="rId595" ref="AD674"/>
    <hyperlink r:id="rId596" ref="AD675"/>
    <hyperlink r:id="rId597" ref="AD676"/>
    <hyperlink r:id="rId598" ref="AD677"/>
    <hyperlink r:id="rId599" ref="AD678"/>
    <hyperlink r:id="rId600" ref="AD679"/>
    <hyperlink r:id="rId601" ref="AD680"/>
    <hyperlink r:id="rId602" ref="AD681"/>
    <hyperlink r:id="rId603" ref="AD682"/>
    <hyperlink r:id="rId604" ref="AD683"/>
    <hyperlink r:id="rId605" ref="AD684"/>
    <hyperlink r:id="rId606" ref="AD685"/>
    <hyperlink r:id="rId607" ref="AD686"/>
    <hyperlink r:id="rId608" ref="AD687"/>
    <hyperlink r:id="rId609" ref="AD688"/>
    <hyperlink r:id="rId610" ref="AD689"/>
    <hyperlink r:id="rId611" ref="AD690"/>
    <hyperlink r:id="rId612" ref="AD691"/>
    <hyperlink r:id="rId613" ref="AD692"/>
    <hyperlink r:id="rId614" ref="AD693"/>
    <hyperlink r:id="rId615" ref="AD694"/>
    <hyperlink r:id="rId616" ref="AD695"/>
    <hyperlink r:id="rId617" ref="AD696"/>
    <hyperlink r:id="rId618" ref="AD697"/>
    <hyperlink r:id="rId619" ref="AD698"/>
    <hyperlink r:id="rId620" ref="AD699"/>
    <hyperlink r:id="rId621" ref="AD700"/>
    <hyperlink r:id="rId622" ref="AD701"/>
    <hyperlink r:id="rId623" ref="AD702"/>
    <hyperlink r:id="rId624" ref="AD703"/>
    <hyperlink r:id="rId625" ref="AD704"/>
    <hyperlink r:id="rId626" ref="AD705"/>
    <hyperlink r:id="rId627" ref="AD706"/>
    <hyperlink r:id="rId628" ref="AD707"/>
    <hyperlink r:id="rId629" ref="AD708"/>
    <hyperlink r:id="rId630" ref="AD709"/>
    <hyperlink r:id="rId631" ref="AD710"/>
    <hyperlink r:id="rId632" ref="AD711"/>
    <hyperlink r:id="rId633" ref="AD712"/>
    <hyperlink r:id="rId634" ref="AD713"/>
    <hyperlink r:id="rId635" ref="AD714"/>
    <hyperlink r:id="rId636" ref="AD716"/>
    <hyperlink r:id="rId637" ref="AD717"/>
    <hyperlink r:id="rId638" ref="AD718"/>
    <hyperlink r:id="rId639" ref="AD719"/>
    <hyperlink r:id="rId640" ref="AD720"/>
    <hyperlink r:id="rId641" ref="AD721"/>
    <hyperlink r:id="rId642" ref="AD722"/>
    <hyperlink r:id="rId643" ref="AD723"/>
    <hyperlink r:id="rId644" ref="AD724"/>
    <hyperlink r:id="rId645" ref="AD725"/>
    <hyperlink r:id="rId646" ref="AD726"/>
    <hyperlink r:id="rId647" ref="AD727"/>
    <hyperlink r:id="rId648" ref="AD728"/>
    <hyperlink r:id="rId649" ref="AD729"/>
    <hyperlink r:id="rId650" ref="AD730"/>
    <hyperlink r:id="rId651" ref="AD731"/>
    <hyperlink r:id="rId652" ref="AD732"/>
    <hyperlink r:id="rId653" ref="AD733"/>
    <hyperlink r:id="rId654" ref="AD734"/>
    <hyperlink r:id="rId655" ref="AD735"/>
    <hyperlink r:id="rId656" ref="AD736"/>
    <hyperlink r:id="rId657" ref="AD737"/>
    <hyperlink r:id="rId658" ref="AD738"/>
    <hyperlink r:id="rId659" ref="AD739"/>
    <hyperlink r:id="rId660" ref="AD740"/>
    <hyperlink r:id="rId661" ref="AD741"/>
    <hyperlink r:id="rId662" ref="AD742"/>
    <hyperlink r:id="rId663" ref="AD743"/>
    <hyperlink r:id="rId664" ref="AD744"/>
    <hyperlink r:id="rId665" ref="AD745"/>
    <hyperlink r:id="rId666" ref="AD746"/>
    <hyperlink r:id="rId667" ref="AD747"/>
  </hyperlinks>
  <drawing r:id="rId668"/>
</worksheet>
</file>